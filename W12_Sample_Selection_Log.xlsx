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ample_Log" sheetId="2" state="visible" r:id="rId4"/>
    <sheet name="Items" sheetId="3" state="visible" r:id="rId5"/>
    <sheet name="Ref_TEST" sheetId="4" state="visible" r:id="rId6"/>
    <sheet name="Lists" sheetId="5" state="hidden" r:id="rId7"/>
    <sheet name="Checks" sheetId="6" state="visible" r:id="rId8"/>
  </sheets>
  <definedNames>
    <definedName function="false" hidden="true" localSheetId="2" name="_xlnm._FilterDatabase" vbProcedure="false">Items!$A$4:$H$1004</definedName>
    <definedName function="false" hidden="true" localSheetId="1" name="_xlnm._FilterDatabase" vbProcedure="false">Sample_Log!$A$4:$U$204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<sst xmlns="http://schemas.openxmlformats.org/spreadsheetml/2006/main" count="379" uniqueCount="184">
  <si>
    <t xml:space="preserve">TIB SYSTEMS LLC  |  SAP Controls Project Foundation Workbook Set</t>
  </si>
  <si>
    <t xml:space="preserve">W12 — Sample Selection Log</t>
  </si>
  <si>
    <t xml:space="preserve">Purpose</t>
  </si>
  <si>
    <t xml:space="preserve">Records exactly which items were chosen from which population, by what method and why. It lets a reviewer confirm the sample was unbiased and spread across the whole period, and it drives the wave 3 PBC requests.</t>
  </si>
  <si>
    <t xml:space="preserve">How to use this workbook</t>
  </si>
  <si>
    <t xml:space="preserve">1. Paste TEST-ID, population EV-ID, IPE result, population size and planned sample size from W10/W09 into Ref_TEST.</t>
  </si>
  <si>
    <t xml:space="preserve">2. Create one Sample_Log row per test. Selection is only allowed from a population whose IPE result is Pass.</t>
  </si>
  <si>
    <t xml:space="preserve">3. List every selected item on the Items tab with its date and basis (Random / Systematic / Targeted / All items).</t>
  </si>
  <si>
    <t xml:space="preserve">4. Record the seed or interval so the selection can be reperformed. Explain targeted additions.</t>
  </si>
  <si>
    <t xml:space="preserve">5. Raise the wave 3 PBC request in W08 and enter its ID.</t>
  </si>
  <si>
    <t xml:space="preserve">Colour legend</t>
  </si>
  <si>
    <t xml:space="preserve">Yellow cells with blue text = you enter data here.   Grey cells = formulas (do not overwrite).   Row 5 of each register is a worked ABC Manufacturing example: overwrite it with your first record.</t>
  </si>
  <si>
    <t xml:space="preserve">Completion gate</t>
  </si>
  <si>
    <t xml:space="preserve">Every TOE has a sample logged with method and parameters.</t>
  </si>
  <si>
    <t xml:space="preserve">The sample covers the whole period.</t>
  </si>
  <si>
    <t xml:space="preserve">Targeted additions are explained.</t>
  </si>
  <si>
    <t xml:space="preserve">Wave 3 PBC requests are raised and cross-referenced.</t>
  </si>
  <si>
    <t xml:space="preserve">Manual reference</t>
  </si>
  <si>
    <t xml:space="preserve">Part 2, Session 13 (W12).</t>
  </si>
  <si>
    <t xml:space="preserve">Column dictionary</t>
  </si>
  <si>
    <t xml:space="preserve">Tab</t>
  </si>
  <si>
    <t xml:space="preserve">Field</t>
  </si>
  <si>
    <t xml:space="preserve">Definition</t>
  </si>
  <si>
    <t xml:space="preserve">Allowed values / rule</t>
  </si>
  <si>
    <t xml:space="preserve">Type</t>
  </si>
  <si>
    <t xml:space="preserve">Sample_Log</t>
  </si>
  <si>
    <t xml:space="preserve">SMP-ID</t>
  </si>
  <si>
    <t xml:space="preserve">Unique key</t>
  </si>
  <si>
    <t xml:space="preserve">SMP-nnn</t>
  </si>
  <si>
    <t xml:space="preserve">Input</t>
  </si>
  <si>
    <t xml:space="preserve">TEST-ID</t>
  </si>
  <si>
    <t xml:space="preserve">Test the sample is for</t>
  </si>
  <si>
    <t xml:space="preserve">From W10 (Ref_TEST)</t>
  </si>
  <si>
    <t xml:space="preserve">Population EV-ID</t>
  </si>
  <si>
    <t xml:space="preserve">Lookup from W10</t>
  </si>
  <si>
    <t xml:space="preserve">Formula</t>
  </si>
  <si>
    <t xml:space="preserve">IPE result</t>
  </si>
  <si>
    <t xml:space="preserve">Lookup from W09</t>
  </si>
  <si>
    <t xml:space="preserve">Population size</t>
  </si>
  <si>
    <t xml:space="preserve">Planned sample size</t>
  </si>
  <si>
    <t xml:space="preserve">Items selected</t>
  </si>
  <si>
    <t xml:space="preserve">Count of items listed on the Items tab</t>
  </si>
  <si>
    <t xml:space="preserve">Selection method</t>
  </si>
  <si>
    <t xml:space="preserve">How chosen</t>
  </si>
  <si>
    <t xml:space="preserve">Random (seeded) preferred</t>
  </si>
  <si>
    <t xml:space="preserve">Seed / interval</t>
  </si>
  <si>
    <t xml:space="preserve">Parameter for reperformance</t>
  </si>
  <si>
    <t xml:space="preserve">Required for random / systematic</t>
  </si>
  <si>
    <t xml:space="preserve">Targeted additions</t>
  </si>
  <si>
    <t xml:space="preserve">Risk-based items added to the planned sample</t>
  </si>
  <si>
    <t xml:space="preserve">Number; explain in rationale</t>
  </si>
  <si>
    <t xml:space="preserve">Q1 items</t>
  </si>
  <si>
    <t xml:space="preserve">Items dated in Q1</t>
  </si>
  <si>
    <t xml:space="preserve">Q2 items</t>
  </si>
  <si>
    <t xml:space="preserve">Items dated in Q2</t>
  </si>
  <si>
    <t xml:space="preserve">Q3 items</t>
  </si>
  <si>
    <t xml:space="preserve">Items dated in Q3</t>
  </si>
  <si>
    <t xml:space="preserve">Q4 items</t>
  </si>
  <si>
    <t xml:space="preserve">Items dated in Q4</t>
  </si>
  <si>
    <t xml:space="preserve">Quarters covered</t>
  </si>
  <si>
    <t xml:space="preserve">Quarters with at least one item</t>
  </si>
  <si>
    <t xml:space="preserve">Period coverage confirmed?</t>
  </si>
  <si>
    <t xml:space="preserve">Sample spread across the whole period</t>
  </si>
  <si>
    <t xml:space="preserve">Y / N</t>
  </si>
  <si>
    <t xml:space="preserve">Wave 3 PBC-ID</t>
  </si>
  <si>
    <t xml:space="preserve">Request for supporting evidence</t>
  </si>
  <si>
    <t xml:space="preserve">Raised in W08</t>
  </si>
  <si>
    <t xml:space="preserve">Selected by</t>
  </si>
  <si>
    <t xml:space="preserve">Who selected</t>
  </si>
  <si>
    <t xml:space="preserve">Name</t>
  </si>
  <si>
    <t xml:space="preserve">Selection date</t>
  </si>
  <si>
    <t xml:space="preserve">Date</t>
  </si>
  <si>
    <t xml:space="preserve">Rationale for targeted items / deviation</t>
  </si>
  <si>
    <t xml:space="preserve">Why items were added or the count differs</t>
  </si>
  <si>
    <t xml:space="preserve">Free text</t>
  </si>
  <si>
    <t xml:space="preserve">Row check</t>
  </si>
  <si>
    <t xml:space="preserve">Automatic completeness test</t>
  </si>
  <si>
    <t xml:space="preserve">Items</t>
  </si>
  <si>
    <t xml:space="preserve">Sample the item belongs to</t>
  </si>
  <si>
    <t xml:space="preserve">Must exist in Sample_Log</t>
  </si>
  <si>
    <t xml:space="preserve">Item ID</t>
  </si>
  <si>
    <t xml:space="preserve">The item selected</t>
  </si>
  <si>
    <t xml:space="preserve">User ID, transport number, FF session ID, invoice no.</t>
  </si>
  <si>
    <t xml:space="preserve">Item date</t>
  </si>
  <si>
    <t xml:space="preserve">Date of the item (for period coverage)</t>
  </si>
  <si>
    <t xml:space="preserve">Selection basis</t>
  </si>
  <si>
    <t xml:space="preserve">Why selected</t>
  </si>
  <si>
    <t xml:space="preserve">Random / Systematic / Targeted / All items</t>
  </si>
  <si>
    <t xml:space="preserve">Quarter</t>
  </si>
  <si>
    <t xml:space="preserve">Calendar quarter of the item date</t>
  </si>
  <si>
    <t xml:space="preserve">Wave 3 evidence received?</t>
  </si>
  <si>
    <t xml:space="preserve">Supporting evidence for this item received</t>
  </si>
  <si>
    <t xml:space="preserve">Note</t>
  </si>
  <si>
    <t xml:space="preserve">Anything relevant</t>
  </si>
  <si>
    <t xml:space="preserve">Check</t>
  </si>
  <si>
    <t xml:space="preserve">Automatic test</t>
  </si>
  <si>
    <t xml:space="preserve">Version history</t>
  </si>
  <si>
    <t xml:space="preserve">0.1 — October 2026 — initial template (TIB Systems LLC)</t>
  </si>
  <si>
    <t xml:space="preserve">Cross-workbook links: keys from other workbooks are pasted as values into the Ref_ tabs, so this file works on its own and never breaks when files are moved.</t>
  </si>
  <si>
    <t xml:space="preserve">W12 — Sample Log</t>
  </si>
  <si>
    <t xml:space="preserve">One row per sample. Row 5 is a worked example (SMP-003, 27 items on the Items tab). Overwrite it.</t>
  </si>
  <si>
    <t xml:space="preserve">SMP-003</t>
  </si>
  <si>
    <t xml:space="preserve">C-ITGC-PC-001-TOE</t>
  </si>
  <si>
    <t xml:space="preserve">Random (seeded)</t>
  </si>
  <si>
    <t xml:space="preserve">4471</t>
  </si>
  <si>
    <t xml:space="preserve">Y</t>
  </si>
  <si>
    <t xml:space="preserve">PBC-040</t>
  </si>
  <si>
    <t xml:space="preserve">Tester 1</t>
  </si>
  <si>
    <t xml:space="preserve">2 targeted: transports touching ITAC tables T169G and T001B</t>
  </si>
  <si>
    <t xml:space="preserve">W12 — Items</t>
  </si>
  <si>
    <t xml:space="preserve">One row per selected item. Rows 5–31 are the worked SMP-003 example. Overwrite them (room for 1,000 items).</t>
  </si>
  <si>
    <t xml:space="preserve">ECDK900114</t>
  </si>
  <si>
    <t xml:space="preserve">Random</t>
  </si>
  <si>
    <t xml:space="preserve">N</t>
  </si>
  <si>
    <t xml:space="preserve">ECDK900117</t>
  </si>
  <si>
    <t xml:space="preserve">ECDK900120</t>
  </si>
  <si>
    <t xml:space="preserve">ECDK900123</t>
  </si>
  <si>
    <t xml:space="preserve">ECDK900126</t>
  </si>
  <si>
    <t xml:space="preserve">ECDK900129</t>
  </si>
  <si>
    <t xml:space="preserve">ECDK900132</t>
  </si>
  <si>
    <t xml:space="preserve">ECDK900135</t>
  </si>
  <si>
    <t xml:space="preserve">ECDK900138</t>
  </si>
  <si>
    <t xml:space="preserve">ECDK900141</t>
  </si>
  <si>
    <t xml:space="preserve">ECDK900144</t>
  </si>
  <si>
    <t xml:space="preserve">ECDK900147</t>
  </si>
  <si>
    <t xml:space="preserve">ECDK900150</t>
  </si>
  <si>
    <t xml:space="preserve">ECDK900153</t>
  </si>
  <si>
    <t xml:space="preserve">ECDK900156</t>
  </si>
  <si>
    <t xml:space="preserve">ECDK900159</t>
  </si>
  <si>
    <t xml:space="preserve">ECDK900162</t>
  </si>
  <si>
    <t xml:space="preserve">ECDK900165</t>
  </si>
  <si>
    <t xml:space="preserve">ECDK900168</t>
  </si>
  <si>
    <t xml:space="preserve">ECDK900171</t>
  </si>
  <si>
    <t xml:space="preserve">ECDK900174</t>
  </si>
  <si>
    <t xml:space="preserve">ECDK900177</t>
  </si>
  <si>
    <t xml:space="preserve">ECDK900180</t>
  </si>
  <si>
    <t xml:space="preserve">ECDK900183</t>
  </si>
  <si>
    <t xml:space="preserve">ECDK900186</t>
  </si>
  <si>
    <t xml:space="preserve">ECDK900201</t>
  </si>
  <si>
    <t xml:space="preserve">Targeted</t>
  </si>
  <si>
    <t xml:space="preserve">T169G tolerance change</t>
  </si>
  <si>
    <t xml:space="preserve">ECDK900233</t>
  </si>
  <si>
    <t xml:space="preserve">T001B variant change</t>
  </si>
  <si>
    <t xml:space="preserve">TEST-ID (from W10)</t>
  </si>
  <si>
    <t xml:space="preserve">Population EV-ID (W10)</t>
  </si>
  <si>
    <t xml:space="preserve">IPE result (W09)</t>
  </si>
  <si>
    <t xml:space="preserve">Population size (W09)</t>
  </si>
  <si>
    <t xml:space="preserve">Planned sample size (W10)</t>
  </si>
  <si>
    <t xml:space="preserve">EV-019</t>
  </si>
  <si>
    <t xml:space="preserve">Pass</t>
  </si>
  <si>
    <t xml:space="preserve">C-ITGC-AC-002-TOE</t>
  </si>
  <si>
    <t xml:space="preserve">EV-021</t>
  </si>
  <si>
    <t xml:space="preserve">Pending</t>
  </si>
  <si>
    <t xml:space="preserve">Meth</t>
  </si>
  <si>
    <t xml:space="preserve">Basis</t>
  </si>
  <si>
    <t xml:space="preserve">YN</t>
  </si>
  <si>
    <t xml:space="preserve">Systematic</t>
  </si>
  <si>
    <t xml:space="preserve">Haphazard</t>
  </si>
  <si>
    <t xml:space="preserve">Targeted (risk-based)</t>
  </si>
  <si>
    <t xml:space="preserve">All items</t>
  </si>
  <si>
    <t xml:space="preserve">W12 — Completion checks</t>
  </si>
  <si>
    <t xml:space="preserve">All checks are formulas. A workbook passes its gate when every status reads PASS (INFO rows are counts for your information).</t>
  </si>
  <si>
    <t xml:space="preserve">Overall</t>
  </si>
  <si>
    <t xml:space="preserve">Count</t>
  </si>
  <si>
    <t xml:space="preserve">Status</t>
  </si>
  <si>
    <t xml:space="preserve">What to do if REVIEW</t>
  </si>
  <si>
    <t xml:space="preserve">Samples logged</t>
  </si>
  <si>
    <t xml:space="preserve">INFO</t>
  </si>
  <si>
    <t xml:space="preserve">—</t>
  </si>
  <si>
    <t xml:space="preserve">Duplicate SMP-IDs</t>
  </si>
  <si>
    <t xml:space="preserve">Keys must be unique.</t>
  </si>
  <si>
    <t xml:space="preserve">Sample rows needing attention (incl. IPE HOLD)</t>
  </si>
  <si>
    <t xml:space="preserve">Read the Row check column.</t>
  </si>
  <si>
    <t xml:space="preserve">Item rows needing attention</t>
  </si>
  <si>
    <t xml:space="preserve">Read the Check column on the Items tab.</t>
  </si>
  <si>
    <t xml:space="preserve">W10 tests needing a sample but with none logged</t>
  </si>
  <si>
    <t xml:space="preserve">Every TOE needs a sample (or an All items selection).</t>
  </si>
  <si>
    <t xml:space="preserve">Items selected in total</t>
  </si>
  <si>
    <t xml:space="preserve">Targeted items in total</t>
  </si>
  <si>
    <t xml:space="preserve">Each targeted addition needs a rationale.</t>
  </si>
  <si>
    <t xml:space="preserve">Samples spanning fewer than 3 quarters</t>
  </si>
  <si>
    <t xml:space="preserve">Expected for quarterly or annual controls; otherwise re-select across the period.</t>
  </si>
  <si>
    <t xml:space="preserve">Items whose wave 3 evidence is not yet received</t>
  </si>
  <si>
    <t xml:space="preserve">Chase via W08.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</si>
</sst>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E7C86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0E7C8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E7C8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5B6B82"/>
        <bgColor rgb="FF555555"/>
      </patternFill>
    </fill>
    <fill>
      <patternFill patternType="solid">
        <fgColor rgb="FFFFF2CC"/>
        <bgColor rgb="FFEDEFF3"/>
      </patternFill>
    </fill>
    <fill>
      <patternFill patternType="solid">
        <fgColor rgb="FFEDEFF3"/>
        <bgColor rgb="FFFFFFFF"/>
      </patternFill>
    </fill>
    <fill>
      <patternFill patternType="solid">
        <fgColor rgb="FF0E7C8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6B82"/>
          <bgColor rgb="FF000000"/>
        </patternFill>
      </fill>
    </dxf>
    <dxf>
      <fill>
        <patternFill patternType="solid">
          <fgColor rgb="FFEDEF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BFC7D5"/>
      <rgbColor rgb="FF808080"/>
      <rgbColor rgb="FF9999FF"/>
      <rgbColor rgb="FF993366"/>
      <rgbColor rgb="FFFFF2CC"/>
      <rgbColor rgb="FFEDEF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4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</row>
    <row r="2" customFormat="false" ht="19.7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/>
      <c r="C5" s="4"/>
      <c r="D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4" t="s">
        <v>5</v>
      </c>
      <c r="B8" s="4"/>
      <c r="C8" s="4"/>
      <c r="D8" s="4"/>
    </row>
    <row r="9" customFormat="false" ht="15" hidden="false" customHeight="true" outlineLevel="0" collapsed="false">
      <c r="A9" s="4" t="s">
        <v>6</v>
      </c>
      <c r="B9" s="4"/>
      <c r="C9" s="4"/>
      <c r="D9" s="4"/>
    </row>
    <row r="10" customFormat="false" ht="15" hidden="false" customHeight="true" outlineLevel="0" collapsed="false">
      <c r="A10" s="4" t="s">
        <v>7</v>
      </c>
      <c r="B10" s="4"/>
      <c r="C10" s="4"/>
      <c r="D10" s="4"/>
    </row>
    <row r="11" customFormat="false" ht="15" hidden="false" customHeight="true" outlineLevel="0" collapsed="false">
      <c r="A11" s="4" t="s">
        <v>8</v>
      </c>
      <c r="B11" s="4"/>
      <c r="C11" s="4"/>
      <c r="D11" s="4"/>
    </row>
    <row r="12" customFormat="false" ht="15" hidden="false" customHeight="true" outlineLevel="0" collapsed="false">
      <c r="A12" s="4" t="s">
        <v>9</v>
      </c>
      <c r="B12" s="4"/>
      <c r="C12" s="4"/>
      <c r="D12" s="4"/>
    </row>
    <row r="14" customFormat="false" ht="15" hidden="false" customHeight="false" outlineLevel="0" collapsed="false">
      <c r="A14" s="3" t="s">
        <v>10</v>
      </c>
    </row>
    <row r="15" customFormat="false" ht="30" hidden="false" customHeight="true" outlineLevel="0" collapsed="false">
      <c r="A15" s="4" t="s">
        <v>11</v>
      </c>
      <c r="B15" s="4"/>
      <c r="C15" s="4"/>
      <c r="D15" s="4"/>
    </row>
    <row r="17" customFormat="false" ht="15" hidden="false" customHeight="false" outlineLevel="0" collapsed="false">
      <c r="A17" s="3" t="s">
        <v>12</v>
      </c>
    </row>
    <row r="18" customFormat="false" ht="15" hidden="false" customHeight="true" outlineLevel="0" collapsed="false">
      <c r="A18" s="4" t="s">
        <v>13</v>
      </c>
      <c r="B18" s="4"/>
      <c r="C18" s="4"/>
      <c r="D18" s="4"/>
    </row>
    <row r="19" customFormat="false" ht="15" hidden="false" customHeight="true" outlineLevel="0" collapsed="false">
      <c r="A19" s="4" t="s">
        <v>14</v>
      </c>
      <c r="B19" s="4"/>
      <c r="C19" s="4"/>
      <c r="D19" s="4"/>
    </row>
    <row r="20" customFormat="false" ht="15" hidden="false" customHeight="true" outlineLevel="0" collapsed="false">
      <c r="A20" s="4" t="s">
        <v>15</v>
      </c>
      <c r="B20" s="4"/>
      <c r="C20" s="4"/>
      <c r="D20" s="4"/>
    </row>
    <row r="21" customFormat="false" ht="15" hidden="false" customHeight="true" outlineLevel="0" collapsed="false">
      <c r="A21" s="4" t="s">
        <v>16</v>
      </c>
      <c r="B21" s="4"/>
      <c r="C21" s="4"/>
      <c r="D21" s="4"/>
    </row>
    <row r="23" customFormat="false" ht="15" hidden="false" customHeight="false" outlineLevel="0" collapsed="false">
      <c r="A23" s="3" t="s">
        <v>17</v>
      </c>
    </row>
    <row r="24" customFormat="false" ht="15" hidden="false" customHeight="true" outlineLevel="0" collapsed="false">
      <c r="A24" s="4" t="s">
        <v>18</v>
      </c>
      <c r="B24" s="4"/>
      <c r="C24" s="4"/>
      <c r="D24" s="4"/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5" t="s">
        <v>20</v>
      </c>
      <c r="B27" s="5" t="s">
        <v>21</v>
      </c>
      <c r="C27" s="5" t="s">
        <v>22</v>
      </c>
      <c r="D27" s="5" t="s">
        <v>23</v>
      </c>
      <c r="E27" s="5" t="s">
        <v>24</v>
      </c>
    </row>
    <row r="28" customFormat="false" ht="15" hidden="false" customHeight="false" outlineLevel="0" collapsed="false">
      <c r="A28" s="6" t="s">
        <v>25</v>
      </c>
      <c r="B28" s="6" t="s">
        <v>26</v>
      </c>
      <c r="C28" s="6" t="s">
        <v>27</v>
      </c>
      <c r="D28" s="6" t="s">
        <v>28</v>
      </c>
      <c r="E28" s="6" t="s">
        <v>29</v>
      </c>
    </row>
    <row r="29" customFormat="false" ht="15" hidden="false" customHeight="false" outlineLevel="0" collapsed="false">
      <c r="A29" s="6" t="s">
        <v>25</v>
      </c>
      <c r="B29" s="6" t="s">
        <v>30</v>
      </c>
      <c r="C29" s="6" t="s">
        <v>31</v>
      </c>
      <c r="D29" s="6" t="s">
        <v>32</v>
      </c>
      <c r="E29" s="6" t="s">
        <v>29</v>
      </c>
    </row>
    <row r="30" customFormat="false" ht="15" hidden="false" customHeight="false" outlineLevel="0" collapsed="false">
      <c r="A30" s="6" t="s">
        <v>25</v>
      </c>
      <c r="B30" s="6" t="s">
        <v>33</v>
      </c>
      <c r="C30" s="6" t="s">
        <v>34</v>
      </c>
      <c r="D30" s="6" t="s">
        <v>35</v>
      </c>
      <c r="E30" s="6" t="s">
        <v>35</v>
      </c>
    </row>
    <row r="31" customFormat="false" ht="15" hidden="false" customHeight="false" outlineLevel="0" collapsed="false">
      <c r="A31" s="6" t="s">
        <v>25</v>
      </c>
      <c r="B31" s="6" t="s">
        <v>36</v>
      </c>
      <c r="C31" s="6" t="s">
        <v>37</v>
      </c>
      <c r="D31" s="6" t="s">
        <v>35</v>
      </c>
      <c r="E31" s="6" t="s">
        <v>35</v>
      </c>
    </row>
    <row r="32" customFormat="false" ht="15" hidden="false" customHeight="false" outlineLevel="0" collapsed="false">
      <c r="A32" s="6" t="s">
        <v>25</v>
      </c>
      <c r="B32" s="6" t="s">
        <v>38</v>
      </c>
      <c r="C32" s="6" t="s">
        <v>37</v>
      </c>
      <c r="D32" s="6" t="s">
        <v>35</v>
      </c>
      <c r="E32" s="6" t="s">
        <v>35</v>
      </c>
    </row>
    <row r="33" customFormat="false" ht="15" hidden="false" customHeight="false" outlineLevel="0" collapsed="false">
      <c r="A33" s="6" t="s">
        <v>25</v>
      </c>
      <c r="B33" s="6" t="s">
        <v>39</v>
      </c>
      <c r="C33" s="6" t="s">
        <v>34</v>
      </c>
      <c r="D33" s="6" t="s">
        <v>35</v>
      </c>
      <c r="E33" s="6" t="s">
        <v>35</v>
      </c>
    </row>
    <row r="34" customFormat="false" ht="15" hidden="false" customHeight="false" outlineLevel="0" collapsed="false">
      <c r="A34" s="6" t="s">
        <v>25</v>
      </c>
      <c r="B34" s="6" t="s">
        <v>40</v>
      </c>
      <c r="C34" s="6" t="s">
        <v>41</v>
      </c>
      <c r="D34" s="6" t="s">
        <v>35</v>
      </c>
      <c r="E34" s="6" t="s">
        <v>35</v>
      </c>
    </row>
    <row r="35" customFormat="false" ht="15" hidden="false" customHeight="false" outlineLevel="0" collapsed="false">
      <c r="A35" s="6" t="s">
        <v>25</v>
      </c>
      <c r="B35" s="6" t="s">
        <v>42</v>
      </c>
      <c r="C35" s="6" t="s">
        <v>43</v>
      </c>
      <c r="D35" s="6" t="s">
        <v>44</v>
      </c>
      <c r="E35" s="6" t="s">
        <v>29</v>
      </c>
    </row>
    <row r="36" customFormat="false" ht="15" hidden="false" customHeight="false" outlineLevel="0" collapsed="false">
      <c r="A36" s="6" t="s">
        <v>25</v>
      </c>
      <c r="B36" s="6" t="s">
        <v>45</v>
      </c>
      <c r="C36" s="6" t="s">
        <v>46</v>
      </c>
      <c r="D36" s="6" t="s">
        <v>47</v>
      </c>
      <c r="E36" s="6" t="s">
        <v>29</v>
      </c>
    </row>
    <row r="37" customFormat="false" ht="15" hidden="false" customHeight="false" outlineLevel="0" collapsed="false">
      <c r="A37" s="6" t="s">
        <v>25</v>
      </c>
      <c r="B37" s="6" t="s">
        <v>48</v>
      </c>
      <c r="C37" s="6" t="s">
        <v>49</v>
      </c>
      <c r="D37" s="6" t="s">
        <v>50</v>
      </c>
      <c r="E37" s="6" t="s">
        <v>29</v>
      </c>
    </row>
    <row r="38" customFormat="false" ht="15" hidden="false" customHeight="false" outlineLevel="0" collapsed="false">
      <c r="A38" s="6" t="s">
        <v>25</v>
      </c>
      <c r="B38" s="6" t="s">
        <v>51</v>
      </c>
      <c r="C38" s="6" t="s">
        <v>52</v>
      </c>
      <c r="D38" s="6" t="s">
        <v>35</v>
      </c>
      <c r="E38" s="6" t="s">
        <v>35</v>
      </c>
    </row>
    <row r="39" customFormat="false" ht="15" hidden="false" customHeight="false" outlineLevel="0" collapsed="false">
      <c r="A39" s="6" t="s">
        <v>25</v>
      </c>
      <c r="B39" s="6" t="s">
        <v>53</v>
      </c>
      <c r="C39" s="6" t="s">
        <v>54</v>
      </c>
      <c r="D39" s="6" t="s">
        <v>35</v>
      </c>
      <c r="E39" s="6" t="s">
        <v>35</v>
      </c>
    </row>
    <row r="40" customFormat="false" ht="15" hidden="false" customHeight="false" outlineLevel="0" collapsed="false">
      <c r="A40" s="6" t="s">
        <v>25</v>
      </c>
      <c r="B40" s="6" t="s">
        <v>55</v>
      </c>
      <c r="C40" s="6" t="s">
        <v>56</v>
      </c>
      <c r="D40" s="6" t="s">
        <v>35</v>
      </c>
      <c r="E40" s="6" t="s">
        <v>35</v>
      </c>
    </row>
    <row r="41" customFormat="false" ht="15" hidden="false" customHeight="false" outlineLevel="0" collapsed="false">
      <c r="A41" s="6" t="s">
        <v>25</v>
      </c>
      <c r="B41" s="6" t="s">
        <v>57</v>
      </c>
      <c r="C41" s="6" t="s">
        <v>58</v>
      </c>
      <c r="D41" s="6" t="s">
        <v>35</v>
      </c>
      <c r="E41" s="6" t="s">
        <v>35</v>
      </c>
    </row>
    <row r="42" customFormat="false" ht="15" hidden="false" customHeight="false" outlineLevel="0" collapsed="false">
      <c r="A42" s="6" t="s">
        <v>25</v>
      </c>
      <c r="B42" s="6" t="s">
        <v>59</v>
      </c>
      <c r="C42" s="6" t="s">
        <v>60</v>
      </c>
      <c r="D42" s="6" t="s">
        <v>35</v>
      </c>
      <c r="E42" s="6" t="s">
        <v>35</v>
      </c>
    </row>
    <row r="43" customFormat="false" ht="15" hidden="false" customHeight="false" outlineLevel="0" collapsed="false">
      <c r="A43" s="6" t="s">
        <v>25</v>
      </c>
      <c r="B43" s="6" t="s">
        <v>61</v>
      </c>
      <c r="C43" s="6" t="s">
        <v>62</v>
      </c>
      <c r="D43" s="6" t="s">
        <v>63</v>
      </c>
      <c r="E43" s="6" t="s">
        <v>29</v>
      </c>
    </row>
    <row r="44" customFormat="false" ht="15" hidden="false" customHeight="false" outlineLevel="0" collapsed="false">
      <c r="A44" s="6" t="s">
        <v>25</v>
      </c>
      <c r="B44" s="6" t="s">
        <v>64</v>
      </c>
      <c r="C44" s="6" t="s">
        <v>65</v>
      </c>
      <c r="D44" s="6" t="s">
        <v>66</v>
      </c>
      <c r="E44" s="6" t="s">
        <v>29</v>
      </c>
    </row>
    <row r="45" customFormat="false" ht="15" hidden="false" customHeight="false" outlineLevel="0" collapsed="false">
      <c r="A45" s="6" t="s">
        <v>25</v>
      </c>
      <c r="B45" s="6" t="s">
        <v>67</v>
      </c>
      <c r="C45" s="6" t="s">
        <v>68</v>
      </c>
      <c r="D45" s="6" t="s">
        <v>69</v>
      </c>
      <c r="E45" s="6" t="s">
        <v>29</v>
      </c>
    </row>
    <row r="46" customFormat="false" ht="15" hidden="false" customHeight="false" outlineLevel="0" collapsed="false">
      <c r="A46" s="6" t="s">
        <v>25</v>
      </c>
      <c r="B46" s="6" t="s">
        <v>70</v>
      </c>
      <c r="C46" s="6" t="s">
        <v>71</v>
      </c>
      <c r="D46" s="6" t="s">
        <v>71</v>
      </c>
      <c r="E46" s="6" t="s">
        <v>29</v>
      </c>
    </row>
    <row r="47" customFormat="false" ht="15" hidden="false" customHeight="false" outlineLevel="0" collapsed="false">
      <c r="A47" s="6" t="s">
        <v>25</v>
      </c>
      <c r="B47" s="6" t="s">
        <v>72</v>
      </c>
      <c r="C47" s="6" t="s">
        <v>73</v>
      </c>
      <c r="D47" s="6" t="s">
        <v>74</v>
      </c>
      <c r="E47" s="6" t="s">
        <v>29</v>
      </c>
    </row>
    <row r="48" customFormat="false" ht="15" hidden="false" customHeight="false" outlineLevel="0" collapsed="false">
      <c r="A48" s="6" t="s">
        <v>25</v>
      </c>
      <c r="B48" s="6" t="s">
        <v>75</v>
      </c>
      <c r="C48" s="6" t="s">
        <v>76</v>
      </c>
      <c r="D48" s="6" t="s">
        <v>35</v>
      </c>
      <c r="E48" s="6" t="s">
        <v>35</v>
      </c>
    </row>
    <row r="49" customFormat="false" ht="15" hidden="false" customHeight="false" outlineLevel="0" collapsed="false">
      <c r="A49" s="6" t="s">
        <v>77</v>
      </c>
      <c r="B49" s="6" t="s">
        <v>26</v>
      </c>
      <c r="C49" s="6" t="s">
        <v>78</v>
      </c>
      <c r="D49" s="6" t="s">
        <v>79</v>
      </c>
      <c r="E49" s="6" t="s">
        <v>29</v>
      </c>
    </row>
    <row r="50" customFormat="false" ht="15" hidden="false" customHeight="false" outlineLevel="0" collapsed="false">
      <c r="A50" s="6" t="s">
        <v>77</v>
      </c>
      <c r="B50" s="6" t="s">
        <v>80</v>
      </c>
      <c r="C50" s="6" t="s">
        <v>81</v>
      </c>
      <c r="D50" s="6" t="s">
        <v>82</v>
      </c>
      <c r="E50" s="6" t="s">
        <v>29</v>
      </c>
    </row>
    <row r="51" customFormat="false" ht="15" hidden="false" customHeight="false" outlineLevel="0" collapsed="false">
      <c r="A51" s="6" t="s">
        <v>77</v>
      </c>
      <c r="B51" s="6" t="s">
        <v>83</v>
      </c>
      <c r="C51" s="6" t="s">
        <v>84</v>
      </c>
      <c r="D51" s="6" t="s">
        <v>71</v>
      </c>
      <c r="E51" s="6" t="s">
        <v>29</v>
      </c>
    </row>
    <row r="52" customFormat="false" ht="15" hidden="false" customHeight="false" outlineLevel="0" collapsed="false">
      <c r="A52" s="6" t="s">
        <v>77</v>
      </c>
      <c r="B52" s="6" t="s">
        <v>85</v>
      </c>
      <c r="C52" s="6" t="s">
        <v>86</v>
      </c>
      <c r="D52" s="6" t="s">
        <v>87</v>
      </c>
      <c r="E52" s="6" t="s">
        <v>29</v>
      </c>
    </row>
    <row r="53" customFormat="false" ht="15" hidden="false" customHeight="false" outlineLevel="0" collapsed="false">
      <c r="A53" s="6" t="s">
        <v>77</v>
      </c>
      <c r="B53" s="6" t="s">
        <v>88</v>
      </c>
      <c r="C53" s="6" t="s">
        <v>89</v>
      </c>
      <c r="D53" s="6" t="s">
        <v>35</v>
      </c>
      <c r="E53" s="6" t="s">
        <v>35</v>
      </c>
    </row>
    <row r="54" customFormat="false" ht="15" hidden="false" customHeight="false" outlineLevel="0" collapsed="false">
      <c r="A54" s="6" t="s">
        <v>77</v>
      </c>
      <c r="B54" s="6" t="s">
        <v>90</v>
      </c>
      <c r="C54" s="6" t="s">
        <v>91</v>
      </c>
      <c r="D54" s="6" t="s">
        <v>63</v>
      </c>
      <c r="E54" s="6" t="s">
        <v>29</v>
      </c>
    </row>
    <row r="55" customFormat="false" ht="15" hidden="false" customHeight="false" outlineLevel="0" collapsed="false">
      <c r="A55" s="6" t="s">
        <v>77</v>
      </c>
      <c r="B55" s="6" t="s">
        <v>92</v>
      </c>
      <c r="C55" s="6" t="s">
        <v>93</v>
      </c>
      <c r="D55" s="6" t="s">
        <v>74</v>
      </c>
      <c r="E55" s="6" t="s">
        <v>29</v>
      </c>
    </row>
    <row r="56" customFormat="false" ht="15" hidden="false" customHeight="false" outlineLevel="0" collapsed="false">
      <c r="A56" s="6" t="s">
        <v>77</v>
      </c>
      <c r="B56" s="6" t="s">
        <v>94</v>
      </c>
      <c r="C56" s="6" t="s">
        <v>95</v>
      </c>
      <c r="D56" s="6" t="s">
        <v>35</v>
      </c>
      <c r="E56" s="6" t="s">
        <v>35</v>
      </c>
    </row>
    <row r="58" customFormat="false" ht="15" hidden="false" customHeight="false" outlineLevel="0" collapsed="false">
      <c r="A58" s="3" t="s">
        <v>96</v>
      </c>
    </row>
    <row r="59" customFormat="false" ht="15" hidden="false" customHeight="false" outlineLevel="0" collapsed="false">
      <c r="A59" s="7" t="s">
        <v>97</v>
      </c>
    </row>
    <row r="60" customFormat="false" ht="15" hidden="false" customHeight="false" outlineLevel="0" collapsed="false">
      <c r="A60" s="8" t="s">
        <v>98</v>
      </c>
    </row>
  </sheetData>
  <mergeCells count="12">
    <mergeCell ref="A5:D5"/>
    <mergeCell ref="A8:D8"/>
    <mergeCell ref="A9:D9"/>
    <mergeCell ref="A10:D10"/>
    <mergeCell ref="A11:D11"/>
    <mergeCell ref="A12:D12"/>
    <mergeCell ref="A15:D15"/>
    <mergeCell ref="A18:D18"/>
    <mergeCell ref="A19:D19"/>
    <mergeCell ref="A20:D20"/>
    <mergeCell ref="A21:D21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4" min="11" style="0" width="7"/>
    <col collapsed="false" customWidth="true" hidden="false" outlineLevel="0" max="15" min="15" style="0" width="9"/>
    <col collapsed="false" customWidth="true" hidden="false" outlineLevel="0" max="17" min="16" style="0" width="11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34"/>
    <col collapsed="false" customWidth="true" hidden="false" outlineLevel="0" max="21" min="21" style="0" width="36"/>
  </cols>
  <sheetData>
    <row r="1" customFormat="false" ht="17.35" hidden="false" customHeight="false" outlineLevel="0" collapsed="false">
      <c r="A1" s="9" t="s">
        <v>99</v>
      </c>
    </row>
    <row r="2" customFormat="false" ht="15" hidden="false" customHeight="false" outlineLevel="0" collapsed="false">
      <c r="A2" s="10" t="s">
        <v>100</v>
      </c>
    </row>
    <row r="4" customFormat="false" ht="31.5" hidden="false" customHeight="true" outlineLevel="0" collapsed="false">
      <c r="A4" s="11" t="s">
        <v>26</v>
      </c>
      <c r="B4" s="11" t="s">
        <v>30</v>
      </c>
      <c r="C4" s="12" t="s">
        <v>33</v>
      </c>
      <c r="D4" s="12" t="s">
        <v>36</v>
      </c>
      <c r="E4" s="12" t="s">
        <v>38</v>
      </c>
      <c r="F4" s="12" t="s">
        <v>39</v>
      </c>
      <c r="G4" s="12" t="s">
        <v>40</v>
      </c>
      <c r="H4" s="11" t="s">
        <v>42</v>
      </c>
      <c r="I4" s="11" t="s">
        <v>45</v>
      </c>
      <c r="J4" s="11" t="s">
        <v>48</v>
      </c>
      <c r="K4" s="12" t="s">
        <v>51</v>
      </c>
      <c r="L4" s="12" t="s">
        <v>53</v>
      </c>
      <c r="M4" s="12" t="s">
        <v>55</v>
      </c>
      <c r="N4" s="12" t="s">
        <v>57</v>
      </c>
      <c r="O4" s="12" t="s">
        <v>59</v>
      </c>
      <c r="P4" s="11" t="s">
        <v>61</v>
      </c>
      <c r="Q4" s="11" t="s">
        <v>64</v>
      </c>
      <c r="R4" s="11" t="s">
        <v>67</v>
      </c>
      <c r="S4" s="11" t="s">
        <v>70</v>
      </c>
      <c r="T4" s="11" t="s">
        <v>72</v>
      </c>
      <c r="U4" s="12" t="s">
        <v>75</v>
      </c>
    </row>
    <row r="5" customFormat="false" ht="23.85" hidden="false" customHeight="false" outlineLevel="0" collapsed="false">
      <c r="A5" s="13" t="s">
        <v>101</v>
      </c>
      <c r="B5" s="13" t="s">
        <v>102</v>
      </c>
      <c r="C5" s="14" t="str">
        <f aca="false">IFERROR(INDEX(Ref_TEST!$B$2:$B$201,MATCH(B5,Ref_TEST!$A$2:$A$201,0)),"")</f>
        <v>EV-019</v>
      </c>
      <c r="D5" s="14" t="str">
        <f aca="false">IFERROR(INDEX(Ref_TEST!$C$2:$C$201,MATCH(B5,Ref_TEST!$A$2:$A$201,0)),"")</f>
        <v>Pass</v>
      </c>
      <c r="E5" s="14" t="n">
        <f aca="false">IFERROR(INDEX(Ref_TEST!$D$2:$D$201,MATCH(B5,Ref_TEST!$A$2:$A$201,0)),"")</f>
        <v>312</v>
      </c>
      <c r="F5" s="14" t="n">
        <f aca="false">IFERROR(INDEX(Ref_TEST!$E$2:$E$201,MATCH(B5,Ref_TEST!$A$2:$A$201,0)),"")</f>
        <v>25</v>
      </c>
      <c r="G5" s="14" t="n">
        <f aca="false">IF(A5="","",COUNTIF(Items!$A$5:$A$1004,A5))</f>
        <v>27</v>
      </c>
      <c r="H5" s="13" t="s">
        <v>103</v>
      </c>
      <c r="I5" s="13" t="s">
        <v>104</v>
      </c>
      <c r="J5" s="13" t="n">
        <v>2</v>
      </c>
      <c r="K5" s="14" t="n">
        <f aca="false">IF(A5="","",COUNTIFS(Items!$A$5:$A$1004,A5,Items!$E$5:$E$1004,"Q1"))</f>
        <v>9</v>
      </c>
      <c r="L5" s="14" t="n">
        <f aca="false">IF(A5="","",COUNTIFS(Items!$A$5:$A$1004,A5,Items!$E$5:$E$1004,"Q2"))</f>
        <v>9</v>
      </c>
      <c r="M5" s="14" t="n">
        <f aca="false">IF(A5="","",COUNTIFS(Items!$A$5:$A$1004,A5,Items!$E$5:$E$1004,"Q3"))</f>
        <v>9</v>
      </c>
      <c r="N5" s="14" t="n">
        <f aca="false">IF(A5="","",COUNTIFS(Items!$A$5:$A$1004,A5,Items!$E$5:$E$1004,"Q4"))</f>
        <v>0</v>
      </c>
      <c r="O5" s="14" t="n">
        <f aca="false">IF(A5="","",COUNTIF(K5:N5,"&gt;0"))</f>
        <v>3</v>
      </c>
      <c r="P5" s="13" t="s">
        <v>105</v>
      </c>
      <c r="Q5" s="13" t="s">
        <v>106</v>
      </c>
      <c r="R5" s="13" t="s">
        <v>107</v>
      </c>
      <c r="S5" s="15" t="n">
        <v>46300</v>
      </c>
      <c r="T5" s="13" t="s">
        <v>108</v>
      </c>
      <c r="U5" s="14" t="str">
        <f aca="false">IF(A5="","",IF(OR(B5="",H5="",R5="",S5=""),"TEST-ID, method, selector, date needed",IF(COUNTIF(Ref_TEST!$A$2:$A$201,B5)=0,"TEST-ID not in W10",IF(D5&lt;&gt;"Pass","HOLD: population IPE not Pass",IF(AND(OR(H5="Random (seeded)",H5="Systematic"),I5=""),"Seed or interval needed",IF(G5&lt;&gt;F5+N(J5),"Items selected differ from planned + targeted: explain",IF(P5&lt;&gt;"Y","Confirm period coverage",IF(Q5="","Raise wave 3 PBC request","OK"))))))))</f>
        <v>OK</v>
      </c>
    </row>
    <row r="6" customFormat="false" ht="15" hidden="false" customHeight="false" outlineLevel="0" collapsed="false">
      <c r="A6" s="16"/>
      <c r="B6" s="16"/>
      <c r="C6" s="17" t="str">
        <f aca="false">IFERROR(INDEX(Ref_TEST!$B$2:$B$201,MATCH(B6,Ref_TEST!$A$2:$A$201,0)),"")</f>
        <v/>
      </c>
      <c r="D6" s="17" t="str">
        <f aca="false">IFERROR(INDEX(Ref_TEST!$C$2:$C$201,MATCH(B6,Ref_TEST!$A$2:$A$201,0)),"")</f>
        <v/>
      </c>
      <c r="E6" s="17" t="str">
        <f aca="false">IFERROR(INDEX(Ref_TEST!$D$2:$D$201,MATCH(B6,Ref_TEST!$A$2:$A$201,0)),"")</f>
        <v/>
      </c>
      <c r="F6" s="17" t="str">
        <f aca="false">IFERROR(INDEX(Ref_TEST!$E$2:$E$201,MATCH(B6,Ref_TEST!$A$2:$A$201,0)),"")</f>
        <v/>
      </c>
      <c r="G6" s="17" t="str">
        <f aca="false">IF(A6="","",COUNTIF(Items!$A$5:$A$1004,A6))</f>
        <v/>
      </c>
      <c r="H6" s="16"/>
      <c r="I6" s="16"/>
      <c r="J6" s="16"/>
      <c r="K6" s="17" t="str">
        <f aca="false">IF(A6="","",COUNTIFS(Items!$A$5:$A$1004,A6,Items!$E$5:$E$1004,"Q1"))</f>
        <v/>
      </c>
      <c r="L6" s="17" t="str">
        <f aca="false">IF(A6="","",COUNTIFS(Items!$A$5:$A$1004,A6,Items!$E$5:$E$1004,"Q2"))</f>
        <v/>
      </c>
      <c r="M6" s="17" t="str">
        <f aca="false">IF(A6="","",COUNTIFS(Items!$A$5:$A$1004,A6,Items!$E$5:$E$1004,"Q3"))</f>
        <v/>
      </c>
      <c r="N6" s="17" t="str">
        <f aca="false">IF(A6="","",COUNTIFS(Items!$A$5:$A$1004,A6,Items!$E$5:$E$1004,"Q4"))</f>
        <v/>
      </c>
      <c r="O6" s="17" t="str">
        <f aca="false">IF(A6="","",COUNTIF(K6:N6,"&gt;0"))</f>
        <v/>
      </c>
      <c r="P6" s="16"/>
      <c r="Q6" s="16"/>
      <c r="R6" s="16"/>
      <c r="S6" s="18"/>
      <c r="T6" s="16"/>
      <c r="U6" s="17" t="str">
        <f aca="false">IF(A6="","",IF(OR(B6="",H6="",R6="",S6=""),"TEST-ID, method, selector, date needed",IF(COUNTIF(Ref_TEST!$A$2:$A$201,B6)=0,"TEST-ID not in W10",IF(D6&lt;&gt;"Pass","HOLD: population IPE not Pass",IF(AND(OR(H6="Random (seeded)",H6="Systematic"),I6=""),"Seed or interval needed",IF(G6&lt;&gt;F6+N(J6),"Items selected differ from planned + targeted: explain",IF(P6&lt;&gt;"Y","Confirm period coverage",IF(Q6="","Raise wave 3 PBC request","OK"))))))))</f>
        <v/>
      </c>
    </row>
    <row r="7" customFormat="false" ht="15" hidden="false" customHeight="false" outlineLevel="0" collapsed="false">
      <c r="A7" s="16"/>
      <c r="B7" s="16"/>
      <c r="C7" s="17" t="str">
        <f aca="false">IFERROR(INDEX(Ref_TEST!$B$2:$B$201,MATCH(B7,Ref_TEST!$A$2:$A$201,0)),"")</f>
        <v/>
      </c>
      <c r="D7" s="17" t="str">
        <f aca="false">IFERROR(INDEX(Ref_TEST!$C$2:$C$201,MATCH(B7,Ref_TEST!$A$2:$A$201,0)),"")</f>
        <v/>
      </c>
      <c r="E7" s="17" t="str">
        <f aca="false">IFERROR(INDEX(Ref_TEST!$D$2:$D$201,MATCH(B7,Ref_TEST!$A$2:$A$201,0)),"")</f>
        <v/>
      </c>
      <c r="F7" s="17" t="str">
        <f aca="false">IFERROR(INDEX(Ref_TEST!$E$2:$E$201,MATCH(B7,Ref_TEST!$A$2:$A$201,0)),"")</f>
        <v/>
      </c>
      <c r="G7" s="17" t="str">
        <f aca="false">IF(A7="","",COUNTIF(Items!$A$5:$A$1004,A7))</f>
        <v/>
      </c>
      <c r="H7" s="16"/>
      <c r="I7" s="16"/>
      <c r="J7" s="16"/>
      <c r="K7" s="17" t="str">
        <f aca="false">IF(A7="","",COUNTIFS(Items!$A$5:$A$1004,A7,Items!$E$5:$E$1004,"Q1"))</f>
        <v/>
      </c>
      <c r="L7" s="17" t="str">
        <f aca="false">IF(A7="","",COUNTIFS(Items!$A$5:$A$1004,A7,Items!$E$5:$E$1004,"Q2"))</f>
        <v/>
      </c>
      <c r="M7" s="17" t="str">
        <f aca="false">IF(A7="","",COUNTIFS(Items!$A$5:$A$1004,A7,Items!$E$5:$E$1004,"Q3"))</f>
        <v/>
      </c>
      <c r="N7" s="17" t="str">
        <f aca="false">IF(A7="","",COUNTIFS(Items!$A$5:$A$1004,A7,Items!$E$5:$E$1004,"Q4"))</f>
        <v/>
      </c>
      <c r="O7" s="17" t="str">
        <f aca="false">IF(A7="","",COUNTIF(K7:N7,"&gt;0"))</f>
        <v/>
      </c>
      <c r="P7" s="16"/>
      <c r="Q7" s="16"/>
      <c r="R7" s="16"/>
      <c r="S7" s="18"/>
      <c r="T7" s="16"/>
      <c r="U7" s="17" t="str">
        <f aca="false">IF(A7="","",IF(OR(B7="",H7="",R7="",S7=""),"TEST-ID, method, selector, date needed",IF(COUNTIF(Ref_TEST!$A$2:$A$201,B7)=0,"TEST-ID not in W10",IF(D7&lt;&gt;"Pass","HOLD: population IPE not Pass",IF(AND(OR(H7="Random (seeded)",H7="Systematic"),I7=""),"Seed or interval needed",IF(G7&lt;&gt;F7+N(J7),"Items selected differ from planned + targeted: explain",IF(P7&lt;&gt;"Y","Confirm period coverage",IF(Q7="","Raise wave 3 PBC request","OK"))))))))</f>
        <v/>
      </c>
    </row>
    <row r="8" customFormat="false" ht="15" hidden="false" customHeight="false" outlineLevel="0" collapsed="false">
      <c r="A8" s="16"/>
      <c r="B8" s="16"/>
      <c r="C8" s="17" t="str">
        <f aca="false">IFERROR(INDEX(Ref_TEST!$B$2:$B$201,MATCH(B8,Ref_TEST!$A$2:$A$201,0)),"")</f>
        <v/>
      </c>
      <c r="D8" s="17" t="str">
        <f aca="false">IFERROR(INDEX(Ref_TEST!$C$2:$C$201,MATCH(B8,Ref_TEST!$A$2:$A$201,0)),"")</f>
        <v/>
      </c>
      <c r="E8" s="17" t="str">
        <f aca="false">IFERROR(INDEX(Ref_TEST!$D$2:$D$201,MATCH(B8,Ref_TEST!$A$2:$A$201,0)),"")</f>
        <v/>
      </c>
      <c r="F8" s="17" t="str">
        <f aca="false">IFERROR(INDEX(Ref_TEST!$E$2:$E$201,MATCH(B8,Ref_TEST!$A$2:$A$201,0)),"")</f>
        <v/>
      </c>
      <c r="G8" s="17" t="str">
        <f aca="false">IF(A8="","",COUNTIF(Items!$A$5:$A$1004,A8))</f>
        <v/>
      </c>
      <c r="H8" s="16"/>
      <c r="I8" s="16"/>
      <c r="J8" s="16"/>
      <c r="K8" s="17" t="str">
        <f aca="false">IF(A8="","",COUNTIFS(Items!$A$5:$A$1004,A8,Items!$E$5:$E$1004,"Q1"))</f>
        <v/>
      </c>
      <c r="L8" s="17" t="str">
        <f aca="false">IF(A8="","",COUNTIFS(Items!$A$5:$A$1004,A8,Items!$E$5:$E$1004,"Q2"))</f>
        <v/>
      </c>
      <c r="M8" s="17" t="str">
        <f aca="false">IF(A8="","",COUNTIFS(Items!$A$5:$A$1004,A8,Items!$E$5:$E$1004,"Q3"))</f>
        <v/>
      </c>
      <c r="N8" s="17" t="str">
        <f aca="false">IF(A8="","",COUNTIFS(Items!$A$5:$A$1004,A8,Items!$E$5:$E$1004,"Q4"))</f>
        <v/>
      </c>
      <c r="O8" s="17" t="str">
        <f aca="false">IF(A8="","",COUNTIF(K8:N8,"&gt;0"))</f>
        <v/>
      </c>
      <c r="P8" s="16"/>
      <c r="Q8" s="16"/>
      <c r="R8" s="16"/>
      <c r="S8" s="18"/>
      <c r="T8" s="16"/>
      <c r="U8" s="17" t="str">
        <f aca="false">IF(A8="","",IF(OR(B8="",H8="",R8="",S8=""),"TEST-ID, method, selector, date needed",IF(COUNTIF(Ref_TEST!$A$2:$A$201,B8)=0,"TEST-ID not in W10",IF(D8&lt;&gt;"Pass","HOLD: population IPE not Pass",IF(AND(OR(H8="Random (seeded)",H8="Systematic"),I8=""),"Seed or interval needed",IF(G8&lt;&gt;F8+N(J8),"Items selected differ from planned + targeted: explain",IF(P8&lt;&gt;"Y","Confirm period coverage",IF(Q8="","Raise wave 3 PBC request","OK"))))))))</f>
        <v/>
      </c>
    </row>
    <row r="9" customFormat="false" ht="15" hidden="false" customHeight="false" outlineLevel="0" collapsed="false">
      <c r="A9" s="16"/>
      <c r="B9" s="16"/>
      <c r="C9" s="17" t="str">
        <f aca="false">IFERROR(INDEX(Ref_TEST!$B$2:$B$201,MATCH(B9,Ref_TEST!$A$2:$A$201,0)),"")</f>
        <v/>
      </c>
      <c r="D9" s="17" t="str">
        <f aca="false">IFERROR(INDEX(Ref_TEST!$C$2:$C$201,MATCH(B9,Ref_TEST!$A$2:$A$201,0)),"")</f>
        <v/>
      </c>
      <c r="E9" s="17" t="str">
        <f aca="false">IFERROR(INDEX(Ref_TEST!$D$2:$D$201,MATCH(B9,Ref_TEST!$A$2:$A$201,0)),"")</f>
        <v/>
      </c>
      <c r="F9" s="17" t="str">
        <f aca="false">IFERROR(INDEX(Ref_TEST!$E$2:$E$201,MATCH(B9,Ref_TEST!$A$2:$A$201,0)),"")</f>
        <v/>
      </c>
      <c r="G9" s="17" t="str">
        <f aca="false">IF(A9="","",COUNTIF(Items!$A$5:$A$1004,A9))</f>
        <v/>
      </c>
      <c r="H9" s="16"/>
      <c r="I9" s="16"/>
      <c r="J9" s="16"/>
      <c r="K9" s="17" t="str">
        <f aca="false">IF(A9="","",COUNTIFS(Items!$A$5:$A$1004,A9,Items!$E$5:$E$1004,"Q1"))</f>
        <v/>
      </c>
      <c r="L9" s="17" t="str">
        <f aca="false">IF(A9="","",COUNTIFS(Items!$A$5:$A$1004,A9,Items!$E$5:$E$1004,"Q2"))</f>
        <v/>
      </c>
      <c r="M9" s="17" t="str">
        <f aca="false">IF(A9="","",COUNTIFS(Items!$A$5:$A$1004,A9,Items!$E$5:$E$1004,"Q3"))</f>
        <v/>
      </c>
      <c r="N9" s="17" t="str">
        <f aca="false">IF(A9="","",COUNTIFS(Items!$A$5:$A$1004,A9,Items!$E$5:$E$1004,"Q4"))</f>
        <v/>
      </c>
      <c r="O9" s="17" t="str">
        <f aca="false">IF(A9="","",COUNTIF(K9:N9,"&gt;0"))</f>
        <v/>
      </c>
      <c r="P9" s="16"/>
      <c r="Q9" s="16"/>
      <c r="R9" s="16"/>
      <c r="S9" s="18"/>
      <c r="T9" s="16"/>
      <c r="U9" s="17" t="str">
        <f aca="false">IF(A9="","",IF(OR(B9="",H9="",R9="",S9=""),"TEST-ID, method, selector, date needed",IF(COUNTIF(Ref_TEST!$A$2:$A$201,B9)=0,"TEST-ID not in W10",IF(D9&lt;&gt;"Pass","HOLD: population IPE not Pass",IF(AND(OR(H9="Random (seeded)",H9="Systematic"),I9=""),"Seed or interval needed",IF(G9&lt;&gt;F9+N(J9),"Items selected differ from planned + targeted: explain",IF(P9&lt;&gt;"Y","Confirm period coverage",IF(Q9="","Raise wave 3 PBC request","OK"))))))))</f>
        <v/>
      </c>
    </row>
    <row r="10" customFormat="false" ht="15" hidden="false" customHeight="false" outlineLevel="0" collapsed="false">
      <c r="A10" s="16"/>
      <c r="B10" s="16"/>
      <c r="C10" s="17" t="str">
        <f aca="false">IFERROR(INDEX(Ref_TEST!$B$2:$B$201,MATCH(B10,Ref_TEST!$A$2:$A$201,0)),"")</f>
        <v/>
      </c>
      <c r="D10" s="17" t="str">
        <f aca="false">IFERROR(INDEX(Ref_TEST!$C$2:$C$201,MATCH(B10,Ref_TEST!$A$2:$A$201,0)),"")</f>
        <v/>
      </c>
      <c r="E10" s="17" t="str">
        <f aca="false">IFERROR(INDEX(Ref_TEST!$D$2:$D$201,MATCH(B10,Ref_TEST!$A$2:$A$201,0)),"")</f>
        <v/>
      </c>
      <c r="F10" s="17" t="str">
        <f aca="false">IFERROR(INDEX(Ref_TEST!$E$2:$E$201,MATCH(B10,Ref_TEST!$A$2:$A$201,0)),"")</f>
        <v/>
      </c>
      <c r="G10" s="17" t="str">
        <f aca="false">IF(A10="","",COUNTIF(Items!$A$5:$A$1004,A10))</f>
        <v/>
      </c>
      <c r="H10" s="16"/>
      <c r="I10" s="16"/>
      <c r="J10" s="16"/>
      <c r="K10" s="17" t="str">
        <f aca="false">IF(A10="","",COUNTIFS(Items!$A$5:$A$1004,A10,Items!$E$5:$E$1004,"Q1"))</f>
        <v/>
      </c>
      <c r="L10" s="17" t="str">
        <f aca="false">IF(A10="","",COUNTIFS(Items!$A$5:$A$1004,A10,Items!$E$5:$E$1004,"Q2"))</f>
        <v/>
      </c>
      <c r="M10" s="17" t="str">
        <f aca="false">IF(A10="","",COUNTIFS(Items!$A$5:$A$1004,A10,Items!$E$5:$E$1004,"Q3"))</f>
        <v/>
      </c>
      <c r="N10" s="17" t="str">
        <f aca="false">IF(A10="","",COUNTIFS(Items!$A$5:$A$1004,A10,Items!$E$5:$E$1004,"Q4"))</f>
        <v/>
      </c>
      <c r="O10" s="17" t="str">
        <f aca="false">IF(A10="","",COUNTIF(K10:N10,"&gt;0"))</f>
        <v/>
      </c>
      <c r="P10" s="16"/>
      <c r="Q10" s="16"/>
      <c r="R10" s="16"/>
      <c r="S10" s="18"/>
      <c r="T10" s="16"/>
      <c r="U10" s="17" t="str">
        <f aca="false">IF(A10="","",IF(OR(B10="",H10="",R10="",S10=""),"TEST-ID, method, selector, date needed",IF(COUNTIF(Ref_TEST!$A$2:$A$201,B10)=0,"TEST-ID not in W10",IF(D10&lt;&gt;"Pass","HOLD: population IPE not Pass",IF(AND(OR(H10="Random (seeded)",H10="Systematic"),I10=""),"Seed or interval needed",IF(G10&lt;&gt;F10+N(J10),"Items selected differ from planned + targeted: explain",IF(P10&lt;&gt;"Y","Confirm period coverage",IF(Q10="","Raise wave 3 PBC request","OK"))))))))</f>
        <v/>
      </c>
    </row>
    <row r="11" customFormat="false" ht="15" hidden="false" customHeight="false" outlineLevel="0" collapsed="false">
      <c r="A11" s="16"/>
      <c r="B11" s="16"/>
      <c r="C11" s="17" t="str">
        <f aca="false">IFERROR(INDEX(Ref_TEST!$B$2:$B$201,MATCH(B11,Ref_TEST!$A$2:$A$201,0)),"")</f>
        <v/>
      </c>
      <c r="D11" s="17" t="str">
        <f aca="false">IFERROR(INDEX(Ref_TEST!$C$2:$C$201,MATCH(B11,Ref_TEST!$A$2:$A$201,0)),"")</f>
        <v/>
      </c>
      <c r="E11" s="17" t="str">
        <f aca="false">IFERROR(INDEX(Ref_TEST!$D$2:$D$201,MATCH(B11,Ref_TEST!$A$2:$A$201,0)),"")</f>
        <v/>
      </c>
      <c r="F11" s="17" t="str">
        <f aca="false">IFERROR(INDEX(Ref_TEST!$E$2:$E$201,MATCH(B11,Ref_TEST!$A$2:$A$201,0)),"")</f>
        <v/>
      </c>
      <c r="G11" s="17" t="str">
        <f aca="false">IF(A11="","",COUNTIF(Items!$A$5:$A$1004,A11))</f>
        <v/>
      </c>
      <c r="H11" s="16"/>
      <c r="I11" s="16"/>
      <c r="J11" s="16"/>
      <c r="K11" s="17" t="str">
        <f aca="false">IF(A11="","",COUNTIFS(Items!$A$5:$A$1004,A11,Items!$E$5:$E$1004,"Q1"))</f>
        <v/>
      </c>
      <c r="L11" s="17" t="str">
        <f aca="false">IF(A11="","",COUNTIFS(Items!$A$5:$A$1004,A11,Items!$E$5:$E$1004,"Q2"))</f>
        <v/>
      </c>
      <c r="M11" s="17" t="str">
        <f aca="false">IF(A11="","",COUNTIFS(Items!$A$5:$A$1004,A11,Items!$E$5:$E$1004,"Q3"))</f>
        <v/>
      </c>
      <c r="N11" s="17" t="str">
        <f aca="false">IF(A11="","",COUNTIFS(Items!$A$5:$A$1004,A11,Items!$E$5:$E$1004,"Q4"))</f>
        <v/>
      </c>
      <c r="O11" s="17" t="str">
        <f aca="false">IF(A11="","",COUNTIF(K11:N11,"&gt;0"))</f>
        <v/>
      </c>
      <c r="P11" s="16"/>
      <c r="Q11" s="16"/>
      <c r="R11" s="16"/>
      <c r="S11" s="18"/>
      <c r="T11" s="16"/>
      <c r="U11" s="17" t="str">
        <f aca="false">IF(A11="","",IF(OR(B11="",H11="",R11="",S11=""),"TEST-ID, method, selector, date needed",IF(COUNTIF(Ref_TEST!$A$2:$A$201,B11)=0,"TEST-ID not in W10",IF(D11&lt;&gt;"Pass","HOLD: population IPE not Pass",IF(AND(OR(H11="Random (seeded)",H11="Systematic"),I11=""),"Seed or interval needed",IF(G11&lt;&gt;F11+N(J11),"Items selected differ from planned + targeted: explain",IF(P11&lt;&gt;"Y","Confirm period coverage",IF(Q11="","Raise wave 3 PBC request","OK"))))))))</f>
        <v/>
      </c>
    </row>
    <row r="12" customFormat="false" ht="15" hidden="false" customHeight="false" outlineLevel="0" collapsed="false">
      <c r="A12" s="16"/>
      <c r="B12" s="16"/>
      <c r="C12" s="17" t="str">
        <f aca="false">IFERROR(INDEX(Ref_TEST!$B$2:$B$201,MATCH(B12,Ref_TEST!$A$2:$A$201,0)),"")</f>
        <v/>
      </c>
      <c r="D12" s="17" t="str">
        <f aca="false">IFERROR(INDEX(Ref_TEST!$C$2:$C$201,MATCH(B12,Ref_TEST!$A$2:$A$201,0)),"")</f>
        <v/>
      </c>
      <c r="E12" s="17" t="str">
        <f aca="false">IFERROR(INDEX(Ref_TEST!$D$2:$D$201,MATCH(B12,Ref_TEST!$A$2:$A$201,0)),"")</f>
        <v/>
      </c>
      <c r="F12" s="17" t="str">
        <f aca="false">IFERROR(INDEX(Ref_TEST!$E$2:$E$201,MATCH(B12,Ref_TEST!$A$2:$A$201,0)),"")</f>
        <v/>
      </c>
      <c r="G12" s="17" t="str">
        <f aca="false">IF(A12="","",COUNTIF(Items!$A$5:$A$1004,A12))</f>
        <v/>
      </c>
      <c r="H12" s="16"/>
      <c r="I12" s="16"/>
      <c r="J12" s="16"/>
      <c r="K12" s="17" t="str">
        <f aca="false">IF(A12="","",COUNTIFS(Items!$A$5:$A$1004,A12,Items!$E$5:$E$1004,"Q1"))</f>
        <v/>
      </c>
      <c r="L12" s="17" t="str">
        <f aca="false">IF(A12="","",COUNTIFS(Items!$A$5:$A$1004,A12,Items!$E$5:$E$1004,"Q2"))</f>
        <v/>
      </c>
      <c r="M12" s="17" t="str">
        <f aca="false">IF(A12="","",COUNTIFS(Items!$A$5:$A$1004,A12,Items!$E$5:$E$1004,"Q3"))</f>
        <v/>
      </c>
      <c r="N12" s="17" t="str">
        <f aca="false">IF(A12="","",COUNTIFS(Items!$A$5:$A$1004,A12,Items!$E$5:$E$1004,"Q4"))</f>
        <v/>
      </c>
      <c r="O12" s="17" t="str">
        <f aca="false">IF(A12="","",COUNTIF(K12:N12,"&gt;0"))</f>
        <v/>
      </c>
      <c r="P12" s="16"/>
      <c r="Q12" s="16"/>
      <c r="R12" s="16"/>
      <c r="S12" s="18"/>
      <c r="T12" s="16"/>
      <c r="U12" s="17" t="str">
        <f aca="false">IF(A12="","",IF(OR(B12="",H12="",R12="",S12=""),"TEST-ID, method, selector, date needed",IF(COUNTIF(Ref_TEST!$A$2:$A$201,B12)=0,"TEST-ID not in W10",IF(D12&lt;&gt;"Pass","HOLD: population IPE not Pass",IF(AND(OR(H12="Random (seeded)",H12="Systematic"),I12=""),"Seed or interval needed",IF(G12&lt;&gt;F12+N(J12),"Items selected differ from planned + targeted: explain",IF(P12&lt;&gt;"Y","Confirm period coverage",IF(Q12="","Raise wave 3 PBC request","OK"))))))))</f>
        <v/>
      </c>
    </row>
    <row r="13" customFormat="false" ht="15" hidden="false" customHeight="false" outlineLevel="0" collapsed="false">
      <c r="A13" s="16"/>
      <c r="B13" s="16"/>
      <c r="C13" s="17" t="str">
        <f aca="false">IFERROR(INDEX(Ref_TEST!$B$2:$B$201,MATCH(B13,Ref_TEST!$A$2:$A$201,0)),"")</f>
        <v/>
      </c>
      <c r="D13" s="17" t="str">
        <f aca="false">IFERROR(INDEX(Ref_TEST!$C$2:$C$201,MATCH(B13,Ref_TEST!$A$2:$A$201,0)),"")</f>
        <v/>
      </c>
      <c r="E13" s="17" t="str">
        <f aca="false">IFERROR(INDEX(Ref_TEST!$D$2:$D$201,MATCH(B13,Ref_TEST!$A$2:$A$201,0)),"")</f>
        <v/>
      </c>
      <c r="F13" s="17" t="str">
        <f aca="false">IFERROR(INDEX(Ref_TEST!$E$2:$E$201,MATCH(B13,Ref_TEST!$A$2:$A$201,0)),"")</f>
        <v/>
      </c>
      <c r="G13" s="17" t="str">
        <f aca="false">IF(A13="","",COUNTIF(Items!$A$5:$A$1004,A13))</f>
        <v/>
      </c>
      <c r="H13" s="16"/>
      <c r="I13" s="16"/>
      <c r="J13" s="16"/>
      <c r="K13" s="17" t="str">
        <f aca="false">IF(A13="","",COUNTIFS(Items!$A$5:$A$1004,A13,Items!$E$5:$E$1004,"Q1"))</f>
        <v/>
      </c>
      <c r="L13" s="17" t="str">
        <f aca="false">IF(A13="","",COUNTIFS(Items!$A$5:$A$1004,A13,Items!$E$5:$E$1004,"Q2"))</f>
        <v/>
      </c>
      <c r="M13" s="17" t="str">
        <f aca="false">IF(A13="","",COUNTIFS(Items!$A$5:$A$1004,A13,Items!$E$5:$E$1004,"Q3"))</f>
        <v/>
      </c>
      <c r="N13" s="17" t="str">
        <f aca="false">IF(A13="","",COUNTIFS(Items!$A$5:$A$1004,A13,Items!$E$5:$E$1004,"Q4"))</f>
        <v/>
      </c>
      <c r="O13" s="17" t="str">
        <f aca="false">IF(A13="","",COUNTIF(K13:N13,"&gt;0"))</f>
        <v/>
      </c>
      <c r="P13" s="16"/>
      <c r="Q13" s="16"/>
      <c r="R13" s="16"/>
      <c r="S13" s="18"/>
      <c r="T13" s="16"/>
      <c r="U13" s="17" t="str">
        <f aca="false">IF(A13="","",IF(OR(B13="",H13="",R13="",S13=""),"TEST-ID, method, selector, date needed",IF(COUNTIF(Ref_TEST!$A$2:$A$201,B13)=0,"TEST-ID not in W10",IF(D13&lt;&gt;"Pass","HOLD: population IPE not Pass",IF(AND(OR(H13="Random (seeded)",H13="Systematic"),I13=""),"Seed or interval needed",IF(G13&lt;&gt;F13+N(J13),"Items selected differ from planned + targeted: explain",IF(P13&lt;&gt;"Y","Confirm period coverage",IF(Q13="","Raise wave 3 PBC request","OK"))))))))</f>
        <v/>
      </c>
    </row>
    <row r="14" customFormat="false" ht="15" hidden="false" customHeight="false" outlineLevel="0" collapsed="false">
      <c r="A14" s="16"/>
      <c r="B14" s="16"/>
      <c r="C14" s="17" t="str">
        <f aca="false">IFERROR(INDEX(Ref_TEST!$B$2:$B$201,MATCH(B14,Ref_TEST!$A$2:$A$201,0)),"")</f>
        <v/>
      </c>
      <c r="D14" s="17" t="str">
        <f aca="false">IFERROR(INDEX(Ref_TEST!$C$2:$C$201,MATCH(B14,Ref_TEST!$A$2:$A$201,0)),"")</f>
        <v/>
      </c>
      <c r="E14" s="17" t="str">
        <f aca="false">IFERROR(INDEX(Ref_TEST!$D$2:$D$201,MATCH(B14,Ref_TEST!$A$2:$A$201,0)),"")</f>
        <v/>
      </c>
      <c r="F14" s="17" t="str">
        <f aca="false">IFERROR(INDEX(Ref_TEST!$E$2:$E$201,MATCH(B14,Ref_TEST!$A$2:$A$201,0)),"")</f>
        <v/>
      </c>
      <c r="G14" s="17" t="str">
        <f aca="false">IF(A14="","",COUNTIF(Items!$A$5:$A$1004,A14))</f>
        <v/>
      </c>
      <c r="H14" s="16"/>
      <c r="I14" s="16"/>
      <c r="J14" s="16"/>
      <c r="K14" s="17" t="str">
        <f aca="false">IF(A14="","",COUNTIFS(Items!$A$5:$A$1004,A14,Items!$E$5:$E$1004,"Q1"))</f>
        <v/>
      </c>
      <c r="L14" s="17" t="str">
        <f aca="false">IF(A14="","",COUNTIFS(Items!$A$5:$A$1004,A14,Items!$E$5:$E$1004,"Q2"))</f>
        <v/>
      </c>
      <c r="M14" s="17" t="str">
        <f aca="false">IF(A14="","",COUNTIFS(Items!$A$5:$A$1004,A14,Items!$E$5:$E$1004,"Q3"))</f>
        <v/>
      </c>
      <c r="N14" s="17" t="str">
        <f aca="false">IF(A14="","",COUNTIFS(Items!$A$5:$A$1004,A14,Items!$E$5:$E$1004,"Q4"))</f>
        <v/>
      </c>
      <c r="O14" s="17" t="str">
        <f aca="false">IF(A14="","",COUNTIF(K14:N14,"&gt;0"))</f>
        <v/>
      </c>
      <c r="P14" s="16"/>
      <c r="Q14" s="16"/>
      <c r="R14" s="16"/>
      <c r="S14" s="18"/>
      <c r="T14" s="16"/>
      <c r="U14" s="17" t="str">
        <f aca="false">IF(A14="","",IF(OR(B14="",H14="",R14="",S14=""),"TEST-ID, method, selector, date needed",IF(COUNTIF(Ref_TEST!$A$2:$A$201,B14)=0,"TEST-ID not in W10",IF(D14&lt;&gt;"Pass","HOLD: population IPE not Pass",IF(AND(OR(H14="Random (seeded)",H14="Systematic"),I14=""),"Seed or interval needed",IF(G14&lt;&gt;F14+N(J14),"Items selected differ from planned + targeted: explain",IF(P14&lt;&gt;"Y","Confirm period coverage",IF(Q14="","Raise wave 3 PBC request","OK"))))))))</f>
        <v/>
      </c>
    </row>
    <row r="15" customFormat="false" ht="15" hidden="false" customHeight="false" outlineLevel="0" collapsed="false">
      <c r="A15" s="16"/>
      <c r="B15" s="16"/>
      <c r="C15" s="17" t="str">
        <f aca="false">IFERROR(INDEX(Ref_TEST!$B$2:$B$201,MATCH(B15,Ref_TEST!$A$2:$A$201,0)),"")</f>
        <v/>
      </c>
      <c r="D15" s="17" t="str">
        <f aca="false">IFERROR(INDEX(Ref_TEST!$C$2:$C$201,MATCH(B15,Ref_TEST!$A$2:$A$201,0)),"")</f>
        <v/>
      </c>
      <c r="E15" s="17" t="str">
        <f aca="false">IFERROR(INDEX(Ref_TEST!$D$2:$D$201,MATCH(B15,Ref_TEST!$A$2:$A$201,0)),"")</f>
        <v/>
      </c>
      <c r="F15" s="17" t="str">
        <f aca="false">IFERROR(INDEX(Ref_TEST!$E$2:$E$201,MATCH(B15,Ref_TEST!$A$2:$A$201,0)),"")</f>
        <v/>
      </c>
      <c r="G15" s="17" t="str">
        <f aca="false">IF(A15="","",COUNTIF(Items!$A$5:$A$1004,A15))</f>
        <v/>
      </c>
      <c r="H15" s="16"/>
      <c r="I15" s="16"/>
      <c r="J15" s="16"/>
      <c r="K15" s="17" t="str">
        <f aca="false">IF(A15="","",COUNTIFS(Items!$A$5:$A$1004,A15,Items!$E$5:$E$1004,"Q1"))</f>
        <v/>
      </c>
      <c r="L15" s="17" t="str">
        <f aca="false">IF(A15="","",COUNTIFS(Items!$A$5:$A$1004,A15,Items!$E$5:$E$1004,"Q2"))</f>
        <v/>
      </c>
      <c r="M15" s="17" t="str">
        <f aca="false">IF(A15="","",COUNTIFS(Items!$A$5:$A$1004,A15,Items!$E$5:$E$1004,"Q3"))</f>
        <v/>
      </c>
      <c r="N15" s="17" t="str">
        <f aca="false">IF(A15="","",COUNTIFS(Items!$A$5:$A$1004,A15,Items!$E$5:$E$1004,"Q4"))</f>
        <v/>
      </c>
      <c r="O15" s="17" t="str">
        <f aca="false">IF(A15="","",COUNTIF(K15:N15,"&gt;0"))</f>
        <v/>
      </c>
      <c r="P15" s="16"/>
      <c r="Q15" s="16"/>
      <c r="R15" s="16"/>
      <c r="S15" s="18"/>
      <c r="T15" s="16"/>
      <c r="U15" s="17" t="str">
        <f aca="false">IF(A15="","",IF(OR(B15="",H15="",R15="",S15=""),"TEST-ID, method, selector, date needed",IF(COUNTIF(Ref_TEST!$A$2:$A$201,B15)=0,"TEST-ID not in W10",IF(D15&lt;&gt;"Pass","HOLD: population IPE not Pass",IF(AND(OR(H15="Random (seeded)",H15="Systematic"),I15=""),"Seed or interval needed",IF(G15&lt;&gt;F15+N(J15),"Items selected differ from planned + targeted: explain",IF(P15&lt;&gt;"Y","Confirm period coverage",IF(Q15="","Raise wave 3 PBC request","OK"))))))))</f>
        <v/>
      </c>
    </row>
    <row r="16" customFormat="false" ht="15" hidden="false" customHeight="false" outlineLevel="0" collapsed="false">
      <c r="A16" s="16"/>
      <c r="B16" s="16"/>
      <c r="C16" s="17" t="str">
        <f aca="false">IFERROR(INDEX(Ref_TEST!$B$2:$B$201,MATCH(B16,Ref_TEST!$A$2:$A$201,0)),"")</f>
        <v/>
      </c>
      <c r="D16" s="17" t="str">
        <f aca="false">IFERROR(INDEX(Ref_TEST!$C$2:$C$201,MATCH(B16,Ref_TEST!$A$2:$A$201,0)),"")</f>
        <v/>
      </c>
      <c r="E16" s="17" t="str">
        <f aca="false">IFERROR(INDEX(Ref_TEST!$D$2:$D$201,MATCH(B16,Ref_TEST!$A$2:$A$201,0)),"")</f>
        <v/>
      </c>
      <c r="F16" s="17" t="str">
        <f aca="false">IFERROR(INDEX(Ref_TEST!$E$2:$E$201,MATCH(B16,Ref_TEST!$A$2:$A$201,0)),"")</f>
        <v/>
      </c>
      <c r="G16" s="17" t="str">
        <f aca="false">IF(A16="","",COUNTIF(Items!$A$5:$A$1004,A16))</f>
        <v/>
      </c>
      <c r="H16" s="16"/>
      <c r="I16" s="16"/>
      <c r="J16" s="16"/>
      <c r="K16" s="17" t="str">
        <f aca="false">IF(A16="","",COUNTIFS(Items!$A$5:$A$1004,A16,Items!$E$5:$E$1004,"Q1"))</f>
        <v/>
      </c>
      <c r="L16" s="17" t="str">
        <f aca="false">IF(A16="","",COUNTIFS(Items!$A$5:$A$1004,A16,Items!$E$5:$E$1004,"Q2"))</f>
        <v/>
      </c>
      <c r="M16" s="17" t="str">
        <f aca="false">IF(A16="","",COUNTIFS(Items!$A$5:$A$1004,A16,Items!$E$5:$E$1004,"Q3"))</f>
        <v/>
      </c>
      <c r="N16" s="17" t="str">
        <f aca="false">IF(A16="","",COUNTIFS(Items!$A$5:$A$1004,A16,Items!$E$5:$E$1004,"Q4"))</f>
        <v/>
      </c>
      <c r="O16" s="17" t="str">
        <f aca="false">IF(A16="","",COUNTIF(K16:N16,"&gt;0"))</f>
        <v/>
      </c>
      <c r="P16" s="16"/>
      <c r="Q16" s="16"/>
      <c r="R16" s="16"/>
      <c r="S16" s="18"/>
      <c r="T16" s="16"/>
      <c r="U16" s="17" t="str">
        <f aca="false">IF(A16="","",IF(OR(B16="",H16="",R16="",S16=""),"TEST-ID, method, selector, date needed",IF(COUNTIF(Ref_TEST!$A$2:$A$201,B16)=0,"TEST-ID not in W10",IF(D16&lt;&gt;"Pass","HOLD: population IPE not Pass",IF(AND(OR(H16="Random (seeded)",H16="Systematic"),I16=""),"Seed or interval needed",IF(G16&lt;&gt;F16+N(J16),"Items selected differ from planned + targeted: explain",IF(P16&lt;&gt;"Y","Confirm period coverage",IF(Q16="","Raise wave 3 PBC request","OK"))))))))</f>
        <v/>
      </c>
    </row>
    <row r="17" customFormat="false" ht="15" hidden="false" customHeight="false" outlineLevel="0" collapsed="false">
      <c r="A17" s="16"/>
      <c r="B17" s="16"/>
      <c r="C17" s="17" t="str">
        <f aca="false">IFERROR(INDEX(Ref_TEST!$B$2:$B$201,MATCH(B17,Ref_TEST!$A$2:$A$201,0)),"")</f>
        <v/>
      </c>
      <c r="D17" s="17" t="str">
        <f aca="false">IFERROR(INDEX(Ref_TEST!$C$2:$C$201,MATCH(B17,Ref_TEST!$A$2:$A$201,0)),"")</f>
        <v/>
      </c>
      <c r="E17" s="17" t="str">
        <f aca="false">IFERROR(INDEX(Ref_TEST!$D$2:$D$201,MATCH(B17,Ref_TEST!$A$2:$A$201,0)),"")</f>
        <v/>
      </c>
      <c r="F17" s="17" t="str">
        <f aca="false">IFERROR(INDEX(Ref_TEST!$E$2:$E$201,MATCH(B17,Ref_TEST!$A$2:$A$201,0)),"")</f>
        <v/>
      </c>
      <c r="G17" s="17" t="str">
        <f aca="false">IF(A17="","",COUNTIF(Items!$A$5:$A$1004,A17))</f>
        <v/>
      </c>
      <c r="H17" s="16"/>
      <c r="I17" s="16"/>
      <c r="J17" s="16"/>
      <c r="K17" s="17" t="str">
        <f aca="false">IF(A17="","",COUNTIFS(Items!$A$5:$A$1004,A17,Items!$E$5:$E$1004,"Q1"))</f>
        <v/>
      </c>
      <c r="L17" s="17" t="str">
        <f aca="false">IF(A17="","",COUNTIFS(Items!$A$5:$A$1004,A17,Items!$E$5:$E$1004,"Q2"))</f>
        <v/>
      </c>
      <c r="M17" s="17" t="str">
        <f aca="false">IF(A17="","",COUNTIFS(Items!$A$5:$A$1004,A17,Items!$E$5:$E$1004,"Q3"))</f>
        <v/>
      </c>
      <c r="N17" s="17" t="str">
        <f aca="false">IF(A17="","",COUNTIFS(Items!$A$5:$A$1004,A17,Items!$E$5:$E$1004,"Q4"))</f>
        <v/>
      </c>
      <c r="O17" s="17" t="str">
        <f aca="false">IF(A17="","",COUNTIF(K17:N17,"&gt;0"))</f>
        <v/>
      </c>
      <c r="P17" s="16"/>
      <c r="Q17" s="16"/>
      <c r="R17" s="16"/>
      <c r="S17" s="18"/>
      <c r="T17" s="16"/>
      <c r="U17" s="17" t="str">
        <f aca="false">IF(A17="","",IF(OR(B17="",H17="",R17="",S17=""),"TEST-ID, method, selector, date needed",IF(COUNTIF(Ref_TEST!$A$2:$A$201,B17)=0,"TEST-ID not in W10",IF(D17&lt;&gt;"Pass","HOLD: population IPE not Pass",IF(AND(OR(H17="Random (seeded)",H17="Systematic"),I17=""),"Seed or interval needed",IF(G17&lt;&gt;F17+N(J17),"Items selected differ from planned + targeted: explain",IF(P17&lt;&gt;"Y","Confirm period coverage",IF(Q17="","Raise wave 3 PBC request","OK"))))))))</f>
        <v/>
      </c>
    </row>
    <row r="18" customFormat="false" ht="15" hidden="false" customHeight="false" outlineLevel="0" collapsed="false">
      <c r="A18" s="16"/>
      <c r="B18" s="16"/>
      <c r="C18" s="17" t="str">
        <f aca="false">IFERROR(INDEX(Ref_TEST!$B$2:$B$201,MATCH(B18,Ref_TEST!$A$2:$A$201,0)),"")</f>
        <v/>
      </c>
      <c r="D18" s="17" t="str">
        <f aca="false">IFERROR(INDEX(Ref_TEST!$C$2:$C$201,MATCH(B18,Ref_TEST!$A$2:$A$201,0)),"")</f>
        <v/>
      </c>
      <c r="E18" s="17" t="str">
        <f aca="false">IFERROR(INDEX(Ref_TEST!$D$2:$D$201,MATCH(B18,Ref_TEST!$A$2:$A$201,0)),"")</f>
        <v/>
      </c>
      <c r="F18" s="17" t="str">
        <f aca="false">IFERROR(INDEX(Ref_TEST!$E$2:$E$201,MATCH(B18,Ref_TEST!$A$2:$A$201,0)),"")</f>
        <v/>
      </c>
      <c r="G18" s="17" t="str">
        <f aca="false">IF(A18="","",COUNTIF(Items!$A$5:$A$1004,A18))</f>
        <v/>
      </c>
      <c r="H18" s="16"/>
      <c r="I18" s="16"/>
      <c r="J18" s="16"/>
      <c r="K18" s="17" t="str">
        <f aca="false">IF(A18="","",COUNTIFS(Items!$A$5:$A$1004,A18,Items!$E$5:$E$1004,"Q1"))</f>
        <v/>
      </c>
      <c r="L18" s="17" t="str">
        <f aca="false">IF(A18="","",COUNTIFS(Items!$A$5:$A$1004,A18,Items!$E$5:$E$1004,"Q2"))</f>
        <v/>
      </c>
      <c r="M18" s="17" t="str">
        <f aca="false">IF(A18="","",COUNTIFS(Items!$A$5:$A$1004,A18,Items!$E$5:$E$1004,"Q3"))</f>
        <v/>
      </c>
      <c r="N18" s="17" t="str">
        <f aca="false">IF(A18="","",COUNTIFS(Items!$A$5:$A$1004,A18,Items!$E$5:$E$1004,"Q4"))</f>
        <v/>
      </c>
      <c r="O18" s="17" t="str">
        <f aca="false">IF(A18="","",COUNTIF(K18:N18,"&gt;0"))</f>
        <v/>
      </c>
      <c r="P18" s="16"/>
      <c r="Q18" s="16"/>
      <c r="R18" s="16"/>
      <c r="S18" s="18"/>
      <c r="T18" s="16"/>
      <c r="U18" s="17" t="str">
        <f aca="false">IF(A18="","",IF(OR(B18="",H18="",R18="",S18=""),"TEST-ID, method, selector, date needed",IF(COUNTIF(Ref_TEST!$A$2:$A$201,B18)=0,"TEST-ID not in W10",IF(D18&lt;&gt;"Pass","HOLD: population IPE not Pass",IF(AND(OR(H18="Random (seeded)",H18="Systematic"),I18=""),"Seed or interval needed",IF(G18&lt;&gt;F18+N(J18),"Items selected differ from planned + targeted: explain",IF(P18&lt;&gt;"Y","Confirm period coverage",IF(Q18="","Raise wave 3 PBC request","OK"))))))))</f>
        <v/>
      </c>
    </row>
    <row r="19" customFormat="false" ht="15" hidden="false" customHeight="false" outlineLevel="0" collapsed="false">
      <c r="A19" s="16"/>
      <c r="B19" s="16"/>
      <c r="C19" s="17" t="str">
        <f aca="false">IFERROR(INDEX(Ref_TEST!$B$2:$B$201,MATCH(B19,Ref_TEST!$A$2:$A$201,0)),"")</f>
        <v/>
      </c>
      <c r="D19" s="17" t="str">
        <f aca="false">IFERROR(INDEX(Ref_TEST!$C$2:$C$201,MATCH(B19,Ref_TEST!$A$2:$A$201,0)),"")</f>
        <v/>
      </c>
      <c r="E19" s="17" t="str">
        <f aca="false">IFERROR(INDEX(Ref_TEST!$D$2:$D$201,MATCH(B19,Ref_TEST!$A$2:$A$201,0)),"")</f>
        <v/>
      </c>
      <c r="F19" s="17" t="str">
        <f aca="false">IFERROR(INDEX(Ref_TEST!$E$2:$E$201,MATCH(B19,Ref_TEST!$A$2:$A$201,0)),"")</f>
        <v/>
      </c>
      <c r="G19" s="17" t="str">
        <f aca="false">IF(A19="","",COUNTIF(Items!$A$5:$A$1004,A19))</f>
        <v/>
      </c>
      <c r="H19" s="16"/>
      <c r="I19" s="16"/>
      <c r="J19" s="16"/>
      <c r="K19" s="17" t="str">
        <f aca="false">IF(A19="","",COUNTIFS(Items!$A$5:$A$1004,A19,Items!$E$5:$E$1004,"Q1"))</f>
        <v/>
      </c>
      <c r="L19" s="17" t="str">
        <f aca="false">IF(A19="","",COUNTIFS(Items!$A$5:$A$1004,A19,Items!$E$5:$E$1004,"Q2"))</f>
        <v/>
      </c>
      <c r="M19" s="17" t="str">
        <f aca="false">IF(A19="","",COUNTIFS(Items!$A$5:$A$1004,A19,Items!$E$5:$E$1004,"Q3"))</f>
        <v/>
      </c>
      <c r="N19" s="17" t="str">
        <f aca="false">IF(A19="","",COUNTIFS(Items!$A$5:$A$1004,A19,Items!$E$5:$E$1004,"Q4"))</f>
        <v/>
      </c>
      <c r="O19" s="17" t="str">
        <f aca="false">IF(A19="","",COUNTIF(K19:N19,"&gt;0"))</f>
        <v/>
      </c>
      <c r="P19" s="16"/>
      <c r="Q19" s="16"/>
      <c r="R19" s="16"/>
      <c r="S19" s="18"/>
      <c r="T19" s="16"/>
      <c r="U19" s="17" t="str">
        <f aca="false">IF(A19="","",IF(OR(B19="",H19="",R19="",S19=""),"TEST-ID, method, selector, date needed",IF(COUNTIF(Ref_TEST!$A$2:$A$201,B19)=0,"TEST-ID not in W10",IF(D19&lt;&gt;"Pass","HOLD: population IPE not Pass",IF(AND(OR(H19="Random (seeded)",H19="Systematic"),I19=""),"Seed or interval needed",IF(G19&lt;&gt;F19+N(J19),"Items selected differ from planned + targeted: explain",IF(P19&lt;&gt;"Y","Confirm period coverage",IF(Q19="","Raise wave 3 PBC request","OK"))))))))</f>
        <v/>
      </c>
    </row>
    <row r="20" customFormat="false" ht="15" hidden="false" customHeight="false" outlineLevel="0" collapsed="false">
      <c r="A20" s="16"/>
      <c r="B20" s="16"/>
      <c r="C20" s="17" t="str">
        <f aca="false">IFERROR(INDEX(Ref_TEST!$B$2:$B$201,MATCH(B20,Ref_TEST!$A$2:$A$201,0)),"")</f>
        <v/>
      </c>
      <c r="D20" s="17" t="str">
        <f aca="false">IFERROR(INDEX(Ref_TEST!$C$2:$C$201,MATCH(B20,Ref_TEST!$A$2:$A$201,0)),"")</f>
        <v/>
      </c>
      <c r="E20" s="17" t="str">
        <f aca="false">IFERROR(INDEX(Ref_TEST!$D$2:$D$201,MATCH(B20,Ref_TEST!$A$2:$A$201,0)),"")</f>
        <v/>
      </c>
      <c r="F20" s="17" t="str">
        <f aca="false">IFERROR(INDEX(Ref_TEST!$E$2:$E$201,MATCH(B20,Ref_TEST!$A$2:$A$201,0)),"")</f>
        <v/>
      </c>
      <c r="G20" s="17" t="str">
        <f aca="false">IF(A20="","",COUNTIF(Items!$A$5:$A$1004,A20))</f>
        <v/>
      </c>
      <c r="H20" s="16"/>
      <c r="I20" s="16"/>
      <c r="J20" s="16"/>
      <c r="K20" s="17" t="str">
        <f aca="false">IF(A20="","",COUNTIFS(Items!$A$5:$A$1004,A20,Items!$E$5:$E$1004,"Q1"))</f>
        <v/>
      </c>
      <c r="L20" s="17" t="str">
        <f aca="false">IF(A20="","",COUNTIFS(Items!$A$5:$A$1004,A20,Items!$E$5:$E$1004,"Q2"))</f>
        <v/>
      </c>
      <c r="M20" s="17" t="str">
        <f aca="false">IF(A20="","",COUNTIFS(Items!$A$5:$A$1004,A20,Items!$E$5:$E$1004,"Q3"))</f>
        <v/>
      </c>
      <c r="N20" s="17" t="str">
        <f aca="false">IF(A20="","",COUNTIFS(Items!$A$5:$A$1004,A20,Items!$E$5:$E$1004,"Q4"))</f>
        <v/>
      </c>
      <c r="O20" s="17" t="str">
        <f aca="false">IF(A20="","",COUNTIF(K20:N20,"&gt;0"))</f>
        <v/>
      </c>
      <c r="P20" s="16"/>
      <c r="Q20" s="16"/>
      <c r="R20" s="16"/>
      <c r="S20" s="18"/>
      <c r="T20" s="16"/>
      <c r="U20" s="17" t="str">
        <f aca="false">IF(A20="","",IF(OR(B20="",H20="",R20="",S20=""),"TEST-ID, method, selector, date needed",IF(COUNTIF(Ref_TEST!$A$2:$A$201,B20)=0,"TEST-ID not in W10",IF(D20&lt;&gt;"Pass","HOLD: population IPE not Pass",IF(AND(OR(H20="Random (seeded)",H20="Systematic"),I20=""),"Seed or interval needed",IF(G20&lt;&gt;F20+N(J20),"Items selected differ from planned + targeted: explain",IF(P20&lt;&gt;"Y","Confirm period coverage",IF(Q20="","Raise wave 3 PBC request","OK"))))))))</f>
        <v/>
      </c>
    </row>
    <row r="21" customFormat="false" ht="15" hidden="false" customHeight="false" outlineLevel="0" collapsed="false">
      <c r="A21" s="16"/>
      <c r="B21" s="16"/>
      <c r="C21" s="17" t="str">
        <f aca="false">IFERROR(INDEX(Ref_TEST!$B$2:$B$201,MATCH(B21,Ref_TEST!$A$2:$A$201,0)),"")</f>
        <v/>
      </c>
      <c r="D21" s="17" t="str">
        <f aca="false">IFERROR(INDEX(Ref_TEST!$C$2:$C$201,MATCH(B21,Ref_TEST!$A$2:$A$201,0)),"")</f>
        <v/>
      </c>
      <c r="E21" s="17" t="str">
        <f aca="false">IFERROR(INDEX(Ref_TEST!$D$2:$D$201,MATCH(B21,Ref_TEST!$A$2:$A$201,0)),"")</f>
        <v/>
      </c>
      <c r="F21" s="17" t="str">
        <f aca="false">IFERROR(INDEX(Ref_TEST!$E$2:$E$201,MATCH(B21,Ref_TEST!$A$2:$A$201,0)),"")</f>
        <v/>
      </c>
      <c r="G21" s="17" t="str">
        <f aca="false">IF(A21="","",COUNTIF(Items!$A$5:$A$1004,A21))</f>
        <v/>
      </c>
      <c r="H21" s="16"/>
      <c r="I21" s="16"/>
      <c r="J21" s="16"/>
      <c r="K21" s="17" t="str">
        <f aca="false">IF(A21="","",COUNTIFS(Items!$A$5:$A$1004,A21,Items!$E$5:$E$1004,"Q1"))</f>
        <v/>
      </c>
      <c r="L21" s="17" t="str">
        <f aca="false">IF(A21="","",COUNTIFS(Items!$A$5:$A$1004,A21,Items!$E$5:$E$1004,"Q2"))</f>
        <v/>
      </c>
      <c r="M21" s="17" t="str">
        <f aca="false">IF(A21="","",COUNTIFS(Items!$A$5:$A$1004,A21,Items!$E$5:$E$1004,"Q3"))</f>
        <v/>
      </c>
      <c r="N21" s="17" t="str">
        <f aca="false">IF(A21="","",COUNTIFS(Items!$A$5:$A$1004,A21,Items!$E$5:$E$1004,"Q4"))</f>
        <v/>
      </c>
      <c r="O21" s="17" t="str">
        <f aca="false">IF(A21="","",COUNTIF(K21:N21,"&gt;0"))</f>
        <v/>
      </c>
      <c r="P21" s="16"/>
      <c r="Q21" s="16"/>
      <c r="R21" s="16"/>
      <c r="S21" s="18"/>
      <c r="T21" s="16"/>
      <c r="U21" s="17" t="str">
        <f aca="false">IF(A21="","",IF(OR(B21="",H21="",R21="",S21=""),"TEST-ID, method, selector, date needed",IF(COUNTIF(Ref_TEST!$A$2:$A$201,B21)=0,"TEST-ID not in W10",IF(D21&lt;&gt;"Pass","HOLD: population IPE not Pass",IF(AND(OR(H21="Random (seeded)",H21="Systematic"),I21=""),"Seed or interval needed",IF(G21&lt;&gt;F21+N(J21),"Items selected differ from planned + targeted: explain",IF(P21&lt;&gt;"Y","Confirm period coverage",IF(Q21="","Raise wave 3 PBC request","OK"))))))))</f>
        <v/>
      </c>
    </row>
    <row r="22" customFormat="false" ht="15" hidden="false" customHeight="false" outlineLevel="0" collapsed="false">
      <c r="A22" s="16"/>
      <c r="B22" s="16"/>
      <c r="C22" s="17" t="str">
        <f aca="false">IFERROR(INDEX(Ref_TEST!$B$2:$B$201,MATCH(B22,Ref_TEST!$A$2:$A$201,0)),"")</f>
        <v/>
      </c>
      <c r="D22" s="17" t="str">
        <f aca="false">IFERROR(INDEX(Ref_TEST!$C$2:$C$201,MATCH(B22,Ref_TEST!$A$2:$A$201,0)),"")</f>
        <v/>
      </c>
      <c r="E22" s="17" t="str">
        <f aca="false">IFERROR(INDEX(Ref_TEST!$D$2:$D$201,MATCH(B22,Ref_TEST!$A$2:$A$201,0)),"")</f>
        <v/>
      </c>
      <c r="F22" s="17" t="str">
        <f aca="false">IFERROR(INDEX(Ref_TEST!$E$2:$E$201,MATCH(B22,Ref_TEST!$A$2:$A$201,0)),"")</f>
        <v/>
      </c>
      <c r="G22" s="17" t="str">
        <f aca="false">IF(A22="","",COUNTIF(Items!$A$5:$A$1004,A22))</f>
        <v/>
      </c>
      <c r="H22" s="16"/>
      <c r="I22" s="16"/>
      <c r="J22" s="16"/>
      <c r="K22" s="17" t="str">
        <f aca="false">IF(A22="","",COUNTIFS(Items!$A$5:$A$1004,A22,Items!$E$5:$E$1004,"Q1"))</f>
        <v/>
      </c>
      <c r="L22" s="17" t="str">
        <f aca="false">IF(A22="","",COUNTIFS(Items!$A$5:$A$1004,A22,Items!$E$5:$E$1004,"Q2"))</f>
        <v/>
      </c>
      <c r="M22" s="17" t="str">
        <f aca="false">IF(A22="","",COUNTIFS(Items!$A$5:$A$1004,A22,Items!$E$5:$E$1004,"Q3"))</f>
        <v/>
      </c>
      <c r="N22" s="17" t="str">
        <f aca="false">IF(A22="","",COUNTIFS(Items!$A$5:$A$1004,A22,Items!$E$5:$E$1004,"Q4"))</f>
        <v/>
      </c>
      <c r="O22" s="17" t="str">
        <f aca="false">IF(A22="","",COUNTIF(K22:N22,"&gt;0"))</f>
        <v/>
      </c>
      <c r="P22" s="16"/>
      <c r="Q22" s="16"/>
      <c r="R22" s="16"/>
      <c r="S22" s="18"/>
      <c r="T22" s="16"/>
      <c r="U22" s="17" t="str">
        <f aca="false">IF(A22="","",IF(OR(B22="",H22="",R22="",S22=""),"TEST-ID, method, selector, date needed",IF(COUNTIF(Ref_TEST!$A$2:$A$201,B22)=0,"TEST-ID not in W10",IF(D22&lt;&gt;"Pass","HOLD: population IPE not Pass",IF(AND(OR(H22="Random (seeded)",H22="Systematic"),I22=""),"Seed or interval needed",IF(G22&lt;&gt;F22+N(J22),"Items selected differ from planned + targeted: explain",IF(P22&lt;&gt;"Y","Confirm period coverage",IF(Q22="","Raise wave 3 PBC request","OK"))))))))</f>
        <v/>
      </c>
    </row>
    <row r="23" customFormat="false" ht="15" hidden="false" customHeight="false" outlineLevel="0" collapsed="false">
      <c r="A23" s="16"/>
      <c r="B23" s="16"/>
      <c r="C23" s="17" t="str">
        <f aca="false">IFERROR(INDEX(Ref_TEST!$B$2:$B$201,MATCH(B23,Ref_TEST!$A$2:$A$201,0)),"")</f>
        <v/>
      </c>
      <c r="D23" s="17" t="str">
        <f aca="false">IFERROR(INDEX(Ref_TEST!$C$2:$C$201,MATCH(B23,Ref_TEST!$A$2:$A$201,0)),"")</f>
        <v/>
      </c>
      <c r="E23" s="17" t="str">
        <f aca="false">IFERROR(INDEX(Ref_TEST!$D$2:$D$201,MATCH(B23,Ref_TEST!$A$2:$A$201,0)),"")</f>
        <v/>
      </c>
      <c r="F23" s="17" t="str">
        <f aca="false">IFERROR(INDEX(Ref_TEST!$E$2:$E$201,MATCH(B23,Ref_TEST!$A$2:$A$201,0)),"")</f>
        <v/>
      </c>
      <c r="G23" s="17" t="str">
        <f aca="false">IF(A23="","",COUNTIF(Items!$A$5:$A$1004,A23))</f>
        <v/>
      </c>
      <c r="H23" s="16"/>
      <c r="I23" s="16"/>
      <c r="J23" s="16"/>
      <c r="K23" s="17" t="str">
        <f aca="false">IF(A23="","",COUNTIFS(Items!$A$5:$A$1004,A23,Items!$E$5:$E$1004,"Q1"))</f>
        <v/>
      </c>
      <c r="L23" s="17" t="str">
        <f aca="false">IF(A23="","",COUNTIFS(Items!$A$5:$A$1004,A23,Items!$E$5:$E$1004,"Q2"))</f>
        <v/>
      </c>
      <c r="M23" s="17" t="str">
        <f aca="false">IF(A23="","",COUNTIFS(Items!$A$5:$A$1004,A23,Items!$E$5:$E$1004,"Q3"))</f>
        <v/>
      </c>
      <c r="N23" s="17" t="str">
        <f aca="false">IF(A23="","",COUNTIFS(Items!$A$5:$A$1004,A23,Items!$E$5:$E$1004,"Q4"))</f>
        <v/>
      </c>
      <c r="O23" s="17" t="str">
        <f aca="false">IF(A23="","",COUNTIF(K23:N23,"&gt;0"))</f>
        <v/>
      </c>
      <c r="P23" s="16"/>
      <c r="Q23" s="16"/>
      <c r="R23" s="16"/>
      <c r="S23" s="18"/>
      <c r="T23" s="16"/>
      <c r="U23" s="17" t="str">
        <f aca="false">IF(A23="","",IF(OR(B23="",H23="",R23="",S23=""),"TEST-ID, method, selector, date needed",IF(COUNTIF(Ref_TEST!$A$2:$A$201,B23)=0,"TEST-ID not in W10",IF(D23&lt;&gt;"Pass","HOLD: population IPE not Pass",IF(AND(OR(H23="Random (seeded)",H23="Systematic"),I23=""),"Seed or interval needed",IF(G23&lt;&gt;F23+N(J23),"Items selected differ from planned + targeted: explain",IF(P23&lt;&gt;"Y","Confirm period coverage",IF(Q23="","Raise wave 3 PBC request","OK"))))))))</f>
        <v/>
      </c>
    </row>
    <row r="24" customFormat="false" ht="15" hidden="false" customHeight="false" outlineLevel="0" collapsed="false">
      <c r="A24" s="16"/>
      <c r="B24" s="16"/>
      <c r="C24" s="17" t="str">
        <f aca="false">IFERROR(INDEX(Ref_TEST!$B$2:$B$201,MATCH(B24,Ref_TEST!$A$2:$A$201,0)),"")</f>
        <v/>
      </c>
      <c r="D24" s="17" t="str">
        <f aca="false">IFERROR(INDEX(Ref_TEST!$C$2:$C$201,MATCH(B24,Ref_TEST!$A$2:$A$201,0)),"")</f>
        <v/>
      </c>
      <c r="E24" s="17" t="str">
        <f aca="false">IFERROR(INDEX(Ref_TEST!$D$2:$D$201,MATCH(B24,Ref_TEST!$A$2:$A$201,0)),"")</f>
        <v/>
      </c>
      <c r="F24" s="17" t="str">
        <f aca="false">IFERROR(INDEX(Ref_TEST!$E$2:$E$201,MATCH(B24,Ref_TEST!$A$2:$A$201,0)),"")</f>
        <v/>
      </c>
      <c r="G24" s="17" t="str">
        <f aca="false">IF(A24="","",COUNTIF(Items!$A$5:$A$1004,A24))</f>
        <v/>
      </c>
      <c r="H24" s="16"/>
      <c r="I24" s="16"/>
      <c r="J24" s="16"/>
      <c r="K24" s="17" t="str">
        <f aca="false">IF(A24="","",COUNTIFS(Items!$A$5:$A$1004,A24,Items!$E$5:$E$1004,"Q1"))</f>
        <v/>
      </c>
      <c r="L24" s="17" t="str">
        <f aca="false">IF(A24="","",COUNTIFS(Items!$A$5:$A$1004,A24,Items!$E$5:$E$1004,"Q2"))</f>
        <v/>
      </c>
      <c r="M24" s="17" t="str">
        <f aca="false">IF(A24="","",COUNTIFS(Items!$A$5:$A$1004,A24,Items!$E$5:$E$1004,"Q3"))</f>
        <v/>
      </c>
      <c r="N24" s="17" t="str">
        <f aca="false">IF(A24="","",COUNTIFS(Items!$A$5:$A$1004,A24,Items!$E$5:$E$1004,"Q4"))</f>
        <v/>
      </c>
      <c r="O24" s="17" t="str">
        <f aca="false">IF(A24="","",COUNTIF(K24:N24,"&gt;0"))</f>
        <v/>
      </c>
      <c r="P24" s="16"/>
      <c r="Q24" s="16"/>
      <c r="R24" s="16"/>
      <c r="S24" s="18"/>
      <c r="T24" s="16"/>
      <c r="U24" s="17" t="str">
        <f aca="false">IF(A24="","",IF(OR(B24="",H24="",R24="",S24=""),"TEST-ID, method, selector, date needed",IF(COUNTIF(Ref_TEST!$A$2:$A$201,B24)=0,"TEST-ID not in W10",IF(D24&lt;&gt;"Pass","HOLD: population IPE not Pass",IF(AND(OR(H24="Random (seeded)",H24="Systematic"),I24=""),"Seed or interval needed",IF(G24&lt;&gt;F24+N(J24),"Items selected differ from planned + targeted: explain",IF(P24&lt;&gt;"Y","Confirm period coverage",IF(Q24="","Raise wave 3 PBC request","OK"))))))))</f>
        <v/>
      </c>
    </row>
    <row r="25" customFormat="false" ht="15" hidden="false" customHeight="false" outlineLevel="0" collapsed="false">
      <c r="A25" s="16"/>
      <c r="B25" s="16"/>
      <c r="C25" s="17" t="str">
        <f aca="false">IFERROR(INDEX(Ref_TEST!$B$2:$B$201,MATCH(B25,Ref_TEST!$A$2:$A$201,0)),"")</f>
        <v/>
      </c>
      <c r="D25" s="17" t="str">
        <f aca="false">IFERROR(INDEX(Ref_TEST!$C$2:$C$201,MATCH(B25,Ref_TEST!$A$2:$A$201,0)),"")</f>
        <v/>
      </c>
      <c r="E25" s="17" t="str">
        <f aca="false">IFERROR(INDEX(Ref_TEST!$D$2:$D$201,MATCH(B25,Ref_TEST!$A$2:$A$201,0)),"")</f>
        <v/>
      </c>
      <c r="F25" s="17" t="str">
        <f aca="false">IFERROR(INDEX(Ref_TEST!$E$2:$E$201,MATCH(B25,Ref_TEST!$A$2:$A$201,0)),"")</f>
        <v/>
      </c>
      <c r="G25" s="17" t="str">
        <f aca="false">IF(A25="","",COUNTIF(Items!$A$5:$A$1004,A25))</f>
        <v/>
      </c>
      <c r="H25" s="16"/>
      <c r="I25" s="16"/>
      <c r="J25" s="16"/>
      <c r="K25" s="17" t="str">
        <f aca="false">IF(A25="","",COUNTIFS(Items!$A$5:$A$1004,A25,Items!$E$5:$E$1004,"Q1"))</f>
        <v/>
      </c>
      <c r="L25" s="17" t="str">
        <f aca="false">IF(A25="","",COUNTIFS(Items!$A$5:$A$1004,A25,Items!$E$5:$E$1004,"Q2"))</f>
        <v/>
      </c>
      <c r="M25" s="17" t="str">
        <f aca="false">IF(A25="","",COUNTIFS(Items!$A$5:$A$1004,A25,Items!$E$5:$E$1004,"Q3"))</f>
        <v/>
      </c>
      <c r="N25" s="17" t="str">
        <f aca="false">IF(A25="","",COUNTIFS(Items!$A$5:$A$1004,A25,Items!$E$5:$E$1004,"Q4"))</f>
        <v/>
      </c>
      <c r="O25" s="17" t="str">
        <f aca="false">IF(A25="","",COUNTIF(K25:N25,"&gt;0"))</f>
        <v/>
      </c>
      <c r="P25" s="16"/>
      <c r="Q25" s="16"/>
      <c r="R25" s="16"/>
      <c r="S25" s="18"/>
      <c r="T25" s="16"/>
      <c r="U25" s="17" t="str">
        <f aca="false">IF(A25="","",IF(OR(B25="",H25="",R25="",S25=""),"TEST-ID, method, selector, date needed",IF(COUNTIF(Ref_TEST!$A$2:$A$201,B25)=0,"TEST-ID not in W10",IF(D25&lt;&gt;"Pass","HOLD: population IPE not Pass",IF(AND(OR(H25="Random (seeded)",H25="Systematic"),I25=""),"Seed or interval needed",IF(G25&lt;&gt;F25+N(J25),"Items selected differ from planned + targeted: explain",IF(P25&lt;&gt;"Y","Confirm period coverage",IF(Q25="","Raise wave 3 PBC request","OK"))))))))</f>
        <v/>
      </c>
    </row>
    <row r="26" customFormat="false" ht="15" hidden="false" customHeight="false" outlineLevel="0" collapsed="false">
      <c r="A26" s="16"/>
      <c r="B26" s="16"/>
      <c r="C26" s="17" t="str">
        <f aca="false">IFERROR(INDEX(Ref_TEST!$B$2:$B$201,MATCH(B26,Ref_TEST!$A$2:$A$201,0)),"")</f>
        <v/>
      </c>
      <c r="D26" s="17" t="str">
        <f aca="false">IFERROR(INDEX(Ref_TEST!$C$2:$C$201,MATCH(B26,Ref_TEST!$A$2:$A$201,0)),"")</f>
        <v/>
      </c>
      <c r="E26" s="17" t="str">
        <f aca="false">IFERROR(INDEX(Ref_TEST!$D$2:$D$201,MATCH(B26,Ref_TEST!$A$2:$A$201,0)),"")</f>
        <v/>
      </c>
      <c r="F26" s="17" t="str">
        <f aca="false">IFERROR(INDEX(Ref_TEST!$E$2:$E$201,MATCH(B26,Ref_TEST!$A$2:$A$201,0)),"")</f>
        <v/>
      </c>
      <c r="G26" s="17" t="str">
        <f aca="false">IF(A26="","",COUNTIF(Items!$A$5:$A$1004,A26))</f>
        <v/>
      </c>
      <c r="H26" s="16"/>
      <c r="I26" s="16"/>
      <c r="J26" s="16"/>
      <c r="K26" s="17" t="str">
        <f aca="false">IF(A26="","",COUNTIFS(Items!$A$5:$A$1004,A26,Items!$E$5:$E$1004,"Q1"))</f>
        <v/>
      </c>
      <c r="L26" s="17" t="str">
        <f aca="false">IF(A26="","",COUNTIFS(Items!$A$5:$A$1004,A26,Items!$E$5:$E$1004,"Q2"))</f>
        <v/>
      </c>
      <c r="M26" s="17" t="str">
        <f aca="false">IF(A26="","",COUNTIFS(Items!$A$5:$A$1004,A26,Items!$E$5:$E$1004,"Q3"))</f>
        <v/>
      </c>
      <c r="N26" s="17" t="str">
        <f aca="false">IF(A26="","",COUNTIFS(Items!$A$5:$A$1004,A26,Items!$E$5:$E$1004,"Q4"))</f>
        <v/>
      </c>
      <c r="O26" s="17" t="str">
        <f aca="false">IF(A26="","",COUNTIF(K26:N26,"&gt;0"))</f>
        <v/>
      </c>
      <c r="P26" s="16"/>
      <c r="Q26" s="16"/>
      <c r="R26" s="16"/>
      <c r="S26" s="18"/>
      <c r="T26" s="16"/>
      <c r="U26" s="17" t="str">
        <f aca="false">IF(A26="","",IF(OR(B26="",H26="",R26="",S26=""),"TEST-ID, method, selector, date needed",IF(COUNTIF(Ref_TEST!$A$2:$A$201,B26)=0,"TEST-ID not in W10",IF(D26&lt;&gt;"Pass","HOLD: population IPE not Pass",IF(AND(OR(H26="Random (seeded)",H26="Systematic"),I26=""),"Seed or interval needed",IF(G26&lt;&gt;F26+N(J26),"Items selected differ from planned + targeted: explain",IF(P26&lt;&gt;"Y","Confirm period coverage",IF(Q26="","Raise wave 3 PBC request","OK"))))))))</f>
        <v/>
      </c>
    </row>
    <row r="27" customFormat="false" ht="15" hidden="false" customHeight="false" outlineLevel="0" collapsed="false">
      <c r="A27" s="16"/>
      <c r="B27" s="16"/>
      <c r="C27" s="17" t="str">
        <f aca="false">IFERROR(INDEX(Ref_TEST!$B$2:$B$201,MATCH(B27,Ref_TEST!$A$2:$A$201,0)),"")</f>
        <v/>
      </c>
      <c r="D27" s="17" t="str">
        <f aca="false">IFERROR(INDEX(Ref_TEST!$C$2:$C$201,MATCH(B27,Ref_TEST!$A$2:$A$201,0)),"")</f>
        <v/>
      </c>
      <c r="E27" s="17" t="str">
        <f aca="false">IFERROR(INDEX(Ref_TEST!$D$2:$D$201,MATCH(B27,Ref_TEST!$A$2:$A$201,0)),"")</f>
        <v/>
      </c>
      <c r="F27" s="17" t="str">
        <f aca="false">IFERROR(INDEX(Ref_TEST!$E$2:$E$201,MATCH(B27,Ref_TEST!$A$2:$A$201,0)),"")</f>
        <v/>
      </c>
      <c r="G27" s="17" t="str">
        <f aca="false">IF(A27="","",COUNTIF(Items!$A$5:$A$1004,A27))</f>
        <v/>
      </c>
      <c r="H27" s="16"/>
      <c r="I27" s="16"/>
      <c r="J27" s="16"/>
      <c r="K27" s="17" t="str">
        <f aca="false">IF(A27="","",COUNTIFS(Items!$A$5:$A$1004,A27,Items!$E$5:$E$1004,"Q1"))</f>
        <v/>
      </c>
      <c r="L27" s="17" t="str">
        <f aca="false">IF(A27="","",COUNTIFS(Items!$A$5:$A$1004,A27,Items!$E$5:$E$1004,"Q2"))</f>
        <v/>
      </c>
      <c r="M27" s="17" t="str">
        <f aca="false">IF(A27="","",COUNTIFS(Items!$A$5:$A$1004,A27,Items!$E$5:$E$1004,"Q3"))</f>
        <v/>
      </c>
      <c r="N27" s="17" t="str">
        <f aca="false">IF(A27="","",COUNTIFS(Items!$A$5:$A$1004,A27,Items!$E$5:$E$1004,"Q4"))</f>
        <v/>
      </c>
      <c r="O27" s="17" t="str">
        <f aca="false">IF(A27="","",COUNTIF(K27:N27,"&gt;0"))</f>
        <v/>
      </c>
      <c r="P27" s="16"/>
      <c r="Q27" s="16"/>
      <c r="R27" s="16"/>
      <c r="S27" s="18"/>
      <c r="T27" s="16"/>
      <c r="U27" s="17" t="str">
        <f aca="false">IF(A27="","",IF(OR(B27="",H27="",R27="",S27=""),"TEST-ID, method, selector, date needed",IF(COUNTIF(Ref_TEST!$A$2:$A$201,B27)=0,"TEST-ID not in W10",IF(D27&lt;&gt;"Pass","HOLD: population IPE not Pass",IF(AND(OR(H27="Random (seeded)",H27="Systematic"),I27=""),"Seed or interval needed",IF(G27&lt;&gt;F27+N(J27),"Items selected differ from planned + targeted: explain",IF(P27&lt;&gt;"Y","Confirm period coverage",IF(Q27="","Raise wave 3 PBC request","OK"))))))))</f>
        <v/>
      </c>
    </row>
    <row r="28" customFormat="false" ht="15" hidden="false" customHeight="false" outlineLevel="0" collapsed="false">
      <c r="A28" s="16"/>
      <c r="B28" s="16"/>
      <c r="C28" s="17" t="str">
        <f aca="false">IFERROR(INDEX(Ref_TEST!$B$2:$B$201,MATCH(B28,Ref_TEST!$A$2:$A$201,0)),"")</f>
        <v/>
      </c>
      <c r="D28" s="17" t="str">
        <f aca="false">IFERROR(INDEX(Ref_TEST!$C$2:$C$201,MATCH(B28,Ref_TEST!$A$2:$A$201,0)),"")</f>
        <v/>
      </c>
      <c r="E28" s="17" t="str">
        <f aca="false">IFERROR(INDEX(Ref_TEST!$D$2:$D$201,MATCH(B28,Ref_TEST!$A$2:$A$201,0)),"")</f>
        <v/>
      </c>
      <c r="F28" s="17" t="str">
        <f aca="false">IFERROR(INDEX(Ref_TEST!$E$2:$E$201,MATCH(B28,Ref_TEST!$A$2:$A$201,0)),"")</f>
        <v/>
      </c>
      <c r="G28" s="17" t="str">
        <f aca="false">IF(A28="","",COUNTIF(Items!$A$5:$A$1004,A28))</f>
        <v/>
      </c>
      <c r="H28" s="16"/>
      <c r="I28" s="16"/>
      <c r="J28" s="16"/>
      <c r="K28" s="17" t="str">
        <f aca="false">IF(A28="","",COUNTIFS(Items!$A$5:$A$1004,A28,Items!$E$5:$E$1004,"Q1"))</f>
        <v/>
      </c>
      <c r="L28" s="17" t="str">
        <f aca="false">IF(A28="","",COUNTIFS(Items!$A$5:$A$1004,A28,Items!$E$5:$E$1004,"Q2"))</f>
        <v/>
      </c>
      <c r="M28" s="17" t="str">
        <f aca="false">IF(A28="","",COUNTIFS(Items!$A$5:$A$1004,A28,Items!$E$5:$E$1004,"Q3"))</f>
        <v/>
      </c>
      <c r="N28" s="17" t="str">
        <f aca="false">IF(A28="","",COUNTIFS(Items!$A$5:$A$1004,A28,Items!$E$5:$E$1004,"Q4"))</f>
        <v/>
      </c>
      <c r="O28" s="17" t="str">
        <f aca="false">IF(A28="","",COUNTIF(K28:N28,"&gt;0"))</f>
        <v/>
      </c>
      <c r="P28" s="16"/>
      <c r="Q28" s="16"/>
      <c r="R28" s="16"/>
      <c r="S28" s="18"/>
      <c r="T28" s="16"/>
      <c r="U28" s="17" t="str">
        <f aca="false">IF(A28="","",IF(OR(B28="",H28="",R28="",S28=""),"TEST-ID, method, selector, date needed",IF(COUNTIF(Ref_TEST!$A$2:$A$201,B28)=0,"TEST-ID not in W10",IF(D28&lt;&gt;"Pass","HOLD: population IPE not Pass",IF(AND(OR(H28="Random (seeded)",H28="Systematic"),I28=""),"Seed or interval needed",IF(G28&lt;&gt;F28+N(J28),"Items selected differ from planned + targeted: explain",IF(P28&lt;&gt;"Y","Confirm period coverage",IF(Q28="","Raise wave 3 PBC request","OK"))))))))</f>
        <v/>
      </c>
    </row>
    <row r="29" customFormat="false" ht="15" hidden="false" customHeight="false" outlineLevel="0" collapsed="false">
      <c r="A29" s="16"/>
      <c r="B29" s="16"/>
      <c r="C29" s="17" t="str">
        <f aca="false">IFERROR(INDEX(Ref_TEST!$B$2:$B$201,MATCH(B29,Ref_TEST!$A$2:$A$201,0)),"")</f>
        <v/>
      </c>
      <c r="D29" s="17" t="str">
        <f aca="false">IFERROR(INDEX(Ref_TEST!$C$2:$C$201,MATCH(B29,Ref_TEST!$A$2:$A$201,0)),"")</f>
        <v/>
      </c>
      <c r="E29" s="17" t="str">
        <f aca="false">IFERROR(INDEX(Ref_TEST!$D$2:$D$201,MATCH(B29,Ref_TEST!$A$2:$A$201,0)),"")</f>
        <v/>
      </c>
      <c r="F29" s="17" t="str">
        <f aca="false">IFERROR(INDEX(Ref_TEST!$E$2:$E$201,MATCH(B29,Ref_TEST!$A$2:$A$201,0)),"")</f>
        <v/>
      </c>
      <c r="G29" s="17" t="str">
        <f aca="false">IF(A29="","",COUNTIF(Items!$A$5:$A$1004,A29))</f>
        <v/>
      </c>
      <c r="H29" s="16"/>
      <c r="I29" s="16"/>
      <c r="J29" s="16"/>
      <c r="K29" s="17" t="str">
        <f aca="false">IF(A29="","",COUNTIFS(Items!$A$5:$A$1004,A29,Items!$E$5:$E$1004,"Q1"))</f>
        <v/>
      </c>
      <c r="L29" s="17" t="str">
        <f aca="false">IF(A29="","",COUNTIFS(Items!$A$5:$A$1004,A29,Items!$E$5:$E$1004,"Q2"))</f>
        <v/>
      </c>
      <c r="M29" s="17" t="str">
        <f aca="false">IF(A29="","",COUNTIFS(Items!$A$5:$A$1004,A29,Items!$E$5:$E$1004,"Q3"))</f>
        <v/>
      </c>
      <c r="N29" s="17" t="str">
        <f aca="false">IF(A29="","",COUNTIFS(Items!$A$5:$A$1004,A29,Items!$E$5:$E$1004,"Q4"))</f>
        <v/>
      </c>
      <c r="O29" s="17" t="str">
        <f aca="false">IF(A29="","",COUNTIF(K29:N29,"&gt;0"))</f>
        <v/>
      </c>
      <c r="P29" s="16"/>
      <c r="Q29" s="16"/>
      <c r="R29" s="16"/>
      <c r="S29" s="18"/>
      <c r="T29" s="16"/>
      <c r="U29" s="17" t="str">
        <f aca="false">IF(A29="","",IF(OR(B29="",H29="",R29="",S29=""),"TEST-ID, method, selector, date needed",IF(COUNTIF(Ref_TEST!$A$2:$A$201,B29)=0,"TEST-ID not in W10",IF(D29&lt;&gt;"Pass","HOLD: population IPE not Pass",IF(AND(OR(H29="Random (seeded)",H29="Systematic"),I29=""),"Seed or interval needed",IF(G29&lt;&gt;F29+N(J29),"Items selected differ from planned + targeted: explain",IF(P29&lt;&gt;"Y","Confirm period coverage",IF(Q29="","Raise wave 3 PBC request","OK"))))))))</f>
        <v/>
      </c>
    </row>
    <row r="30" customFormat="false" ht="15" hidden="false" customHeight="false" outlineLevel="0" collapsed="false">
      <c r="A30" s="16"/>
      <c r="B30" s="16"/>
      <c r="C30" s="17" t="str">
        <f aca="false">IFERROR(INDEX(Ref_TEST!$B$2:$B$201,MATCH(B30,Ref_TEST!$A$2:$A$201,0)),"")</f>
        <v/>
      </c>
      <c r="D30" s="17" t="str">
        <f aca="false">IFERROR(INDEX(Ref_TEST!$C$2:$C$201,MATCH(B30,Ref_TEST!$A$2:$A$201,0)),"")</f>
        <v/>
      </c>
      <c r="E30" s="17" t="str">
        <f aca="false">IFERROR(INDEX(Ref_TEST!$D$2:$D$201,MATCH(B30,Ref_TEST!$A$2:$A$201,0)),"")</f>
        <v/>
      </c>
      <c r="F30" s="17" t="str">
        <f aca="false">IFERROR(INDEX(Ref_TEST!$E$2:$E$201,MATCH(B30,Ref_TEST!$A$2:$A$201,0)),"")</f>
        <v/>
      </c>
      <c r="G30" s="17" t="str">
        <f aca="false">IF(A30="","",COUNTIF(Items!$A$5:$A$1004,A30))</f>
        <v/>
      </c>
      <c r="H30" s="16"/>
      <c r="I30" s="16"/>
      <c r="J30" s="16"/>
      <c r="K30" s="17" t="str">
        <f aca="false">IF(A30="","",COUNTIFS(Items!$A$5:$A$1004,A30,Items!$E$5:$E$1004,"Q1"))</f>
        <v/>
      </c>
      <c r="L30" s="17" t="str">
        <f aca="false">IF(A30="","",COUNTIFS(Items!$A$5:$A$1004,A30,Items!$E$5:$E$1004,"Q2"))</f>
        <v/>
      </c>
      <c r="M30" s="17" t="str">
        <f aca="false">IF(A30="","",COUNTIFS(Items!$A$5:$A$1004,A30,Items!$E$5:$E$1004,"Q3"))</f>
        <v/>
      </c>
      <c r="N30" s="17" t="str">
        <f aca="false">IF(A30="","",COUNTIFS(Items!$A$5:$A$1004,A30,Items!$E$5:$E$1004,"Q4"))</f>
        <v/>
      </c>
      <c r="O30" s="17" t="str">
        <f aca="false">IF(A30="","",COUNTIF(K30:N30,"&gt;0"))</f>
        <v/>
      </c>
      <c r="P30" s="16"/>
      <c r="Q30" s="16"/>
      <c r="R30" s="16"/>
      <c r="S30" s="18"/>
      <c r="T30" s="16"/>
      <c r="U30" s="17" t="str">
        <f aca="false">IF(A30="","",IF(OR(B30="",H30="",R30="",S30=""),"TEST-ID, method, selector, date needed",IF(COUNTIF(Ref_TEST!$A$2:$A$201,B30)=0,"TEST-ID not in W10",IF(D30&lt;&gt;"Pass","HOLD: population IPE not Pass",IF(AND(OR(H30="Random (seeded)",H30="Systematic"),I30=""),"Seed or interval needed",IF(G30&lt;&gt;F30+N(J30),"Items selected differ from planned + targeted: explain",IF(P30&lt;&gt;"Y","Confirm period coverage",IF(Q30="","Raise wave 3 PBC request","OK"))))))))</f>
        <v/>
      </c>
    </row>
    <row r="31" customFormat="false" ht="15" hidden="false" customHeight="false" outlineLevel="0" collapsed="false">
      <c r="A31" s="16"/>
      <c r="B31" s="16"/>
      <c r="C31" s="17" t="str">
        <f aca="false">IFERROR(INDEX(Ref_TEST!$B$2:$B$201,MATCH(B31,Ref_TEST!$A$2:$A$201,0)),"")</f>
        <v/>
      </c>
      <c r="D31" s="17" t="str">
        <f aca="false">IFERROR(INDEX(Ref_TEST!$C$2:$C$201,MATCH(B31,Ref_TEST!$A$2:$A$201,0)),"")</f>
        <v/>
      </c>
      <c r="E31" s="17" t="str">
        <f aca="false">IFERROR(INDEX(Ref_TEST!$D$2:$D$201,MATCH(B31,Ref_TEST!$A$2:$A$201,0)),"")</f>
        <v/>
      </c>
      <c r="F31" s="17" t="str">
        <f aca="false">IFERROR(INDEX(Ref_TEST!$E$2:$E$201,MATCH(B31,Ref_TEST!$A$2:$A$201,0)),"")</f>
        <v/>
      </c>
      <c r="G31" s="17" t="str">
        <f aca="false">IF(A31="","",COUNTIF(Items!$A$5:$A$1004,A31))</f>
        <v/>
      </c>
      <c r="H31" s="16"/>
      <c r="I31" s="16"/>
      <c r="J31" s="16"/>
      <c r="K31" s="17" t="str">
        <f aca="false">IF(A31="","",COUNTIFS(Items!$A$5:$A$1004,A31,Items!$E$5:$E$1004,"Q1"))</f>
        <v/>
      </c>
      <c r="L31" s="17" t="str">
        <f aca="false">IF(A31="","",COUNTIFS(Items!$A$5:$A$1004,A31,Items!$E$5:$E$1004,"Q2"))</f>
        <v/>
      </c>
      <c r="M31" s="17" t="str">
        <f aca="false">IF(A31="","",COUNTIFS(Items!$A$5:$A$1004,A31,Items!$E$5:$E$1004,"Q3"))</f>
        <v/>
      </c>
      <c r="N31" s="17" t="str">
        <f aca="false">IF(A31="","",COUNTIFS(Items!$A$5:$A$1004,A31,Items!$E$5:$E$1004,"Q4"))</f>
        <v/>
      </c>
      <c r="O31" s="17" t="str">
        <f aca="false">IF(A31="","",COUNTIF(K31:N31,"&gt;0"))</f>
        <v/>
      </c>
      <c r="P31" s="16"/>
      <c r="Q31" s="16"/>
      <c r="R31" s="16"/>
      <c r="S31" s="18"/>
      <c r="T31" s="16"/>
      <c r="U31" s="17" t="str">
        <f aca="false">IF(A31="","",IF(OR(B31="",H31="",R31="",S31=""),"TEST-ID, method, selector, date needed",IF(COUNTIF(Ref_TEST!$A$2:$A$201,B31)=0,"TEST-ID not in W10",IF(D31&lt;&gt;"Pass","HOLD: population IPE not Pass",IF(AND(OR(H31="Random (seeded)",H31="Systematic"),I31=""),"Seed or interval needed",IF(G31&lt;&gt;F31+N(J31),"Items selected differ from planned + targeted: explain",IF(P31&lt;&gt;"Y","Confirm period coverage",IF(Q31="","Raise wave 3 PBC request","OK"))))))))</f>
        <v/>
      </c>
    </row>
    <row r="32" customFormat="false" ht="15" hidden="false" customHeight="false" outlineLevel="0" collapsed="false">
      <c r="A32" s="16"/>
      <c r="B32" s="16"/>
      <c r="C32" s="17" t="str">
        <f aca="false">IFERROR(INDEX(Ref_TEST!$B$2:$B$201,MATCH(B32,Ref_TEST!$A$2:$A$201,0)),"")</f>
        <v/>
      </c>
      <c r="D32" s="17" t="str">
        <f aca="false">IFERROR(INDEX(Ref_TEST!$C$2:$C$201,MATCH(B32,Ref_TEST!$A$2:$A$201,0)),"")</f>
        <v/>
      </c>
      <c r="E32" s="17" t="str">
        <f aca="false">IFERROR(INDEX(Ref_TEST!$D$2:$D$201,MATCH(B32,Ref_TEST!$A$2:$A$201,0)),"")</f>
        <v/>
      </c>
      <c r="F32" s="17" t="str">
        <f aca="false">IFERROR(INDEX(Ref_TEST!$E$2:$E$201,MATCH(B32,Ref_TEST!$A$2:$A$201,0)),"")</f>
        <v/>
      </c>
      <c r="G32" s="17" t="str">
        <f aca="false">IF(A32="","",COUNTIF(Items!$A$5:$A$1004,A32))</f>
        <v/>
      </c>
      <c r="H32" s="16"/>
      <c r="I32" s="16"/>
      <c r="J32" s="16"/>
      <c r="K32" s="17" t="str">
        <f aca="false">IF(A32="","",COUNTIFS(Items!$A$5:$A$1004,A32,Items!$E$5:$E$1004,"Q1"))</f>
        <v/>
      </c>
      <c r="L32" s="17" t="str">
        <f aca="false">IF(A32="","",COUNTIFS(Items!$A$5:$A$1004,A32,Items!$E$5:$E$1004,"Q2"))</f>
        <v/>
      </c>
      <c r="M32" s="17" t="str">
        <f aca="false">IF(A32="","",COUNTIFS(Items!$A$5:$A$1004,A32,Items!$E$5:$E$1004,"Q3"))</f>
        <v/>
      </c>
      <c r="N32" s="17" t="str">
        <f aca="false">IF(A32="","",COUNTIFS(Items!$A$5:$A$1004,A32,Items!$E$5:$E$1004,"Q4"))</f>
        <v/>
      </c>
      <c r="O32" s="17" t="str">
        <f aca="false">IF(A32="","",COUNTIF(K32:N32,"&gt;0"))</f>
        <v/>
      </c>
      <c r="P32" s="16"/>
      <c r="Q32" s="16"/>
      <c r="R32" s="16"/>
      <c r="S32" s="18"/>
      <c r="T32" s="16"/>
      <c r="U32" s="17" t="str">
        <f aca="false">IF(A32="","",IF(OR(B32="",H32="",R32="",S32=""),"TEST-ID, method, selector, date needed",IF(COUNTIF(Ref_TEST!$A$2:$A$201,B32)=0,"TEST-ID not in W10",IF(D32&lt;&gt;"Pass","HOLD: population IPE not Pass",IF(AND(OR(H32="Random (seeded)",H32="Systematic"),I32=""),"Seed or interval needed",IF(G32&lt;&gt;F32+N(J32),"Items selected differ from planned + targeted: explain",IF(P32&lt;&gt;"Y","Confirm period coverage",IF(Q32="","Raise wave 3 PBC request","OK"))))))))</f>
        <v/>
      </c>
    </row>
    <row r="33" customFormat="false" ht="15" hidden="false" customHeight="false" outlineLevel="0" collapsed="false">
      <c r="A33" s="16"/>
      <c r="B33" s="16"/>
      <c r="C33" s="17" t="str">
        <f aca="false">IFERROR(INDEX(Ref_TEST!$B$2:$B$201,MATCH(B33,Ref_TEST!$A$2:$A$201,0)),"")</f>
        <v/>
      </c>
      <c r="D33" s="17" t="str">
        <f aca="false">IFERROR(INDEX(Ref_TEST!$C$2:$C$201,MATCH(B33,Ref_TEST!$A$2:$A$201,0)),"")</f>
        <v/>
      </c>
      <c r="E33" s="17" t="str">
        <f aca="false">IFERROR(INDEX(Ref_TEST!$D$2:$D$201,MATCH(B33,Ref_TEST!$A$2:$A$201,0)),"")</f>
        <v/>
      </c>
      <c r="F33" s="17" t="str">
        <f aca="false">IFERROR(INDEX(Ref_TEST!$E$2:$E$201,MATCH(B33,Ref_TEST!$A$2:$A$201,0)),"")</f>
        <v/>
      </c>
      <c r="G33" s="17" t="str">
        <f aca="false">IF(A33="","",COUNTIF(Items!$A$5:$A$1004,A33))</f>
        <v/>
      </c>
      <c r="H33" s="16"/>
      <c r="I33" s="16"/>
      <c r="J33" s="16"/>
      <c r="K33" s="17" t="str">
        <f aca="false">IF(A33="","",COUNTIFS(Items!$A$5:$A$1004,A33,Items!$E$5:$E$1004,"Q1"))</f>
        <v/>
      </c>
      <c r="L33" s="17" t="str">
        <f aca="false">IF(A33="","",COUNTIFS(Items!$A$5:$A$1004,A33,Items!$E$5:$E$1004,"Q2"))</f>
        <v/>
      </c>
      <c r="M33" s="17" t="str">
        <f aca="false">IF(A33="","",COUNTIFS(Items!$A$5:$A$1004,A33,Items!$E$5:$E$1004,"Q3"))</f>
        <v/>
      </c>
      <c r="N33" s="17" t="str">
        <f aca="false">IF(A33="","",COUNTIFS(Items!$A$5:$A$1004,A33,Items!$E$5:$E$1004,"Q4"))</f>
        <v/>
      </c>
      <c r="O33" s="17" t="str">
        <f aca="false">IF(A33="","",COUNTIF(K33:N33,"&gt;0"))</f>
        <v/>
      </c>
      <c r="P33" s="16"/>
      <c r="Q33" s="16"/>
      <c r="R33" s="16"/>
      <c r="S33" s="18"/>
      <c r="T33" s="16"/>
      <c r="U33" s="17" t="str">
        <f aca="false">IF(A33="","",IF(OR(B33="",H33="",R33="",S33=""),"TEST-ID, method, selector, date needed",IF(COUNTIF(Ref_TEST!$A$2:$A$201,B33)=0,"TEST-ID not in W10",IF(D33&lt;&gt;"Pass","HOLD: population IPE not Pass",IF(AND(OR(H33="Random (seeded)",H33="Systematic"),I33=""),"Seed or interval needed",IF(G33&lt;&gt;F33+N(J33),"Items selected differ from planned + targeted: explain",IF(P33&lt;&gt;"Y","Confirm period coverage",IF(Q33="","Raise wave 3 PBC request","OK"))))))))</f>
        <v/>
      </c>
    </row>
    <row r="34" customFormat="false" ht="15" hidden="false" customHeight="false" outlineLevel="0" collapsed="false">
      <c r="A34" s="16"/>
      <c r="B34" s="16"/>
      <c r="C34" s="17" t="str">
        <f aca="false">IFERROR(INDEX(Ref_TEST!$B$2:$B$201,MATCH(B34,Ref_TEST!$A$2:$A$201,0)),"")</f>
        <v/>
      </c>
      <c r="D34" s="17" t="str">
        <f aca="false">IFERROR(INDEX(Ref_TEST!$C$2:$C$201,MATCH(B34,Ref_TEST!$A$2:$A$201,0)),"")</f>
        <v/>
      </c>
      <c r="E34" s="17" t="str">
        <f aca="false">IFERROR(INDEX(Ref_TEST!$D$2:$D$201,MATCH(B34,Ref_TEST!$A$2:$A$201,0)),"")</f>
        <v/>
      </c>
      <c r="F34" s="17" t="str">
        <f aca="false">IFERROR(INDEX(Ref_TEST!$E$2:$E$201,MATCH(B34,Ref_TEST!$A$2:$A$201,0)),"")</f>
        <v/>
      </c>
      <c r="G34" s="17" t="str">
        <f aca="false">IF(A34="","",COUNTIF(Items!$A$5:$A$1004,A34))</f>
        <v/>
      </c>
      <c r="H34" s="16"/>
      <c r="I34" s="16"/>
      <c r="J34" s="16"/>
      <c r="K34" s="17" t="str">
        <f aca="false">IF(A34="","",COUNTIFS(Items!$A$5:$A$1004,A34,Items!$E$5:$E$1004,"Q1"))</f>
        <v/>
      </c>
      <c r="L34" s="17" t="str">
        <f aca="false">IF(A34="","",COUNTIFS(Items!$A$5:$A$1004,A34,Items!$E$5:$E$1004,"Q2"))</f>
        <v/>
      </c>
      <c r="M34" s="17" t="str">
        <f aca="false">IF(A34="","",COUNTIFS(Items!$A$5:$A$1004,A34,Items!$E$5:$E$1004,"Q3"))</f>
        <v/>
      </c>
      <c r="N34" s="17" t="str">
        <f aca="false">IF(A34="","",COUNTIFS(Items!$A$5:$A$1004,A34,Items!$E$5:$E$1004,"Q4"))</f>
        <v/>
      </c>
      <c r="O34" s="17" t="str">
        <f aca="false">IF(A34="","",COUNTIF(K34:N34,"&gt;0"))</f>
        <v/>
      </c>
      <c r="P34" s="16"/>
      <c r="Q34" s="16"/>
      <c r="R34" s="16"/>
      <c r="S34" s="18"/>
      <c r="T34" s="16"/>
      <c r="U34" s="17" t="str">
        <f aca="false">IF(A34="","",IF(OR(B34="",H34="",R34="",S34=""),"TEST-ID, method, selector, date needed",IF(COUNTIF(Ref_TEST!$A$2:$A$201,B34)=0,"TEST-ID not in W10",IF(D34&lt;&gt;"Pass","HOLD: population IPE not Pass",IF(AND(OR(H34="Random (seeded)",H34="Systematic"),I34=""),"Seed or interval needed",IF(G34&lt;&gt;F34+N(J34),"Items selected differ from planned + targeted: explain",IF(P34&lt;&gt;"Y","Confirm period coverage",IF(Q34="","Raise wave 3 PBC request","OK"))))))))</f>
        <v/>
      </c>
    </row>
    <row r="35" customFormat="false" ht="15" hidden="false" customHeight="false" outlineLevel="0" collapsed="false">
      <c r="A35" s="16"/>
      <c r="B35" s="16"/>
      <c r="C35" s="17" t="str">
        <f aca="false">IFERROR(INDEX(Ref_TEST!$B$2:$B$201,MATCH(B35,Ref_TEST!$A$2:$A$201,0)),"")</f>
        <v/>
      </c>
      <c r="D35" s="17" t="str">
        <f aca="false">IFERROR(INDEX(Ref_TEST!$C$2:$C$201,MATCH(B35,Ref_TEST!$A$2:$A$201,0)),"")</f>
        <v/>
      </c>
      <c r="E35" s="17" t="str">
        <f aca="false">IFERROR(INDEX(Ref_TEST!$D$2:$D$201,MATCH(B35,Ref_TEST!$A$2:$A$201,0)),"")</f>
        <v/>
      </c>
      <c r="F35" s="17" t="str">
        <f aca="false">IFERROR(INDEX(Ref_TEST!$E$2:$E$201,MATCH(B35,Ref_TEST!$A$2:$A$201,0)),"")</f>
        <v/>
      </c>
      <c r="G35" s="17" t="str">
        <f aca="false">IF(A35="","",COUNTIF(Items!$A$5:$A$1004,A35))</f>
        <v/>
      </c>
      <c r="H35" s="16"/>
      <c r="I35" s="16"/>
      <c r="J35" s="16"/>
      <c r="K35" s="17" t="str">
        <f aca="false">IF(A35="","",COUNTIFS(Items!$A$5:$A$1004,A35,Items!$E$5:$E$1004,"Q1"))</f>
        <v/>
      </c>
      <c r="L35" s="17" t="str">
        <f aca="false">IF(A35="","",COUNTIFS(Items!$A$5:$A$1004,A35,Items!$E$5:$E$1004,"Q2"))</f>
        <v/>
      </c>
      <c r="M35" s="17" t="str">
        <f aca="false">IF(A35="","",COUNTIFS(Items!$A$5:$A$1004,A35,Items!$E$5:$E$1004,"Q3"))</f>
        <v/>
      </c>
      <c r="N35" s="17" t="str">
        <f aca="false">IF(A35="","",COUNTIFS(Items!$A$5:$A$1004,A35,Items!$E$5:$E$1004,"Q4"))</f>
        <v/>
      </c>
      <c r="O35" s="17" t="str">
        <f aca="false">IF(A35="","",COUNTIF(K35:N35,"&gt;0"))</f>
        <v/>
      </c>
      <c r="P35" s="16"/>
      <c r="Q35" s="16"/>
      <c r="R35" s="16"/>
      <c r="S35" s="18"/>
      <c r="T35" s="16"/>
      <c r="U35" s="17" t="str">
        <f aca="false">IF(A35="","",IF(OR(B35="",H35="",R35="",S35=""),"TEST-ID, method, selector, date needed",IF(COUNTIF(Ref_TEST!$A$2:$A$201,B35)=0,"TEST-ID not in W10",IF(D35&lt;&gt;"Pass","HOLD: population IPE not Pass",IF(AND(OR(H35="Random (seeded)",H35="Systematic"),I35=""),"Seed or interval needed",IF(G35&lt;&gt;F35+N(J35),"Items selected differ from planned + targeted: explain",IF(P35&lt;&gt;"Y","Confirm period coverage",IF(Q35="","Raise wave 3 PBC request","OK"))))))))</f>
        <v/>
      </c>
    </row>
    <row r="36" customFormat="false" ht="15" hidden="false" customHeight="false" outlineLevel="0" collapsed="false">
      <c r="A36" s="16"/>
      <c r="B36" s="16"/>
      <c r="C36" s="17" t="str">
        <f aca="false">IFERROR(INDEX(Ref_TEST!$B$2:$B$201,MATCH(B36,Ref_TEST!$A$2:$A$201,0)),"")</f>
        <v/>
      </c>
      <c r="D36" s="17" t="str">
        <f aca="false">IFERROR(INDEX(Ref_TEST!$C$2:$C$201,MATCH(B36,Ref_TEST!$A$2:$A$201,0)),"")</f>
        <v/>
      </c>
      <c r="E36" s="17" t="str">
        <f aca="false">IFERROR(INDEX(Ref_TEST!$D$2:$D$201,MATCH(B36,Ref_TEST!$A$2:$A$201,0)),"")</f>
        <v/>
      </c>
      <c r="F36" s="17" t="str">
        <f aca="false">IFERROR(INDEX(Ref_TEST!$E$2:$E$201,MATCH(B36,Ref_TEST!$A$2:$A$201,0)),"")</f>
        <v/>
      </c>
      <c r="G36" s="17" t="str">
        <f aca="false">IF(A36="","",COUNTIF(Items!$A$5:$A$1004,A36))</f>
        <v/>
      </c>
      <c r="H36" s="16"/>
      <c r="I36" s="16"/>
      <c r="J36" s="16"/>
      <c r="K36" s="17" t="str">
        <f aca="false">IF(A36="","",COUNTIFS(Items!$A$5:$A$1004,A36,Items!$E$5:$E$1004,"Q1"))</f>
        <v/>
      </c>
      <c r="L36" s="17" t="str">
        <f aca="false">IF(A36="","",COUNTIFS(Items!$A$5:$A$1004,A36,Items!$E$5:$E$1004,"Q2"))</f>
        <v/>
      </c>
      <c r="M36" s="17" t="str">
        <f aca="false">IF(A36="","",COUNTIFS(Items!$A$5:$A$1004,A36,Items!$E$5:$E$1004,"Q3"))</f>
        <v/>
      </c>
      <c r="N36" s="17" t="str">
        <f aca="false">IF(A36="","",COUNTIFS(Items!$A$5:$A$1004,A36,Items!$E$5:$E$1004,"Q4"))</f>
        <v/>
      </c>
      <c r="O36" s="17" t="str">
        <f aca="false">IF(A36="","",COUNTIF(K36:N36,"&gt;0"))</f>
        <v/>
      </c>
      <c r="P36" s="16"/>
      <c r="Q36" s="16"/>
      <c r="R36" s="16"/>
      <c r="S36" s="18"/>
      <c r="T36" s="16"/>
      <c r="U36" s="17" t="str">
        <f aca="false">IF(A36="","",IF(OR(B36="",H36="",R36="",S36=""),"TEST-ID, method, selector, date needed",IF(COUNTIF(Ref_TEST!$A$2:$A$201,B36)=0,"TEST-ID not in W10",IF(D36&lt;&gt;"Pass","HOLD: population IPE not Pass",IF(AND(OR(H36="Random (seeded)",H36="Systematic"),I36=""),"Seed or interval needed",IF(G36&lt;&gt;F36+N(J36),"Items selected differ from planned + targeted: explain",IF(P36&lt;&gt;"Y","Confirm period coverage",IF(Q36="","Raise wave 3 PBC request","OK"))))))))</f>
        <v/>
      </c>
    </row>
    <row r="37" customFormat="false" ht="15" hidden="false" customHeight="false" outlineLevel="0" collapsed="false">
      <c r="A37" s="16"/>
      <c r="B37" s="16"/>
      <c r="C37" s="17" t="str">
        <f aca="false">IFERROR(INDEX(Ref_TEST!$B$2:$B$201,MATCH(B37,Ref_TEST!$A$2:$A$201,0)),"")</f>
        <v/>
      </c>
      <c r="D37" s="17" t="str">
        <f aca="false">IFERROR(INDEX(Ref_TEST!$C$2:$C$201,MATCH(B37,Ref_TEST!$A$2:$A$201,0)),"")</f>
        <v/>
      </c>
      <c r="E37" s="17" t="str">
        <f aca="false">IFERROR(INDEX(Ref_TEST!$D$2:$D$201,MATCH(B37,Ref_TEST!$A$2:$A$201,0)),"")</f>
        <v/>
      </c>
      <c r="F37" s="17" t="str">
        <f aca="false">IFERROR(INDEX(Ref_TEST!$E$2:$E$201,MATCH(B37,Ref_TEST!$A$2:$A$201,0)),"")</f>
        <v/>
      </c>
      <c r="G37" s="17" t="str">
        <f aca="false">IF(A37="","",COUNTIF(Items!$A$5:$A$1004,A37))</f>
        <v/>
      </c>
      <c r="H37" s="16"/>
      <c r="I37" s="16"/>
      <c r="J37" s="16"/>
      <c r="K37" s="17" t="str">
        <f aca="false">IF(A37="","",COUNTIFS(Items!$A$5:$A$1004,A37,Items!$E$5:$E$1004,"Q1"))</f>
        <v/>
      </c>
      <c r="L37" s="17" t="str">
        <f aca="false">IF(A37="","",COUNTIFS(Items!$A$5:$A$1004,A37,Items!$E$5:$E$1004,"Q2"))</f>
        <v/>
      </c>
      <c r="M37" s="17" t="str">
        <f aca="false">IF(A37="","",COUNTIFS(Items!$A$5:$A$1004,A37,Items!$E$5:$E$1004,"Q3"))</f>
        <v/>
      </c>
      <c r="N37" s="17" t="str">
        <f aca="false">IF(A37="","",COUNTIFS(Items!$A$5:$A$1004,A37,Items!$E$5:$E$1004,"Q4"))</f>
        <v/>
      </c>
      <c r="O37" s="17" t="str">
        <f aca="false">IF(A37="","",COUNTIF(K37:N37,"&gt;0"))</f>
        <v/>
      </c>
      <c r="P37" s="16"/>
      <c r="Q37" s="16"/>
      <c r="R37" s="16"/>
      <c r="S37" s="18"/>
      <c r="T37" s="16"/>
      <c r="U37" s="17" t="str">
        <f aca="false">IF(A37="","",IF(OR(B37="",H37="",R37="",S37=""),"TEST-ID, method, selector, date needed",IF(COUNTIF(Ref_TEST!$A$2:$A$201,B37)=0,"TEST-ID not in W10",IF(D37&lt;&gt;"Pass","HOLD: population IPE not Pass",IF(AND(OR(H37="Random (seeded)",H37="Systematic"),I37=""),"Seed or interval needed",IF(G37&lt;&gt;F37+N(J37),"Items selected differ from planned + targeted: explain",IF(P37&lt;&gt;"Y","Confirm period coverage",IF(Q37="","Raise wave 3 PBC request","OK"))))))))</f>
        <v/>
      </c>
    </row>
    <row r="38" customFormat="false" ht="15" hidden="false" customHeight="false" outlineLevel="0" collapsed="false">
      <c r="A38" s="16"/>
      <c r="B38" s="16"/>
      <c r="C38" s="17" t="str">
        <f aca="false">IFERROR(INDEX(Ref_TEST!$B$2:$B$201,MATCH(B38,Ref_TEST!$A$2:$A$201,0)),"")</f>
        <v/>
      </c>
      <c r="D38" s="17" t="str">
        <f aca="false">IFERROR(INDEX(Ref_TEST!$C$2:$C$201,MATCH(B38,Ref_TEST!$A$2:$A$201,0)),"")</f>
        <v/>
      </c>
      <c r="E38" s="17" t="str">
        <f aca="false">IFERROR(INDEX(Ref_TEST!$D$2:$D$201,MATCH(B38,Ref_TEST!$A$2:$A$201,0)),"")</f>
        <v/>
      </c>
      <c r="F38" s="17" t="str">
        <f aca="false">IFERROR(INDEX(Ref_TEST!$E$2:$E$201,MATCH(B38,Ref_TEST!$A$2:$A$201,0)),"")</f>
        <v/>
      </c>
      <c r="G38" s="17" t="str">
        <f aca="false">IF(A38="","",COUNTIF(Items!$A$5:$A$1004,A38))</f>
        <v/>
      </c>
      <c r="H38" s="16"/>
      <c r="I38" s="16"/>
      <c r="J38" s="16"/>
      <c r="K38" s="17" t="str">
        <f aca="false">IF(A38="","",COUNTIFS(Items!$A$5:$A$1004,A38,Items!$E$5:$E$1004,"Q1"))</f>
        <v/>
      </c>
      <c r="L38" s="17" t="str">
        <f aca="false">IF(A38="","",COUNTIFS(Items!$A$5:$A$1004,A38,Items!$E$5:$E$1004,"Q2"))</f>
        <v/>
      </c>
      <c r="M38" s="17" t="str">
        <f aca="false">IF(A38="","",COUNTIFS(Items!$A$5:$A$1004,A38,Items!$E$5:$E$1004,"Q3"))</f>
        <v/>
      </c>
      <c r="N38" s="17" t="str">
        <f aca="false">IF(A38="","",COUNTIFS(Items!$A$5:$A$1004,A38,Items!$E$5:$E$1004,"Q4"))</f>
        <v/>
      </c>
      <c r="O38" s="17" t="str">
        <f aca="false">IF(A38="","",COUNTIF(K38:N38,"&gt;0"))</f>
        <v/>
      </c>
      <c r="P38" s="16"/>
      <c r="Q38" s="16"/>
      <c r="R38" s="16"/>
      <c r="S38" s="18"/>
      <c r="T38" s="16"/>
      <c r="U38" s="17" t="str">
        <f aca="false">IF(A38="","",IF(OR(B38="",H38="",R38="",S38=""),"TEST-ID, method, selector, date needed",IF(COUNTIF(Ref_TEST!$A$2:$A$201,B38)=0,"TEST-ID not in W10",IF(D38&lt;&gt;"Pass","HOLD: population IPE not Pass",IF(AND(OR(H38="Random (seeded)",H38="Systematic"),I38=""),"Seed or interval needed",IF(G38&lt;&gt;F38+N(J38),"Items selected differ from planned + targeted: explain",IF(P38&lt;&gt;"Y","Confirm period coverage",IF(Q38="","Raise wave 3 PBC request","OK"))))))))</f>
        <v/>
      </c>
    </row>
    <row r="39" customFormat="false" ht="15" hidden="false" customHeight="false" outlineLevel="0" collapsed="false">
      <c r="A39" s="16"/>
      <c r="B39" s="16"/>
      <c r="C39" s="17" t="str">
        <f aca="false">IFERROR(INDEX(Ref_TEST!$B$2:$B$201,MATCH(B39,Ref_TEST!$A$2:$A$201,0)),"")</f>
        <v/>
      </c>
      <c r="D39" s="17" t="str">
        <f aca="false">IFERROR(INDEX(Ref_TEST!$C$2:$C$201,MATCH(B39,Ref_TEST!$A$2:$A$201,0)),"")</f>
        <v/>
      </c>
      <c r="E39" s="17" t="str">
        <f aca="false">IFERROR(INDEX(Ref_TEST!$D$2:$D$201,MATCH(B39,Ref_TEST!$A$2:$A$201,0)),"")</f>
        <v/>
      </c>
      <c r="F39" s="17" t="str">
        <f aca="false">IFERROR(INDEX(Ref_TEST!$E$2:$E$201,MATCH(B39,Ref_TEST!$A$2:$A$201,0)),"")</f>
        <v/>
      </c>
      <c r="G39" s="17" t="str">
        <f aca="false">IF(A39="","",COUNTIF(Items!$A$5:$A$1004,A39))</f>
        <v/>
      </c>
      <c r="H39" s="16"/>
      <c r="I39" s="16"/>
      <c r="J39" s="16"/>
      <c r="K39" s="17" t="str">
        <f aca="false">IF(A39="","",COUNTIFS(Items!$A$5:$A$1004,A39,Items!$E$5:$E$1004,"Q1"))</f>
        <v/>
      </c>
      <c r="L39" s="17" t="str">
        <f aca="false">IF(A39="","",COUNTIFS(Items!$A$5:$A$1004,A39,Items!$E$5:$E$1004,"Q2"))</f>
        <v/>
      </c>
      <c r="M39" s="17" t="str">
        <f aca="false">IF(A39="","",COUNTIFS(Items!$A$5:$A$1004,A39,Items!$E$5:$E$1004,"Q3"))</f>
        <v/>
      </c>
      <c r="N39" s="17" t="str">
        <f aca="false">IF(A39="","",COUNTIFS(Items!$A$5:$A$1004,A39,Items!$E$5:$E$1004,"Q4"))</f>
        <v/>
      </c>
      <c r="O39" s="17" t="str">
        <f aca="false">IF(A39="","",COUNTIF(K39:N39,"&gt;0"))</f>
        <v/>
      </c>
      <c r="P39" s="16"/>
      <c r="Q39" s="16"/>
      <c r="R39" s="16"/>
      <c r="S39" s="18"/>
      <c r="T39" s="16"/>
      <c r="U39" s="17" t="str">
        <f aca="false">IF(A39="","",IF(OR(B39="",H39="",R39="",S39=""),"TEST-ID, method, selector, date needed",IF(COUNTIF(Ref_TEST!$A$2:$A$201,B39)=0,"TEST-ID not in W10",IF(D39&lt;&gt;"Pass","HOLD: population IPE not Pass",IF(AND(OR(H39="Random (seeded)",H39="Systematic"),I39=""),"Seed or interval needed",IF(G39&lt;&gt;F39+N(J39),"Items selected differ from planned + targeted: explain",IF(P39&lt;&gt;"Y","Confirm period coverage",IF(Q39="","Raise wave 3 PBC request","OK"))))))))</f>
        <v/>
      </c>
    </row>
    <row r="40" customFormat="false" ht="15" hidden="false" customHeight="false" outlineLevel="0" collapsed="false">
      <c r="A40" s="16"/>
      <c r="B40" s="16"/>
      <c r="C40" s="17" t="str">
        <f aca="false">IFERROR(INDEX(Ref_TEST!$B$2:$B$201,MATCH(B40,Ref_TEST!$A$2:$A$201,0)),"")</f>
        <v/>
      </c>
      <c r="D40" s="17" t="str">
        <f aca="false">IFERROR(INDEX(Ref_TEST!$C$2:$C$201,MATCH(B40,Ref_TEST!$A$2:$A$201,0)),"")</f>
        <v/>
      </c>
      <c r="E40" s="17" t="str">
        <f aca="false">IFERROR(INDEX(Ref_TEST!$D$2:$D$201,MATCH(B40,Ref_TEST!$A$2:$A$201,0)),"")</f>
        <v/>
      </c>
      <c r="F40" s="17" t="str">
        <f aca="false">IFERROR(INDEX(Ref_TEST!$E$2:$E$201,MATCH(B40,Ref_TEST!$A$2:$A$201,0)),"")</f>
        <v/>
      </c>
      <c r="G40" s="17" t="str">
        <f aca="false">IF(A40="","",COUNTIF(Items!$A$5:$A$1004,A40))</f>
        <v/>
      </c>
      <c r="H40" s="16"/>
      <c r="I40" s="16"/>
      <c r="J40" s="16"/>
      <c r="K40" s="17" t="str">
        <f aca="false">IF(A40="","",COUNTIFS(Items!$A$5:$A$1004,A40,Items!$E$5:$E$1004,"Q1"))</f>
        <v/>
      </c>
      <c r="L40" s="17" t="str">
        <f aca="false">IF(A40="","",COUNTIFS(Items!$A$5:$A$1004,A40,Items!$E$5:$E$1004,"Q2"))</f>
        <v/>
      </c>
      <c r="M40" s="17" t="str">
        <f aca="false">IF(A40="","",COUNTIFS(Items!$A$5:$A$1004,A40,Items!$E$5:$E$1004,"Q3"))</f>
        <v/>
      </c>
      <c r="N40" s="17" t="str">
        <f aca="false">IF(A40="","",COUNTIFS(Items!$A$5:$A$1004,A40,Items!$E$5:$E$1004,"Q4"))</f>
        <v/>
      </c>
      <c r="O40" s="17" t="str">
        <f aca="false">IF(A40="","",COUNTIF(K40:N40,"&gt;0"))</f>
        <v/>
      </c>
      <c r="P40" s="16"/>
      <c r="Q40" s="16"/>
      <c r="R40" s="16"/>
      <c r="S40" s="18"/>
      <c r="T40" s="16"/>
      <c r="U40" s="17" t="str">
        <f aca="false">IF(A40="","",IF(OR(B40="",H40="",R40="",S40=""),"TEST-ID, method, selector, date needed",IF(COUNTIF(Ref_TEST!$A$2:$A$201,B40)=0,"TEST-ID not in W10",IF(D40&lt;&gt;"Pass","HOLD: population IPE not Pass",IF(AND(OR(H40="Random (seeded)",H40="Systematic"),I40=""),"Seed or interval needed",IF(G40&lt;&gt;F40+N(J40),"Items selected differ from planned + targeted: explain",IF(P40&lt;&gt;"Y","Confirm period coverage",IF(Q40="","Raise wave 3 PBC request","OK"))))))))</f>
        <v/>
      </c>
    </row>
    <row r="41" customFormat="false" ht="15" hidden="false" customHeight="false" outlineLevel="0" collapsed="false">
      <c r="A41" s="16"/>
      <c r="B41" s="16"/>
      <c r="C41" s="17" t="str">
        <f aca="false">IFERROR(INDEX(Ref_TEST!$B$2:$B$201,MATCH(B41,Ref_TEST!$A$2:$A$201,0)),"")</f>
        <v/>
      </c>
      <c r="D41" s="17" t="str">
        <f aca="false">IFERROR(INDEX(Ref_TEST!$C$2:$C$201,MATCH(B41,Ref_TEST!$A$2:$A$201,0)),"")</f>
        <v/>
      </c>
      <c r="E41" s="17" t="str">
        <f aca="false">IFERROR(INDEX(Ref_TEST!$D$2:$D$201,MATCH(B41,Ref_TEST!$A$2:$A$201,0)),"")</f>
        <v/>
      </c>
      <c r="F41" s="17" t="str">
        <f aca="false">IFERROR(INDEX(Ref_TEST!$E$2:$E$201,MATCH(B41,Ref_TEST!$A$2:$A$201,0)),"")</f>
        <v/>
      </c>
      <c r="G41" s="17" t="str">
        <f aca="false">IF(A41="","",COUNTIF(Items!$A$5:$A$1004,A41))</f>
        <v/>
      </c>
      <c r="H41" s="16"/>
      <c r="I41" s="16"/>
      <c r="J41" s="16"/>
      <c r="K41" s="17" t="str">
        <f aca="false">IF(A41="","",COUNTIFS(Items!$A$5:$A$1004,A41,Items!$E$5:$E$1004,"Q1"))</f>
        <v/>
      </c>
      <c r="L41" s="17" t="str">
        <f aca="false">IF(A41="","",COUNTIFS(Items!$A$5:$A$1004,A41,Items!$E$5:$E$1004,"Q2"))</f>
        <v/>
      </c>
      <c r="M41" s="17" t="str">
        <f aca="false">IF(A41="","",COUNTIFS(Items!$A$5:$A$1004,A41,Items!$E$5:$E$1004,"Q3"))</f>
        <v/>
      </c>
      <c r="N41" s="17" t="str">
        <f aca="false">IF(A41="","",COUNTIFS(Items!$A$5:$A$1004,A41,Items!$E$5:$E$1004,"Q4"))</f>
        <v/>
      </c>
      <c r="O41" s="17" t="str">
        <f aca="false">IF(A41="","",COUNTIF(K41:N41,"&gt;0"))</f>
        <v/>
      </c>
      <c r="P41" s="16"/>
      <c r="Q41" s="16"/>
      <c r="R41" s="16"/>
      <c r="S41" s="18"/>
      <c r="T41" s="16"/>
      <c r="U41" s="17" t="str">
        <f aca="false">IF(A41="","",IF(OR(B41="",H41="",R41="",S41=""),"TEST-ID, method, selector, date needed",IF(COUNTIF(Ref_TEST!$A$2:$A$201,B41)=0,"TEST-ID not in W10",IF(D41&lt;&gt;"Pass","HOLD: population IPE not Pass",IF(AND(OR(H41="Random (seeded)",H41="Systematic"),I41=""),"Seed or interval needed",IF(G41&lt;&gt;F41+N(J41),"Items selected differ from planned + targeted: explain",IF(P41&lt;&gt;"Y","Confirm period coverage",IF(Q41="","Raise wave 3 PBC request","OK"))))))))</f>
        <v/>
      </c>
    </row>
    <row r="42" customFormat="false" ht="15" hidden="false" customHeight="false" outlineLevel="0" collapsed="false">
      <c r="A42" s="16"/>
      <c r="B42" s="16"/>
      <c r="C42" s="17" t="str">
        <f aca="false">IFERROR(INDEX(Ref_TEST!$B$2:$B$201,MATCH(B42,Ref_TEST!$A$2:$A$201,0)),"")</f>
        <v/>
      </c>
      <c r="D42" s="17" t="str">
        <f aca="false">IFERROR(INDEX(Ref_TEST!$C$2:$C$201,MATCH(B42,Ref_TEST!$A$2:$A$201,0)),"")</f>
        <v/>
      </c>
      <c r="E42" s="17" t="str">
        <f aca="false">IFERROR(INDEX(Ref_TEST!$D$2:$D$201,MATCH(B42,Ref_TEST!$A$2:$A$201,0)),"")</f>
        <v/>
      </c>
      <c r="F42" s="17" t="str">
        <f aca="false">IFERROR(INDEX(Ref_TEST!$E$2:$E$201,MATCH(B42,Ref_TEST!$A$2:$A$201,0)),"")</f>
        <v/>
      </c>
      <c r="G42" s="17" t="str">
        <f aca="false">IF(A42="","",COUNTIF(Items!$A$5:$A$1004,A42))</f>
        <v/>
      </c>
      <c r="H42" s="16"/>
      <c r="I42" s="16"/>
      <c r="J42" s="16"/>
      <c r="K42" s="17" t="str">
        <f aca="false">IF(A42="","",COUNTIFS(Items!$A$5:$A$1004,A42,Items!$E$5:$E$1004,"Q1"))</f>
        <v/>
      </c>
      <c r="L42" s="17" t="str">
        <f aca="false">IF(A42="","",COUNTIFS(Items!$A$5:$A$1004,A42,Items!$E$5:$E$1004,"Q2"))</f>
        <v/>
      </c>
      <c r="M42" s="17" t="str">
        <f aca="false">IF(A42="","",COUNTIFS(Items!$A$5:$A$1004,A42,Items!$E$5:$E$1004,"Q3"))</f>
        <v/>
      </c>
      <c r="N42" s="17" t="str">
        <f aca="false">IF(A42="","",COUNTIFS(Items!$A$5:$A$1004,A42,Items!$E$5:$E$1004,"Q4"))</f>
        <v/>
      </c>
      <c r="O42" s="17" t="str">
        <f aca="false">IF(A42="","",COUNTIF(K42:N42,"&gt;0"))</f>
        <v/>
      </c>
      <c r="P42" s="16"/>
      <c r="Q42" s="16"/>
      <c r="R42" s="16"/>
      <c r="S42" s="18"/>
      <c r="T42" s="16"/>
      <c r="U42" s="17" t="str">
        <f aca="false">IF(A42="","",IF(OR(B42="",H42="",R42="",S42=""),"TEST-ID, method, selector, date needed",IF(COUNTIF(Ref_TEST!$A$2:$A$201,B42)=0,"TEST-ID not in W10",IF(D42&lt;&gt;"Pass","HOLD: population IPE not Pass",IF(AND(OR(H42="Random (seeded)",H42="Systematic"),I42=""),"Seed or interval needed",IF(G42&lt;&gt;F42+N(J42),"Items selected differ from planned + targeted: explain",IF(P42&lt;&gt;"Y","Confirm period coverage",IF(Q42="","Raise wave 3 PBC request","OK"))))))))</f>
        <v/>
      </c>
    </row>
    <row r="43" customFormat="false" ht="15" hidden="false" customHeight="false" outlineLevel="0" collapsed="false">
      <c r="A43" s="16"/>
      <c r="B43" s="16"/>
      <c r="C43" s="17" t="str">
        <f aca="false">IFERROR(INDEX(Ref_TEST!$B$2:$B$201,MATCH(B43,Ref_TEST!$A$2:$A$201,0)),"")</f>
        <v/>
      </c>
      <c r="D43" s="17" t="str">
        <f aca="false">IFERROR(INDEX(Ref_TEST!$C$2:$C$201,MATCH(B43,Ref_TEST!$A$2:$A$201,0)),"")</f>
        <v/>
      </c>
      <c r="E43" s="17" t="str">
        <f aca="false">IFERROR(INDEX(Ref_TEST!$D$2:$D$201,MATCH(B43,Ref_TEST!$A$2:$A$201,0)),"")</f>
        <v/>
      </c>
      <c r="F43" s="17" t="str">
        <f aca="false">IFERROR(INDEX(Ref_TEST!$E$2:$E$201,MATCH(B43,Ref_TEST!$A$2:$A$201,0)),"")</f>
        <v/>
      </c>
      <c r="G43" s="17" t="str">
        <f aca="false">IF(A43="","",COUNTIF(Items!$A$5:$A$1004,A43))</f>
        <v/>
      </c>
      <c r="H43" s="16"/>
      <c r="I43" s="16"/>
      <c r="J43" s="16"/>
      <c r="K43" s="17" t="str">
        <f aca="false">IF(A43="","",COUNTIFS(Items!$A$5:$A$1004,A43,Items!$E$5:$E$1004,"Q1"))</f>
        <v/>
      </c>
      <c r="L43" s="17" t="str">
        <f aca="false">IF(A43="","",COUNTIFS(Items!$A$5:$A$1004,A43,Items!$E$5:$E$1004,"Q2"))</f>
        <v/>
      </c>
      <c r="M43" s="17" t="str">
        <f aca="false">IF(A43="","",COUNTIFS(Items!$A$5:$A$1004,A43,Items!$E$5:$E$1004,"Q3"))</f>
        <v/>
      </c>
      <c r="N43" s="17" t="str">
        <f aca="false">IF(A43="","",COUNTIFS(Items!$A$5:$A$1004,A43,Items!$E$5:$E$1004,"Q4"))</f>
        <v/>
      </c>
      <c r="O43" s="17" t="str">
        <f aca="false">IF(A43="","",COUNTIF(K43:N43,"&gt;0"))</f>
        <v/>
      </c>
      <c r="P43" s="16"/>
      <c r="Q43" s="16"/>
      <c r="R43" s="16"/>
      <c r="S43" s="18"/>
      <c r="T43" s="16"/>
      <c r="U43" s="17" t="str">
        <f aca="false">IF(A43="","",IF(OR(B43="",H43="",R43="",S43=""),"TEST-ID, method, selector, date needed",IF(COUNTIF(Ref_TEST!$A$2:$A$201,B43)=0,"TEST-ID not in W10",IF(D43&lt;&gt;"Pass","HOLD: population IPE not Pass",IF(AND(OR(H43="Random (seeded)",H43="Systematic"),I43=""),"Seed or interval needed",IF(G43&lt;&gt;F43+N(J43),"Items selected differ from planned + targeted: explain",IF(P43&lt;&gt;"Y","Confirm period coverage",IF(Q43="","Raise wave 3 PBC request","OK"))))))))</f>
        <v/>
      </c>
    </row>
    <row r="44" customFormat="false" ht="15" hidden="false" customHeight="false" outlineLevel="0" collapsed="false">
      <c r="A44" s="16"/>
      <c r="B44" s="16"/>
      <c r="C44" s="17" t="str">
        <f aca="false">IFERROR(INDEX(Ref_TEST!$B$2:$B$201,MATCH(B44,Ref_TEST!$A$2:$A$201,0)),"")</f>
        <v/>
      </c>
      <c r="D44" s="17" t="str">
        <f aca="false">IFERROR(INDEX(Ref_TEST!$C$2:$C$201,MATCH(B44,Ref_TEST!$A$2:$A$201,0)),"")</f>
        <v/>
      </c>
      <c r="E44" s="17" t="str">
        <f aca="false">IFERROR(INDEX(Ref_TEST!$D$2:$D$201,MATCH(B44,Ref_TEST!$A$2:$A$201,0)),"")</f>
        <v/>
      </c>
      <c r="F44" s="17" t="str">
        <f aca="false">IFERROR(INDEX(Ref_TEST!$E$2:$E$201,MATCH(B44,Ref_TEST!$A$2:$A$201,0)),"")</f>
        <v/>
      </c>
      <c r="G44" s="17" t="str">
        <f aca="false">IF(A44="","",COUNTIF(Items!$A$5:$A$1004,A44))</f>
        <v/>
      </c>
      <c r="H44" s="16"/>
      <c r="I44" s="16"/>
      <c r="J44" s="16"/>
      <c r="K44" s="17" t="str">
        <f aca="false">IF(A44="","",COUNTIFS(Items!$A$5:$A$1004,A44,Items!$E$5:$E$1004,"Q1"))</f>
        <v/>
      </c>
      <c r="L44" s="17" t="str">
        <f aca="false">IF(A44="","",COUNTIFS(Items!$A$5:$A$1004,A44,Items!$E$5:$E$1004,"Q2"))</f>
        <v/>
      </c>
      <c r="M44" s="17" t="str">
        <f aca="false">IF(A44="","",COUNTIFS(Items!$A$5:$A$1004,A44,Items!$E$5:$E$1004,"Q3"))</f>
        <v/>
      </c>
      <c r="N44" s="17" t="str">
        <f aca="false">IF(A44="","",COUNTIFS(Items!$A$5:$A$1004,A44,Items!$E$5:$E$1004,"Q4"))</f>
        <v/>
      </c>
      <c r="O44" s="17" t="str">
        <f aca="false">IF(A44="","",COUNTIF(K44:N44,"&gt;0"))</f>
        <v/>
      </c>
      <c r="P44" s="16"/>
      <c r="Q44" s="16"/>
      <c r="R44" s="16"/>
      <c r="S44" s="18"/>
      <c r="T44" s="16"/>
      <c r="U44" s="17" t="str">
        <f aca="false">IF(A44="","",IF(OR(B44="",H44="",R44="",S44=""),"TEST-ID, method, selector, date needed",IF(COUNTIF(Ref_TEST!$A$2:$A$201,B44)=0,"TEST-ID not in W10",IF(D44&lt;&gt;"Pass","HOLD: population IPE not Pass",IF(AND(OR(H44="Random (seeded)",H44="Systematic"),I44=""),"Seed or interval needed",IF(G44&lt;&gt;F44+N(J44),"Items selected differ from planned + targeted: explain",IF(P44&lt;&gt;"Y","Confirm period coverage",IF(Q44="","Raise wave 3 PBC request","OK"))))))))</f>
        <v/>
      </c>
    </row>
    <row r="45" customFormat="false" ht="15" hidden="false" customHeight="false" outlineLevel="0" collapsed="false">
      <c r="A45" s="16"/>
      <c r="B45" s="16"/>
      <c r="C45" s="17" t="str">
        <f aca="false">IFERROR(INDEX(Ref_TEST!$B$2:$B$201,MATCH(B45,Ref_TEST!$A$2:$A$201,0)),"")</f>
        <v/>
      </c>
      <c r="D45" s="17" t="str">
        <f aca="false">IFERROR(INDEX(Ref_TEST!$C$2:$C$201,MATCH(B45,Ref_TEST!$A$2:$A$201,0)),"")</f>
        <v/>
      </c>
      <c r="E45" s="17" t="str">
        <f aca="false">IFERROR(INDEX(Ref_TEST!$D$2:$D$201,MATCH(B45,Ref_TEST!$A$2:$A$201,0)),"")</f>
        <v/>
      </c>
      <c r="F45" s="17" t="str">
        <f aca="false">IFERROR(INDEX(Ref_TEST!$E$2:$E$201,MATCH(B45,Ref_TEST!$A$2:$A$201,0)),"")</f>
        <v/>
      </c>
      <c r="G45" s="17" t="str">
        <f aca="false">IF(A45="","",COUNTIF(Items!$A$5:$A$1004,A45))</f>
        <v/>
      </c>
      <c r="H45" s="16"/>
      <c r="I45" s="16"/>
      <c r="J45" s="16"/>
      <c r="K45" s="17" t="str">
        <f aca="false">IF(A45="","",COUNTIFS(Items!$A$5:$A$1004,A45,Items!$E$5:$E$1004,"Q1"))</f>
        <v/>
      </c>
      <c r="L45" s="17" t="str">
        <f aca="false">IF(A45="","",COUNTIFS(Items!$A$5:$A$1004,A45,Items!$E$5:$E$1004,"Q2"))</f>
        <v/>
      </c>
      <c r="M45" s="17" t="str">
        <f aca="false">IF(A45="","",COUNTIFS(Items!$A$5:$A$1004,A45,Items!$E$5:$E$1004,"Q3"))</f>
        <v/>
      </c>
      <c r="N45" s="17" t="str">
        <f aca="false">IF(A45="","",COUNTIFS(Items!$A$5:$A$1004,A45,Items!$E$5:$E$1004,"Q4"))</f>
        <v/>
      </c>
      <c r="O45" s="17" t="str">
        <f aca="false">IF(A45="","",COUNTIF(K45:N45,"&gt;0"))</f>
        <v/>
      </c>
      <c r="P45" s="16"/>
      <c r="Q45" s="16"/>
      <c r="R45" s="16"/>
      <c r="S45" s="18"/>
      <c r="T45" s="16"/>
      <c r="U45" s="17" t="str">
        <f aca="false">IF(A45="","",IF(OR(B45="",H45="",R45="",S45=""),"TEST-ID, method, selector, date needed",IF(COUNTIF(Ref_TEST!$A$2:$A$201,B45)=0,"TEST-ID not in W10",IF(D45&lt;&gt;"Pass","HOLD: population IPE not Pass",IF(AND(OR(H45="Random (seeded)",H45="Systematic"),I45=""),"Seed or interval needed",IF(G45&lt;&gt;F45+N(J45),"Items selected differ from planned + targeted: explain",IF(P45&lt;&gt;"Y","Confirm period coverage",IF(Q45="","Raise wave 3 PBC request","OK"))))))))</f>
        <v/>
      </c>
    </row>
    <row r="46" customFormat="false" ht="15" hidden="false" customHeight="false" outlineLevel="0" collapsed="false">
      <c r="A46" s="16"/>
      <c r="B46" s="16"/>
      <c r="C46" s="17" t="str">
        <f aca="false">IFERROR(INDEX(Ref_TEST!$B$2:$B$201,MATCH(B46,Ref_TEST!$A$2:$A$201,0)),"")</f>
        <v/>
      </c>
      <c r="D46" s="17" t="str">
        <f aca="false">IFERROR(INDEX(Ref_TEST!$C$2:$C$201,MATCH(B46,Ref_TEST!$A$2:$A$201,0)),"")</f>
        <v/>
      </c>
      <c r="E46" s="17" t="str">
        <f aca="false">IFERROR(INDEX(Ref_TEST!$D$2:$D$201,MATCH(B46,Ref_TEST!$A$2:$A$201,0)),"")</f>
        <v/>
      </c>
      <c r="F46" s="17" t="str">
        <f aca="false">IFERROR(INDEX(Ref_TEST!$E$2:$E$201,MATCH(B46,Ref_TEST!$A$2:$A$201,0)),"")</f>
        <v/>
      </c>
      <c r="G46" s="17" t="str">
        <f aca="false">IF(A46="","",COUNTIF(Items!$A$5:$A$1004,A46))</f>
        <v/>
      </c>
      <c r="H46" s="16"/>
      <c r="I46" s="16"/>
      <c r="J46" s="16"/>
      <c r="K46" s="17" t="str">
        <f aca="false">IF(A46="","",COUNTIFS(Items!$A$5:$A$1004,A46,Items!$E$5:$E$1004,"Q1"))</f>
        <v/>
      </c>
      <c r="L46" s="17" t="str">
        <f aca="false">IF(A46="","",COUNTIFS(Items!$A$5:$A$1004,A46,Items!$E$5:$E$1004,"Q2"))</f>
        <v/>
      </c>
      <c r="M46" s="17" t="str">
        <f aca="false">IF(A46="","",COUNTIFS(Items!$A$5:$A$1004,A46,Items!$E$5:$E$1004,"Q3"))</f>
        <v/>
      </c>
      <c r="N46" s="17" t="str">
        <f aca="false">IF(A46="","",COUNTIFS(Items!$A$5:$A$1004,A46,Items!$E$5:$E$1004,"Q4"))</f>
        <v/>
      </c>
      <c r="O46" s="17" t="str">
        <f aca="false">IF(A46="","",COUNTIF(K46:N46,"&gt;0"))</f>
        <v/>
      </c>
      <c r="P46" s="16"/>
      <c r="Q46" s="16"/>
      <c r="R46" s="16"/>
      <c r="S46" s="18"/>
      <c r="T46" s="16"/>
      <c r="U46" s="17" t="str">
        <f aca="false">IF(A46="","",IF(OR(B46="",H46="",R46="",S46=""),"TEST-ID, method, selector, date needed",IF(COUNTIF(Ref_TEST!$A$2:$A$201,B46)=0,"TEST-ID not in W10",IF(D46&lt;&gt;"Pass","HOLD: population IPE not Pass",IF(AND(OR(H46="Random (seeded)",H46="Systematic"),I46=""),"Seed or interval needed",IF(G46&lt;&gt;F46+N(J46),"Items selected differ from planned + targeted: explain",IF(P46&lt;&gt;"Y","Confirm period coverage",IF(Q46="","Raise wave 3 PBC request","OK"))))))))</f>
        <v/>
      </c>
    </row>
    <row r="47" customFormat="false" ht="15" hidden="false" customHeight="false" outlineLevel="0" collapsed="false">
      <c r="A47" s="16"/>
      <c r="B47" s="16"/>
      <c r="C47" s="17" t="str">
        <f aca="false">IFERROR(INDEX(Ref_TEST!$B$2:$B$201,MATCH(B47,Ref_TEST!$A$2:$A$201,0)),"")</f>
        <v/>
      </c>
      <c r="D47" s="17" t="str">
        <f aca="false">IFERROR(INDEX(Ref_TEST!$C$2:$C$201,MATCH(B47,Ref_TEST!$A$2:$A$201,0)),"")</f>
        <v/>
      </c>
      <c r="E47" s="17" t="str">
        <f aca="false">IFERROR(INDEX(Ref_TEST!$D$2:$D$201,MATCH(B47,Ref_TEST!$A$2:$A$201,0)),"")</f>
        <v/>
      </c>
      <c r="F47" s="17" t="str">
        <f aca="false">IFERROR(INDEX(Ref_TEST!$E$2:$E$201,MATCH(B47,Ref_TEST!$A$2:$A$201,0)),"")</f>
        <v/>
      </c>
      <c r="G47" s="17" t="str">
        <f aca="false">IF(A47="","",COUNTIF(Items!$A$5:$A$1004,A47))</f>
        <v/>
      </c>
      <c r="H47" s="16"/>
      <c r="I47" s="16"/>
      <c r="J47" s="16"/>
      <c r="K47" s="17" t="str">
        <f aca="false">IF(A47="","",COUNTIFS(Items!$A$5:$A$1004,A47,Items!$E$5:$E$1004,"Q1"))</f>
        <v/>
      </c>
      <c r="L47" s="17" t="str">
        <f aca="false">IF(A47="","",COUNTIFS(Items!$A$5:$A$1004,A47,Items!$E$5:$E$1004,"Q2"))</f>
        <v/>
      </c>
      <c r="M47" s="17" t="str">
        <f aca="false">IF(A47="","",COUNTIFS(Items!$A$5:$A$1004,A47,Items!$E$5:$E$1004,"Q3"))</f>
        <v/>
      </c>
      <c r="N47" s="17" t="str">
        <f aca="false">IF(A47="","",COUNTIFS(Items!$A$5:$A$1004,A47,Items!$E$5:$E$1004,"Q4"))</f>
        <v/>
      </c>
      <c r="O47" s="17" t="str">
        <f aca="false">IF(A47="","",COUNTIF(K47:N47,"&gt;0"))</f>
        <v/>
      </c>
      <c r="P47" s="16"/>
      <c r="Q47" s="16"/>
      <c r="R47" s="16"/>
      <c r="S47" s="18"/>
      <c r="T47" s="16"/>
      <c r="U47" s="17" t="str">
        <f aca="false">IF(A47="","",IF(OR(B47="",H47="",R47="",S47=""),"TEST-ID, method, selector, date needed",IF(COUNTIF(Ref_TEST!$A$2:$A$201,B47)=0,"TEST-ID not in W10",IF(D47&lt;&gt;"Pass","HOLD: population IPE not Pass",IF(AND(OR(H47="Random (seeded)",H47="Systematic"),I47=""),"Seed or interval needed",IF(G47&lt;&gt;F47+N(J47),"Items selected differ from planned + targeted: explain",IF(P47&lt;&gt;"Y","Confirm period coverage",IF(Q47="","Raise wave 3 PBC request","OK"))))))))</f>
        <v/>
      </c>
    </row>
    <row r="48" customFormat="false" ht="15" hidden="false" customHeight="false" outlineLevel="0" collapsed="false">
      <c r="A48" s="16"/>
      <c r="B48" s="16"/>
      <c r="C48" s="17" t="str">
        <f aca="false">IFERROR(INDEX(Ref_TEST!$B$2:$B$201,MATCH(B48,Ref_TEST!$A$2:$A$201,0)),"")</f>
        <v/>
      </c>
      <c r="D48" s="17" t="str">
        <f aca="false">IFERROR(INDEX(Ref_TEST!$C$2:$C$201,MATCH(B48,Ref_TEST!$A$2:$A$201,0)),"")</f>
        <v/>
      </c>
      <c r="E48" s="17" t="str">
        <f aca="false">IFERROR(INDEX(Ref_TEST!$D$2:$D$201,MATCH(B48,Ref_TEST!$A$2:$A$201,0)),"")</f>
        <v/>
      </c>
      <c r="F48" s="17" t="str">
        <f aca="false">IFERROR(INDEX(Ref_TEST!$E$2:$E$201,MATCH(B48,Ref_TEST!$A$2:$A$201,0)),"")</f>
        <v/>
      </c>
      <c r="G48" s="17" t="str">
        <f aca="false">IF(A48="","",COUNTIF(Items!$A$5:$A$1004,A48))</f>
        <v/>
      </c>
      <c r="H48" s="16"/>
      <c r="I48" s="16"/>
      <c r="J48" s="16"/>
      <c r="K48" s="17" t="str">
        <f aca="false">IF(A48="","",COUNTIFS(Items!$A$5:$A$1004,A48,Items!$E$5:$E$1004,"Q1"))</f>
        <v/>
      </c>
      <c r="L48" s="17" t="str">
        <f aca="false">IF(A48="","",COUNTIFS(Items!$A$5:$A$1004,A48,Items!$E$5:$E$1004,"Q2"))</f>
        <v/>
      </c>
      <c r="M48" s="17" t="str">
        <f aca="false">IF(A48="","",COUNTIFS(Items!$A$5:$A$1004,A48,Items!$E$5:$E$1004,"Q3"))</f>
        <v/>
      </c>
      <c r="N48" s="17" t="str">
        <f aca="false">IF(A48="","",COUNTIFS(Items!$A$5:$A$1004,A48,Items!$E$5:$E$1004,"Q4"))</f>
        <v/>
      </c>
      <c r="O48" s="17" t="str">
        <f aca="false">IF(A48="","",COUNTIF(K48:N48,"&gt;0"))</f>
        <v/>
      </c>
      <c r="P48" s="16"/>
      <c r="Q48" s="16"/>
      <c r="R48" s="16"/>
      <c r="S48" s="18"/>
      <c r="T48" s="16"/>
      <c r="U48" s="17" t="str">
        <f aca="false">IF(A48="","",IF(OR(B48="",H48="",R48="",S48=""),"TEST-ID, method, selector, date needed",IF(COUNTIF(Ref_TEST!$A$2:$A$201,B48)=0,"TEST-ID not in W10",IF(D48&lt;&gt;"Pass","HOLD: population IPE not Pass",IF(AND(OR(H48="Random (seeded)",H48="Systematic"),I48=""),"Seed or interval needed",IF(G48&lt;&gt;F48+N(J48),"Items selected differ from planned + targeted: explain",IF(P48&lt;&gt;"Y","Confirm period coverage",IF(Q48="","Raise wave 3 PBC request","OK"))))))))</f>
        <v/>
      </c>
    </row>
    <row r="49" customFormat="false" ht="15" hidden="false" customHeight="false" outlineLevel="0" collapsed="false">
      <c r="A49" s="16"/>
      <c r="B49" s="16"/>
      <c r="C49" s="17" t="str">
        <f aca="false">IFERROR(INDEX(Ref_TEST!$B$2:$B$201,MATCH(B49,Ref_TEST!$A$2:$A$201,0)),"")</f>
        <v/>
      </c>
      <c r="D49" s="17" t="str">
        <f aca="false">IFERROR(INDEX(Ref_TEST!$C$2:$C$201,MATCH(B49,Ref_TEST!$A$2:$A$201,0)),"")</f>
        <v/>
      </c>
      <c r="E49" s="17" t="str">
        <f aca="false">IFERROR(INDEX(Ref_TEST!$D$2:$D$201,MATCH(B49,Ref_TEST!$A$2:$A$201,0)),"")</f>
        <v/>
      </c>
      <c r="F49" s="17" t="str">
        <f aca="false">IFERROR(INDEX(Ref_TEST!$E$2:$E$201,MATCH(B49,Ref_TEST!$A$2:$A$201,0)),"")</f>
        <v/>
      </c>
      <c r="G49" s="17" t="str">
        <f aca="false">IF(A49="","",COUNTIF(Items!$A$5:$A$1004,A49))</f>
        <v/>
      </c>
      <c r="H49" s="16"/>
      <c r="I49" s="16"/>
      <c r="J49" s="16"/>
      <c r="K49" s="17" t="str">
        <f aca="false">IF(A49="","",COUNTIFS(Items!$A$5:$A$1004,A49,Items!$E$5:$E$1004,"Q1"))</f>
        <v/>
      </c>
      <c r="L49" s="17" t="str">
        <f aca="false">IF(A49="","",COUNTIFS(Items!$A$5:$A$1004,A49,Items!$E$5:$E$1004,"Q2"))</f>
        <v/>
      </c>
      <c r="M49" s="17" t="str">
        <f aca="false">IF(A49="","",COUNTIFS(Items!$A$5:$A$1004,A49,Items!$E$5:$E$1004,"Q3"))</f>
        <v/>
      </c>
      <c r="N49" s="17" t="str">
        <f aca="false">IF(A49="","",COUNTIFS(Items!$A$5:$A$1004,A49,Items!$E$5:$E$1004,"Q4"))</f>
        <v/>
      </c>
      <c r="O49" s="17" t="str">
        <f aca="false">IF(A49="","",COUNTIF(K49:N49,"&gt;0"))</f>
        <v/>
      </c>
      <c r="P49" s="16"/>
      <c r="Q49" s="16"/>
      <c r="R49" s="16"/>
      <c r="S49" s="18"/>
      <c r="T49" s="16"/>
      <c r="U49" s="17" t="str">
        <f aca="false">IF(A49="","",IF(OR(B49="",H49="",R49="",S49=""),"TEST-ID, method, selector, date needed",IF(COUNTIF(Ref_TEST!$A$2:$A$201,B49)=0,"TEST-ID not in W10",IF(D49&lt;&gt;"Pass","HOLD: population IPE not Pass",IF(AND(OR(H49="Random (seeded)",H49="Systematic"),I49=""),"Seed or interval needed",IF(G49&lt;&gt;F49+N(J49),"Items selected differ from planned + targeted: explain",IF(P49&lt;&gt;"Y","Confirm period coverage",IF(Q49="","Raise wave 3 PBC request","OK"))))))))</f>
        <v/>
      </c>
    </row>
    <row r="50" customFormat="false" ht="15" hidden="false" customHeight="false" outlineLevel="0" collapsed="false">
      <c r="A50" s="16"/>
      <c r="B50" s="16"/>
      <c r="C50" s="17" t="str">
        <f aca="false">IFERROR(INDEX(Ref_TEST!$B$2:$B$201,MATCH(B50,Ref_TEST!$A$2:$A$201,0)),"")</f>
        <v/>
      </c>
      <c r="D50" s="17" t="str">
        <f aca="false">IFERROR(INDEX(Ref_TEST!$C$2:$C$201,MATCH(B50,Ref_TEST!$A$2:$A$201,0)),"")</f>
        <v/>
      </c>
      <c r="E50" s="17" t="str">
        <f aca="false">IFERROR(INDEX(Ref_TEST!$D$2:$D$201,MATCH(B50,Ref_TEST!$A$2:$A$201,0)),"")</f>
        <v/>
      </c>
      <c r="F50" s="17" t="str">
        <f aca="false">IFERROR(INDEX(Ref_TEST!$E$2:$E$201,MATCH(B50,Ref_TEST!$A$2:$A$201,0)),"")</f>
        <v/>
      </c>
      <c r="G50" s="17" t="str">
        <f aca="false">IF(A50="","",COUNTIF(Items!$A$5:$A$1004,A50))</f>
        <v/>
      </c>
      <c r="H50" s="16"/>
      <c r="I50" s="16"/>
      <c r="J50" s="16"/>
      <c r="K50" s="17" t="str">
        <f aca="false">IF(A50="","",COUNTIFS(Items!$A$5:$A$1004,A50,Items!$E$5:$E$1004,"Q1"))</f>
        <v/>
      </c>
      <c r="L50" s="17" t="str">
        <f aca="false">IF(A50="","",COUNTIFS(Items!$A$5:$A$1004,A50,Items!$E$5:$E$1004,"Q2"))</f>
        <v/>
      </c>
      <c r="M50" s="17" t="str">
        <f aca="false">IF(A50="","",COUNTIFS(Items!$A$5:$A$1004,A50,Items!$E$5:$E$1004,"Q3"))</f>
        <v/>
      </c>
      <c r="N50" s="17" t="str">
        <f aca="false">IF(A50="","",COUNTIFS(Items!$A$5:$A$1004,A50,Items!$E$5:$E$1004,"Q4"))</f>
        <v/>
      </c>
      <c r="O50" s="17" t="str">
        <f aca="false">IF(A50="","",COUNTIF(K50:N50,"&gt;0"))</f>
        <v/>
      </c>
      <c r="P50" s="16"/>
      <c r="Q50" s="16"/>
      <c r="R50" s="16"/>
      <c r="S50" s="18"/>
      <c r="T50" s="16"/>
      <c r="U50" s="17" t="str">
        <f aca="false">IF(A50="","",IF(OR(B50="",H50="",R50="",S50=""),"TEST-ID, method, selector, date needed",IF(COUNTIF(Ref_TEST!$A$2:$A$201,B50)=0,"TEST-ID not in W10",IF(D50&lt;&gt;"Pass","HOLD: population IPE not Pass",IF(AND(OR(H50="Random (seeded)",H50="Systematic"),I50=""),"Seed or interval needed",IF(G50&lt;&gt;F50+N(J50),"Items selected differ from planned + targeted: explain",IF(P50&lt;&gt;"Y","Confirm period coverage",IF(Q50="","Raise wave 3 PBC request","OK"))))))))</f>
        <v/>
      </c>
    </row>
    <row r="51" customFormat="false" ht="15" hidden="false" customHeight="false" outlineLevel="0" collapsed="false">
      <c r="A51" s="16"/>
      <c r="B51" s="16"/>
      <c r="C51" s="17" t="str">
        <f aca="false">IFERROR(INDEX(Ref_TEST!$B$2:$B$201,MATCH(B51,Ref_TEST!$A$2:$A$201,0)),"")</f>
        <v/>
      </c>
      <c r="D51" s="17" t="str">
        <f aca="false">IFERROR(INDEX(Ref_TEST!$C$2:$C$201,MATCH(B51,Ref_TEST!$A$2:$A$201,0)),"")</f>
        <v/>
      </c>
      <c r="E51" s="17" t="str">
        <f aca="false">IFERROR(INDEX(Ref_TEST!$D$2:$D$201,MATCH(B51,Ref_TEST!$A$2:$A$201,0)),"")</f>
        <v/>
      </c>
      <c r="F51" s="17" t="str">
        <f aca="false">IFERROR(INDEX(Ref_TEST!$E$2:$E$201,MATCH(B51,Ref_TEST!$A$2:$A$201,0)),"")</f>
        <v/>
      </c>
      <c r="G51" s="17" t="str">
        <f aca="false">IF(A51="","",COUNTIF(Items!$A$5:$A$1004,A51))</f>
        <v/>
      </c>
      <c r="H51" s="16"/>
      <c r="I51" s="16"/>
      <c r="J51" s="16"/>
      <c r="K51" s="17" t="str">
        <f aca="false">IF(A51="","",COUNTIFS(Items!$A$5:$A$1004,A51,Items!$E$5:$E$1004,"Q1"))</f>
        <v/>
      </c>
      <c r="L51" s="17" t="str">
        <f aca="false">IF(A51="","",COUNTIFS(Items!$A$5:$A$1004,A51,Items!$E$5:$E$1004,"Q2"))</f>
        <v/>
      </c>
      <c r="M51" s="17" t="str">
        <f aca="false">IF(A51="","",COUNTIFS(Items!$A$5:$A$1004,A51,Items!$E$5:$E$1004,"Q3"))</f>
        <v/>
      </c>
      <c r="N51" s="17" t="str">
        <f aca="false">IF(A51="","",COUNTIFS(Items!$A$5:$A$1004,A51,Items!$E$5:$E$1004,"Q4"))</f>
        <v/>
      </c>
      <c r="O51" s="17" t="str">
        <f aca="false">IF(A51="","",COUNTIF(K51:N51,"&gt;0"))</f>
        <v/>
      </c>
      <c r="P51" s="16"/>
      <c r="Q51" s="16"/>
      <c r="R51" s="16"/>
      <c r="S51" s="18"/>
      <c r="T51" s="16"/>
      <c r="U51" s="17" t="str">
        <f aca="false">IF(A51="","",IF(OR(B51="",H51="",R51="",S51=""),"TEST-ID, method, selector, date needed",IF(COUNTIF(Ref_TEST!$A$2:$A$201,B51)=0,"TEST-ID not in W10",IF(D51&lt;&gt;"Pass","HOLD: population IPE not Pass",IF(AND(OR(H51="Random (seeded)",H51="Systematic"),I51=""),"Seed or interval needed",IF(G51&lt;&gt;F51+N(J51),"Items selected differ from planned + targeted: explain",IF(P51&lt;&gt;"Y","Confirm period coverage",IF(Q51="","Raise wave 3 PBC request","OK"))))))))</f>
        <v/>
      </c>
    </row>
    <row r="52" customFormat="false" ht="15" hidden="false" customHeight="false" outlineLevel="0" collapsed="false">
      <c r="A52" s="16"/>
      <c r="B52" s="16"/>
      <c r="C52" s="17" t="str">
        <f aca="false">IFERROR(INDEX(Ref_TEST!$B$2:$B$201,MATCH(B52,Ref_TEST!$A$2:$A$201,0)),"")</f>
        <v/>
      </c>
      <c r="D52" s="17" t="str">
        <f aca="false">IFERROR(INDEX(Ref_TEST!$C$2:$C$201,MATCH(B52,Ref_TEST!$A$2:$A$201,0)),"")</f>
        <v/>
      </c>
      <c r="E52" s="17" t="str">
        <f aca="false">IFERROR(INDEX(Ref_TEST!$D$2:$D$201,MATCH(B52,Ref_TEST!$A$2:$A$201,0)),"")</f>
        <v/>
      </c>
      <c r="F52" s="17" t="str">
        <f aca="false">IFERROR(INDEX(Ref_TEST!$E$2:$E$201,MATCH(B52,Ref_TEST!$A$2:$A$201,0)),"")</f>
        <v/>
      </c>
      <c r="G52" s="17" t="str">
        <f aca="false">IF(A52="","",COUNTIF(Items!$A$5:$A$1004,A52))</f>
        <v/>
      </c>
      <c r="H52" s="16"/>
      <c r="I52" s="16"/>
      <c r="J52" s="16"/>
      <c r="K52" s="17" t="str">
        <f aca="false">IF(A52="","",COUNTIFS(Items!$A$5:$A$1004,A52,Items!$E$5:$E$1004,"Q1"))</f>
        <v/>
      </c>
      <c r="L52" s="17" t="str">
        <f aca="false">IF(A52="","",COUNTIFS(Items!$A$5:$A$1004,A52,Items!$E$5:$E$1004,"Q2"))</f>
        <v/>
      </c>
      <c r="M52" s="17" t="str">
        <f aca="false">IF(A52="","",COUNTIFS(Items!$A$5:$A$1004,A52,Items!$E$5:$E$1004,"Q3"))</f>
        <v/>
      </c>
      <c r="N52" s="17" t="str">
        <f aca="false">IF(A52="","",COUNTIFS(Items!$A$5:$A$1004,A52,Items!$E$5:$E$1004,"Q4"))</f>
        <v/>
      </c>
      <c r="O52" s="17" t="str">
        <f aca="false">IF(A52="","",COUNTIF(K52:N52,"&gt;0"))</f>
        <v/>
      </c>
      <c r="P52" s="16"/>
      <c r="Q52" s="16"/>
      <c r="R52" s="16"/>
      <c r="S52" s="18"/>
      <c r="T52" s="16"/>
      <c r="U52" s="17" t="str">
        <f aca="false">IF(A52="","",IF(OR(B52="",H52="",R52="",S52=""),"TEST-ID, method, selector, date needed",IF(COUNTIF(Ref_TEST!$A$2:$A$201,B52)=0,"TEST-ID not in W10",IF(D52&lt;&gt;"Pass","HOLD: population IPE not Pass",IF(AND(OR(H52="Random (seeded)",H52="Systematic"),I52=""),"Seed or interval needed",IF(G52&lt;&gt;F52+N(J52),"Items selected differ from planned + targeted: explain",IF(P52&lt;&gt;"Y","Confirm period coverage",IF(Q52="","Raise wave 3 PBC request","OK"))))))))</f>
        <v/>
      </c>
    </row>
    <row r="53" customFormat="false" ht="15" hidden="false" customHeight="false" outlineLevel="0" collapsed="false">
      <c r="A53" s="16"/>
      <c r="B53" s="16"/>
      <c r="C53" s="17" t="str">
        <f aca="false">IFERROR(INDEX(Ref_TEST!$B$2:$B$201,MATCH(B53,Ref_TEST!$A$2:$A$201,0)),"")</f>
        <v/>
      </c>
      <c r="D53" s="17" t="str">
        <f aca="false">IFERROR(INDEX(Ref_TEST!$C$2:$C$201,MATCH(B53,Ref_TEST!$A$2:$A$201,0)),"")</f>
        <v/>
      </c>
      <c r="E53" s="17" t="str">
        <f aca="false">IFERROR(INDEX(Ref_TEST!$D$2:$D$201,MATCH(B53,Ref_TEST!$A$2:$A$201,0)),"")</f>
        <v/>
      </c>
      <c r="F53" s="17" t="str">
        <f aca="false">IFERROR(INDEX(Ref_TEST!$E$2:$E$201,MATCH(B53,Ref_TEST!$A$2:$A$201,0)),"")</f>
        <v/>
      </c>
      <c r="G53" s="17" t="str">
        <f aca="false">IF(A53="","",COUNTIF(Items!$A$5:$A$1004,A53))</f>
        <v/>
      </c>
      <c r="H53" s="16"/>
      <c r="I53" s="16"/>
      <c r="J53" s="16"/>
      <c r="K53" s="17" t="str">
        <f aca="false">IF(A53="","",COUNTIFS(Items!$A$5:$A$1004,A53,Items!$E$5:$E$1004,"Q1"))</f>
        <v/>
      </c>
      <c r="L53" s="17" t="str">
        <f aca="false">IF(A53="","",COUNTIFS(Items!$A$5:$A$1004,A53,Items!$E$5:$E$1004,"Q2"))</f>
        <v/>
      </c>
      <c r="M53" s="17" t="str">
        <f aca="false">IF(A53="","",COUNTIFS(Items!$A$5:$A$1004,A53,Items!$E$5:$E$1004,"Q3"))</f>
        <v/>
      </c>
      <c r="N53" s="17" t="str">
        <f aca="false">IF(A53="","",COUNTIFS(Items!$A$5:$A$1004,A53,Items!$E$5:$E$1004,"Q4"))</f>
        <v/>
      </c>
      <c r="O53" s="17" t="str">
        <f aca="false">IF(A53="","",COUNTIF(K53:N53,"&gt;0"))</f>
        <v/>
      </c>
      <c r="P53" s="16"/>
      <c r="Q53" s="16"/>
      <c r="R53" s="16"/>
      <c r="S53" s="18"/>
      <c r="T53" s="16"/>
      <c r="U53" s="17" t="str">
        <f aca="false">IF(A53="","",IF(OR(B53="",H53="",R53="",S53=""),"TEST-ID, method, selector, date needed",IF(COUNTIF(Ref_TEST!$A$2:$A$201,B53)=0,"TEST-ID not in W10",IF(D53&lt;&gt;"Pass","HOLD: population IPE not Pass",IF(AND(OR(H53="Random (seeded)",H53="Systematic"),I53=""),"Seed or interval needed",IF(G53&lt;&gt;F53+N(J53),"Items selected differ from planned + targeted: explain",IF(P53&lt;&gt;"Y","Confirm period coverage",IF(Q53="","Raise wave 3 PBC request","OK"))))))))</f>
        <v/>
      </c>
    </row>
    <row r="54" customFormat="false" ht="15" hidden="false" customHeight="false" outlineLevel="0" collapsed="false">
      <c r="A54" s="16"/>
      <c r="B54" s="16"/>
      <c r="C54" s="17" t="str">
        <f aca="false">IFERROR(INDEX(Ref_TEST!$B$2:$B$201,MATCH(B54,Ref_TEST!$A$2:$A$201,0)),"")</f>
        <v/>
      </c>
      <c r="D54" s="17" t="str">
        <f aca="false">IFERROR(INDEX(Ref_TEST!$C$2:$C$201,MATCH(B54,Ref_TEST!$A$2:$A$201,0)),"")</f>
        <v/>
      </c>
      <c r="E54" s="17" t="str">
        <f aca="false">IFERROR(INDEX(Ref_TEST!$D$2:$D$201,MATCH(B54,Ref_TEST!$A$2:$A$201,0)),"")</f>
        <v/>
      </c>
      <c r="F54" s="17" t="str">
        <f aca="false">IFERROR(INDEX(Ref_TEST!$E$2:$E$201,MATCH(B54,Ref_TEST!$A$2:$A$201,0)),"")</f>
        <v/>
      </c>
      <c r="G54" s="17" t="str">
        <f aca="false">IF(A54="","",COUNTIF(Items!$A$5:$A$1004,A54))</f>
        <v/>
      </c>
      <c r="H54" s="16"/>
      <c r="I54" s="16"/>
      <c r="J54" s="16"/>
      <c r="K54" s="17" t="str">
        <f aca="false">IF(A54="","",COUNTIFS(Items!$A$5:$A$1004,A54,Items!$E$5:$E$1004,"Q1"))</f>
        <v/>
      </c>
      <c r="L54" s="17" t="str">
        <f aca="false">IF(A54="","",COUNTIFS(Items!$A$5:$A$1004,A54,Items!$E$5:$E$1004,"Q2"))</f>
        <v/>
      </c>
      <c r="M54" s="17" t="str">
        <f aca="false">IF(A54="","",COUNTIFS(Items!$A$5:$A$1004,A54,Items!$E$5:$E$1004,"Q3"))</f>
        <v/>
      </c>
      <c r="N54" s="17" t="str">
        <f aca="false">IF(A54="","",COUNTIFS(Items!$A$5:$A$1004,A54,Items!$E$5:$E$1004,"Q4"))</f>
        <v/>
      </c>
      <c r="O54" s="17" t="str">
        <f aca="false">IF(A54="","",COUNTIF(K54:N54,"&gt;0"))</f>
        <v/>
      </c>
      <c r="P54" s="16"/>
      <c r="Q54" s="16"/>
      <c r="R54" s="16"/>
      <c r="S54" s="18"/>
      <c r="T54" s="16"/>
      <c r="U54" s="17" t="str">
        <f aca="false">IF(A54="","",IF(OR(B54="",H54="",R54="",S54=""),"TEST-ID, method, selector, date needed",IF(COUNTIF(Ref_TEST!$A$2:$A$201,B54)=0,"TEST-ID not in W10",IF(D54&lt;&gt;"Pass","HOLD: population IPE not Pass",IF(AND(OR(H54="Random (seeded)",H54="Systematic"),I54=""),"Seed or interval needed",IF(G54&lt;&gt;F54+N(J54),"Items selected differ from planned + targeted: explain",IF(P54&lt;&gt;"Y","Confirm period coverage",IF(Q54="","Raise wave 3 PBC request","OK"))))))))</f>
        <v/>
      </c>
    </row>
    <row r="55" customFormat="false" ht="15" hidden="false" customHeight="false" outlineLevel="0" collapsed="false">
      <c r="A55" s="16"/>
      <c r="B55" s="16"/>
      <c r="C55" s="17" t="str">
        <f aca="false">IFERROR(INDEX(Ref_TEST!$B$2:$B$201,MATCH(B55,Ref_TEST!$A$2:$A$201,0)),"")</f>
        <v/>
      </c>
      <c r="D55" s="17" t="str">
        <f aca="false">IFERROR(INDEX(Ref_TEST!$C$2:$C$201,MATCH(B55,Ref_TEST!$A$2:$A$201,0)),"")</f>
        <v/>
      </c>
      <c r="E55" s="17" t="str">
        <f aca="false">IFERROR(INDEX(Ref_TEST!$D$2:$D$201,MATCH(B55,Ref_TEST!$A$2:$A$201,0)),"")</f>
        <v/>
      </c>
      <c r="F55" s="17" t="str">
        <f aca="false">IFERROR(INDEX(Ref_TEST!$E$2:$E$201,MATCH(B55,Ref_TEST!$A$2:$A$201,0)),"")</f>
        <v/>
      </c>
      <c r="G55" s="17" t="str">
        <f aca="false">IF(A55="","",COUNTIF(Items!$A$5:$A$1004,A55))</f>
        <v/>
      </c>
      <c r="H55" s="16"/>
      <c r="I55" s="16"/>
      <c r="J55" s="16"/>
      <c r="K55" s="17" t="str">
        <f aca="false">IF(A55="","",COUNTIFS(Items!$A$5:$A$1004,A55,Items!$E$5:$E$1004,"Q1"))</f>
        <v/>
      </c>
      <c r="L55" s="17" t="str">
        <f aca="false">IF(A55="","",COUNTIFS(Items!$A$5:$A$1004,A55,Items!$E$5:$E$1004,"Q2"))</f>
        <v/>
      </c>
      <c r="M55" s="17" t="str">
        <f aca="false">IF(A55="","",COUNTIFS(Items!$A$5:$A$1004,A55,Items!$E$5:$E$1004,"Q3"))</f>
        <v/>
      </c>
      <c r="N55" s="17" t="str">
        <f aca="false">IF(A55="","",COUNTIFS(Items!$A$5:$A$1004,A55,Items!$E$5:$E$1004,"Q4"))</f>
        <v/>
      </c>
      <c r="O55" s="17" t="str">
        <f aca="false">IF(A55="","",COUNTIF(K55:N55,"&gt;0"))</f>
        <v/>
      </c>
      <c r="P55" s="16"/>
      <c r="Q55" s="16"/>
      <c r="R55" s="16"/>
      <c r="S55" s="18"/>
      <c r="T55" s="16"/>
      <c r="U55" s="17" t="str">
        <f aca="false">IF(A55="","",IF(OR(B55="",H55="",R55="",S55=""),"TEST-ID, method, selector, date needed",IF(COUNTIF(Ref_TEST!$A$2:$A$201,B55)=0,"TEST-ID not in W10",IF(D55&lt;&gt;"Pass","HOLD: population IPE not Pass",IF(AND(OR(H55="Random (seeded)",H55="Systematic"),I55=""),"Seed or interval needed",IF(G55&lt;&gt;F55+N(J55),"Items selected differ from planned + targeted: explain",IF(P55&lt;&gt;"Y","Confirm period coverage",IF(Q55="","Raise wave 3 PBC request","OK"))))))))</f>
        <v/>
      </c>
    </row>
    <row r="56" customFormat="false" ht="15" hidden="false" customHeight="false" outlineLevel="0" collapsed="false">
      <c r="A56" s="16"/>
      <c r="B56" s="16"/>
      <c r="C56" s="17" t="str">
        <f aca="false">IFERROR(INDEX(Ref_TEST!$B$2:$B$201,MATCH(B56,Ref_TEST!$A$2:$A$201,0)),"")</f>
        <v/>
      </c>
      <c r="D56" s="17" t="str">
        <f aca="false">IFERROR(INDEX(Ref_TEST!$C$2:$C$201,MATCH(B56,Ref_TEST!$A$2:$A$201,0)),"")</f>
        <v/>
      </c>
      <c r="E56" s="17" t="str">
        <f aca="false">IFERROR(INDEX(Ref_TEST!$D$2:$D$201,MATCH(B56,Ref_TEST!$A$2:$A$201,0)),"")</f>
        <v/>
      </c>
      <c r="F56" s="17" t="str">
        <f aca="false">IFERROR(INDEX(Ref_TEST!$E$2:$E$201,MATCH(B56,Ref_TEST!$A$2:$A$201,0)),"")</f>
        <v/>
      </c>
      <c r="G56" s="17" t="str">
        <f aca="false">IF(A56="","",COUNTIF(Items!$A$5:$A$1004,A56))</f>
        <v/>
      </c>
      <c r="H56" s="16"/>
      <c r="I56" s="16"/>
      <c r="J56" s="16"/>
      <c r="K56" s="17" t="str">
        <f aca="false">IF(A56="","",COUNTIFS(Items!$A$5:$A$1004,A56,Items!$E$5:$E$1004,"Q1"))</f>
        <v/>
      </c>
      <c r="L56" s="17" t="str">
        <f aca="false">IF(A56="","",COUNTIFS(Items!$A$5:$A$1004,A56,Items!$E$5:$E$1004,"Q2"))</f>
        <v/>
      </c>
      <c r="M56" s="17" t="str">
        <f aca="false">IF(A56="","",COUNTIFS(Items!$A$5:$A$1004,A56,Items!$E$5:$E$1004,"Q3"))</f>
        <v/>
      </c>
      <c r="N56" s="17" t="str">
        <f aca="false">IF(A56="","",COUNTIFS(Items!$A$5:$A$1004,A56,Items!$E$5:$E$1004,"Q4"))</f>
        <v/>
      </c>
      <c r="O56" s="17" t="str">
        <f aca="false">IF(A56="","",COUNTIF(K56:N56,"&gt;0"))</f>
        <v/>
      </c>
      <c r="P56" s="16"/>
      <c r="Q56" s="16"/>
      <c r="R56" s="16"/>
      <c r="S56" s="18"/>
      <c r="T56" s="16"/>
      <c r="U56" s="17" t="str">
        <f aca="false">IF(A56="","",IF(OR(B56="",H56="",R56="",S56=""),"TEST-ID, method, selector, date needed",IF(COUNTIF(Ref_TEST!$A$2:$A$201,B56)=0,"TEST-ID not in W10",IF(D56&lt;&gt;"Pass","HOLD: population IPE not Pass",IF(AND(OR(H56="Random (seeded)",H56="Systematic"),I56=""),"Seed or interval needed",IF(G56&lt;&gt;F56+N(J56),"Items selected differ from planned + targeted: explain",IF(P56&lt;&gt;"Y","Confirm period coverage",IF(Q56="","Raise wave 3 PBC request","OK"))))))))</f>
        <v/>
      </c>
    </row>
    <row r="57" customFormat="false" ht="15" hidden="false" customHeight="false" outlineLevel="0" collapsed="false">
      <c r="A57" s="16"/>
      <c r="B57" s="16"/>
      <c r="C57" s="17" t="str">
        <f aca="false">IFERROR(INDEX(Ref_TEST!$B$2:$B$201,MATCH(B57,Ref_TEST!$A$2:$A$201,0)),"")</f>
        <v/>
      </c>
      <c r="D57" s="17" t="str">
        <f aca="false">IFERROR(INDEX(Ref_TEST!$C$2:$C$201,MATCH(B57,Ref_TEST!$A$2:$A$201,0)),"")</f>
        <v/>
      </c>
      <c r="E57" s="17" t="str">
        <f aca="false">IFERROR(INDEX(Ref_TEST!$D$2:$D$201,MATCH(B57,Ref_TEST!$A$2:$A$201,0)),"")</f>
        <v/>
      </c>
      <c r="F57" s="17" t="str">
        <f aca="false">IFERROR(INDEX(Ref_TEST!$E$2:$E$201,MATCH(B57,Ref_TEST!$A$2:$A$201,0)),"")</f>
        <v/>
      </c>
      <c r="G57" s="17" t="str">
        <f aca="false">IF(A57="","",COUNTIF(Items!$A$5:$A$1004,A57))</f>
        <v/>
      </c>
      <c r="H57" s="16"/>
      <c r="I57" s="16"/>
      <c r="J57" s="16"/>
      <c r="K57" s="17" t="str">
        <f aca="false">IF(A57="","",COUNTIFS(Items!$A$5:$A$1004,A57,Items!$E$5:$E$1004,"Q1"))</f>
        <v/>
      </c>
      <c r="L57" s="17" t="str">
        <f aca="false">IF(A57="","",COUNTIFS(Items!$A$5:$A$1004,A57,Items!$E$5:$E$1004,"Q2"))</f>
        <v/>
      </c>
      <c r="M57" s="17" t="str">
        <f aca="false">IF(A57="","",COUNTIFS(Items!$A$5:$A$1004,A57,Items!$E$5:$E$1004,"Q3"))</f>
        <v/>
      </c>
      <c r="N57" s="17" t="str">
        <f aca="false">IF(A57="","",COUNTIFS(Items!$A$5:$A$1004,A57,Items!$E$5:$E$1004,"Q4"))</f>
        <v/>
      </c>
      <c r="O57" s="17" t="str">
        <f aca="false">IF(A57="","",COUNTIF(K57:N57,"&gt;0"))</f>
        <v/>
      </c>
      <c r="P57" s="16"/>
      <c r="Q57" s="16"/>
      <c r="R57" s="16"/>
      <c r="S57" s="18"/>
      <c r="T57" s="16"/>
      <c r="U57" s="17" t="str">
        <f aca="false">IF(A57="","",IF(OR(B57="",H57="",R57="",S57=""),"TEST-ID, method, selector, date needed",IF(COUNTIF(Ref_TEST!$A$2:$A$201,B57)=0,"TEST-ID not in W10",IF(D57&lt;&gt;"Pass","HOLD: population IPE not Pass",IF(AND(OR(H57="Random (seeded)",H57="Systematic"),I57=""),"Seed or interval needed",IF(G57&lt;&gt;F57+N(J57),"Items selected differ from planned + targeted: explain",IF(P57&lt;&gt;"Y","Confirm period coverage",IF(Q57="","Raise wave 3 PBC request","OK"))))))))</f>
        <v/>
      </c>
    </row>
    <row r="58" customFormat="false" ht="15" hidden="false" customHeight="false" outlineLevel="0" collapsed="false">
      <c r="A58" s="16"/>
      <c r="B58" s="16"/>
      <c r="C58" s="17" t="str">
        <f aca="false">IFERROR(INDEX(Ref_TEST!$B$2:$B$201,MATCH(B58,Ref_TEST!$A$2:$A$201,0)),"")</f>
        <v/>
      </c>
      <c r="D58" s="17" t="str">
        <f aca="false">IFERROR(INDEX(Ref_TEST!$C$2:$C$201,MATCH(B58,Ref_TEST!$A$2:$A$201,0)),"")</f>
        <v/>
      </c>
      <c r="E58" s="17" t="str">
        <f aca="false">IFERROR(INDEX(Ref_TEST!$D$2:$D$201,MATCH(B58,Ref_TEST!$A$2:$A$201,0)),"")</f>
        <v/>
      </c>
      <c r="F58" s="17" t="str">
        <f aca="false">IFERROR(INDEX(Ref_TEST!$E$2:$E$201,MATCH(B58,Ref_TEST!$A$2:$A$201,0)),"")</f>
        <v/>
      </c>
      <c r="G58" s="17" t="str">
        <f aca="false">IF(A58="","",COUNTIF(Items!$A$5:$A$1004,A58))</f>
        <v/>
      </c>
      <c r="H58" s="16"/>
      <c r="I58" s="16"/>
      <c r="J58" s="16"/>
      <c r="K58" s="17" t="str">
        <f aca="false">IF(A58="","",COUNTIFS(Items!$A$5:$A$1004,A58,Items!$E$5:$E$1004,"Q1"))</f>
        <v/>
      </c>
      <c r="L58" s="17" t="str">
        <f aca="false">IF(A58="","",COUNTIFS(Items!$A$5:$A$1004,A58,Items!$E$5:$E$1004,"Q2"))</f>
        <v/>
      </c>
      <c r="M58" s="17" t="str">
        <f aca="false">IF(A58="","",COUNTIFS(Items!$A$5:$A$1004,A58,Items!$E$5:$E$1004,"Q3"))</f>
        <v/>
      </c>
      <c r="N58" s="17" t="str">
        <f aca="false">IF(A58="","",COUNTIFS(Items!$A$5:$A$1004,A58,Items!$E$5:$E$1004,"Q4"))</f>
        <v/>
      </c>
      <c r="O58" s="17" t="str">
        <f aca="false">IF(A58="","",COUNTIF(K58:N58,"&gt;0"))</f>
        <v/>
      </c>
      <c r="P58" s="16"/>
      <c r="Q58" s="16"/>
      <c r="R58" s="16"/>
      <c r="S58" s="18"/>
      <c r="T58" s="16"/>
      <c r="U58" s="17" t="str">
        <f aca="false">IF(A58="","",IF(OR(B58="",H58="",R58="",S58=""),"TEST-ID, method, selector, date needed",IF(COUNTIF(Ref_TEST!$A$2:$A$201,B58)=0,"TEST-ID not in W10",IF(D58&lt;&gt;"Pass","HOLD: population IPE not Pass",IF(AND(OR(H58="Random (seeded)",H58="Systematic"),I58=""),"Seed or interval needed",IF(G58&lt;&gt;F58+N(J58),"Items selected differ from planned + targeted: explain",IF(P58&lt;&gt;"Y","Confirm period coverage",IF(Q58="","Raise wave 3 PBC request","OK"))))))))</f>
        <v/>
      </c>
    </row>
    <row r="59" customFormat="false" ht="15" hidden="false" customHeight="false" outlineLevel="0" collapsed="false">
      <c r="A59" s="16"/>
      <c r="B59" s="16"/>
      <c r="C59" s="17" t="str">
        <f aca="false">IFERROR(INDEX(Ref_TEST!$B$2:$B$201,MATCH(B59,Ref_TEST!$A$2:$A$201,0)),"")</f>
        <v/>
      </c>
      <c r="D59" s="17" t="str">
        <f aca="false">IFERROR(INDEX(Ref_TEST!$C$2:$C$201,MATCH(B59,Ref_TEST!$A$2:$A$201,0)),"")</f>
        <v/>
      </c>
      <c r="E59" s="17" t="str">
        <f aca="false">IFERROR(INDEX(Ref_TEST!$D$2:$D$201,MATCH(B59,Ref_TEST!$A$2:$A$201,0)),"")</f>
        <v/>
      </c>
      <c r="F59" s="17" t="str">
        <f aca="false">IFERROR(INDEX(Ref_TEST!$E$2:$E$201,MATCH(B59,Ref_TEST!$A$2:$A$201,0)),"")</f>
        <v/>
      </c>
      <c r="G59" s="17" t="str">
        <f aca="false">IF(A59="","",COUNTIF(Items!$A$5:$A$1004,A59))</f>
        <v/>
      </c>
      <c r="H59" s="16"/>
      <c r="I59" s="16"/>
      <c r="J59" s="16"/>
      <c r="K59" s="17" t="str">
        <f aca="false">IF(A59="","",COUNTIFS(Items!$A$5:$A$1004,A59,Items!$E$5:$E$1004,"Q1"))</f>
        <v/>
      </c>
      <c r="L59" s="17" t="str">
        <f aca="false">IF(A59="","",COUNTIFS(Items!$A$5:$A$1004,A59,Items!$E$5:$E$1004,"Q2"))</f>
        <v/>
      </c>
      <c r="M59" s="17" t="str">
        <f aca="false">IF(A59="","",COUNTIFS(Items!$A$5:$A$1004,A59,Items!$E$5:$E$1004,"Q3"))</f>
        <v/>
      </c>
      <c r="N59" s="17" t="str">
        <f aca="false">IF(A59="","",COUNTIFS(Items!$A$5:$A$1004,A59,Items!$E$5:$E$1004,"Q4"))</f>
        <v/>
      </c>
      <c r="O59" s="17" t="str">
        <f aca="false">IF(A59="","",COUNTIF(K59:N59,"&gt;0"))</f>
        <v/>
      </c>
      <c r="P59" s="16"/>
      <c r="Q59" s="16"/>
      <c r="R59" s="16"/>
      <c r="S59" s="18"/>
      <c r="T59" s="16"/>
      <c r="U59" s="17" t="str">
        <f aca="false">IF(A59="","",IF(OR(B59="",H59="",R59="",S59=""),"TEST-ID, method, selector, date needed",IF(COUNTIF(Ref_TEST!$A$2:$A$201,B59)=0,"TEST-ID not in W10",IF(D59&lt;&gt;"Pass","HOLD: population IPE not Pass",IF(AND(OR(H59="Random (seeded)",H59="Systematic"),I59=""),"Seed or interval needed",IF(G59&lt;&gt;F59+N(J59),"Items selected differ from planned + targeted: explain",IF(P59&lt;&gt;"Y","Confirm period coverage",IF(Q59="","Raise wave 3 PBC request","OK"))))))))</f>
        <v/>
      </c>
    </row>
    <row r="60" customFormat="false" ht="15" hidden="false" customHeight="false" outlineLevel="0" collapsed="false">
      <c r="A60" s="16"/>
      <c r="B60" s="16"/>
      <c r="C60" s="17" t="str">
        <f aca="false">IFERROR(INDEX(Ref_TEST!$B$2:$B$201,MATCH(B60,Ref_TEST!$A$2:$A$201,0)),"")</f>
        <v/>
      </c>
      <c r="D60" s="17" t="str">
        <f aca="false">IFERROR(INDEX(Ref_TEST!$C$2:$C$201,MATCH(B60,Ref_TEST!$A$2:$A$201,0)),"")</f>
        <v/>
      </c>
      <c r="E60" s="17" t="str">
        <f aca="false">IFERROR(INDEX(Ref_TEST!$D$2:$D$201,MATCH(B60,Ref_TEST!$A$2:$A$201,0)),"")</f>
        <v/>
      </c>
      <c r="F60" s="17" t="str">
        <f aca="false">IFERROR(INDEX(Ref_TEST!$E$2:$E$201,MATCH(B60,Ref_TEST!$A$2:$A$201,0)),"")</f>
        <v/>
      </c>
      <c r="G60" s="17" t="str">
        <f aca="false">IF(A60="","",COUNTIF(Items!$A$5:$A$1004,A60))</f>
        <v/>
      </c>
      <c r="H60" s="16"/>
      <c r="I60" s="16"/>
      <c r="J60" s="16"/>
      <c r="K60" s="17" t="str">
        <f aca="false">IF(A60="","",COUNTIFS(Items!$A$5:$A$1004,A60,Items!$E$5:$E$1004,"Q1"))</f>
        <v/>
      </c>
      <c r="L60" s="17" t="str">
        <f aca="false">IF(A60="","",COUNTIFS(Items!$A$5:$A$1004,A60,Items!$E$5:$E$1004,"Q2"))</f>
        <v/>
      </c>
      <c r="M60" s="17" t="str">
        <f aca="false">IF(A60="","",COUNTIFS(Items!$A$5:$A$1004,A60,Items!$E$5:$E$1004,"Q3"))</f>
        <v/>
      </c>
      <c r="N60" s="17" t="str">
        <f aca="false">IF(A60="","",COUNTIFS(Items!$A$5:$A$1004,A60,Items!$E$5:$E$1004,"Q4"))</f>
        <v/>
      </c>
      <c r="O60" s="17" t="str">
        <f aca="false">IF(A60="","",COUNTIF(K60:N60,"&gt;0"))</f>
        <v/>
      </c>
      <c r="P60" s="16"/>
      <c r="Q60" s="16"/>
      <c r="R60" s="16"/>
      <c r="S60" s="18"/>
      <c r="T60" s="16"/>
      <c r="U60" s="17" t="str">
        <f aca="false">IF(A60="","",IF(OR(B60="",H60="",R60="",S60=""),"TEST-ID, method, selector, date needed",IF(COUNTIF(Ref_TEST!$A$2:$A$201,B60)=0,"TEST-ID not in W10",IF(D60&lt;&gt;"Pass","HOLD: population IPE not Pass",IF(AND(OR(H60="Random (seeded)",H60="Systematic"),I60=""),"Seed or interval needed",IF(G60&lt;&gt;F60+N(J60),"Items selected differ from planned + targeted: explain",IF(P60&lt;&gt;"Y","Confirm period coverage",IF(Q60="","Raise wave 3 PBC request","OK"))))))))</f>
        <v/>
      </c>
    </row>
    <row r="61" customFormat="false" ht="15" hidden="false" customHeight="false" outlineLevel="0" collapsed="false">
      <c r="A61" s="16"/>
      <c r="B61" s="16"/>
      <c r="C61" s="17" t="str">
        <f aca="false">IFERROR(INDEX(Ref_TEST!$B$2:$B$201,MATCH(B61,Ref_TEST!$A$2:$A$201,0)),"")</f>
        <v/>
      </c>
      <c r="D61" s="17" t="str">
        <f aca="false">IFERROR(INDEX(Ref_TEST!$C$2:$C$201,MATCH(B61,Ref_TEST!$A$2:$A$201,0)),"")</f>
        <v/>
      </c>
      <c r="E61" s="17" t="str">
        <f aca="false">IFERROR(INDEX(Ref_TEST!$D$2:$D$201,MATCH(B61,Ref_TEST!$A$2:$A$201,0)),"")</f>
        <v/>
      </c>
      <c r="F61" s="17" t="str">
        <f aca="false">IFERROR(INDEX(Ref_TEST!$E$2:$E$201,MATCH(B61,Ref_TEST!$A$2:$A$201,0)),"")</f>
        <v/>
      </c>
      <c r="G61" s="17" t="str">
        <f aca="false">IF(A61="","",COUNTIF(Items!$A$5:$A$1004,A61))</f>
        <v/>
      </c>
      <c r="H61" s="16"/>
      <c r="I61" s="16"/>
      <c r="J61" s="16"/>
      <c r="K61" s="17" t="str">
        <f aca="false">IF(A61="","",COUNTIFS(Items!$A$5:$A$1004,A61,Items!$E$5:$E$1004,"Q1"))</f>
        <v/>
      </c>
      <c r="L61" s="17" t="str">
        <f aca="false">IF(A61="","",COUNTIFS(Items!$A$5:$A$1004,A61,Items!$E$5:$E$1004,"Q2"))</f>
        <v/>
      </c>
      <c r="M61" s="17" t="str">
        <f aca="false">IF(A61="","",COUNTIFS(Items!$A$5:$A$1004,A61,Items!$E$5:$E$1004,"Q3"))</f>
        <v/>
      </c>
      <c r="N61" s="17" t="str">
        <f aca="false">IF(A61="","",COUNTIFS(Items!$A$5:$A$1004,A61,Items!$E$5:$E$1004,"Q4"))</f>
        <v/>
      </c>
      <c r="O61" s="17" t="str">
        <f aca="false">IF(A61="","",COUNTIF(K61:N61,"&gt;0"))</f>
        <v/>
      </c>
      <c r="P61" s="16"/>
      <c r="Q61" s="16"/>
      <c r="R61" s="16"/>
      <c r="S61" s="18"/>
      <c r="T61" s="16"/>
      <c r="U61" s="17" t="str">
        <f aca="false">IF(A61="","",IF(OR(B61="",H61="",R61="",S61=""),"TEST-ID, method, selector, date needed",IF(COUNTIF(Ref_TEST!$A$2:$A$201,B61)=0,"TEST-ID not in W10",IF(D61&lt;&gt;"Pass","HOLD: population IPE not Pass",IF(AND(OR(H61="Random (seeded)",H61="Systematic"),I61=""),"Seed or interval needed",IF(G61&lt;&gt;F61+N(J61),"Items selected differ from planned + targeted: explain",IF(P61&lt;&gt;"Y","Confirm period coverage",IF(Q61="","Raise wave 3 PBC request","OK"))))))))</f>
        <v/>
      </c>
    </row>
    <row r="62" customFormat="false" ht="15" hidden="false" customHeight="false" outlineLevel="0" collapsed="false">
      <c r="A62" s="16"/>
      <c r="B62" s="16"/>
      <c r="C62" s="17" t="str">
        <f aca="false">IFERROR(INDEX(Ref_TEST!$B$2:$B$201,MATCH(B62,Ref_TEST!$A$2:$A$201,0)),"")</f>
        <v/>
      </c>
      <c r="D62" s="17" t="str">
        <f aca="false">IFERROR(INDEX(Ref_TEST!$C$2:$C$201,MATCH(B62,Ref_TEST!$A$2:$A$201,0)),"")</f>
        <v/>
      </c>
      <c r="E62" s="17" t="str">
        <f aca="false">IFERROR(INDEX(Ref_TEST!$D$2:$D$201,MATCH(B62,Ref_TEST!$A$2:$A$201,0)),"")</f>
        <v/>
      </c>
      <c r="F62" s="17" t="str">
        <f aca="false">IFERROR(INDEX(Ref_TEST!$E$2:$E$201,MATCH(B62,Ref_TEST!$A$2:$A$201,0)),"")</f>
        <v/>
      </c>
      <c r="G62" s="17" t="str">
        <f aca="false">IF(A62="","",COUNTIF(Items!$A$5:$A$1004,A62))</f>
        <v/>
      </c>
      <c r="H62" s="16"/>
      <c r="I62" s="16"/>
      <c r="J62" s="16"/>
      <c r="K62" s="17" t="str">
        <f aca="false">IF(A62="","",COUNTIFS(Items!$A$5:$A$1004,A62,Items!$E$5:$E$1004,"Q1"))</f>
        <v/>
      </c>
      <c r="L62" s="17" t="str">
        <f aca="false">IF(A62="","",COUNTIFS(Items!$A$5:$A$1004,A62,Items!$E$5:$E$1004,"Q2"))</f>
        <v/>
      </c>
      <c r="M62" s="17" t="str">
        <f aca="false">IF(A62="","",COUNTIFS(Items!$A$5:$A$1004,A62,Items!$E$5:$E$1004,"Q3"))</f>
        <v/>
      </c>
      <c r="N62" s="17" t="str">
        <f aca="false">IF(A62="","",COUNTIFS(Items!$A$5:$A$1004,A62,Items!$E$5:$E$1004,"Q4"))</f>
        <v/>
      </c>
      <c r="O62" s="17" t="str">
        <f aca="false">IF(A62="","",COUNTIF(K62:N62,"&gt;0"))</f>
        <v/>
      </c>
      <c r="P62" s="16"/>
      <c r="Q62" s="16"/>
      <c r="R62" s="16"/>
      <c r="S62" s="18"/>
      <c r="T62" s="16"/>
      <c r="U62" s="17" t="str">
        <f aca="false">IF(A62="","",IF(OR(B62="",H62="",R62="",S62=""),"TEST-ID, method, selector, date needed",IF(COUNTIF(Ref_TEST!$A$2:$A$201,B62)=0,"TEST-ID not in W10",IF(D62&lt;&gt;"Pass","HOLD: population IPE not Pass",IF(AND(OR(H62="Random (seeded)",H62="Systematic"),I62=""),"Seed or interval needed",IF(G62&lt;&gt;F62+N(J62),"Items selected differ from planned + targeted: explain",IF(P62&lt;&gt;"Y","Confirm period coverage",IF(Q62="","Raise wave 3 PBC request","OK"))))))))</f>
        <v/>
      </c>
    </row>
    <row r="63" customFormat="false" ht="15" hidden="false" customHeight="false" outlineLevel="0" collapsed="false">
      <c r="A63" s="16"/>
      <c r="B63" s="16"/>
      <c r="C63" s="17" t="str">
        <f aca="false">IFERROR(INDEX(Ref_TEST!$B$2:$B$201,MATCH(B63,Ref_TEST!$A$2:$A$201,0)),"")</f>
        <v/>
      </c>
      <c r="D63" s="17" t="str">
        <f aca="false">IFERROR(INDEX(Ref_TEST!$C$2:$C$201,MATCH(B63,Ref_TEST!$A$2:$A$201,0)),"")</f>
        <v/>
      </c>
      <c r="E63" s="17" t="str">
        <f aca="false">IFERROR(INDEX(Ref_TEST!$D$2:$D$201,MATCH(B63,Ref_TEST!$A$2:$A$201,0)),"")</f>
        <v/>
      </c>
      <c r="F63" s="17" t="str">
        <f aca="false">IFERROR(INDEX(Ref_TEST!$E$2:$E$201,MATCH(B63,Ref_TEST!$A$2:$A$201,0)),"")</f>
        <v/>
      </c>
      <c r="G63" s="17" t="str">
        <f aca="false">IF(A63="","",COUNTIF(Items!$A$5:$A$1004,A63))</f>
        <v/>
      </c>
      <c r="H63" s="16"/>
      <c r="I63" s="16"/>
      <c r="J63" s="16"/>
      <c r="K63" s="17" t="str">
        <f aca="false">IF(A63="","",COUNTIFS(Items!$A$5:$A$1004,A63,Items!$E$5:$E$1004,"Q1"))</f>
        <v/>
      </c>
      <c r="L63" s="17" t="str">
        <f aca="false">IF(A63="","",COUNTIFS(Items!$A$5:$A$1004,A63,Items!$E$5:$E$1004,"Q2"))</f>
        <v/>
      </c>
      <c r="M63" s="17" t="str">
        <f aca="false">IF(A63="","",COUNTIFS(Items!$A$5:$A$1004,A63,Items!$E$5:$E$1004,"Q3"))</f>
        <v/>
      </c>
      <c r="N63" s="17" t="str">
        <f aca="false">IF(A63="","",COUNTIFS(Items!$A$5:$A$1004,A63,Items!$E$5:$E$1004,"Q4"))</f>
        <v/>
      </c>
      <c r="O63" s="17" t="str">
        <f aca="false">IF(A63="","",COUNTIF(K63:N63,"&gt;0"))</f>
        <v/>
      </c>
      <c r="P63" s="16"/>
      <c r="Q63" s="16"/>
      <c r="R63" s="16"/>
      <c r="S63" s="18"/>
      <c r="T63" s="16"/>
      <c r="U63" s="17" t="str">
        <f aca="false">IF(A63="","",IF(OR(B63="",H63="",R63="",S63=""),"TEST-ID, method, selector, date needed",IF(COUNTIF(Ref_TEST!$A$2:$A$201,B63)=0,"TEST-ID not in W10",IF(D63&lt;&gt;"Pass","HOLD: population IPE not Pass",IF(AND(OR(H63="Random (seeded)",H63="Systematic"),I63=""),"Seed or interval needed",IF(G63&lt;&gt;F63+N(J63),"Items selected differ from planned + targeted: explain",IF(P63&lt;&gt;"Y","Confirm period coverage",IF(Q63="","Raise wave 3 PBC request","OK"))))))))</f>
        <v/>
      </c>
    </row>
    <row r="64" customFormat="false" ht="15" hidden="false" customHeight="false" outlineLevel="0" collapsed="false">
      <c r="A64" s="16"/>
      <c r="B64" s="16"/>
      <c r="C64" s="17" t="str">
        <f aca="false">IFERROR(INDEX(Ref_TEST!$B$2:$B$201,MATCH(B64,Ref_TEST!$A$2:$A$201,0)),"")</f>
        <v/>
      </c>
      <c r="D64" s="17" t="str">
        <f aca="false">IFERROR(INDEX(Ref_TEST!$C$2:$C$201,MATCH(B64,Ref_TEST!$A$2:$A$201,0)),"")</f>
        <v/>
      </c>
      <c r="E64" s="17" t="str">
        <f aca="false">IFERROR(INDEX(Ref_TEST!$D$2:$D$201,MATCH(B64,Ref_TEST!$A$2:$A$201,0)),"")</f>
        <v/>
      </c>
      <c r="F64" s="17" t="str">
        <f aca="false">IFERROR(INDEX(Ref_TEST!$E$2:$E$201,MATCH(B64,Ref_TEST!$A$2:$A$201,0)),"")</f>
        <v/>
      </c>
      <c r="G64" s="17" t="str">
        <f aca="false">IF(A64="","",COUNTIF(Items!$A$5:$A$1004,A64))</f>
        <v/>
      </c>
      <c r="H64" s="16"/>
      <c r="I64" s="16"/>
      <c r="J64" s="16"/>
      <c r="K64" s="17" t="str">
        <f aca="false">IF(A64="","",COUNTIFS(Items!$A$5:$A$1004,A64,Items!$E$5:$E$1004,"Q1"))</f>
        <v/>
      </c>
      <c r="L64" s="17" t="str">
        <f aca="false">IF(A64="","",COUNTIFS(Items!$A$5:$A$1004,A64,Items!$E$5:$E$1004,"Q2"))</f>
        <v/>
      </c>
      <c r="M64" s="17" t="str">
        <f aca="false">IF(A64="","",COUNTIFS(Items!$A$5:$A$1004,A64,Items!$E$5:$E$1004,"Q3"))</f>
        <v/>
      </c>
      <c r="N64" s="17" t="str">
        <f aca="false">IF(A64="","",COUNTIFS(Items!$A$5:$A$1004,A64,Items!$E$5:$E$1004,"Q4"))</f>
        <v/>
      </c>
      <c r="O64" s="17" t="str">
        <f aca="false">IF(A64="","",COUNTIF(K64:N64,"&gt;0"))</f>
        <v/>
      </c>
      <c r="P64" s="16"/>
      <c r="Q64" s="16"/>
      <c r="R64" s="16"/>
      <c r="S64" s="18"/>
      <c r="T64" s="16"/>
      <c r="U64" s="17" t="str">
        <f aca="false">IF(A64="","",IF(OR(B64="",H64="",R64="",S64=""),"TEST-ID, method, selector, date needed",IF(COUNTIF(Ref_TEST!$A$2:$A$201,B64)=0,"TEST-ID not in W10",IF(D64&lt;&gt;"Pass","HOLD: population IPE not Pass",IF(AND(OR(H64="Random (seeded)",H64="Systematic"),I64=""),"Seed or interval needed",IF(G64&lt;&gt;F64+N(J64),"Items selected differ from planned + targeted: explain",IF(P64&lt;&gt;"Y","Confirm period coverage",IF(Q64="","Raise wave 3 PBC request","OK"))))))))</f>
        <v/>
      </c>
    </row>
    <row r="65" customFormat="false" ht="15" hidden="false" customHeight="false" outlineLevel="0" collapsed="false">
      <c r="A65" s="16"/>
      <c r="B65" s="16"/>
      <c r="C65" s="17" t="str">
        <f aca="false">IFERROR(INDEX(Ref_TEST!$B$2:$B$201,MATCH(B65,Ref_TEST!$A$2:$A$201,0)),"")</f>
        <v/>
      </c>
      <c r="D65" s="17" t="str">
        <f aca="false">IFERROR(INDEX(Ref_TEST!$C$2:$C$201,MATCH(B65,Ref_TEST!$A$2:$A$201,0)),"")</f>
        <v/>
      </c>
      <c r="E65" s="17" t="str">
        <f aca="false">IFERROR(INDEX(Ref_TEST!$D$2:$D$201,MATCH(B65,Ref_TEST!$A$2:$A$201,0)),"")</f>
        <v/>
      </c>
      <c r="F65" s="17" t="str">
        <f aca="false">IFERROR(INDEX(Ref_TEST!$E$2:$E$201,MATCH(B65,Ref_TEST!$A$2:$A$201,0)),"")</f>
        <v/>
      </c>
      <c r="G65" s="17" t="str">
        <f aca="false">IF(A65="","",COUNTIF(Items!$A$5:$A$1004,A65))</f>
        <v/>
      </c>
      <c r="H65" s="16"/>
      <c r="I65" s="16"/>
      <c r="J65" s="16"/>
      <c r="K65" s="17" t="str">
        <f aca="false">IF(A65="","",COUNTIFS(Items!$A$5:$A$1004,A65,Items!$E$5:$E$1004,"Q1"))</f>
        <v/>
      </c>
      <c r="L65" s="17" t="str">
        <f aca="false">IF(A65="","",COUNTIFS(Items!$A$5:$A$1004,A65,Items!$E$5:$E$1004,"Q2"))</f>
        <v/>
      </c>
      <c r="M65" s="17" t="str">
        <f aca="false">IF(A65="","",COUNTIFS(Items!$A$5:$A$1004,A65,Items!$E$5:$E$1004,"Q3"))</f>
        <v/>
      </c>
      <c r="N65" s="17" t="str">
        <f aca="false">IF(A65="","",COUNTIFS(Items!$A$5:$A$1004,A65,Items!$E$5:$E$1004,"Q4"))</f>
        <v/>
      </c>
      <c r="O65" s="17" t="str">
        <f aca="false">IF(A65="","",COUNTIF(K65:N65,"&gt;0"))</f>
        <v/>
      </c>
      <c r="P65" s="16"/>
      <c r="Q65" s="16"/>
      <c r="R65" s="16"/>
      <c r="S65" s="18"/>
      <c r="T65" s="16"/>
      <c r="U65" s="17" t="str">
        <f aca="false">IF(A65="","",IF(OR(B65="",H65="",R65="",S65=""),"TEST-ID, method, selector, date needed",IF(COUNTIF(Ref_TEST!$A$2:$A$201,B65)=0,"TEST-ID not in W10",IF(D65&lt;&gt;"Pass","HOLD: population IPE not Pass",IF(AND(OR(H65="Random (seeded)",H65="Systematic"),I65=""),"Seed or interval needed",IF(G65&lt;&gt;F65+N(J65),"Items selected differ from planned + targeted: explain",IF(P65&lt;&gt;"Y","Confirm period coverage",IF(Q65="","Raise wave 3 PBC request","OK"))))))))</f>
        <v/>
      </c>
    </row>
    <row r="66" customFormat="false" ht="15" hidden="false" customHeight="false" outlineLevel="0" collapsed="false">
      <c r="A66" s="16"/>
      <c r="B66" s="16"/>
      <c r="C66" s="17" t="str">
        <f aca="false">IFERROR(INDEX(Ref_TEST!$B$2:$B$201,MATCH(B66,Ref_TEST!$A$2:$A$201,0)),"")</f>
        <v/>
      </c>
      <c r="D66" s="17" t="str">
        <f aca="false">IFERROR(INDEX(Ref_TEST!$C$2:$C$201,MATCH(B66,Ref_TEST!$A$2:$A$201,0)),"")</f>
        <v/>
      </c>
      <c r="E66" s="17" t="str">
        <f aca="false">IFERROR(INDEX(Ref_TEST!$D$2:$D$201,MATCH(B66,Ref_TEST!$A$2:$A$201,0)),"")</f>
        <v/>
      </c>
      <c r="F66" s="17" t="str">
        <f aca="false">IFERROR(INDEX(Ref_TEST!$E$2:$E$201,MATCH(B66,Ref_TEST!$A$2:$A$201,0)),"")</f>
        <v/>
      </c>
      <c r="G66" s="17" t="str">
        <f aca="false">IF(A66="","",COUNTIF(Items!$A$5:$A$1004,A66))</f>
        <v/>
      </c>
      <c r="H66" s="16"/>
      <c r="I66" s="16"/>
      <c r="J66" s="16"/>
      <c r="K66" s="17" t="str">
        <f aca="false">IF(A66="","",COUNTIFS(Items!$A$5:$A$1004,A66,Items!$E$5:$E$1004,"Q1"))</f>
        <v/>
      </c>
      <c r="L66" s="17" t="str">
        <f aca="false">IF(A66="","",COUNTIFS(Items!$A$5:$A$1004,A66,Items!$E$5:$E$1004,"Q2"))</f>
        <v/>
      </c>
      <c r="M66" s="17" t="str">
        <f aca="false">IF(A66="","",COUNTIFS(Items!$A$5:$A$1004,A66,Items!$E$5:$E$1004,"Q3"))</f>
        <v/>
      </c>
      <c r="N66" s="17" t="str">
        <f aca="false">IF(A66="","",COUNTIFS(Items!$A$5:$A$1004,A66,Items!$E$5:$E$1004,"Q4"))</f>
        <v/>
      </c>
      <c r="O66" s="17" t="str">
        <f aca="false">IF(A66="","",COUNTIF(K66:N66,"&gt;0"))</f>
        <v/>
      </c>
      <c r="P66" s="16"/>
      <c r="Q66" s="16"/>
      <c r="R66" s="16"/>
      <c r="S66" s="18"/>
      <c r="T66" s="16"/>
      <c r="U66" s="17" t="str">
        <f aca="false">IF(A66="","",IF(OR(B66="",H66="",R66="",S66=""),"TEST-ID, method, selector, date needed",IF(COUNTIF(Ref_TEST!$A$2:$A$201,B66)=0,"TEST-ID not in W10",IF(D66&lt;&gt;"Pass","HOLD: population IPE not Pass",IF(AND(OR(H66="Random (seeded)",H66="Systematic"),I66=""),"Seed or interval needed",IF(G66&lt;&gt;F66+N(J66),"Items selected differ from planned + targeted: explain",IF(P66&lt;&gt;"Y","Confirm period coverage",IF(Q66="","Raise wave 3 PBC request","OK"))))))))</f>
        <v/>
      </c>
    </row>
    <row r="67" customFormat="false" ht="15" hidden="false" customHeight="false" outlineLevel="0" collapsed="false">
      <c r="A67" s="16"/>
      <c r="B67" s="16"/>
      <c r="C67" s="17" t="str">
        <f aca="false">IFERROR(INDEX(Ref_TEST!$B$2:$B$201,MATCH(B67,Ref_TEST!$A$2:$A$201,0)),"")</f>
        <v/>
      </c>
      <c r="D67" s="17" t="str">
        <f aca="false">IFERROR(INDEX(Ref_TEST!$C$2:$C$201,MATCH(B67,Ref_TEST!$A$2:$A$201,0)),"")</f>
        <v/>
      </c>
      <c r="E67" s="17" t="str">
        <f aca="false">IFERROR(INDEX(Ref_TEST!$D$2:$D$201,MATCH(B67,Ref_TEST!$A$2:$A$201,0)),"")</f>
        <v/>
      </c>
      <c r="F67" s="17" t="str">
        <f aca="false">IFERROR(INDEX(Ref_TEST!$E$2:$E$201,MATCH(B67,Ref_TEST!$A$2:$A$201,0)),"")</f>
        <v/>
      </c>
      <c r="G67" s="17" t="str">
        <f aca="false">IF(A67="","",COUNTIF(Items!$A$5:$A$1004,A67))</f>
        <v/>
      </c>
      <c r="H67" s="16"/>
      <c r="I67" s="16"/>
      <c r="J67" s="16"/>
      <c r="K67" s="17" t="str">
        <f aca="false">IF(A67="","",COUNTIFS(Items!$A$5:$A$1004,A67,Items!$E$5:$E$1004,"Q1"))</f>
        <v/>
      </c>
      <c r="L67" s="17" t="str">
        <f aca="false">IF(A67="","",COUNTIFS(Items!$A$5:$A$1004,A67,Items!$E$5:$E$1004,"Q2"))</f>
        <v/>
      </c>
      <c r="M67" s="17" t="str">
        <f aca="false">IF(A67="","",COUNTIFS(Items!$A$5:$A$1004,A67,Items!$E$5:$E$1004,"Q3"))</f>
        <v/>
      </c>
      <c r="N67" s="17" t="str">
        <f aca="false">IF(A67="","",COUNTIFS(Items!$A$5:$A$1004,A67,Items!$E$5:$E$1004,"Q4"))</f>
        <v/>
      </c>
      <c r="O67" s="17" t="str">
        <f aca="false">IF(A67="","",COUNTIF(K67:N67,"&gt;0"))</f>
        <v/>
      </c>
      <c r="P67" s="16"/>
      <c r="Q67" s="16"/>
      <c r="R67" s="16"/>
      <c r="S67" s="18"/>
      <c r="T67" s="16"/>
      <c r="U67" s="17" t="str">
        <f aca="false">IF(A67="","",IF(OR(B67="",H67="",R67="",S67=""),"TEST-ID, method, selector, date needed",IF(COUNTIF(Ref_TEST!$A$2:$A$201,B67)=0,"TEST-ID not in W10",IF(D67&lt;&gt;"Pass","HOLD: population IPE not Pass",IF(AND(OR(H67="Random (seeded)",H67="Systematic"),I67=""),"Seed or interval needed",IF(G67&lt;&gt;F67+N(J67),"Items selected differ from planned + targeted: explain",IF(P67&lt;&gt;"Y","Confirm period coverage",IF(Q67="","Raise wave 3 PBC request","OK"))))))))</f>
        <v/>
      </c>
    </row>
    <row r="68" customFormat="false" ht="15" hidden="false" customHeight="false" outlineLevel="0" collapsed="false">
      <c r="A68" s="16"/>
      <c r="B68" s="16"/>
      <c r="C68" s="17" t="str">
        <f aca="false">IFERROR(INDEX(Ref_TEST!$B$2:$B$201,MATCH(B68,Ref_TEST!$A$2:$A$201,0)),"")</f>
        <v/>
      </c>
      <c r="D68" s="17" t="str">
        <f aca="false">IFERROR(INDEX(Ref_TEST!$C$2:$C$201,MATCH(B68,Ref_TEST!$A$2:$A$201,0)),"")</f>
        <v/>
      </c>
      <c r="E68" s="17" t="str">
        <f aca="false">IFERROR(INDEX(Ref_TEST!$D$2:$D$201,MATCH(B68,Ref_TEST!$A$2:$A$201,0)),"")</f>
        <v/>
      </c>
      <c r="F68" s="17" t="str">
        <f aca="false">IFERROR(INDEX(Ref_TEST!$E$2:$E$201,MATCH(B68,Ref_TEST!$A$2:$A$201,0)),"")</f>
        <v/>
      </c>
      <c r="G68" s="17" t="str">
        <f aca="false">IF(A68="","",COUNTIF(Items!$A$5:$A$1004,A68))</f>
        <v/>
      </c>
      <c r="H68" s="16"/>
      <c r="I68" s="16"/>
      <c r="J68" s="16"/>
      <c r="K68" s="17" t="str">
        <f aca="false">IF(A68="","",COUNTIFS(Items!$A$5:$A$1004,A68,Items!$E$5:$E$1004,"Q1"))</f>
        <v/>
      </c>
      <c r="L68" s="17" t="str">
        <f aca="false">IF(A68="","",COUNTIFS(Items!$A$5:$A$1004,A68,Items!$E$5:$E$1004,"Q2"))</f>
        <v/>
      </c>
      <c r="M68" s="17" t="str">
        <f aca="false">IF(A68="","",COUNTIFS(Items!$A$5:$A$1004,A68,Items!$E$5:$E$1004,"Q3"))</f>
        <v/>
      </c>
      <c r="N68" s="17" t="str">
        <f aca="false">IF(A68="","",COUNTIFS(Items!$A$5:$A$1004,A68,Items!$E$5:$E$1004,"Q4"))</f>
        <v/>
      </c>
      <c r="O68" s="17" t="str">
        <f aca="false">IF(A68="","",COUNTIF(K68:N68,"&gt;0"))</f>
        <v/>
      </c>
      <c r="P68" s="16"/>
      <c r="Q68" s="16"/>
      <c r="R68" s="16"/>
      <c r="S68" s="18"/>
      <c r="T68" s="16"/>
      <c r="U68" s="17" t="str">
        <f aca="false">IF(A68="","",IF(OR(B68="",H68="",R68="",S68=""),"TEST-ID, method, selector, date needed",IF(COUNTIF(Ref_TEST!$A$2:$A$201,B68)=0,"TEST-ID not in W10",IF(D68&lt;&gt;"Pass","HOLD: population IPE not Pass",IF(AND(OR(H68="Random (seeded)",H68="Systematic"),I68=""),"Seed or interval needed",IF(G68&lt;&gt;F68+N(J68),"Items selected differ from planned + targeted: explain",IF(P68&lt;&gt;"Y","Confirm period coverage",IF(Q68="","Raise wave 3 PBC request","OK"))))))))</f>
        <v/>
      </c>
    </row>
    <row r="69" customFormat="false" ht="15" hidden="false" customHeight="false" outlineLevel="0" collapsed="false">
      <c r="A69" s="16"/>
      <c r="B69" s="16"/>
      <c r="C69" s="17" t="str">
        <f aca="false">IFERROR(INDEX(Ref_TEST!$B$2:$B$201,MATCH(B69,Ref_TEST!$A$2:$A$201,0)),"")</f>
        <v/>
      </c>
      <c r="D69" s="17" t="str">
        <f aca="false">IFERROR(INDEX(Ref_TEST!$C$2:$C$201,MATCH(B69,Ref_TEST!$A$2:$A$201,0)),"")</f>
        <v/>
      </c>
      <c r="E69" s="17" t="str">
        <f aca="false">IFERROR(INDEX(Ref_TEST!$D$2:$D$201,MATCH(B69,Ref_TEST!$A$2:$A$201,0)),"")</f>
        <v/>
      </c>
      <c r="F69" s="17" t="str">
        <f aca="false">IFERROR(INDEX(Ref_TEST!$E$2:$E$201,MATCH(B69,Ref_TEST!$A$2:$A$201,0)),"")</f>
        <v/>
      </c>
      <c r="G69" s="17" t="str">
        <f aca="false">IF(A69="","",COUNTIF(Items!$A$5:$A$1004,A69))</f>
        <v/>
      </c>
      <c r="H69" s="16"/>
      <c r="I69" s="16"/>
      <c r="J69" s="16"/>
      <c r="K69" s="17" t="str">
        <f aca="false">IF(A69="","",COUNTIFS(Items!$A$5:$A$1004,A69,Items!$E$5:$E$1004,"Q1"))</f>
        <v/>
      </c>
      <c r="L69" s="17" t="str">
        <f aca="false">IF(A69="","",COUNTIFS(Items!$A$5:$A$1004,A69,Items!$E$5:$E$1004,"Q2"))</f>
        <v/>
      </c>
      <c r="M69" s="17" t="str">
        <f aca="false">IF(A69="","",COUNTIFS(Items!$A$5:$A$1004,A69,Items!$E$5:$E$1004,"Q3"))</f>
        <v/>
      </c>
      <c r="N69" s="17" t="str">
        <f aca="false">IF(A69="","",COUNTIFS(Items!$A$5:$A$1004,A69,Items!$E$5:$E$1004,"Q4"))</f>
        <v/>
      </c>
      <c r="O69" s="17" t="str">
        <f aca="false">IF(A69="","",COUNTIF(K69:N69,"&gt;0"))</f>
        <v/>
      </c>
      <c r="P69" s="16"/>
      <c r="Q69" s="16"/>
      <c r="R69" s="16"/>
      <c r="S69" s="18"/>
      <c r="T69" s="16"/>
      <c r="U69" s="17" t="str">
        <f aca="false">IF(A69="","",IF(OR(B69="",H69="",R69="",S69=""),"TEST-ID, method, selector, date needed",IF(COUNTIF(Ref_TEST!$A$2:$A$201,B69)=0,"TEST-ID not in W10",IF(D69&lt;&gt;"Pass","HOLD: population IPE not Pass",IF(AND(OR(H69="Random (seeded)",H69="Systematic"),I69=""),"Seed or interval needed",IF(G69&lt;&gt;F69+N(J69),"Items selected differ from planned + targeted: explain",IF(P69&lt;&gt;"Y","Confirm period coverage",IF(Q69="","Raise wave 3 PBC request","OK"))))))))</f>
        <v/>
      </c>
    </row>
    <row r="70" customFormat="false" ht="15" hidden="false" customHeight="false" outlineLevel="0" collapsed="false">
      <c r="A70" s="16"/>
      <c r="B70" s="16"/>
      <c r="C70" s="17" t="str">
        <f aca="false">IFERROR(INDEX(Ref_TEST!$B$2:$B$201,MATCH(B70,Ref_TEST!$A$2:$A$201,0)),"")</f>
        <v/>
      </c>
      <c r="D70" s="17" t="str">
        <f aca="false">IFERROR(INDEX(Ref_TEST!$C$2:$C$201,MATCH(B70,Ref_TEST!$A$2:$A$201,0)),"")</f>
        <v/>
      </c>
      <c r="E70" s="17" t="str">
        <f aca="false">IFERROR(INDEX(Ref_TEST!$D$2:$D$201,MATCH(B70,Ref_TEST!$A$2:$A$201,0)),"")</f>
        <v/>
      </c>
      <c r="F70" s="17" t="str">
        <f aca="false">IFERROR(INDEX(Ref_TEST!$E$2:$E$201,MATCH(B70,Ref_TEST!$A$2:$A$201,0)),"")</f>
        <v/>
      </c>
      <c r="G70" s="17" t="str">
        <f aca="false">IF(A70="","",COUNTIF(Items!$A$5:$A$1004,A70))</f>
        <v/>
      </c>
      <c r="H70" s="16"/>
      <c r="I70" s="16"/>
      <c r="J70" s="16"/>
      <c r="K70" s="17" t="str">
        <f aca="false">IF(A70="","",COUNTIFS(Items!$A$5:$A$1004,A70,Items!$E$5:$E$1004,"Q1"))</f>
        <v/>
      </c>
      <c r="L70" s="17" t="str">
        <f aca="false">IF(A70="","",COUNTIFS(Items!$A$5:$A$1004,A70,Items!$E$5:$E$1004,"Q2"))</f>
        <v/>
      </c>
      <c r="M70" s="17" t="str">
        <f aca="false">IF(A70="","",COUNTIFS(Items!$A$5:$A$1004,A70,Items!$E$5:$E$1004,"Q3"))</f>
        <v/>
      </c>
      <c r="N70" s="17" t="str">
        <f aca="false">IF(A70="","",COUNTIFS(Items!$A$5:$A$1004,A70,Items!$E$5:$E$1004,"Q4"))</f>
        <v/>
      </c>
      <c r="O70" s="17" t="str">
        <f aca="false">IF(A70="","",COUNTIF(K70:N70,"&gt;0"))</f>
        <v/>
      </c>
      <c r="P70" s="16"/>
      <c r="Q70" s="16"/>
      <c r="R70" s="16"/>
      <c r="S70" s="18"/>
      <c r="T70" s="16"/>
      <c r="U70" s="17" t="str">
        <f aca="false">IF(A70="","",IF(OR(B70="",H70="",R70="",S70=""),"TEST-ID, method, selector, date needed",IF(COUNTIF(Ref_TEST!$A$2:$A$201,B70)=0,"TEST-ID not in W10",IF(D70&lt;&gt;"Pass","HOLD: population IPE not Pass",IF(AND(OR(H70="Random (seeded)",H70="Systematic"),I70=""),"Seed or interval needed",IF(G70&lt;&gt;F70+N(J70),"Items selected differ from planned + targeted: explain",IF(P70&lt;&gt;"Y","Confirm period coverage",IF(Q70="","Raise wave 3 PBC request","OK"))))))))</f>
        <v/>
      </c>
    </row>
    <row r="71" customFormat="false" ht="15" hidden="false" customHeight="false" outlineLevel="0" collapsed="false">
      <c r="A71" s="16"/>
      <c r="B71" s="16"/>
      <c r="C71" s="17" t="str">
        <f aca="false">IFERROR(INDEX(Ref_TEST!$B$2:$B$201,MATCH(B71,Ref_TEST!$A$2:$A$201,0)),"")</f>
        <v/>
      </c>
      <c r="D71" s="17" t="str">
        <f aca="false">IFERROR(INDEX(Ref_TEST!$C$2:$C$201,MATCH(B71,Ref_TEST!$A$2:$A$201,0)),"")</f>
        <v/>
      </c>
      <c r="E71" s="17" t="str">
        <f aca="false">IFERROR(INDEX(Ref_TEST!$D$2:$D$201,MATCH(B71,Ref_TEST!$A$2:$A$201,0)),"")</f>
        <v/>
      </c>
      <c r="F71" s="17" t="str">
        <f aca="false">IFERROR(INDEX(Ref_TEST!$E$2:$E$201,MATCH(B71,Ref_TEST!$A$2:$A$201,0)),"")</f>
        <v/>
      </c>
      <c r="G71" s="17" t="str">
        <f aca="false">IF(A71="","",COUNTIF(Items!$A$5:$A$1004,A71))</f>
        <v/>
      </c>
      <c r="H71" s="16"/>
      <c r="I71" s="16"/>
      <c r="J71" s="16"/>
      <c r="K71" s="17" t="str">
        <f aca="false">IF(A71="","",COUNTIFS(Items!$A$5:$A$1004,A71,Items!$E$5:$E$1004,"Q1"))</f>
        <v/>
      </c>
      <c r="L71" s="17" t="str">
        <f aca="false">IF(A71="","",COUNTIFS(Items!$A$5:$A$1004,A71,Items!$E$5:$E$1004,"Q2"))</f>
        <v/>
      </c>
      <c r="M71" s="17" t="str">
        <f aca="false">IF(A71="","",COUNTIFS(Items!$A$5:$A$1004,A71,Items!$E$5:$E$1004,"Q3"))</f>
        <v/>
      </c>
      <c r="N71" s="17" t="str">
        <f aca="false">IF(A71="","",COUNTIFS(Items!$A$5:$A$1004,A71,Items!$E$5:$E$1004,"Q4"))</f>
        <v/>
      </c>
      <c r="O71" s="17" t="str">
        <f aca="false">IF(A71="","",COUNTIF(K71:N71,"&gt;0"))</f>
        <v/>
      </c>
      <c r="P71" s="16"/>
      <c r="Q71" s="16"/>
      <c r="R71" s="16"/>
      <c r="S71" s="18"/>
      <c r="T71" s="16"/>
      <c r="U71" s="17" t="str">
        <f aca="false">IF(A71="","",IF(OR(B71="",H71="",R71="",S71=""),"TEST-ID, method, selector, date needed",IF(COUNTIF(Ref_TEST!$A$2:$A$201,B71)=0,"TEST-ID not in W10",IF(D71&lt;&gt;"Pass","HOLD: population IPE not Pass",IF(AND(OR(H71="Random (seeded)",H71="Systematic"),I71=""),"Seed or interval needed",IF(G71&lt;&gt;F71+N(J71),"Items selected differ from planned + targeted: explain",IF(P71&lt;&gt;"Y","Confirm period coverage",IF(Q71="","Raise wave 3 PBC request","OK"))))))))</f>
        <v/>
      </c>
    </row>
    <row r="72" customFormat="false" ht="15" hidden="false" customHeight="false" outlineLevel="0" collapsed="false">
      <c r="A72" s="16"/>
      <c r="B72" s="16"/>
      <c r="C72" s="17" t="str">
        <f aca="false">IFERROR(INDEX(Ref_TEST!$B$2:$B$201,MATCH(B72,Ref_TEST!$A$2:$A$201,0)),"")</f>
        <v/>
      </c>
      <c r="D72" s="17" t="str">
        <f aca="false">IFERROR(INDEX(Ref_TEST!$C$2:$C$201,MATCH(B72,Ref_TEST!$A$2:$A$201,0)),"")</f>
        <v/>
      </c>
      <c r="E72" s="17" t="str">
        <f aca="false">IFERROR(INDEX(Ref_TEST!$D$2:$D$201,MATCH(B72,Ref_TEST!$A$2:$A$201,0)),"")</f>
        <v/>
      </c>
      <c r="F72" s="17" t="str">
        <f aca="false">IFERROR(INDEX(Ref_TEST!$E$2:$E$201,MATCH(B72,Ref_TEST!$A$2:$A$201,0)),"")</f>
        <v/>
      </c>
      <c r="G72" s="17" t="str">
        <f aca="false">IF(A72="","",COUNTIF(Items!$A$5:$A$1004,A72))</f>
        <v/>
      </c>
      <c r="H72" s="16"/>
      <c r="I72" s="16"/>
      <c r="J72" s="16"/>
      <c r="K72" s="17" t="str">
        <f aca="false">IF(A72="","",COUNTIFS(Items!$A$5:$A$1004,A72,Items!$E$5:$E$1004,"Q1"))</f>
        <v/>
      </c>
      <c r="L72" s="17" t="str">
        <f aca="false">IF(A72="","",COUNTIFS(Items!$A$5:$A$1004,A72,Items!$E$5:$E$1004,"Q2"))</f>
        <v/>
      </c>
      <c r="M72" s="17" t="str">
        <f aca="false">IF(A72="","",COUNTIFS(Items!$A$5:$A$1004,A72,Items!$E$5:$E$1004,"Q3"))</f>
        <v/>
      </c>
      <c r="N72" s="17" t="str">
        <f aca="false">IF(A72="","",COUNTIFS(Items!$A$5:$A$1004,A72,Items!$E$5:$E$1004,"Q4"))</f>
        <v/>
      </c>
      <c r="O72" s="17" t="str">
        <f aca="false">IF(A72="","",COUNTIF(K72:N72,"&gt;0"))</f>
        <v/>
      </c>
      <c r="P72" s="16"/>
      <c r="Q72" s="16"/>
      <c r="R72" s="16"/>
      <c r="S72" s="18"/>
      <c r="T72" s="16"/>
      <c r="U72" s="17" t="str">
        <f aca="false">IF(A72="","",IF(OR(B72="",H72="",R72="",S72=""),"TEST-ID, method, selector, date needed",IF(COUNTIF(Ref_TEST!$A$2:$A$201,B72)=0,"TEST-ID not in W10",IF(D72&lt;&gt;"Pass","HOLD: population IPE not Pass",IF(AND(OR(H72="Random (seeded)",H72="Systematic"),I72=""),"Seed or interval needed",IF(G72&lt;&gt;F72+N(J72),"Items selected differ from planned + targeted: explain",IF(P72&lt;&gt;"Y","Confirm period coverage",IF(Q72="","Raise wave 3 PBC request","OK"))))))))</f>
        <v/>
      </c>
    </row>
    <row r="73" customFormat="false" ht="15" hidden="false" customHeight="false" outlineLevel="0" collapsed="false">
      <c r="A73" s="16"/>
      <c r="B73" s="16"/>
      <c r="C73" s="17" t="str">
        <f aca="false">IFERROR(INDEX(Ref_TEST!$B$2:$B$201,MATCH(B73,Ref_TEST!$A$2:$A$201,0)),"")</f>
        <v/>
      </c>
      <c r="D73" s="17" t="str">
        <f aca="false">IFERROR(INDEX(Ref_TEST!$C$2:$C$201,MATCH(B73,Ref_TEST!$A$2:$A$201,0)),"")</f>
        <v/>
      </c>
      <c r="E73" s="17" t="str">
        <f aca="false">IFERROR(INDEX(Ref_TEST!$D$2:$D$201,MATCH(B73,Ref_TEST!$A$2:$A$201,0)),"")</f>
        <v/>
      </c>
      <c r="F73" s="17" t="str">
        <f aca="false">IFERROR(INDEX(Ref_TEST!$E$2:$E$201,MATCH(B73,Ref_TEST!$A$2:$A$201,0)),"")</f>
        <v/>
      </c>
      <c r="G73" s="17" t="str">
        <f aca="false">IF(A73="","",COUNTIF(Items!$A$5:$A$1004,A73))</f>
        <v/>
      </c>
      <c r="H73" s="16"/>
      <c r="I73" s="16"/>
      <c r="J73" s="16"/>
      <c r="K73" s="17" t="str">
        <f aca="false">IF(A73="","",COUNTIFS(Items!$A$5:$A$1004,A73,Items!$E$5:$E$1004,"Q1"))</f>
        <v/>
      </c>
      <c r="L73" s="17" t="str">
        <f aca="false">IF(A73="","",COUNTIFS(Items!$A$5:$A$1004,A73,Items!$E$5:$E$1004,"Q2"))</f>
        <v/>
      </c>
      <c r="M73" s="17" t="str">
        <f aca="false">IF(A73="","",COUNTIFS(Items!$A$5:$A$1004,A73,Items!$E$5:$E$1004,"Q3"))</f>
        <v/>
      </c>
      <c r="N73" s="17" t="str">
        <f aca="false">IF(A73="","",COUNTIFS(Items!$A$5:$A$1004,A73,Items!$E$5:$E$1004,"Q4"))</f>
        <v/>
      </c>
      <c r="O73" s="17" t="str">
        <f aca="false">IF(A73="","",COUNTIF(K73:N73,"&gt;0"))</f>
        <v/>
      </c>
      <c r="P73" s="16"/>
      <c r="Q73" s="16"/>
      <c r="R73" s="16"/>
      <c r="S73" s="18"/>
      <c r="T73" s="16"/>
      <c r="U73" s="17" t="str">
        <f aca="false">IF(A73="","",IF(OR(B73="",H73="",R73="",S73=""),"TEST-ID, method, selector, date needed",IF(COUNTIF(Ref_TEST!$A$2:$A$201,B73)=0,"TEST-ID not in W10",IF(D73&lt;&gt;"Pass","HOLD: population IPE not Pass",IF(AND(OR(H73="Random (seeded)",H73="Systematic"),I73=""),"Seed or interval needed",IF(G73&lt;&gt;F73+N(J73),"Items selected differ from planned + targeted: explain",IF(P73&lt;&gt;"Y","Confirm period coverage",IF(Q73="","Raise wave 3 PBC request","OK"))))))))</f>
        <v/>
      </c>
    </row>
    <row r="74" customFormat="false" ht="15" hidden="false" customHeight="false" outlineLevel="0" collapsed="false">
      <c r="A74" s="16"/>
      <c r="B74" s="16"/>
      <c r="C74" s="17" t="str">
        <f aca="false">IFERROR(INDEX(Ref_TEST!$B$2:$B$201,MATCH(B74,Ref_TEST!$A$2:$A$201,0)),"")</f>
        <v/>
      </c>
      <c r="D74" s="17" t="str">
        <f aca="false">IFERROR(INDEX(Ref_TEST!$C$2:$C$201,MATCH(B74,Ref_TEST!$A$2:$A$201,0)),"")</f>
        <v/>
      </c>
      <c r="E74" s="17" t="str">
        <f aca="false">IFERROR(INDEX(Ref_TEST!$D$2:$D$201,MATCH(B74,Ref_TEST!$A$2:$A$201,0)),"")</f>
        <v/>
      </c>
      <c r="F74" s="17" t="str">
        <f aca="false">IFERROR(INDEX(Ref_TEST!$E$2:$E$201,MATCH(B74,Ref_TEST!$A$2:$A$201,0)),"")</f>
        <v/>
      </c>
      <c r="G74" s="17" t="str">
        <f aca="false">IF(A74="","",COUNTIF(Items!$A$5:$A$1004,A74))</f>
        <v/>
      </c>
      <c r="H74" s="16"/>
      <c r="I74" s="16"/>
      <c r="J74" s="16"/>
      <c r="K74" s="17" t="str">
        <f aca="false">IF(A74="","",COUNTIFS(Items!$A$5:$A$1004,A74,Items!$E$5:$E$1004,"Q1"))</f>
        <v/>
      </c>
      <c r="L74" s="17" t="str">
        <f aca="false">IF(A74="","",COUNTIFS(Items!$A$5:$A$1004,A74,Items!$E$5:$E$1004,"Q2"))</f>
        <v/>
      </c>
      <c r="M74" s="17" t="str">
        <f aca="false">IF(A74="","",COUNTIFS(Items!$A$5:$A$1004,A74,Items!$E$5:$E$1004,"Q3"))</f>
        <v/>
      </c>
      <c r="N74" s="17" t="str">
        <f aca="false">IF(A74="","",COUNTIFS(Items!$A$5:$A$1004,A74,Items!$E$5:$E$1004,"Q4"))</f>
        <v/>
      </c>
      <c r="O74" s="17" t="str">
        <f aca="false">IF(A74="","",COUNTIF(K74:N74,"&gt;0"))</f>
        <v/>
      </c>
      <c r="P74" s="16"/>
      <c r="Q74" s="16"/>
      <c r="R74" s="16"/>
      <c r="S74" s="18"/>
      <c r="T74" s="16"/>
      <c r="U74" s="17" t="str">
        <f aca="false">IF(A74="","",IF(OR(B74="",H74="",R74="",S74=""),"TEST-ID, method, selector, date needed",IF(COUNTIF(Ref_TEST!$A$2:$A$201,B74)=0,"TEST-ID not in W10",IF(D74&lt;&gt;"Pass","HOLD: population IPE not Pass",IF(AND(OR(H74="Random (seeded)",H74="Systematic"),I74=""),"Seed or interval needed",IF(G74&lt;&gt;F74+N(J74),"Items selected differ from planned + targeted: explain",IF(P74&lt;&gt;"Y","Confirm period coverage",IF(Q74="","Raise wave 3 PBC request","OK"))))))))</f>
        <v/>
      </c>
    </row>
    <row r="75" customFormat="false" ht="15" hidden="false" customHeight="false" outlineLevel="0" collapsed="false">
      <c r="A75" s="16"/>
      <c r="B75" s="16"/>
      <c r="C75" s="17" t="str">
        <f aca="false">IFERROR(INDEX(Ref_TEST!$B$2:$B$201,MATCH(B75,Ref_TEST!$A$2:$A$201,0)),"")</f>
        <v/>
      </c>
      <c r="D75" s="17" t="str">
        <f aca="false">IFERROR(INDEX(Ref_TEST!$C$2:$C$201,MATCH(B75,Ref_TEST!$A$2:$A$201,0)),"")</f>
        <v/>
      </c>
      <c r="E75" s="17" t="str">
        <f aca="false">IFERROR(INDEX(Ref_TEST!$D$2:$D$201,MATCH(B75,Ref_TEST!$A$2:$A$201,0)),"")</f>
        <v/>
      </c>
      <c r="F75" s="17" t="str">
        <f aca="false">IFERROR(INDEX(Ref_TEST!$E$2:$E$201,MATCH(B75,Ref_TEST!$A$2:$A$201,0)),"")</f>
        <v/>
      </c>
      <c r="G75" s="17" t="str">
        <f aca="false">IF(A75="","",COUNTIF(Items!$A$5:$A$1004,A75))</f>
        <v/>
      </c>
      <c r="H75" s="16"/>
      <c r="I75" s="16"/>
      <c r="J75" s="16"/>
      <c r="K75" s="17" t="str">
        <f aca="false">IF(A75="","",COUNTIFS(Items!$A$5:$A$1004,A75,Items!$E$5:$E$1004,"Q1"))</f>
        <v/>
      </c>
      <c r="L75" s="17" t="str">
        <f aca="false">IF(A75="","",COUNTIFS(Items!$A$5:$A$1004,A75,Items!$E$5:$E$1004,"Q2"))</f>
        <v/>
      </c>
      <c r="M75" s="17" t="str">
        <f aca="false">IF(A75="","",COUNTIFS(Items!$A$5:$A$1004,A75,Items!$E$5:$E$1004,"Q3"))</f>
        <v/>
      </c>
      <c r="N75" s="17" t="str">
        <f aca="false">IF(A75="","",COUNTIFS(Items!$A$5:$A$1004,A75,Items!$E$5:$E$1004,"Q4"))</f>
        <v/>
      </c>
      <c r="O75" s="17" t="str">
        <f aca="false">IF(A75="","",COUNTIF(K75:N75,"&gt;0"))</f>
        <v/>
      </c>
      <c r="P75" s="16"/>
      <c r="Q75" s="16"/>
      <c r="R75" s="16"/>
      <c r="S75" s="18"/>
      <c r="T75" s="16"/>
      <c r="U75" s="17" t="str">
        <f aca="false">IF(A75="","",IF(OR(B75="",H75="",R75="",S75=""),"TEST-ID, method, selector, date needed",IF(COUNTIF(Ref_TEST!$A$2:$A$201,B75)=0,"TEST-ID not in W10",IF(D75&lt;&gt;"Pass","HOLD: population IPE not Pass",IF(AND(OR(H75="Random (seeded)",H75="Systematic"),I75=""),"Seed or interval needed",IF(G75&lt;&gt;F75+N(J75),"Items selected differ from planned + targeted: explain",IF(P75&lt;&gt;"Y","Confirm period coverage",IF(Q75="","Raise wave 3 PBC request","OK"))))))))</f>
        <v/>
      </c>
    </row>
    <row r="76" customFormat="false" ht="15" hidden="false" customHeight="false" outlineLevel="0" collapsed="false">
      <c r="A76" s="16"/>
      <c r="B76" s="16"/>
      <c r="C76" s="17" t="str">
        <f aca="false">IFERROR(INDEX(Ref_TEST!$B$2:$B$201,MATCH(B76,Ref_TEST!$A$2:$A$201,0)),"")</f>
        <v/>
      </c>
      <c r="D76" s="17" t="str">
        <f aca="false">IFERROR(INDEX(Ref_TEST!$C$2:$C$201,MATCH(B76,Ref_TEST!$A$2:$A$201,0)),"")</f>
        <v/>
      </c>
      <c r="E76" s="17" t="str">
        <f aca="false">IFERROR(INDEX(Ref_TEST!$D$2:$D$201,MATCH(B76,Ref_TEST!$A$2:$A$201,0)),"")</f>
        <v/>
      </c>
      <c r="F76" s="17" t="str">
        <f aca="false">IFERROR(INDEX(Ref_TEST!$E$2:$E$201,MATCH(B76,Ref_TEST!$A$2:$A$201,0)),"")</f>
        <v/>
      </c>
      <c r="G76" s="17" t="str">
        <f aca="false">IF(A76="","",COUNTIF(Items!$A$5:$A$1004,A76))</f>
        <v/>
      </c>
      <c r="H76" s="16"/>
      <c r="I76" s="16"/>
      <c r="J76" s="16"/>
      <c r="K76" s="17" t="str">
        <f aca="false">IF(A76="","",COUNTIFS(Items!$A$5:$A$1004,A76,Items!$E$5:$E$1004,"Q1"))</f>
        <v/>
      </c>
      <c r="L76" s="17" t="str">
        <f aca="false">IF(A76="","",COUNTIFS(Items!$A$5:$A$1004,A76,Items!$E$5:$E$1004,"Q2"))</f>
        <v/>
      </c>
      <c r="M76" s="17" t="str">
        <f aca="false">IF(A76="","",COUNTIFS(Items!$A$5:$A$1004,A76,Items!$E$5:$E$1004,"Q3"))</f>
        <v/>
      </c>
      <c r="N76" s="17" t="str">
        <f aca="false">IF(A76="","",COUNTIFS(Items!$A$5:$A$1004,A76,Items!$E$5:$E$1004,"Q4"))</f>
        <v/>
      </c>
      <c r="O76" s="17" t="str">
        <f aca="false">IF(A76="","",COUNTIF(K76:N76,"&gt;0"))</f>
        <v/>
      </c>
      <c r="P76" s="16"/>
      <c r="Q76" s="16"/>
      <c r="R76" s="16"/>
      <c r="S76" s="18"/>
      <c r="T76" s="16"/>
      <c r="U76" s="17" t="str">
        <f aca="false">IF(A76="","",IF(OR(B76="",H76="",R76="",S76=""),"TEST-ID, method, selector, date needed",IF(COUNTIF(Ref_TEST!$A$2:$A$201,B76)=0,"TEST-ID not in W10",IF(D76&lt;&gt;"Pass","HOLD: population IPE not Pass",IF(AND(OR(H76="Random (seeded)",H76="Systematic"),I76=""),"Seed or interval needed",IF(G76&lt;&gt;F76+N(J76),"Items selected differ from planned + targeted: explain",IF(P76&lt;&gt;"Y","Confirm period coverage",IF(Q76="","Raise wave 3 PBC request","OK"))))))))</f>
        <v/>
      </c>
    </row>
    <row r="77" customFormat="false" ht="15" hidden="false" customHeight="false" outlineLevel="0" collapsed="false">
      <c r="A77" s="16"/>
      <c r="B77" s="16"/>
      <c r="C77" s="17" t="str">
        <f aca="false">IFERROR(INDEX(Ref_TEST!$B$2:$B$201,MATCH(B77,Ref_TEST!$A$2:$A$201,0)),"")</f>
        <v/>
      </c>
      <c r="D77" s="17" t="str">
        <f aca="false">IFERROR(INDEX(Ref_TEST!$C$2:$C$201,MATCH(B77,Ref_TEST!$A$2:$A$201,0)),"")</f>
        <v/>
      </c>
      <c r="E77" s="17" t="str">
        <f aca="false">IFERROR(INDEX(Ref_TEST!$D$2:$D$201,MATCH(B77,Ref_TEST!$A$2:$A$201,0)),"")</f>
        <v/>
      </c>
      <c r="F77" s="17" t="str">
        <f aca="false">IFERROR(INDEX(Ref_TEST!$E$2:$E$201,MATCH(B77,Ref_TEST!$A$2:$A$201,0)),"")</f>
        <v/>
      </c>
      <c r="G77" s="17" t="str">
        <f aca="false">IF(A77="","",COUNTIF(Items!$A$5:$A$1004,A77))</f>
        <v/>
      </c>
      <c r="H77" s="16"/>
      <c r="I77" s="16"/>
      <c r="J77" s="16"/>
      <c r="K77" s="17" t="str">
        <f aca="false">IF(A77="","",COUNTIFS(Items!$A$5:$A$1004,A77,Items!$E$5:$E$1004,"Q1"))</f>
        <v/>
      </c>
      <c r="L77" s="17" t="str">
        <f aca="false">IF(A77="","",COUNTIFS(Items!$A$5:$A$1004,A77,Items!$E$5:$E$1004,"Q2"))</f>
        <v/>
      </c>
      <c r="M77" s="17" t="str">
        <f aca="false">IF(A77="","",COUNTIFS(Items!$A$5:$A$1004,A77,Items!$E$5:$E$1004,"Q3"))</f>
        <v/>
      </c>
      <c r="N77" s="17" t="str">
        <f aca="false">IF(A77="","",COUNTIFS(Items!$A$5:$A$1004,A77,Items!$E$5:$E$1004,"Q4"))</f>
        <v/>
      </c>
      <c r="O77" s="17" t="str">
        <f aca="false">IF(A77="","",COUNTIF(K77:N77,"&gt;0"))</f>
        <v/>
      </c>
      <c r="P77" s="16"/>
      <c r="Q77" s="16"/>
      <c r="R77" s="16"/>
      <c r="S77" s="18"/>
      <c r="T77" s="16"/>
      <c r="U77" s="17" t="str">
        <f aca="false">IF(A77="","",IF(OR(B77="",H77="",R77="",S77=""),"TEST-ID, method, selector, date needed",IF(COUNTIF(Ref_TEST!$A$2:$A$201,B77)=0,"TEST-ID not in W10",IF(D77&lt;&gt;"Pass","HOLD: population IPE not Pass",IF(AND(OR(H77="Random (seeded)",H77="Systematic"),I77=""),"Seed or interval needed",IF(G77&lt;&gt;F77+N(J77),"Items selected differ from planned + targeted: explain",IF(P77&lt;&gt;"Y","Confirm period coverage",IF(Q77="","Raise wave 3 PBC request","OK"))))))))</f>
        <v/>
      </c>
    </row>
    <row r="78" customFormat="false" ht="15" hidden="false" customHeight="false" outlineLevel="0" collapsed="false">
      <c r="A78" s="16"/>
      <c r="B78" s="16"/>
      <c r="C78" s="17" t="str">
        <f aca="false">IFERROR(INDEX(Ref_TEST!$B$2:$B$201,MATCH(B78,Ref_TEST!$A$2:$A$201,0)),"")</f>
        <v/>
      </c>
      <c r="D78" s="17" t="str">
        <f aca="false">IFERROR(INDEX(Ref_TEST!$C$2:$C$201,MATCH(B78,Ref_TEST!$A$2:$A$201,0)),"")</f>
        <v/>
      </c>
      <c r="E78" s="17" t="str">
        <f aca="false">IFERROR(INDEX(Ref_TEST!$D$2:$D$201,MATCH(B78,Ref_TEST!$A$2:$A$201,0)),"")</f>
        <v/>
      </c>
      <c r="F78" s="17" t="str">
        <f aca="false">IFERROR(INDEX(Ref_TEST!$E$2:$E$201,MATCH(B78,Ref_TEST!$A$2:$A$201,0)),"")</f>
        <v/>
      </c>
      <c r="G78" s="17" t="str">
        <f aca="false">IF(A78="","",COUNTIF(Items!$A$5:$A$1004,A78))</f>
        <v/>
      </c>
      <c r="H78" s="16"/>
      <c r="I78" s="16"/>
      <c r="J78" s="16"/>
      <c r="K78" s="17" t="str">
        <f aca="false">IF(A78="","",COUNTIFS(Items!$A$5:$A$1004,A78,Items!$E$5:$E$1004,"Q1"))</f>
        <v/>
      </c>
      <c r="L78" s="17" t="str">
        <f aca="false">IF(A78="","",COUNTIFS(Items!$A$5:$A$1004,A78,Items!$E$5:$E$1004,"Q2"))</f>
        <v/>
      </c>
      <c r="M78" s="17" t="str">
        <f aca="false">IF(A78="","",COUNTIFS(Items!$A$5:$A$1004,A78,Items!$E$5:$E$1004,"Q3"))</f>
        <v/>
      </c>
      <c r="N78" s="17" t="str">
        <f aca="false">IF(A78="","",COUNTIFS(Items!$A$5:$A$1004,A78,Items!$E$5:$E$1004,"Q4"))</f>
        <v/>
      </c>
      <c r="O78" s="17" t="str">
        <f aca="false">IF(A78="","",COUNTIF(K78:N78,"&gt;0"))</f>
        <v/>
      </c>
      <c r="P78" s="16"/>
      <c r="Q78" s="16"/>
      <c r="R78" s="16"/>
      <c r="S78" s="18"/>
      <c r="T78" s="16"/>
      <c r="U78" s="17" t="str">
        <f aca="false">IF(A78="","",IF(OR(B78="",H78="",R78="",S78=""),"TEST-ID, method, selector, date needed",IF(COUNTIF(Ref_TEST!$A$2:$A$201,B78)=0,"TEST-ID not in W10",IF(D78&lt;&gt;"Pass","HOLD: population IPE not Pass",IF(AND(OR(H78="Random (seeded)",H78="Systematic"),I78=""),"Seed or interval needed",IF(G78&lt;&gt;F78+N(J78),"Items selected differ from planned + targeted: explain",IF(P78&lt;&gt;"Y","Confirm period coverage",IF(Q78="","Raise wave 3 PBC request","OK"))))))))</f>
        <v/>
      </c>
    </row>
    <row r="79" customFormat="false" ht="15" hidden="false" customHeight="false" outlineLevel="0" collapsed="false">
      <c r="A79" s="16"/>
      <c r="B79" s="16"/>
      <c r="C79" s="17" t="str">
        <f aca="false">IFERROR(INDEX(Ref_TEST!$B$2:$B$201,MATCH(B79,Ref_TEST!$A$2:$A$201,0)),"")</f>
        <v/>
      </c>
      <c r="D79" s="17" t="str">
        <f aca="false">IFERROR(INDEX(Ref_TEST!$C$2:$C$201,MATCH(B79,Ref_TEST!$A$2:$A$201,0)),"")</f>
        <v/>
      </c>
      <c r="E79" s="17" t="str">
        <f aca="false">IFERROR(INDEX(Ref_TEST!$D$2:$D$201,MATCH(B79,Ref_TEST!$A$2:$A$201,0)),"")</f>
        <v/>
      </c>
      <c r="F79" s="17" t="str">
        <f aca="false">IFERROR(INDEX(Ref_TEST!$E$2:$E$201,MATCH(B79,Ref_TEST!$A$2:$A$201,0)),"")</f>
        <v/>
      </c>
      <c r="G79" s="17" t="str">
        <f aca="false">IF(A79="","",COUNTIF(Items!$A$5:$A$1004,A79))</f>
        <v/>
      </c>
      <c r="H79" s="16"/>
      <c r="I79" s="16"/>
      <c r="J79" s="16"/>
      <c r="K79" s="17" t="str">
        <f aca="false">IF(A79="","",COUNTIFS(Items!$A$5:$A$1004,A79,Items!$E$5:$E$1004,"Q1"))</f>
        <v/>
      </c>
      <c r="L79" s="17" t="str">
        <f aca="false">IF(A79="","",COUNTIFS(Items!$A$5:$A$1004,A79,Items!$E$5:$E$1004,"Q2"))</f>
        <v/>
      </c>
      <c r="M79" s="17" t="str">
        <f aca="false">IF(A79="","",COUNTIFS(Items!$A$5:$A$1004,A79,Items!$E$5:$E$1004,"Q3"))</f>
        <v/>
      </c>
      <c r="N79" s="17" t="str">
        <f aca="false">IF(A79="","",COUNTIFS(Items!$A$5:$A$1004,A79,Items!$E$5:$E$1004,"Q4"))</f>
        <v/>
      </c>
      <c r="O79" s="17" t="str">
        <f aca="false">IF(A79="","",COUNTIF(K79:N79,"&gt;0"))</f>
        <v/>
      </c>
      <c r="P79" s="16"/>
      <c r="Q79" s="16"/>
      <c r="R79" s="16"/>
      <c r="S79" s="18"/>
      <c r="T79" s="16"/>
      <c r="U79" s="17" t="str">
        <f aca="false">IF(A79="","",IF(OR(B79="",H79="",R79="",S79=""),"TEST-ID, method, selector, date needed",IF(COUNTIF(Ref_TEST!$A$2:$A$201,B79)=0,"TEST-ID not in W10",IF(D79&lt;&gt;"Pass","HOLD: population IPE not Pass",IF(AND(OR(H79="Random (seeded)",H79="Systematic"),I79=""),"Seed or interval needed",IF(G79&lt;&gt;F79+N(J79),"Items selected differ from planned + targeted: explain",IF(P79&lt;&gt;"Y","Confirm period coverage",IF(Q79="","Raise wave 3 PBC request","OK"))))))))</f>
        <v/>
      </c>
    </row>
    <row r="80" customFormat="false" ht="15" hidden="false" customHeight="false" outlineLevel="0" collapsed="false">
      <c r="A80" s="16"/>
      <c r="B80" s="16"/>
      <c r="C80" s="17" t="str">
        <f aca="false">IFERROR(INDEX(Ref_TEST!$B$2:$B$201,MATCH(B80,Ref_TEST!$A$2:$A$201,0)),"")</f>
        <v/>
      </c>
      <c r="D80" s="17" t="str">
        <f aca="false">IFERROR(INDEX(Ref_TEST!$C$2:$C$201,MATCH(B80,Ref_TEST!$A$2:$A$201,0)),"")</f>
        <v/>
      </c>
      <c r="E80" s="17" t="str">
        <f aca="false">IFERROR(INDEX(Ref_TEST!$D$2:$D$201,MATCH(B80,Ref_TEST!$A$2:$A$201,0)),"")</f>
        <v/>
      </c>
      <c r="F80" s="17" t="str">
        <f aca="false">IFERROR(INDEX(Ref_TEST!$E$2:$E$201,MATCH(B80,Ref_TEST!$A$2:$A$201,0)),"")</f>
        <v/>
      </c>
      <c r="G80" s="17" t="str">
        <f aca="false">IF(A80="","",COUNTIF(Items!$A$5:$A$1004,A80))</f>
        <v/>
      </c>
      <c r="H80" s="16"/>
      <c r="I80" s="16"/>
      <c r="J80" s="16"/>
      <c r="K80" s="17" t="str">
        <f aca="false">IF(A80="","",COUNTIFS(Items!$A$5:$A$1004,A80,Items!$E$5:$E$1004,"Q1"))</f>
        <v/>
      </c>
      <c r="L80" s="17" t="str">
        <f aca="false">IF(A80="","",COUNTIFS(Items!$A$5:$A$1004,A80,Items!$E$5:$E$1004,"Q2"))</f>
        <v/>
      </c>
      <c r="M80" s="17" t="str">
        <f aca="false">IF(A80="","",COUNTIFS(Items!$A$5:$A$1004,A80,Items!$E$5:$E$1004,"Q3"))</f>
        <v/>
      </c>
      <c r="N80" s="17" t="str">
        <f aca="false">IF(A80="","",COUNTIFS(Items!$A$5:$A$1004,A80,Items!$E$5:$E$1004,"Q4"))</f>
        <v/>
      </c>
      <c r="O80" s="17" t="str">
        <f aca="false">IF(A80="","",COUNTIF(K80:N80,"&gt;0"))</f>
        <v/>
      </c>
      <c r="P80" s="16"/>
      <c r="Q80" s="16"/>
      <c r="R80" s="16"/>
      <c r="S80" s="18"/>
      <c r="T80" s="16"/>
      <c r="U80" s="17" t="str">
        <f aca="false">IF(A80="","",IF(OR(B80="",H80="",R80="",S80=""),"TEST-ID, method, selector, date needed",IF(COUNTIF(Ref_TEST!$A$2:$A$201,B80)=0,"TEST-ID not in W10",IF(D80&lt;&gt;"Pass","HOLD: population IPE not Pass",IF(AND(OR(H80="Random (seeded)",H80="Systematic"),I80=""),"Seed or interval needed",IF(G80&lt;&gt;F80+N(J80),"Items selected differ from planned + targeted: explain",IF(P80&lt;&gt;"Y","Confirm period coverage",IF(Q80="","Raise wave 3 PBC request","OK"))))))))</f>
        <v/>
      </c>
    </row>
    <row r="81" customFormat="false" ht="15" hidden="false" customHeight="false" outlineLevel="0" collapsed="false">
      <c r="A81" s="16"/>
      <c r="B81" s="16"/>
      <c r="C81" s="17" t="str">
        <f aca="false">IFERROR(INDEX(Ref_TEST!$B$2:$B$201,MATCH(B81,Ref_TEST!$A$2:$A$201,0)),"")</f>
        <v/>
      </c>
      <c r="D81" s="17" t="str">
        <f aca="false">IFERROR(INDEX(Ref_TEST!$C$2:$C$201,MATCH(B81,Ref_TEST!$A$2:$A$201,0)),"")</f>
        <v/>
      </c>
      <c r="E81" s="17" t="str">
        <f aca="false">IFERROR(INDEX(Ref_TEST!$D$2:$D$201,MATCH(B81,Ref_TEST!$A$2:$A$201,0)),"")</f>
        <v/>
      </c>
      <c r="F81" s="17" t="str">
        <f aca="false">IFERROR(INDEX(Ref_TEST!$E$2:$E$201,MATCH(B81,Ref_TEST!$A$2:$A$201,0)),"")</f>
        <v/>
      </c>
      <c r="G81" s="17" t="str">
        <f aca="false">IF(A81="","",COUNTIF(Items!$A$5:$A$1004,A81))</f>
        <v/>
      </c>
      <c r="H81" s="16"/>
      <c r="I81" s="16"/>
      <c r="J81" s="16"/>
      <c r="K81" s="17" t="str">
        <f aca="false">IF(A81="","",COUNTIFS(Items!$A$5:$A$1004,A81,Items!$E$5:$E$1004,"Q1"))</f>
        <v/>
      </c>
      <c r="L81" s="17" t="str">
        <f aca="false">IF(A81="","",COUNTIFS(Items!$A$5:$A$1004,A81,Items!$E$5:$E$1004,"Q2"))</f>
        <v/>
      </c>
      <c r="M81" s="17" t="str">
        <f aca="false">IF(A81="","",COUNTIFS(Items!$A$5:$A$1004,A81,Items!$E$5:$E$1004,"Q3"))</f>
        <v/>
      </c>
      <c r="N81" s="17" t="str">
        <f aca="false">IF(A81="","",COUNTIFS(Items!$A$5:$A$1004,A81,Items!$E$5:$E$1004,"Q4"))</f>
        <v/>
      </c>
      <c r="O81" s="17" t="str">
        <f aca="false">IF(A81="","",COUNTIF(K81:N81,"&gt;0"))</f>
        <v/>
      </c>
      <c r="P81" s="16"/>
      <c r="Q81" s="16"/>
      <c r="R81" s="16"/>
      <c r="S81" s="18"/>
      <c r="T81" s="16"/>
      <c r="U81" s="17" t="str">
        <f aca="false">IF(A81="","",IF(OR(B81="",H81="",R81="",S81=""),"TEST-ID, method, selector, date needed",IF(COUNTIF(Ref_TEST!$A$2:$A$201,B81)=0,"TEST-ID not in W10",IF(D81&lt;&gt;"Pass","HOLD: population IPE not Pass",IF(AND(OR(H81="Random (seeded)",H81="Systematic"),I81=""),"Seed or interval needed",IF(G81&lt;&gt;F81+N(J81),"Items selected differ from planned + targeted: explain",IF(P81&lt;&gt;"Y","Confirm period coverage",IF(Q81="","Raise wave 3 PBC request","OK"))))))))</f>
        <v/>
      </c>
    </row>
    <row r="82" customFormat="false" ht="15" hidden="false" customHeight="false" outlineLevel="0" collapsed="false">
      <c r="A82" s="16"/>
      <c r="B82" s="16"/>
      <c r="C82" s="17" t="str">
        <f aca="false">IFERROR(INDEX(Ref_TEST!$B$2:$B$201,MATCH(B82,Ref_TEST!$A$2:$A$201,0)),"")</f>
        <v/>
      </c>
      <c r="D82" s="17" t="str">
        <f aca="false">IFERROR(INDEX(Ref_TEST!$C$2:$C$201,MATCH(B82,Ref_TEST!$A$2:$A$201,0)),"")</f>
        <v/>
      </c>
      <c r="E82" s="17" t="str">
        <f aca="false">IFERROR(INDEX(Ref_TEST!$D$2:$D$201,MATCH(B82,Ref_TEST!$A$2:$A$201,0)),"")</f>
        <v/>
      </c>
      <c r="F82" s="17" t="str">
        <f aca="false">IFERROR(INDEX(Ref_TEST!$E$2:$E$201,MATCH(B82,Ref_TEST!$A$2:$A$201,0)),"")</f>
        <v/>
      </c>
      <c r="G82" s="17" t="str">
        <f aca="false">IF(A82="","",COUNTIF(Items!$A$5:$A$1004,A82))</f>
        <v/>
      </c>
      <c r="H82" s="16"/>
      <c r="I82" s="16"/>
      <c r="J82" s="16"/>
      <c r="K82" s="17" t="str">
        <f aca="false">IF(A82="","",COUNTIFS(Items!$A$5:$A$1004,A82,Items!$E$5:$E$1004,"Q1"))</f>
        <v/>
      </c>
      <c r="L82" s="17" t="str">
        <f aca="false">IF(A82="","",COUNTIFS(Items!$A$5:$A$1004,A82,Items!$E$5:$E$1004,"Q2"))</f>
        <v/>
      </c>
      <c r="M82" s="17" t="str">
        <f aca="false">IF(A82="","",COUNTIFS(Items!$A$5:$A$1004,A82,Items!$E$5:$E$1004,"Q3"))</f>
        <v/>
      </c>
      <c r="N82" s="17" t="str">
        <f aca="false">IF(A82="","",COUNTIFS(Items!$A$5:$A$1004,A82,Items!$E$5:$E$1004,"Q4"))</f>
        <v/>
      </c>
      <c r="O82" s="17" t="str">
        <f aca="false">IF(A82="","",COUNTIF(K82:N82,"&gt;0"))</f>
        <v/>
      </c>
      <c r="P82" s="16"/>
      <c r="Q82" s="16"/>
      <c r="R82" s="16"/>
      <c r="S82" s="18"/>
      <c r="T82" s="16"/>
      <c r="U82" s="17" t="str">
        <f aca="false">IF(A82="","",IF(OR(B82="",H82="",R82="",S82=""),"TEST-ID, method, selector, date needed",IF(COUNTIF(Ref_TEST!$A$2:$A$201,B82)=0,"TEST-ID not in W10",IF(D82&lt;&gt;"Pass","HOLD: population IPE not Pass",IF(AND(OR(H82="Random (seeded)",H82="Systematic"),I82=""),"Seed or interval needed",IF(G82&lt;&gt;F82+N(J82),"Items selected differ from planned + targeted: explain",IF(P82&lt;&gt;"Y","Confirm period coverage",IF(Q82="","Raise wave 3 PBC request","OK"))))))))</f>
        <v/>
      </c>
    </row>
    <row r="83" customFormat="false" ht="15" hidden="false" customHeight="false" outlineLevel="0" collapsed="false">
      <c r="A83" s="16"/>
      <c r="B83" s="16"/>
      <c r="C83" s="17" t="str">
        <f aca="false">IFERROR(INDEX(Ref_TEST!$B$2:$B$201,MATCH(B83,Ref_TEST!$A$2:$A$201,0)),"")</f>
        <v/>
      </c>
      <c r="D83" s="17" t="str">
        <f aca="false">IFERROR(INDEX(Ref_TEST!$C$2:$C$201,MATCH(B83,Ref_TEST!$A$2:$A$201,0)),"")</f>
        <v/>
      </c>
      <c r="E83" s="17" t="str">
        <f aca="false">IFERROR(INDEX(Ref_TEST!$D$2:$D$201,MATCH(B83,Ref_TEST!$A$2:$A$201,0)),"")</f>
        <v/>
      </c>
      <c r="F83" s="17" t="str">
        <f aca="false">IFERROR(INDEX(Ref_TEST!$E$2:$E$201,MATCH(B83,Ref_TEST!$A$2:$A$201,0)),"")</f>
        <v/>
      </c>
      <c r="G83" s="17" t="str">
        <f aca="false">IF(A83="","",COUNTIF(Items!$A$5:$A$1004,A83))</f>
        <v/>
      </c>
      <c r="H83" s="16"/>
      <c r="I83" s="16"/>
      <c r="J83" s="16"/>
      <c r="K83" s="17" t="str">
        <f aca="false">IF(A83="","",COUNTIFS(Items!$A$5:$A$1004,A83,Items!$E$5:$E$1004,"Q1"))</f>
        <v/>
      </c>
      <c r="L83" s="17" t="str">
        <f aca="false">IF(A83="","",COUNTIFS(Items!$A$5:$A$1004,A83,Items!$E$5:$E$1004,"Q2"))</f>
        <v/>
      </c>
      <c r="M83" s="17" t="str">
        <f aca="false">IF(A83="","",COUNTIFS(Items!$A$5:$A$1004,A83,Items!$E$5:$E$1004,"Q3"))</f>
        <v/>
      </c>
      <c r="N83" s="17" t="str">
        <f aca="false">IF(A83="","",COUNTIFS(Items!$A$5:$A$1004,A83,Items!$E$5:$E$1004,"Q4"))</f>
        <v/>
      </c>
      <c r="O83" s="17" t="str">
        <f aca="false">IF(A83="","",COUNTIF(K83:N83,"&gt;0"))</f>
        <v/>
      </c>
      <c r="P83" s="16"/>
      <c r="Q83" s="16"/>
      <c r="R83" s="16"/>
      <c r="S83" s="18"/>
      <c r="T83" s="16"/>
      <c r="U83" s="17" t="str">
        <f aca="false">IF(A83="","",IF(OR(B83="",H83="",R83="",S83=""),"TEST-ID, method, selector, date needed",IF(COUNTIF(Ref_TEST!$A$2:$A$201,B83)=0,"TEST-ID not in W10",IF(D83&lt;&gt;"Pass","HOLD: population IPE not Pass",IF(AND(OR(H83="Random (seeded)",H83="Systematic"),I83=""),"Seed or interval needed",IF(G83&lt;&gt;F83+N(J83),"Items selected differ from planned + targeted: explain",IF(P83&lt;&gt;"Y","Confirm period coverage",IF(Q83="","Raise wave 3 PBC request","OK"))))))))</f>
        <v/>
      </c>
    </row>
    <row r="84" customFormat="false" ht="15" hidden="false" customHeight="false" outlineLevel="0" collapsed="false">
      <c r="A84" s="16"/>
      <c r="B84" s="16"/>
      <c r="C84" s="17" t="str">
        <f aca="false">IFERROR(INDEX(Ref_TEST!$B$2:$B$201,MATCH(B84,Ref_TEST!$A$2:$A$201,0)),"")</f>
        <v/>
      </c>
      <c r="D84" s="17" t="str">
        <f aca="false">IFERROR(INDEX(Ref_TEST!$C$2:$C$201,MATCH(B84,Ref_TEST!$A$2:$A$201,0)),"")</f>
        <v/>
      </c>
      <c r="E84" s="17" t="str">
        <f aca="false">IFERROR(INDEX(Ref_TEST!$D$2:$D$201,MATCH(B84,Ref_TEST!$A$2:$A$201,0)),"")</f>
        <v/>
      </c>
      <c r="F84" s="17" t="str">
        <f aca="false">IFERROR(INDEX(Ref_TEST!$E$2:$E$201,MATCH(B84,Ref_TEST!$A$2:$A$201,0)),"")</f>
        <v/>
      </c>
      <c r="G84" s="17" t="str">
        <f aca="false">IF(A84="","",COUNTIF(Items!$A$5:$A$1004,A84))</f>
        <v/>
      </c>
      <c r="H84" s="16"/>
      <c r="I84" s="16"/>
      <c r="J84" s="16"/>
      <c r="K84" s="17" t="str">
        <f aca="false">IF(A84="","",COUNTIFS(Items!$A$5:$A$1004,A84,Items!$E$5:$E$1004,"Q1"))</f>
        <v/>
      </c>
      <c r="L84" s="17" t="str">
        <f aca="false">IF(A84="","",COUNTIFS(Items!$A$5:$A$1004,A84,Items!$E$5:$E$1004,"Q2"))</f>
        <v/>
      </c>
      <c r="M84" s="17" t="str">
        <f aca="false">IF(A84="","",COUNTIFS(Items!$A$5:$A$1004,A84,Items!$E$5:$E$1004,"Q3"))</f>
        <v/>
      </c>
      <c r="N84" s="17" t="str">
        <f aca="false">IF(A84="","",COUNTIFS(Items!$A$5:$A$1004,A84,Items!$E$5:$E$1004,"Q4"))</f>
        <v/>
      </c>
      <c r="O84" s="17" t="str">
        <f aca="false">IF(A84="","",COUNTIF(K84:N84,"&gt;0"))</f>
        <v/>
      </c>
      <c r="P84" s="16"/>
      <c r="Q84" s="16"/>
      <c r="R84" s="16"/>
      <c r="S84" s="18"/>
      <c r="T84" s="16"/>
      <c r="U84" s="17" t="str">
        <f aca="false">IF(A84="","",IF(OR(B84="",H84="",R84="",S84=""),"TEST-ID, method, selector, date needed",IF(COUNTIF(Ref_TEST!$A$2:$A$201,B84)=0,"TEST-ID not in W10",IF(D84&lt;&gt;"Pass","HOLD: population IPE not Pass",IF(AND(OR(H84="Random (seeded)",H84="Systematic"),I84=""),"Seed or interval needed",IF(G84&lt;&gt;F84+N(J84),"Items selected differ from planned + targeted: explain",IF(P84&lt;&gt;"Y","Confirm period coverage",IF(Q84="","Raise wave 3 PBC request","OK"))))))))</f>
        <v/>
      </c>
    </row>
    <row r="85" customFormat="false" ht="15" hidden="false" customHeight="false" outlineLevel="0" collapsed="false">
      <c r="A85" s="16"/>
      <c r="B85" s="16"/>
      <c r="C85" s="17" t="str">
        <f aca="false">IFERROR(INDEX(Ref_TEST!$B$2:$B$201,MATCH(B85,Ref_TEST!$A$2:$A$201,0)),"")</f>
        <v/>
      </c>
      <c r="D85" s="17" t="str">
        <f aca="false">IFERROR(INDEX(Ref_TEST!$C$2:$C$201,MATCH(B85,Ref_TEST!$A$2:$A$201,0)),"")</f>
        <v/>
      </c>
      <c r="E85" s="17" t="str">
        <f aca="false">IFERROR(INDEX(Ref_TEST!$D$2:$D$201,MATCH(B85,Ref_TEST!$A$2:$A$201,0)),"")</f>
        <v/>
      </c>
      <c r="F85" s="17" t="str">
        <f aca="false">IFERROR(INDEX(Ref_TEST!$E$2:$E$201,MATCH(B85,Ref_TEST!$A$2:$A$201,0)),"")</f>
        <v/>
      </c>
      <c r="G85" s="17" t="str">
        <f aca="false">IF(A85="","",COUNTIF(Items!$A$5:$A$1004,A85))</f>
        <v/>
      </c>
      <c r="H85" s="16"/>
      <c r="I85" s="16"/>
      <c r="J85" s="16"/>
      <c r="K85" s="17" t="str">
        <f aca="false">IF(A85="","",COUNTIFS(Items!$A$5:$A$1004,A85,Items!$E$5:$E$1004,"Q1"))</f>
        <v/>
      </c>
      <c r="L85" s="17" t="str">
        <f aca="false">IF(A85="","",COUNTIFS(Items!$A$5:$A$1004,A85,Items!$E$5:$E$1004,"Q2"))</f>
        <v/>
      </c>
      <c r="M85" s="17" t="str">
        <f aca="false">IF(A85="","",COUNTIFS(Items!$A$5:$A$1004,A85,Items!$E$5:$E$1004,"Q3"))</f>
        <v/>
      </c>
      <c r="N85" s="17" t="str">
        <f aca="false">IF(A85="","",COUNTIFS(Items!$A$5:$A$1004,A85,Items!$E$5:$E$1004,"Q4"))</f>
        <v/>
      </c>
      <c r="O85" s="17" t="str">
        <f aca="false">IF(A85="","",COUNTIF(K85:N85,"&gt;0"))</f>
        <v/>
      </c>
      <c r="P85" s="16"/>
      <c r="Q85" s="16"/>
      <c r="R85" s="16"/>
      <c r="S85" s="18"/>
      <c r="T85" s="16"/>
      <c r="U85" s="17" t="str">
        <f aca="false">IF(A85="","",IF(OR(B85="",H85="",R85="",S85=""),"TEST-ID, method, selector, date needed",IF(COUNTIF(Ref_TEST!$A$2:$A$201,B85)=0,"TEST-ID not in W10",IF(D85&lt;&gt;"Pass","HOLD: population IPE not Pass",IF(AND(OR(H85="Random (seeded)",H85="Systematic"),I85=""),"Seed or interval needed",IF(G85&lt;&gt;F85+N(J85),"Items selected differ from planned + targeted: explain",IF(P85&lt;&gt;"Y","Confirm period coverage",IF(Q85="","Raise wave 3 PBC request","OK"))))))))</f>
        <v/>
      </c>
    </row>
    <row r="86" customFormat="false" ht="15" hidden="false" customHeight="false" outlineLevel="0" collapsed="false">
      <c r="A86" s="16"/>
      <c r="B86" s="16"/>
      <c r="C86" s="17" t="str">
        <f aca="false">IFERROR(INDEX(Ref_TEST!$B$2:$B$201,MATCH(B86,Ref_TEST!$A$2:$A$201,0)),"")</f>
        <v/>
      </c>
      <c r="D86" s="17" t="str">
        <f aca="false">IFERROR(INDEX(Ref_TEST!$C$2:$C$201,MATCH(B86,Ref_TEST!$A$2:$A$201,0)),"")</f>
        <v/>
      </c>
      <c r="E86" s="17" t="str">
        <f aca="false">IFERROR(INDEX(Ref_TEST!$D$2:$D$201,MATCH(B86,Ref_TEST!$A$2:$A$201,0)),"")</f>
        <v/>
      </c>
      <c r="F86" s="17" t="str">
        <f aca="false">IFERROR(INDEX(Ref_TEST!$E$2:$E$201,MATCH(B86,Ref_TEST!$A$2:$A$201,0)),"")</f>
        <v/>
      </c>
      <c r="G86" s="17" t="str">
        <f aca="false">IF(A86="","",COUNTIF(Items!$A$5:$A$1004,A86))</f>
        <v/>
      </c>
      <c r="H86" s="16"/>
      <c r="I86" s="16"/>
      <c r="J86" s="16"/>
      <c r="K86" s="17" t="str">
        <f aca="false">IF(A86="","",COUNTIFS(Items!$A$5:$A$1004,A86,Items!$E$5:$E$1004,"Q1"))</f>
        <v/>
      </c>
      <c r="L86" s="17" t="str">
        <f aca="false">IF(A86="","",COUNTIFS(Items!$A$5:$A$1004,A86,Items!$E$5:$E$1004,"Q2"))</f>
        <v/>
      </c>
      <c r="M86" s="17" t="str">
        <f aca="false">IF(A86="","",COUNTIFS(Items!$A$5:$A$1004,A86,Items!$E$5:$E$1004,"Q3"))</f>
        <v/>
      </c>
      <c r="N86" s="17" t="str">
        <f aca="false">IF(A86="","",COUNTIFS(Items!$A$5:$A$1004,A86,Items!$E$5:$E$1004,"Q4"))</f>
        <v/>
      </c>
      <c r="O86" s="17" t="str">
        <f aca="false">IF(A86="","",COUNTIF(K86:N86,"&gt;0"))</f>
        <v/>
      </c>
      <c r="P86" s="16"/>
      <c r="Q86" s="16"/>
      <c r="R86" s="16"/>
      <c r="S86" s="18"/>
      <c r="T86" s="16"/>
      <c r="U86" s="17" t="str">
        <f aca="false">IF(A86="","",IF(OR(B86="",H86="",R86="",S86=""),"TEST-ID, method, selector, date needed",IF(COUNTIF(Ref_TEST!$A$2:$A$201,B86)=0,"TEST-ID not in W10",IF(D86&lt;&gt;"Pass","HOLD: population IPE not Pass",IF(AND(OR(H86="Random (seeded)",H86="Systematic"),I86=""),"Seed or interval needed",IF(G86&lt;&gt;F86+N(J86),"Items selected differ from planned + targeted: explain",IF(P86&lt;&gt;"Y","Confirm period coverage",IF(Q86="","Raise wave 3 PBC request","OK"))))))))</f>
        <v/>
      </c>
    </row>
    <row r="87" customFormat="false" ht="15" hidden="false" customHeight="false" outlineLevel="0" collapsed="false">
      <c r="A87" s="16"/>
      <c r="B87" s="16"/>
      <c r="C87" s="17" t="str">
        <f aca="false">IFERROR(INDEX(Ref_TEST!$B$2:$B$201,MATCH(B87,Ref_TEST!$A$2:$A$201,0)),"")</f>
        <v/>
      </c>
      <c r="D87" s="17" t="str">
        <f aca="false">IFERROR(INDEX(Ref_TEST!$C$2:$C$201,MATCH(B87,Ref_TEST!$A$2:$A$201,0)),"")</f>
        <v/>
      </c>
      <c r="E87" s="17" t="str">
        <f aca="false">IFERROR(INDEX(Ref_TEST!$D$2:$D$201,MATCH(B87,Ref_TEST!$A$2:$A$201,0)),"")</f>
        <v/>
      </c>
      <c r="F87" s="17" t="str">
        <f aca="false">IFERROR(INDEX(Ref_TEST!$E$2:$E$201,MATCH(B87,Ref_TEST!$A$2:$A$201,0)),"")</f>
        <v/>
      </c>
      <c r="G87" s="17" t="str">
        <f aca="false">IF(A87="","",COUNTIF(Items!$A$5:$A$1004,A87))</f>
        <v/>
      </c>
      <c r="H87" s="16"/>
      <c r="I87" s="16"/>
      <c r="J87" s="16"/>
      <c r="K87" s="17" t="str">
        <f aca="false">IF(A87="","",COUNTIFS(Items!$A$5:$A$1004,A87,Items!$E$5:$E$1004,"Q1"))</f>
        <v/>
      </c>
      <c r="L87" s="17" t="str">
        <f aca="false">IF(A87="","",COUNTIFS(Items!$A$5:$A$1004,A87,Items!$E$5:$E$1004,"Q2"))</f>
        <v/>
      </c>
      <c r="M87" s="17" t="str">
        <f aca="false">IF(A87="","",COUNTIFS(Items!$A$5:$A$1004,A87,Items!$E$5:$E$1004,"Q3"))</f>
        <v/>
      </c>
      <c r="N87" s="17" t="str">
        <f aca="false">IF(A87="","",COUNTIFS(Items!$A$5:$A$1004,A87,Items!$E$5:$E$1004,"Q4"))</f>
        <v/>
      </c>
      <c r="O87" s="17" t="str">
        <f aca="false">IF(A87="","",COUNTIF(K87:N87,"&gt;0"))</f>
        <v/>
      </c>
      <c r="P87" s="16"/>
      <c r="Q87" s="16"/>
      <c r="R87" s="16"/>
      <c r="S87" s="18"/>
      <c r="T87" s="16"/>
      <c r="U87" s="17" t="str">
        <f aca="false">IF(A87="","",IF(OR(B87="",H87="",R87="",S87=""),"TEST-ID, method, selector, date needed",IF(COUNTIF(Ref_TEST!$A$2:$A$201,B87)=0,"TEST-ID not in W10",IF(D87&lt;&gt;"Pass","HOLD: population IPE not Pass",IF(AND(OR(H87="Random (seeded)",H87="Systematic"),I87=""),"Seed or interval needed",IF(G87&lt;&gt;F87+N(J87),"Items selected differ from planned + targeted: explain",IF(P87&lt;&gt;"Y","Confirm period coverage",IF(Q87="","Raise wave 3 PBC request","OK"))))))))</f>
        <v/>
      </c>
    </row>
    <row r="88" customFormat="false" ht="15" hidden="false" customHeight="false" outlineLevel="0" collapsed="false">
      <c r="A88" s="16"/>
      <c r="B88" s="16"/>
      <c r="C88" s="17" t="str">
        <f aca="false">IFERROR(INDEX(Ref_TEST!$B$2:$B$201,MATCH(B88,Ref_TEST!$A$2:$A$201,0)),"")</f>
        <v/>
      </c>
      <c r="D88" s="17" t="str">
        <f aca="false">IFERROR(INDEX(Ref_TEST!$C$2:$C$201,MATCH(B88,Ref_TEST!$A$2:$A$201,0)),"")</f>
        <v/>
      </c>
      <c r="E88" s="17" t="str">
        <f aca="false">IFERROR(INDEX(Ref_TEST!$D$2:$D$201,MATCH(B88,Ref_TEST!$A$2:$A$201,0)),"")</f>
        <v/>
      </c>
      <c r="F88" s="17" t="str">
        <f aca="false">IFERROR(INDEX(Ref_TEST!$E$2:$E$201,MATCH(B88,Ref_TEST!$A$2:$A$201,0)),"")</f>
        <v/>
      </c>
      <c r="G88" s="17" t="str">
        <f aca="false">IF(A88="","",COUNTIF(Items!$A$5:$A$1004,A88))</f>
        <v/>
      </c>
      <c r="H88" s="16"/>
      <c r="I88" s="16"/>
      <c r="J88" s="16"/>
      <c r="K88" s="17" t="str">
        <f aca="false">IF(A88="","",COUNTIFS(Items!$A$5:$A$1004,A88,Items!$E$5:$E$1004,"Q1"))</f>
        <v/>
      </c>
      <c r="L88" s="17" t="str">
        <f aca="false">IF(A88="","",COUNTIFS(Items!$A$5:$A$1004,A88,Items!$E$5:$E$1004,"Q2"))</f>
        <v/>
      </c>
      <c r="M88" s="17" t="str">
        <f aca="false">IF(A88="","",COUNTIFS(Items!$A$5:$A$1004,A88,Items!$E$5:$E$1004,"Q3"))</f>
        <v/>
      </c>
      <c r="N88" s="17" t="str">
        <f aca="false">IF(A88="","",COUNTIFS(Items!$A$5:$A$1004,A88,Items!$E$5:$E$1004,"Q4"))</f>
        <v/>
      </c>
      <c r="O88" s="17" t="str">
        <f aca="false">IF(A88="","",COUNTIF(K88:N88,"&gt;0"))</f>
        <v/>
      </c>
      <c r="P88" s="16"/>
      <c r="Q88" s="16"/>
      <c r="R88" s="16"/>
      <c r="S88" s="18"/>
      <c r="T88" s="16"/>
      <c r="U88" s="17" t="str">
        <f aca="false">IF(A88="","",IF(OR(B88="",H88="",R88="",S88=""),"TEST-ID, method, selector, date needed",IF(COUNTIF(Ref_TEST!$A$2:$A$201,B88)=0,"TEST-ID not in W10",IF(D88&lt;&gt;"Pass","HOLD: population IPE not Pass",IF(AND(OR(H88="Random (seeded)",H88="Systematic"),I88=""),"Seed or interval needed",IF(G88&lt;&gt;F88+N(J88),"Items selected differ from planned + targeted: explain",IF(P88&lt;&gt;"Y","Confirm period coverage",IF(Q88="","Raise wave 3 PBC request","OK"))))))))</f>
        <v/>
      </c>
    </row>
    <row r="89" customFormat="false" ht="15" hidden="false" customHeight="false" outlineLevel="0" collapsed="false">
      <c r="A89" s="16"/>
      <c r="B89" s="16"/>
      <c r="C89" s="17" t="str">
        <f aca="false">IFERROR(INDEX(Ref_TEST!$B$2:$B$201,MATCH(B89,Ref_TEST!$A$2:$A$201,0)),"")</f>
        <v/>
      </c>
      <c r="D89" s="17" t="str">
        <f aca="false">IFERROR(INDEX(Ref_TEST!$C$2:$C$201,MATCH(B89,Ref_TEST!$A$2:$A$201,0)),"")</f>
        <v/>
      </c>
      <c r="E89" s="17" t="str">
        <f aca="false">IFERROR(INDEX(Ref_TEST!$D$2:$D$201,MATCH(B89,Ref_TEST!$A$2:$A$201,0)),"")</f>
        <v/>
      </c>
      <c r="F89" s="17" t="str">
        <f aca="false">IFERROR(INDEX(Ref_TEST!$E$2:$E$201,MATCH(B89,Ref_TEST!$A$2:$A$201,0)),"")</f>
        <v/>
      </c>
      <c r="G89" s="17" t="str">
        <f aca="false">IF(A89="","",COUNTIF(Items!$A$5:$A$1004,A89))</f>
        <v/>
      </c>
      <c r="H89" s="16"/>
      <c r="I89" s="16"/>
      <c r="J89" s="16"/>
      <c r="K89" s="17" t="str">
        <f aca="false">IF(A89="","",COUNTIFS(Items!$A$5:$A$1004,A89,Items!$E$5:$E$1004,"Q1"))</f>
        <v/>
      </c>
      <c r="L89" s="17" t="str">
        <f aca="false">IF(A89="","",COUNTIFS(Items!$A$5:$A$1004,A89,Items!$E$5:$E$1004,"Q2"))</f>
        <v/>
      </c>
      <c r="M89" s="17" t="str">
        <f aca="false">IF(A89="","",COUNTIFS(Items!$A$5:$A$1004,A89,Items!$E$5:$E$1004,"Q3"))</f>
        <v/>
      </c>
      <c r="N89" s="17" t="str">
        <f aca="false">IF(A89="","",COUNTIFS(Items!$A$5:$A$1004,A89,Items!$E$5:$E$1004,"Q4"))</f>
        <v/>
      </c>
      <c r="O89" s="17" t="str">
        <f aca="false">IF(A89="","",COUNTIF(K89:N89,"&gt;0"))</f>
        <v/>
      </c>
      <c r="P89" s="16"/>
      <c r="Q89" s="16"/>
      <c r="R89" s="16"/>
      <c r="S89" s="18"/>
      <c r="T89" s="16"/>
      <c r="U89" s="17" t="str">
        <f aca="false">IF(A89="","",IF(OR(B89="",H89="",R89="",S89=""),"TEST-ID, method, selector, date needed",IF(COUNTIF(Ref_TEST!$A$2:$A$201,B89)=0,"TEST-ID not in W10",IF(D89&lt;&gt;"Pass","HOLD: population IPE not Pass",IF(AND(OR(H89="Random (seeded)",H89="Systematic"),I89=""),"Seed or interval needed",IF(G89&lt;&gt;F89+N(J89),"Items selected differ from planned + targeted: explain",IF(P89&lt;&gt;"Y","Confirm period coverage",IF(Q89="","Raise wave 3 PBC request","OK"))))))))</f>
        <v/>
      </c>
    </row>
    <row r="90" customFormat="false" ht="15" hidden="false" customHeight="false" outlineLevel="0" collapsed="false">
      <c r="A90" s="16"/>
      <c r="B90" s="16"/>
      <c r="C90" s="17" t="str">
        <f aca="false">IFERROR(INDEX(Ref_TEST!$B$2:$B$201,MATCH(B90,Ref_TEST!$A$2:$A$201,0)),"")</f>
        <v/>
      </c>
      <c r="D90" s="17" t="str">
        <f aca="false">IFERROR(INDEX(Ref_TEST!$C$2:$C$201,MATCH(B90,Ref_TEST!$A$2:$A$201,0)),"")</f>
        <v/>
      </c>
      <c r="E90" s="17" t="str">
        <f aca="false">IFERROR(INDEX(Ref_TEST!$D$2:$D$201,MATCH(B90,Ref_TEST!$A$2:$A$201,0)),"")</f>
        <v/>
      </c>
      <c r="F90" s="17" t="str">
        <f aca="false">IFERROR(INDEX(Ref_TEST!$E$2:$E$201,MATCH(B90,Ref_TEST!$A$2:$A$201,0)),"")</f>
        <v/>
      </c>
      <c r="G90" s="17" t="str">
        <f aca="false">IF(A90="","",COUNTIF(Items!$A$5:$A$1004,A90))</f>
        <v/>
      </c>
      <c r="H90" s="16"/>
      <c r="I90" s="16"/>
      <c r="J90" s="16"/>
      <c r="K90" s="17" t="str">
        <f aca="false">IF(A90="","",COUNTIFS(Items!$A$5:$A$1004,A90,Items!$E$5:$E$1004,"Q1"))</f>
        <v/>
      </c>
      <c r="L90" s="17" t="str">
        <f aca="false">IF(A90="","",COUNTIFS(Items!$A$5:$A$1004,A90,Items!$E$5:$E$1004,"Q2"))</f>
        <v/>
      </c>
      <c r="M90" s="17" t="str">
        <f aca="false">IF(A90="","",COUNTIFS(Items!$A$5:$A$1004,A90,Items!$E$5:$E$1004,"Q3"))</f>
        <v/>
      </c>
      <c r="N90" s="17" t="str">
        <f aca="false">IF(A90="","",COUNTIFS(Items!$A$5:$A$1004,A90,Items!$E$5:$E$1004,"Q4"))</f>
        <v/>
      </c>
      <c r="O90" s="17" t="str">
        <f aca="false">IF(A90="","",COUNTIF(K90:N90,"&gt;0"))</f>
        <v/>
      </c>
      <c r="P90" s="16"/>
      <c r="Q90" s="16"/>
      <c r="R90" s="16"/>
      <c r="S90" s="18"/>
      <c r="T90" s="16"/>
      <c r="U90" s="17" t="str">
        <f aca="false">IF(A90="","",IF(OR(B90="",H90="",R90="",S90=""),"TEST-ID, method, selector, date needed",IF(COUNTIF(Ref_TEST!$A$2:$A$201,B90)=0,"TEST-ID not in W10",IF(D90&lt;&gt;"Pass","HOLD: population IPE not Pass",IF(AND(OR(H90="Random (seeded)",H90="Systematic"),I90=""),"Seed or interval needed",IF(G90&lt;&gt;F90+N(J90),"Items selected differ from planned + targeted: explain",IF(P90&lt;&gt;"Y","Confirm period coverage",IF(Q90="","Raise wave 3 PBC request","OK"))))))))</f>
        <v/>
      </c>
    </row>
    <row r="91" customFormat="false" ht="15" hidden="false" customHeight="false" outlineLevel="0" collapsed="false">
      <c r="A91" s="16"/>
      <c r="B91" s="16"/>
      <c r="C91" s="17" t="str">
        <f aca="false">IFERROR(INDEX(Ref_TEST!$B$2:$B$201,MATCH(B91,Ref_TEST!$A$2:$A$201,0)),"")</f>
        <v/>
      </c>
      <c r="D91" s="17" t="str">
        <f aca="false">IFERROR(INDEX(Ref_TEST!$C$2:$C$201,MATCH(B91,Ref_TEST!$A$2:$A$201,0)),"")</f>
        <v/>
      </c>
      <c r="E91" s="17" t="str">
        <f aca="false">IFERROR(INDEX(Ref_TEST!$D$2:$D$201,MATCH(B91,Ref_TEST!$A$2:$A$201,0)),"")</f>
        <v/>
      </c>
      <c r="F91" s="17" t="str">
        <f aca="false">IFERROR(INDEX(Ref_TEST!$E$2:$E$201,MATCH(B91,Ref_TEST!$A$2:$A$201,0)),"")</f>
        <v/>
      </c>
      <c r="G91" s="17" t="str">
        <f aca="false">IF(A91="","",COUNTIF(Items!$A$5:$A$1004,A91))</f>
        <v/>
      </c>
      <c r="H91" s="16"/>
      <c r="I91" s="16"/>
      <c r="J91" s="16"/>
      <c r="K91" s="17" t="str">
        <f aca="false">IF(A91="","",COUNTIFS(Items!$A$5:$A$1004,A91,Items!$E$5:$E$1004,"Q1"))</f>
        <v/>
      </c>
      <c r="L91" s="17" t="str">
        <f aca="false">IF(A91="","",COUNTIFS(Items!$A$5:$A$1004,A91,Items!$E$5:$E$1004,"Q2"))</f>
        <v/>
      </c>
      <c r="M91" s="17" t="str">
        <f aca="false">IF(A91="","",COUNTIFS(Items!$A$5:$A$1004,A91,Items!$E$5:$E$1004,"Q3"))</f>
        <v/>
      </c>
      <c r="N91" s="17" t="str">
        <f aca="false">IF(A91="","",COUNTIFS(Items!$A$5:$A$1004,A91,Items!$E$5:$E$1004,"Q4"))</f>
        <v/>
      </c>
      <c r="O91" s="17" t="str">
        <f aca="false">IF(A91="","",COUNTIF(K91:N91,"&gt;0"))</f>
        <v/>
      </c>
      <c r="P91" s="16"/>
      <c r="Q91" s="16"/>
      <c r="R91" s="16"/>
      <c r="S91" s="18"/>
      <c r="T91" s="16"/>
      <c r="U91" s="17" t="str">
        <f aca="false">IF(A91="","",IF(OR(B91="",H91="",R91="",S91=""),"TEST-ID, method, selector, date needed",IF(COUNTIF(Ref_TEST!$A$2:$A$201,B91)=0,"TEST-ID not in W10",IF(D91&lt;&gt;"Pass","HOLD: population IPE not Pass",IF(AND(OR(H91="Random (seeded)",H91="Systematic"),I91=""),"Seed or interval needed",IF(G91&lt;&gt;F91+N(J91),"Items selected differ from planned + targeted: explain",IF(P91&lt;&gt;"Y","Confirm period coverage",IF(Q91="","Raise wave 3 PBC request","OK"))))))))</f>
        <v/>
      </c>
    </row>
    <row r="92" customFormat="false" ht="15" hidden="false" customHeight="false" outlineLevel="0" collapsed="false">
      <c r="A92" s="16"/>
      <c r="B92" s="16"/>
      <c r="C92" s="17" t="str">
        <f aca="false">IFERROR(INDEX(Ref_TEST!$B$2:$B$201,MATCH(B92,Ref_TEST!$A$2:$A$201,0)),"")</f>
        <v/>
      </c>
      <c r="D92" s="17" t="str">
        <f aca="false">IFERROR(INDEX(Ref_TEST!$C$2:$C$201,MATCH(B92,Ref_TEST!$A$2:$A$201,0)),"")</f>
        <v/>
      </c>
      <c r="E92" s="17" t="str">
        <f aca="false">IFERROR(INDEX(Ref_TEST!$D$2:$D$201,MATCH(B92,Ref_TEST!$A$2:$A$201,0)),"")</f>
        <v/>
      </c>
      <c r="F92" s="17" t="str">
        <f aca="false">IFERROR(INDEX(Ref_TEST!$E$2:$E$201,MATCH(B92,Ref_TEST!$A$2:$A$201,0)),"")</f>
        <v/>
      </c>
      <c r="G92" s="17" t="str">
        <f aca="false">IF(A92="","",COUNTIF(Items!$A$5:$A$1004,A92))</f>
        <v/>
      </c>
      <c r="H92" s="16"/>
      <c r="I92" s="16"/>
      <c r="J92" s="16"/>
      <c r="K92" s="17" t="str">
        <f aca="false">IF(A92="","",COUNTIFS(Items!$A$5:$A$1004,A92,Items!$E$5:$E$1004,"Q1"))</f>
        <v/>
      </c>
      <c r="L92" s="17" t="str">
        <f aca="false">IF(A92="","",COUNTIFS(Items!$A$5:$A$1004,A92,Items!$E$5:$E$1004,"Q2"))</f>
        <v/>
      </c>
      <c r="M92" s="17" t="str">
        <f aca="false">IF(A92="","",COUNTIFS(Items!$A$5:$A$1004,A92,Items!$E$5:$E$1004,"Q3"))</f>
        <v/>
      </c>
      <c r="N92" s="17" t="str">
        <f aca="false">IF(A92="","",COUNTIFS(Items!$A$5:$A$1004,A92,Items!$E$5:$E$1004,"Q4"))</f>
        <v/>
      </c>
      <c r="O92" s="17" t="str">
        <f aca="false">IF(A92="","",COUNTIF(K92:N92,"&gt;0"))</f>
        <v/>
      </c>
      <c r="P92" s="16"/>
      <c r="Q92" s="16"/>
      <c r="R92" s="16"/>
      <c r="S92" s="18"/>
      <c r="T92" s="16"/>
      <c r="U92" s="17" t="str">
        <f aca="false">IF(A92="","",IF(OR(B92="",H92="",R92="",S92=""),"TEST-ID, method, selector, date needed",IF(COUNTIF(Ref_TEST!$A$2:$A$201,B92)=0,"TEST-ID not in W10",IF(D92&lt;&gt;"Pass","HOLD: population IPE not Pass",IF(AND(OR(H92="Random (seeded)",H92="Systematic"),I92=""),"Seed or interval needed",IF(G92&lt;&gt;F92+N(J92),"Items selected differ from planned + targeted: explain",IF(P92&lt;&gt;"Y","Confirm period coverage",IF(Q92="","Raise wave 3 PBC request","OK"))))))))</f>
        <v/>
      </c>
    </row>
    <row r="93" customFormat="false" ht="15" hidden="false" customHeight="false" outlineLevel="0" collapsed="false">
      <c r="A93" s="16"/>
      <c r="B93" s="16"/>
      <c r="C93" s="17" t="str">
        <f aca="false">IFERROR(INDEX(Ref_TEST!$B$2:$B$201,MATCH(B93,Ref_TEST!$A$2:$A$201,0)),"")</f>
        <v/>
      </c>
      <c r="D93" s="17" t="str">
        <f aca="false">IFERROR(INDEX(Ref_TEST!$C$2:$C$201,MATCH(B93,Ref_TEST!$A$2:$A$201,0)),"")</f>
        <v/>
      </c>
      <c r="E93" s="17" t="str">
        <f aca="false">IFERROR(INDEX(Ref_TEST!$D$2:$D$201,MATCH(B93,Ref_TEST!$A$2:$A$201,0)),"")</f>
        <v/>
      </c>
      <c r="F93" s="17" t="str">
        <f aca="false">IFERROR(INDEX(Ref_TEST!$E$2:$E$201,MATCH(B93,Ref_TEST!$A$2:$A$201,0)),"")</f>
        <v/>
      </c>
      <c r="G93" s="17" t="str">
        <f aca="false">IF(A93="","",COUNTIF(Items!$A$5:$A$1004,A93))</f>
        <v/>
      </c>
      <c r="H93" s="16"/>
      <c r="I93" s="16"/>
      <c r="J93" s="16"/>
      <c r="K93" s="17" t="str">
        <f aca="false">IF(A93="","",COUNTIFS(Items!$A$5:$A$1004,A93,Items!$E$5:$E$1004,"Q1"))</f>
        <v/>
      </c>
      <c r="L93" s="17" t="str">
        <f aca="false">IF(A93="","",COUNTIFS(Items!$A$5:$A$1004,A93,Items!$E$5:$E$1004,"Q2"))</f>
        <v/>
      </c>
      <c r="M93" s="17" t="str">
        <f aca="false">IF(A93="","",COUNTIFS(Items!$A$5:$A$1004,A93,Items!$E$5:$E$1004,"Q3"))</f>
        <v/>
      </c>
      <c r="N93" s="17" t="str">
        <f aca="false">IF(A93="","",COUNTIFS(Items!$A$5:$A$1004,A93,Items!$E$5:$E$1004,"Q4"))</f>
        <v/>
      </c>
      <c r="O93" s="17" t="str">
        <f aca="false">IF(A93="","",COUNTIF(K93:N93,"&gt;0"))</f>
        <v/>
      </c>
      <c r="P93" s="16"/>
      <c r="Q93" s="16"/>
      <c r="R93" s="16"/>
      <c r="S93" s="18"/>
      <c r="T93" s="16"/>
      <c r="U93" s="17" t="str">
        <f aca="false">IF(A93="","",IF(OR(B93="",H93="",R93="",S93=""),"TEST-ID, method, selector, date needed",IF(COUNTIF(Ref_TEST!$A$2:$A$201,B93)=0,"TEST-ID not in W10",IF(D93&lt;&gt;"Pass","HOLD: population IPE not Pass",IF(AND(OR(H93="Random (seeded)",H93="Systematic"),I93=""),"Seed or interval needed",IF(G93&lt;&gt;F93+N(J93),"Items selected differ from planned + targeted: explain",IF(P93&lt;&gt;"Y","Confirm period coverage",IF(Q93="","Raise wave 3 PBC request","OK"))))))))</f>
        <v/>
      </c>
    </row>
    <row r="94" customFormat="false" ht="15" hidden="false" customHeight="false" outlineLevel="0" collapsed="false">
      <c r="A94" s="16"/>
      <c r="B94" s="16"/>
      <c r="C94" s="17" t="str">
        <f aca="false">IFERROR(INDEX(Ref_TEST!$B$2:$B$201,MATCH(B94,Ref_TEST!$A$2:$A$201,0)),"")</f>
        <v/>
      </c>
      <c r="D94" s="17" t="str">
        <f aca="false">IFERROR(INDEX(Ref_TEST!$C$2:$C$201,MATCH(B94,Ref_TEST!$A$2:$A$201,0)),"")</f>
        <v/>
      </c>
      <c r="E94" s="17" t="str">
        <f aca="false">IFERROR(INDEX(Ref_TEST!$D$2:$D$201,MATCH(B94,Ref_TEST!$A$2:$A$201,0)),"")</f>
        <v/>
      </c>
      <c r="F94" s="17" t="str">
        <f aca="false">IFERROR(INDEX(Ref_TEST!$E$2:$E$201,MATCH(B94,Ref_TEST!$A$2:$A$201,0)),"")</f>
        <v/>
      </c>
      <c r="G94" s="17" t="str">
        <f aca="false">IF(A94="","",COUNTIF(Items!$A$5:$A$1004,A94))</f>
        <v/>
      </c>
      <c r="H94" s="16"/>
      <c r="I94" s="16"/>
      <c r="J94" s="16"/>
      <c r="K94" s="17" t="str">
        <f aca="false">IF(A94="","",COUNTIFS(Items!$A$5:$A$1004,A94,Items!$E$5:$E$1004,"Q1"))</f>
        <v/>
      </c>
      <c r="L94" s="17" t="str">
        <f aca="false">IF(A94="","",COUNTIFS(Items!$A$5:$A$1004,A94,Items!$E$5:$E$1004,"Q2"))</f>
        <v/>
      </c>
      <c r="M94" s="17" t="str">
        <f aca="false">IF(A94="","",COUNTIFS(Items!$A$5:$A$1004,A94,Items!$E$5:$E$1004,"Q3"))</f>
        <v/>
      </c>
      <c r="N94" s="17" t="str">
        <f aca="false">IF(A94="","",COUNTIFS(Items!$A$5:$A$1004,A94,Items!$E$5:$E$1004,"Q4"))</f>
        <v/>
      </c>
      <c r="O94" s="17" t="str">
        <f aca="false">IF(A94="","",COUNTIF(K94:N94,"&gt;0"))</f>
        <v/>
      </c>
      <c r="P94" s="16"/>
      <c r="Q94" s="16"/>
      <c r="R94" s="16"/>
      <c r="S94" s="18"/>
      <c r="T94" s="16"/>
      <c r="U94" s="17" t="str">
        <f aca="false">IF(A94="","",IF(OR(B94="",H94="",R94="",S94=""),"TEST-ID, method, selector, date needed",IF(COUNTIF(Ref_TEST!$A$2:$A$201,B94)=0,"TEST-ID not in W10",IF(D94&lt;&gt;"Pass","HOLD: population IPE not Pass",IF(AND(OR(H94="Random (seeded)",H94="Systematic"),I94=""),"Seed or interval needed",IF(G94&lt;&gt;F94+N(J94),"Items selected differ from planned + targeted: explain",IF(P94&lt;&gt;"Y","Confirm period coverage",IF(Q94="","Raise wave 3 PBC request","OK"))))))))</f>
        <v/>
      </c>
    </row>
    <row r="95" customFormat="false" ht="15" hidden="false" customHeight="false" outlineLevel="0" collapsed="false">
      <c r="A95" s="16"/>
      <c r="B95" s="16"/>
      <c r="C95" s="17" t="str">
        <f aca="false">IFERROR(INDEX(Ref_TEST!$B$2:$B$201,MATCH(B95,Ref_TEST!$A$2:$A$201,0)),"")</f>
        <v/>
      </c>
      <c r="D95" s="17" t="str">
        <f aca="false">IFERROR(INDEX(Ref_TEST!$C$2:$C$201,MATCH(B95,Ref_TEST!$A$2:$A$201,0)),"")</f>
        <v/>
      </c>
      <c r="E95" s="17" t="str">
        <f aca="false">IFERROR(INDEX(Ref_TEST!$D$2:$D$201,MATCH(B95,Ref_TEST!$A$2:$A$201,0)),"")</f>
        <v/>
      </c>
      <c r="F95" s="17" t="str">
        <f aca="false">IFERROR(INDEX(Ref_TEST!$E$2:$E$201,MATCH(B95,Ref_TEST!$A$2:$A$201,0)),"")</f>
        <v/>
      </c>
      <c r="G95" s="17" t="str">
        <f aca="false">IF(A95="","",COUNTIF(Items!$A$5:$A$1004,A95))</f>
        <v/>
      </c>
      <c r="H95" s="16"/>
      <c r="I95" s="16"/>
      <c r="J95" s="16"/>
      <c r="K95" s="17" t="str">
        <f aca="false">IF(A95="","",COUNTIFS(Items!$A$5:$A$1004,A95,Items!$E$5:$E$1004,"Q1"))</f>
        <v/>
      </c>
      <c r="L95" s="17" t="str">
        <f aca="false">IF(A95="","",COUNTIFS(Items!$A$5:$A$1004,A95,Items!$E$5:$E$1004,"Q2"))</f>
        <v/>
      </c>
      <c r="M95" s="17" t="str">
        <f aca="false">IF(A95="","",COUNTIFS(Items!$A$5:$A$1004,A95,Items!$E$5:$E$1004,"Q3"))</f>
        <v/>
      </c>
      <c r="N95" s="17" t="str">
        <f aca="false">IF(A95="","",COUNTIFS(Items!$A$5:$A$1004,A95,Items!$E$5:$E$1004,"Q4"))</f>
        <v/>
      </c>
      <c r="O95" s="17" t="str">
        <f aca="false">IF(A95="","",COUNTIF(K95:N95,"&gt;0"))</f>
        <v/>
      </c>
      <c r="P95" s="16"/>
      <c r="Q95" s="16"/>
      <c r="R95" s="16"/>
      <c r="S95" s="18"/>
      <c r="T95" s="16"/>
      <c r="U95" s="17" t="str">
        <f aca="false">IF(A95="","",IF(OR(B95="",H95="",R95="",S95=""),"TEST-ID, method, selector, date needed",IF(COUNTIF(Ref_TEST!$A$2:$A$201,B95)=0,"TEST-ID not in W10",IF(D95&lt;&gt;"Pass","HOLD: population IPE not Pass",IF(AND(OR(H95="Random (seeded)",H95="Systematic"),I95=""),"Seed or interval needed",IF(G95&lt;&gt;F95+N(J95),"Items selected differ from planned + targeted: explain",IF(P95&lt;&gt;"Y","Confirm period coverage",IF(Q95="","Raise wave 3 PBC request","OK"))))))))</f>
        <v/>
      </c>
    </row>
    <row r="96" customFormat="false" ht="15" hidden="false" customHeight="false" outlineLevel="0" collapsed="false">
      <c r="A96" s="16"/>
      <c r="B96" s="16"/>
      <c r="C96" s="17" t="str">
        <f aca="false">IFERROR(INDEX(Ref_TEST!$B$2:$B$201,MATCH(B96,Ref_TEST!$A$2:$A$201,0)),"")</f>
        <v/>
      </c>
      <c r="D96" s="17" t="str">
        <f aca="false">IFERROR(INDEX(Ref_TEST!$C$2:$C$201,MATCH(B96,Ref_TEST!$A$2:$A$201,0)),"")</f>
        <v/>
      </c>
      <c r="E96" s="17" t="str">
        <f aca="false">IFERROR(INDEX(Ref_TEST!$D$2:$D$201,MATCH(B96,Ref_TEST!$A$2:$A$201,0)),"")</f>
        <v/>
      </c>
      <c r="F96" s="17" t="str">
        <f aca="false">IFERROR(INDEX(Ref_TEST!$E$2:$E$201,MATCH(B96,Ref_TEST!$A$2:$A$201,0)),"")</f>
        <v/>
      </c>
      <c r="G96" s="17" t="str">
        <f aca="false">IF(A96="","",COUNTIF(Items!$A$5:$A$1004,A96))</f>
        <v/>
      </c>
      <c r="H96" s="16"/>
      <c r="I96" s="16"/>
      <c r="J96" s="16"/>
      <c r="K96" s="17" t="str">
        <f aca="false">IF(A96="","",COUNTIFS(Items!$A$5:$A$1004,A96,Items!$E$5:$E$1004,"Q1"))</f>
        <v/>
      </c>
      <c r="L96" s="17" t="str">
        <f aca="false">IF(A96="","",COUNTIFS(Items!$A$5:$A$1004,A96,Items!$E$5:$E$1004,"Q2"))</f>
        <v/>
      </c>
      <c r="M96" s="17" t="str">
        <f aca="false">IF(A96="","",COUNTIFS(Items!$A$5:$A$1004,A96,Items!$E$5:$E$1004,"Q3"))</f>
        <v/>
      </c>
      <c r="N96" s="17" t="str">
        <f aca="false">IF(A96="","",COUNTIFS(Items!$A$5:$A$1004,A96,Items!$E$5:$E$1004,"Q4"))</f>
        <v/>
      </c>
      <c r="O96" s="17" t="str">
        <f aca="false">IF(A96="","",COUNTIF(K96:N96,"&gt;0"))</f>
        <v/>
      </c>
      <c r="P96" s="16"/>
      <c r="Q96" s="16"/>
      <c r="R96" s="16"/>
      <c r="S96" s="18"/>
      <c r="T96" s="16"/>
      <c r="U96" s="17" t="str">
        <f aca="false">IF(A96="","",IF(OR(B96="",H96="",R96="",S96=""),"TEST-ID, method, selector, date needed",IF(COUNTIF(Ref_TEST!$A$2:$A$201,B96)=0,"TEST-ID not in W10",IF(D96&lt;&gt;"Pass","HOLD: population IPE not Pass",IF(AND(OR(H96="Random (seeded)",H96="Systematic"),I96=""),"Seed or interval needed",IF(G96&lt;&gt;F96+N(J96),"Items selected differ from planned + targeted: explain",IF(P96&lt;&gt;"Y","Confirm period coverage",IF(Q96="","Raise wave 3 PBC request","OK"))))))))</f>
        <v/>
      </c>
    </row>
    <row r="97" customFormat="false" ht="15" hidden="false" customHeight="false" outlineLevel="0" collapsed="false">
      <c r="A97" s="16"/>
      <c r="B97" s="16"/>
      <c r="C97" s="17" t="str">
        <f aca="false">IFERROR(INDEX(Ref_TEST!$B$2:$B$201,MATCH(B97,Ref_TEST!$A$2:$A$201,0)),"")</f>
        <v/>
      </c>
      <c r="D97" s="17" t="str">
        <f aca="false">IFERROR(INDEX(Ref_TEST!$C$2:$C$201,MATCH(B97,Ref_TEST!$A$2:$A$201,0)),"")</f>
        <v/>
      </c>
      <c r="E97" s="17" t="str">
        <f aca="false">IFERROR(INDEX(Ref_TEST!$D$2:$D$201,MATCH(B97,Ref_TEST!$A$2:$A$201,0)),"")</f>
        <v/>
      </c>
      <c r="F97" s="17" t="str">
        <f aca="false">IFERROR(INDEX(Ref_TEST!$E$2:$E$201,MATCH(B97,Ref_TEST!$A$2:$A$201,0)),"")</f>
        <v/>
      </c>
      <c r="G97" s="17" t="str">
        <f aca="false">IF(A97="","",COUNTIF(Items!$A$5:$A$1004,A97))</f>
        <v/>
      </c>
      <c r="H97" s="16"/>
      <c r="I97" s="16"/>
      <c r="J97" s="16"/>
      <c r="K97" s="17" t="str">
        <f aca="false">IF(A97="","",COUNTIFS(Items!$A$5:$A$1004,A97,Items!$E$5:$E$1004,"Q1"))</f>
        <v/>
      </c>
      <c r="L97" s="17" t="str">
        <f aca="false">IF(A97="","",COUNTIFS(Items!$A$5:$A$1004,A97,Items!$E$5:$E$1004,"Q2"))</f>
        <v/>
      </c>
      <c r="M97" s="17" t="str">
        <f aca="false">IF(A97="","",COUNTIFS(Items!$A$5:$A$1004,A97,Items!$E$5:$E$1004,"Q3"))</f>
        <v/>
      </c>
      <c r="N97" s="17" t="str">
        <f aca="false">IF(A97="","",COUNTIFS(Items!$A$5:$A$1004,A97,Items!$E$5:$E$1004,"Q4"))</f>
        <v/>
      </c>
      <c r="O97" s="17" t="str">
        <f aca="false">IF(A97="","",COUNTIF(K97:N97,"&gt;0"))</f>
        <v/>
      </c>
      <c r="P97" s="16"/>
      <c r="Q97" s="16"/>
      <c r="R97" s="16"/>
      <c r="S97" s="18"/>
      <c r="T97" s="16"/>
      <c r="U97" s="17" t="str">
        <f aca="false">IF(A97="","",IF(OR(B97="",H97="",R97="",S97=""),"TEST-ID, method, selector, date needed",IF(COUNTIF(Ref_TEST!$A$2:$A$201,B97)=0,"TEST-ID not in W10",IF(D97&lt;&gt;"Pass","HOLD: population IPE not Pass",IF(AND(OR(H97="Random (seeded)",H97="Systematic"),I97=""),"Seed or interval needed",IF(G97&lt;&gt;F97+N(J97),"Items selected differ from planned + targeted: explain",IF(P97&lt;&gt;"Y","Confirm period coverage",IF(Q97="","Raise wave 3 PBC request","OK"))))))))</f>
        <v/>
      </c>
    </row>
    <row r="98" customFormat="false" ht="15" hidden="false" customHeight="false" outlineLevel="0" collapsed="false">
      <c r="A98" s="16"/>
      <c r="B98" s="16"/>
      <c r="C98" s="17" t="str">
        <f aca="false">IFERROR(INDEX(Ref_TEST!$B$2:$B$201,MATCH(B98,Ref_TEST!$A$2:$A$201,0)),"")</f>
        <v/>
      </c>
      <c r="D98" s="17" t="str">
        <f aca="false">IFERROR(INDEX(Ref_TEST!$C$2:$C$201,MATCH(B98,Ref_TEST!$A$2:$A$201,0)),"")</f>
        <v/>
      </c>
      <c r="E98" s="17" t="str">
        <f aca="false">IFERROR(INDEX(Ref_TEST!$D$2:$D$201,MATCH(B98,Ref_TEST!$A$2:$A$201,0)),"")</f>
        <v/>
      </c>
      <c r="F98" s="17" t="str">
        <f aca="false">IFERROR(INDEX(Ref_TEST!$E$2:$E$201,MATCH(B98,Ref_TEST!$A$2:$A$201,0)),"")</f>
        <v/>
      </c>
      <c r="G98" s="17" t="str">
        <f aca="false">IF(A98="","",COUNTIF(Items!$A$5:$A$1004,A98))</f>
        <v/>
      </c>
      <c r="H98" s="16"/>
      <c r="I98" s="16"/>
      <c r="J98" s="16"/>
      <c r="K98" s="17" t="str">
        <f aca="false">IF(A98="","",COUNTIFS(Items!$A$5:$A$1004,A98,Items!$E$5:$E$1004,"Q1"))</f>
        <v/>
      </c>
      <c r="L98" s="17" t="str">
        <f aca="false">IF(A98="","",COUNTIFS(Items!$A$5:$A$1004,A98,Items!$E$5:$E$1004,"Q2"))</f>
        <v/>
      </c>
      <c r="M98" s="17" t="str">
        <f aca="false">IF(A98="","",COUNTIFS(Items!$A$5:$A$1004,A98,Items!$E$5:$E$1004,"Q3"))</f>
        <v/>
      </c>
      <c r="N98" s="17" t="str">
        <f aca="false">IF(A98="","",COUNTIFS(Items!$A$5:$A$1004,A98,Items!$E$5:$E$1004,"Q4"))</f>
        <v/>
      </c>
      <c r="O98" s="17" t="str">
        <f aca="false">IF(A98="","",COUNTIF(K98:N98,"&gt;0"))</f>
        <v/>
      </c>
      <c r="P98" s="16"/>
      <c r="Q98" s="16"/>
      <c r="R98" s="16"/>
      <c r="S98" s="18"/>
      <c r="T98" s="16"/>
      <c r="U98" s="17" t="str">
        <f aca="false">IF(A98="","",IF(OR(B98="",H98="",R98="",S98=""),"TEST-ID, method, selector, date needed",IF(COUNTIF(Ref_TEST!$A$2:$A$201,B98)=0,"TEST-ID not in W10",IF(D98&lt;&gt;"Pass","HOLD: population IPE not Pass",IF(AND(OR(H98="Random (seeded)",H98="Systematic"),I98=""),"Seed or interval needed",IF(G98&lt;&gt;F98+N(J98),"Items selected differ from planned + targeted: explain",IF(P98&lt;&gt;"Y","Confirm period coverage",IF(Q98="","Raise wave 3 PBC request","OK"))))))))</f>
        <v/>
      </c>
    </row>
    <row r="99" customFormat="false" ht="15" hidden="false" customHeight="false" outlineLevel="0" collapsed="false">
      <c r="A99" s="16"/>
      <c r="B99" s="16"/>
      <c r="C99" s="17" t="str">
        <f aca="false">IFERROR(INDEX(Ref_TEST!$B$2:$B$201,MATCH(B99,Ref_TEST!$A$2:$A$201,0)),"")</f>
        <v/>
      </c>
      <c r="D99" s="17" t="str">
        <f aca="false">IFERROR(INDEX(Ref_TEST!$C$2:$C$201,MATCH(B99,Ref_TEST!$A$2:$A$201,0)),"")</f>
        <v/>
      </c>
      <c r="E99" s="17" t="str">
        <f aca="false">IFERROR(INDEX(Ref_TEST!$D$2:$D$201,MATCH(B99,Ref_TEST!$A$2:$A$201,0)),"")</f>
        <v/>
      </c>
      <c r="F99" s="17" t="str">
        <f aca="false">IFERROR(INDEX(Ref_TEST!$E$2:$E$201,MATCH(B99,Ref_TEST!$A$2:$A$201,0)),"")</f>
        <v/>
      </c>
      <c r="G99" s="17" t="str">
        <f aca="false">IF(A99="","",COUNTIF(Items!$A$5:$A$1004,A99))</f>
        <v/>
      </c>
      <c r="H99" s="16"/>
      <c r="I99" s="16"/>
      <c r="J99" s="16"/>
      <c r="K99" s="17" t="str">
        <f aca="false">IF(A99="","",COUNTIFS(Items!$A$5:$A$1004,A99,Items!$E$5:$E$1004,"Q1"))</f>
        <v/>
      </c>
      <c r="L99" s="17" t="str">
        <f aca="false">IF(A99="","",COUNTIFS(Items!$A$5:$A$1004,A99,Items!$E$5:$E$1004,"Q2"))</f>
        <v/>
      </c>
      <c r="M99" s="17" t="str">
        <f aca="false">IF(A99="","",COUNTIFS(Items!$A$5:$A$1004,A99,Items!$E$5:$E$1004,"Q3"))</f>
        <v/>
      </c>
      <c r="N99" s="17" t="str">
        <f aca="false">IF(A99="","",COUNTIFS(Items!$A$5:$A$1004,A99,Items!$E$5:$E$1004,"Q4"))</f>
        <v/>
      </c>
      <c r="O99" s="17" t="str">
        <f aca="false">IF(A99="","",COUNTIF(K99:N99,"&gt;0"))</f>
        <v/>
      </c>
      <c r="P99" s="16"/>
      <c r="Q99" s="16"/>
      <c r="R99" s="16"/>
      <c r="S99" s="18"/>
      <c r="T99" s="16"/>
      <c r="U99" s="17" t="str">
        <f aca="false">IF(A99="","",IF(OR(B99="",H99="",R99="",S99=""),"TEST-ID, method, selector, date needed",IF(COUNTIF(Ref_TEST!$A$2:$A$201,B99)=0,"TEST-ID not in W10",IF(D99&lt;&gt;"Pass","HOLD: population IPE not Pass",IF(AND(OR(H99="Random (seeded)",H99="Systematic"),I99=""),"Seed or interval needed",IF(G99&lt;&gt;F99+N(J99),"Items selected differ from planned + targeted: explain",IF(P99&lt;&gt;"Y","Confirm period coverage",IF(Q99="","Raise wave 3 PBC request","OK"))))))))</f>
        <v/>
      </c>
    </row>
    <row r="100" customFormat="false" ht="15" hidden="false" customHeight="false" outlineLevel="0" collapsed="false">
      <c r="A100" s="16"/>
      <c r="B100" s="16"/>
      <c r="C100" s="17" t="str">
        <f aca="false">IFERROR(INDEX(Ref_TEST!$B$2:$B$201,MATCH(B100,Ref_TEST!$A$2:$A$201,0)),"")</f>
        <v/>
      </c>
      <c r="D100" s="17" t="str">
        <f aca="false">IFERROR(INDEX(Ref_TEST!$C$2:$C$201,MATCH(B100,Ref_TEST!$A$2:$A$201,0)),"")</f>
        <v/>
      </c>
      <c r="E100" s="17" t="str">
        <f aca="false">IFERROR(INDEX(Ref_TEST!$D$2:$D$201,MATCH(B100,Ref_TEST!$A$2:$A$201,0)),"")</f>
        <v/>
      </c>
      <c r="F100" s="17" t="str">
        <f aca="false">IFERROR(INDEX(Ref_TEST!$E$2:$E$201,MATCH(B100,Ref_TEST!$A$2:$A$201,0)),"")</f>
        <v/>
      </c>
      <c r="G100" s="17" t="str">
        <f aca="false">IF(A100="","",COUNTIF(Items!$A$5:$A$1004,A100))</f>
        <v/>
      </c>
      <c r="H100" s="16"/>
      <c r="I100" s="16"/>
      <c r="J100" s="16"/>
      <c r="K100" s="17" t="str">
        <f aca="false">IF(A100="","",COUNTIFS(Items!$A$5:$A$1004,A100,Items!$E$5:$E$1004,"Q1"))</f>
        <v/>
      </c>
      <c r="L100" s="17" t="str">
        <f aca="false">IF(A100="","",COUNTIFS(Items!$A$5:$A$1004,A100,Items!$E$5:$E$1004,"Q2"))</f>
        <v/>
      </c>
      <c r="M100" s="17" t="str">
        <f aca="false">IF(A100="","",COUNTIFS(Items!$A$5:$A$1004,A100,Items!$E$5:$E$1004,"Q3"))</f>
        <v/>
      </c>
      <c r="N100" s="17" t="str">
        <f aca="false">IF(A100="","",COUNTIFS(Items!$A$5:$A$1004,A100,Items!$E$5:$E$1004,"Q4"))</f>
        <v/>
      </c>
      <c r="O100" s="17" t="str">
        <f aca="false">IF(A100="","",COUNTIF(K100:N100,"&gt;0"))</f>
        <v/>
      </c>
      <c r="P100" s="16"/>
      <c r="Q100" s="16"/>
      <c r="R100" s="16"/>
      <c r="S100" s="18"/>
      <c r="T100" s="16"/>
      <c r="U100" s="17" t="str">
        <f aca="false">IF(A100="","",IF(OR(B100="",H100="",R100="",S100=""),"TEST-ID, method, selector, date needed",IF(COUNTIF(Ref_TEST!$A$2:$A$201,B100)=0,"TEST-ID not in W10",IF(D100&lt;&gt;"Pass","HOLD: population IPE not Pass",IF(AND(OR(H100="Random (seeded)",H100="Systematic"),I100=""),"Seed or interval needed",IF(G100&lt;&gt;F100+N(J100),"Items selected differ from planned + targeted: explain",IF(P100&lt;&gt;"Y","Confirm period coverage",IF(Q100="","Raise wave 3 PBC request","OK"))))))))</f>
        <v/>
      </c>
    </row>
    <row r="101" customFormat="false" ht="15" hidden="false" customHeight="false" outlineLevel="0" collapsed="false">
      <c r="A101" s="16"/>
      <c r="B101" s="16"/>
      <c r="C101" s="17" t="str">
        <f aca="false">IFERROR(INDEX(Ref_TEST!$B$2:$B$201,MATCH(B101,Ref_TEST!$A$2:$A$201,0)),"")</f>
        <v/>
      </c>
      <c r="D101" s="17" t="str">
        <f aca="false">IFERROR(INDEX(Ref_TEST!$C$2:$C$201,MATCH(B101,Ref_TEST!$A$2:$A$201,0)),"")</f>
        <v/>
      </c>
      <c r="E101" s="17" t="str">
        <f aca="false">IFERROR(INDEX(Ref_TEST!$D$2:$D$201,MATCH(B101,Ref_TEST!$A$2:$A$201,0)),"")</f>
        <v/>
      </c>
      <c r="F101" s="17" t="str">
        <f aca="false">IFERROR(INDEX(Ref_TEST!$E$2:$E$201,MATCH(B101,Ref_TEST!$A$2:$A$201,0)),"")</f>
        <v/>
      </c>
      <c r="G101" s="17" t="str">
        <f aca="false">IF(A101="","",COUNTIF(Items!$A$5:$A$1004,A101))</f>
        <v/>
      </c>
      <c r="H101" s="16"/>
      <c r="I101" s="16"/>
      <c r="J101" s="16"/>
      <c r="K101" s="17" t="str">
        <f aca="false">IF(A101="","",COUNTIFS(Items!$A$5:$A$1004,A101,Items!$E$5:$E$1004,"Q1"))</f>
        <v/>
      </c>
      <c r="L101" s="17" t="str">
        <f aca="false">IF(A101="","",COUNTIFS(Items!$A$5:$A$1004,A101,Items!$E$5:$E$1004,"Q2"))</f>
        <v/>
      </c>
      <c r="M101" s="17" t="str">
        <f aca="false">IF(A101="","",COUNTIFS(Items!$A$5:$A$1004,A101,Items!$E$5:$E$1004,"Q3"))</f>
        <v/>
      </c>
      <c r="N101" s="17" t="str">
        <f aca="false">IF(A101="","",COUNTIFS(Items!$A$5:$A$1004,A101,Items!$E$5:$E$1004,"Q4"))</f>
        <v/>
      </c>
      <c r="O101" s="17" t="str">
        <f aca="false">IF(A101="","",COUNTIF(K101:N101,"&gt;0"))</f>
        <v/>
      </c>
      <c r="P101" s="16"/>
      <c r="Q101" s="16"/>
      <c r="R101" s="16"/>
      <c r="S101" s="18"/>
      <c r="T101" s="16"/>
      <c r="U101" s="17" t="str">
        <f aca="false">IF(A101="","",IF(OR(B101="",H101="",R101="",S101=""),"TEST-ID, method, selector, date needed",IF(COUNTIF(Ref_TEST!$A$2:$A$201,B101)=0,"TEST-ID not in W10",IF(D101&lt;&gt;"Pass","HOLD: population IPE not Pass",IF(AND(OR(H101="Random (seeded)",H101="Systematic"),I101=""),"Seed or interval needed",IF(G101&lt;&gt;F101+N(J101),"Items selected differ from planned + targeted: explain",IF(P101&lt;&gt;"Y","Confirm period coverage",IF(Q101="","Raise wave 3 PBC request","OK"))))))))</f>
        <v/>
      </c>
    </row>
    <row r="102" customFormat="false" ht="15" hidden="false" customHeight="false" outlineLevel="0" collapsed="false">
      <c r="A102" s="16"/>
      <c r="B102" s="16"/>
      <c r="C102" s="17" t="str">
        <f aca="false">IFERROR(INDEX(Ref_TEST!$B$2:$B$201,MATCH(B102,Ref_TEST!$A$2:$A$201,0)),"")</f>
        <v/>
      </c>
      <c r="D102" s="17" t="str">
        <f aca="false">IFERROR(INDEX(Ref_TEST!$C$2:$C$201,MATCH(B102,Ref_TEST!$A$2:$A$201,0)),"")</f>
        <v/>
      </c>
      <c r="E102" s="17" t="str">
        <f aca="false">IFERROR(INDEX(Ref_TEST!$D$2:$D$201,MATCH(B102,Ref_TEST!$A$2:$A$201,0)),"")</f>
        <v/>
      </c>
      <c r="F102" s="17" t="str">
        <f aca="false">IFERROR(INDEX(Ref_TEST!$E$2:$E$201,MATCH(B102,Ref_TEST!$A$2:$A$201,0)),"")</f>
        <v/>
      </c>
      <c r="G102" s="17" t="str">
        <f aca="false">IF(A102="","",COUNTIF(Items!$A$5:$A$1004,A102))</f>
        <v/>
      </c>
      <c r="H102" s="16"/>
      <c r="I102" s="16"/>
      <c r="J102" s="16"/>
      <c r="K102" s="17" t="str">
        <f aca="false">IF(A102="","",COUNTIFS(Items!$A$5:$A$1004,A102,Items!$E$5:$E$1004,"Q1"))</f>
        <v/>
      </c>
      <c r="L102" s="17" t="str">
        <f aca="false">IF(A102="","",COUNTIFS(Items!$A$5:$A$1004,A102,Items!$E$5:$E$1004,"Q2"))</f>
        <v/>
      </c>
      <c r="M102" s="17" t="str">
        <f aca="false">IF(A102="","",COUNTIFS(Items!$A$5:$A$1004,A102,Items!$E$5:$E$1004,"Q3"))</f>
        <v/>
      </c>
      <c r="N102" s="17" t="str">
        <f aca="false">IF(A102="","",COUNTIFS(Items!$A$5:$A$1004,A102,Items!$E$5:$E$1004,"Q4"))</f>
        <v/>
      </c>
      <c r="O102" s="17" t="str">
        <f aca="false">IF(A102="","",COUNTIF(K102:N102,"&gt;0"))</f>
        <v/>
      </c>
      <c r="P102" s="16"/>
      <c r="Q102" s="16"/>
      <c r="R102" s="16"/>
      <c r="S102" s="18"/>
      <c r="T102" s="16"/>
      <c r="U102" s="17" t="str">
        <f aca="false">IF(A102="","",IF(OR(B102="",H102="",R102="",S102=""),"TEST-ID, method, selector, date needed",IF(COUNTIF(Ref_TEST!$A$2:$A$201,B102)=0,"TEST-ID not in W10",IF(D102&lt;&gt;"Pass","HOLD: population IPE not Pass",IF(AND(OR(H102="Random (seeded)",H102="Systematic"),I102=""),"Seed or interval needed",IF(G102&lt;&gt;F102+N(J102),"Items selected differ from planned + targeted: explain",IF(P102&lt;&gt;"Y","Confirm period coverage",IF(Q102="","Raise wave 3 PBC request","OK"))))))))</f>
        <v/>
      </c>
    </row>
    <row r="103" customFormat="false" ht="15" hidden="false" customHeight="false" outlineLevel="0" collapsed="false">
      <c r="A103" s="16"/>
      <c r="B103" s="16"/>
      <c r="C103" s="17" t="str">
        <f aca="false">IFERROR(INDEX(Ref_TEST!$B$2:$B$201,MATCH(B103,Ref_TEST!$A$2:$A$201,0)),"")</f>
        <v/>
      </c>
      <c r="D103" s="17" t="str">
        <f aca="false">IFERROR(INDEX(Ref_TEST!$C$2:$C$201,MATCH(B103,Ref_TEST!$A$2:$A$201,0)),"")</f>
        <v/>
      </c>
      <c r="E103" s="17" t="str">
        <f aca="false">IFERROR(INDEX(Ref_TEST!$D$2:$D$201,MATCH(B103,Ref_TEST!$A$2:$A$201,0)),"")</f>
        <v/>
      </c>
      <c r="F103" s="17" t="str">
        <f aca="false">IFERROR(INDEX(Ref_TEST!$E$2:$E$201,MATCH(B103,Ref_TEST!$A$2:$A$201,0)),"")</f>
        <v/>
      </c>
      <c r="G103" s="17" t="str">
        <f aca="false">IF(A103="","",COUNTIF(Items!$A$5:$A$1004,A103))</f>
        <v/>
      </c>
      <c r="H103" s="16"/>
      <c r="I103" s="16"/>
      <c r="J103" s="16"/>
      <c r="K103" s="17" t="str">
        <f aca="false">IF(A103="","",COUNTIFS(Items!$A$5:$A$1004,A103,Items!$E$5:$E$1004,"Q1"))</f>
        <v/>
      </c>
      <c r="L103" s="17" t="str">
        <f aca="false">IF(A103="","",COUNTIFS(Items!$A$5:$A$1004,A103,Items!$E$5:$E$1004,"Q2"))</f>
        <v/>
      </c>
      <c r="M103" s="17" t="str">
        <f aca="false">IF(A103="","",COUNTIFS(Items!$A$5:$A$1004,A103,Items!$E$5:$E$1004,"Q3"))</f>
        <v/>
      </c>
      <c r="N103" s="17" t="str">
        <f aca="false">IF(A103="","",COUNTIFS(Items!$A$5:$A$1004,A103,Items!$E$5:$E$1004,"Q4"))</f>
        <v/>
      </c>
      <c r="O103" s="17" t="str">
        <f aca="false">IF(A103="","",COUNTIF(K103:N103,"&gt;0"))</f>
        <v/>
      </c>
      <c r="P103" s="16"/>
      <c r="Q103" s="16"/>
      <c r="R103" s="16"/>
      <c r="S103" s="18"/>
      <c r="T103" s="16"/>
      <c r="U103" s="17" t="str">
        <f aca="false">IF(A103="","",IF(OR(B103="",H103="",R103="",S103=""),"TEST-ID, method, selector, date needed",IF(COUNTIF(Ref_TEST!$A$2:$A$201,B103)=0,"TEST-ID not in W10",IF(D103&lt;&gt;"Pass","HOLD: population IPE not Pass",IF(AND(OR(H103="Random (seeded)",H103="Systematic"),I103=""),"Seed or interval needed",IF(G103&lt;&gt;F103+N(J103),"Items selected differ from planned + targeted: explain",IF(P103&lt;&gt;"Y","Confirm period coverage",IF(Q103="","Raise wave 3 PBC request","OK"))))))))</f>
        <v/>
      </c>
    </row>
    <row r="104" customFormat="false" ht="15" hidden="false" customHeight="false" outlineLevel="0" collapsed="false">
      <c r="A104" s="16"/>
      <c r="B104" s="16"/>
      <c r="C104" s="17" t="str">
        <f aca="false">IFERROR(INDEX(Ref_TEST!$B$2:$B$201,MATCH(B104,Ref_TEST!$A$2:$A$201,0)),"")</f>
        <v/>
      </c>
      <c r="D104" s="17" t="str">
        <f aca="false">IFERROR(INDEX(Ref_TEST!$C$2:$C$201,MATCH(B104,Ref_TEST!$A$2:$A$201,0)),"")</f>
        <v/>
      </c>
      <c r="E104" s="17" t="str">
        <f aca="false">IFERROR(INDEX(Ref_TEST!$D$2:$D$201,MATCH(B104,Ref_TEST!$A$2:$A$201,0)),"")</f>
        <v/>
      </c>
      <c r="F104" s="17" t="str">
        <f aca="false">IFERROR(INDEX(Ref_TEST!$E$2:$E$201,MATCH(B104,Ref_TEST!$A$2:$A$201,0)),"")</f>
        <v/>
      </c>
      <c r="G104" s="17" t="str">
        <f aca="false">IF(A104="","",COUNTIF(Items!$A$5:$A$1004,A104))</f>
        <v/>
      </c>
      <c r="H104" s="16"/>
      <c r="I104" s="16"/>
      <c r="J104" s="16"/>
      <c r="K104" s="17" t="str">
        <f aca="false">IF(A104="","",COUNTIFS(Items!$A$5:$A$1004,A104,Items!$E$5:$E$1004,"Q1"))</f>
        <v/>
      </c>
      <c r="L104" s="17" t="str">
        <f aca="false">IF(A104="","",COUNTIFS(Items!$A$5:$A$1004,A104,Items!$E$5:$E$1004,"Q2"))</f>
        <v/>
      </c>
      <c r="M104" s="17" t="str">
        <f aca="false">IF(A104="","",COUNTIFS(Items!$A$5:$A$1004,A104,Items!$E$5:$E$1004,"Q3"))</f>
        <v/>
      </c>
      <c r="N104" s="17" t="str">
        <f aca="false">IF(A104="","",COUNTIFS(Items!$A$5:$A$1004,A104,Items!$E$5:$E$1004,"Q4"))</f>
        <v/>
      </c>
      <c r="O104" s="17" t="str">
        <f aca="false">IF(A104="","",COUNTIF(K104:N104,"&gt;0"))</f>
        <v/>
      </c>
      <c r="P104" s="16"/>
      <c r="Q104" s="16"/>
      <c r="R104" s="16"/>
      <c r="S104" s="18"/>
      <c r="T104" s="16"/>
      <c r="U104" s="17" t="str">
        <f aca="false">IF(A104="","",IF(OR(B104="",H104="",R104="",S104=""),"TEST-ID, method, selector, date needed",IF(COUNTIF(Ref_TEST!$A$2:$A$201,B104)=0,"TEST-ID not in W10",IF(D104&lt;&gt;"Pass","HOLD: population IPE not Pass",IF(AND(OR(H104="Random (seeded)",H104="Systematic"),I104=""),"Seed or interval needed",IF(G104&lt;&gt;F104+N(J104),"Items selected differ from planned + targeted: explain",IF(P104&lt;&gt;"Y","Confirm period coverage",IF(Q104="","Raise wave 3 PBC request","OK"))))))))</f>
        <v/>
      </c>
    </row>
    <row r="105" customFormat="false" ht="15" hidden="false" customHeight="false" outlineLevel="0" collapsed="false">
      <c r="A105" s="16"/>
      <c r="B105" s="16"/>
      <c r="C105" s="17" t="str">
        <f aca="false">IFERROR(INDEX(Ref_TEST!$B$2:$B$201,MATCH(B105,Ref_TEST!$A$2:$A$201,0)),"")</f>
        <v/>
      </c>
      <c r="D105" s="17" t="str">
        <f aca="false">IFERROR(INDEX(Ref_TEST!$C$2:$C$201,MATCH(B105,Ref_TEST!$A$2:$A$201,0)),"")</f>
        <v/>
      </c>
      <c r="E105" s="17" t="str">
        <f aca="false">IFERROR(INDEX(Ref_TEST!$D$2:$D$201,MATCH(B105,Ref_TEST!$A$2:$A$201,0)),"")</f>
        <v/>
      </c>
      <c r="F105" s="17" t="str">
        <f aca="false">IFERROR(INDEX(Ref_TEST!$E$2:$E$201,MATCH(B105,Ref_TEST!$A$2:$A$201,0)),"")</f>
        <v/>
      </c>
      <c r="G105" s="17" t="str">
        <f aca="false">IF(A105="","",COUNTIF(Items!$A$5:$A$1004,A105))</f>
        <v/>
      </c>
      <c r="H105" s="16"/>
      <c r="I105" s="16"/>
      <c r="J105" s="16"/>
      <c r="K105" s="17" t="str">
        <f aca="false">IF(A105="","",COUNTIFS(Items!$A$5:$A$1004,A105,Items!$E$5:$E$1004,"Q1"))</f>
        <v/>
      </c>
      <c r="L105" s="17" t="str">
        <f aca="false">IF(A105="","",COUNTIFS(Items!$A$5:$A$1004,A105,Items!$E$5:$E$1004,"Q2"))</f>
        <v/>
      </c>
      <c r="M105" s="17" t="str">
        <f aca="false">IF(A105="","",COUNTIFS(Items!$A$5:$A$1004,A105,Items!$E$5:$E$1004,"Q3"))</f>
        <v/>
      </c>
      <c r="N105" s="17" t="str">
        <f aca="false">IF(A105="","",COUNTIFS(Items!$A$5:$A$1004,A105,Items!$E$5:$E$1004,"Q4"))</f>
        <v/>
      </c>
      <c r="O105" s="17" t="str">
        <f aca="false">IF(A105="","",COUNTIF(K105:N105,"&gt;0"))</f>
        <v/>
      </c>
      <c r="P105" s="16"/>
      <c r="Q105" s="16"/>
      <c r="R105" s="16"/>
      <c r="S105" s="18"/>
      <c r="T105" s="16"/>
      <c r="U105" s="17" t="str">
        <f aca="false">IF(A105="","",IF(OR(B105="",H105="",R105="",S105=""),"TEST-ID, method, selector, date needed",IF(COUNTIF(Ref_TEST!$A$2:$A$201,B105)=0,"TEST-ID not in W10",IF(D105&lt;&gt;"Pass","HOLD: population IPE not Pass",IF(AND(OR(H105="Random (seeded)",H105="Systematic"),I105=""),"Seed or interval needed",IF(G105&lt;&gt;F105+N(J105),"Items selected differ from planned + targeted: explain",IF(P105&lt;&gt;"Y","Confirm period coverage",IF(Q105="","Raise wave 3 PBC request","OK"))))))))</f>
        <v/>
      </c>
    </row>
    <row r="106" customFormat="false" ht="15" hidden="false" customHeight="false" outlineLevel="0" collapsed="false">
      <c r="A106" s="16"/>
      <c r="B106" s="16"/>
      <c r="C106" s="17" t="str">
        <f aca="false">IFERROR(INDEX(Ref_TEST!$B$2:$B$201,MATCH(B106,Ref_TEST!$A$2:$A$201,0)),"")</f>
        <v/>
      </c>
      <c r="D106" s="17" t="str">
        <f aca="false">IFERROR(INDEX(Ref_TEST!$C$2:$C$201,MATCH(B106,Ref_TEST!$A$2:$A$201,0)),"")</f>
        <v/>
      </c>
      <c r="E106" s="17" t="str">
        <f aca="false">IFERROR(INDEX(Ref_TEST!$D$2:$D$201,MATCH(B106,Ref_TEST!$A$2:$A$201,0)),"")</f>
        <v/>
      </c>
      <c r="F106" s="17" t="str">
        <f aca="false">IFERROR(INDEX(Ref_TEST!$E$2:$E$201,MATCH(B106,Ref_TEST!$A$2:$A$201,0)),"")</f>
        <v/>
      </c>
      <c r="G106" s="17" t="str">
        <f aca="false">IF(A106="","",COUNTIF(Items!$A$5:$A$1004,A106))</f>
        <v/>
      </c>
      <c r="H106" s="16"/>
      <c r="I106" s="16"/>
      <c r="J106" s="16"/>
      <c r="K106" s="17" t="str">
        <f aca="false">IF(A106="","",COUNTIFS(Items!$A$5:$A$1004,A106,Items!$E$5:$E$1004,"Q1"))</f>
        <v/>
      </c>
      <c r="L106" s="17" t="str">
        <f aca="false">IF(A106="","",COUNTIFS(Items!$A$5:$A$1004,A106,Items!$E$5:$E$1004,"Q2"))</f>
        <v/>
      </c>
      <c r="M106" s="17" t="str">
        <f aca="false">IF(A106="","",COUNTIFS(Items!$A$5:$A$1004,A106,Items!$E$5:$E$1004,"Q3"))</f>
        <v/>
      </c>
      <c r="N106" s="17" t="str">
        <f aca="false">IF(A106="","",COUNTIFS(Items!$A$5:$A$1004,A106,Items!$E$5:$E$1004,"Q4"))</f>
        <v/>
      </c>
      <c r="O106" s="17" t="str">
        <f aca="false">IF(A106="","",COUNTIF(K106:N106,"&gt;0"))</f>
        <v/>
      </c>
      <c r="P106" s="16"/>
      <c r="Q106" s="16"/>
      <c r="R106" s="16"/>
      <c r="S106" s="18"/>
      <c r="T106" s="16"/>
      <c r="U106" s="17" t="str">
        <f aca="false">IF(A106="","",IF(OR(B106="",H106="",R106="",S106=""),"TEST-ID, method, selector, date needed",IF(COUNTIF(Ref_TEST!$A$2:$A$201,B106)=0,"TEST-ID not in W10",IF(D106&lt;&gt;"Pass","HOLD: population IPE not Pass",IF(AND(OR(H106="Random (seeded)",H106="Systematic"),I106=""),"Seed or interval needed",IF(G106&lt;&gt;F106+N(J106),"Items selected differ from planned + targeted: explain",IF(P106&lt;&gt;"Y","Confirm period coverage",IF(Q106="","Raise wave 3 PBC request","OK"))))))))</f>
        <v/>
      </c>
    </row>
    <row r="107" customFormat="false" ht="15" hidden="false" customHeight="false" outlineLevel="0" collapsed="false">
      <c r="A107" s="16"/>
      <c r="B107" s="16"/>
      <c r="C107" s="17" t="str">
        <f aca="false">IFERROR(INDEX(Ref_TEST!$B$2:$B$201,MATCH(B107,Ref_TEST!$A$2:$A$201,0)),"")</f>
        <v/>
      </c>
      <c r="D107" s="17" t="str">
        <f aca="false">IFERROR(INDEX(Ref_TEST!$C$2:$C$201,MATCH(B107,Ref_TEST!$A$2:$A$201,0)),"")</f>
        <v/>
      </c>
      <c r="E107" s="17" t="str">
        <f aca="false">IFERROR(INDEX(Ref_TEST!$D$2:$D$201,MATCH(B107,Ref_TEST!$A$2:$A$201,0)),"")</f>
        <v/>
      </c>
      <c r="F107" s="17" t="str">
        <f aca="false">IFERROR(INDEX(Ref_TEST!$E$2:$E$201,MATCH(B107,Ref_TEST!$A$2:$A$201,0)),"")</f>
        <v/>
      </c>
      <c r="G107" s="17" t="str">
        <f aca="false">IF(A107="","",COUNTIF(Items!$A$5:$A$1004,A107))</f>
        <v/>
      </c>
      <c r="H107" s="16"/>
      <c r="I107" s="16"/>
      <c r="J107" s="16"/>
      <c r="K107" s="17" t="str">
        <f aca="false">IF(A107="","",COUNTIFS(Items!$A$5:$A$1004,A107,Items!$E$5:$E$1004,"Q1"))</f>
        <v/>
      </c>
      <c r="L107" s="17" t="str">
        <f aca="false">IF(A107="","",COUNTIFS(Items!$A$5:$A$1004,A107,Items!$E$5:$E$1004,"Q2"))</f>
        <v/>
      </c>
      <c r="M107" s="17" t="str">
        <f aca="false">IF(A107="","",COUNTIFS(Items!$A$5:$A$1004,A107,Items!$E$5:$E$1004,"Q3"))</f>
        <v/>
      </c>
      <c r="N107" s="17" t="str">
        <f aca="false">IF(A107="","",COUNTIFS(Items!$A$5:$A$1004,A107,Items!$E$5:$E$1004,"Q4"))</f>
        <v/>
      </c>
      <c r="O107" s="17" t="str">
        <f aca="false">IF(A107="","",COUNTIF(K107:N107,"&gt;0"))</f>
        <v/>
      </c>
      <c r="P107" s="16"/>
      <c r="Q107" s="16"/>
      <c r="R107" s="16"/>
      <c r="S107" s="18"/>
      <c r="T107" s="16"/>
      <c r="U107" s="17" t="str">
        <f aca="false">IF(A107="","",IF(OR(B107="",H107="",R107="",S107=""),"TEST-ID, method, selector, date needed",IF(COUNTIF(Ref_TEST!$A$2:$A$201,B107)=0,"TEST-ID not in W10",IF(D107&lt;&gt;"Pass","HOLD: population IPE not Pass",IF(AND(OR(H107="Random (seeded)",H107="Systematic"),I107=""),"Seed or interval needed",IF(G107&lt;&gt;F107+N(J107),"Items selected differ from planned + targeted: explain",IF(P107&lt;&gt;"Y","Confirm period coverage",IF(Q107="","Raise wave 3 PBC request","OK"))))))))</f>
        <v/>
      </c>
    </row>
    <row r="108" customFormat="false" ht="15" hidden="false" customHeight="false" outlineLevel="0" collapsed="false">
      <c r="A108" s="16"/>
      <c r="B108" s="16"/>
      <c r="C108" s="17" t="str">
        <f aca="false">IFERROR(INDEX(Ref_TEST!$B$2:$B$201,MATCH(B108,Ref_TEST!$A$2:$A$201,0)),"")</f>
        <v/>
      </c>
      <c r="D108" s="17" t="str">
        <f aca="false">IFERROR(INDEX(Ref_TEST!$C$2:$C$201,MATCH(B108,Ref_TEST!$A$2:$A$201,0)),"")</f>
        <v/>
      </c>
      <c r="E108" s="17" t="str">
        <f aca="false">IFERROR(INDEX(Ref_TEST!$D$2:$D$201,MATCH(B108,Ref_TEST!$A$2:$A$201,0)),"")</f>
        <v/>
      </c>
      <c r="F108" s="17" t="str">
        <f aca="false">IFERROR(INDEX(Ref_TEST!$E$2:$E$201,MATCH(B108,Ref_TEST!$A$2:$A$201,0)),"")</f>
        <v/>
      </c>
      <c r="G108" s="17" t="str">
        <f aca="false">IF(A108="","",COUNTIF(Items!$A$5:$A$1004,A108))</f>
        <v/>
      </c>
      <c r="H108" s="16"/>
      <c r="I108" s="16"/>
      <c r="J108" s="16"/>
      <c r="K108" s="17" t="str">
        <f aca="false">IF(A108="","",COUNTIFS(Items!$A$5:$A$1004,A108,Items!$E$5:$E$1004,"Q1"))</f>
        <v/>
      </c>
      <c r="L108" s="17" t="str">
        <f aca="false">IF(A108="","",COUNTIFS(Items!$A$5:$A$1004,A108,Items!$E$5:$E$1004,"Q2"))</f>
        <v/>
      </c>
      <c r="M108" s="17" t="str">
        <f aca="false">IF(A108="","",COUNTIFS(Items!$A$5:$A$1004,A108,Items!$E$5:$E$1004,"Q3"))</f>
        <v/>
      </c>
      <c r="N108" s="17" t="str">
        <f aca="false">IF(A108="","",COUNTIFS(Items!$A$5:$A$1004,A108,Items!$E$5:$E$1004,"Q4"))</f>
        <v/>
      </c>
      <c r="O108" s="17" t="str">
        <f aca="false">IF(A108="","",COUNTIF(K108:N108,"&gt;0"))</f>
        <v/>
      </c>
      <c r="P108" s="16"/>
      <c r="Q108" s="16"/>
      <c r="R108" s="16"/>
      <c r="S108" s="18"/>
      <c r="T108" s="16"/>
      <c r="U108" s="17" t="str">
        <f aca="false">IF(A108="","",IF(OR(B108="",H108="",R108="",S108=""),"TEST-ID, method, selector, date needed",IF(COUNTIF(Ref_TEST!$A$2:$A$201,B108)=0,"TEST-ID not in W10",IF(D108&lt;&gt;"Pass","HOLD: population IPE not Pass",IF(AND(OR(H108="Random (seeded)",H108="Systematic"),I108=""),"Seed or interval needed",IF(G108&lt;&gt;F108+N(J108),"Items selected differ from planned + targeted: explain",IF(P108&lt;&gt;"Y","Confirm period coverage",IF(Q108="","Raise wave 3 PBC request","OK"))))))))</f>
        <v/>
      </c>
    </row>
    <row r="109" customFormat="false" ht="15" hidden="false" customHeight="false" outlineLevel="0" collapsed="false">
      <c r="A109" s="16"/>
      <c r="B109" s="16"/>
      <c r="C109" s="17" t="str">
        <f aca="false">IFERROR(INDEX(Ref_TEST!$B$2:$B$201,MATCH(B109,Ref_TEST!$A$2:$A$201,0)),"")</f>
        <v/>
      </c>
      <c r="D109" s="17" t="str">
        <f aca="false">IFERROR(INDEX(Ref_TEST!$C$2:$C$201,MATCH(B109,Ref_TEST!$A$2:$A$201,0)),"")</f>
        <v/>
      </c>
      <c r="E109" s="17" t="str">
        <f aca="false">IFERROR(INDEX(Ref_TEST!$D$2:$D$201,MATCH(B109,Ref_TEST!$A$2:$A$201,0)),"")</f>
        <v/>
      </c>
      <c r="F109" s="17" t="str">
        <f aca="false">IFERROR(INDEX(Ref_TEST!$E$2:$E$201,MATCH(B109,Ref_TEST!$A$2:$A$201,0)),"")</f>
        <v/>
      </c>
      <c r="G109" s="17" t="str">
        <f aca="false">IF(A109="","",COUNTIF(Items!$A$5:$A$1004,A109))</f>
        <v/>
      </c>
      <c r="H109" s="16"/>
      <c r="I109" s="16"/>
      <c r="J109" s="16"/>
      <c r="K109" s="17" t="str">
        <f aca="false">IF(A109="","",COUNTIFS(Items!$A$5:$A$1004,A109,Items!$E$5:$E$1004,"Q1"))</f>
        <v/>
      </c>
      <c r="L109" s="17" t="str">
        <f aca="false">IF(A109="","",COUNTIFS(Items!$A$5:$A$1004,A109,Items!$E$5:$E$1004,"Q2"))</f>
        <v/>
      </c>
      <c r="M109" s="17" t="str">
        <f aca="false">IF(A109="","",COUNTIFS(Items!$A$5:$A$1004,A109,Items!$E$5:$E$1004,"Q3"))</f>
        <v/>
      </c>
      <c r="N109" s="17" t="str">
        <f aca="false">IF(A109="","",COUNTIFS(Items!$A$5:$A$1004,A109,Items!$E$5:$E$1004,"Q4"))</f>
        <v/>
      </c>
      <c r="O109" s="17" t="str">
        <f aca="false">IF(A109="","",COUNTIF(K109:N109,"&gt;0"))</f>
        <v/>
      </c>
      <c r="P109" s="16"/>
      <c r="Q109" s="16"/>
      <c r="R109" s="16"/>
      <c r="S109" s="18"/>
      <c r="T109" s="16"/>
      <c r="U109" s="17" t="str">
        <f aca="false">IF(A109="","",IF(OR(B109="",H109="",R109="",S109=""),"TEST-ID, method, selector, date needed",IF(COUNTIF(Ref_TEST!$A$2:$A$201,B109)=0,"TEST-ID not in W10",IF(D109&lt;&gt;"Pass","HOLD: population IPE not Pass",IF(AND(OR(H109="Random (seeded)",H109="Systematic"),I109=""),"Seed or interval needed",IF(G109&lt;&gt;F109+N(J109),"Items selected differ from planned + targeted: explain",IF(P109&lt;&gt;"Y","Confirm period coverage",IF(Q109="","Raise wave 3 PBC request","OK"))))))))</f>
        <v/>
      </c>
    </row>
    <row r="110" customFormat="false" ht="15" hidden="false" customHeight="false" outlineLevel="0" collapsed="false">
      <c r="A110" s="16"/>
      <c r="B110" s="16"/>
      <c r="C110" s="17" t="str">
        <f aca="false">IFERROR(INDEX(Ref_TEST!$B$2:$B$201,MATCH(B110,Ref_TEST!$A$2:$A$201,0)),"")</f>
        <v/>
      </c>
      <c r="D110" s="17" t="str">
        <f aca="false">IFERROR(INDEX(Ref_TEST!$C$2:$C$201,MATCH(B110,Ref_TEST!$A$2:$A$201,0)),"")</f>
        <v/>
      </c>
      <c r="E110" s="17" t="str">
        <f aca="false">IFERROR(INDEX(Ref_TEST!$D$2:$D$201,MATCH(B110,Ref_TEST!$A$2:$A$201,0)),"")</f>
        <v/>
      </c>
      <c r="F110" s="17" t="str">
        <f aca="false">IFERROR(INDEX(Ref_TEST!$E$2:$E$201,MATCH(B110,Ref_TEST!$A$2:$A$201,0)),"")</f>
        <v/>
      </c>
      <c r="G110" s="17" t="str">
        <f aca="false">IF(A110="","",COUNTIF(Items!$A$5:$A$1004,A110))</f>
        <v/>
      </c>
      <c r="H110" s="16"/>
      <c r="I110" s="16"/>
      <c r="J110" s="16"/>
      <c r="K110" s="17" t="str">
        <f aca="false">IF(A110="","",COUNTIFS(Items!$A$5:$A$1004,A110,Items!$E$5:$E$1004,"Q1"))</f>
        <v/>
      </c>
      <c r="L110" s="17" t="str">
        <f aca="false">IF(A110="","",COUNTIFS(Items!$A$5:$A$1004,A110,Items!$E$5:$E$1004,"Q2"))</f>
        <v/>
      </c>
      <c r="M110" s="17" t="str">
        <f aca="false">IF(A110="","",COUNTIFS(Items!$A$5:$A$1004,A110,Items!$E$5:$E$1004,"Q3"))</f>
        <v/>
      </c>
      <c r="N110" s="17" t="str">
        <f aca="false">IF(A110="","",COUNTIFS(Items!$A$5:$A$1004,A110,Items!$E$5:$E$1004,"Q4"))</f>
        <v/>
      </c>
      <c r="O110" s="17" t="str">
        <f aca="false">IF(A110="","",COUNTIF(K110:N110,"&gt;0"))</f>
        <v/>
      </c>
      <c r="P110" s="16"/>
      <c r="Q110" s="16"/>
      <c r="R110" s="16"/>
      <c r="S110" s="18"/>
      <c r="T110" s="16"/>
      <c r="U110" s="17" t="str">
        <f aca="false">IF(A110="","",IF(OR(B110="",H110="",R110="",S110=""),"TEST-ID, method, selector, date needed",IF(COUNTIF(Ref_TEST!$A$2:$A$201,B110)=0,"TEST-ID not in W10",IF(D110&lt;&gt;"Pass","HOLD: population IPE not Pass",IF(AND(OR(H110="Random (seeded)",H110="Systematic"),I110=""),"Seed or interval needed",IF(G110&lt;&gt;F110+N(J110),"Items selected differ from planned + targeted: explain",IF(P110&lt;&gt;"Y","Confirm period coverage",IF(Q110="","Raise wave 3 PBC request","OK"))))))))</f>
        <v/>
      </c>
    </row>
    <row r="111" customFormat="false" ht="15" hidden="false" customHeight="false" outlineLevel="0" collapsed="false">
      <c r="A111" s="16"/>
      <c r="B111" s="16"/>
      <c r="C111" s="17" t="str">
        <f aca="false">IFERROR(INDEX(Ref_TEST!$B$2:$B$201,MATCH(B111,Ref_TEST!$A$2:$A$201,0)),"")</f>
        <v/>
      </c>
      <c r="D111" s="17" t="str">
        <f aca="false">IFERROR(INDEX(Ref_TEST!$C$2:$C$201,MATCH(B111,Ref_TEST!$A$2:$A$201,0)),"")</f>
        <v/>
      </c>
      <c r="E111" s="17" t="str">
        <f aca="false">IFERROR(INDEX(Ref_TEST!$D$2:$D$201,MATCH(B111,Ref_TEST!$A$2:$A$201,0)),"")</f>
        <v/>
      </c>
      <c r="F111" s="17" t="str">
        <f aca="false">IFERROR(INDEX(Ref_TEST!$E$2:$E$201,MATCH(B111,Ref_TEST!$A$2:$A$201,0)),"")</f>
        <v/>
      </c>
      <c r="G111" s="17" t="str">
        <f aca="false">IF(A111="","",COUNTIF(Items!$A$5:$A$1004,A111))</f>
        <v/>
      </c>
      <c r="H111" s="16"/>
      <c r="I111" s="16"/>
      <c r="J111" s="16"/>
      <c r="K111" s="17" t="str">
        <f aca="false">IF(A111="","",COUNTIFS(Items!$A$5:$A$1004,A111,Items!$E$5:$E$1004,"Q1"))</f>
        <v/>
      </c>
      <c r="L111" s="17" t="str">
        <f aca="false">IF(A111="","",COUNTIFS(Items!$A$5:$A$1004,A111,Items!$E$5:$E$1004,"Q2"))</f>
        <v/>
      </c>
      <c r="M111" s="17" t="str">
        <f aca="false">IF(A111="","",COUNTIFS(Items!$A$5:$A$1004,A111,Items!$E$5:$E$1004,"Q3"))</f>
        <v/>
      </c>
      <c r="N111" s="17" t="str">
        <f aca="false">IF(A111="","",COUNTIFS(Items!$A$5:$A$1004,A111,Items!$E$5:$E$1004,"Q4"))</f>
        <v/>
      </c>
      <c r="O111" s="17" t="str">
        <f aca="false">IF(A111="","",COUNTIF(K111:N111,"&gt;0"))</f>
        <v/>
      </c>
      <c r="P111" s="16"/>
      <c r="Q111" s="16"/>
      <c r="R111" s="16"/>
      <c r="S111" s="18"/>
      <c r="T111" s="16"/>
      <c r="U111" s="17" t="str">
        <f aca="false">IF(A111="","",IF(OR(B111="",H111="",R111="",S111=""),"TEST-ID, method, selector, date needed",IF(COUNTIF(Ref_TEST!$A$2:$A$201,B111)=0,"TEST-ID not in W10",IF(D111&lt;&gt;"Pass","HOLD: population IPE not Pass",IF(AND(OR(H111="Random (seeded)",H111="Systematic"),I111=""),"Seed or interval needed",IF(G111&lt;&gt;F111+N(J111),"Items selected differ from planned + targeted: explain",IF(P111&lt;&gt;"Y","Confirm period coverage",IF(Q111="","Raise wave 3 PBC request","OK"))))))))</f>
        <v/>
      </c>
    </row>
    <row r="112" customFormat="false" ht="15" hidden="false" customHeight="false" outlineLevel="0" collapsed="false">
      <c r="A112" s="16"/>
      <c r="B112" s="16"/>
      <c r="C112" s="17" t="str">
        <f aca="false">IFERROR(INDEX(Ref_TEST!$B$2:$B$201,MATCH(B112,Ref_TEST!$A$2:$A$201,0)),"")</f>
        <v/>
      </c>
      <c r="D112" s="17" t="str">
        <f aca="false">IFERROR(INDEX(Ref_TEST!$C$2:$C$201,MATCH(B112,Ref_TEST!$A$2:$A$201,0)),"")</f>
        <v/>
      </c>
      <c r="E112" s="17" t="str">
        <f aca="false">IFERROR(INDEX(Ref_TEST!$D$2:$D$201,MATCH(B112,Ref_TEST!$A$2:$A$201,0)),"")</f>
        <v/>
      </c>
      <c r="F112" s="17" t="str">
        <f aca="false">IFERROR(INDEX(Ref_TEST!$E$2:$E$201,MATCH(B112,Ref_TEST!$A$2:$A$201,0)),"")</f>
        <v/>
      </c>
      <c r="G112" s="17" t="str">
        <f aca="false">IF(A112="","",COUNTIF(Items!$A$5:$A$1004,A112))</f>
        <v/>
      </c>
      <c r="H112" s="16"/>
      <c r="I112" s="16"/>
      <c r="J112" s="16"/>
      <c r="K112" s="17" t="str">
        <f aca="false">IF(A112="","",COUNTIFS(Items!$A$5:$A$1004,A112,Items!$E$5:$E$1004,"Q1"))</f>
        <v/>
      </c>
      <c r="L112" s="17" t="str">
        <f aca="false">IF(A112="","",COUNTIFS(Items!$A$5:$A$1004,A112,Items!$E$5:$E$1004,"Q2"))</f>
        <v/>
      </c>
      <c r="M112" s="17" t="str">
        <f aca="false">IF(A112="","",COUNTIFS(Items!$A$5:$A$1004,A112,Items!$E$5:$E$1004,"Q3"))</f>
        <v/>
      </c>
      <c r="N112" s="17" t="str">
        <f aca="false">IF(A112="","",COUNTIFS(Items!$A$5:$A$1004,A112,Items!$E$5:$E$1004,"Q4"))</f>
        <v/>
      </c>
      <c r="O112" s="17" t="str">
        <f aca="false">IF(A112="","",COUNTIF(K112:N112,"&gt;0"))</f>
        <v/>
      </c>
      <c r="P112" s="16"/>
      <c r="Q112" s="16"/>
      <c r="R112" s="16"/>
      <c r="S112" s="18"/>
      <c r="T112" s="16"/>
      <c r="U112" s="17" t="str">
        <f aca="false">IF(A112="","",IF(OR(B112="",H112="",R112="",S112=""),"TEST-ID, method, selector, date needed",IF(COUNTIF(Ref_TEST!$A$2:$A$201,B112)=0,"TEST-ID not in W10",IF(D112&lt;&gt;"Pass","HOLD: population IPE not Pass",IF(AND(OR(H112="Random (seeded)",H112="Systematic"),I112=""),"Seed or interval needed",IF(G112&lt;&gt;F112+N(J112),"Items selected differ from planned + targeted: explain",IF(P112&lt;&gt;"Y","Confirm period coverage",IF(Q112="","Raise wave 3 PBC request","OK"))))))))</f>
        <v/>
      </c>
    </row>
    <row r="113" customFormat="false" ht="15" hidden="false" customHeight="false" outlineLevel="0" collapsed="false">
      <c r="A113" s="16"/>
      <c r="B113" s="16"/>
      <c r="C113" s="17" t="str">
        <f aca="false">IFERROR(INDEX(Ref_TEST!$B$2:$B$201,MATCH(B113,Ref_TEST!$A$2:$A$201,0)),"")</f>
        <v/>
      </c>
      <c r="D113" s="17" t="str">
        <f aca="false">IFERROR(INDEX(Ref_TEST!$C$2:$C$201,MATCH(B113,Ref_TEST!$A$2:$A$201,0)),"")</f>
        <v/>
      </c>
      <c r="E113" s="17" t="str">
        <f aca="false">IFERROR(INDEX(Ref_TEST!$D$2:$D$201,MATCH(B113,Ref_TEST!$A$2:$A$201,0)),"")</f>
        <v/>
      </c>
      <c r="F113" s="17" t="str">
        <f aca="false">IFERROR(INDEX(Ref_TEST!$E$2:$E$201,MATCH(B113,Ref_TEST!$A$2:$A$201,0)),"")</f>
        <v/>
      </c>
      <c r="G113" s="17" t="str">
        <f aca="false">IF(A113="","",COUNTIF(Items!$A$5:$A$1004,A113))</f>
        <v/>
      </c>
      <c r="H113" s="16"/>
      <c r="I113" s="16"/>
      <c r="J113" s="16"/>
      <c r="K113" s="17" t="str">
        <f aca="false">IF(A113="","",COUNTIFS(Items!$A$5:$A$1004,A113,Items!$E$5:$E$1004,"Q1"))</f>
        <v/>
      </c>
      <c r="L113" s="17" t="str">
        <f aca="false">IF(A113="","",COUNTIFS(Items!$A$5:$A$1004,A113,Items!$E$5:$E$1004,"Q2"))</f>
        <v/>
      </c>
      <c r="M113" s="17" t="str">
        <f aca="false">IF(A113="","",COUNTIFS(Items!$A$5:$A$1004,A113,Items!$E$5:$E$1004,"Q3"))</f>
        <v/>
      </c>
      <c r="N113" s="17" t="str">
        <f aca="false">IF(A113="","",COUNTIFS(Items!$A$5:$A$1004,A113,Items!$E$5:$E$1004,"Q4"))</f>
        <v/>
      </c>
      <c r="O113" s="17" t="str">
        <f aca="false">IF(A113="","",COUNTIF(K113:N113,"&gt;0"))</f>
        <v/>
      </c>
      <c r="P113" s="16"/>
      <c r="Q113" s="16"/>
      <c r="R113" s="16"/>
      <c r="S113" s="18"/>
      <c r="T113" s="16"/>
      <c r="U113" s="17" t="str">
        <f aca="false">IF(A113="","",IF(OR(B113="",H113="",R113="",S113=""),"TEST-ID, method, selector, date needed",IF(COUNTIF(Ref_TEST!$A$2:$A$201,B113)=0,"TEST-ID not in W10",IF(D113&lt;&gt;"Pass","HOLD: population IPE not Pass",IF(AND(OR(H113="Random (seeded)",H113="Systematic"),I113=""),"Seed or interval needed",IF(G113&lt;&gt;F113+N(J113),"Items selected differ from planned + targeted: explain",IF(P113&lt;&gt;"Y","Confirm period coverage",IF(Q113="","Raise wave 3 PBC request","OK"))))))))</f>
        <v/>
      </c>
    </row>
    <row r="114" customFormat="false" ht="15" hidden="false" customHeight="false" outlineLevel="0" collapsed="false">
      <c r="A114" s="16"/>
      <c r="B114" s="16"/>
      <c r="C114" s="17" t="str">
        <f aca="false">IFERROR(INDEX(Ref_TEST!$B$2:$B$201,MATCH(B114,Ref_TEST!$A$2:$A$201,0)),"")</f>
        <v/>
      </c>
      <c r="D114" s="17" t="str">
        <f aca="false">IFERROR(INDEX(Ref_TEST!$C$2:$C$201,MATCH(B114,Ref_TEST!$A$2:$A$201,0)),"")</f>
        <v/>
      </c>
      <c r="E114" s="17" t="str">
        <f aca="false">IFERROR(INDEX(Ref_TEST!$D$2:$D$201,MATCH(B114,Ref_TEST!$A$2:$A$201,0)),"")</f>
        <v/>
      </c>
      <c r="F114" s="17" t="str">
        <f aca="false">IFERROR(INDEX(Ref_TEST!$E$2:$E$201,MATCH(B114,Ref_TEST!$A$2:$A$201,0)),"")</f>
        <v/>
      </c>
      <c r="G114" s="17" t="str">
        <f aca="false">IF(A114="","",COUNTIF(Items!$A$5:$A$1004,A114))</f>
        <v/>
      </c>
      <c r="H114" s="16"/>
      <c r="I114" s="16"/>
      <c r="J114" s="16"/>
      <c r="K114" s="17" t="str">
        <f aca="false">IF(A114="","",COUNTIFS(Items!$A$5:$A$1004,A114,Items!$E$5:$E$1004,"Q1"))</f>
        <v/>
      </c>
      <c r="L114" s="17" t="str">
        <f aca="false">IF(A114="","",COUNTIFS(Items!$A$5:$A$1004,A114,Items!$E$5:$E$1004,"Q2"))</f>
        <v/>
      </c>
      <c r="M114" s="17" t="str">
        <f aca="false">IF(A114="","",COUNTIFS(Items!$A$5:$A$1004,A114,Items!$E$5:$E$1004,"Q3"))</f>
        <v/>
      </c>
      <c r="N114" s="17" t="str">
        <f aca="false">IF(A114="","",COUNTIFS(Items!$A$5:$A$1004,A114,Items!$E$5:$E$1004,"Q4"))</f>
        <v/>
      </c>
      <c r="O114" s="17" t="str">
        <f aca="false">IF(A114="","",COUNTIF(K114:N114,"&gt;0"))</f>
        <v/>
      </c>
      <c r="P114" s="16"/>
      <c r="Q114" s="16"/>
      <c r="R114" s="16"/>
      <c r="S114" s="18"/>
      <c r="T114" s="16"/>
      <c r="U114" s="17" t="str">
        <f aca="false">IF(A114="","",IF(OR(B114="",H114="",R114="",S114=""),"TEST-ID, method, selector, date needed",IF(COUNTIF(Ref_TEST!$A$2:$A$201,B114)=0,"TEST-ID not in W10",IF(D114&lt;&gt;"Pass","HOLD: population IPE not Pass",IF(AND(OR(H114="Random (seeded)",H114="Systematic"),I114=""),"Seed or interval needed",IF(G114&lt;&gt;F114+N(J114),"Items selected differ from planned + targeted: explain",IF(P114&lt;&gt;"Y","Confirm period coverage",IF(Q114="","Raise wave 3 PBC request","OK"))))))))</f>
        <v/>
      </c>
    </row>
    <row r="115" customFormat="false" ht="15" hidden="false" customHeight="false" outlineLevel="0" collapsed="false">
      <c r="A115" s="16"/>
      <c r="B115" s="16"/>
      <c r="C115" s="17" t="str">
        <f aca="false">IFERROR(INDEX(Ref_TEST!$B$2:$B$201,MATCH(B115,Ref_TEST!$A$2:$A$201,0)),"")</f>
        <v/>
      </c>
      <c r="D115" s="17" t="str">
        <f aca="false">IFERROR(INDEX(Ref_TEST!$C$2:$C$201,MATCH(B115,Ref_TEST!$A$2:$A$201,0)),"")</f>
        <v/>
      </c>
      <c r="E115" s="17" t="str">
        <f aca="false">IFERROR(INDEX(Ref_TEST!$D$2:$D$201,MATCH(B115,Ref_TEST!$A$2:$A$201,0)),"")</f>
        <v/>
      </c>
      <c r="F115" s="17" t="str">
        <f aca="false">IFERROR(INDEX(Ref_TEST!$E$2:$E$201,MATCH(B115,Ref_TEST!$A$2:$A$201,0)),"")</f>
        <v/>
      </c>
      <c r="G115" s="17" t="str">
        <f aca="false">IF(A115="","",COUNTIF(Items!$A$5:$A$1004,A115))</f>
        <v/>
      </c>
      <c r="H115" s="16"/>
      <c r="I115" s="16"/>
      <c r="J115" s="16"/>
      <c r="K115" s="17" t="str">
        <f aca="false">IF(A115="","",COUNTIFS(Items!$A$5:$A$1004,A115,Items!$E$5:$E$1004,"Q1"))</f>
        <v/>
      </c>
      <c r="L115" s="17" t="str">
        <f aca="false">IF(A115="","",COUNTIFS(Items!$A$5:$A$1004,A115,Items!$E$5:$E$1004,"Q2"))</f>
        <v/>
      </c>
      <c r="M115" s="17" t="str">
        <f aca="false">IF(A115="","",COUNTIFS(Items!$A$5:$A$1004,A115,Items!$E$5:$E$1004,"Q3"))</f>
        <v/>
      </c>
      <c r="N115" s="17" t="str">
        <f aca="false">IF(A115="","",COUNTIFS(Items!$A$5:$A$1004,A115,Items!$E$5:$E$1004,"Q4"))</f>
        <v/>
      </c>
      <c r="O115" s="17" t="str">
        <f aca="false">IF(A115="","",COUNTIF(K115:N115,"&gt;0"))</f>
        <v/>
      </c>
      <c r="P115" s="16"/>
      <c r="Q115" s="16"/>
      <c r="R115" s="16"/>
      <c r="S115" s="18"/>
      <c r="T115" s="16"/>
      <c r="U115" s="17" t="str">
        <f aca="false">IF(A115="","",IF(OR(B115="",H115="",R115="",S115=""),"TEST-ID, method, selector, date needed",IF(COUNTIF(Ref_TEST!$A$2:$A$201,B115)=0,"TEST-ID not in W10",IF(D115&lt;&gt;"Pass","HOLD: population IPE not Pass",IF(AND(OR(H115="Random (seeded)",H115="Systematic"),I115=""),"Seed or interval needed",IF(G115&lt;&gt;F115+N(J115),"Items selected differ from planned + targeted: explain",IF(P115&lt;&gt;"Y","Confirm period coverage",IF(Q115="","Raise wave 3 PBC request","OK"))))))))</f>
        <v/>
      </c>
    </row>
    <row r="116" customFormat="false" ht="15" hidden="false" customHeight="false" outlineLevel="0" collapsed="false">
      <c r="A116" s="16"/>
      <c r="B116" s="16"/>
      <c r="C116" s="17" t="str">
        <f aca="false">IFERROR(INDEX(Ref_TEST!$B$2:$B$201,MATCH(B116,Ref_TEST!$A$2:$A$201,0)),"")</f>
        <v/>
      </c>
      <c r="D116" s="17" t="str">
        <f aca="false">IFERROR(INDEX(Ref_TEST!$C$2:$C$201,MATCH(B116,Ref_TEST!$A$2:$A$201,0)),"")</f>
        <v/>
      </c>
      <c r="E116" s="17" t="str">
        <f aca="false">IFERROR(INDEX(Ref_TEST!$D$2:$D$201,MATCH(B116,Ref_TEST!$A$2:$A$201,0)),"")</f>
        <v/>
      </c>
      <c r="F116" s="17" t="str">
        <f aca="false">IFERROR(INDEX(Ref_TEST!$E$2:$E$201,MATCH(B116,Ref_TEST!$A$2:$A$201,0)),"")</f>
        <v/>
      </c>
      <c r="G116" s="17" t="str">
        <f aca="false">IF(A116="","",COUNTIF(Items!$A$5:$A$1004,A116))</f>
        <v/>
      </c>
      <c r="H116" s="16"/>
      <c r="I116" s="16"/>
      <c r="J116" s="16"/>
      <c r="K116" s="17" t="str">
        <f aca="false">IF(A116="","",COUNTIFS(Items!$A$5:$A$1004,A116,Items!$E$5:$E$1004,"Q1"))</f>
        <v/>
      </c>
      <c r="L116" s="17" t="str">
        <f aca="false">IF(A116="","",COUNTIFS(Items!$A$5:$A$1004,A116,Items!$E$5:$E$1004,"Q2"))</f>
        <v/>
      </c>
      <c r="M116" s="17" t="str">
        <f aca="false">IF(A116="","",COUNTIFS(Items!$A$5:$A$1004,A116,Items!$E$5:$E$1004,"Q3"))</f>
        <v/>
      </c>
      <c r="N116" s="17" t="str">
        <f aca="false">IF(A116="","",COUNTIFS(Items!$A$5:$A$1004,A116,Items!$E$5:$E$1004,"Q4"))</f>
        <v/>
      </c>
      <c r="O116" s="17" t="str">
        <f aca="false">IF(A116="","",COUNTIF(K116:N116,"&gt;0"))</f>
        <v/>
      </c>
      <c r="P116" s="16"/>
      <c r="Q116" s="16"/>
      <c r="R116" s="16"/>
      <c r="S116" s="18"/>
      <c r="T116" s="16"/>
      <c r="U116" s="17" t="str">
        <f aca="false">IF(A116="","",IF(OR(B116="",H116="",R116="",S116=""),"TEST-ID, method, selector, date needed",IF(COUNTIF(Ref_TEST!$A$2:$A$201,B116)=0,"TEST-ID not in W10",IF(D116&lt;&gt;"Pass","HOLD: population IPE not Pass",IF(AND(OR(H116="Random (seeded)",H116="Systematic"),I116=""),"Seed or interval needed",IF(G116&lt;&gt;F116+N(J116),"Items selected differ from planned + targeted: explain",IF(P116&lt;&gt;"Y","Confirm period coverage",IF(Q116="","Raise wave 3 PBC request","OK"))))))))</f>
        <v/>
      </c>
    </row>
    <row r="117" customFormat="false" ht="15" hidden="false" customHeight="false" outlineLevel="0" collapsed="false">
      <c r="A117" s="16"/>
      <c r="B117" s="16"/>
      <c r="C117" s="17" t="str">
        <f aca="false">IFERROR(INDEX(Ref_TEST!$B$2:$B$201,MATCH(B117,Ref_TEST!$A$2:$A$201,0)),"")</f>
        <v/>
      </c>
      <c r="D117" s="17" t="str">
        <f aca="false">IFERROR(INDEX(Ref_TEST!$C$2:$C$201,MATCH(B117,Ref_TEST!$A$2:$A$201,0)),"")</f>
        <v/>
      </c>
      <c r="E117" s="17" t="str">
        <f aca="false">IFERROR(INDEX(Ref_TEST!$D$2:$D$201,MATCH(B117,Ref_TEST!$A$2:$A$201,0)),"")</f>
        <v/>
      </c>
      <c r="F117" s="17" t="str">
        <f aca="false">IFERROR(INDEX(Ref_TEST!$E$2:$E$201,MATCH(B117,Ref_TEST!$A$2:$A$201,0)),"")</f>
        <v/>
      </c>
      <c r="G117" s="17" t="str">
        <f aca="false">IF(A117="","",COUNTIF(Items!$A$5:$A$1004,A117))</f>
        <v/>
      </c>
      <c r="H117" s="16"/>
      <c r="I117" s="16"/>
      <c r="J117" s="16"/>
      <c r="K117" s="17" t="str">
        <f aca="false">IF(A117="","",COUNTIFS(Items!$A$5:$A$1004,A117,Items!$E$5:$E$1004,"Q1"))</f>
        <v/>
      </c>
      <c r="L117" s="17" t="str">
        <f aca="false">IF(A117="","",COUNTIFS(Items!$A$5:$A$1004,A117,Items!$E$5:$E$1004,"Q2"))</f>
        <v/>
      </c>
      <c r="M117" s="17" t="str">
        <f aca="false">IF(A117="","",COUNTIFS(Items!$A$5:$A$1004,A117,Items!$E$5:$E$1004,"Q3"))</f>
        <v/>
      </c>
      <c r="N117" s="17" t="str">
        <f aca="false">IF(A117="","",COUNTIFS(Items!$A$5:$A$1004,A117,Items!$E$5:$E$1004,"Q4"))</f>
        <v/>
      </c>
      <c r="O117" s="17" t="str">
        <f aca="false">IF(A117="","",COUNTIF(K117:N117,"&gt;0"))</f>
        <v/>
      </c>
      <c r="P117" s="16"/>
      <c r="Q117" s="16"/>
      <c r="R117" s="16"/>
      <c r="S117" s="18"/>
      <c r="T117" s="16"/>
      <c r="U117" s="17" t="str">
        <f aca="false">IF(A117="","",IF(OR(B117="",H117="",R117="",S117=""),"TEST-ID, method, selector, date needed",IF(COUNTIF(Ref_TEST!$A$2:$A$201,B117)=0,"TEST-ID not in W10",IF(D117&lt;&gt;"Pass","HOLD: population IPE not Pass",IF(AND(OR(H117="Random (seeded)",H117="Systematic"),I117=""),"Seed or interval needed",IF(G117&lt;&gt;F117+N(J117),"Items selected differ from planned + targeted: explain",IF(P117&lt;&gt;"Y","Confirm period coverage",IF(Q117="","Raise wave 3 PBC request","OK"))))))))</f>
        <v/>
      </c>
    </row>
    <row r="118" customFormat="false" ht="15" hidden="false" customHeight="false" outlineLevel="0" collapsed="false">
      <c r="A118" s="16"/>
      <c r="B118" s="16"/>
      <c r="C118" s="17" t="str">
        <f aca="false">IFERROR(INDEX(Ref_TEST!$B$2:$B$201,MATCH(B118,Ref_TEST!$A$2:$A$201,0)),"")</f>
        <v/>
      </c>
      <c r="D118" s="17" t="str">
        <f aca="false">IFERROR(INDEX(Ref_TEST!$C$2:$C$201,MATCH(B118,Ref_TEST!$A$2:$A$201,0)),"")</f>
        <v/>
      </c>
      <c r="E118" s="17" t="str">
        <f aca="false">IFERROR(INDEX(Ref_TEST!$D$2:$D$201,MATCH(B118,Ref_TEST!$A$2:$A$201,0)),"")</f>
        <v/>
      </c>
      <c r="F118" s="17" t="str">
        <f aca="false">IFERROR(INDEX(Ref_TEST!$E$2:$E$201,MATCH(B118,Ref_TEST!$A$2:$A$201,0)),"")</f>
        <v/>
      </c>
      <c r="G118" s="17" t="str">
        <f aca="false">IF(A118="","",COUNTIF(Items!$A$5:$A$1004,A118))</f>
        <v/>
      </c>
      <c r="H118" s="16"/>
      <c r="I118" s="16"/>
      <c r="J118" s="16"/>
      <c r="K118" s="17" t="str">
        <f aca="false">IF(A118="","",COUNTIFS(Items!$A$5:$A$1004,A118,Items!$E$5:$E$1004,"Q1"))</f>
        <v/>
      </c>
      <c r="L118" s="17" t="str">
        <f aca="false">IF(A118="","",COUNTIFS(Items!$A$5:$A$1004,A118,Items!$E$5:$E$1004,"Q2"))</f>
        <v/>
      </c>
      <c r="M118" s="17" t="str">
        <f aca="false">IF(A118="","",COUNTIFS(Items!$A$5:$A$1004,A118,Items!$E$5:$E$1004,"Q3"))</f>
        <v/>
      </c>
      <c r="N118" s="17" t="str">
        <f aca="false">IF(A118="","",COUNTIFS(Items!$A$5:$A$1004,A118,Items!$E$5:$E$1004,"Q4"))</f>
        <v/>
      </c>
      <c r="O118" s="17" t="str">
        <f aca="false">IF(A118="","",COUNTIF(K118:N118,"&gt;0"))</f>
        <v/>
      </c>
      <c r="P118" s="16"/>
      <c r="Q118" s="16"/>
      <c r="R118" s="16"/>
      <c r="S118" s="18"/>
      <c r="T118" s="16"/>
      <c r="U118" s="17" t="str">
        <f aca="false">IF(A118="","",IF(OR(B118="",H118="",R118="",S118=""),"TEST-ID, method, selector, date needed",IF(COUNTIF(Ref_TEST!$A$2:$A$201,B118)=0,"TEST-ID not in W10",IF(D118&lt;&gt;"Pass","HOLD: population IPE not Pass",IF(AND(OR(H118="Random (seeded)",H118="Systematic"),I118=""),"Seed or interval needed",IF(G118&lt;&gt;F118+N(J118),"Items selected differ from planned + targeted: explain",IF(P118&lt;&gt;"Y","Confirm period coverage",IF(Q118="","Raise wave 3 PBC request","OK"))))))))</f>
        <v/>
      </c>
    </row>
    <row r="119" customFormat="false" ht="15" hidden="false" customHeight="false" outlineLevel="0" collapsed="false">
      <c r="A119" s="16"/>
      <c r="B119" s="16"/>
      <c r="C119" s="17" t="str">
        <f aca="false">IFERROR(INDEX(Ref_TEST!$B$2:$B$201,MATCH(B119,Ref_TEST!$A$2:$A$201,0)),"")</f>
        <v/>
      </c>
      <c r="D119" s="17" t="str">
        <f aca="false">IFERROR(INDEX(Ref_TEST!$C$2:$C$201,MATCH(B119,Ref_TEST!$A$2:$A$201,0)),"")</f>
        <v/>
      </c>
      <c r="E119" s="17" t="str">
        <f aca="false">IFERROR(INDEX(Ref_TEST!$D$2:$D$201,MATCH(B119,Ref_TEST!$A$2:$A$201,0)),"")</f>
        <v/>
      </c>
      <c r="F119" s="17" t="str">
        <f aca="false">IFERROR(INDEX(Ref_TEST!$E$2:$E$201,MATCH(B119,Ref_TEST!$A$2:$A$201,0)),"")</f>
        <v/>
      </c>
      <c r="G119" s="17" t="str">
        <f aca="false">IF(A119="","",COUNTIF(Items!$A$5:$A$1004,A119))</f>
        <v/>
      </c>
      <c r="H119" s="16"/>
      <c r="I119" s="16"/>
      <c r="J119" s="16"/>
      <c r="K119" s="17" t="str">
        <f aca="false">IF(A119="","",COUNTIFS(Items!$A$5:$A$1004,A119,Items!$E$5:$E$1004,"Q1"))</f>
        <v/>
      </c>
      <c r="L119" s="17" t="str">
        <f aca="false">IF(A119="","",COUNTIFS(Items!$A$5:$A$1004,A119,Items!$E$5:$E$1004,"Q2"))</f>
        <v/>
      </c>
      <c r="M119" s="17" t="str">
        <f aca="false">IF(A119="","",COUNTIFS(Items!$A$5:$A$1004,A119,Items!$E$5:$E$1004,"Q3"))</f>
        <v/>
      </c>
      <c r="N119" s="17" t="str">
        <f aca="false">IF(A119="","",COUNTIFS(Items!$A$5:$A$1004,A119,Items!$E$5:$E$1004,"Q4"))</f>
        <v/>
      </c>
      <c r="O119" s="17" t="str">
        <f aca="false">IF(A119="","",COUNTIF(K119:N119,"&gt;0"))</f>
        <v/>
      </c>
      <c r="P119" s="16"/>
      <c r="Q119" s="16"/>
      <c r="R119" s="16"/>
      <c r="S119" s="18"/>
      <c r="T119" s="16"/>
      <c r="U119" s="17" t="str">
        <f aca="false">IF(A119="","",IF(OR(B119="",H119="",R119="",S119=""),"TEST-ID, method, selector, date needed",IF(COUNTIF(Ref_TEST!$A$2:$A$201,B119)=0,"TEST-ID not in W10",IF(D119&lt;&gt;"Pass","HOLD: population IPE not Pass",IF(AND(OR(H119="Random (seeded)",H119="Systematic"),I119=""),"Seed or interval needed",IF(G119&lt;&gt;F119+N(J119),"Items selected differ from planned + targeted: explain",IF(P119&lt;&gt;"Y","Confirm period coverage",IF(Q119="","Raise wave 3 PBC request","OK"))))))))</f>
        <v/>
      </c>
    </row>
    <row r="120" customFormat="false" ht="15" hidden="false" customHeight="false" outlineLevel="0" collapsed="false">
      <c r="A120" s="16"/>
      <c r="B120" s="16"/>
      <c r="C120" s="17" t="str">
        <f aca="false">IFERROR(INDEX(Ref_TEST!$B$2:$B$201,MATCH(B120,Ref_TEST!$A$2:$A$201,0)),"")</f>
        <v/>
      </c>
      <c r="D120" s="17" t="str">
        <f aca="false">IFERROR(INDEX(Ref_TEST!$C$2:$C$201,MATCH(B120,Ref_TEST!$A$2:$A$201,0)),"")</f>
        <v/>
      </c>
      <c r="E120" s="17" t="str">
        <f aca="false">IFERROR(INDEX(Ref_TEST!$D$2:$D$201,MATCH(B120,Ref_TEST!$A$2:$A$201,0)),"")</f>
        <v/>
      </c>
      <c r="F120" s="17" t="str">
        <f aca="false">IFERROR(INDEX(Ref_TEST!$E$2:$E$201,MATCH(B120,Ref_TEST!$A$2:$A$201,0)),"")</f>
        <v/>
      </c>
      <c r="G120" s="17" t="str">
        <f aca="false">IF(A120="","",COUNTIF(Items!$A$5:$A$1004,A120))</f>
        <v/>
      </c>
      <c r="H120" s="16"/>
      <c r="I120" s="16"/>
      <c r="J120" s="16"/>
      <c r="K120" s="17" t="str">
        <f aca="false">IF(A120="","",COUNTIFS(Items!$A$5:$A$1004,A120,Items!$E$5:$E$1004,"Q1"))</f>
        <v/>
      </c>
      <c r="L120" s="17" t="str">
        <f aca="false">IF(A120="","",COUNTIFS(Items!$A$5:$A$1004,A120,Items!$E$5:$E$1004,"Q2"))</f>
        <v/>
      </c>
      <c r="M120" s="17" t="str">
        <f aca="false">IF(A120="","",COUNTIFS(Items!$A$5:$A$1004,A120,Items!$E$5:$E$1004,"Q3"))</f>
        <v/>
      </c>
      <c r="N120" s="17" t="str">
        <f aca="false">IF(A120="","",COUNTIFS(Items!$A$5:$A$1004,A120,Items!$E$5:$E$1004,"Q4"))</f>
        <v/>
      </c>
      <c r="O120" s="17" t="str">
        <f aca="false">IF(A120="","",COUNTIF(K120:N120,"&gt;0"))</f>
        <v/>
      </c>
      <c r="P120" s="16"/>
      <c r="Q120" s="16"/>
      <c r="R120" s="16"/>
      <c r="S120" s="18"/>
      <c r="T120" s="16"/>
      <c r="U120" s="17" t="str">
        <f aca="false">IF(A120="","",IF(OR(B120="",H120="",R120="",S120=""),"TEST-ID, method, selector, date needed",IF(COUNTIF(Ref_TEST!$A$2:$A$201,B120)=0,"TEST-ID not in W10",IF(D120&lt;&gt;"Pass","HOLD: population IPE not Pass",IF(AND(OR(H120="Random (seeded)",H120="Systematic"),I120=""),"Seed or interval needed",IF(G120&lt;&gt;F120+N(J120),"Items selected differ from planned + targeted: explain",IF(P120&lt;&gt;"Y","Confirm period coverage",IF(Q120="","Raise wave 3 PBC request","OK"))))))))</f>
        <v/>
      </c>
    </row>
    <row r="121" customFormat="false" ht="15" hidden="false" customHeight="false" outlineLevel="0" collapsed="false">
      <c r="A121" s="16"/>
      <c r="B121" s="16"/>
      <c r="C121" s="17" t="str">
        <f aca="false">IFERROR(INDEX(Ref_TEST!$B$2:$B$201,MATCH(B121,Ref_TEST!$A$2:$A$201,0)),"")</f>
        <v/>
      </c>
      <c r="D121" s="17" t="str">
        <f aca="false">IFERROR(INDEX(Ref_TEST!$C$2:$C$201,MATCH(B121,Ref_TEST!$A$2:$A$201,0)),"")</f>
        <v/>
      </c>
      <c r="E121" s="17" t="str">
        <f aca="false">IFERROR(INDEX(Ref_TEST!$D$2:$D$201,MATCH(B121,Ref_TEST!$A$2:$A$201,0)),"")</f>
        <v/>
      </c>
      <c r="F121" s="17" t="str">
        <f aca="false">IFERROR(INDEX(Ref_TEST!$E$2:$E$201,MATCH(B121,Ref_TEST!$A$2:$A$201,0)),"")</f>
        <v/>
      </c>
      <c r="G121" s="17" t="str">
        <f aca="false">IF(A121="","",COUNTIF(Items!$A$5:$A$1004,A121))</f>
        <v/>
      </c>
      <c r="H121" s="16"/>
      <c r="I121" s="16"/>
      <c r="J121" s="16"/>
      <c r="K121" s="17" t="str">
        <f aca="false">IF(A121="","",COUNTIFS(Items!$A$5:$A$1004,A121,Items!$E$5:$E$1004,"Q1"))</f>
        <v/>
      </c>
      <c r="L121" s="17" t="str">
        <f aca="false">IF(A121="","",COUNTIFS(Items!$A$5:$A$1004,A121,Items!$E$5:$E$1004,"Q2"))</f>
        <v/>
      </c>
      <c r="M121" s="17" t="str">
        <f aca="false">IF(A121="","",COUNTIFS(Items!$A$5:$A$1004,A121,Items!$E$5:$E$1004,"Q3"))</f>
        <v/>
      </c>
      <c r="N121" s="17" t="str">
        <f aca="false">IF(A121="","",COUNTIFS(Items!$A$5:$A$1004,A121,Items!$E$5:$E$1004,"Q4"))</f>
        <v/>
      </c>
      <c r="O121" s="17" t="str">
        <f aca="false">IF(A121="","",COUNTIF(K121:N121,"&gt;0"))</f>
        <v/>
      </c>
      <c r="P121" s="16"/>
      <c r="Q121" s="16"/>
      <c r="R121" s="16"/>
      <c r="S121" s="18"/>
      <c r="T121" s="16"/>
      <c r="U121" s="17" t="str">
        <f aca="false">IF(A121="","",IF(OR(B121="",H121="",R121="",S121=""),"TEST-ID, method, selector, date needed",IF(COUNTIF(Ref_TEST!$A$2:$A$201,B121)=0,"TEST-ID not in W10",IF(D121&lt;&gt;"Pass","HOLD: population IPE not Pass",IF(AND(OR(H121="Random (seeded)",H121="Systematic"),I121=""),"Seed or interval needed",IF(G121&lt;&gt;F121+N(J121),"Items selected differ from planned + targeted: explain",IF(P121&lt;&gt;"Y","Confirm period coverage",IF(Q121="","Raise wave 3 PBC request","OK"))))))))</f>
        <v/>
      </c>
    </row>
    <row r="122" customFormat="false" ht="15" hidden="false" customHeight="false" outlineLevel="0" collapsed="false">
      <c r="A122" s="16"/>
      <c r="B122" s="16"/>
      <c r="C122" s="17" t="str">
        <f aca="false">IFERROR(INDEX(Ref_TEST!$B$2:$B$201,MATCH(B122,Ref_TEST!$A$2:$A$201,0)),"")</f>
        <v/>
      </c>
      <c r="D122" s="17" t="str">
        <f aca="false">IFERROR(INDEX(Ref_TEST!$C$2:$C$201,MATCH(B122,Ref_TEST!$A$2:$A$201,0)),"")</f>
        <v/>
      </c>
      <c r="E122" s="17" t="str">
        <f aca="false">IFERROR(INDEX(Ref_TEST!$D$2:$D$201,MATCH(B122,Ref_TEST!$A$2:$A$201,0)),"")</f>
        <v/>
      </c>
      <c r="F122" s="17" t="str">
        <f aca="false">IFERROR(INDEX(Ref_TEST!$E$2:$E$201,MATCH(B122,Ref_TEST!$A$2:$A$201,0)),"")</f>
        <v/>
      </c>
      <c r="G122" s="17" t="str">
        <f aca="false">IF(A122="","",COUNTIF(Items!$A$5:$A$1004,A122))</f>
        <v/>
      </c>
      <c r="H122" s="16"/>
      <c r="I122" s="16"/>
      <c r="J122" s="16"/>
      <c r="K122" s="17" t="str">
        <f aca="false">IF(A122="","",COUNTIFS(Items!$A$5:$A$1004,A122,Items!$E$5:$E$1004,"Q1"))</f>
        <v/>
      </c>
      <c r="L122" s="17" t="str">
        <f aca="false">IF(A122="","",COUNTIFS(Items!$A$5:$A$1004,A122,Items!$E$5:$E$1004,"Q2"))</f>
        <v/>
      </c>
      <c r="M122" s="17" t="str">
        <f aca="false">IF(A122="","",COUNTIFS(Items!$A$5:$A$1004,A122,Items!$E$5:$E$1004,"Q3"))</f>
        <v/>
      </c>
      <c r="N122" s="17" t="str">
        <f aca="false">IF(A122="","",COUNTIFS(Items!$A$5:$A$1004,A122,Items!$E$5:$E$1004,"Q4"))</f>
        <v/>
      </c>
      <c r="O122" s="17" t="str">
        <f aca="false">IF(A122="","",COUNTIF(K122:N122,"&gt;0"))</f>
        <v/>
      </c>
      <c r="P122" s="16"/>
      <c r="Q122" s="16"/>
      <c r="R122" s="16"/>
      <c r="S122" s="18"/>
      <c r="T122" s="16"/>
      <c r="U122" s="17" t="str">
        <f aca="false">IF(A122="","",IF(OR(B122="",H122="",R122="",S122=""),"TEST-ID, method, selector, date needed",IF(COUNTIF(Ref_TEST!$A$2:$A$201,B122)=0,"TEST-ID not in W10",IF(D122&lt;&gt;"Pass","HOLD: population IPE not Pass",IF(AND(OR(H122="Random (seeded)",H122="Systematic"),I122=""),"Seed or interval needed",IF(G122&lt;&gt;F122+N(J122),"Items selected differ from planned + targeted: explain",IF(P122&lt;&gt;"Y","Confirm period coverage",IF(Q122="","Raise wave 3 PBC request","OK"))))))))</f>
        <v/>
      </c>
    </row>
    <row r="123" customFormat="false" ht="15" hidden="false" customHeight="false" outlineLevel="0" collapsed="false">
      <c r="A123" s="16"/>
      <c r="B123" s="16"/>
      <c r="C123" s="17" t="str">
        <f aca="false">IFERROR(INDEX(Ref_TEST!$B$2:$B$201,MATCH(B123,Ref_TEST!$A$2:$A$201,0)),"")</f>
        <v/>
      </c>
      <c r="D123" s="17" t="str">
        <f aca="false">IFERROR(INDEX(Ref_TEST!$C$2:$C$201,MATCH(B123,Ref_TEST!$A$2:$A$201,0)),"")</f>
        <v/>
      </c>
      <c r="E123" s="17" t="str">
        <f aca="false">IFERROR(INDEX(Ref_TEST!$D$2:$D$201,MATCH(B123,Ref_TEST!$A$2:$A$201,0)),"")</f>
        <v/>
      </c>
      <c r="F123" s="17" t="str">
        <f aca="false">IFERROR(INDEX(Ref_TEST!$E$2:$E$201,MATCH(B123,Ref_TEST!$A$2:$A$201,0)),"")</f>
        <v/>
      </c>
      <c r="G123" s="17" t="str">
        <f aca="false">IF(A123="","",COUNTIF(Items!$A$5:$A$1004,A123))</f>
        <v/>
      </c>
      <c r="H123" s="16"/>
      <c r="I123" s="16"/>
      <c r="J123" s="16"/>
      <c r="K123" s="17" t="str">
        <f aca="false">IF(A123="","",COUNTIFS(Items!$A$5:$A$1004,A123,Items!$E$5:$E$1004,"Q1"))</f>
        <v/>
      </c>
      <c r="L123" s="17" t="str">
        <f aca="false">IF(A123="","",COUNTIFS(Items!$A$5:$A$1004,A123,Items!$E$5:$E$1004,"Q2"))</f>
        <v/>
      </c>
      <c r="M123" s="17" t="str">
        <f aca="false">IF(A123="","",COUNTIFS(Items!$A$5:$A$1004,A123,Items!$E$5:$E$1004,"Q3"))</f>
        <v/>
      </c>
      <c r="N123" s="17" t="str">
        <f aca="false">IF(A123="","",COUNTIFS(Items!$A$5:$A$1004,A123,Items!$E$5:$E$1004,"Q4"))</f>
        <v/>
      </c>
      <c r="O123" s="17" t="str">
        <f aca="false">IF(A123="","",COUNTIF(K123:N123,"&gt;0"))</f>
        <v/>
      </c>
      <c r="P123" s="16"/>
      <c r="Q123" s="16"/>
      <c r="R123" s="16"/>
      <c r="S123" s="18"/>
      <c r="T123" s="16"/>
      <c r="U123" s="17" t="str">
        <f aca="false">IF(A123="","",IF(OR(B123="",H123="",R123="",S123=""),"TEST-ID, method, selector, date needed",IF(COUNTIF(Ref_TEST!$A$2:$A$201,B123)=0,"TEST-ID not in W10",IF(D123&lt;&gt;"Pass","HOLD: population IPE not Pass",IF(AND(OR(H123="Random (seeded)",H123="Systematic"),I123=""),"Seed or interval needed",IF(G123&lt;&gt;F123+N(J123),"Items selected differ from planned + targeted: explain",IF(P123&lt;&gt;"Y","Confirm period coverage",IF(Q123="","Raise wave 3 PBC request","OK"))))))))</f>
        <v/>
      </c>
    </row>
    <row r="124" customFormat="false" ht="15" hidden="false" customHeight="false" outlineLevel="0" collapsed="false">
      <c r="A124" s="16"/>
      <c r="B124" s="16"/>
      <c r="C124" s="17" t="str">
        <f aca="false">IFERROR(INDEX(Ref_TEST!$B$2:$B$201,MATCH(B124,Ref_TEST!$A$2:$A$201,0)),"")</f>
        <v/>
      </c>
      <c r="D124" s="17" t="str">
        <f aca="false">IFERROR(INDEX(Ref_TEST!$C$2:$C$201,MATCH(B124,Ref_TEST!$A$2:$A$201,0)),"")</f>
        <v/>
      </c>
      <c r="E124" s="17" t="str">
        <f aca="false">IFERROR(INDEX(Ref_TEST!$D$2:$D$201,MATCH(B124,Ref_TEST!$A$2:$A$201,0)),"")</f>
        <v/>
      </c>
      <c r="F124" s="17" t="str">
        <f aca="false">IFERROR(INDEX(Ref_TEST!$E$2:$E$201,MATCH(B124,Ref_TEST!$A$2:$A$201,0)),"")</f>
        <v/>
      </c>
      <c r="G124" s="17" t="str">
        <f aca="false">IF(A124="","",COUNTIF(Items!$A$5:$A$1004,A124))</f>
        <v/>
      </c>
      <c r="H124" s="16"/>
      <c r="I124" s="16"/>
      <c r="J124" s="16"/>
      <c r="K124" s="17" t="str">
        <f aca="false">IF(A124="","",COUNTIFS(Items!$A$5:$A$1004,A124,Items!$E$5:$E$1004,"Q1"))</f>
        <v/>
      </c>
      <c r="L124" s="17" t="str">
        <f aca="false">IF(A124="","",COUNTIFS(Items!$A$5:$A$1004,A124,Items!$E$5:$E$1004,"Q2"))</f>
        <v/>
      </c>
      <c r="M124" s="17" t="str">
        <f aca="false">IF(A124="","",COUNTIFS(Items!$A$5:$A$1004,A124,Items!$E$5:$E$1004,"Q3"))</f>
        <v/>
      </c>
      <c r="N124" s="17" t="str">
        <f aca="false">IF(A124="","",COUNTIFS(Items!$A$5:$A$1004,A124,Items!$E$5:$E$1004,"Q4"))</f>
        <v/>
      </c>
      <c r="O124" s="17" t="str">
        <f aca="false">IF(A124="","",COUNTIF(K124:N124,"&gt;0"))</f>
        <v/>
      </c>
      <c r="P124" s="16"/>
      <c r="Q124" s="16"/>
      <c r="R124" s="16"/>
      <c r="S124" s="18"/>
      <c r="T124" s="16"/>
      <c r="U124" s="17" t="str">
        <f aca="false">IF(A124="","",IF(OR(B124="",H124="",R124="",S124=""),"TEST-ID, method, selector, date needed",IF(COUNTIF(Ref_TEST!$A$2:$A$201,B124)=0,"TEST-ID not in W10",IF(D124&lt;&gt;"Pass","HOLD: population IPE not Pass",IF(AND(OR(H124="Random (seeded)",H124="Systematic"),I124=""),"Seed or interval needed",IF(G124&lt;&gt;F124+N(J124),"Items selected differ from planned + targeted: explain",IF(P124&lt;&gt;"Y","Confirm period coverage",IF(Q124="","Raise wave 3 PBC request","OK"))))))))</f>
        <v/>
      </c>
    </row>
    <row r="125" customFormat="false" ht="15" hidden="false" customHeight="false" outlineLevel="0" collapsed="false">
      <c r="A125" s="16"/>
      <c r="B125" s="16"/>
      <c r="C125" s="17" t="str">
        <f aca="false">IFERROR(INDEX(Ref_TEST!$B$2:$B$201,MATCH(B125,Ref_TEST!$A$2:$A$201,0)),"")</f>
        <v/>
      </c>
      <c r="D125" s="17" t="str">
        <f aca="false">IFERROR(INDEX(Ref_TEST!$C$2:$C$201,MATCH(B125,Ref_TEST!$A$2:$A$201,0)),"")</f>
        <v/>
      </c>
      <c r="E125" s="17" t="str">
        <f aca="false">IFERROR(INDEX(Ref_TEST!$D$2:$D$201,MATCH(B125,Ref_TEST!$A$2:$A$201,0)),"")</f>
        <v/>
      </c>
      <c r="F125" s="17" t="str">
        <f aca="false">IFERROR(INDEX(Ref_TEST!$E$2:$E$201,MATCH(B125,Ref_TEST!$A$2:$A$201,0)),"")</f>
        <v/>
      </c>
      <c r="G125" s="17" t="str">
        <f aca="false">IF(A125="","",COUNTIF(Items!$A$5:$A$1004,A125))</f>
        <v/>
      </c>
      <c r="H125" s="16"/>
      <c r="I125" s="16"/>
      <c r="J125" s="16"/>
      <c r="K125" s="17" t="str">
        <f aca="false">IF(A125="","",COUNTIFS(Items!$A$5:$A$1004,A125,Items!$E$5:$E$1004,"Q1"))</f>
        <v/>
      </c>
      <c r="L125" s="17" t="str">
        <f aca="false">IF(A125="","",COUNTIFS(Items!$A$5:$A$1004,A125,Items!$E$5:$E$1004,"Q2"))</f>
        <v/>
      </c>
      <c r="M125" s="17" t="str">
        <f aca="false">IF(A125="","",COUNTIFS(Items!$A$5:$A$1004,A125,Items!$E$5:$E$1004,"Q3"))</f>
        <v/>
      </c>
      <c r="N125" s="17" t="str">
        <f aca="false">IF(A125="","",COUNTIFS(Items!$A$5:$A$1004,A125,Items!$E$5:$E$1004,"Q4"))</f>
        <v/>
      </c>
      <c r="O125" s="17" t="str">
        <f aca="false">IF(A125="","",COUNTIF(K125:N125,"&gt;0"))</f>
        <v/>
      </c>
      <c r="P125" s="16"/>
      <c r="Q125" s="16"/>
      <c r="R125" s="16"/>
      <c r="S125" s="18"/>
      <c r="T125" s="16"/>
      <c r="U125" s="17" t="str">
        <f aca="false">IF(A125="","",IF(OR(B125="",H125="",R125="",S125=""),"TEST-ID, method, selector, date needed",IF(COUNTIF(Ref_TEST!$A$2:$A$201,B125)=0,"TEST-ID not in W10",IF(D125&lt;&gt;"Pass","HOLD: population IPE not Pass",IF(AND(OR(H125="Random (seeded)",H125="Systematic"),I125=""),"Seed or interval needed",IF(G125&lt;&gt;F125+N(J125),"Items selected differ from planned + targeted: explain",IF(P125&lt;&gt;"Y","Confirm period coverage",IF(Q125="","Raise wave 3 PBC request","OK"))))))))</f>
        <v/>
      </c>
    </row>
    <row r="126" customFormat="false" ht="15" hidden="false" customHeight="false" outlineLevel="0" collapsed="false">
      <c r="A126" s="16"/>
      <c r="B126" s="16"/>
      <c r="C126" s="17" t="str">
        <f aca="false">IFERROR(INDEX(Ref_TEST!$B$2:$B$201,MATCH(B126,Ref_TEST!$A$2:$A$201,0)),"")</f>
        <v/>
      </c>
      <c r="D126" s="17" t="str">
        <f aca="false">IFERROR(INDEX(Ref_TEST!$C$2:$C$201,MATCH(B126,Ref_TEST!$A$2:$A$201,0)),"")</f>
        <v/>
      </c>
      <c r="E126" s="17" t="str">
        <f aca="false">IFERROR(INDEX(Ref_TEST!$D$2:$D$201,MATCH(B126,Ref_TEST!$A$2:$A$201,0)),"")</f>
        <v/>
      </c>
      <c r="F126" s="17" t="str">
        <f aca="false">IFERROR(INDEX(Ref_TEST!$E$2:$E$201,MATCH(B126,Ref_TEST!$A$2:$A$201,0)),"")</f>
        <v/>
      </c>
      <c r="G126" s="17" t="str">
        <f aca="false">IF(A126="","",COUNTIF(Items!$A$5:$A$1004,A126))</f>
        <v/>
      </c>
      <c r="H126" s="16"/>
      <c r="I126" s="16"/>
      <c r="J126" s="16"/>
      <c r="K126" s="17" t="str">
        <f aca="false">IF(A126="","",COUNTIFS(Items!$A$5:$A$1004,A126,Items!$E$5:$E$1004,"Q1"))</f>
        <v/>
      </c>
      <c r="L126" s="17" t="str">
        <f aca="false">IF(A126="","",COUNTIFS(Items!$A$5:$A$1004,A126,Items!$E$5:$E$1004,"Q2"))</f>
        <v/>
      </c>
      <c r="M126" s="17" t="str">
        <f aca="false">IF(A126="","",COUNTIFS(Items!$A$5:$A$1004,A126,Items!$E$5:$E$1004,"Q3"))</f>
        <v/>
      </c>
      <c r="N126" s="17" t="str">
        <f aca="false">IF(A126="","",COUNTIFS(Items!$A$5:$A$1004,A126,Items!$E$5:$E$1004,"Q4"))</f>
        <v/>
      </c>
      <c r="O126" s="17" t="str">
        <f aca="false">IF(A126="","",COUNTIF(K126:N126,"&gt;0"))</f>
        <v/>
      </c>
      <c r="P126" s="16"/>
      <c r="Q126" s="16"/>
      <c r="R126" s="16"/>
      <c r="S126" s="18"/>
      <c r="T126" s="16"/>
      <c r="U126" s="17" t="str">
        <f aca="false">IF(A126="","",IF(OR(B126="",H126="",R126="",S126=""),"TEST-ID, method, selector, date needed",IF(COUNTIF(Ref_TEST!$A$2:$A$201,B126)=0,"TEST-ID not in W10",IF(D126&lt;&gt;"Pass","HOLD: population IPE not Pass",IF(AND(OR(H126="Random (seeded)",H126="Systematic"),I126=""),"Seed or interval needed",IF(G126&lt;&gt;F126+N(J126),"Items selected differ from planned + targeted: explain",IF(P126&lt;&gt;"Y","Confirm period coverage",IF(Q126="","Raise wave 3 PBC request","OK"))))))))</f>
        <v/>
      </c>
    </row>
    <row r="127" customFormat="false" ht="15" hidden="false" customHeight="false" outlineLevel="0" collapsed="false">
      <c r="A127" s="16"/>
      <c r="B127" s="16"/>
      <c r="C127" s="17" t="str">
        <f aca="false">IFERROR(INDEX(Ref_TEST!$B$2:$B$201,MATCH(B127,Ref_TEST!$A$2:$A$201,0)),"")</f>
        <v/>
      </c>
      <c r="D127" s="17" t="str">
        <f aca="false">IFERROR(INDEX(Ref_TEST!$C$2:$C$201,MATCH(B127,Ref_TEST!$A$2:$A$201,0)),"")</f>
        <v/>
      </c>
      <c r="E127" s="17" t="str">
        <f aca="false">IFERROR(INDEX(Ref_TEST!$D$2:$D$201,MATCH(B127,Ref_TEST!$A$2:$A$201,0)),"")</f>
        <v/>
      </c>
      <c r="F127" s="17" t="str">
        <f aca="false">IFERROR(INDEX(Ref_TEST!$E$2:$E$201,MATCH(B127,Ref_TEST!$A$2:$A$201,0)),"")</f>
        <v/>
      </c>
      <c r="G127" s="17" t="str">
        <f aca="false">IF(A127="","",COUNTIF(Items!$A$5:$A$1004,A127))</f>
        <v/>
      </c>
      <c r="H127" s="16"/>
      <c r="I127" s="16"/>
      <c r="J127" s="16"/>
      <c r="K127" s="17" t="str">
        <f aca="false">IF(A127="","",COUNTIFS(Items!$A$5:$A$1004,A127,Items!$E$5:$E$1004,"Q1"))</f>
        <v/>
      </c>
      <c r="L127" s="17" t="str">
        <f aca="false">IF(A127="","",COUNTIFS(Items!$A$5:$A$1004,A127,Items!$E$5:$E$1004,"Q2"))</f>
        <v/>
      </c>
      <c r="M127" s="17" t="str">
        <f aca="false">IF(A127="","",COUNTIFS(Items!$A$5:$A$1004,A127,Items!$E$5:$E$1004,"Q3"))</f>
        <v/>
      </c>
      <c r="N127" s="17" t="str">
        <f aca="false">IF(A127="","",COUNTIFS(Items!$A$5:$A$1004,A127,Items!$E$5:$E$1004,"Q4"))</f>
        <v/>
      </c>
      <c r="O127" s="17" t="str">
        <f aca="false">IF(A127="","",COUNTIF(K127:N127,"&gt;0"))</f>
        <v/>
      </c>
      <c r="P127" s="16"/>
      <c r="Q127" s="16"/>
      <c r="R127" s="16"/>
      <c r="S127" s="18"/>
      <c r="T127" s="16"/>
      <c r="U127" s="17" t="str">
        <f aca="false">IF(A127="","",IF(OR(B127="",H127="",R127="",S127=""),"TEST-ID, method, selector, date needed",IF(COUNTIF(Ref_TEST!$A$2:$A$201,B127)=0,"TEST-ID not in W10",IF(D127&lt;&gt;"Pass","HOLD: population IPE not Pass",IF(AND(OR(H127="Random (seeded)",H127="Systematic"),I127=""),"Seed or interval needed",IF(G127&lt;&gt;F127+N(J127),"Items selected differ from planned + targeted: explain",IF(P127&lt;&gt;"Y","Confirm period coverage",IF(Q127="","Raise wave 3 PBC request","OK"))))))))</f>
        <v/>
      </c>
    </row>
    <row r="128" customFormat="false" ht="15" hidden="false" customHeight="false" outlineLevel="0" collapsed="false">
      <c r="A128" s="16"/>
      <c r="B128" s="16"/>
      <c r="C128" s="17" t="str">
        <f aca="false">IFERROR(INDEX(Ref_TEST!$B$2:$B$201,MATCH(B128,Ref_TEST!$A$2:$A$201,0)),"")</f>
        <v/>
      </c>
      <c r="D128" s="17" t="str">
        <f aca="false">IFERROR(INDEX(Ref_TEST!$C$2:$C$201,MATCH(B128,Ref_TEST!$A$2:$A$201,0)),"")</f>
        <v/>
      </c>
      <c r="E128" s="17" t="str">
        <f aca="false">IFERROR(INDEX(Ref_TEST!$D$2:$D$201,MATCH(B128,Ref_TEST!$A$2:$A$201,0)),"")</f>
        <v/>
      </c>
      <c r="F128" s="17" t="str">
        <f aca="false">IFERROR(INDEX(Ref_TEST!$E$2:$E$201,MATCH(B128,Ref_TEST!$A$2:$A$201,0)),"")</f>
        <v/>
      </c>
      <c r="G128" s="17" t="str">
        <f aca="false">IF(A128="","",COUNTIF(Items!$A$5:$A$1004,A128))</f>
        <v/>
      </c>
      <c r="H128" s="16"/>
      <c r="I128" s="16"/>
      <c r="J128" s="16"/>
      <c r="K128" s="17" t="str">
        <f aca="false">IF(A128="","",COUNTIFS(Items!$A$5:$A$1004,A128,Items!$E$5:$E$1004,"Q1"))</f>
        <v/>
      </c>
      <c r="L128" s="17" t="str">
        <f aca="false">IF(A128="","",COUNTIFS(Items!$A$5:$A$1004,A128,Items!$E$5:$E$1004,"Q2"))</f>
        <v/>
      </c>
      <c r="M128" s="17" t="str">
        <f aca="false">IF(A128="","",COUNTIFS(Items!$A$5:$A$1004,A128,Items!$E$5:$E$1004,"Q3"))</f>
        <v/>
      </c>
      <c r="N128" s="17" t="str">
        <f aca="false">IF(A128="","",COUNTIFS(Items!$A$5:$A$1004,A128,Items!$E$5:$E$1004,"Q4"))</f>
        <v/>
      </c>
      <c r="O128" s="17" t="str">
        <f aca="false">IF(A128="","",COUNTIF(K128:N128,"&gt;0"))</f>
        <v/>
      </c>
      <c r="P128" s="16"/>
      <c r="Q128" s="16"/>
      <c r="R128" s="16"/>
      <c r="S128" s="18"/>
      <c r="T128" s="16"/>
      <c r="U128" s="17" t="str">
        <f aca="false">IF(A128="","",IF(OR(B128="",H128="",R128="",S128=""),"TEST-ID, method, selector, date needed",IF(COUNTIF(Ref_TEST!$A$2:$A$201,B128)=0,"TEST-ID not in W10",IF(D128&lt;&gt;"Pass","HOLD: population IPE not Pass",IF(AND(OR(H128="Random (seeded)",H128="Systematic"),I128=""),"Seed or interval needed",IF(G128&lt;&gt;F128+N(J128),"Items selected differ from planned + targeted: explain",IF(P128&lt;&gt;"Y","Confirm period coverage",IF(Q128="","Raise wave 3 PBC request","OK"))))))))</f>
        <v/>
      </c>
    </row>
    <row r="129" customFormat="false" ht="15" hidden="false" customHeight="false" outlineLevel="0" collapsed="false">
      <c r="A129" s="16"/>
      <c r="B129" s="16"/>
      <c r="C129" s="17" t="str">
        <f aca="false">IFERROR(INDEX(Ref_TEST!$B$2:$B$201,MATCH(B129,Ref_TEST!$A$2:$A$201,0)),"")</f>
        <v/>
      </c>
      <c r="D129" s="17" t="str">
        <f aca="false">IFERROR(INDEX(Ref_TEST!$C$2:$C$201,MATCH(B129,Ref_TEST!$A$2:$A$201,0)),"")</f>
        <v/>
      </c>
      <c r="E129" s="17" t="str">
        <f aca="false">IFERROR(INDEX(Ref_TEST!$D$2:$D$201,MATCH(B129,Ref_TEST!$A$2:$A$201,0)),"")</f>
        <v/>
      </c>
      <c r="F129" s="17" t="str">
        <f aca="false">IFERROR(INDEX(Ref_TEST!$E$2:$E$201,MATCH(B129,Ref_TEST!$A$2:$A$201,0)),"")</f>
        <v/>
      </c>
      <c r="G129" s="17" t="str">
        <f aca="false">IF(A129="","",COUNTIF(Items!$A$5:$A$1004,A129))</f>
        <v/>
      </c>
      <c r="H129" s="16"/>
      <c r="I129" s="16"/>
      <c r="J129" s="16"/>
      <c r="K129" s="17" t="str">
        <f aca="false">IF(A129="","",COUNTIFS(Items!$A$5:$A$1004,A129,Items!$E$5:$E$1004,"Q1"))</f>
        <v/>
      </c>
      <c r="L129" s="17" t="str">
        <f aca="false">IF(A129="","",COUNTIFS(Items!$A$5:$A$1004,A129,Items!$E$5:$E$1004,"Q2"))</f>
        <v/>
      </c>
      <c r="M129" s="17" t="str">
        <f aca="false">IF(A129="","",COUNTIFS(Items!$A$5:$A$1004,A129,Items!$E$5:$E$1004,"Q3"))</f>
        <v/>
      </c>
      <c r="N129" s="17" t="str">
        <f aca="false">IF(A129="","",COUNTIFS(Items!$A$5:$A$1004,A129,Items!$E$5:$E$1004,"Q4"))</f>
        <v/>
      </c>
      <c r="O129" s="17" t="str">
        <f aca="false">IF(A129="","",COUNTIF(K129:N129,"&gt;0"))</f>
        <v/>
      </c>
      <c r="P129" s="16"/>
      <c r="Q129" s="16"/>
      <c r="R129" s="16"/>
      <c r="S129" s="18"/>
      <c r="T129" s="16"/>
      <c r="U129" s="17" t="str">
        <f aca="false">IF(A129="","",IF(OR(B129="",H129="",R129="",S129=""),"TEST-ID, method, selector, date needed",IF(COUNTIF(Ref_TEST!$A$2:$A$201,B129)=0,"TEST-ID not in W10",IF(D129&lt;&gt;"Pass","HOLD: population IPE not Pass",IF(AND(OR(H129="Random (seeded)",H129="Systematic"),I129=""),"Seed or interval needed",IF(G129&lt;&gt;F129+N(J129),"Items selected differ from planned + targeted: explain",IF(P129&lt;&gt;"Y","Confirm period coverage",IF(Q129="","Raise wave 3 PBC request","OK"))))))))</f>
        <v/>
      </c>
    </row>
    <row r="130" customFormat="false" ht="15" hidden="false" customHeight="false" outlineLevel="0" collapsed="false">
      <c r="A130" s="16"/>
      <c r="B130" s="16"/>
      <c r="C130" s="17" t="str">
        <f aca="false">IFERROR(INDEX(Ref_TEST!$B$2:$B$201,MATCH(B130,Ref_TEST!$A$2:$A$201,0)),"")</f>
        <v/>
      </c>
      <c r="D130" s="17" t="str">
        <f aca="false">IFERROR(INDEX(Ref_TEST!$C$2:$C$201,MATCH(B130,Ref_TEST!$A$2:$A$201,0)),"")</f>
        <v/>
      </c>
      <c r="E130" s="17" t="str">
        <f aca="false">IFERROR(INDEX(Ref_TEST!$D$2:$D$201,MATCH(B130,Ref_TEST!$A$2:$A$201,0)),"")</f>
        <v/>
      </c>
      <c r="F130" s="17" t="str">
        <f aca="false">IFERROR(INDEX(Ref_TEST!$E$2:$E$201,MATCH(B130,Ref_TEST!$A$2:$A$201,0)),"")</f>
        <v/>
      </c>
      <c r="G130" s="17" t="str">
        <f aca="false">IF(A130="","",COUNTIF(Items!$A$5:$A$1004,A130))</f>
        <v/>
      </c>
      <c r="H130" s="16"/>
      <c r="I130" s="16"/>
      <c r="J130" s="16"/>
      <c r="K130" s="17" t="str">
        <f aca="false">IF(A130="","",COUNTIFS(Items!$A$5:$A$1004,A130,Items!$E$5:$E$1004,"Q1"))</f>
        <v/>
      </c>
      <c r="L130" s="17" t="str">
        <f aca="false">IF(A130="","",COUNTIFS(Items!$A$5:$A$1004,A130,Items!$E$5:$E$1004,"Q2"))</f>
        <v/>
      </c>
      <c r="M130" s="17" t="str">
        <f aca="false">IF(A130="","",COUNTIFS(Items!$A$5:$A$1004,A130,Items!$E$5:$E$1004,"Q3"))</f>
        <v/>
      </c>
      <c r="N130" s="17" t="str">
        <f aca="false">IF(A130="","",COUNTIFS(Items!$A$5:$A$1004,A130,Items!$E$5:$E$1004,"Q4"))</f>
        <v/>
      </c>
      <c r="O130" s="17" t="str">
        <f aca="false">IF(A130="","",COUNTIF(K130:N130,"&gt;0"))</f>
        <v/>
      </c>
      <c r="P130" s="16"/>
      <c r="Q130" s="16"/>
      <c r="R130" s="16"/>
      <c r="S130" s="18"/>
      <c r="T130" s="16"/>
      <c r="U130" s="17" t="str">
        <f aca="false">IF(A130="","",IF(OR(B130="",H130="",R130="",S130=""),"TEST-ID, method, selector, date needed",IF(COUNTIF(Ref_TEST!$A$2:$A$201,B130)=0,"TEST-ID not in W10",IF(D130&lt;&gt;"Pass","HOLD: population IPE not Pass",IF(AND(OR(H130="Random (seeded)",H130="Systematic"),I130=""),"Seed or interval needed",IF(G130&lt;&gt;F130+N(J130),"Items selected differ from planned + targeted: explain",IF(P130&lt;&gt;"Y","Confirm period coverage",IF(Q130="","Raise wave 3 PBC request","OK"))))))))</f>
        <v/>
      </c>
    </row>
    <row r="131" customFormat="false" ht="15" hidden="false" customHeight="false" outlineLevel="0" collapsed="false">
      <c r="A131" s="16"/>
      <c r="B131" s="16"/>
      <c r="C131" s="17" t="str">
        <f aca="false">IFERROR(INDEX(Ref_TEST!$B$2:$B$201,MATCH(B131,Ref_TEST!$A$2:$A$201,0)),"")</f>
        <v/>
      </c>
      <c r="D131" s="17" t="str">
        <f aca="false">IFERROR(INDEX(Ref_TEST!$C$2:$C$201,MATCH(B131,Ref_TEST!$A$2:$A$201,0)),"")</f>
        <v/>
      </c>
      <c r="E131" s="17" t="str">
        <f aca="false">IFERROR(INDEX(Ref_TEST!$D$2:$D$201,MATCH(B131,Ref_TEST!$A$2:$A$201,0)),"")</f>
        <v/>
      </c>
      <c r="F131" s="17" t="str">
        <f aca="false">IFERROR(INDEX(Ref_TEST!$E$2:$E$201,MATCH(B131,Ref_TEST!$A$2:$A$201,0)),"")</f>
        <v/>
      </c>
      <c r="G131" s="17" t="str">
        <f aca="false">IF(A131="","",COUNTIF(Items!$A$5:$A$1004,A131))</f>
        <v/>
      </c>
      <c r="H131" s="16"/>
      <c r="I131" s="16"/>
      <c r="J131" s="16"/>
      <c r="K131" s="17" t="str">
        <f aca="false">IF(A131="","",COUNTIFS(Items!$A$5:$A$1004,A131,Items!$E$5:$E$1004,"Q1"))</f>
        <v/>
      </c>
      <c r="L131" s="17" t="str">
        <f aca="false">IF(A131="","",COUNTIFS(Items!$A$5:$A$1004,A131,Items!$E$5:$E$1004,"Q2"))</f>
        <v/>
      </c>
      <c r="M131" s="17" t="str">
        <f aca="false">IF(A131="","",COUNTIFS(Items!$A$5:$A$1004,A131,Items!$E$5:$E$1004,"Q3"))</f>
        <v/>
      </c>
      <c r="N131" s="17" t="str">
        <f aca="false">IF(A131="","",COUNTIFS(Items!$A$5:$A$1004,A131,Items!$E$5:$E$1004,"Q4"))</f>
        <v/>
      </c>
      <c r="O131" s="17" t="str">
        <f aca="false">IF(A131="","",COUNTIF(K131:N131,"&gt;0"))</f>
        <v/>
      </c>
      <c r="P131" s="16"/>
      <c r="Q131" s="16"/>
      <c r="R131" s="16"/>
      <c r="S131" s="18"/>
      <c r="T131" s="16"/>
      <c r="U131" s="17" t="str">
        <f aca="false">IF(A131="","",IF(OR(B131="",H131="",R131="",S131=""),"TEST-ID, method, selector, date needed",IF(COUNTIF(Ref_TEST!$A$2:$A$201,B131)=0,"TEST-ID not in W10",IF(D131&lt;&gt;"Pass","HOLD: population IPE not Pass",IF(AND(OR(H131="Random (seeded)",H131="Systematic"),I131=""),"Seed or interval needed",IF(G131&lt;&gt;F131+N(J131),"Items selected differ from planned + targeted: explain",IF(P131&lt;&gt;"Y","Confirm period coverage",IF(Q131="","Raise wave 3 PBC request","OK"))))))))</f>
        <v/>
      </c>
    </row>
    <row r="132" customFormat="false" ht="15" hidden="false" customHeight="false" outlineLevel="0" collapsed="false">
      <c r="A132" s="16"/>
      <c r="B132" s="16"/>
      <c r="C132" s="17" t="str">
        <f aca="false">IFERROR(INDEX(Ref_TEST!$B$2:$B$201,MATCH(B132,Ref_TEST!$A$2:$A$201,0)),"")</f>
        <v/>
      </c>
      <c r="D132" s="17" t="str">
        <f aca="false">IFERROR(INDEX(Ref_TEST!$C$2:$C$201,MATCH(B132,Ref_TEST!$A$2:$A$201,0)),"")</f>
        <v/>
      </c>
      <c r="E132" s="17" t="str">
        <f aca="false">IFERROR(INDEX(Ref_TEST!$D$2:$D$201,MATCH(B132,Ref_TEST!$A$2:$A$201,0)),"")</f>
        <v/>
      </c>
      <c r="F132" s="17" t="str">
        <f aca="false">IFERROR(INDEX(Ref_TEST!$E$2:$E$201,MATCH(B132,Ref_TEST!$A$2:$A$201,0)),"")</f>
        <v/>
      </c>
      <c r="G132" s="17" t="str">
        <f aca="false">IF(A132="","",COUNTIF(Items!$A$5:$A$1004,A132))</f>
        <v/>
      </c>
      <c r="H132" s="16"/>
      <c r="I132" s="16"/>
      <c r="J132" s="16"/>
      <c r="K132" s="17" t="str">
        <f aca="false">IF(A132="","",COUNTIFS(Items!$A$5:$A$1004,A132,Items!$E$5:$E$1004,"Q1"))</f>
        <v/>
      </c>
      <c r="L132" s="17" t="str">
        <f aca="false">IF(A132="","",COUNTIFS(Items!$A$5:$A$1004,A132,Items!$E$5:$E$1004,"Q2"))</f>
        <v/>
      </c>
      <c r="M132" s="17" t="str">
        <f aca="false">IF(A132="","",COUNTIFS(Items!$A$5:$A$1004,A132,Items!$E$5:$E$1004,"Q3"))</f>
        <v/>
      </c>
      <c r="N132" s="17" t="str">
        <f aca="false">IF(A132="","",COUNTIFS(Items!$A$5:$A$1004,A132,Items!$E$5:$E$1004,"Q4"))</f>
        <v/>
      </c>
      <c r="O132" s="17" t="str">
        <f aca="false">IF(A132="","",COUNTIF(K132:N132,"&gt;0"))</f>
        <v/>
      </c>
      <c r="P132" s="16"/>
      <c r="Q132" s="16"/>
      <c r="R132" s="16"/>
      <c r="S132" s="18"/>
      <c r="T132" s="16"/>
      <c r="U132" s="17" t="str">
        <f aca="false">IF(A132="","",IF(OR(B132="",H132="",R132="",S132=""),"TEST-ID, method, selector, date needed",IF(COUNTIF(Ref_TEST!$A$2:$A$201,B132)=0,"TEST-ID not in W10",IF(D132&lt;&gt;"Pass","HOLD: population IPE not Pass",IF(AND(OR(H132="Random (seeded)",H132="Systematic"),I132=""),"Seed or interval needed",IF(G132&lt;&gt;F132+N(J132),"Items selected differ from planned + targeted: explain",IF(P132&lt;&gt;"Y","Confirm period coverage",IF(Q132="","Raise wave 3 PBC request","OK"))))))))</f>
        <v/>
      </c>
    </row>
    <row r="133" customFormat="false" ht="15" hidden="false" customHeight="false" outlineLevel="0" collapsed="false">
      <c r="A133" s="16"/>
      <c r="B133" s="16"/>
      <c r="C133" s="17" t="str">
        <f aca="false">IFERROR(INDEX(Ref_TEST!$B$2:$B$201,MATCH(B133,Ref_TEST!$A$2:$A$201,0)),"")</f>
        <v/>
      </c>
      <c r="D133" s="17" t="str">
        <f aca="false">IFERROR(INDEX(Ref_TEST!$C$2:$C$201,MATCH(B133,Ref_TEST!$A$2:$A$201,0)),"")</f>
        <v/>
      </c>
      <c r="E133" s="17" t="str">
        <f aca="false">IFERROR(INDEX(Ref_TEST!$D$2:$D$201,MATCH(B133,Ref_TEST!$A$2:$A$201,0)),"")</f>
        <v/>
      </c>
      <c r="F133" s="17" t="str">
        <f aca="false">IFERROR(INDEX(Ref_TEST!$E$2:$E$201,MATCH(B133,Ref_TEST!$A$2:$A$201,0)),"")</f>
        <v/>
      </c>
      <c r="G133" s="17" t="str">
        <f aca="false">IF(A133="","",COUNTIF(Items!$A$5:$A$1004,A133))</f>
        <v/>
      </c>
      <c r="H133" s="16"/>
      <c r="I133" s="16"/>
      <c r="J133" s="16"/>
      <c r="K133" s="17" t="str">
        <f aca="false">IF(A133="","",COUNTIFS(Items!$A$5:$A$1004,A133,Items!$E$5:$E$1004,"Q1"))</f>
        <v/>
      </c>
      <c r="L133" s="17" t="str">
        <f aca="false">IF(A133="","",COUNTIFS(Items!$A$5:$A$1004,A133,Items!$E$5:$E$1004,"Q2"))</f>
        <v/>
      </c>
      <c r="M133" s="17" t="str">
        <f aca="false">IF(A133="","",COUNTIFS(Items!$A$5:$A$1004,A133,Items!$E$5:$E$1004,"Q3"))</f>
        <v/>
      </c>
      <c r="N133" s="17" t="str">
        <f aca="false">IF(A133="","",COUNTIFS(Items!$A$5:$A$1004,A133,Items!$E$5:$E$1004,"Q4"))</f>
        <v/>
      </c>
      <c r="O133" s="17" t="str">
        <f aca="false">IF(A133="","",COUNTIF(K133:N133,"&gt;0"))</f>
        <v/>
      </c>
      <c r="P133" s="16"/>
      <c r="Q133" s="16"/>
      <c r="R133" s="16"/>
      <c r="S133" s="18"/>
      <c r="T133" s="16"/>
      <c r="U133" s="17" t="str">
        <f aca="false">IF(A133="","",IF(OR(B133="",H133="",R133="",S133=""),"TEST-ID, method, selector, date needed",IF(COUNTIF(Ref_TEST!$A$2:$A$201,B133)=0,"TEST-ID not in W10",IF(D133&lt;&gt;"Pass","HOLD: population IPE not Pass",IF(AND(OR(H133="Random (seeded)",H133="Systematic"),I133=""),"Seed or interval needed",IF(G133&lt;&gt;F133+N(J133),"Items selected differ from planned + targeted: explain",IF(P133&lt;&gt;"Y","Confirm period coverage",IF(Q133="","Raise wave 3 PBC request","OK"))))))))</f>
        <v/>
      </c>
    </row>
    <row r="134" customFormat="false" ht="15" hidden="false" customHeight="false" outlineLevel="0" collapsed="false">
      <c r="A134" s="16"/>
      <c r="B134" s="16"/>
      <c r="C134" s="17" t="str">
        <f aca="false">IFERROR(INDEX(Ref_TEST!$B$2:$B$201,MATCH(B134,Ref_TEST!$A$2:$A$201,0)),"")</f>
        <v/>
      </c>
      <c r="D134" s="17" t="str">
        <f aca="false">IFERROR(INDEX(Ref_TEST!$C$2:$C$201,MATCH(B134,Ref_TEST!$A$2:$A$201,0)),"")</f>
        <v/>
      </c>
      <c r="E134" s="17" t="str">
        <f aca="false">IFERROR(INDEX(Ref_TEST!$D$2:$D$201,MATCH(B134,Ref_TEST!$A$2:$A$201,0)),"")</f>
        <v/>
      </c>
      <c r="F134" s="17" t="str">
        <f aca="false">IFERROR(INDEX(Ref_TEST!$E$2:$E$201,MATCH(B134,Ref_TEST!$A$2:$A$201,0)),"")</f>
        <v/>
      </c>
      <c r="G134" s="17" t="str">
        <f aca="false">IF(A134="","",COUNTIF(Items!$A$5:$A$1004,A134))</f>
        <v/>
      </c>
      <c r="H134" s="16"/>
      <c r="I134" s="16"/>
      <c r="J134" s="16"/>
      <c r="K134" s="17" t="str">
        <f aca="false">IF(A134="","",COUNTIFS(Items!$A$5:$A$1004,A134,Items!$E$5:$E$1004,"Q1"))</f>
        <v/>
      </c>
      <c r="L134" s="17" t="str">
        <f aca="false">IF(A134="","",COUNTIFS(Items!$A$5:$A$1004,A134,Items!$E$5:$E$1004,"Q2"))</f>
        <v/>
      </c>
      <c r="M134" s="17" t="str">
        <f aca="false">IF(A134="","",COUNTIFS(Items!$A$5:$A$1004,A134,Items!$E$5:$E$1004,"Q3"))</f>
        <v/>
      </c>
      <c r="N134" s="17" t="str">
        <f aca="false">IF(A134="","",COUNTIFS(Items!$A$5:$A$1004,A134,Items!$E$5:$E$1004,"Q4"))</f>
        <v/>
      </c>
      <c r="O134" s="17" t="str">
        <f aca="false">IF(A134="","",COUNTIF(K134:N134,"&gt;0"))</f>
        <v/>
      </c>
      <c r="P134" s="16"/>
      <c r="Q134" s="16"/>
      <c r="R134" s="16"/>
      <c r="S134" s="18"/>
      <c r="T134" s="16"/>
      <c r="U134" s="17" t="str">
        <f aca="false">IF(A134="","",IF(OR(B134="",H134="",R134="",S134=""),"TEST-ID, method, selector, date needed",IF(COUNTIF(Ref_TEST!$A$2:$A$201,B134)=0,"TEST-ID not in W10",IF(D134&lt;&gt;"Pass","HOLD: population IPE not Pass",IF(AND(OR(H134="Random (seeded)",H134="Systematic"),I134=""),"Seed or interval needed",IF(G134&lt;&gt;F134+N(J134),"Items selected differ from planned + targeted: explain",IF(P134&lt;&gt;"Y","Confirm period coverage",IF(Q134="","Raise wave 3 PBC request","OK"))))))))</f>
        <v/>
      </c>
    </row>
    <row r="135" customFormat="false" ht="15" hidden="false" customHeight="false" outlineLevel="0" collapsed="false">
      <c r="A135" s="16"/>
      <c r="B135" s="16"/>
      <c r="C135" s="17" t="str">
        <f aca="false">IFERROR(INDEX(Ref_TEST!$B$2:$B$201,MATCH(B135,Ref_TEST!$A$2:$A$201,0)),"")</f>
        <v/>
      </c>
      <c r="D135" s="17" t="str">
        <f aca="false">IFERROR(INDEX(Ref_TEST!$C$2:$C$201,MATCH(B135,Ref_TEST!$A$2:$A$201,0)),"")</f>
        <v/>
      </c>
      <c r="E135" s="17" t="str">
        <f aca="false">IFERROR(INDEX(Ref_TEST!$D$2:$D$201,MATCH(B135,Ref_TEST!$A$2:$A$201,0)),"")</f>
        <v/>
      </c>
      <c r="F135" s="17" t="str">
        <f aca="false">IFERROR(INDEX(Ref_TEST!$E$2:$E$201,MATCH(B135,Ref_TEST!$A$2:$A$201,0)),"")</f>
        <v/>
      </c>
      <c r="G135" s="17" t="str">
        <f aca="false">IF(A135="","",COUNTIF(Items!$A$5:$A$1004,A135))</f>
        <v/>
      </c>
      <c r="H135" s="16"/>
      <c r="I135" s="16"/>
      <c r="J135" s="16"/>
      <c r="K135" s="17" t="str">
        <f aca="false">IF(A135="","",COUNTIFS(Items!$A$5:$A$1004,A135,Items!$E$5:$E$1004,"Q1"))</f>
        <v/>
      </c>
      <c r="L135" s="17" t="str">
        <f aca="false">IF(A135="","",COUNTIFS(Items!$A$5:$A$1004,A135,Items!$E$5:$E$1004,"Q2"))</f>
        <v/>
      </c>
      <c r="M135" s="17" t="str">
        <f aca="false">IF(A135="","",COUNTIFS(Items!$A$5:$A$1004,A135,Items!$E$5:$E$1004,"Q3"))</f>
        <v/>
      </c>
      <c r="N135" s="17" t="str">
        <f aca="false">IF(A135="","",COUNTIFS(Items!$A$5:$A$1004,A135,Items!$E$5:$E$1004,"Q4"))</f>
        <v/>
      </c>
      <c r="O135" s="17" t="str">
        <f aca="false">IF(A135="","",COUNTIF(K135:N135,"&gt;0"))</f>
        <v/>
      </c>
      <c r="P135" s="16"/>
      <c r="Q135" s="16"/>
      <c r="R135" s="16"/>
      <c r="S135" s="18"/>
      <c r="T135" s="16"/>
      <c r="U135" s="17" t="str">
        <f aca="false">IF(A135="","",IF(OR(B135="",H135="",R135="",S135=""),"TEST-ID, method, selector, date needed",IF(COUNTIF(Ref_TEST!$A$2:$A$201,B135)=0,"TEST-ID not in W10",IF(D135&lt;&gt;"Pass","HOLD: population IPE not Pass",IF(AND(OR(H135="Random (seeded)",H135="Systematic"),I135=""),"Seed or interval needed",IF(G135&lt;&gt;F135+N(J135),"Items selected differ from planned + targeted: explain",IF(P135&lt;&gt;"Y","Confirm period coverage",IF(Q135="","Raise wave 3 PBC request","OK"))))))))</f>
        <v/>
      </c>
    </row>
    <row r="136" customFormat="false" ht="15" hidden="false" customHeight="false" outlineLevel="0" collapsed="false">
      <c r="A136" s="16"/>
      <c r="B136" s="16"/>
      <c r="C136" s="17" t="str">
        <f aca="false">IFERROR(INDEX(Ref_TEST!$B$2:$B$201,MATCH(B136,Ref_TEST!$A$2:$A$201,0)),"")</f>
        <v/>
      </c>
      <c r="D136" s="17" t="str">
        <f aca="false">IFERROR(INDEX(Ref_TEST!$C$2:$C$201,MATCH(B136,Ref_TEST!$A$2:$A$201,0)),"")</f>
        <v/>
      </c>
      <c r="E136" s="17" t="str">
        <f aca="false">IFERROR(INDEX(Ref_TEST!$D$2:$D$201,MATCH(B136,Ref_TEST!$A$2:$A$201,0)),"")</f>
        <v/>
      </c>
      <c r="F136" s="17" t="str">
        <f aca="false">IFERROR(INDEX(Ref_TEST!$E$2:$E$201,MATCH(B136,Ref_TEST!$A$2:$A$201,0)),"")</f>
        <v/>
      </c>
      <c r="G136" s="17" t="str">
        <f aca="false">IF(A136="","",COUNTIF(Items!$A$5:$A$1004,A136))</f>
        <v/>
      </c>
      <c r="H136" s="16"/>
      <c r="I136" s="16"/>
      <c r="J136" s="16"/>
      <c r="K136" s="17" t="str">
        <f aca="false">IF(A136="","",COUNTIFS(Items!$A$5:$A$1004,A136,Items!$E$5:$E$1004,"Q1"))</f>
        <v/>
      </c>
      <c r="L136" s="17" t="str">
        <f aca="false">IF(A136="","",COUNTIFS(Items!$A$5:$A$1004,A136,Items!$E$5:$E$1004,"Q2"))</f>
        <v/>
      </c>
      <c r="M136" s="17" t="str">
        <f aca="false">IF(A136="","",COUNTIFS(Items!$A$5:$A$1004,A136,Items!$E$5:$E$1004,"Q3"))</f>
        <v/>
      </c>
      <c r="N136" s="17" t="str">
        <f aca="false">IF(A136="","",COUNTIFS(Items!$A$5:$A$1004,A136,Items!$E$5:$E$1004,"Q4"))</f>
        <v/>
      </c>
      <c r="O136" s="17" t="str">
        <f aca="false">IF(A136="","",COUNTIF(K136:N136,"&gt;0"))</f>
        <v/>
      </c>
      <c r="P136" s="16"/>
      <c r="Q136" s="16"/>
      <c r="R136" s="16"/>
      <c r="S136" s="18"/>
      <c r="T136" s="16"/>
      <c r="U136" s="17" t="str">
        <f aca="false">IF(A136="","",IF(OR(B136="",H136="",R136="",S136=""),"TEST-ID, method, selector, date needed",IF(COUNTIF(Ref_TEST!$A$2:$A$201,B136)=0,"TEST-ID not in W10",IF(D136&lt;&gt;"Pass","HOLD: population IPE not Pass",IF(AND(OR(H136="Random (seeded)",H136="Systematic"),I136=""),"Seed or interval needed",IF(G136&lt;&gt;F136+N(J136),"Items selected differ from planned + targeted: explain",IF(P136&lt;&gt;"Y","Confirm period coverage",IF(Q136="","Raise wave 3 PBC request","OK"))))))))</f>
        <v/>
      </c>
    </row>
    <row r="137" customFormat="false" ht="15" hidden="false" customHeight="false" outlineLevel="0" collapsed="false">
      <c r="A137" s="16"/>
      <c r="B137" s="16"/>
      <c r="C137" s="17" t="str">
        <f aca="false">IFERROR(INDEX(Ref_TEST!$B$2:$B$201,MATCH(B137,Ref_TEST!$A$2:$A$201,0)),"")</f>
        <v/>
      </c>
      <c r="D137" s="17" t="str">
        <f aca="false">IFERROR(INDEX(Ref_TEST!$C$2:$C$201,MATCH(B137,Ref_TEST!$A$2:$A$201,0)),"")</f>
        <v/>
      </c>
      <c r="E137" s="17" t="str">
        <f aca="false">IFERROR(INDEX(Ref_TEST!$D$2:$D$201,MATCH(B137,Ref_TEST!$A$2:$A$201,0)),"")</f>
        <v/>
      </c>
      <c r="F137" s="17" t="str">
        <f aca="false">IFERROR(INDEX(Ref_TEST!$E$2:$E$201,MATCH(B137,Ref_TEST!$A$2:$A$201,0)),"")</f>
        <v/>
      </c>
      <c r="G137" s="17" t="str">
        <f aca="false">IF(A137="","",COUNTIF(Items!$A$5:$A$1004,A137))</f>
        <v/>
      </c>
      <c r="H137" s="16"/>
      <c r="I137" s="16"/>
      <c r="J137" s="16"/>
      <c r="K137" s="17" t="str">
        <f aca="false">IF(A137="","",COUNTIFS(Items!$A$5:$A$1004,A137,Items!$E$5:$E$1004,"Q1"))</f>
        <v/>
      </c>
      <c r="L137" s="17" t="str">
        <f aca="false">IF(A137="","",COUNTIFS(Items!$A$5:$A$1004,A137,Items!$E$5:$E$1004,"Q2"))</f>
        <v/>
      </c>
      <c r="M137" s="17" t="str">
        <f aca="false">IF(A137="","",COUNTIFS(Items!$A$5:$A$1004,A137,Items!$E$5:$E$1004,"Q3"))</f>
        <v/>
      </c>
      <c r="N137" s="17" t="str">
        <f aca="false">IF(A137="","",COUNTIFS(Items!$A$5:$A$1004,A137,Items!$E$5:$E$1004,"Q4"))</f>
        <v/>
      </c>
      <c r="O137" s="17" t="str">
        <f aca="false">IF(A137="","",COUNTIF(K137:N137,"&gt;0"))</f>
        <v/>
      </c>
      <c r="P137" s="16"/>
      <c r="Q137" s="16"/>
      <c r="R137" s="16"/>
      <c r="S137" s="18"/>
      <c r="T137" s="16"/>
      <c r="U137" s="17" t="str">
        <f aca="false">IF(A137="","",IF(OR(B137="",H137="",R137="",S137=""),"TEST-ID, method, selector, date needed",IF(COUNTIF(Ref_TEST!$A$2:$A$201,B137)=0,"TEST-ID not in W10",IF(D137&lt;&gt;"Pass","HOLD: population IPE not Pass",IF(AND(OR(H137="Random (seeded)",H137="Systematic"),I137=""),"Seed or interval needed",IF(G137&lt;&gt;F137+N(J137),"Items selected differ from planned + targeted: explain",IF(P137&lt;&gt;"Y","Confirm period coverage",IF(Q137="","Raise wave 3 PBC request","OK"))))))))</f>
        <v/>
      </c>
    </row>
    <row r="138" customFormat="false" ht="15" hidden="false" customHeight="false" outlineLevel="0" collapsed="false">
      <c r="A138" s="16"/>
      <c r="B138" s="16"/>
      <c r="C138" s="17" t="str">
        <f aca="false">IFERROR(INDEX(Ref_TEST!$B$2:$B$201,MATCH(B138,Ref_TEST!$A$2:$A$201,0)),"")</f>
        <v/>
      </c>
      <c r="D138" s="17" t="str">
        <f aca="false">IFERROR(INDEX(Ref_TEST!$C$2:$C$201,MATCH(B138,Ref_TEST!$A$2:$A$201,0)),"")</f>
        <v/>
      </c>
      <c r="E138" s="17" t="str">
        <f aca="false">IFERROR(INDEX(Ref_TEST!$D$2:$D$201,MATCH(B138,Ref_TEST!$A$2:$A$201,0)),"")</f>
        <v/>
      </c>
      <c r="F138" s="17" t="str">
        <f aca="false">IFERROR(INDEX(Ref_TEST!$E$2:$E$201,MATCH(B138,Ref_TEST!$A$2:$A$201,0)),"")</f>
        <v/>
      </c>
      <c r="G138" s="17" t="str">
        <f aca="false">IF(A138="","",COUNTIF(Items!$A$5:$A$1004,A138))</f>
        <v/>
      </c>
      <c r="H138" s="16"/>
      <c r="I138" s="16"/>
      <c r="J138" s="16"/>
      <c r="K138" s="17" t="str">
        <f aca="false">IF(A138="","",COUNTIFS(Items!$A$5:$A$1004,A138,Items!$E$5:$E$1004,"Q1"))</f>
        <v/>
      </c>
      <c r="L138" s="17" t="str">
        <f aca="false">IF(A138="","",COUNTIFS(Items!$A$5:$A$1004,A138,Items!$E$5:$E$1004,"Q2"))</f>
        <v/>
      </c>
      <c r="M138" s="17" t="str">
        <f aca="false">IF(A138="","",COUNTIFS(Items!$A$5:$A$1004,A138,Items!$E$5:$E$1004,"Q3"))</f>
        <v/>
      </c>
      <c r="N138" s="17" t="str">
        <f aca="false">IF(A138="","",COUNTIFS(Items!$A$5:$A$1004,A138,Items!$E$5:$E$1004,"Q4"))</f>
        <v/>
      </c>
      <c r="O138" s="17" t="str">
        <f aca="false">IF(A138="","",COUNTIF(K138:N138,"&gt;0"))</f>
        <v/>
      </c>
      <c r="P138" s="16"/>
      <c r="Q138" s="16"/>
      <c r="R138" s="16"/>
      <c r="S138" s="18"/>
      <c r="T138" s="16"/>
      <c r="U138" s="17" t="str">
        <f aca="false">IF(A138="","",IF(OR(B138="",H138="",R138="",S138=""),"TEST-ID, method, selector, date needed",IF(COUNTIF(Ref_TEST!$A$2:$A$201,B138)=0,"TEST-ID not in W10",IF(D138&lt;&gt;"Pass","HOLD: population IPE not Pass",IF(AND(OR(H138="Random (seeded)",H138="Systematic"),I138=""),"Seed or interval needed",IF(G138&lt;&gt;F138+N(J138),"Items selected differ from planned + targeted: explain",IF(P138&lt;&gt;"Y","Confirm period coverage",IF(Q138="","Raise wave 3 PBC request","OK"))))))))</f>
        <v/>
      </c>
    </row>
    <row r="139" customFormat="false" ht="15" hidden="false" customHeight="false" outlineLevel="0" collapsed="false">
      <c r="A139" s="16"/>
      <c r="B139" s="16"/>
      <c r="C139" s="17" t="str">
        <f aca="false">IFERROR(INDEX(Ref_TEST!$B$2:$B$201,MATCH(B139,Ref_TEST!$A$2:$A$201,0)),"")</f>
        <v/>
      </c>
      <c r="D139" s="17" t="str">
        <f aca="false">IFERROR(INDEX(Ref_TEST!$C$2:$C$201,MATCH(B139,Ref_TEST!$A$2:$A$201,0)),"")</f>
        <v/>
      </c>
      <c r="E139" s="17" t="str">
        <f aca="false">IFERROR(INDEX(Ref_TEST!$D$2:$D$201,MATCH(B139,Ref_TEST!$A$2:$A$201,0)),"")</f>
        <v/>
      </c>
      <c r="F139" s="17" t="str">
        <f aca="false">IFERROR(INDEX(Ref_TEST!$E$2:$E$201,MATCH(B139,Ref_TEST!$A$2:$A$201,0)),"")</f>
        <v/>
      </c>
      <c r="G139" s="17" t="str">
        <f aca="false">IF(A139="","",COUNTIF(Items!$A$5:$A$1004,A139))</f>
        <v/>
      </c>
      <c r="H139" s="16"/>
      <c r="I139" s="16"/>
      <c r="J139" s="16"/>
      <c r="K139" s="17" t="str">
        <f aca="false">IF(A139="","",COUNTIFS(Items!$A$5:$A$1004,A139,Items!$E$5:$E$1004,"Q1"))</f>
        <v/>
      </c>
      <c r="L139" s="17" t="str">
        <f aca="false">IF(A139="","",COUNTIFS(Items!$A$5:$A$1004,A139,Items!$E$5:$E$1004,"Q2"))</f>
        <v/>
      </c>
      <c r="M139" s="17" t="str">
        <f aca="false">IF(A139="","",COUNTIFS(Items!$A$5:$A$1004,A139,Items!$E$5:$E$1004,"Q3"))</f>
        <v/>
      </c>
      <c r="N139" s="17" t="str">
        <f aca="false">IF(A139="","",COUNTIFS(Items!$A$5:$A$1004,A139,Items!$E$5:$E$1004,"Q4"))</f>
        <v/>
      </c>
      <c r="O139" s="17" t="str">
        <f aca="false">IF(A139="","",COUNTIF(K139:N139,"&gt;0"))</f>
        <v/>
      </c>
      <c r="P139" s="16"/>
      <c r="Q139" s="16"/>
      <c r="R139" s="16"/>
      <c r="S139" s="18"/>
      <c r="T139" s="16"/>
      <c r="U139" s="17" t="str">
        <f aca="false">IF(A139="","",IF(OR(B139="",H139="",R139="",S139=""),"TEST-ID, method, selector, date needed",IF(COUNTIF(Ref_TEST!$A$2:$A$201,B139)=0,"TEST-ID not in W10",IF(D139&lt;&gt;"Pass","HOLD: population IPE not Pass",IF(AND(OR(H139="Random (seeded)",H139="Systematic"),I139=""),"Seed or interval needed",IF(G139&lt;&gt;F139+N(J139),"Items selected differ from planned + targeted: explain",IF(P139&lt;&gt;"Y","Confirm period coverage",IF(Q139="","Raise wave 3 PBC request","OK"))))))))</f>
        <v/>
      </c>
    </row>
    <row r="140" customFormat="false" ht="15" hidden="false" customHeight="false" outlineLevel="0" collapsed="false">
      <c r="A140" s="16"/>
      <c r="B140" s="16"/>
      <c r="C140" s="17" t="str">
        <f aca="false">IFERROR(INDEX(Ref_TEST!$B$2:$B$201,MATCH(B140,Ref_TEST!$A$2:$A$201,0)),"")</f>
        <v/>
      </c>
      <c r="D140" s="17" t="str">
        <f aca="false">IFERROR(INDEX(Ref_TEST!$C$2:$C$201,MATCH(B140,Ref_TEST!$A$2:$A$201,0)),"")</f>
        <v/>
      </c>
      <c r="E140" s="17" t="str">
        <f aca="false">IFERROR(INDEX(Ref_TEST!$D$2:$D$201,MATCH(B140,Ref_TEST!$A$2:$A$201,0)),"")</f>
        <v/>
      </c>
      <c r="F140" s="17" t="str">
        <f aca="false">IFERROR(INDEX(Ref_TEST!$E$2:$E$201,MATCH(B140,Ref_TEST!$A$2:$A$201,0)),"")</f>
        <v/>
      </c>
      <c r="G140" s="17" t="str">
        <f aca="false">IF(A140="","",COUNTIF(Items!$A$5:$A$1004,A140))</f>
        <v/>
      </c>
      <c r="H140" s="16"/>
      <c r="I140" s="16"/>
      <c r="J140" s="16"/>
      <c r="K140" s="17" t="str">
        <f aca="false">IF(A140="","",COUNTIFS(Items!$A$5:$A$1004,A140,Items!$E$5:$E$1004,"Q1"))</f>
        <v/>
      </c>
      <c r="L140" s="17" t="str">
        <f aca="false">IF(A140="","",COUNTIFS(Items!$A$5:$A$1004,A140,Items!$E$5:$E$1004,"Q2"))</f>
        <v/>
      </c>
      <c r="M140" s="17" t="str">
        <f aca="false">IF(A140="","",COUNTIFS(Items!$A$5:$A$1004,A140,Items!$E$5:$E$1004,"Q3"))</f>
        <v/>
      </c>
      <c r="N140" s="17" t="str">
        <f aca="false">IF(A140="","",COUNTIFS(Items!$A$5:$A$1004,A140,Items!$E$5:$E$1004,"Q4"))</f>
        <v/>
      </c>
      <c r="O140" s="17" t="str">
        <f aca="false">IF(A140="","",COUNTIF(K140:N140,"&gt;0"))</f>
        <v/>
      </c>
      <c r="P140" s="16"/>
      <c r="Q140" s="16"/>
      <c r="R140" s="16"/>
      <c r="S140" s="18"/>
      <c r="T140" s="16"/>
      <c r="U140" s="17" t="str">
        <f aca="false">IF(A140="","",IF(OR(B140="",H140="",R140="",S140=""),"TEST-ID, method, selector, date needed",IF(COUNTIF(Ref_TEST!$A$2:$A$201,B140)=0,"TEST-ID not in W10",IF(D140&lt;&gt;"Pass","HOLD: population IPE not Pass",IF(AND(OR(H140="Random (seeded)",H140="Systematic"),I140=""),"Seed or interval needed",IF(G140&lt;&gt;F140+N(J140),"Items selected differ from planned + targeted: explain",IF(P140&lt;&gt;"Y","Confirm period coverage",IF(Q140="","Raise wave 3 PBC request","OK"))))))))</f>
        <v/>
      </c>
    </row>
    <row r="141" customFormat="false" ht="15" hidden="false" customHeight="false" outlineLevel="0" collapsed="false">
      <c r="A141" s="16"/>
      <c r="B141" s="16"/>
      <c r="C141" s="17" t="str">
        <f aca="false">IFERROR(INDEX(Ref_TEST!$B$2:$B$201,MATCH(B141,Ref_TEST!$A$2:$A$201,0)),"")</f>
        <v/>
      </c>
      <c r="D141" s="17" t="str">
        <f aca="false">IFERROR(INDEX(Ref_TEST!$C$2:$C$201,MATCH(B141,Ref_TEST!$A$2:$A$201,0)),"")</f>
        <v/>
      </c>
      <c r="E141" s="17" t="str">
        <f aca="false">IFERROR(INDEX(Ref_TEST!$D$2:$D$201,MATCH(B141,Ref_TEST!$A$2:$A$201,0)),"")</f>
        <v/>
      </c>
      <c r="F141" s="17" t="str">
        <f aca="false">IFERROR(INDEX(Ref_TEST!$E$2:$E$201,MATCH(B141,Ref_TEST!$A$2:$A$201,0)),"")</f>
        <v/>
      </c>
      <c r="G141" s="17" t="str">
        <f aca="false">IF(A141="","",COUNTIF(Items!$A$5:$A$1004,A141))</f>
        <v/>
      </c>
      <c r="H141" s="16"/>
      <c r="I141" s="16"/>
      <c r="J141" s="16"/>
      <c r="K141" s="17" t="str">
        <f aca="false">IF(A141="","",COUNTIFS(Items!$A$5:$A$1004,A141,Items!$E$5:$E$1004,"Q1"))</f>
        <v/>
      </c>
      <c r="L141" s="17" t="str">
        <f aca="false">IF(A141="","",COUNTIFS(Items!$A$5:$A$1004,A141,Items!$E$5:$E$1004,"Q2"))</f>
        <v/>
      </c>
      <c r="M141" s="17" t="str">
        <f aca="false">IF(A141="","",COUNTIFS(Items!$A$5:$A$1004,A141,Items!$E$5:$E$1004,"Q3"))</f>
        <v/>
      </c>
      <c r="N141" s="17" t="str">
        <f aca="false">IF(A141="","",COUNTIFS(Items!$A$5:$A$1004,A141,Items!$E$5:$E$1004,"Q4"))</f>
        <v/>
      </c>
      <c r="O141" s="17" t="str">
        <f aca="false">IF(A141="","",COUNTIF(K141:N141,"&gt;0"))</f>
        <v/>
      </c>
      <c r="P141" s="16"/>
      <c r="Q141" s="16"/>
      <c r="R141" s="16"/>
      <c r="S141" s="18"/>
      <c r="T141" s="16"/>
      <c r="U141" s="17" t="str">
        <f aca="false">IF(A141="","",IF(OR(B141="",H141="",R141="",S141=""),"TEST-ID, method, selector, date needed",IF(COUNTIF(Ref_TEST!$A$2:$A$201,B141)=0,"TEST-ID not in W10",IF(D141&lt;&gt;"Pass","HOLD: population IPE not Pass",IF(AND(OR(H141="Random (seeded)",H141="Systematic"),I141=""),"Seed or interval needed",IF(G141&lt;&gt;F141+N(J141),"Items selected differ from planned + targeted: explain",IF(P141&lt;&gt;"Y","Confirm period coverage",IF(Q141="","Raise wave 3 PBC request","OK"))))))))</f>
        <v/>
      </c>
    </row>
    <row r="142" customFormat="false" ht="15" hidden="false" customHeight="false" outlineLevel="0" collapsed="false">
      <c r="A142" s="16"/>
      <c r="B142" s="16"/>
      <c r="C142" s="17" t="str">
        <f aca="false">IFERROR(INDEX(Ref_TEST!$B$2:$B$201,MATCH(B142,Ref_TEST!$A$2:$A$201,0)),"")</f>
        <v/>
      </c>
      <c r="D142" s="17" t="str">
        <f aca="false">IFERROR(INDEX(Ref_TEST!$C$2:$C$201,MATCH(B142,Ref_TEST!$A$2:$A$201,0)),"")</f>
        <v/>
      </c>
      <c r="E142" s="17" t="str">
        <f aca="false">IFERROR(INDEX(Ref_TEST!$D$2:$D$201,MATCH(B142,Ref_TEST!$A$2:$A$201,0)),"")</f>
        <v/>
      </c>
      <c r="F142" s="17" t="str">
        <f aca="false">IFERROR(INDEX(Ref_TEST!$E$2:$E$201,MATCH(B142,Ref_TEST!$A$2:$A$201,0)),"")</f>
        <v/>
      </c>
      <c r="G142" s="17" t="str">
        <f aca="false">IF(A142="","",COUNTIF(Items!$A$5:$A$1004,A142))</f>
        <v/>
      </c>
      <c r="H142" s="16"/>
      <c r="I142" s="16"/>
      <c r="J142" s="16"/>
      <c r="K142" s="17" t="str">
        <f aca="false">IF(A142="","",COUNTIFS(Items!$A$5:$A$1004,A142,Items!$E$5:$E$1004,"Q1"))</f>
        <v/>
      </c>
      <c r="L142" s="17" t="str">
        <f aca="false">IF(A142="","",COUNTIFS(Items!$A$5:$A$1004,A142,Items!$E$5:$E$1004,"Q2"))</f>
        <v/>
      </c>
      <c r="M142" s="17" t="str">
        <f aca="false">IF(A142="","",COUNTIFS(Items!$A$5:$A$1004,A142,Items!$E$5:$E$1004,"Q3"))</f>
        <v/>
      </c>
      <c r="N142" s="17" t="str">
        <f aca="false">IF(A142="","",COUNTIFS(Items!$A$5:$A$1004,A142,Items!$E$5:$E$1004,"Q4"))</f>
        <v/>
      </c>
      <c r="O142" s="17" t="str">
        <f aca="false">IF(A142="","",COUNTIF(K142:N142,"&gt;0"))</f>
        <v/>
      </c>
      <c r="P142" s="16"/>
      <c r="Q142" s="16"/>
      <c r="R142" s="16"/>
      <c r="S142" s="18"/>
      <c r="T142" s="16"/>
      <c r="U142" s="17" t="str">
        <f aca="false">IF(A142="","",IF(OR(B142="",H142="",R142="",S142=""),"TEST-ID, method, selector, date needed",IF(COUNTIF(Ref_TEST!$A$2:$A$201,B142)=0,"TEST-ID not in W10",IF(D142&lt;&gt;"Pass","HOLD: population IPE not Pass",IF(AND(OR(H142="Random (seeded)",H142="Systematic"),I142=""),"Seed or interval needed",IF(G142&lt;&gt;F142+N(J142),"Items selected differ from planned + targeted: explain",IF(P142&lt;&gt;"Y","Confirm period coverage",IF(Q142="","Raise wave 3 PBC request","OK"))))))))</f>
        <v/>
      </c>
    </row>
    <row r="143" customFormat="false" ht="15" hidden="false" customHeight="false" outlineLevel="0" collapsed="false">
      <c r="A143" s="16"/>
      <c r="B143" s="16"/>
      <c r="C143" s="17" t="str">
        <f aca="false">IFERROR(INDEX(Ref_TEST!$B$2:$B$201,MATCH(B143,Ref_TEST!$A$2:$A$201,0)),"")</f>
        <v/>
      </c>
      <c r="D143" s="17" t="str">
        <f aca="false">IFERROR(INDEX(Ref_TEST!$C$2:$C$201,MATCH(B143,Ref_TEST!$A$2:$A$201,0)),"")</f>
        <v/>
      </c>
      <c r="E143" s="17" t="str">
        <f aca="false">IFERROR(INDEX(Ref_TEST!$D$2:$D$201,MATCH(B143,Ref_TEST!$A$2:$A$201,0)),"")</f>
        <v/>
      </c>
      <c r="F143" s="17" t="str">
        <f aca="false">IFERROR(INDEX(Ref_TEST!$E$2:$E$201,MATCH(B143,Ref_TEST!$A$2:$A$201,0)),"")</f>
        <v/>
      </c>
      <c r="G143" s="17" t="str">
        <f aca="false">IF(A143="","",COUNTIF(Items!$A$5:$A$1004,A143))</f>
        <v/>
      </c>
      <c r="H143" s="16"/>
      <c r="I143" s="16"/>
      <c r="J143" s="16"/>
      <c r="K143" s="17" t="str">
        <f aca="false">IF(A143="","",COUNTIFS(Items!$A$5:$A$1004,A143,Items!$E$5:$E$1004,"Q1"))</f>
        <v/>
      </c>
      <c r="L143" s="17" t="str">
        <f aca="false">IF(A143="","",COUNTIFS(Items!$A$5:$A$1004,A143,Items!$E$5:$E$1004,"Q2"))</f>
        <v/>
      </c>
      <c r="M143" s="17" t="str">
        <f aca="false">IF(A143="","",COUNTIFS(Items!$A$5:$A$1004,A143,Items!$E$5:$E$1004,"Q3"))</f>
        <v/>
      </c>
      <c r="N143" s="17" t="str">
        <f aca="false">IF(A143="","",COUNTIFS(Items!$A$5:$A$1004,A143,Items!$E$5:$E$1004,"Q4"))</f>
        <v/>
      </c>
      <c r="O143" s="17" t="str">
        <f aca="false">IF(A143="","",COUNTIF(K143:N143,"&gt;0"))</f>
        <v/>
      </c>
      <c r="P143" s="16"/>
      <c r="Q143" s="16"/>
      <c r="R143" s="16"/>
      <c r="S143" s="18"/>
      <c r="T143" s="16"/>
      <c r="U143" s="17" t="str">
        <f aca="false">IF(A143="","",IF(OR(B143="",H143="",R143="",S143=""),"TEST-ID, method, selector, date needed",IF(COUNTIF(Ref_TEST!$A$2:$A$201,B143)=0,"TEST-ID not in W10",IF(D143&lt;&gt;"Pass","HOLD: population IPE not Pass",IF(AND(OR(H143="Random (seeded)",H143="Systematic"),I143=""),"Seed or interval needed",IF(G143&lt;&gt;F143+N(J143),"Items selected differ from planned + targeted: explain",IF(P143&lt;&gt;"Y","Confirm period coverage",IF(Q143="","Raise wave 3 PBC request","OK"))))))))</f>
        <v/>
      </c>
    </row>
    <row r="144" customFormat="false" ht="15" hidden="false" customHeight="false" outlineLevel="0" collapsed="false">
      <c r="A144" s="16"/>
      <c r="B144" s="16"/>
      <c r="C144" s="17" t="str">
        <f aca="false">IFERROR(INDEX(Ref_TEST!$B$2:$B$201,MATCH(B144,Ref_TEST!$A$2:$A$201,0)),"")</f>
        <v/>
      </c>
      <c r="D144" s="17" t="str">
        <f aca="false">IFERROR(INDEX(Ref_TEST!$C$2:$C$201,MATCH(B144,Ref_TEST!$A$2:$A$201,0)),"")</f>
        <v/>
      </c>
      <c r="E144" s="17" t="str">
        <f aca="false">IFERROR(INDEX(Ref_TEST!$D$2:$D$201,MATCH(B144,Ref_TEST!$A$2:$A$201,0)),"")</f>
        <v/>
      </c>
      <c r="F144" s="17" t="str">
        <f aca="false">IFERROR(INDEX(Ref_TEST!$E$2:$E$201,MATCH(B144,Ref_TEST!$A$2:$A$201,0)),"")</f>
        <v/>
      </c>
      <c r="G144" s="17" t="str">
        <f aca="false">IF(A144="","",COUNTIF(Items!$A$5:$A$1004,A144))</f>
        <v/>
      </c>
      <c r="H144" s="16"/>
      <c r="I144" s="16"/>
      <c r="J144" s="16"/>
      <c r="K144" s="17" t="str">
        <f aca="false">IF(A144="","",COUNTIFS(Items!$A$5:$A$1004,A144,Items!$E$5:$E$1004,"Q1"))</f>
        <v/>
      </c>
      <c r="L144" s="17" t="str">
        <f aca="false">IF(A144="","",COUNTIFS(Items!$A$5:$A$1004,A144,Items!$E$5:$E$1004,"Q2"))</f>
        <v/>
      </c>
      <c r="M144" s="17" t="str">
        <f aca="false">IF(A144="","",COUNTIFS(Items!$A$5:$A$1004,A144,Items!$E$5:$E$1004,"Q3"))</f>
        <v/>
      </c>
      <c r="N144" s="17" t="str">
        <f aca="false">IF(A144="","",COUNTIFS(Items!$A$5:$A$1004,A144,Items!$E$5:$E$1004,"Q4"))</f>
        <v/>
      </c>
      <c r="O144" s="17" t="str">
        <f aca="false">IF(A144="","",COUNTIF(K144:N144,"&gt;0"))</f>
        <v/>
      </c>
      <c r="P144" s="16"/>
      <c r="Q144" s="16"/>
      <c r="R144" s="16"/>
      <c r="S144" s="18"/>
      <c r="T144" s="16"/>
      <c r="U144" s="17" t="str">
        <f aca="false">IF(A144="","",IF(OR(B144="",H144="",R144="",S144=""),"TEST-ID, method, selector, date needed",IF(COUNTIF(Ref_TEST!$A$2:$A$201,B144)=0,"TEST-ID not in W10",IF(D144&lt;&gt;"Pass","HOLD: population IPE not Pass",IF(AND(OR(H144="Random (seeded)",H144="Systematic"),I144=""),"Seed or interval needed",IF(G144&lt;&gt;F144+N(J144),"Items selected differ from planned + targeted: explain",IF(P144&lt;&gt;"Y","Confirm period coverage",IF(Q144="","Raise wave 3 PBC request","OK"))))))))</f>
        <v/>
      </c>
    </row>
    <row r="145" customFormat="false" ht="15" hidden="false" customHeight="false" outlineLevel="0" collapsed="false">
      <c r="A145" s="16"/>
      <c r="B145" s="16"/>
      <c r="C145" s="17" t="str">
        <f aca="false">IFERROR(INDEX(Ref_TEST!$B$2:$B$201,MATCH(B145,Ref_TEST!$A$2:$A$201,0)),"")</f>
        <v/>
      </c>
      <c r="D145" s="17" t="str">
        <f aca="false">IFERROR(INDEX(Ref_TEST!$C$2:$C$201,MATCH(B145,Ref_TEST!$A$2:$A$201,0)),"")</f>
        <v/>
      </c>
      <c r="E145" s="17" t="str">
        <f aca="false">IFERROR(INDEX(Ref_TEST!$D$2:$D$201,MATCH(B145,Ref_TEST!$A$2:$A$201,0)),"")</f>
        <v/>
      </c>
      <c r="F145" s="17" t="str">
        <f aca="false">IFERROR(INDEX(Ref_TEST!$E$2:$E$201,MATCH(B145,Ref_TEST!$A$2:$A$201,0)),"")</f>
        <v/>
      </c>
      <c r="G145" s="17" t="str">
        <f aca="false">IF(A145="","",COUNTIF(Items!$A$5:$A$1004,A145))</f>
        <v/>
      </c>
      <c r="H145" s="16"/>
      <c r="I145" s="16"/>
      <c r="J145" s="16"/>
      <c r="K145" s="17" t="str">
        <f aca="false">IF(A145="","",COUNTIFS(Items!$A$5:$A$1004,A145,Items!$E$5:$E$1004,"Q1"))</f>
        <v/>
      </c>
      <c r="L145" s="17" t="str">
        <f aca="false">IF(A145="","",COUNTIFS(Items!$A$5:$A$1004,A145,Items!$E$5:$E$1004,"Q2"))</f>
        <v/>
      </c>
      <c r="M145" s="17" t="str">
        <f aca="false">IF(A145="","",COUNTIFS(Items!$A$5:$A$1004,A145,Items!$E$5:$E$1004,"Q3"))</f>
        <v/>
      </c>
      <c r="N145" s="17" t="str">
        <f aca="false">IF(A145="","",COUNTIFS(Items!$A$5:$A$1004,A145,Items!$E$5:$E$1004,"Q4"))</f>
        <v/>
      </c>
      <c r="O145" s="17" t="str">
        <f aca="false">IF(A145="","",COUNTIF(K145:N145,"&gt;0"))</f>
        <v/>
      </c>
      <c r="P145" s="16"/>
      <c r="Q145" s="16"/>
      <c r="R145" s="16"/>
      <c r="S145" s="18"/>
      <c r="T145" s="16"/>
      <c r="U145" s="17" t="str">
        <f aca="false">IF(A145="","",IF(OR(B145="",H145="",R145="",S145=""),"TEST-ID, method, selector, date needed",IF(COUNTIF(Ref_TEST!$A$2:$A$201,B145)=0,"TEST-ID not in W10",IF(D145&lt;&gt;"Pass","HOLD: population IPE not Pass",IF(AND(OR(H145="Random (seeded)",H145="Systematic"),I145=""),"Seed or interval needed",IF(G145&lt;&gt;F145+N(J145),"Items selected differ from planned + targeted: explain",IF(P145&lt;&gt;"Y","Confirm period coverage",IF(Q145="","Raise wave 3 PBC request","OK"))))))))</f>
        <v/>
      </c>
    </row>
    <row r="146" customFormat="false" ht="15" hidden="false" customHeight="false" outlineLevel="0" collapsed="false">
      <c r="A146" s="16"/>
      <c r="B146" s="16"/>
      <c r="C146" s="17" t="str">
        <f aca="false">IFERROR(INDEX(Ref_TEST!$B$2:$B$201,MATCH(B146,Ref_TEST!$A$2:$A$201,0)),"")</f>
        <v/>
      </c>
      <c r="D146" s="17" t="str">
        <f aca="false">IFERROR(INDEX(Ref_TEST!$C$2:$C$201,MATCH(B146,Ref_TEST!$A$2:$A$201,0)),"")</f>
        <v/>
      </c>
      <c r="E146" s="17" t="str">
        <f aca="false">IFERROR(INDEX(Ref_TEST!$D$2:$D$201,MATCH(B146,Ref_TEST!$A$2:$A$201,0)),"")</f>
        <v/>
      </c>
      <c r="F146" s="17" t="str">
        <f aca="false">IFERROR(INDEX(Ref_TEST!$E$2:$E$201,MATCH(B146,Ref_TEST!$A$2:$A$201,0)),"")</f>
        <v/>
      </c>
      <c r="G146" s="17" t="str">
        <f aca="false">IF(A146="","",COUNTIF(Items!$A$5:$A$1004,A146))</f>
        <v/>
      </c>
      <c r="H146" s="16"/>
      <c r="I146" s="16"/>
      <c r="J146" s="16"/>
      <c r="K146" s="17" t="str">
        <f aca="false">IF(A146="","",COUNTIFS(Items!$A$5:$A$1004,A146,Items!$E$5:$E$1004,"Q1"))</f>
        <v/>
      </c>
      <c r="L146" s="17" t="str">
        <f aca="false">IF(A146="","",COUNTIFS(Items!$A$5:$A$1004,A146,Items!$E$5:$E$1004,"Q2"))</f>
        <v/>
      </c>
      <c r="M146" s="17" t="str">
        <f aca="false">IF(A146="","",COUNTIFS(Items!$A$5:$A$1004,A146,Items!$E$5:$E$1004,"Q3"))</f>
        <v/>
      </c>
      <c r="N146" s="17" t="str">
        <f aca="false">IF(A146="","",COUNTIFS(Items!$A$5:$A$1004,A146,Items!$E$5:$E$1004,"Q4"))</f>
        <v/>
      </c>
      <c r="O146" s="17" t="str">
        <f aca="false">IF(A146="","",COUNTIF(K146:N146,"&gt;0"))</f>
        <v/>
      </c>
      <c r="P146" s="16"/>
      <c r="Q146" s="16"/>
      <c r="R146" s="16"/>
      <c r="S146" s="18"/>
      <c r="T146" s="16"/>
      <c r="U146" s="17" t="str">
        <f aca="false">IF(A146="","",IF(OR(B146="",H146="",R146="",S146=""),"TEST-ID, method, selector, date needed",IF(COUNTIF(Ref_TEST!$A$2:$A$201,B146)=0,"TEST-ID not in W10",IF(D146&lt;&gt;"Pass","HOLD: population IPE not Pass",IF(AND(OR(H146="Random (seeded)",H146="Systematic"),I146=""),"Seed or interval needed",IF(G146&lt;&gt;F146+N(J146),"Items selected differ from planned + targeted: explain",IF(P146&lt;&gt;"Y","Confirm period coverage",IF(Q146="","Raise wave 3 PBC request","OK"))))))))</f>
        <v/>
      </c>
    </row>
    <row r="147" customFormat="false" ht="15" hidden="false" customHeight="false" outlineLevel="0" collapsed="false">
      <c r="A147" s="16"/>
      <c r="B147" s="16"/>
      <c r="C147" s="17" t="str">
        <f aca="false">IFERROR(INDEX(Ref_TEST!$B$2:$B$201,MATCH(B147,Ref_TEST!$A$2:$A$201,0)),"")</f>
        <v/>
      </c>
      <c r="D147" s="17" t="str">
        <f aca="false">IFERROR(INDEX(Ref_TEST!$C$2:$C$201,MATCH(B147,Ref_TEST!$A$2:$A$201,0)),"")</f>
        <v/>
      </c>
      <c r="E147" s="17" t="str">
        <f aca="false">IFERROR(INDEX(Ref_TEST!$D$2:$D$201,MATCH(B147,Ref_TEST!$A$2:$A$201,0)),"")</f>
        <v/>
      </c>
      <c r="F147" s="17" t="str">
        <f aca="false">IFERROR(INDEX(Ref_TEST!$E$2:$E$201,MATCH(B147,Ref_TEST!$A$2:$A$201,0)),"")</f>
        <v/>
      </c>
      <c r="G147" s="17" t="str">
        <f aca="false">IF(A147="","",COUNTIF(Items!$A$5:$A$1004,A147))</f>
        <v/>
      </c>
      <c r="H147" s="16"/>
      <c r="I147" s="16"/>
      <c r="J147" s="16"/>
      <c r="K147" s="17" t="str">
        <f aca="false">IF(A147="","",COUNTIFS(Items!$A$5:$A$1004,A147,Items!$E$5:$E$1004,"Q1"))</f>
        <v/>
      </c>
      <c r="L147" s="17" t="str">
        <f aca="false">IF(A147="","",COUNTIFS(Items!$A$5:$A$1004,A147,Items!$E$5:$E$1004,"Q2"))</f>
        <v/>
      </c>
      <c r="M147" s="17" t="str">
        <f aca="false">IF(A147="","",COUNTIFS(Items!$A$5:$A$1004,A147,Items!$E$5:$E$1004,"Q3"))</f>
        <v/>
      </c>
      <c r="N147" s="17" t="str">
        <f aca="false">IF(A147="","",COUNTIFS(Items!$A$5:$A$1004,A147,Items!$E$5:$E$1004,"Q4"))</f>
        <v/>
      </c>
      <c r="O147" s="17" t="str">
        <f aca="false">IF(A147="","",COUNTIF(K147:N147,"&gt;0"))</f>
        <v/>
      </c>
      <c r="P147" s="16"/>
      <c r="Q147" s="16"/>
      <c r="R147" s="16"/>
      <c r="S147" s="18"/>
      <c r="T147" s="16"/>
      <c r="U147" s="17" t="str">
        <f aca="false">IF(A147="","",IF(OR(B147="",H147="",R147="",S147=""),"TEST-ID, method, selector, date needed",IF(COUNTIF(Ref_TEST!$A$2:$A$201,B147)=0,"TEST-ID not in W10",IF(D147&lt;&gt;"Pass","HOLD: population IPE not Pass",IF(AND(OR(H147="Random (seeded)",H147="Systematic"),I147=""),"Seed or interval needed",IF(G147&lt;&gt;F147+N(J147),"Items selected differ from planned + targeted: explain",IF(P147&lt;&gt;"Y","Confirm period coverage",IF(Q147="","Raise wave 3 PBC request","OK"))))))))</f>
        <v/>
      </c>
    </row>
    <row r="148" customFormat="false" ht="15" hidden="false" customHeight="false" outlineLevel="0" collapsed="false">
      <c r="A148" s="16"/>
      <c r="B148" s="16"/>
      <c r="C148" s="17" t="str">
        <f aca="false">IFERROR(INDEX(Ref_TEST!$B$2:$B$201,MATCH(B148,Ref_TEST!$A$2:$A$201,0)),"")</f>
        <v/>
      </c>
      <c r="D148" s="17" t="str">
        <f aca="false">IFERROR(INDEX(Ref_TEST!$C$2:$C$201,MATCH(B148,Ref_TEST!$A$2:$A$201,0)),"")</f>
        <v/>
      </c>
      <c r="E148" s="17" t="str">
        <f aca="false">IFERROR(INDEX(Ref_TEST!$D$2:$D$201,MATCH(B148,Ref_TEST!$A$2:$A$201,0)),"")</f>
        <v/>
      </c>
      <c r="F148" s="17" t="str">
        <f aca="false">IFERROR(INDEX(Ref_TEST!$E$2:$E$201,MATCH(B148,Ref_TEST!$A$2:$A$201,0)),"")</f>
        <v/>
      </c>
      <c r="G148" s="17" t="str">
        <f aca="false">IF(A148="","",COUNTIF(Items!$A$5:$A$1004,A148))</f>
        <v/>
      </c>
      <c r="H148" s="16"/>
      <c r="I148" s="16"/>
      <c r="J148" s="16"/>
      <c r="K148" s="17" t="str">
        <f aca="false">IF(A148="","",COUNTIFS(Items!$A$5:$A$1004,A148,Items!$E$5:$E$1004,"Q1"))</f>
        <v/>
      </c>
      <c r="L148" s="17" t="str">
        <f aca="false">IF(A148="","",COUNTIFS(Items!$A$5:$A$1004,A148,Items!$E$5:$E$1004,"Q2"))</f>
        <v/>
      </c>
      <c r="M148" s="17" t="str">
        <f aca="false">IF(A148="","",COUNTIFS(Items!$A$5:$A$1004,A148,Items!$E$5:$E$1004,"Q3"))</f>
        <v/>
      </c>
      <c r="N148" s="17" t="str">
        <f aca="false">IF(A148="","",COUNTIFS(Items!$A$5:$A$1004,A148,Items!$E$5:$E$1004,"Q4"))</f>
        <v/>
      </c>
      <c r="O148" s="17" t="str">
        <f aca="false">IF(A148="","",COUNTIF(K148:N148,"&gt;0"))</f>
        <v/>
      </c>
      <c r="P148" s="16"/>
      <c r="Q148" s="16"/>
      <c r="R148" s="16"/>
      <c r="S148" s="18"/>
      <c r="T148" s="16"/>
      <c r="U148" s="17" t="str">
        <f aca="false">IF(A148="","",IF(OR(B148="",H148="",R148="",S148=""),"TEST-ID, method, selector, date needed",IF(COUNTIF(Ref_TEST!$A$2:$A$201,B148)=0,"TEST-ID not in W10",IF(D148&lt;&gt;"Pass","HOLD: population IPE not Pass",IF(AND(OR(H148="Random (seeded)",H148="Systematic"),I148=""),"Seed or interval needed",IF(G148&lt;&gt;F148+N(J148),"Items selected differ from planned + targeted: explain",IF(P148&lt;&gt;"Y","Confirm period coverage",IF(Q148="","Raise wave 3 PBC request","OK"))))))))</f>
        <v/>
      </c>
    </row>
    <row r="149" customFormat="false" ht="15" hidden="false" customHeight="false" outlineLevel="0" collapsed="false">
      <c r="A149" s="16"/>
      <c r="B149" s="16"/>
      <c r="C149" s="17" t="str">
        <f aca="false">IFERROR(INDEX(Ref_TEST!$B$2:$B$201,MATCH(B149,Ref_TEST!$A$2:$A$201,0)),"")</f>
        <v/>
      </c>
      <c r="D149" s="17" t="str">
        <f aca="false">IFERROR(INDEX(Ref_TEST!$C$2:$C$201,MATCH(B149,Ref_TEST!$A$2:$A$201,0)),"")</f>
        <v/>
      </c>
      <c r="E149" s="17" t="str">
        <f aca="false">IFERROR(INDEX(Ref_TEST!$D$2:$D$201,MATCH(B149,Ref_TEST!$A$2:$A$201,0)),"")</f>
        <v/>
      </c>
      <c r="F149" s="17" t="str">
        <f aca="false">IFERROR(INDEX(Ref_TEST!$E$2:$E$201,MATCH(B149,Ref_TEST!$A$2:$A$201,0)),"")</f>
        <v/>
      </c>
      <c r="G149" s="17" t="str">
        <f aca="false">IF(A149="","",COUNTIF(Items!$A$5:$A$1004,A149))</f>
        <v/>
      </c>
      <c r="H149" s="16"/>
      <c r="I149" s="16"/>
      <c r="J149" s="16"/>
      <c r="K149" s="17" t="str">
        <f aca="false">IF(A149="","",COUNTIFS(Items!$A$5:$A$1004,A149,Items!$E$5:$E$1004,"Q1"))</f>
        <v/>
      </c>
      <c r="L149" s="17" t="str">
        <f aca="false">IF(A149="","",COUNTIFS(Items!$A$5:$A$1004,A149,Items!$E$5:$E$1004,"Q2"))</f>
        <v/>
      </c>
      <c r="M149" s="17" t="str">
        <f aca="false">IF(A149="","",COUNTIFS(Items!$A$5:$A$1004,A149,Items!$E$5:$E$1004,"Q3"))</f>
        <v/>
      </c>
      <c r="N149" s="17" t="str">
        <f aca="false">IF(A149="","",COUNTIFS(Items!$A$5:$A$1004,A149,Items!$E$5:$E$1004,"Q4"))</f>
        <v/>
      </c>
      <c r="O149" s="17" t="str">
        <f aca="false">IF(A149="","",COUNTIF(K149:N149,"&gt;0"))</f>
        <v/>
      </c>
      <c r="P149" s="16"/>
      <c r="Q149" s="16"/>
      <c r="R149" s="16"/>
      <c r="S149" s="18"/>
      <c r="T149" s="16"/>
      <c r="U149" s="17" t="str">
        <f aca="false">IF(A149="","",IF(OR(B149="",H149="",R149="",S149=""),"TEST-ID, method, selector, date needed",IF(COUNTIF(Ref_TEST!$A$2:$A$201,B149)=0,"TEST-ID not in W10",IF(D149&lt;&gt;"Pass","HOLD: population IPE not Pass",IF(AND(OR(H149="Random (seeded)",H149="Systematic"),I149=""),"Seed or interval needed",IF(G149&lt;&gt;F149+N(J149),"Items selected differ from planned + targeted: explain",IF(P149&lt;&gt;"Y","Confirm period coverage",IF(Q149="","Raise wave 3 PBC request","OK"))))))))</f>
        <v/>
      </c>
    </row>
    <row r="150" customFormat="false" ht="15" hidden="false" customHeight="false" outlineLevel="0" collapsed="false">
      <c r="A150" s="16"/>
      <c r="B150" s="16"/>
      <c r="C150" s="17" t="str">
        <f aca="false">IFERROR(INDEX(Ref_TEST!$B$2:$B$201,MATCH(B150,Ref_TEST!$A$2:$A$201,0)),"")</f>
        <v/>
      </c>
      <c r="D150" s="17" t="str">
        <f aca="false">IFERROR(INDEX(Ref_TEST!$C$2:$C$201,MATCH(B150,Ref_TEST!$A$2:$A$201,0)),"")</f>
        <v/>
      </c>
      <c r="E150" s="17" t="str">
        <f aca="false">IFERROR(INDEX(Ref_TEST!$D$2:$D$201,MATCH(B150,Ref_TEST!$A$2:$A$201,0)),"")</f>
        <v/>
      </c>
      <c r="F150" s="17" t="str">
        <f aca="false">IFERROR(INDEX(Ref_TEST!$E$2:$E$201,MATCH(B150,Ref_TEST!$A$2:$A$201,0)),"")</f>
        <v/>
      </c>
      <c r="G150" s="17" t="str">
        <f aca="false">IF(A150="","",COUNTIF(Items!$A$5:$A$1004,A150))</f>
        <v/>
      </c>
      <c r="H150" s="16"/>
      <c r="I150" s="16"/>
      <c r="J150" s="16"/>
      <c r="K150" s="17" t="str">
        <f aca="false">IF(A150="","",COUNTIFS(Items!$A$5:$A$1004,A150,Items!$E$5:$E$1004,"Q1"))</f>
        <v/>
      </c>
      <c r="L150" s="17" t="str">
        <f aca="false">IF(A150="","",COUNTIFS(Items!$A$5:$A$1004,A150,Items!$E$5:$E$1004,"Q2"))</f>
        <v/>
      </c>
      <c r="M150" s="17" t="str">
        <f aca="false">IF(A150="","",COUNTIFS(Items!$A$5:$A$1004,A150,Items!$E$5:$E$1004,"Q3"))</f>
        <v/>
      </c>
      <c r="N150" s="17" t="str">
        <f aca="false">IF(A150="","",COUNTIFS(Items!$A$5:$A$1004,A150,Items!$E$5:$E$1004,"Q4"))</f>
        <v/>
      </c>
      <c r="O150" s="17" t="str">
        <f aca="false">IF(A150="","",COUNTIF(K150:N150,"&gt;0"))</f>
        <v/>
      </c>
      <c r="P150" s="16"/>
      <c r="Q150" s="16"/>
      <c r="R150" s="16"/>
      <c r="S150" s="18"/>
      <c r="T150" s="16"/>
      <c r="U150" s="17" t="str">
        <f aca="false">IF(A150="","",IF(OR(B150="",H150="",R150="",S150=""),"TEST-ID, method, selector, date needed",IF(COUNTIF(Ref_TEST!$A$2:$A$201,B150)=0,"TEST-ID not in W10",IF(D150&lt;&gt;"Pass","HOLD: population IPE not Pass",IF(AND(OR(H150="Random (seeded)",H150="Systematic"),I150=""),"Seed or interval needed",IF(G150&lt;&gt;F150+N(J150),"Items selected differ from planned + targeted: explain",IF(P150&lt;&gt;"Y","Confirm period coverage",IF(Q150="","Raise wave 3 PBC request","OK"))))))))</f>
        <v/>
      </c>
    </row>
    <row r="151" customFormat="false" ht="15" hidden="false" customHeight="false" outlineLevel="0" collapsed="false">
      <c r="A151" s="16"/>
      <c r="B151" s="16"/>
      <c r="C151" s="17" t="str">
        <f aca="false">IFERROR(INDEX(Ref_TEST!$B$2:$B$201,MATCH(B151,Ref_TEST!$A$2:$A$201,0)),"")</f>
        <v/>
      </c>
      <c r="D151" s="17" t="str">
        <f aca="false">IFERROR(INDEX(Ref_TEST!$C$2:$C$201,MATCH(B151,Ref_TEST!$A$2:$A$201,0)),"")</f>
        <v/>
      </c>
      <c r="E151" s="17" t="str">
        <f aca="false">IFERROR(INDEX(Ref_TEST!$D$2:$D$201,MATCH(B151,Ref_TEST!$A$2:$A$201,0)),"")</f>
        <v/>
      </c>
      <c r="F151" s="17" t="str">
        <f aca="false">IFERROR(INDEX(Ref_TEST!$E$2:$E$201,MATCH(B151,Ref_TEST!$A$2:$A$201,0)),"")</f>
        <v/>
      </c>
      <c r="G151" s="17" t="str">
        <f aca="false">IF(A151="","",COUNTIF(Items!$A$5:$A$1004,A151))</f>
        <v/>
      </c>
      <c r="H151" s="16"/>
      <c r="I151" s="16"/>
      <c r="J151" s="16"/>
      <c r="K151" s="17" t="str">
        <f aca="false">IF(A151="","",COUNTIFS(Items!$A$5:$A$1004,A151,Items!$E$5:$E$1004,"Q1"))</f>
        <v/>
      </c>
      <c r="L151" s="17" t="str">
        <f aca="false">IF(A151="","",COUNTIFS(Items!$A$5:$A$1004,A151,Items!$E$5:$E$1004,"Q2"))</f>
        <v/>
      </c>
      <c r="M151" s="17" t="str">
        <f aca="false">IF(A151="","",COUNTIFS(Items!$A$5:$A$1004,A151,Items!$E$5:$E$1004,"Q3"))</f>
        <v/>
      </c>
      <c r="N151" s="17" t="str">
        <f aca="false">IF(A151="","",COUNTIFS(Items!$A$5:$A$1004,A151,Items!$E$5:$E$1004,"Q4"))</f>
        <v/>
      </c>
      <c r="O151" s="17" t="str">
        <f aca="false">IF(A151="","",COUNTIF(K151:N151,"&gt;0"))</f>
        <v/>
      </c>
      <c r="P151" s="16"/>
      <c r="Q151" s="16"/>
      <c r="R151" s="16"/>
      <c r="S151" s="18"/>
      <c r="T151" s="16"/>
      <c r="U151" s="17" t="str">
        <f aca="false">IF(A151="","",IF(OR(B151="",H151="",R151="",S151=""),"TEST-ID, method, selector, date needed",IF(COUNTIF(Ref_TEST!$A$2:$A$201,B151)=0,"TEST-ID not in W10",IF(D151&lt;&gt;"Pass","HOLD: population IPE not Pass",IF(AND(OR(H151="Random (seeded)",H151="Systematic"),I151=""),"Seed or interval needed",IF(G151&lt;&gt;F151+N(J151),"Items selected differ from planned + targeted: explain",IF(P151&lt;&gt;"Y","Confirm period coverage",IF(Q151="","Raise wave 3 PBC request","OK"))))))))</f>
        <v/>
      </c>
    </row>
    <row r="152" customFormat="false" ht="15" hidden="false" customHeight="false" outlineLevel="0" collapsed="false">
      <c r="A152" s="16"/>
      <c r="B152" s="16"/>
      <c r="C152" s="17" t="str">
        <f aca="false">IFERROR(INDEX(Ref_TEST!$B$2:$B$201,MATCH(B152,Ref_TEST!$A$2:$A$201,0)),"")</f>
        <v/>
      </c>
      <c r="D152" s="17" t="str">
        <f aca="false">IFERROR(INDEX(Ref_TEST!$C$2:$C$201,MATCH(B152,Ref_TEST!$A$2:$A$201,0)),"")</f>
        <v/>
      </c>
      <c r="E152" s="17" t="str">
        <f aca="false">IFERROR(INDEX(Ref_TEST!$D$2:$D$201,MATCH(B152,Ref_TEST!$A$2:$A$201,0)),"")</f>
        <v/>
      </c>
      <c r="F152" s="17" t="str">
        <f aca="false">IFERROR(INDEX(Ref_TEST!$E$2:$E$201,MATCH(B152,Ref_TEST!$A$2:$A$201,0)),"")</f>
        <v/>
      </c>
      <c r="G152" s="17" t="str">
        <f aca="false">IF(A152="","",COUNTIF(Items!$A$5:$A$1004,A152))</f>
        <v/>
      </c>
      <c r="H152" s="16"/>
      <c r="I152" s="16"/>
      <c r="J152" s="16"/>
      <c r="K152" s="17" t="str">
        <f aca="false">IF(A152="","",COUNTIFS(Items!$A$5:$A$1004,A152,Items!$E$5:$E$1004,"Q1"))</f>
        <v/>
      </c>
      <c r="L152" s="17" t="str">
        <f aca="false">IF(A152="","",COUNTIFS(Items!$A$5:$A$1004,A152,Items!$E$5:$E$1004,"Q2"))</f>
        <v/>
      </c>
      <c r="M152" s="17" t="str">
        <f aca="false">IF(A152="","",COUNTIFS(Items!$A$5:$A$1004,A152,Items!$E$5:$E$1004,"Q3"))</f>
        <v/>
      </c>
      <c r="N152" s="17" t="str">
        <f aca="false">IF(A152="","",COUNTIFS(Items!$A$5:$A$1004,A152,Items!$E$5:$E$1004,"Q4"))</f>
        <v/>
      </c>
      <c r="O152" s="17" t="str">
        <f aca="false">IF(A152="","",COUNTIF(K152:N152,"&gt;0"))</f>
        <v/>
      </c>
      <c r="P152" s="16"/>
      <c r="Q152" s="16"/>
      <c r="R152" s="16"/>
      <c r="S152" s="18"/>
      <c r="T152" s="16"/>
      <c r="U152" s="17" t="str">
        <f aca="false">IF(A152="","",IF(OR(B152="",H152="",R152="",S152=""),"TEST-ID, method, selector, date needed",IF(COUNTIF(Ref_TEST!$A$2:$A$201,B152)=0,"TEST-ID not in W10",IF(D152&lt;&gt;"Pass","HOLD: population IPE not Pass",IF(AND(OR(H152="Random (seeded)",H152="Systematic"),I152=""),"Seed or interval needed",IF(G152&lt;&gt;F152+N(J152),"Items selected differ from planned + targeted: explain",IF(P152&lt;&gt;"Y","Confirm period coverage",IF(Q152="","Raise wave 3 PBC request","OK"))))))))</f>
        <v/>
      </c>
    </row>
    <row r="153" customFormat="false" ht="15" hidden="false" customHeight="false" outlineLevel="0" collapsed="false">
      <c r="A153" s="16"/>
      <c r="B153" s="16"/>
      <c r="C153" s="17" t="str">
        <f aca="false">IFERROR(INDEX(Ref_TEST!$B$2:$B$201,MATCH(B153,Ref_TEST!$A$2:$A$201,0)),"")</f>
        <v/>
      </c>
      <c r="D153" s="17" t="str">
        <f aca="false">IFERROR(INDEX(Ref_TEST!$C$2:$C$201,MATCH(B153,Ref_TEST!$A$2:$A$201,0)),"")</f>
        <v/>
      </c>
      <c r="E153" s="17" t="str">
        <f aca="false">IFERROR(INDEX(Ref_TEST!$D$2:$D$201,MATCH(B153,Ref_TEST!$A$2:$A$201,0)),"")</f>
        <v/>
      </c>
      <c r="F153" s="17" t="str">
        <f aca="false">IFERROR(INDEX(Ref_TEST!$E$2:$E$201,MATCH(B153,Ref_TEST!$A$2:$A$201,0)),"")</f>
        <v/>
      </c>
      <c r="G153" s="17" t="str">
        <f aca="false">IF(A153="","",COUNTIF(Items!$A$5:$A$1004,A153))</f>
        <v/>
      </c>
      <c r="H153" s="16"/>
      <c r="I153" s="16"/>
      <c r="J153" s="16"/>
      <c r="K153" s="17" t="str">
        <f aca="false">IF(A153="","",COUNTIFS(Items!$A$5:$A$1004,A153,Items!$E$5:$E$1004,"Q1"))</f>
        <v/>
      </c>
      <c r="L153" s="17" t="str">
        <f aca="false">IF(A153="","",COUNTIFS(Items!$A$5:$A$1004,A153,Items!$E$5:$E$1004,"Q2"))</f>
        <v/>
      </c>
      <c r="M153" s="17" t="str">
        <f aca="false">IF(A153="","",COUNTIFS(Items!$A$5:$A$1004,A153,Items!$E$5:$E$1004,"Q3"))</f>
        <v/>
      </c>
      <c r="N153" s="17" t="str">
        <f aca="false">IF(A153="","",COUNTIFS(Items!$A$5:$A$1004,A153,Items!$E$5:$E$1004,"Q4"))</f>
        <v/>
      </c>
      <c r="O153" s="17" t="str">
        <f aca="false">IF(A153="","",COUNTIF(K153:N153,"&gt;0"))</f>
        <v/>
      </c>
      <c r="P153" s="16"/>
      <c r="Q153" s="16"/>
      <c r="R153" s="16"/>
      <c r="S153" s="18"/>
      <c r="T153" s="16"/>
      <c r="U153" s="17" t="str">
        <f aca="false">IF(A153="","",IF(OR(B153="",H153="",R153="",S153=""),"TEST-ID, method, selector, date needed",IF(COUNTIF(Ref_TEST!$A$2:$A$201,B153)=0,"TEST-ID not in W10",IF(D153&lt;&gt;"Pass","HOLD: population IPE not Pass",IF(AND(OR(H153="Random (seeded)",H153="Systematic"),I153=""),"Seed or interval needed",IF(G153&lt;&gt;F153+N(J153),"Items selected differ from planned + targeted: explain",IF(P153&lt;&gt;"Y","Confirm period coverage",IF(Q153="","Raise wave 3 PBC request","OK"))))))))</f>
        <v/>
      </c>
    </row>
    <row r="154" customFormat="false" ht="15" hidden="false" customHeight="false" outlineLevel="0" collapsed="false">
      <c r="A154" s="16"/>
      <c r="B154" s="16"/>
      <c r="C154" s="17" t="str">
        <f aca="false">IFERROR(INDEX(Ref_TEST!$B$2:$B$201,MATCH(B154,Ref_TEST!$A$2:$A$201,0)),"")</f>
        <v/>
      </c>
      <c r="D154" s="17" t="str">
        <f aca="false">IFERROR(INDEX(Ref_TEST!$C$2:$C$201,MATCH(B154,Ref_TEST!$A$2:$A$201,0)),"")</f>
        <v/>
      </c>
      <c r="E154" s="17" t="str">
        <f aca="false">IFERROR(INDEX(Ref_TEST!$D$2:$D$201,MATCH(B154,Ref_TEST!$A$2:$A$201,0)),"")</f>
        <v/>
      </c>
      <c r="F154" s="17" t="str">
        <f aca="false">IFERROR(INDEX(Ref_TEST!$E$2:$E$201,MATCH(B154,Ref_TEST!$A$2:$A$201,0)),"")</f>
        <v/>
      </c>
      <c r="G154" s="17" t="str">
        <f aca="false">IF(A154="","",COUNTIF(Items!$A$5:$A$1004,A154))</f>
        <v/>
      </c>
      <c r="H154" s="16"/>
      <c r="I154" s="16"/>
      <c r="J154" s="16"/>
      <c r="K154" s="17" t="str">
        <f aca="false">IF(A154="","",COUNTIFS(Items!$A$5:$A$1004,A154,Items!$E$5:$E$1004,"Q1"))</f>
        <v/>
      </c>
      <c r="L154" s="17" t="str">
        <f aca="false">IF(A154="","",COUNTIFS(Items!$A$5:$A$1004,A154,Items!$E$5:$E$1004,"Q2"))</f>
        <v/>
      </c>
      <c r="M154" s="17" t="str">
        <f aca="false">IF(A154="","",COUNTIFS(Items!$A$5:$A$1004,A154,Items!$E$5:$E$1004,"Q3"))</f>
        <v/>
      </c>
      <c r="N154" s="17" t="str">
        <f aca="false">IF(A154="","",COUNTIFS(Items!$A$5:$A$1004,A154,Items!$E$5:$E$1004,"Q4"))</f>
        <v/>
      </c>
      <c r="O154" s="17" t="str">
        <f aca="false">IF(A154="","",COUNTIF(K154:N154,"&gt;0"))</f>
        <v/>
      </c>
      <c r="P154" s="16"/>
      <c r="Q154" s="16"/>
      <c r="R154" s="16"/>
      <c r="S154" s="18"/>
      <c r="T154" s="16"/>
      <c r="U154" s="17" t="str">
        <f aca="false">IF(A154="","",IF(OR(B154="",H154="",R154="",S154=""),"TEST-ID, method, selector, date needed",IF(COUNTIF(Ref_TEST!$A$2:$A$201,B154)=0,"TEST-ID not in W10",IF(D154&lt;&gt;"Pass","HOLD: population IPE not Pass",IF(AND(OR(H154="Random (seeded)",H154="Systematic"),I154=""),"Seed or interval needed",IF(G154&lt;&gt;F154+N(J154),"Items selected differ from planned + targeted: explain",IF(P154&lt;&gt;"Y","Confirm period coverage",IF(Q154="","Raise wave 3 PBC request","OK"))))))))</f>
        <v/>
      </c>
    </row>
    <row r="155" customFormat="false" ht="15" hidden="false" customHeight="false" outlineLevel="0" collapsed="false">
      <c r="A155" s="16"/>
      <c r="B155" s="16"/>
      <c r="C155" s="17" t="str">
        <f aca="false">IFERROR(INDEX(Ref_TEST!$B$2:$B$201,MATCH(B155,Ref_TEST!$A$2:$A$201,0)),"")</f>
        <v/>
      </c>
      <c r="D155" s="17" t="str">
        <f aca="false">IFERROR(INDEX(Ref_TEST!$C$2:$C$201,MATCH(B155,Ref_TEST!$A$2:$A$201,0)),"")</f>
        <v/>
      </c>
      <c r="E155" s="17" t="str">
        <f aca="false">IFERROR(INDEX(Ref_TEST!$D$2:$D$201,MATCH(B155,Ref_TEST!$A$2:$A$201,0)),"")</f>
        <v/>
      </c>
      <c r="F155" s="17" t="str">
        <f aca="false">IFERROR(INDEX(Ref_TEST!$E$2:$E$201,MATCH(B155,Ref_TEST!$A$2:$A$201,0)),"")</f>
        <v/>
      </c>
      <c r="G155" s="17" t="str">
        <f aca="false">IF(A155="","",COUNTIF(Items!$A$5:$A$1004,A155))</f>
        <v/>
      </c>
      <c r="H155" s="16"/>
      <c r="I155" s="16"/>
      <c r="J155" s="16"/>
      <c r="K155" s="17" t="str">
        <f aca="false">IF(A155="","",COUNTIFS(Items!$A$5:$A$1004,A155,Items!$E$5:$E$1004,"Q1"))</f>
        <v/>
      </c>
      <c r="L155" s="17" t="str">
        <f aca="false">IF(A155="","",COUNTIFS(Items!$A$5:$A$1004,A155,Items!$E$5:$E$1004,"Q2"))</f>
        <v/>
      </c>
      <c r="M155" s="17" t="str">
        <f aca="false">IF(A155="","",COUNTIFS(Items!$A$5:$A$1004,A155,Items!$E$5:$E$1004,"Q3"))</f>
        <v/>
      </c>
      <c r="N155" s="17" t="str">
        <f aca="false">IF(A155="","",COUNTIFS(Items!$A$5:$A$1004,A155,Items!$E$5:$E$1004,"Q4"))</f>
        <v/>
      </c>
      <c r="O155" s="17" t="str">
        <f aca="false">IF(A155="","",COUNTIF(K155:N155,"&gt;0"))</f>
        <v/>
      </c>
      <c r="P155" s="16"/>
      <c r="Q155" s="16"/>
      <c r="R155" s="16"/>
      <c r="S155" s="18"/>
      <c r="T155" s="16"/>
      <c r="U155" s="17" t="str">
        <f aca="false">IF(A155="","",IF(OR(B155="",H155="",R155="",S155=""),"TEST-ID, method, selector, date needed",IF(COUNTIF(Ref_TEST!$A$2:$A$201,B155)=0,"TEST-ID not in W10",IF(D155&lt;&gt;"Pass","HOLD: population IPE not Pass",IF(AND(OR(H155="Random (seeded)",H155="Systematic"),I155=""),"Seed or interval needed",IF(G155&lt;&gt;F155+N(J155),"Items selected differ from planned + targeted: explain",IF(P155&lt;&gt;"Y","Confirm period coverage",IF(Q155="","Raise wave 3 PBC request","OK"))))))))</f>
        <v/>
      </c>
    </row>
    <row r="156" customFormat="false" ht="15" hidden="false" customHeight="false" outlineLevel="0" collapsed="false">
      <c r="A156" s="16"/>
      <c r="B156" s="16"/>
      <c r="C156" s="17" t="str">
        <f aca="false">IFERROR(INDEX(Ref_TEST!$B$2:$B$201,MATCH(B156,Ref_TEST!$A$2:$A$201,0)),"")</f>
        <v/>
      </c>
      <c r="D156" s="17" t="str">
        <f aca="false">IFERROR(INDEX(Ref_TEST!$C$2:$C$201,MATCH(B156,Ref_TEST!$A$2:$A$201,0)),"")</f>
        <v/>
      </c>
      <c r="E156" s="17" t="str">
        <f aca="false">IFERROR(INDEX(Ref_TEST!$D$2:$D$201,MATCH(B156,Ref_TEST!$A$2:$A$201,0)),"")</f>
        <v/>
      </c>
      <c r="F156" s="17" t="str">
        <f aca="false">IFERROR(INDEX(Ref_TEST!$E$2:$E$201,MATCH(B156,Ref_TEST!$A$2:$A$201,0)),"")</f>
        <v/>
      </c>
      <c r="G156" s="17" t="str">
        <f aca="false">IF(A156="","",COUNTIF(Items!$A$5:$A$1004,A156))</f>
        <v/>
      </c>
      <c r="H156" s="16"/>
      <c r="I156" s="16"/>
      <c r="J156" s="16"/>
      <c r="K156" s="17" t="str">
        <f aca="false">IF(A156="","",COUNTIFS(Items!$A$5:$A$1004,A156,Items!$E$5:$E$1004,"Q1"))</f>
        <v/>
      </c>
      <c r="L156" s="17" t="str">
        <f aca="false">IF(A156="","",COUNTIFS(Items!$A$5:$A$1004,A156,Items!$E$5:$E$1004,"Q2"))</f>
        <v/>
      </c>
      <c r="M156" s="17" t="str">
        <f aca="false">IF(A156="","",COUNTIFS(Items!$A$5:$A$1004,A156,Items!$E$5:$E$1004,"Q3"))</f>
        <v/>
      </c>
      <c r="N156" s="17" t="str">
        <f aca="false">IF(A156="","",COUNTIFS(Items!$A$5:$A$1004,A156,Items!$E$5:$E$1004,"Q4"))</f>
        <v/>
      </c>
      <c r="O156" s="17" t="str">
        <f aca="false">IF(A156="","",COUNTIF(K156:N156,"&gt;0"))</f>
        <v/>
      </c>
      <c r="P156" s="16"/>
      <c r="Q156" s="16"/>
      <c r="R156" s="16"/>
      <c r="S156" s="18"/>
      <c r="T156" s="16"/>
      <c r="U156" s="17" t="str">
        <f aca="false">IF(A156="","",IF(OR(B156="",H156="",R156="",S156=""),"TEST-ID, method, selector, date needed",IF(COUNTIF(Ref_TEST!$A$2:$A$201,B156)=0,"TEST-ID not in W10",IF(D156&lt;&gt;"Pass","HOLD: population IPE not Pass",IF(AND(OR(H156="Random (seeded)",H156="Systematic"),I156=""),"Seed or interval needed",IF(G156&lt;&gt;F156+N(J156),"Items selected differ from planned + targeted: explain",IF(P156&lt;&gt;"Y","Confirm period coverage",IF(Q156="","Raise wave 3 PBC request","OK"))))))))</f>
        <v/>
      </c>
    </row>
    <row r="157" customFormat="false" ht="15" hidden="false" customHeight="false" outlineLevel="0" collapsed="false">
      <c r="A157" s="16"/>
      <c r="B157" s="16"/>
      <c r="C157" s="17" t="str">
        <f aca="false">IFERROR(INDEX(Ref_TEST!$B$2:$B$201,MATCH(B157,Ref_TEST!$A$2:$A$201,0)),"")</f>
        <v/>
      </c>
      <c r="D157" s="17" t="str">
        <f aca="false">IFERROR(INDEX(Ref_TEST!$C$2:$C$201,MATCH(B157,Ref_TEST!$A$2:$A$201,0)),"")</f>
        <v/>
      </c>
      <c r="E157" s="17" t="str">
        <f aca="false">IFERROR(INDEX(Ref_TEST!$D$2:$D$201,MATCH(B157,Ref_TEST!$A$2:$A$201,0)),"")</f>
        <v/>
      </c>
      <c r="F157" s="17" t="str">
        <f aca="false">IFERROR(INDEX(Ref_TEST!$E$2:$E$201,MATCH(B157,Ref_TEST!$A$2:$A$201,0)),"")</f>
        <v/>
      </c>
      <c r="G157" s="17" t="str">
        <f aca="false">IF(A157="","",COUNTIF(Items!$A$5:$A$1004,A157))</f>
        <v/>
      </c>
      <c r="H157" s="16"/>
      <c r="I157" s="16"/>
      <c r="J157" s="16"/>
      <c r="K157" s="17" t="str">
        <f aca="false">IF(A157="","",COUNTIFS(Items!$A$5:$A$1004,A157,Items!$E$5:$E$1004,"Q1"))</f>
        <v/>
      </c>
      <c r="L157" s="17" t="str">
        <f aca="false">IF(A157="","",COUNTIFS(Items!$A$5:$A$1004,A157,Items!$E$5:$E$1004,"Q2"))</f>
        <v/>
      </c>
      <c r="M157" s="17" t="str">
        <f aca="false">IF(A157="","",COUNTIFS(Items!$A$5:$A$1004,A157,Items!$E$5:$E$1004,"Q3"))</f>
        <v/>
      </c>
      <c r="N157" s="17" t="str">
        <f aca="false">IF(A157="","",COUNTIFS(Items!$A$5:$A$1004,A157,Items!$E$5:$E$1004,"Q4"))</f>
        <v/>
      </c>
      <c r="O157" s="17" t="str">
        <f aca="false">IF(A157="","",COUNTIF(K157:N157,"&gt;0"))</f>
        <v/>
      </c>
      <c r="P157" s="16"/>
      <c r="Q157" s="16"/>
      <c r="R157" s="16"/>
      <c r="S157" s="18"/>
      <c r="T157" s="16"/>
      <c r="U157" s="17" t="str">
        <f aca="false">IF(A157="","",IF(OR(B157="",H157="",R157="",S157=""),"TEST-ID, method, selector, date needed",IF(COUNTIF(Ref_TEST!$A$2:$A$201,B157)=0,"TEST-ID not in W10",IF(D157&lt;&gt;"Pass","HOLD: population IPE not Pass",IF(AND(OR(H157="Random (seeded)",H157="Systematic"),I157=""),"Seed or interval needed",IF(G157&lt;&gt;F157+N(J157),"Items selected differ from planned + targeted: explain",IF(P157&lt;&gt;"Y","Confirm period coverage",IF(Q157="","Raise wave 3 PBC request","OK"))))))))</f>
        <v/>
      </c>
    </row>
    <row r="158" customFormat="false" ht="15" hidden="false" customHeight="false" outlineLevel="0" collapsed="false">
      <c r="A158" s="16"/>
      <c r="B158" s="16"/>
      <c r="C158" s="17" t="str">
        <f aca="false">IFERROR(INDEX(Ref_TEST!$B$2:$B$201,MATCH(B158,Ref_TEST!$A$2:$A$201,0)),"")</f>
        <v/>
      </c>
      <c r="D158" s="17" t="str">
        <f aca="false">IFERROR(INDEX(Ref_TEST!$C$2:$C$201,MATCH(B158,Ref_TEST!$A$2:$A$201,0)),"")</f>
        <v/>
      </c>
      <c r="E158" s="17" t="str">
        <f aca="false">IFERROR(INDEX(Ref_TEST!$D$2:$D$201,MATCH(B158,Ref_TEST!$A$2:$A$201,0)),"")</f>
        <v/>
      </c>
      <c r="F158" s="17" t="str">
        <f aca="false">IFERROR(INDEX(Ref_TEST!$E$2:$E$201,MATCH(B158,Ref_TEST!$A$2:$A$201,0)),"")</f>
        <v/>
      </c>
      <c r="G158" s="17" t="str">
        <f aca="false">IF(A158="","",COUNTIF(Items!$A$5:$A$1004,A158))</f>
        <v/>
      </c>
      <c r="H158" s="16"/>
      <c r="I158" s="16"/>
      <c r="J158" s="16"/>
      <c r="K158" s="17" t="str">
        <f aca="false">IF(A158="","",COUNTIFS(Items!$A$5:$A$1004,A158,Items!$E$5:$E$1004,"Q1"))</f>
        <v/>
      </c>
      <c r="L158" s="17" t="str">
        <f aca="false">IF(A158="","",COUNTIFS(Items!$A$5:$A$1004,A158,Items!$E$5:$E$1004,"Q2"))</f>
        <v/>
      </c>
      <c r="M158" s="17" t="str">
        <f aca="false">IF(A158="","",COUNTIFS(Items!$A$5:$A$1004,A158,Items!$E$5:$E$1004,"Q3"))</f>
        <v/>
      </c>
      <c r="N158" s="17" t="str">
        <f aca="false">IF(A158="","",COUNTIFS(Items!$A$5:$A$1004,A158,Items!$E$5:$E$1004,"Q4"))</f>
        <v/>
      </c>
      <c r="O158" s="17" t="str">
        <f aca="false">IF(A158="","",COUNTIF(K158:N158,"&gt;0"))</f>
        <v/>
      </c>
      <c r="P158" s="16"/>
      <c r="Q158" s="16"/>
      <c r="R158" s="16"/>
      <c r="S158" s="18"/>
      <c r="T158" s="16"/>
      <c r="U158" s="17" t="str">
        <f aca="false">IF(A158="","",IF(OR(B158="",H158="",R158="",S158=""),"TEST-ID, method, selector, date needed",IF(COUNTIF(Ref_TEST!$A$2:$A$201,B158)=0,"TEST-ID not in W10",IF(D158&lt;&gt;"Pass","HOLD: population IPE not Pass",IF(AND(OR(H158="Random (seeded)",H158="Systematic"),I158=""),"Seed or interval needed",IF(G158&lt;&gt;F158+N(J158),"Items selected differ from planned + targeted: explain",IF(P158&lt;&gt;"Y","Confirm period coverage",IF(Q158="","Raise wave 3 PBC request","OK"))))))))</f>
        <v/>
      </c>
    </row>
    <row r="159" customFormat="false" ht="15" hidden="false" customHeight="false" outlineLevel="0" collapsed="false">
      <c r="A159" s="16"/>
      <c r="B159" s="16"/>
      <c r="C159" s="17" t="str">
        <f aca="false">IFERROR(INDEX(Ref_TEST!$B$2:$B$201,MATCH(B159,Ref_TEST!$A$2:$A$201,0)),"")</f>
        <v/>
      </c>
      <c r="D159" s="17" t="str">
        <f aca="false">IFERROR(INDEX(Ref_TEST!$C$2:$C$201,MATCH(B159,Ref_TEST!$A$2:$A$201,0)),"")</f>
        <v/>
      </c>
      <c r="E159" s="17" t="str">
        <f aca="false">IFERROR(INDEX(Ref_TEST!$D$2:$D$201,MATCH(B159,Ref_TEST!$A$2:$A$201,0)),"")</f>
        <v/>
      </c>
      <c r="F159" s="17" t="str">
        <f aca="false">IFERROR(INDEX(Ref_TEST!$E$2:$E$201,MATCH(B159,Ref_TEST!$A$2:$A$201,0)),"")</f>
        <v/>
      </c>
      <c r="G159" s="17" t="str">
        <f aca="false">IF(A159="","",COUNTIF(Items!$A$5:$A$1004,A159))</f>
        <v/>
      </c>
      <c r="H159" s="16"/>
      <c r="I159" s="16"/>
      <c r="J159" s="16"/>
      <c r="K159" s="17" t="str">
        <f aca="false">IF(A159="","",COUNTIFS(Items!$A$5:$A$1004,A159,Items!$E$5:$E$1004,"Q1"))</f>
        <v/>
      </c>
      <c r="L159" s="17" t="str">
        <f aca="false">IF(A159="","",COUNTIFS(Items!$A$5:$A$1004,A159,Items!$E$5:$E$1004,"Q2"))</f>
        <v/>
      </c>
      <c r="M159" s="17" t="str">
        <f aca="false">IF(A159="","",COUNTIFS(Items!$A$5:$A$1004,A159,Items!$E$5:$E$1004,"Q3"))</f>
        <v/>
      </c>
      <c r="N159" s="17" t="str">
        <f aca="false">IF(A159="","",COUNTIFS(Items!$A$5:$A$1004,A159,Items!$E$5:$E$1004,"Q4"))</f>
        <v/>
      </c>
      <c r="O159" s="17" t="str">
        <f aca="false">IF(A159="","",COUNTIF(K159:N159,"&gt;0"))</f>
        <v/>
      </c>
      <c r="P159" s="16"/>
      <c r="Q159" s="16"/>
      <c r="R159" s="16"/>
      <c r="S159" s="18"/>
      <c r="T159" s="16"/>
      <c r="U159" s="17" t="str">
        <f aca="false">IF(A159="","",IF(OR(B159="",H159="",R159="",S159=""),"TEST-ID, method, selector, date needed",IF(COUNTIF(Ref_TEST!$A$2:$A$201,B159)=0,"TEST-ID not in W10",IF(D159&lt;&gt;"Pass","HOLD: population IPE not Pass",IF(AND(OR(H159="Random (seeded)",H159="Systematic"),I159=""),"Seed or interval needed",IF(G159&lt;&gt;F159+N(J159),"Items selected differ from planned + targeted: explain",IF(P159&lt;&gt;"Y","Confirm period coverage",IF(Q159="","Raise wave 3 PBC request","OK"))))))))</f>
        <v/>
      </c>
    </row>
    <row r="160" customFormat="false" ht="15" hidden="false" customHeight="false" outlineLevel="0" collapsed="false">
      <c r="A160" s="16"/>
      <c r="B160" s="16"/>
      <c r="C160" s="17" t="str">
        <f aca="false">IFERROR(INDEX(Ref_TEST!$B$2:$B$201,MATCH(B160,Ref_TEST!$A$2:$A$201,0)),"")</f>
        <v/>
      </c>
      <c r="D160" s="17" t="str">
        <f aca="false">IFERROR(INDEX(Ref_TEST!$C$2:$C$201,MATCH(B160,Ref_TEST!$A$2:$A$201,0)),"")</f>
        <v/>
      </c>
      <c r="E160" s="17" t="str">
        <f aca="false">IFERROR(INDEX(Ref_TEST!$D$2:$D$201,MATCH(B160,Ref_TEST!$A$2:$A$201,0)),"")</f>
        <v/>
      </c>
      <c r="F160" s="17" t="str">
        <f aca="false">IFERROR(INDEX(Ref_TEST!$E$2:$E$201,MATCH(B160,Ref_TEST!$A$2:$A$201,0)),"")</f>
        <v/>
      </c>
      <c r="G160" s="17" t="str">
        <f aca="false">IF(A160="","",COUNTIF(Items!$A$5:$A$1004,A160))</f>
        <v/>
      </c>
      <c r="H160" s="16"/>
      <c r="I160" s="16"/>
      <c r="J160" s="16"/>
      <c r="K160" s="17" t="str">
        <f aca="false">IF(A160="","",COUNTIFS(Items!$A$5:$A$1004,A160,Items!$E$5:$E$1004,"Q1"))</f>
        <v/>
      </c>
      <c r="L160" s="17" t="str">
        <f aca="false">IF(A160="","",COUNTIFS(Items!$A$5:$A$1004,A160,Items!$E$5:$E$1004,"Q2"))</f>
        <v/>
      </c>
      <c r="M160" s="17" t="str">
        <f aca="false">IF(A160="","",COUNTIFS(Items!$A$5:$A$1004,A160,Items!$E$5:$E$1004,"Q3"))</f>
        <v/>
      </c>
      <c r="N160" s="17" t="str">
        <f aca="false">IF(A160="","",COUNTIFS(Items!$A$5:$A$1004,A160,Items!$E$5:$E$1004,"Q4"))</f>
        <v/>
      </c>
      <c r="O160" s="17" t="str">
        <f aca="false">IF(A160="","",COUNTIF(K160:N160,"&gt;0"))</f>
        <v/>
      </c>
      <c r="P160" s="16"/>
      <c r="Q160" s="16"/>
      <c r="R160" s="16"/>
      <c r="S160" s="18"/>
      <c r="T160" s="16"/>
      <c r="U160" s="17" t="str">
        <f aca="false">IF(A160="","",IF(OR(B160="",H160="",R160="",S160=""),"TEST-ID, method, selector, date needed",IF(COUNTIF(Ref_TEST!$A$2:$A$201,B160)=0,"TEST-ID not in W10",IF(D160&lt;&gt;"Pass","HOLD: population IPE not Pass",IF(AND(OR(H160="Random (seeded)",H160="Systematic"),I160=""),"Seed or interval needed",IF(G160&lt;&gt;F160+N(J160),"Items selected differ from planned + targeted: explain",IF(P160&lt;&gt;"Y","Confirm period coverage",IF(Q160="","Raise wave 3 PBC request","OK"))))))))</f>
        <v/>
      </c>
    </row>
    <row r="161" customFormat="false" ht="15" hidden="false" customHeight="false" outlineLevel="0" collapsed="false">
      <c r="A161" s="16"/>
      <c r="B161" s="16"/>
      <c r="C161" s="17" t="str">
        <f aca="false">IFERROR(INDEX(Ref_TEST!$B$2:$B$201,MATCH(B161,Ref_TEST!$A$2:$A$201,0)),"")</f>
        <v/>
      </c>
      <c r="D161" s="17" t="str">
        <f aca="false">IFERROR(INDEX(Ref_TEST!$C$2:$C$201,MATCH(B161,Ref_TEST!$A$2:$A$201,0)),"")</f>
        <v/>
      </c>
      <c r="E161" s="17" t="str">
        <f aca="false">IFERROR(INDEX(Ref_TEST!$D$2:$D$201,MATCH(B161,Ref_TEST!$A$2:$A$201,0)),"")</f>
        <v/>
      </c>
      <c r="F161" s="17" t="str">
        <f aca="false">IFERROR(INDEX(Ref_TEST!$E$2:$E$201,MATCH(B161,Ref_TEST!$A$2:$A$201,0)),"")</f>
        <v/>
      </c>
      <c r="G161" s="17" t="str">
        <f aca="false">IF(A161="","",COUNTIF(Items!$A$5:$A$1004,A161))</f>
        <v/>
      </c>
      <c r="H161" s="16"/>
      <c r="I161" s="16"/>
      <c r="J161" s="16"/>
      <c r="K161" s="17" t="str">
        <f aca="false">IF(A161="","",COUNTIFS(Items!$A$5:$A$1004,A161,Items!$E$5:$E$1004,"Q1"))</f>
        <v/>
      </c>
      <c r="L161" s="17" t="str">
        <f aca="false">IF(A161="","",COUNTIFS(Items!$A$5:$A$1004,A161,Items!$E$5:$E$1004,"Q2"))</f>
        <v/>
      </c>
      <c r="M161" s="17" t="str">
        <f aca="false">IF(A161="","",COUNTIFS(Items!$A$5:$A$1004,A161,Items!$E$5:$E$1004,"Q3"))</f>
        <v/>
      </c>
      <c r="N161" s="17" t="str">
        <f aca="false">IF(A161="","",COUNTIFS(Items!$A$5:$A$1004,A161,Items!$E$5:$E$1004,"Q4"))</f>
        <v/>
      </c>
      <c r="O161" s="17" t="str">
        <f aca="false">IF(A161="","",COUNTIF(K161:N161,"&gt;0"))</f>
        <v/>
      </c>
      <c r="P161" s="16"/>
      <c r="Q161" s="16"/>
      <c r="R161" s="16"/>
      <c r="S161" s="18"/>
      <c r="T161" s="16"/>
      <c r="U161" s="17" t="str">
        <f aca="false">IF(A161="","",IF(OR(B161="",H161="",R161="",S161=""),"TEST-ID, method, selector, date needed",IF(COUNTIF(Ref_TEST!$A$2:$A$201,B161)=0,"TEST-ID not in W10",IF(D161&lt;&gt;"Pass","HOLD: population IPE not Pass",IF(AND(OR(H161="Random (seeded)",H161="Systematic"),I161=""),"Seed or interval needed",IF(G161&lt;&gt;F161+N(J161),"Items selected differ from planned + targeted: explain",IF(P161&lt;&gt;"Y","Confirm period coverage",IF(Q161="","Raise wave 3 PBC request","OK"))))))))</f>
        <v/>
      </c>
    </row>
    <row r="162" customFormat="false" ht="15" hidden="false" customHeight="false" outlineLevel="0" collapsed="false">
      <c r="A162" s="16"/>
      <c r="B162" s="16"/>
      <c r="C162" s="17" t="str">
        <f aca="false">IFERROR(INDEX(Ref_TEST!$B$2:$B$201,MATCH(B162,Ref_TEST!$A$2:$A$201,0)),"")</f>
        <v/>
      </c>
      <c r="D162" s="17" t="str">
        <f aca="false">IFERROR(INDEX(Ref_TEST!$C$2:$C$201,MATCH(B162,Ref_TEST!$A$2:$A$201,0)),"")</f>
        <v/>
      </c>
      <c r="E162" s="17" t="str">
        <f aca="false">IFERROR(INDEX(Ref_TEST!$D$2:$D$201,MATCH(B162,Ref_TEST!$A$2:$A$201,0)),"")</f>
        <v/>
      </c>
      <c r="F162" s="17" t="str">
        <f aca="false">IFERROR(INDEX(Ref_TEST!$E$2:$E$201,MATCH(B162,Ref_TEST!$A$2:$A$201,0)),"")</f>
        <v/>
      </c>
      <c r="G162" s="17" t="str">
        <f aca="false">IF(A162="","",COUNTIF(Items!$A$5:$A$1004,A162))</f>
        <v/>
      </c>
      <c r="H162" s="16"/>
      <c r="I162" s="16"/>
      <c r="J162" s="16"/>
      <c r="K162" s="17" t="str">
        <f aca="false">IF(A162="","",COUNTIFS(Items!$A$5:$A$1004,A162,Items!$E$5:$E$1004,"Q1"))</f>
        <v/>
      </c>
      <c r="L162" s="17" t="str">
        <f aca="false">IF(A162="","",COUNTIFS(Items!$A$5:$A$1004,A162,Items!$E$5:$E$1004,"Q2"))</f>
        <v/>
      </c>
      <c r="M162" s="17" t="str">
        <f aca="false">IF(A162="","",COUNTIFS(Items!$A$5:$A$1004,A162,Items!$E$5:$E$1004,"Q3"))</f>
        <v/>
      </c>
      <c r="N162" s="17" t="str">
        <f aca="false">IF(A162="","",COUNTIFS(Items!$A$5:$A$1004,A162,Items!$E$5:$E$1004,"Q4"))</f>
        <v/>
      </c>
      <c r="O162" s="17" t="str">
        <f aca="false">IF(A162="","",COUNTIF(K162:N162,"&gt;0"))</f>
        <v/>
      </c>
      <c r="P162" s="16"/>
      <c r="Q162" s="16"/>
      <c r="R162" s="16"/>
      <c r="S162" s="18"/>
      <c r="T162" s="16"/>
      <c r="U162" s="17" t="str">
        <f aca="false">IF(A162="","",IF(OR(B162="",H162="",R162="",S162=""),"TEST-ID, method, selector, date needed",IF(COUNTIF(Ref_TEST!$A$2:$A$201,B162)=0,"TEST-ID not in W10",IF(D162&lt;&gt;"Pass","HOLD: population IPE not Pass",IF(AND(OR(H162="Random (seeded)",H162="Systematic"),I162=""),"Seed or interval needed",IF(G162&lt;&gt;F162+N(J162),"Items selected differ from planned + targeted: explain",IF(P162&lt;&gt;"Y","Confirm period coverage",IF(Q162="","Raise wave 3 PBC request","OK"))))))))</f>
        <v/>
      </c>
    </row>
    <row r="163" customFormat="false" ht="15" hidden="false" customHeight="false" outlineLevel="0" collapsed="false">
      <c r="A163" s="16"/>
      <c r="B163" s="16"/>
      <c r="C163" s="17" t="str">
        <f aca="false">IFERROR(INDEX(Ref_TEST!$B$2:$B$201,MATCH(B163,Ref_TEST!$A$2:$A$201,0)),"")</f>
        <v/>
      </c>
      <c r="D163" s="17" t="str">
        <f aca="false">IFERROR(INDEX(Ref_TEST!$C$2:$C$201,MATCH(B163,Ref_TEST!$A$2:$A$201,0)),"")</f>
        <v/>
      </c>
      <c r="E163" s="17" t="str">
        <f aca="false">IFERROR(INDEX(Ref_TEST!$D$2:$D$201,MATCH(B163,Ref_TEST!$A$2:$A$201,0)),"")</f>
        <v/>
      </c>
      <c r="F163" s="17" t="str">
        <f aca="false">IFERROR(INDEX(Ref_TEST!$E$2:$E$201,MATCH(B163,Ref_TEST!$A$2:$A$201,0)),"")</f>
        <v/>
      </c>
      <c r="G163" s="17" t="str">
        <f aca="false">IF(A163="","",COUNTIF(Items!$A$5:$A$1004,A163))</f>
        <v/>
      </c>
      <c r="H163" s="16"/>
      <c r="I163" s="16"/>
      <c r="J163" s="16"/>
      <c r="K163" s="17" t="str">
        <f aca="false">IF(A163="","",COUNTIFS(Items!$A$5:$A$1004,A163,Items!$E$5:$E$1004,"Q1"))</f>
        <v/>
      </c>
      <c r="L163" s="17" t="str">
        <f aca="false">IF(A163="","",COUNTIFS(Items!$A$5:$A$1004,A163,Items!$E$5:$E$1004,"Q2"))</f>
        <v/>
      </c>
      <c r="M163" s="17" t="str">
        <f aca="false">IF(A163="","",COUNTIFS(Items!$A$5:$A$1004,A163,Items!$E$5:$E$1004,"Q3"))</f>
        <v/>
      </c>
      <c r="N163" s="17" t="str">
        <f aca="false">IF(A163="","",COUNTIFS(Items!$A$5:$A$1004,A163,Items!$E$5:$E$1004,"Q4"))</f>
        <v/>
      </c>
      <c r="O163" s="17" t="str">
        <f aca="false">IF(A163="","",COUNTIF(K163:N163,"&gt;0"))</f>
        <v/>
      </c>
      <c r="P163" s="16"/>
      <c r="Q163" s="16"/>
      <c r="R163" s="16"/>
      <c r="S163" s="18"/>
      <c r="T163" s="16"/>
      <c r="U163" s="17" t="str">
        <f aca="false">IF(A163="","",IF(OR(B163="",H163="",R163="",S163=""),"TEST-ID, method, selector, date needed",IF(COUNTIF(Ref_TEST!$A$2:$A$201,B163)=0,"TEST-ID not in W10",IF(D163&lt;&gt;"Pass","HOLD: population IPE not Pass",IF(AND(OR(H163="Random (seeded)",H163="Systematic"),I163=""),"Seed or interval needed",IF(G163&lt;&gt;F163+N(J163),"Items selected differ from planned + targeted: explain",IF(P163&lt;&gt;"Y","Confirm period coverage",IF(Q163="","Raise wave 3 PBC request","OK"))))))))</f>
        <v/>
      </c>
    </row>
    <row r="164" customFormat="false" ht="15" hidden="false" customHeight="false" outlineLevel="0" collapsed="false">
      <c r="A164" s="16"/>
      <c r="B164" s="16"/>
      <c r="C164" s="17" t="str">
        <f aca="false">IFERROR(INDEX(Ref_TEST!$B$2:$B$201,MATCH(B164,Ref_TEST!$A$2:$A$201,0)),"")</f>
        <v/>
      </c>
      <c r="D164" s="17" t="str">
        <f aca="false">IFERROR(INDEX(Ref_TEST!$C$2:$C$201,MATCH(B164,Ref_TEST!$A$2:$A$201,0)),"")</f>
        <v/>
      </c>
      <c r="E164" s="17" t="str">
        <f aca="false">IFERROR(INDEX(Ref_TEST!$D$2:$D$201,MATCH(B164,Ref_TEST!$A$2:$A$201,0)),"")</f>
        <v/>
      </c>
      <c r="F164" s="17" t="str">
        <f aca="false">IFERROR(INDEX(Ref_TEST!$E$2:$E$201,MATCH(B164,Ref_TEST!$A$2:$A$201,0)),"")</f>
        <v/>
      </c>
      <c r="G164" s="17" t="str">
        <f aca="false">IF(A164="","",COUNTIF(Items!$A$5:$A$1004,A164))</f>
        <v/>
      </c>
      <c r="H164" s="16"/>
      <c r="I164" s="16"/>
      <c r="J164" s="16"/>
      <c r="K164" s="17" t="str">
        <f aca="false">IF(A164="","",COUNTIFS(Items!$A$5:$A$1004,A164,Items!$E$5:$E$1004,"Q1"))</f>
        <v/>
      </c>
      <c r="L164" s="17" t="str">
        <f aca="false">IF(A164="","",COUNTIFS(Items!$A$5:$A$1004,A164,Items!$E$5:$E$1004,"Q2"))</f>
        <v/>
      </c>
      <c r="M164" s="17" t="str">
        <f aca="false">IF(A164="","",COUNTIFS(Items!$A$5:$A$1004,A164,Items!$E$5:$E$1004,"Q3"))</f>
        <v/>
      </c>
      <c r="N164" s="17" t="str">
        <f aca="false">IF(A164="","",COUNTIFS(Items!$A$5:$A$1004,A164,Items!$E$5:$E$1004,"Q4"))</f>
        <v/>
      </c>
      <c r="O164" s="17" t="str">
        <f aca="false">IF(A164="","",COUNTIF(K164:N164,"&gt;0"))</f>
        <v/>
      </c>
      <c r="P164" s="16"/>
      <c r="Q164" s="16"/>
      <c r="R164" s="16"/>
      <c r="S164" s="18"/>
      <c r="T164" s="16"/>
      <c r="U164" s="17" t="str">
        <f aca="false">IF(A164="","",IF(OR(B164="",H164="",R164="",S164=""),"TEST-ID, method, selector, date needed",IF(COUNTIF(Ref_TEST!$A$2:$A$201,B164)=0,"TEST-ID not in W10",IF(D164&lt;&gt;"Pass","HOLD: population IPE not Pass",IF(AND(OR(H164="Random (seeded)",H164="Systematic"),I164=""),"Seed or interval needed",IF(G164&lt;&gt;F164+N(J164),"Items selected differ from planned + targeted: explain",IF(P164&lt;&gt;"Y","Confirm period coverage",IF(Q164="","Raise wave 3 PBC request","OK"))))))))</f>
        <v/>
      </c>
    </row>
    <row r="165" customFormat="false" ht="15" hidden="false" customHeight="false" outlineLevel="0" collapsed="false">
      <c r="A165" s="16"/>
      <c r="B165" s="16"/>
      <c r="C165" s="17" t="str">
        <f aca="false">IFERROR(INDEX(Ref_TEST!$B$2:$B$201,MATCH(B165,Ref_TEST!$A$2:$A$201,0)),"")</f>
        <v/>
      </c>
      <c r="D165" s="17" t="str">
        <f aca="false">IFERROR(INDEX(Ref_TEST!$C$2:$C$201,MATCH(B165,Ref_TEST!$A$2:$A$201,0)),"")</f>
        <v/>
      </c>
      <c r="E165" s="17" t="str">
        <f aca="false">IFERROR(INDEX(Ref_TEST!$D$2:$D$201,MATCH(B165,Ref_TEST!$A$2:$A$201,0)),"")</f>
        <v/>
      </c>
      <c r="F165" s="17" t="str">
        <f aca="false">IFERROR(INDEX(Ref_TEST!$E$2:$E$201,MATCH(B165,Ref_TEST!$A$2:$A$201,0)),"")</f>
        <v/>
      </c>
      <c r="G165" s="17" t="str">
        <f aca="false">IF(A165="","",COUNTIF(Items!$A$5:$A$1004,A165))</f>
        <v/>
      </c>
      <c r="H165" s="16"/>
      <c r="I165" s="16"/>
      <c r="J165" s="16"/>
      <c r="K165" s="17" t="str">
        <f aca="false">IF(A165="","",COUNTIFS(Items!$A$5:$A$1004,A165,Items!$E$5:$E$1004,"Q1"))</f>
        <v/>
      </c>
      <c r="L165" s="17" t="str">
        <f aca="false">IF(A165="","",COUNTIFS(Items!$A$5:$A$1004,A165,Items!$E$5:$E$1004,"Q2"))</f>
        <v/>
      </c>
      <c r="M165" s="17" t="str">
        <f aca="false">IF(A165="","",COUNTIFS(Items!$A$5:$A$1004,A165,Items!$E$5:$E$1004,"Q3"))</f>
        <v/>
      </c>
      <c r="N165" s="17" t="str">
        <f aca="false">IF(A165="","",COUNTIFS(Items!$A$5:$A$1004,A165,Items!$E$5:$E$1004,"Q4"))</f>
        <v/>
      </c>
      <c r="O165" s="17" t="str">
        <f aca="false">IF(A165="","",COUNTIF(K165:N165,"&gt;0"))</f>
        <v/>
      </c>
      <c r="P165" s="16"/>
      <c r="Q165" s="16"/>
      <c r="R165" s="16"/>
      <c r="S165" s="18"/>
      <c r="T165" s="16"/>
      <c r="U165" s="17" t="str">
        <f aca="false">IF(A165="","",IF(OR(B165="",H165="",R165="",S165=""),"TEST-ID, method, selector, date needed",IF(COUNTIF(Ref_TEST!$A$2:$A$201,B165)=0,"TEST-ID not in W10",IF(D165&lt;&gt;"Pass","HOLD: population IPE not Pass",IF(AND(OR(H165="Random (seeded)",H165="Systematic"),I165=""),"Seed or interval needed",IF(G165&lt;&gt;F165+N(J165),"Items selected differ from planned + targeted: explain",IF(P165&lt;&gt;"Y","Confirm period coverage",IF(Q165="","Raise wave 3 PBC request","OK"))))))))</f>
        <v/>
      </c>
    </row>
    <row r="166" customFormat="false" ht="15" hidden="false" customHeight="false" outlineLevel="0" collapsed="false">
      <c r="A166" s="16"/>
      <c r="B166" s="16"/>
      <c r="C166" s="17" t="str">
        <f aca="false">IFERROR(INDEX(Ref_TEST!$B$2:$B$201,MATCH(B166,Ref_TEST!$A$2:$A$201,0)),"")</f>
        <v/>
      </c>
      <c r="D166" s="17" t="str">
        <f aca="false">IFERROR(INDEX(Ref_TEST!$C$2:$C$201,MATCH(B166,Ref_TEST!$A$2:$A$201,0)),"")</f>
        <v/>
      </c>
      <c r="E166" s="17" t="str">
        <f aca="false">IFERROR(INDEX(Ref_TEST!$D$2:$D$201,MATCH(B166,Ref_TEST!$A$2:$A$201,0)),"")</f>
        <v/>
      </c>
      <c r="F166" s="17" t="str">
        <f aca="false">IFERROR(INDEX(Ref_TEST!$E$2:$E$201,MATCH(B166,Ref_TEST!$A$2:$A$201,0)),"")</f>
        <v/>
      </c>
      <c r="G166" s="17" t="str">
        <f aca="false">IF(A166="","",COUNTIF(Items!$A$5:$A$1004,A166))</f>
        <v/>
      </c>
      <c r="H166" s="16"/>
      <c r="I166" s="16"/>
      <c r="J166" s="16"/>
      <c r="K166" s="17" t="str">
        <f aca="false">IF(A166="","",COUNTIFS(Items!$A$5:$A$1004,A166,Items!$E$5:$E$1004,"Q1"))</f>
        <v/>
      </c>
      <c r="L166" s="17" t="str">
        <f aca="false">IF(A166="","",COUNTIFS(Items!$A$5:$A$1004,A166,Items!$E$5:$E$1004,"Q2"))</f>
        <v/>
      </c>
      <c r="M166" s="17" t="str">
        <f aca="false">IF(A166="","",COUNTIFS(Items!$A$5:$A$1004,A166,Items!$E$5:$E$1004,"Q3"))</f>
        <v/>
      </c>
      <c r="N166" s="17" t="str">
        <f aca="false">IF(A166="","",COUNTIFS(Items!$A$5:$A$1004,A166,Items!$E$5:$E$1004,"Q4"))</f>
        <v/>
      </c>
      <c r="O166" s="17" t="str">
        <f aca="false">IF(A166="","",COUNTIF(K166:N166,"&gt;0"))</f>
        <v/>
      </c>
      <c r="P166" s="16"/>
      <c r="Q166" s="16"/>
      <c r="R166" s="16"/>
      <c r="S166" s="18"/>
      <c r="T166" s="16"/>
      <c r="U166" s="17" t="str">
        <f aca="false">IF(A166="","",IF(OR(B166="",H166="",R166="",S166=""),"TEST-ID, method, selector, date needed",IF(COUNTIF(Ref_TEST!$A$2:$A$201,B166)=0,"TEST-ID not in W10",IF(D166&lt;&gt;"Pass","HOLD: population IPE not Pass",IF(AND(OR(H166="Random (seeded)",H166="Systematic"),I166=""),"Seed or interval needed",IF(G166&lt;&gt;F166+N(J166),"Items selected differ from planned + targeted: explain",IF(P166&lt;&gt;"Y","Confirm period coverage",IF(Q166="","Raise wave 3 PBC request","OK"))))))))</f>
        <v/>
      </c>
    </row>
    <row r="167" customFormat="false" ht="15" hidden="false" customHeight="false" outlineLevel="0" collapsed="false">
      <c r="A167" s="16"/>
      <c r="B167" s="16"/>
      <c r="C167" s="17" t="str">
        <f aca="false">IFERROR(INDEX(Ref_TEST!$B$2:$B$201,MATCH(B167,Ref_TEST!$A$2:$A$201,0)),"")</f>
        <v/>
      </c>
      <c r="D167" s="17" t="str">
        <f aca="false">IFERROR(INDEX(Ref_TEST!$C$2:$C$201,MATCH(B167,Ref_TEST!$A$2:$A$201,0)),"")</f>
        <v/>
      </c>
      <c r="E167" s="17" t="str">
        <f aca="false">IFERROR(INDEX(Ref_TEST!$D$2:$D$201,MATCH(B167,Ref_TEST!$A$2:$A$201,0)),"")</f>
        <v/>
      </c>
      <c r="F167" s="17" t="str">
        <f aca="false">IFERROR(INDEX(Ref_TEST!$E$2:$E$201,MATCH(B167,Ref_TEST!$A$2:$A$201,0)),"")</f>
        <v/>
      </c>
      <c r="G167" s="17" t="str">
        <f aca="false">IF(A167="","",COUNTIF(Items!$A$5:$A$1004,A167))</f>
        <v/>
      </c>
      <c r="H167" s="16"/>
      <c r="I167" s="16"/>
      <c r="J167" s="16"/>
      <c r="K167" s="17" t="str">
        <f aca="false">IF(A167="","",COUNTIFS(Items!$A$5:$A$1004,A167,Items!$E$5:$E$1004,"Q1"))</f>
        <v/>
      </c>
      <c r="L167" s="17" t="str">
        <f aca="false">IF(A167="","",COUNTIFS(Items!$A$5:$A$1004,A167,Items!$E$5:$E$1004,"Q2"))</f>
        <v/>
      </c>
      <c r="M167" s="17" t="str">
        <f aca="false">IF(A167="","",COUNTIFS(Items!$A$5:$A$1004,A167,Items!$E$5:$E$1004,"Q3"))</f>
        <v/>
      </c>
      <c r="N167" s="17" t="str">
        <f aca="false">IF(A167="","",COUNTIFS(Items!$A$5:$A$1004,A167,Items!$E$5:$E$1004,"Q4"))</f>
        <v/>
      </c>
      <c r="O167" s="17" t="str">
        <f aca="false">IF(A167="","",COUNTIF(K167:N167,"&gt;0"))</f>
        <v/>
      </c>
      <c r="P167" s="16"/>
      <c r="Q167" s="16"/>
      <c r="R167" s="16"/>
      <c r="S167" s="18"/>
      <c r="T167" s="16"/>
      <c r="U167" s="17" t="str">
        <f aca="false">IF(A167="","",IF(OR(B167="",H167="",R167="",S167=""),"TEST-ID, method, selector, date needed",IF(COUNTIF(Ref_TEST!$A$2:$A$201,B167)=0,"TEST-ID not in W10",IF(D167&lt;&gt;"Pass","HOLD: population IPE not Pass",IF(AND(OR(H167="Random (seeded)",H167="Systematic"),I167=""),"Seed or interval needed",IF(G167&lt;&gt;F167+N(J167),"Items selected differ from planned + targeted: explain",IF(P167&lt;&gt;"Y","Confirm period coverage",IF(Q167="","Raise wave 3 PBC request","OK"))))))))</f>
        <v/>
      </c>
    </row>
    <row r="168" customFormat="false" ht="15" hidden="false" customHeight="false" outlineLevel="0" collapsed="false">
      <c r="A168" s="16"/>
      <c r="B168" s="16"/>
      <c r="C168" s="17" t="str">
        <f aca="false">IFERROR(INDEX(Ref_TEST!$B$2:$B$201,MATCH(B168,Ref_TEST!$A$2:$A$201,0)),"")</f>
        <v/>
      </c>
      <c r="D168" s="17" t="str">
        <f aca="false">IFERROR(INDEX(Ref_TEST!$C$2:$C$201,MATCH(B168,Ref_TEST!$A$2:$A$201,0)),"")</f>
        <v/>
      </c>
      <c r="E168" s="17" t="str">
        <f aca="false">IFERROR(INDEX(Ref_TEST!$D$2:$D$201,MATCH(B168,Ref_TEST!$A$2:$A$201,0)),"")</f>
        <v/>
      </c>
      <c r="F168" s="17" t="str">
        <f aca="false">IFERROR(INDEX(Ref_TEST!$E$2:$E$201,MATCH(B168,Ref_TEST!$A$2:$A$201,0)),"")</f>
        <v/>
      </c>
      <c r="G168" s="17" t="str">
        <f aca="false">IF(A168="","",COUNTIF(Items!$A$5:$A$1004,A168))</f>
        <v/>
      </c>
      <c r="H168" s="16"/>
      <c r="I168" s="16"/>
      <c r="J168" s="16"/>
      <c r="K168" s="17" t="str">
        <f aca="false">IF(A168="","",COUNTIFS(Items!$A$5:$A$1004,A168,Items!$E$5:$E$1004,"Q1"))</f>
        <v/>
      </c>
      <c r="L168" s="17" t="str">
        <f aca="false">IF(A168="","",COUNTIFS(Items!$A$5:$A$1004,A168,Items!$E$5:$E$1004,"Q2"))</f>
        <v/>
      </c>
      <c r="M168" s="17" t="str">
        <f aca="false">IF(A168="","",COUNTIFS(Items!$A$5:$A$1004,A168,Items!$E$5:$E$1004,"Q3"))</f>
        <v/>
      </c>
      <c r="N168" s="17" t="str">
        <f aca="false">IF(A168="","",COUNTIFS(Items!$A$5:$A$1004,A168,Items!$E$5:$E$1004,"Q4"))</f>
        <v/>
      </c>
      <c r="O168" s="17" t="str">
        <f aca="false">IF(A168="","",COUNTIF(K168:N168,"&gt;0"))</f>
        <v/>
      </c>
      <c r="P168" s="16"/>
      <c r="Q168" s="16"/>
      <c r="R168" s="16"/>
      <c r="S168" s="18"/>
      <c r="T168" s="16"/>
      <c r="U168" s="17" t="str">
        <f aca="false">IF(A168="","",IF(OR(B168="",H168="",R168="",S168=""),"TEST-ID, method, selector, date needed",IF(COUNTIF(Ref_TEST!$A$2:$A$201,B168)=0,"TEST-ID not in W10",IF(D168&lt;&gt;"Pass","HOLD: population IPE not Pass",IF(AND(OR(H168="Random (seeded)",H168="Systematic"),I168=""),"Seed or interval needed",IF(G168&lt;&gt;F168+N(J168),"Items selected differ from planned + targeted: explain",IF(P168&lt;&gt;"Y","Confirm period coverage",IF(Q168="","Raise wave 3 PBC request","OK"))))))))</f>
        <v/>
      </c>
    </row>
    <row r="169" customFormat="false" ht="15" hidden="false" customHeight="false" outlineLevel="0" collapsed="false">
      <c r="A169" s="16"/>
      <c r="B169" s="16"/>
      <c r="C169" s="17" t="str">
        <f aca="false">IFERROR(INDEX(Ref_TEST!$B$2:$B$201,MATCH(B169,Ref_TEST!$A$2:$A$201,0)),"")</f>
        <v/>
      </c>
      <c r="D169" s="17" t="str">
        <f aca="false">IFERROR(INDEX(Ref_TEST!$C$2:$C$201,MATCH(B169,Ref_TEST!$A$2:$A$201,0)),"")</f>
        <v/>
      </c>
      <c r="E169" s="17" t="str">
        <f aca="false">IFERROR(INDEX(Ref_TEST!$D$2:$D$201,MATCH(B169,Ref_TEST!$A$2:$A$201,0)),"")</f>
        <v/>
      </c>
      <c r="F169" s="17" t="str">
        <f aca="false">IFERROR(INDEX(Ref_TEST!$E$2:$E$201,MATCH(B169,Ref_TEST!$A$2:$A$201,0)),"")</f>
        <v/>
      </c>
      <c r="G169" s="17" t="str">
        <f aca="false">IF(A169="","",COUNTIF(Items!$A$5:$A$1004,A169))</f>
        <v/>
      </c>
      <c r="H169" s="16"/>
      <c r="I169" s="16"/>
      <c r="J169" s="16"/>
      <c r="K169" s="17" t="str">
        <f aca="false">IF(A169="","",COUNTIFS(Items!$A$5:$A$1004,A169,Items!$E$5:$E$1004,"Q1"))</f>
        <v/>
      </c>
      <c r="L169" s="17" t="str">
        <f aca="false">IF(A169="","",COUNTIFS(Items!$A$5:$A$1004,A169,Items!$E$5:$E$1004,"Q2"))</f>
        <v/>
      </c>
      <c r="M169" s="17" t="str">
        <f aca="false">IF(A169="","",COUNTIFS(Items!$A$5:$A$1004,A169,Items!$E$5:$E$1004,"Q3"))</f>
        <v/>
      </c>
      <c r="N169" s="17" t="str">
        <f aca="false">IF(A169="","",COUNTIFS(Items!$A$5:$A$1004,A169,Items!$E$5:$E$1004,"Q4"))</f>
        <v/>
      </c>
      <c r="O169" s="17" t="str">
        <f aca="false">IF(A169="","",COUNTIF(K169:N169,"&gt;0"))</f>
        <v/>
      </c>
      <c r="P169" s="16"/>
      <c r="Q169" s="16"/>
      <c r="R169" s="16"/>
      <c r="S169" s="18"/>
      <c r="T169" s="16"/>
      <c r="U169" s="17" t="str">
        <f aca="false">IF(A169="","",IF(OR(B169="",H169="",R169="",S169=""),"TEST-ID, method, selector, date needed",IF(COUNTIF(Ref_TEST!$A$2:$A$201,B169)=0,"TEST-ID not in W10",IF(D169&lt;&gt;"Pass","HOLD: population IPE not Pass",IF(AND(OR(H169="Random (seeded)",H169="Systematic"),I169=""),"Seed or interval needed",IF(G169&lt;&gt;F169+N(J169),"Items selected differ from planned + targeted: explain",IF(P169&lt;&gt;"Y","Confirm period coverage",IF(Q169="","Raise wave 3 PBC request","OK"))))))))</f>
        <v/>
      </c>
    </row>
    <row r="170" customFormat="false" ht="15" hidden="false" customHeight="false" outlineLevel="0" collapsed="false">
      <c r="A170" s="16"/>
      <c r="B170" s="16"/>
      <c r="C170" s="17" t="str">
        <f aca="false">IFERROR(INDEX(Ref_TEST!$B$2:$B$201,MATCH(B170,Ref_TEST!$A$2:$A$201,0)),"")</f>
        <v/>
      </c>
      <c r="D170" s="17" t="str">
        <f aca="false">IFERROR(INDEX(Ref_TEST!$C$2:$C$201,MATCH(B170,Ref_TEST!$A$2:$A$201,0)),"")</f>
        <v/>
      </c>
      <c r="E170" s="17" t="str">
        <f aca="false">IFERROR(INDEX(Ref_TEST!$D$2:$D$201,MATCH(B170,Ref_TEST!$A$2:$A$201,0)),"")</f>
        <v/>
      </c>
      <c r="F170" s="17" t="str">
        <f aca="false">IFERROR(INDEX(Ref_TEST!$E$2:$E$201,MATCH(B170,Ref_TEST!$A$2:$A$201,0)),"")</f>
        <v/>
      </c>
      <c r="G170" s="17" t="str">
        <f aca="false">IF(A170="","",COUNTIF(Items!$A$5:$A$1004,A170))</f>
        <v/>
      </c>
      <c r="H170" s="16"/>
      <c r="I170" s="16"/>
      <c r="J170" s="16"/>
      <c r="K170" s="17" t="str">
        <f aca="false">IF(A170="","",COUNTIFS(Items!$A$5:$A$1004,A170,Items!$E$5:$E$1004,"Q1"))</f>
        <v/>
      </c>
      <c r="L170" s="17" t="str">
        <f aca="false">IF(A170="","",COUNTIFS(Items!$A$5:$A$1004,A170,Items!$E$5:$E$1004,"Q2"))</f>
        <v/>
      </c>
      <c r="M170" s="17" t="str">
        <f aca="false">IF(A170="","",COUNTIFS(Items!$A$5:$A$1004,A170,Items!$E$5:$E$1004,"Q3"))</f>
        <v/>
      </c>
      <c r="N170" s="17" t="str">
        <f aca="false">IF(A170="","",COUNTIFS(Items!$A$5:$A$1004,A170,Items!$E$5:$E$1004,"Q4"))</f>
        <v/>
      </c>
      <c r="O170" s="17" t="str">
        <f aca="false">IF(A170="","",COUNTIF(K170:N170,"&gt;0"))</f>
        <v/>
      </c>
      <c r="P170" s="16"/>
      <c r="Q170" s="16"/>
      <c r="R170" s="16"/>
      <c r="S170" s="18"/>
      <c r="T170" s="16"/>
      <c r="U170" s="17" t="str">
        <f aca="false">IF(A170="","",IF(OR(B170="",H170="",R170="",S170=""),"TEST-ID, method, selector, date needed",IF(COUNTIF(Ref_TEST!$A$2:$A$201,B170)=0,"TEST-ID not in W10",IF(D170&lt;&gt;"Pass","HOLD: population IPE not Pass",IF(AND(OR(H170="Random (seeded)",H170="Systematic"),I170=""),"Seed or interval needed",IF(G170&lt;&gt;F170+N(J170),"Items selected differ from planned + targeted: explain",IF(P170&lt;&gt;"Y","Confirm period coverage",IF(Q170="","Raise wave 3 PBC request","OK"))))))))</f>
        <v/>
      </c>
    </row>
    <row r="171" customFormat="false" ht="15" hidden="false" customHeight="false" outlineLevel="0" collapsed="false">
      <c r="A171" s="16"/>
      <c r="B171" s="16"/>
      <c r="C171" s="17" t="str">
        <f aca="false">IFERROR(INDEX(Ref_TEST!$B$2:$B$201,MATCH(B171,Ref_TEST!$A$2:$A$201,0)),"")</f>
        <v/>
      </c>
      <c r="D171" s="17" t="str">
        <f aca="false">IFERROR(INDEX(Ref_TEST!$C$2:$C$201,MATCH(B171,Ref_TEST!$A$2:$A$201,0)),"")</f>
        <v/>
      </c>
      <c r="E171" s="17" t="str">
        <f aca="false">IFERROR(INDEX(Ref_TEST!$D$2:$D$201,MATCH(B171,Ref_TEST!$A$2:$A$201,0)),"")</f>
        <v/>
      </c>
      <c r="F171" s="17" t="str">
        <f aca="false">IFERROR(INDEX(Ref_TEST!$E$2:$E$201,MATCH(B171,Ref_TEST!$A$2:$A$201,0)),"")</f>
        <v/>
      </c>
      <c r="G171" s="17" t="str">
        <f aca="false">IF(A171="","",COUNTIF(Items!$A$5:$A$1004,A171))</f>
        <v/>
      </c>
      <c r="H171" s="16"/>
      <c r="I171" s="16"/>
      <c r="J171" s="16"/>
      <c r="K171" s="17" t="str">
        <f aca="false">IF(A171="","",COUNTIFS(Items!$A$5:$A$1004,A171,Items!$E$5:$E$1004,"Q1"))</f>
        <v/>
      </c>
      <c r="L171" s="17" t="str">
        <f aca="false">IF(A171="","",COUNTIFS(Items!$A$5:$A$1004,A171,Items!$E$5:$E$1004,"Q2"))</f>
        <v/>
      </c>
      <c r="M171" s="17" t="str">
        <f aca="false">IF(A171="","",COUNTIFS(Items!$A$5:$A$1004,A171,Items!$E$5:$E$1004,"Q3"))</f>
        <v/>
      </c>
      <c r="N171" s="17" t="str">
        <f aca="false">IF(A171="","",COUNTIFS(Items!$A$5:$A$1004,A171,Items!$E$5:$E$1004,"Q4"))</f>
        <v/>
      </c>
      <c r="O171" s="17" t="str">
        <f aca="false">IF(A171="","",COUNTIF(K171:N171,"&gt;0"))</f>
        <v/>
      </c>
      <c r="P171" s="16"/>
      <c r="Q171" s="16"/>
      <c r="R171" s="16"/>
      <c r="S171" s="18"/>
      <c r="T171" s="16"/>
      <c r="U171" s="17" t="str">
        <f aca="false">IF(A171="","",IF(OR(B171="",H171="",R171="",S171=""),"TEST-ID, method, selector, date needed",IF(COUNTIF(Ref_TEST!$A$2:$A$201,B171)=0,"TEST-ID not in W10",IF(D171&lt;&gt;"Pass","HOLD: population IPE not Pass",IF(AND(OR(H171="Random (seeded)",H171="Systematic"),I171=""),"Seed or interval needed",IF(G171&lt;&gt;F171+N(J171),"Items selected differ from planned + targeted: explain",IF(P171&lt;&gt;"Y","Confirm period coverage",IF(Q171="","Raise wave 3 PBC request","OK"))))))))</f>
        <v/>
      </c>
    </row>
    <row r="172" customFormat="false" ht="15" hidden="false" customHeight="false" outlineLevel="0" collapsed="false">
      <c r="A172" s="16"/>
      <c r="B172" s="16"/>
      <c r="C172" s="17" t="str">
        <f aca="false">IFERROR(INDEX(Ref_TEST!$B$2:$B$201,MATCH(B172,Ref_TEST!$A$2:$A$201,0)),"")</f>
        <v/>
      </c>
      <c r="D172" s="17" t="str">
        <f aca="false">IFERROR(INDEX(Ref_TEST!$C$2:$C$201,MATCH(B172,Ref_TEST!$A$2:$A$201,0)),"")</f>
        <v/>
      </c>
      <c r="E172" s="17" t="str">
        <f aca="false">IFERROR(INDEX(Ref_TEST!$D$2:$D$201,MATCH(B172,Ref_TEST!$A$2:$A$201,0)),"")</f>
        <v/>
      </c>
      <c r="F172" s="17" t="str">
        <f aca="false">IFERROR(INDEX(Ref_TEST!$E$2:$E$201,MATCH(B172,Ref_TEST!$A$2:$A$201,0)),"")</f>
        <v/>
      </c>
      <c r="G172" s="17" t="str">
        <f aca="false">IF(A172="","",COUNTIF(Items!$A$5:$A$1004,A172))</f>
        <v/>
      </c>
      <c r="H172" s="16"/>
      <c r="I172" s="16"/>
      <c r="J172" s="16"/>
      <c r="K172" s="17" t="str">
        <f aca="false">IF(A172="","",COUNTIFS(Items!$A$5:$A$1004,A172,Items!$E$5:$E$1004,"Q1"))</f>
        <v/>
      </c>
      <c r="L172" s="17" t="str">
        <f aca="false">IF(A172="","",COUNTIFS(Items!$A$5:$A$1004,A172,Items!$E$5:$E$1004,"Q2"))</f>
        <v/>
      </c>
      <c r="M172" s="17" t="str">
        <f aca="false">IF(A172="","",COUNTIFS(Items!$A$5:$A$1004,A172,Items!$E$5:$E$1004,"Q3"))</f>
        <v/>
      </c>
      <c r="N172" s="17" t="str">
        <f aca="false">IF(A172="","",COUNTIFS(Items!$A$5:$A$1004,A172,Items!$E$5:$E$1004,"Q4"))</f>
        <v/>
      </c>
      <c r="O172" s="17" t="str">
        <f aca="false">IF(A172="","",COUNTIF(K172:N172,"&gt;0"))</f>
        <v/>
      </c>
      <c r="P172" s="16"/>
      <c r="Q172" s="16"/>
      <c r="R172" s="16"/>
      <c r="S172" s="18"/>
      <c r="T172" s="16"/>
      <c r="U172" s="17" t="str">
        <f aca="false">IF(A172="","",IF(OR(B172="",H172="",R172="",S172=""),"TEST-ID, method, selector, date needed",IF(COUNTIF(Ref_TEST!$A$2:$A$201,B172)=0,"TEST-ID not in W10",IF(D172&lt;&gt;"Pass","HOLD: population IPE not Pass",IF(AND(OR(H172="Random (seeded)",H172="Systematic"),I172=""),"Seed or interval needed",IF(G172&lt;&gt;F172+N(J172),"Items selected differ from planned + targeted: explain",IF(P172&lt;&gt;"Y","Confirm period coverage",IF(Q172="","Raise wave 3 PBC request","OK"))))))))</f>
        <v/>
      </c>
    </row>
    <row r="173" customFormat="false" ht="15" hidden="false" customHeight="false" outlineLevel="0" collapsed="false">
      <c r="A173" s="16"/>
      <c r="B173" s="16"/>
      <c r="C173" s="17" t="str">
        <f aca="false">IFERROR(INDEX(Ref_TEST!$B$2:$B$201,MATCH(B173,Ref_TEST!$A$2:$A$201,0)),"")</f>
        <v/>
      </c>
      <c r="D173" s="17" t="str">
        <f aca="false">IFERROR(INDEX(Ref_TEST!$C$2:$C$201,MATCH(B173,Ref_TEST!$A$2:$A$201,0)),"")</f>
        <v/>
      </c>
      <c r="E173" s="17" t="str">
        <f aca="false">IFERROR(INDEX(Ref_TEST!$D$2:$D$201,MATCH(B173,Ref_TEST!$A$2:$A$201,0)),"")</f>
        <v/>
      </c>
      <c r="F173" s="17" t="str">
        <f aca="false">IFERROR(INDEX(Ref_TEST!$E$2:$E$201,MATCH(B173,Ref_TEST!$A$2:$A$201,0)),"")</f>
        <v/>
      </c>
      <c r="G173" s="17" t="str">
        <f aca="false">IF(A173="","",COUNTIF(Items!$A$5:$A$1004,A173))</f>
        <v/>
      </c>
      <c r="H173" s="16"/>
      <c r="I173" s="16"/>
      <c r="J173" s="16"/>
      <c r="K173" s="17" t="str">
        <f aca="false">IF(A173="","",COUNTIFS(Items!$A$5:$A$1004,A173,Items!$E$5:$E$1004,"Q1"))</f>
        <v/>
      </c>
      <c r="L173" s="17" t="str">
        <f aca="false">IF(A173="","",COUNTIFS(Items!$A$5:$A$1004,A173,Items!$E$5:$E$1004,"Q2"))</f>
        <v/>
      </c>
      <c r="M173" s="17" t="str">
        <f aca="false">IF(A173="","",COUNTIFS(Items!$A$5:$A$1004,A173,Items!$E$5:$E$1004,"Q3"))</f>
        <v/>
      </c>
      <c r="N173" s="17" t="str">
        <f aca="false">IF(A173="","",COUNTIFS(Items!$A$5:$A$1004,A173,Items!$E$5:$E$1004,"Q4"))</f>
        <v/>
      </c>
      <c r="O173" s="17" t="str">
        <f aca="false">IF(A173="","",COUNTIF(K173:N173,"&gt;0"))</f>
        <v/>
      </c>
      <c r="P173" s="16"/>
      <c r="Q173" s="16"/>
      <c r="R173" s="16"/>
      <c r="S173" s="18"/>
      <c r="T173" s="16"/>
      <c r="U173" s="17" t="str">
        <f aca="false">IF(A173="","",IF(OR(B173="",H173="",R173="",S173=""),"TEST-ID, method, selector, date needed",IF(COUNTIF(Ref_TEST!$A$2:$A$201,B173)=0,"TEST-ID not in W10",IF(D173&lt;&gt;"Pass","HOLD: population IPE not Pass",IF(AND(OR(H173="Random (seeded)",H173="Systematic"),I173=""),"Seed or interval needed",IF(G173&lt;&gt;F173+N(J173),"Items selected differ from planned + targeted: explain",IF(P173&lt;&gt;"Y","Confirm period coverage",IF(Q173="","Raise wave 3 PBC request","OK"))))))))</f>
        <v/>
      </c>
    </row>
    <row r="174" customFormat="false" ht="15" hidden="false" customHeight="false" outlineLevel="0" collapsed="false">
      <c r="A174" s="16"/>
      <c r="B174" s="16"/>
      <c r="C174" s="17" t="str">
        <f aca="false">IFERROR(INDEX(Ref_TEST!$B$2:$B$201,MATCH(B174,Ref_TEST!$A$2:$A$201,0)),"")</f>
        <v/>
      </c>
      <c r="D174" s="17" t="str">
        <f aca="false">IFERROR(INDEX(Ref_TEST!$C$2:$C$201,MATCH(B174,Ref_TEST!$A$2:$A$201,0)),"")</f>
        <v/>
      </c>
      <c r="E174" s="17" t="str">
        <f aca="false">IFERROR(INDEX(Ref_TEST!$D$2:$D$201,MATCH(B174,Ref_TEST!$A$2:$A$201,0)),"")</f>
        <v/>
      </c>
      <c r="F174" s="17" t="str">
        <f aca="false">IFERROR(INDEX(Ref_TEST!$E$2:$E$201,MATCH(B174,Ref_TEST!$A$2:$A$201,0)),"")</f>
        <v/>
      </c>
      <c r="G174" s="17" t="str">
        <f aca="false">IF(A174="","",COUNTIF(Items!$A$5:$A$1004,A174))</f>
        <v/>
      </c>
      <c r="H174" s="16"/>
      <c r="I174" s="16"/>
      <c r="J174" s="16"/>
      <c r="K174" s="17" t="str">
        <f aca="false">IF(A174="","",COUNTIFS(Items!$A$5:$A$1004,A174,Items!$E$5:$E$1004,"Q1"))</f>
        <v/>
      </c>
      <c r="L174" s="17" t="str">
        <f aca="false">IF(A174="","",COUNTIFS(Items!$A$5:$A$1004,A174,Items!$E$5:$E$1004,"Q2"))</f>
        <v/>
      </c>
      <c r="M174" s="17" t="str">
        <f aca="false">IF(A174="","",COUNTIFS(Items!$A$5:$A$1004,A174,Items!$E$5:$E$1004,"Q3"))</f>
        <v/>
      </c>
      <c r="N174" s="17" t="str">
        <f aca="false">IF(A174="","",COUNTIFS(Items!$A$5:$A$1004,A174,Items!$E$5:$E$1004,"Q4"))</f>
        <v/>
      </c>
      <c r="O174" s="17" t="str">
        <f aca="false">IF(A174="","",COUNTIF(K174:N174,"&gt;0"))</f>
        <v/>
      </c>
      <c r="P174" s="16"/>
      <c r="Q174" s="16"/>
      <c r="R174" s="16"/>
      <c r="S174" s="18"/>
      <c r="T174" s="16"/>
      <c r="U174" s="17" t="str">
        <f aca="false">IF(A174="","",IF(OR(B174="",H174="",R174="",S174=""),"TEST-ID, method, selector, date needed",IF(COUNTIF(Ref_TEST!$A$2:$A$201,B174)=0,"TEST-ID not in W10",IF(D174&lt;&gt;"Pass","HOLD: population IPE not Pass",IF(AND(OR(H174="Random (seeded)",H174="Systematic"),I174=""),"Seed or interval needed",IF(G174&lt;&gt;F174+N(J174),"Items selected differ from planned + targeted: explain",IF(P174&lt;&gt;"Y","Confirm period coverage",IF(Q174="","Raise wave 3 PBC request","OK"))))))))</f>
        <v/>
      </c>
    </row>
    <row r="175" customFormat="false" ht="15" hidden="false" customHeight="false" outlineLevel="0" collapsed="false">
      <c r="A175" s="16"/>
      <c r="B175" s="16"/>
      <c r="C175" s="17" t="str">
        <f aca="false">IFERROR(INDEX(Ref_TEST!$B$2:$B$201,MATCH(B175,Ref_TEST!$A$2:$A$201,0)),"")</f>
        <v/>
      </c>
      <c r="D175" s="17" t="str">
        <f aca="false">IFERROR(INDEX(Ref_TEST!$C$2:$C$201,MATCH(B175,Ref_TEST!$A$2:$A$201,0)),"")</f>
        <v/>
      </c>
      <c r="E175" s="17" t="str">
        <f aca="false">IFERROR(INDEX(Ref_TEST!$D$2:$D$201,MATCH(B175,Ref_TEST!$A$2:$A$201,0)),"")</f>
        <v/>
      </c>
      <c r="F175" s="17" t="str">
        <f aca="false">IFERROR(INDEX(Ref_TEST!$E$2:$E$201,MATCH(B175,Ref_TEST!$A$2:$A$201,0)),"")</f>
        <v/>
      </c>
      <c r="G175" s="17" t="str">
        <f aca="false">IF(A175="","",COUNTIF(Items!$A$5:$A$1004,A175))</f>
        <v/>
      </c>
      <c r="H175" s="16"/>
      <c r="I175" s="16"/>
      <c r="J175" s="16"/>
      <c r="K175" s="17" t="str">
        <f aca="false">IF(A175="","",COUNTIFS(Items!$A$5:$A$1004,A175,Items!$E$5:$E$1004,"Q1"))</f>
        <v/>
      </c>
      <c r="L175" s="17" t="str">
        <f aca="false">IF(A175="","",COUNTIFS(Items!$A$5:$A$1004,A175,Items!$E$5:$E$1004,"Q2"))</f>
        <v/>
      </c>
      <c r="M175" s="17" t="str">
        <f aca="false">IF(A175="","",COUNTIFS(Items!$A$5:$A$1004,A175,Items!$E$5:$E$1004,"Q3"))</f>
        <v/>
      </c>
      <c r="N175" s="17" t="str">
        <f aca="false">IF(A175="","",COUNTIFS(Items!$A$5:$A$1004,A175,Items!$E$5:$E$1004,"Q4"))</f>
        <v/>
      </c>
      <c r="O175" s="17" t="str">
        <f aca="false">IF(A175="","",COUNTIF(K175:N175,"&gt;0"))</f>
        <v/>
      </c>
      <c r="P175" s="16"/>
      <c r="Q175" s="16"/>
      <c r="R175" s="16"/>
      <c r="S175" s="18"/>
      <c r="T175" s="16"/>
      <c r="U175" s="17" t="str">
        <f aca="false">IF(A175="","",IF(OR(B175="",H175="",R175="",S175=""),"TEST-ID, method, selector, date needed",IF(COUNTIF(Ref_TEST!$A$2:$A$201,B175)=0,"TEST-ID not in W10",IF(D175&lt;&gt;"Pass","HOLD: population IPE not Pass",IF(AND(OR(H175="Random (seeded)",H175="Systematic"),I175=""),"Seed or interval needed",IF(G175&lt;&gt;F175+N(J175),"Items selected differ from planned + targeted: explain",IF(P175&lt;&gt;"Y","Confirm period coverage",IF(Q175="","Raise wave 3 PBC request","OK"))))))))</f>
        <v/>
      </c>
    </row>
    <row r="176" customFormat="false" ht="15" hidden="false" customHeight="false" outlineLevel="0" collapsed="false">
      <c r="A176" s="16"/>
      <c r="B176" s="16"/>
      <c r="C176" s="17" t="str">
        <f aca="false">IFERROR(INDEX(Ref_TEST!$B$2:$B$201,MATCH(B176,Ref_TEST!$A$2:$A$201,0)),"")</f>
        <v/>
      </c>
      <c r="D176" s="17" t="str">
        <f aca="false">IFERROR(INDEX(Ref_TEST!$C$2:$C$201,MATCH(B176,Ref_TEST!$A$2:$A$201,0)),"")</f>
        <v/>
      </c>
      <c r="E176" s="17" t="str">
        <f aca="false">IFERROR(INDEX(Ref_TEST!$D$2:$D$201,MATCH(B176,Ref_TEST!$A$2:$A$201,0)),"")</f>
        <v/>
      </c>
      <c r="F176" s="17" t="str">
        <f aca="false">IFERROR(INDEX(Ref_TEST!$E$2:$E$201,MATCH(B176,Ref_TEST!$A$2:$A$201,0)),"")</f>
        <v/>
      </c>
      <c r="G176" s="17" t="str">
        <f aca="false">IF(A176="","",COUNTIF(Items!$A$5:$A$1004,A176))</f>
        <v/>
      </c>
      <c r="H176" s="16"/>
      <c r="I176" s="16"/>
      <c r="J176" s="16"/>
      <c r="K176" s="17" t="str">
        <f aca="false">IF(A176="","",COUNTIFS(Items!$A$5:$A$1004,A176,Items!$E$5:$E$1004,"Q1"))</f>
        <v/>
      </c>
      <c r="L176" s="17" t="str">
        <f aca="false">IF(A176="","",COUNTIFS(Items!$A$5:$A$1004,A176,Items!$E$5:$E$1004,"Q2"))</f>
        <v/>
      </c>
      <c r="M176" s="17" t="str">
        <f aca="false">IF(A176="","",COUNTIFS(Items!$A$5:$A$1004,A176,Items!$E$5:$E$1004,"Q3"))</f>
        <v/>
      </c>
      <c r="N176" s="17" t="str">
        <f aca="false">IF(A176="","",COUNTIFS(Items!$A$5:$A$1004,A176,Items!$E$5:$E$1004,"Q4"))</f>
        <v/>
      </c>
      <c r="O176" s="17" t="str">
        <f aca="false">IF(A176="","",COUNTIF(K176:N176,"&gt;0"))</f>
        <v/>
      </c>
      <c r="P176" s="16"/>
      <c r="Q176" s="16"/>
      <c r="R176" s="16"/>
      <c r="S176" s="18"/>
      <c r="T176" s="16"/>
      <c r="U176" s="17" t="str">
        <f aca="false">IF(A176="","",IF(OR(B176="",H176="",R176="",S176=""),"TEST-ID, method, selector, date needed",IF(COUNTIF(Ref_TEST!$A$2:$A$201,B176)=0,"TEST-ID not in W10",IF(D176&lt;&gt;"Pass","HOLD: population IPE not Pass",IF(AND(OR(H176="Random (seeded)",H176="Systematic"),I176=""),"Seed or interval needed",IF(G176&lt;&gt;F176+N(J176),"Items selected differ from planned + targeted: explain",IF(P176&lt;&gt;"Y","Confirm period coverage",IF(Q176="","Raise wave 3 PBC request","OK"))))))))</f>
        <v/>
      </c>
    </row>
    <row r="177" customFormat="false" ht="15" hidden="false" customHeight="false" outlineLevel="0" collapsed="false">
      <c r="A177" s="16"/>
      <c r="B177" s="16"/>
      <c r="C177" s="17" t="str">
        <f aca="false">IFERROR(INDEX(Ref_TEST!$B$2:$B$201,MATCH(B177,Ref_TEST!$A$2:$A$201,0)),"")</f>
        <v/>
      </c>
      <c r="D177" s="17" t="str">
        <f aca="false">IFERROR(INDEX(Ref_TEST!$C$2:$C$201,MATCH(B177,Ref_TEST!$A$2:$A$201,0)),"")</f>
        <v/>
      </c>
      <c r="E177" s="17" t="str">
        <f aca="false">IFERROR(INDEX(Ref_TEST!$D$2:$D$201,MATCH(B177,Ref_TEST!$A$2:$A$201,0)),"")</f>
        <v/>
      </c>
      <c r="F177" s="17" t="str">
        <f aca="false">IFERROR(INDEX(Ref_TEST!$E$2:$E$201,MATCH(B177,Ref_TEST!$A$2:$A$201,0)),"")</f>
        <v/>
      </c>
      <c r="G177" s="17" t="str">
        <f aca="false">IF(A177="","",COUNTIF(Items!$A$5:$A$1004,A177))</f>
        <v/>
      </c>
      <c r="H177" s="16"/>
      <c r="I177" s="16"/>
      <c r="J177" s="16"/>
      <c r="K177" s="17" t="str">
        <f aca="false">IF(A177="","",COUNTIFS(Items!$A$5:$A$1004,A177,Items!$E$5:$E$1004,"Q1"))</f>
        <v/>
      </c>
      <c r="L177" s="17" t="str">
        <f aca="false">IF(A177="","",COUNTIFS(Items!$A$5:$A$1004,A177,Items!$E$5:$E$1004,"Q2"))</f>
        <v/>
      </c>
      <c r="M177" s="17" t="str">
        <f aca="false">IF(A177="","",COUNTIFS(Items!$A$5:$A$1004,A177,Items!$E$5:$E$1004,"Q3"))</f>
        <v/>
      </c>
      <c r="N177" s="17" t="str">
        <f aca="false">IF(A177="","",COUNTIFS(Items!$A$5:$A$1004,A177,Items!$E$5:$E$1004,"Q4"))</f>
        <v/>
      </c>
      <c r="O177" s="17" t="str">
        <f aca="false">IF(A177="","",COUNTIF(K177:N177,"&gt;0"))</f>
        <v/>
      </c>
      <c r="P177" s="16"/>
      <c r="Q177" s="16"/>
      <c r="R177" s="16"/>
      <c r="S177" s="18"/>
      <c r="T177" s="16"/>
      <c r="U177" s="17" t="str">
        <f aca="false">IF(A177="","",IF(OR(B177="",H177="",R177="",S177=""),"TEST-ID, method, selector, date needed",IF(COUNTIF(Ref_TEST!$A$2:$A$201,B177)=0,"TEST-ID not in W10",IF(D177&lt;&gt;"Pass","HOLD: population IPE not Pass",IF(AND(OR(H177="Random (seeded)",H177="Systematic"),I177=""),"Seed or interval needed",IF(G177&lt;&gt;F177+N(J177),"Items selected differ from planned + targeted: explain",IF(P177&lt;&gt;"Y","Confirm period coverage",IF(Q177="","Raise wave 3 PBC request","OK"))))))))</f>
        <v/>
      </c>
    </row>
    <row r="178" customFormat="false" ht="15" hidden="false" customHeight="false" outlineLevel="0" collapsed="false">
      <c r="A178" s="16"/>
      <c r="B178" s="16"/>
      <c r="C178" s="17" t="str">
        <f aca="false">IFERROR(INDEX(Ref_TEST!$B$2:$B$201,MATCH(B178,Ref_TEST!$A$2:$A$201,0)),"")</f>
        <v/>
      </c>
      <c r="D178" s="17" t="str">
        <f aca="false">IFERROR(INDEX(Ref_TEST!$C$2:$C$201,MATCH(B178,Ref_TEST!$A$2:$A$201,0)),"")</f>
        <v/>
      </c>
      <c r="E178" s="17" t="str">
        <f aca="false">IFERROR(INDEX(Ref_TEST!$D$2:$D$201,MATCH(B178,Ref_TEST!$A$2:$A$201,0)),"")</f>
        <v/>
      </c>
      <c r="F178" s="17" t="str">
        <f aca="false">IFERROR(INDEX(Ref_TEST!$E$2:$E$201,MATCH(B178,Ref_TEST!$A$2:$A$201,0)),"")</f>
        <v/>
      </c>
      <c r="G178" s="17" t="str">
        <f aca="false">IF(A178="","",COUNTIF(Items!$A$5:$A$1004,A178))</f>
        <v/>
      </c>
      <c r="H178" s="16"/>
      <c r="I178" s="16"/>
      <c r="J178" s="16"/>
      <c r="K178" s="17" t="str">
        <f aca="false">IF(A178="","",COUNTIFS(Items!$A$5:$A$1004,A178,Items!$E$5:$E$1004,"Q1"))</f>
        <v/>
      </c>
      <c r="L178" s="17" t="str">
        <f aca="false">IF(A178="","",COUNTIFS(Items!$A$5:$A$1004,A178,Items!$E$5:$E$1004,"Q2"))</f>
        <v/>
      </c>
      <c r="M178" s="17" t="str">
        <f aca="false">IF(A178="","",COUNTIFS(Items!$A$5:$A$1004,A178,Items!$E$5:$E$1004,"Q3"))</f>
        <v/>
      </c>
      <c r="N178" s="17" t="str">
        <f aca="false">IF(A178="","",COUNTIFS(Items!$A$5:$A$1004,A178,Items!$E$5:$E$1004,"Q4"))</f>
        <v/>
      </c>
      <c r="O178" s="17" t="str">
        <f aca="false">IF(A178="","",COUNTIF(K178:N178,"&gt;0"))</f>
        <v/>
      </c>
      <c r="P178" s="16"/>
      <c r="Q178" s="16"/>
      <c r="R178" s="16"/>
      <c r="S178" s="18"/>
      <c r="T178" s="16"/>
      <c r="U178" s="17" t="str">
        <f aca="false">IF(A178="","",IF(OR(B178="",H178="",R178="",S178=""),"TEST-ID, method, selector, date needed",IF(COUNTIF(Ref_TEST!$A$2:$A$201,B178)=0,"TEST-ID not in W10",IF(D178&lt;&gt;"Pass","HOLD: population IPE not Pass",IF(AND(OR(H178="Random (seeded)",H178="Systematic"),I178=""),"Seed or interval needed",IF(G178&lt;&gt;F178+N(J178),"Items selected differ from planned + targeted: explain",IF(P178&lt;&gt;"Y","Confirm period coverage",IF(Q178="","Raise wave 3 PBC request","OK"))))))))</f>
        <v/>
      </c>
    </row>
    <row r="179" customFormat="false" ht="15" hidden="false" customHeight="false" outlineLevel="0" collapsed="false">
      <c r="A179" s="16"/>
      <c r="B179" s="16"/>
      <c r="C179" s="17" t="str">
        <f aca="false">IFERROR(INDEX(Ref_TEST!$B$2:$B$201,MATCH(B179,Ref_TEST!$A$2:$A$201,0)),"")</f>
        <v/>
      </c>
      <c r="D179" s="17" t="str">
        <f aca="false">IFERROR(INDEX(Ref_TEST!$C$2:$C$201,MATCH(B179,Ref_TEST!$A$2:$A$201,0)),"")</f>
        <v/>
      </c>
      <c r="E179" s="17" t="str">
        <f aca="false">IFERROR(INDEX(Ref_TEST!$D$2:$D$201,MATCH(B179,Ref_TEST!$A$2:$A$201,0)),"")</f>
        <v/>
      </c>
      <c r="F179" s="17" t="str">
        <f aca="false">IFERROR(INDEX(Ref_TEST!$E$2:$E$201,MATCH(B179,Ref_TEST!$A$2:$A$201,0)),"")</f>
        <v/>
      </c>
      <c r="G179" s="17" t="str">
        <f aca="false">IF(A179="","",COUNTIF(Items!$A$5:$A$1004,A179))</f>
        <v/>
      </c>
      <c r="H179" s="16"/>
      <c r="I179" s="16"/>
      <c r="J179" s="16"/>
      <c r="K179" s="17" t="str">
        <f aca="false">IF(A179="","",COUNTIFS(Items!$A$5:$A$1004,A179,Items!$E$5:$E$1004,"Q1"))</f>
        <v/>
      </c>
      <c r="L179" s="17" t="str">
        <f aca="false">IF(A179="","",COUNTIFS(Items!$A$5:$A$1004,A179,Items!$E$5:$E$1004,"Q2"))</f>
        <v/>
      </c>
      <c r="M179" s="17" t="str">
        <f aca="false">IF(A179="","",COUNTIFS(Items!$A$5:$A$1004,A179,Items!$E$5:$E$1004,"Q3"))</f>
        <v/>
      </c>
      <c r="N179" s="17" t="str">
        <f aca="false">IF(A179="","",COUNTIFS(Items!$A$5:$A$1004,A179,Items!$E$5:$E$1004,"Q4"))</f>
        <v/>
      </c>
      <c r="O179" s="17" t="str">
        <f aca="false">IF(A179="","",COUNTIF(K179:N179,"&gt;0"))</f>
        <v/>
      </c>
      <c r="P179" s="16"/>
      <c r="Q179" s="16"/>
      <c r="R179" s="16"/>
      <c r="S179" s="18"/>
      <c r="T179" s="16"/>
      <c r="U179" s="17" t="str">
        <f aca="false">IF(A179="","",IF(OR(B179="",H179="",R179="",S179=""),"TEST-ID, method, selector, date needed",IF(COUNTIF(Ref_TEST!$A$2:$A$201,B179)=0,"TEST-ID not in W10",IF(D179&lt;&gt;"Pass","HOLD: population IPE not Pass",IF(AND(OR(H179="Random (seeded)",H179="Systematic"),I179=""),"Seed or interval needed",IF(G179&lt;&gt;F179+N(J179),"Items selected differ from planned + targeted: explain",IF(P179&lt;&gt;"Y","Confirm period coverage",IF(Q179="","Raise wave 3 PBC request","OK"))))))))</f>
        <v/>
      </c>
    </row>
    <row r="180" customFormat="false" ht="15" hidden="false" customHeight="false" outlineLevel="0" collapsed="false">
      <c r="A180" s="16"/>
      <c r="B180" s="16"/>
      <c r="C180" s="17" t="str">
        <f aca="false">IFERROR(INDEX(Ref_TEST!$B$2:$B$201,MATCH(B180,Ref_TEST!$A$2:$A$201,0)),"")</f>
        <v/>
      </c>
      <c r="D180" s="17" t="str">
        <f aca="false">IFERROR(INDEX(Ref_TEST!$C$2:$C$201,MATCH(B180,Ref_TEST!$A$2:$A$201,0)),"")</f>
        <v/>
      </c>
      <c r="E180" s="17" t="str">
        <f aca="false">IFERROR(INDEX(Ref_TEST!$D$2:$D$201,MATCH(B180,Ref_TEST!$A$2:$A$201,0)),"")</f>
        <v/>
      </c>
      <c r="F180" s="17" t="str">
        <f aca="false">IFERROR(INDEX(Ref_TEST!$E$2:$E$201,MATCH(B180,Ref_TEST!$A$2:$A$201,0)),"")</f>
        <v/>
      </c>
      <c r="G180" s="17" t="str">
        <f aca="false">IF(A180="","",COUNTIF(Items!$A$5:$A$1004,A180))</f>
        <v/>
      </c>
      <c r="H180" s="16"/>
      <c r="I180" s="16"/>
      <c r="J180" s="16"/>
      <c r="K180" s="17" t="str">
        <f aca="false">IF(A180="","",COUNTIFS(Items!$A$5:$A$1004,A180,Items!$E$5:$E$1004,"Q1"))</f>
        <v/>
      </c>
      <c r="L180" s="17" t="str">
        <f aca="false">IF(A180="","",COUNTIFS(Items!$A$5:$A$1004,A180,Items!$E$5:$E$1004,"Q2"))</f>
        <v/>
      </c>
      <c r="M180" s="17" t="str">
        <f aca="false">IF(A180="","",COUNTIFS(Items!$A$5:$A$1004,A180,Items!$E$5:$E$1004,"Q3"))</f>
        <v/>
      </c>
      <c r="N180" s="17" t="str">
        <f aca="false">IF(A180="","",COUNTIFS(Items!$A$5:$A$1004,A180,Items!$E$5:$E$1004,"Q4"))</f>
        <v/>
      </c>
      <c r="O180" s="17" t="str">
        <f aca="false">IF(A180="","",COUNTIF(K180:N180,"&gt;0"))</f>
        <v/>
      </c>
      <c r="P180" s="16"/>
      <c r="Q180" s="16"/>
      <c r="R180" s="16"/>
      <c r="S180" s="18"/>
      <c r="T180" s="16"/>
      <c r="U180" s="17" t="str">
        <f aca="false">IF(A180="","",IF(OR(B180="",H180="",R180="",S180=""),"TEST-ID, method, selector, date needed",IF(COUNTIF(Ref_TEST!$A$2:$A$201,B180)=0,"TEST-ID not in W10",IF(D180&lt;&gt;"Pass","HOLD: population IPE not Pass",IF(AND(OR(H180="Random (seeded)",H180="Systematic"),I180=""),"Seed or interval needed",IF(G180&lt;&gt;F180+N(J180),"Items selected differ from planned + targeted: explain",IF(P180&lt;&gt;"Y","Confirm period coverage",IF(Q180="","Raise wave 3 PBC request","OK"))))))))</f>
        <v/>
      </c>
    </row>
    <row r="181" customFormat="false" ht="15" hidden="false" customHeight="false" outlineLevel="0" collapsed="false">
      <c r="A181" s="16"/>
      <c r="B181" s="16"/>
      <c r="C181" s="17" t="str">
        <f aca="false">IFERROR(INDEX(Ref_TEST!$B$2:$B$201,MATCH(B181,Ref_TEST!$A$2:$A$201,0)),"")</f>
        <v/>
      </c>
      <c r="D181" s="17" t="str">
        <f aca="false">IFERROR(INDEX(Ref_TEST!$C$2:$C$201,MATCH(B181,Ref_TEST!$A$2:$A$201,0)),"")</f>
        <v/>
      </c>
      <c r="E181" s="17" t="str">
        <f aca="false">IFERROR(INDEX(Ref_TEST!$D$2:$D$201,MATCH(B181,Ref_TEST!$A$2:$A$201,0)),"")</f>
        <v/>
      </c>
      <c r="F181" s="17" t="str">
        <f aca="false">IFERROR(INDEX(Ref_TEST!$E$2:$E$201,MATCH(B181,Ref_TEST!$A$2:$A$201,0)),"")</f>
        <v/>
      </c>
      <c r="G181" s="17" t="str">
        <f aca="false">IF(A181="","",COUNTIF(Items!$A$5:$A$1004,A181))</f>
        <v/>
      </c>
      <c r="H181" s="16"/>
      <c r="I181" s="16"/>
      <c r="J181" s="16"/>
      <c r="K181" s="17" t="str">
        <f aca="false">IF(A181="","",COUNTIFS(Items!$A$5:$A$1004,A181,Items!$E$5:$E$1004,"Q1"))</f>
        <v/>
      </c>
      <c r="L181" s="17" t="str">
        <f aca="false">IF(A181="","",COUNTIFS(Items!$A$5:$A$1004,A181,Items!$E$5:$E$1004,"Q2"))</f>
        <v/>
      </c>
      <c r="M181" s="17" t="str">
        <f aca="false">IF(A181="","",COUNTIFS(Items!$A$5:$A$1004,A181,Items!$E$5:$E$1004,"Q3"))</f>
        <v/>
      </c>
      <c r="N181" s="17" t="str">
        <f aca="false">IF(A181="","",COUNTIFS(Items!$A$5:$A$1004,A181,Items!$E$5:$E$1004,"Q4"))</f>
        <v/>
      </c>
      <c r="O181" s="17" t="str">
        <f aca="false">IF(A181="","",COUNTIF(K181:N181,"&gt;0"))</f>
        <v/>
      </c>
      <c r="P181" s="16"/>
      <c r="Q181" s="16"/>
      <c r="R181" s="16"/>
      <c r="S181" s="18"/>
      <c r="T181" s="16"/>
      <c r="U181" s="17" t="str">
        <f aca="false">IF(A181="","",IF(OR(B181="",H181="",R181="",S181=""),"TEST-ID, method, selector, date needed",IF(COUNTIF(Ref_TEST!$A$2:$A$201,B181)=0,"TEST-ID not in W10",IF(D181&lt;&gt;"Pass","HOLD: population IPE not Pass",IF(AND(OR(H181="Random (seeded)",H181="Systematic"),I181=""),"Seed or interval needed",IF(G181&lt;&gt;F181+N(J181),"Items selected differ from planned + targeted: explain",IF(P181&lt;&gt;"Y","Confirm period coverage",IF(Q181="","Raise wave 3 PBC request","OK"))))))))</f>
        <v/>
      </c>
    </row>
    <row r="182" customFormat="false" ht="15" hidden="false" customHeight="false" outlineLevel="0" collapsed="false">
      <c r="A182" s="16"/>
      <c r="B182" s="16"/>
      <c r="C182" s="17" t="str">
        <f aca="false">IFERROR(INDEX(Ref_TEST!$B$2:$B$201,MATCH(B182,Ref_TEST!$A$2:$A$201,0)),"")</f>
        <v/>
      </c>
      <c r="D182" s="17" t="str">
        <f aca="false">IFERROR(INDEX(Ref_TEST!$C$2:$C$201,MATCH(B182,Ref_TEST!$A$2:$A$201,0)),"")</f>
        <v/>
      </c>
      <c r="E182" s="17" t="str">
        <f aca="false">IFERROR(INDEX(Ref_TEST!$D$2:$D$201,MATCH(B182,Ref_TEST!$A$2:$A$201,0)),"")</f>
        <v/>
      </c>
      <c r="F182" s="17" t="str">
        <f aca="false">IFERROR(INDEX(Ref_TEST!$E$2:$E$201,MATCH(B182,Ref_TEST!$A$2:$A$201,0)),"")</f>
        <v/>
      </c>
      <c r="G182" s="17" t="str">
        <f aca="false">IF(A182="","",COUNTIF(Items!$A$5:$A$1004,A182))</f>
        <v/>
      </c>
      <c r="H182" s="16"/>
      <c r="I182" s="16"/>
      <c r="J182" s="16"/>
      <c r="K182" s="17" t="str">
        <f aca="false">IF(A182="","",COUNTIFS(Items!$A$5:$A$1004,A182,Items!$E$5:$E$1004,"Q1"))</f>
        <v/>
      </c>
      <c r="L182" s="17" t="str">
        <f aca="false">IF(A182="","",COUNTIFS(Items!$A$5:$A$1004,A182,Items!$E$5:$E$1004,"Q2"))</f>
        <v/>
      </c>
      <c r="M182" s="17" t="str">
        <f aca="false">IF(A182="","",COUNTIFS(Items!$A$5:$A$1004,A182,Items!$E$5:$E$1004,"Q3"))</f>
        <v/>
      </c>
      <c r="N182" s="17" t="str">
        <f aca="false">IF(A182="","",COUNTIFS(Items!$A$5:$A$1004,A182,Items!$E$5:$E$1004,"Q4"))</f>
        <v/>
      </c>
      <c r="O182" s="17" t="str">
        <f aca="false">IF(A182="","",COUNTIF(K182:N182,"&gt;0"))</f>
        <v/>
      </c>
      <c r="P182" s="16"/>
      <c r="Q182" s="16"/>
      <c r="R182" s="16"/>
      <c r="S182" s="18"/>
      <c r="T182" s="16"/>
      <c r="U182" s="17" t="str">
        <f aca="false">IF(A182="","",IF(OR(B182="",H182="",R182="",S182=""),"TEST-ID, method, selector, date needed",IF(COUNTIF(Ref_TEST!$A$2:$A$201,B182)=0,"TEST-ID not in W10",IF(D182&lt;&gt;"Pass","HOLD: population IPE not Pass",IF(AND(OR(H182="Random (seeded)",H182="Systematic"),I182=""),"Seed or interval needed",IF(G182&lt;&gt;F182+N(J182),"Items selected differ from planned + targeted: explain",IF(P182&lt;&gt;"Y","Confirm period coverage",IF(Q182="","Raise wave 3 PBC request","OK"))))))))</f>
        <v/>
      </c>
    </row>
    <row r="183" customFormat="false" ht="15" hidden="false" customHeight="false" outlineLevel="0" collapsed="false">
      <c r="A183" s="16"/>
      <c r="B183" s="16"/>
      <c r="C183" s="17" t="str">
        <f aca="false">IFERROR(INDEX(Ref_TEST!$B$2:$B$201,MATCH(B183,Ref_TEST!$A$2:$A$201,0)),"")</f>
        <v/>
      </c>
      <c r="D183" s="17" t="str">
        <f aca="false">IFERROR(INDEX(Ref_TEST!$C$2:$C$201,MATCH(B183,Ref_TEST!$A$2:$A$201,0)),"")</f>
        <v/>
      </c>
      <c r="E183" s="17" t="str">
        <f aca="false">IFERROR(INDEX(Ref_TEST!$D$2:$D$201,MATCH(B183,Ref_TEST!$A$2:$A$201,0)),"")</f>
        <v/>
      </c>
      <c r="F183" s="17" t="str">
        <f aca="false">IFERROR(INDEX(Ref_TEST!$E$2:$E$201,MATCH(B183,Ref_TEST!$A$2:$A$201,0)),"")</f>
        <v/>
      </c>
      <c r="G183" s="17" t="str">
        <f aca="false">IF(A183="","",COUNTIF(Items!$A$5:$A$1004,A183))</f>
        <v/>
      </c>
      <c r="H183" s="16"/>
      <c r="I183" s="16"/>
      <c r="J183" s="16"/>
      <c r="K183" s="17" t="str">
        <f aca="false">IF(A183="","",COUNTIFS(Items!$A$5:$A$1004,A183,Items!$E$5:$E$1004,"Q1"))</f>
        <v/>
      </c>
      <c r="L183" s="17" t="str">
        <f aca="false">IF(A183="","",COUNTIFS(Items!$A$5:$A$1004,A183,Items!$E$5:$E$1004,"Q2"))</f>
        <v/>
      </c>
      <c r="M183" s="17" t="str">
        <f aca="false">IF(A183="","",COUNTIFS(Items!$A$5:$A$1004,A183,Items!$E$5:$E$1004,"Q3"))</f>
        <v/>
      </c>
      <c r="N183" s="17" t="str">
        <f aca="false">IF(A183="","",COUNTIFS(Items!$A$5:$A$1004,A183,Items!$E$5:$E$1004,"Q4"))</f>
        <v/>
      </c>
      <c r="O183" s="17" t="str">
        <f aca="false">IF(A183="","",COUNTIF(K183:N183,"&gt;0"))</f>
        <v/>
      </c>
      <c r="P183" s="16"/>
      <c r="Q183" s="16"/>
      <c r="R183" s="16"/>
      <c r="S183" s="18"/>
      <c r="T183" s="16"/>
      <c r="U183" s="17" t="str">
        <f aca="false">IF(A183="","",IF(OR(B183="",H183="",R183="",S183=""),"TEST-ID, method, selector, date needed",IF(COUNTIF(Ref_TEST!$A$2:$A$201,B183)=0,"TEST-ID not in W10",IF(D183&lt;&gt;"Pass","HOLD: population IPE not Pass",IF(AND(OR(H183="Random (seeded)",H183="Systematic"),I183=""),"Seed or interval needed",IF(G183&lt;&gt;F183+N(J183),"Items selected differ from planned + targeted: explain",IF(P183&lt;&gt;"Y","Confirm period coverage",IF(Q183="","Raise wave 3 PBC request","OK"))))))))</f>
        <v/>
      </c>
    </row>
    <row r="184" customFormat="false" ht="15" hidden="false" customHeight="false" outlineLevel="0" collapsed="false">
      <c r="A184" s="16"/>
      <c r="B184" s="16"/>
      <c r="C184" s="17" t="str">
        <f aca="false">IFERROR(INDEX(Ref_TEST!$B$2:$B$201,MATCH(B184,Ref_TEST!$A$2:$A$201,0)),"")</f>
        <v/>
      </c>
      <c r="D184" s="17" t="str">
        <f aca="false">IFERROR(INDEX(Ref_TEST!$C$2:$C$201,MATCH(B184,Ref_TEST!$A$2:$A$201,0)),"")</f>
        <v/>
      </c>
      <c r="E184" s="17" t="str">
        <f aca="false">IFERROR(INDEX(Ref_TEST!$D$2:$D$201,MATCH(B184,Ref_TEST!$A$2:$A$201,0)),"")</f>
        <v/>
      </c>
      <c r="F184" s="17" t="str">
        <f aca="false">IFERROR(INDEX(Ref_TEST!$E$2:$E$201,MATCH(B184,Ref_TEST!$A$2:$A$201,0)),"")</f>
        <v/>
      </c>
      <c r="G184" s="17" t="str">
        <f aca="false">IF(A184="","",COUNTIF(Items!$A$5:$A$1004,A184))</f>
        <v/>
      </c>
      <c r="H184" s="16"/>
      <c r="I184" s="16"/>
      <c r="J184" s="16"/>
      <c r="K184" s="17" t="str">
        <f aca="false">IF(A184="","",COUNTIFS(Items!$A$5:$A$1004,A184,Items!$E$5:$E$1004,"Q1"))</f>
        <v/>
      </c>
      <c r="L184" s="17" t="str">
        <f aca="false">IF(A184="","",COUNTIFS(Items!$A$5:$A$1004,A184,Items!$E$5:$E$1004,"Q2"))</f>
        <v/>
      </c>
      <c r="M184" s="17" t="str">
        <f aca="false">IF(A184="","",COUNTIFS(Items!$A$5:$A$1004,A184,Items!$E$5:$E$1004,"Q3"))</f>
        <v/>
      </c>
      <c r="N184" s="17" t="str">
        <f aca="false">IF(A184="","",COUNTIFS(Items!$A$5:$A$1004,A184,Items!$E$5:$E$1004,"Q4"))</f>
        <v/>
      </c>
      <c r="O184" s="17" t="str">
        <f aca="false">IF(A184="","",COUNTIF(K184:N184,"&gt;0"))</f>
        <v/>
      </c>
      <c r="P184" s="16"/>
      <c r="Q184" s="16"/>
      <c r="R184" s="16"/>
      <c r="S184" s="18"/>
      <c r="T184" s="16"/>
      <c r="U184" s="17" t="str">
        <f aca="false">IF(A184="","",IF(OR(B184="",H184="",R184="",S184=""),"TEST-ID, method, selector, date needed",IF(COUNTIF(Ref_TEST!$A$2:$A$201,B184)=0,"TEST-ID not in W10",IF(D184&lt;&gt;"Pass","HOLD: population IPE not Pass",IF(AND(OR(H184="Random (seeded)",H184="Systematic"),I184=""),"Seed or interval needed",IF(G184&lt;&gt;F184+N(J184),"Items selected differ from planned + targeted: explain",IF(P184&lt;&gt;"Y","Confirm period coverage",IF(Q184="","Raise wave 3 PBC request","OK"))))))))</f>
        <v/>
      </c>
    </row>
    <row r="185" customFormat="false" ht="15" hidden="false" customHeight="false" outlineLevel="0" collapsed="false">
      <c r="A185" s="16"/>
      <c r="B185" s="16"/>
      <c r="C185" s="17" t="str">
        <f aca="false">IFERROR(INDEX(Ref_TEST!$B$2:$B$201,MATCH(B185,Ref_TEST!$A$2:$A$201,0)),"")</f>
        <v/>
      </c>
      <c r="D185" s="17" t="str">
        <f aca="false">IFERROR(INDEX(Ref_TEST!$C$2:$C$201,MATCH(B185,Ref_TEST!$A$2:$A$201,0)),"")</f>
        <v/>
      </c>
      <c r="E185" s="17" t="str">
        <f aca="false">IFERROR(INDEX(Ref_TEST!$D$2:$D$201,MATCH(B185,Ref_TEST!$A$2:$A$201,0)),"")</f>
        <v/>
      </c>
      <c r="F185" s="17" t="str">
        <f aca="false">IFERROR(INDEX(Ref_TEST!$E$2:$E$201,MATCH(B185,Ref_TEST!$A$2:$A$201,0)),"")</f>
        <v/>
      </c>
      <c r="G185" s="17" t="str">
        <f aca="false">IF(A185="","",COUNTIF(Items!$A$5:$A$1004,A185))</f>
        <v/>
      </c>
      <c r="H185" s="16"/>
      <c r="I185" s="16"/>
      <c r="J185" s="16"/>
      <c r="K185" s="17" t="str">
        <f aca="false">IF(A185="","",COUNTIFS(Items!$A$5:$A$1004,A185,Items!$E$5:$E$1004,"Q1"))</f>
        <v/>
      </c>
      <c r="L185" s="17" t="str">
        <f aca="false">IF(A185="","",COUNTIFS(Items!$A$5:$A$1004,A185,Items!$E$5:$E$1004,"Q2"))</f>
        <v/>
      </c>
      <c r="M185" s="17" t="str">
        <f aca="false">IF(A185="","",COUNTIFS(Items!$A$5:$A$1004,A185,Items!$E$5:$E$1004,"Q3"))</f>
        <v/>
      </c>
      <c r="N185" s="17" t="str">
        <f aca="false">IF(A185="","",COUNTIFS(Items!$A$5:$A$1004,A185,Items!$E$5:$E$1004,"Q4"))</f>
        <v/>
      </c>
      <c r="O185" s="17" t="str">
        <f aca="false">IF(A185="","",COUNTIF(K185:N185,"&gt;0"))</f>
        <v/>
      </c>
      <c r="P185" s="16"/>
      <c r="Q185" s="16"/>
      <c r="R185" s="16"/>
      <c r="S185" s="18"/>
      <c r="T185" s="16"/>
      <c r="U185" s="17" t="str">
        <f aca="false">IF(A185="","",IF(OR(B185="",H185="",R185="",S185=""),"TEST-ID, method, selector, date needed",IF(COUNTIF(Ref_TEST!$A$2:$A$201,B185)=0,"TEST-ID not in W10",IF(D185&lt;&gt;"Pass","HOLD: population IPE not Pass",IF(AND(OR(H185="Random (seeded)",H185="Systematic"),I185=""),"Seed or interval needed",IF(G185&lt;&gt;F185+N(J185),"Items selected differ from planned + targeted: explain",IF(P185&lt;&gt;"Y","Confirm period coverage",IF(Q185="","Raise wave 3 PBC request","OK"))))))))</f>
        <v/>
      </c>
    </row>
    <row r="186" customFormat="false" ht="15" hidden="false" customHeight="false" outlineLevel="0" collapsed="false">
      <c r="A186" s="16"/>
      <c r="B186" s="16"/>
      <c r="C186" s="17" t="str">
        <f aca="false">IFERROR(INDEX(Ref_TEST!$B$2:$B$201,MATCH(B186,Ref_TEST!$A$2:$A$201,0)),"")</f>
        <v/>
      </c>
      <c r="D186" s="17" t="str">
        <f aca="false">IFERROR(INDEX(Ref_TEST!$C$2:$C$201,MATCH(B186,Ref_TEST!$A$2:$A$201,0)),"")</f>
        <v/>
      </c>
      <c r="E186" s="17" t="str">
        <f aca="false">IFERROR(INDEX(Ref_TEST!$D$2:$D$201,MATCH(B186,Ref_TEST!$A$2:$A$201,0)),"")</f>
        <v/>
      </c>
      <c r="F186" s="17" t="str">
        <f aca="false">IFERROR(INDEX(Ref_TEST!$E$2:$E$201,MATCH(B186,Ref_TEST!$A$2:$A$201,0)),"")</f>
        <v/>
      </c>
      <c r="G186" s="17" t="str">
        <f aca="false">IF(A186="","",COUNTIF(Items!$A$5:$A$1004,A186))</f>
        <v/>
      </c>
      <c r="H186" s="16"/>
      <c r="I186" s="16"/>
      <c r="J186" s="16"/>
      <c r="K186" s="17" t="str">
        <f aca="false">IF(A186="","",COUNTIFS(Items!$A$5:$A$1004,A186,Items!$E$5:$E$1004,"Q1"))</f>
        <v/>
      </c>
      <c r="L186" s="17" t="str">
        <f aca="false">IF(A186="","",COUNTIFS(Items!$A$5:$A$1004,A186,Items!$E$5:$E$1004,"Q2"))</f>
        <v/>
      </c>
      <c r="M186" s="17" t="str">
        <f aca="false">IF(A186="","",COUNTIFS(Items!$A$5:$A$1004,A186,Items!$E$5:$E$1004,"Q3"))</f>
        <v/>
      </c>
      <c r="N186" s="17" t="str">
        <f aca="false">IF(A186="","",COUNTIFS(Items!$A$5:$A$1004,A186,Items!$E$5:$E$1004,"Q4"))</f>
        <v/>
      </c>
      <c r="O186" s="17" t="str">
        <f aca="false">IF(A186="","",COUNTIF(K186:N186,"&gt;0"))</f>
        <v/>
      </c>
      <c r="P186" s="16"/>
      <c r="Q186" s="16"/>
      <c r="R186" s="16"/>
      <c r="S186" s="18"/>
      <c r="T186" s="16"/>
      <c r="U186" s="17" t="str">
        <f aca="false">IF(A186="","",IF(OR(B186="",H186="",R186="",S186=""),"TEST-ID, method, selector, date needed",IF(COUNTIF(Ref_TEST!$A$2:$A$201,B186)=0,"TEST-ID not in W10",IF(D186&lt;&gt;"Pass","HOLD: population IPE not Pass",IF(AND(OR(H186="Random (seeded)",H186="Systematic"),I186=""),"Seed or interval needed",IF(G186&lt;&gt;F186+N(J186),"Items selected differ from planned + targeted: explain",IF(P186&lt;&gt;"Y","Confirm period coverage",IF(Q186="","Raise wave 3 PBC request","OK"))))))))</f>
        <v/>
      </c>
    </row>
    <row r="187" customFormat="false" ht="15" hidden="false" customHeight="false" outlineLevel="0" collapsed="false">
      <c r="A187" s="16"/>
      <c r="B187" s="16"/>
      <c r="C187" s="17" t="str">
        <f aca="false">IFERROR(INDEX(Ref_TEST!$B$2:$B$201,MATCH(B187,Ref_TEST!$A$2:$A$201,0)),"")</f>
        <v/>
      </c>
      <c r="D187" s="17" t="str">
        <f aca="false">IFERROR(INDEX(Ref_TEST!$C$2:$C$201,MATCH(B187,Ref_TEST!$A$2:$A$201,0)),"")</f>
        <v/>
      </c>
      <c r="E187" s="17" t="str">
        <f aca="false">IFERROR(INDEX(Ref_TEST!$D$2:$D$201,MATCH(B187,Ref_TEST!$A$2:$A$201,0)),"")</f>
        <v/>
      </c>
      <c r="F187" s="17" t="str">
        <f aca="false">IFERROR(INDEX(Ref_TEST!$E$2:$E$201,MATCH(B187,Ref_TEST!$A$2:$A$201,0)),"")</f>
        <v/>
      </c>
      <c r="G187" s="17" t="str">
        <f aca="false">IF(A187="","",COUNTIF(Items!$A$5:$A$1004,A187))</f>
        <v/>
      </c>
      <c r="H187" s="16"/>
      <c r="I187" s="16"/>
      <c r="J187" s="16"/>
      <c r="K187" s="17" t="str">
        <f aca="false">IF(A187="","",COUNTIFS(Items!$A$5:$A$1004,A187,Items!$E$5:$E$1004,"Q1"))</f>
        <v/>
      </c>
      <c r="L187" s="17" t="str">
        <f aca="false">IF(A187="","",COUNTIFS(Items!$A$5:$A$1004,A187,Items!$E$5:$E$1004,"Q2"))</f>
        <v/>
      </c>
      <c r="M187" s="17" t="str">
        <f aca="false">IF(A187="","",COUNTIFS(Items!$A$5:$A$1004,A187,Items!$E$5:$E$1004,"Q3"))</f>
        <v/>
      </c>
      <c r="N187" s="17" t="str">
        <f aca="false">IF(A187="","",COUNTIFS(Items!$A$5:$A$1004,A187,Items!$E$5:$E$1004,"Q4"))</f>
        <v/>
      </c>
      <c r="O187" s="17" t="str">
        <f aca="false">IF(A187="","",COUNTIF(K187:N187,"&gt;0"))</f>
        <v/>
      </c>
      <c r="P187" s="16"/>
      <c r="Q187" s="16"/>
      <c r="R187" s="16"/>
      <c r="S187" s="18"/>
      <c r="T187" s="16"/>
      <c r="U187" s="17" t="str">
        <f aca="false">IF(A187="","",IF(OR(B187="",H187="",R187="",S187=""),"TEST-ID, method, selector, date needed",IF(COUNTIF(Ref_TEST!$A$2:$A$201,B187)=0,"TEST-ID not in W10",IF(D187&lt;&gt;"Pass","HOLD: population IPE not Pass",IF(AND(OR(H187="Random (seeded)",H187="Systematic"),I187=""),"Seed or interval needed",IF(G187&lt;&gt;F187+N(J187),"Items selected differ from planned + targeted: explain",IF(P187&lt;&gt;"Y","Confirm period coverage",IF(Q187="","Raise wave 3 PBC request","OK"))))))))</f>
        <v/>
      </c>
    </row>
    <row r="188" customFormat="false" ht="15" hidden="false" customHeight="false" outlineLevel="0" collapsed="false">
      <c r="A188" s="16"/>
      <c r="B188" s="16"/>
      <c r="C188" s="17" t="str">
        <f aca="false">IFERROR(INDEX(Ref_TEST!$B$2:$B$201,MATCH(B188,Ref_TEST!$A$2:$A$201,0)),"")</f>
        <v/>
      </c>
      <c r="D188" s="17" t="str">
        <f aca="false">IFERROR(INDEX(Ref_TEST!$C$2:$C$201,MATCH(B188,Ref_TEST!$A$2:$A$201,0)),"")</f>
        <v/>
      </c>
      <c r="E188" s="17" t="str">
        <f aca="false">IFERROR(INDEX(Ref_TEST!$D$2:$D$201,MATCH(B188,Ref_TEST!$A$2:$A$201,0)),"")</f>
        <v/>
      </c>
      <c r="F188" s="17" t="str">
        <f aca="false">IFERROR(INDEX(Ref_TEST!$E$2:$E$201,MATCH(B188,Ref_TEST!$A$2:$A$201,0)),"")</f>
        <v/>
      </c>
      <c r="G188" s="17" t="str">
        <f aca="false">IF(A188="","",COUNTIF(Items!$A$5:$A$1004,A188))</f>
        <v/>
      </c>
      <c r="H188" s="16"/>
      <c r="I188" s="16"/>
      <c r="J188" s="16"/>
      <c r="K188" s="17" t="str">
        <f aca="false">IF(A188="","",COUNTIFS(Items!$A$5:$A$1004,A188,Items!$E$5:$E$1004,"Q1"))</f>
        <v/>
      </c>
      <c r="L188" s="17" t="str">
        <f aca="false">IF(A188="","",COUNTIFS(Items!$A$5:$A$1004,A188,Items!$E$5:$E$1004,"Q2"))</f>
        <v/>
      </c>
      <c r="M188" s="17" t="str">
        <f aca="false">IF(A188="","",COUNTIFS(Items!$A$5:$A$1004,A188,Items!$E$5:$E$1004,"Q3"))</f>
        <v/>
      </c>
      <c r="N188" s="17" t="str">
        <f aca="false">IF(A188="","",COUNTIFS(Items!$A$5:$A$1004,A188,Items!$E$5:$E$1004,"Q4"))</f>
        <v/>
      </c>
      <c r="O188" s="17" t="str">
        <f aca="false">IF(A188="","",COUNTIF(K188:N188,"&gt;0"))</f>
        <v/>
      </c>
      <c r="P188" s="16"/>
      <c r="Q188" s="16"/>
      <c r="R188" s="16"/>
      <c r="S188" s="18"/>
      <c r="T188" s="16"/>
      <c r="U188" s="17" t="str">
        <f aca="false">IF(A188="","",IF(OR(B188="",H188="",R188="",S188=""),"TEST-ID, method, selector, date needed",IF(COUNTIF(Ref_TEST!$A$2:$A$201,B188)=0,"TEST-ID not in W10",IF(D188&lt;&gt;"Pass","HOLD: population IPE not Pass",IF(AND(OR(H188="Random (seeded)",H188="Systematic"),I188=""),"Seed or interval needed",IF(G188&lt;&gt;F188+N(J188),"Items selected differ from planned + targeted: explain",IF(P188&lt;&gt;"Y","Confirm period coverage",IF(Q188="","Raise wave 3 PBC request","OK"))))))))</f>
        <v/>
      </c>
    </row>
    <row r="189" customFormat="false" ht="15" hidden="false" customHeight="false" outlineLevel="0" collapsed="false">
      <c r="A189" s="16"/>
      <c r="B189" s="16"/>
      <c r="C189" s="17" t="str">
        <f aca="false">IFERROR(INDEX(Ref_TEST!$B$2:$B$201,MATCH(B189,Ref_TEST!$A$2:$A$201,0)),"")</f>
        <v/>
      </c>
      <c r="D189" s="17" t="str">
        <f aca="false">IFERROR(INDEX(Ref_TEST!$C$2:$C$201,MATCH(B189,Ref_TEST!$A$2:$A$201,0)),"")</f>
        <v/>
      </c>
      <c r="E189" s="17" t="str">
        <f aca="false">IFERROR(INDEX(Ref_TEST!$D$2:$D$201,MATCH(B189,Ref_TEST!$A$2:$A$201,0)),"")</f>
        <v/>
      </c>
      <c r="F189" s="17" t="str">
        <f aca="false">IFERROR(INDEX(Ref_TEST!$E$2:$E$201,MATCH(B189,Ref_TEST!$A$2:$A$201,0)),"")</f>
        <v/>
      </c>
      <c r="G189" s="17" t="str">
        <f aca="false">IF(A189="","",COUNTIF(Items!$A$5:$A$1004,A189))</f>
        <v/>
      </c>
      <c r="H189" s="16"/>
      <c r="I189" s="16"/>
      <c r="J189" s="16"/>
      <c r="K189" s="17" t="str">
        <f aca="false">IF(A189="","",COUNTIFS(Items!$A$5:$A$1004,A189,Items!$E$5:$E$1004,"Q1"))</f>
        <v/>
      </c>
      <c r="L189" s="17" t="str">
        <f aca="false">IF(A189="","",COUNTIFS(Items!$A$5:$A$1004,A189,Items!$E$5:$E$1004,"Q2"))</f>
        <v/>
      </c>
      <c r="M189" s="17" t="str">
        <f aca="false">IF(A189="","",COUNTIFS(Items!$A$5:$A$1004,A189,Items!$E$5:$E$1004,"Q3"))</f>
        <v/>
      </c>
      <c r="N189" s="17" t="str">
        <f aca="false">IF(A189="","",COUNTIFS(Items!$A$5:$A$1004,A189,Items!$E$5:$E$1004,"Q4"))</f>
        <v/>
      </c>
      <c r="O189" s="17" t="str">
        <f aca="false">IF(A189="","",COUNTIF(K189:N189,"&gt;0"))</f>
        <v/>
      </c>
      <c r="P189" s="16"/>
      <c r="Q189" s="16"/>
      <c r="R189" s="16"/>
      <c r="S189" s="18"/>
      <c r="T189" s="16"/>
      <c r="U189" s="17" t="str">
        <f aca="false">IF(A189="","",IF(OR(B189="",H189="",R189="",S189=""),"TEST-ID, method, selector, date needed",IF(COUNTIF(Ref_TEST!$A$2:$A$201,B189)=0,"TEST-ID not in W10",IF(D189&lt;&gt;"Pass","HOLD: population IPE not Pass",IF(AND(OR(H189="Random (seeded)",H189="Systematic"),I189=""),"Seed or interval needed",IF(G189&lt;&gt;F189+N(J189),"Items selected differ from planned + targeted: explain",IF(P189&lt;&gt;"Y","Confirm period coverage",IF(Q189="","Raise wave 3 PBC request","OK"))))))))</f>
        <v/>
      </c>
    </row>
    <row r="190" customFormat="false" ht="15" hidden="false" customHeight="false" outlineLevel="0" collapsed="false">
      <c r="A190" s="16"/>
      <c r="B190" s="16"/>
      <c r="C190" s="17" t="str">
        <f aca="false">IFERROR(INDEX(Ref_TEST!$B$2:$B$201,MATCH(B190,Ref_TEST!$A$2:$A$201,0)),"")</f>
        <v/>
      </c>
      <c r="D190" s="17" t="str">
        <f aca="false">IFERROR(INDEX(Ref_TEST!$C$2:$C$201,MATCH(B190,Ref_TEST!$A$2:$A$201,0)),"")</f>
        <v/>
      </c>
      <c r="E190" s="17" t="str">
        <f aca="false">IFERROR(INDEX(Ref_TEST!$D$2:$D$201,MATCH(B190,Ref_TEST!$A$2:$A$201,0)),"")</f>
        <v/>
      </c>
      <c r="F190" s="17" t="str">
        <f aca="false">IFERROR(INDEX(Ref_TEST!$E$2:$E$201,MATCH(B190,Ref_TEST!$A$2:$A$201,0)),"")</f>
        <v/>
      </c>
      <c r="G190" s="17" t="str">
        <f aca="false">IF(A190="","",COUNTIF(Items!$A$5:$A$1004,A190))</f>
        <v/>
      </c>
      <c r="H190" s="16"/>
      <c r="I190" s="16"/>
      <c r="J190" s="16"/>
      <c r="K190" s="17" t="str">
        <f aca="false">IF(A190="","",COUNTIFS(Items!$A$5:$A$1004,A190,Items!$E$5:$E$1004,"Q1"))</f>
        <v/>
      </c>
      <c r="L190" s="17" t="str">
        <f aca="false">IF(A190="","",COUNTIFS(Items!$A$5:$A$1004,A190,Items!$E$5:$E$1004,"Q2"))</f>
        <v/>
      </c>
      <c r="M190" s="17" t="str">
        <f aca="false">IF(A190="","",COUNTIFS(Items!$A$5:$A$1004,A190,Items!$E$5:$E$1004,"Q3"))</f>
        <v/>
      </c>
      <c r="N190" s="17" t="str">
        <f aca="false">IF(A190="","",COUNTIFS(Items!$A$5:$A$1004,A190,Items!$E$5:$E$1004,"Q4"))</f>
        <v/>
      </c>
      <c r="O190" s="17" t="str">
        <f aca="false">IF(A190="","",COUNTIF(K190:N190,"&gt;0"))</f>
        <v/>
      </c>
      <c r="P190" s="16"/>
      <c r="Q190" s="16"/>
      <c r="R190" s="16"/>
      <c r="S190" s="18"/>
      <c r="T190" s="16"/>
      <c r="U190" s="17" t="str">
        <f aca="false">IF(A190="","",IF(OR(B190="",H190="",R190="",S190=""),"TEST-ID, method, selector, date needed",IF(COUNTIF(Ref_TEST!$A$2:$A$201,B190)=0,"TEST-ID not in W10",IF(D190&lt;&gt;"Pass","HOLD: population IPE not Pass",IF(AND(OR(H190="Random (seeded)",H190="Systematic"),I190=""),"Seed or interval needed",IF(G190&lt;&gt;F190+N(J190),"Items selected differ from planned + targeted: explain",IF(P190&lt;&gt;"Y","Confirm period coverage",IF(Q190="","Raise wave 3 PBC request","OK"))))))))</f>
        <v/>
      </c>
    </row>
    <row r="191" customFormat="false" ht="15" hidden="false" customHeight="false" outlineLevel="0" collapsed="false">
      <c r="A191" s="16"/>
      <c r="B191" s="16"/>
      <c r="C191" s="17" t="str">
        <f aca="false">IFERROR(INDEX(Ref_TEST!$B$2:$B$201,MATCH(B191,Ref_TEST!$A$2:$A$201,0)),"")</f>
        <v/>
      </c>
      <c r="D191" s="17" t="str">
        <f aca="false">IFERROR(INDEX(Ref_TEST!$C$2:$C$201,MATCH(B191,Ref_TEST!$A$2:$A$201,0)),"")</f>
        <v/>
      </c>
      <c r="E191" s="17" t="str">
        <f aca="false">IFERROR(INDEX(Ref_TEST!$D$2:$D$201,MATCH(B191,Ref_TEST!$A$2:$A$201,0)),"")</f>
        <v/>
      </c>
      <c r="F191" s="17" t="str">
        <f aca="false">IFERROR(INDEX(Ref_TEST!$E$2:$E$201,MATCH(B191,Ref_TEST!$A$2:$A$201,0)),"")</f>
        <v/>
      </c>
      <c r="G191" s="17" t="str">
        <f aca="false">IF(A191="","",COUNTIF(Items!$A$5:$A$1004,A191))</f>
        <v/>
      </c>
      <c r="H191" s="16"/>
      <c r="I191" s="16"/>
      <c r="J191" s="16"/>
      <c r="K191" s="17" t="str">
        <f aca="false">IF(A191="","",COUNTIFS(Items!$A$5:$A$1004,A191,Items!$E$5:$E$1004,"Q1"))</f>
        <v/>
      </c>
      <c r="L191" s="17" t="str">
        <f aca="false">IF(A191="","",COUNTIFS(Items!$A$5:$A$1004,A191,Items!$E$5:$E$1004,"Q2"))</f>
        <v/>
      </c>
      <c r="M191" s="17" t="str">
        <f aca="false">IF(A191="","",COUNTIFS(Items!$A$5:$A$1004,A191,Items!$E$5:$E$1004,"Q3"))</f>
        <v/>
      </c>
      <c r="N191" s="17" t="str">
        <f aca="false">IF(A191="","",COUNTIFS(Items!$A$5:$A$1004,A191,Items!$E$5:$E$1004,"Q4"))</f>
        <v/>
      </c>
      <c r="O191" s="17" t="str">
        <f aca="false">IF(A191="","",COUNTIF(K191:N191,"&gt;0"))</f>
        <v/>
      </c>
      <c r="P191" s="16"/>
      <c r="Q191" s="16"/>
      <c r="R191" s="16"/>
      <c r="S191" s="18"/>
      <c r="T191" s="16"/>
      <c r="U191" s="17" t="str">
        <f aca="false">IF(A191="","",IF(OR(B191="",H191="",R191="",S191=""),"TEST-ID, method, selector, date needed",IF(COUNTIF(Ref_TEST!$A$2:$A$201,B191)=0,"TEST-ID not in W10",IF(D191&lt;&gt;"Pass","HOLD: population IPE not Pass",IF(AND(OR(H191="Random (seeded)",H191="Systematic"),I191=""),"Seed or interval needed",IF(G191&lt;&gt;F191+N(J191),"Items selected differ from planned + targeted: explain",IF(P191&lt;&gt;"Y","Confirm period coverage",IF(Q191="","Raise wave 3 PBC request","OK"))))))))</f>
        <v/>
      </c>
    </row>
    <row r="192" customFormat="false" ht="15" hidden="false" customHeight="false" outlineLevel="0" collapsed="false">
      <c r="A192" s="16"/>
      <c r="B192" s="16"/>
      <c r="C192" s="17" t="str">
        <f aca="false">IFERROR(INDEX(Ref_TEST!$B$2:$B$201,MATCH(B192,Ref_TEST!$A$2:$A$201,0)),"")</f>
        <v/>
      </c>
      <c r="D192" s="17" t="str">
        <f aca="false">IFERROR(INDEX(Ref_TEST!$C$2:$C$201,MATCH(B192,Ref_TEST!$A$2:$A$201,0)),"")</f>
        <v/>
      </c>
      <c r="E192" s="17" t="str">
        <f aca="false">IFERROR(INDEX(Ref_TEST!$D$2:$D$201,MATCH(B192,Ref_TEST!$A$2:$A$201,0)),"")</f>
        <v/>
      </c>
      <c r="F192" s="17" t="str">
        <f aca="false">IFERROR(INDEX(Ref_TEST!$E$2:$E$201,MATCH(B192,Ref_TEST!$A$2:$A$201,0)),"")</f>
        <v/>
      </c>
      <c r="G192" s="17" t="str">
        <f aca="false">IF(A192="","",COUNTIF(Items!$A$5:$A$1004,A192))</f>
        <v/>
      </c>
      <c r="H192" s="16"/>
      <c r="I192" s="16"/>
      <c r="J192" s="16"/>
      <c r="K192" s="17" t="str">
        <f aca="false">IF(A192="","",COUNTIFS(Items!$A$5:$A$1004,A192,Items!$E$5:$E$1004,"Q1"))</f>
        <v/>
      </c>
      <c r="L192" s="17" t="str">
        <f aca="false">IF(A192="","",COUNTIFS(Items!$A$5:$A$1004,A192,Items!$E$5:$E$1004,"Q2"))</f>
        <v/>
      </c>
      <c r="M192" s="17" t="str">
        <f aca="false">IF(A192="","",COUNTIFS(Items!$A$5:$A$1004,A192,Items!$E$5:$E$1004,"Q3"))</f>
        <v/>
      </c>
      <c r="N192" s="17" t="str">
        <f aca="false">IF(A192="","",COUNTIFS(Items!$A$5:$A$1004,A192,Items!$E$5:$E$1004,"Q4"))</f>
        <v/>
      </c>
      <c r="O192" s="17" t="str">
        <f aca="false">IF(A192="","",COUNTIF(K192:N192,"&gt;0"))</f>
        <v/>
      </c>
      <c r="P192" s="16"/>
      <c r="Q192" s="16"/>
      <c r="R192" s="16"/>
      <c r="S192" s="18"/>
      <c r="T192" s="16"/>
      <c r="U192" s="17" t="str">
        <f aca="false">IF(A192="","",IF(OR(B192="",H192="",R192="",S192=""),"TEST-ID, method, selector, date needed",IF(COUNTIF(Ref_TEST!$A$2:$A$201,B192)=0,"TEST-ID not in W10",IF(D192&lt;&gt;"Pass","HOLD: population IPE not Pass",IF(AND(OR(H192="Random (seeded)",H192="Systematic"),I192=""),"Seed or interval needed",IF(G192&lt;&gt;F192+N(J192),"Items selected differ from planned + targeted: explain",IF(P192&lt;&gt;"Y","Confirm period coverage",IF(Q192="","Raise wave 3 PBC request","OK"))))))))</f>
        <v/>
      </c>
    </row>
    <row r="193" customFormat="false" ht="15" hidden="false" customHeight="false" outlineLevel="0" collapsed="false">
      <c r="A193" s="16"/>
      <c r="B193" s="16"/>
      <c r="C193" s="17" t="str">
        <f aca="false">IFERROR(INDEX(Ref_TEST!$B$2:$B$201,MATCH(B193,Ref_TEST!$A$2:$A$201,0)),"")</f>
        <v/>
      </c>
      <c r="D193" s="17" t="str">
        <f aca="false">IFERROR(INDEX(Ref_TEST!$C$2:$C$201,MATCH(B193,Ref_TEST!$A$2:$A$201,0)),"")</f>
        <v/>
      </c>
      <c r="E193" s="17" t="str">
        <f aca="false">IFERROR(INDEX(Ref_TEST!$D$2:$D$201,MATCH(B193,Ref_TEST!$A$2:$A$201,0)),"")</f>
        <v/>
      </c>
      <c r="F193" s="17" t="str">
        <f aca="false">IFERROR(INDEX(Ref_TEST!$E$2:$E$201,MATCH(B193,Ref_TEST!$A$2:$A$201,0)),"")</f>
        <v/>
      </c>
      <c r="G193" s="17" t="str">
        <f aca="false">IF(A193="","",COUNTIF(Items!$A$5:$A$1004,A193))</f>
        <v/>
      </c>
      <c r="H193" s="16"/>
      <c r="I193" s="16"/>
      <c r="J193" s="16"/>
      <c r="K193" s="17" t="str">
        <f aca="false">IF(A193="","",COUNTIFS(Items!$A$5:$A$1004,A193,Items!$E$5:$E$1004,"Q1"))</f>
        <v/>
      </c>
      <c r="L193" s="17" t="str">
        <f aca="false">IF(A193="","",COUNTIFS(Items!$A$5:$A$1004,A193,Items!$E$5:$E$1004,"Q2"))</f>
        <v/>
      </c>
      <c r="M193" s="17" t="str">
        <f aca="false">IF(A193="","",COUNTIFS(Items!$A$5:$A$1004,A193,Items!$E$5:$E$1004,"Q3"))</f>
        <v/>
      </c>
      <c r="N193" s="17" t="str">
        <f aca="false">IF(A193="","",COUNTIFS(Items!$A$5:$A$1004,A193,Items!$E$5:$E$1004,"Q4"))</f>
        <v/>
      </c>
      <c r="O193" s="17" t="str">
        <f aca="false">IF(A193="","",COUNTIF(K193:N193,"&gt;0"))</f>
        <v/>
      </c>
      <c r="P193" s="16"/>
      <c r="Q193" s="16"/>
      <c r="R193" s="16"/>
      <c r="S193" s="18"/>
      <c r="T193" s="16"/>
      <c r="U193" s="17" t="str">
        <f aca="false">IF(A193="","",IF(OR(B193="",H193="",R193="",S193=""),"TEST-ID, method, selector, date needed",IF(COUNTIF(Ref_TEST!$A$2:$A$201,B193)=0,"TEST-ID not in W10",IF(D193&lt;&gt;"Pass","HOLD: population IPE not Pass",IF(AND(OR(H193="Random (seeded)",H193="Systematic"),I193=""),"Seed or interval needed",IF(G193&lt;&gt;F193+N(J193),"Items selected differ from planned + targeted: explain",IF(P193&lt;&gt;"Y","Confirm period coverage",IF(Q193="","Raise wave 3 PBC request","OK"))))))))</f>
        <v/>
      </c>
    </row>
    <row r="194" customFormat="false" ht="15" hidden="false" customHeight="false" outlineLevel="0" collapsed="false">
      <c r="A194" s="16"/>
      <c r="B194" s="16"/>
      <c r="C194" s="17" t="str">
        <f aca="false">IFERROR(INDEX(Ref_TEST!$B$2:$B$201,MATCH(B194,Ref_TEST!$A$2:$A$201,0)),"")</f>
        <v/>
      </c>
      <c r="D194" s="17" t="str">
        <f aca="false">IFERROR(INDEX(Ref_TEST!$C$2:$C$201,MATCH(B194,Ref_TEST!$A$2:$A$201,0)),"")</f>
        <v/>
      </c>
      <c r="E194" s="17" t="str">
        <f aca="false">IFERROR(INDEX(Ref_TEST!$D$2:$D$201,MATCH(B194,Ref_TEST!$A$2:$A$201,0)),"")</f>
        <v/>
      </c>
      <c r="F194" s="17" t="str">
        <f aca="false">IFERROR(INDEX(Ref_TEST!$E$2:$E$201,MATCH(B194,Ref_TEST!$A$2:$A$201,0)),"")</f>
        <v/>
      </c>
      <c r="G194" s="17" t="str">
        <f aca="false">IF(A194="","",COUNTIF(Items!$A$5:$A$1004,A194))</f>
        <v/>
      </c>
      <c r="H194" s="16"/>
      <c r="I194" s="16"/>
      <c r="J194" s="16"/>
      <c r="K194" s="17" t="str">
        <f aca="false">IF(A194="","",COUNTIFS(Items!$A$5:$A$1004,A194,Items!$E$5:$E$1004,"Q1"))</f>
        <v/>
      </c>
      <c r="L194" s="17" t="str">
        <f aca="false">IF(A194="","",COUNTIFS(Items!$A$5:$A$1004,A194,Items!$E$5:$E$1004,"Q2"))</f>
        <v/>
      </c>
      <c r="M194" s="17" t="str">
        <f aca="false">IF(A194="","",COUNTIFS(Items!$A$5:$A$1004,A194,Items!$E$5:$E$1004,"Q3"))</f>
        <v/>
      </c>
      <c r="N194" s="17" t="str">
        <f aca="false">IF(A194="","",COUNTIFS(Items!$A$5:$A$1004,A194,Items!$E$5:$E$1004,"Q4"))</f>
        <v/>
      </c>
      <c r="O194" s="17" t="str">
        <f aca="false">IF(A194="","",COUNTIF(K194:N194,"&gt;0"))</f>
        <v/>
      </c>
      <c r="P194" s="16"/>
      <c r="Q194" s="16"/>
      <c r="R194" s="16"/>
      <c r="S194" s="18"/>
      <c r="T194" s="16"/>
      <c r="U194" s="17" t="str">
        <f aca="false">IF(A194="","",IF(OR(B194="",H194="",R194="",S194=""),"TEST-ID, method, selector, date needed",IF(COUNTIF(Ref_TEST!$A$2:$A$201,B194)=0,"TEST-ID not in W10",IF(D194&lt;&gt;"Pass","HOLD: population IPE not Pass",IF(AND(OR(H194="Random (seeded)",H194="Systematic"),I194=""),"Seed or interval needed",IF(G194&lt;&gt;F194+N(J194),"Items selected differ from planned + targeted: explain",IF(P194&lt;&gt;"Y","Confirm period coverage",IF(Q194="","Raise wave 3 PBC request","OK"))))))))</f>
        <v/>
      </c>
    </row>
    <row r="195" customFormat="false" ht="15" hidden="false" customHeight="false" outlineLevel="0" collapsed="false">
      <c r="A195" s="16"/>
      <c r="B195" s="16"/>
      <c r="C195" s="17" t="str">
        <f aca="false">IFERROR(INDEX(Ref_TEST!$B$2:$B$201,MATCH(B195,Ref_TEST!$A$2:$A$201,0)),"")</f>
        <v/>
      </c>
      <c r="D195" s="17" t="str">
        <f aca="false">IFERROR(INDEX(Ref_TEST!$C$2:$C$201,MATCH(B195,Ref_TEST!$A$2:$A$201,0)),"")</f>
        <v/>
      </c>
      <c r="E195" s="17" t="str">
        <f aca="false">IFERROR(INDEX(Ref_TEST!$D$2:$D$201,MATCH(B195,Ref_TEST!$A$2:$A$201,0)),"")</f>
        <v/>
      </c>
      <c r="F195" s="17" t="str">
        <f aca="false">IFERROR(INDEX(Ref_TEST!$E$2:$E$201,MATCH(B195,Ref_TEST!$A$2:$A$201,0)),"")</f>
        <v/>
      </c>
      <c r="G195" s="17" t="str">
        <f aca="false">IF(A195="","",COUNTIF(Items!$A$5:$A$1004,A195))</f>
        <v/>
      </c>
      <c r="H195" s="16"/>
      <c r="I195" s="16"/>
      <c r="J195" s="16"/>
      <c r="K195" s="17" t="str">
        <f aca="false">IF(A195="","",COUNTIFS(Items!$A$5:$A$1004,A195,Items!$E$5:$E$1004,"Q1"))</f>
        <v/>
      </c>
      <c r="L195" s="17" t="str">
        <f aca="false">IF(A195="","",COUNTIFS(Items!$A$5:$A$1004,A195,Items!$E$5:$E$1004,"Q2"))</f>
        <v/>
      </c>
      <c r="M195" s="17" t="str">
        <f aca="false">IF(A195="","",COUNTIFS(Items!$A$5:$A$1004,A195,Items!$E$5:$E$1004,"Q3"))</f>
        <v/>
      </c>
      <c r="N195" s="17" t="str">
        <f aca="false">IF(A195="","",COUNTIFS(Items!$A$5:$A$1004,A195,Items!$E$5:$E$1004,"Q4"))</f>
        <v/>
      </c>
      <c r="O195" s="17" t="str">
        <f aca="false">IF(A195="","",COUNTIF(K195:N195,"&gt;0"))</f>
        <v/>
      </c>
      <c r="P195" s="16"/>
      <c r="Q195" s="16"/>
      <c r="R195" s="16"/>
      <c r="S195" s="18"/>
      <c r="T195" s="16"/>
      <c r="U195" s="17" t="str">
        <f aca="false">IF(A195="","",IF(OR(B195="",H195="",R195="",S195=""),"TEST-ID, method, selector, date needed",IF(COUNTIF(Ref_TEST!$A$2:$A$201,B195)=0,"TEST-ID not in W10",IF(D195&lt;&gt;"Pass","HOLD: population IPE not Pass",IF(AND(OR(H195="Random (seeded)",H195="Systematic"),I195=""),"Seed or interval needed",IF(G195&lt;&gt;F195+N(J195),"Items selected differ from planned + targeted: explain",IF(P195&lt;&gt;"Y","Confirm period coverage",IF(Q195="","Raise wave 3 PBC request","OK"))))))))</f>
        <v/>
      </c>
    </row>
    <row r="196" customFormat="false" ht="15" hidden="false" customHeight="false" outlineLevel="0" collapsed="false">
      <c r="A196" s="16"/>
      <c r="B196" s="16"/>
      <c r="C196" s="17" t="str">
        <f aca="false">IFERROR(INDEX(Ref_TEST!$B$2:$B$201,MATCH(B196,Ref_TEST!$A$2:$A$201,0)),"")</f>
        <v/>
      </c>
      <c r="D196" s="17" t="str">
        <f aca="false">IFERROR(INDEX(Ref_TEST!$C$2:$C$201,MATCH(B196,Ref_TEST!$A$2:$A$201,0)),"")</f>
        <v/>
      </c>
      <c r="E196" s="17" t="str">
        <f aca="false">IFERROR(INDEX(Ref_TEST!$D$2:$D$201,MATCH(B196,Ref_TEST!$A$2:$A$201,0)),"")</f>
        <v/>
      </c>
      <c r="F196" s="17" t="str">
        <f aca="false">IFERROR(INDEX(Ref_TEST!$E$2:$E$201,MATCH(B196,Ref_TEST!$A$2:$A$201,0)),"")</f>
        <v/>
      </c>
      <c r="G196" s="17" t="str">
        <f aca="false">IF(A196="","",COUNTIF(Items!$A$5:$A$1004,A196))</f>
        <v/>
      </c>
      <c r="H196" s="16"/>
      <c r="I196" s="16"/>
      <c r="J196" s="16"/>
      <c r="K196" s="17" t="str">
        <f aca="false">IF(A196="","",COUNTIFS(Items!$A$5:$A$1004,A196,Items!$E$5:$E$1004,"Q1"))</f>
        <v/>
      </c>
      <c r="L196" s="17" t="str">
        <f aca="false">IF(A196="","",COUNTIFS(Items!$A$5:$A$1004,A196,Items!$E$5:$E$1004,"Q2"))</f>
        <v/>
      </c>
      <c r="M196" s="17" t="str">
        <f aca="false">IF(A196="","",COUNTIFS(Items!$A$5:$A$1004,A196,Items!$E$5:$E$1004,"Q3"))</f>
        <v/>
      </c>
      <c r="N196" s="17" t="str">
        <f aca="false">IF(A196="","",COUNTIFS(Items!$A$5:$A$1004,A196,Items!$E$5:$E$1004,"Q4"))</f>
        <v/>
      </c>
      <c r="O196" s="17" t="str">
        <f aca="false">IF(A196="","",COUNTIF(K196:N196,"&gt;0"))</f>
        <v/>
      </c>
      <c r="P196" s="16"/>
      <c r="Q196" s="16"/>
      <c r="R196" s="16"/>
      <c r="S196" s="18"/>
      <c r="T196" s="16"/>
      <c r="U196" s="17" t="str">
        <f aca="false">IF(A196="","",IF(OR(B196="",H196="",R196="",S196=""),"TEST-ID, method, selector, date needed",IF(COUNTIF(Ref_TEST!$A$2:$A$201,B196)=0,"TEST-ID not in W10",IF(D196&lt;&gt;"Pass","HOLD: population IPE not Pass",IF(AND(OR(H196="Random (seeded)",H196="Systematic"),I196=""),"Seed or interval needed",IF(G196&lt;&gt;F196+N(J196),"Items selected differ from planned + targeted: explain",IF(P196&lt;&gt;"Y","Confirm period coverage",IF(Q196="","Raise wave 3 PBC request","OK"))))))))</f>
        <v/>
      </c>
    </row>
    <row r="197" customFormat="false" ht="15" hidden="false" customHeight="false" outlineLevel="0" collapsed="false">
      <c r="A197" s="16"/>
      <c r="B197" s="16"/>
      <c r="C197" s="17" t="str">
        <f aca="false">IFERROR(INDEX(Ref_TEST!$B$2:$B$201,MATCH(B197,Ref_TEST!$A$2:$A$201,0)),"")</f>
        <v/>
      </c>
      <c r="D197" s="17" t="str">
        <f aca="false">IFERROR(INDEX(Ref_TEST!$C$2:$C$201,MATCH(B197,Ref_TEST!$A$2:$A$201,0)),"")</f>
        <v/>
      </c>
      <c r="E197" s="17" t="str">
        <f aca="false">IFERROR(INDEX(Ref_TEST!$D$2:$D$201,MATCH(B197,Ref_TEST!$A$2:$A$201,0)),"")</f>
        <v/>
      </c>
      <c r="F197" s="17" t="str">
        <f aca="false">IFERROR(INDEX(Ref_TEST!$E$2:$E$201,MATCH(B197,Ref_TEST!$A$2:$A$201,0)),"")</f>
        <v/>
      </c>
      <c r="G197" s="17" t="str">
        <f aca="false">IF(A197="","",COUNTIF(Items!$A$5:$A$1004,A197))</f>
        <v/>
      </c>
      <c r="H197" s="16"/>
      <c r="I197" s="16"/>
      <c r="J197" s="16"/>
      <c r="K197" s="17" t="str">
        <f aca="false">IF(A197="","",COUNTIFS(Items!$A$5:$A$1004,A197,Items!$E$5:$E$1004,"Q1"))</f>
        <v/>
      </c>
      <c r="L197" s="17" t="str">
        <f aca="false">IF(A197="","",COUNTIFS(Items!$A$5:$A$1004,A197,Items!$E$5:$E$1004,"Q2"))</f>
        <v/>
      </c>
      <c r="M197" s="17" t="str">
        <f aca="false">IF(A197="","",COUNTIFS(Items!$A$5:$A$1004,A197,Items!$E$5:$E$1004,"Q3"))</f>
        <v/>
      </c>
      <c r="N197" s="17" t="str">
        <f aca="false">IF(A197="","",COUNTIFS(Items!$A$5:$A$1004,A197,Items!$E$5:$E$1004,"Q4"))</f>
        <v/>
      </c>
      <c r="O197" s="17" t="str">
        <f aca="false">IF(A197="","",COUNTIF(K197:N197,"&gt;0"))</f>
        <v/>
      </c>
      <c r="P197" s="16"/>
      <c r="Q197" s="16"/>
      <c r="R197" s="16"/>
      <c r="S197" s="18"/>
      <c r="T197" s="16"/>
      <c r="U197" s="17" t="str">
        <f aca="false">IF(A197="","",IF(OR(B197="",H197="",R197="",S197=""),"TEST-ID, method, selector, date needed",IF(COUNTIF(Ref_TEST!$A$2:$A$201,B197)=0,"TEST-ID not in W10",IF(D197&lt;&gt;"Pass","HOLD: population IPE not Pass",IF(AND(OR(H197="Random (seeded)",H197="Systematic"),I197=""),"Seed or interval needed",IF(G197&lt;&gt;F197+N(J197),"Items selected differ from planned + targeted: explain",IF(P197&lt;&gt;"Y","Confirm period coverage",IF(Q197="","Raise wave 3 PBC request","OK"))))))))</f>
        <v/>
      </c>
    </row>
    <row r="198" customFormat="false" ht="15" hidden="false" customHeight="false" outlineLevel="0" collapsed="false">
      <c r="A198" s="16"/>
      <c r="B198" s="16"/>
      <c r="C198" s="17" t="str">
        <f aca="false">IFERROR(INDEX(Ref_TEST!$B$2:$B$201,MATCH(B198,Ref_TEST!$A$2:$A$201,0)),"")</f>
        <v/>
      </c>
      <c r="D198" s="17" t="str">
        <f aca="false">IFERROR(INDEX(Ref_TEST!$C$2:$C$201,MATCH(B198,Ref_TEST!$A$2:$A$201,0)),"")</f>
        <v/>
      </c>
      <c r="E198" s="17" t="str">
        <f aca="false">IFERROR(INDEX(Ref_TEST!$D$2:$D$201,MATCH(B198,Ref_TEST!$A$2:$A$201,0)),"")</f>
        <v/>
      </c>
      <c r="F198" s="17" t="str">
        <f aca="false">IFERROR(INDEX(Ref_TEST!$E$2:$E$201,MATCH(B198,Ref_TEST!$A$2:$A$201,0)),"")</f>
        <v/>
      </c>
      <c r="G198" s="17" t="str">
        <f aca="false">IF(A198="","",COUNTIF(Items!$A$5:$A$1004,A198))</f>
        <v/>
      </c>
      <c r="H198" s="16"/>
      <c r="I198" s="16"/>
      <c r="J198" s="16"/>
      <c r="K198" s="17" t="str">
        <f aca="false">IF(A198="","",COUNTIFS(Items!$A$5:$A$1004,A198,Items!$E$5:$E$1004,"Q1"))</f>
        <v/>
      </c>
      <c r="L198" s="17" t="str">
        <f aca="false">IF(A198="","",COUNTIFS(Items!$A$5:$A$1004,A198,Items!$E$5:$E$1004,"Q2"))</f>
        <v/>
      </c>
      <c r="M198" s="17" t="str">
        <f aca="false">IF(A198="","",COUNTIFS(Items!$A$5:$A$1004,A198,Items!$E$5:$E$1004,"Q3"))</f>
        <v/>
      </c>
      <c r="N198" s="17" t="str">
        <f aca="false">IF(A198="","",COUNTIFS(Items!$A$5:$A$1004,A198,Items!$E$5:$E$1004,"Q4"))</f>
        <v/>
      </c>
      <c r="O198" s="17" t="str">
        <f aca="false">IF(A198="","",COUNTIF(K198:N198,"&gt;0"))</f>
        <v/>
      </c>
      <c r="P198" s="16"/>
      <c r="Q198" s="16"/>
      <c r="R198" s="16"/>
      <c r="S198" s="18"/>
      <c r="T198" s="16"/>
      <c r="U198" s="17" t="str">
        <f aca="false">IF(A198="","",IF(OR(B198="",H198="",R198="",S198=""),"TEST-ID, method, selector, date needed",IF(COUNTIF(Ref_TEST!$A$2:$A$201,B198)=0,"TEST-ID not in W10",IF(D198&lt;&gt;"Pass","HOLD: population IPE not Pass",IF(AND(OR(H198="Random (seeded)",H198="Systematic"),I198=""),"Seed or interval needed",IF(G198&lt;&gt;F198+N(J198),"Items selected differ from planned + targeted: explain",IF(P198&lt;&gt;"Y","Confirm period coverage",IF(Q198="","Raise wave 3 PBC request","OK"))))))))</f>
        <v/>
      </c>
    </row>
    <row r="199" customFormat="false" ht="15" hidden="false" customHeight="false" outlineLevel="0" collapsed="false">
      <c r="A199" s="16"/>
      <c r="B199" s="16"/>
      <c r="C199" s="17" t="str">
        <f aca="false">IFERROR(INDEX(Ref_TEST!$B$2:$B$201,MATCH(B199,Ref_TEST!$A$2:$A$201,0)),"")</f>
        <v/>
      </c>
      <c r="D199" s="17" t="str">
        <f aca="false">IFERROR(INDEX(Ref_TEST!$C$2:$C$201,MATCH(B199,Ref_TEST!$A$2:$A$201,0)),"")</f>
        <v/>
      </c>
      <c r="E199" s="17" t="str">
        <f aca="false">IFERROR(INDEX(Ref_TEST!$D$2:$D$201,MATCH(B199,Ref_TEST!$A$2:$A$201,0)),"")</f>
        <v/>
      </c>
      <c r="F199" s="17" t="str">
        <f aca="false">IFERROR(INDEX(Ref_TEST!$E$2:$E$201,MATCH(B199,Ref_TEST!$A$2:$A$201,0)),"")</f>
        <v/>
      </c>
      <c r="G199" s="17" t="str">
        <f aca="false">IF(A199="","",COUNTIF(Items!$A$5:$A$1004,A199))</f>
        <v/>
      </c>
      <c r="H199" s="16"/>
      <c r="I199" s="16"/>
      <c r="J199" s="16"/>
      <c r="K199" s="17" t="str">
        <f aca="false">IF(A199="","",COUNTIFS(Items!$A$5:$A$1004,A199,Items!$E$5:$E$1004,"Q1"))</f>
        <v/>
      </c>
      <c r="L199" s="17" t="str">
        <f aca="false">IF(A199="","",COUNTIFS(Items!$A$5:$A$1004,A199,Items!$E$5:$E$1004,"Q2"))</f>
        <v/>
      </c>
      <c r="M199" s="17" t="str">
        <f aca="false">IF(A199="","",COUNTIFS(Items!$A$5:$A$1004,A199,Items!$E$5:$E$1004,"Q3"))</f>
        <v/>
      </c>
      <c r="N199" s="17" t="str">
        <f aca="false">IF(A199="","",COUNTIFS(Items!$A$5:$A$1004,A199,Items!$E$5:$E$1004,"Q4"))</f>
        <v/>
      </c>
      <c r="O199" s="17" t="str">
        <f aca="false">IF(A199="","",COUNTIF(K199:N199,"&gt;0"))</f>
        <v/>
      </c>
      <c r="P199" s="16"/>
      <c r="Q199" s="16"/>
      <c r="R199" s="16"/>
      <c r="S199" s="18"/>
      <c r="T199" s="16"/>
      <c r="U199" s="17" t="str">
        <f aca="false">IF(A199="","",IF(OR(B199="",H199="",R199="",S199=""),"TEST-ID, method, selector, date needed",IF(COUNTIF(Ref_TEST!$A$2:$A$201,B199)=0,"TEST-ID not in W10",IF(D199&lt;&gt;"Pass","HOLD: population IPE not Pass",IF(AND(OR(H199="Random (seeded)",H199="Systematic"),I199=""),"Seed or interval needed",IF(G199&lt;&gt;F199+N(J199),"Items selected differ from planned + targeted: explain",IF(P199&lt;&gt;"Y","Confirm period coverage",IF(Q199="","Raise wave 3 PBC request","OK"))))))))</f>
        <v/>
      </c>
    </row>
    <row r="200" customFormat="false" ht="15" hidden="false" customHeight="false" outlineLevel="0" collapsed="false">
      <c r="A200" s="16"/>
      <c r="B200" s="16"/>
      <c r="C200" s="17" t="str">
        <f aca="false">IFERROR(INDEX(Ref_TEST!$B$2:$B$201,MATCH(B200,Ref_TEST!$A$2:$A$201,0)),"")</f>
        <v/>
      </c>
      <c r="D200" s="17" t="str">
        <f aca="false">IFERROR(INDEX(Ref_TEST!$C$2:$C$201,MATCH(B200,Ref_TEST!$A$2:$A$201,0)),"")</f>
        <v/>
      </c>
      <c r="E200" s="17" t="str">
        <f aca="false">IFERROR(INDEX(Ref_TEST!$D$2:$D$201,MATCH(B200,Ref_TEST!$A$2:$A$201,0)),"")</f>
        <v/>
      </c>
      <c r="F200" s="17" t="str">
        <f aca="false">IFERROR(INDEX(Ref_TEST!$E$2:$E$201,MATCH(B200,Ref_TEST!$A$2:$A$201,0)),"")</f>
        <v/>
      </c>
      <c r="G200" s="17" t="str">
        <f aca="false">IF(A200="","",COUNTIF(Items!$A$5:$A$1004,A200))</f>
        <v/>
      </c>
      <c r="H200" s="16"/>
      <c r="I200" s="16"/>
      <c r="J200" s="16"/>
      <c r="K200" s="17" t="str">
        <f aca="false">IF(A200="","",COUNTIFS(Items!$A$5:$A$1004,A200,Items!$E$5:$E$1004,"Q1"))</f>
        <v/>
      </c>
      <c r="L200" s="17" t="str">
        <f aca="false">IF(A200="","",COUNTIFS(Items!$A$5:$A$1004,A200,Items!$E$5:$E$1004,"Q2"))</f>
        <v/>
      </c>
      <c r="M200" s="17" t="str">
        <f aca="false">IF(A200="","",COUNTIFS(Items!$A$5:$A$1004,A200,Items!$E$5:$E$1004,"Q3"))</f>
        <v/>
      </c>
      <c r="N200" s="17" t="str">
        <f aca="false">IF(A200="","",COUNTIFS(Items!$A$5:$A$1004,A200,Items!$E$5:$E$1004,"Q4"))</f>
        <v/>
      </c>
      <c r="O200" s="17" t="str">
        <f aca="false">IF(A200="","",COUNTIF(K200:N200,"&gt;0"))</f>
        <v/>
      </c>
      <c r="P200" s="16"/>
      <c r="Q200" s="16"/>
      <c r="R200" s="16"/>
      <c r="S200" s="18"/>
      <c r="T200" s="16"/>
      <c r="U200" s="17" t="str">
        <f aca="false">IF(A200="","",IF(OR(B200="",H200="",R200="",S200=""),"TEST-ID, method, selector, date needed",IF(COUNTIF(Ref_TEST!$A$2:$A$201,B200)=0,"TEST-ID not in W10",IF(D200&lt;&gt;"Pass","HOLD: population IPE not Pass",IF(AND(OR(H200="Random (seeded)",H200="Systematic"),I200=""),"Seed or interval needed",IF(G200&lt;&gt;F200+N(J200),"Items selected differ from planned + targeted: explain",IF(P200&lt;&gt;"Y","Confirm period coverage",IF(Q200="","Raise wave 3 PBC request","OK"))))))))</f>
        <v/>
      </c>
    </row>
    <row r="201" customFormat="false" ht="15" hidden="false" customHeight="false" outlineLevel="0" collapsed="false">
      <c r="A201" s="16"/>
      <c r="B201" s="16"/>
      <c r="C201" s="17" t="str">
        <f aca="false">IFERROR(INDEX(Ref_TEST!$B$2:$B$201,MATCH(B201,Ref_TEST!$A$2:$A$201,0)),"")</f>
        <v/>
      </c>
      <c r="D201" s="17" t="str">
        <f aca="false">IFERROR(INDEX(Ref_TEST!$C$2:$C$201,MATCH(B201,Ref_TEST!$A$2:$A$201,0)),"")</f>
        <v/>
      </c>
      <c r="E201" s="17" t="str">
        <f aca="false">IFERROR(INDEX(Ref_TEST!$D$2:$D$201,MATCH(B201,Ref_TEST!$A$2:$A$201,0)),"")</f>
        <v/>
      </c>
      <c r="F201" s="17" t="str">
        <f aca="false">IFERROR(INDEX(Ref_TEST!$E$2:$E$201,MATCH(B201,Ref_TEST!$A$2:$A$201,0)),"")</f>
        <v/>
      </c>
      <c r="G201" s="17" t="str">
        <f aca="false">IF(A201="","",COUNTIF(Items!$A$5:$A$1004,A201))</f>
        <v/>
      </c>
      <c r="H201" s="16"/>
      <c r="I201" s="16"/>
      <c r="J201" s="16"/>
      <c r="K201" s="17" t="str">
        <f aca="false">IF(A201="","",COUNTIFS(Items!$A$5:$A$1004,A201,Items!$E$5:$E$1004,"Q1"))</f>
        <v/>
      </c>
      <c r="L201" s="17" t="str">
        <f aca="false">IF(A201="","",COUNTIFS(Items!$A$5:$A$1004,A201,Items!$E$5:$E$1004,"Q2"))</f>
        <v/>
      </c>
      <c r="M201" s="17" t="str">
        <f aca="false">IF(A201="","",COUNTIFS(Items!$A$5:$A$1004,A201,Items!$E$5:$E$1004,"Q3"))</f>
        <v/>
      </c>
      <c r="N201" s="17" t="str">
        <f aca="false">IF(A201="","",COUNTIFS(Items!$A$5:$A$1004,A201,Items!$E$5:$E$1004,"Q4"))</f>
        <v/>
      </c>
      <c r="O201" s="17" t="str">
        <f aca="false">IF(A201="","",COUNTIF(K201:N201,"&gt;0"))</f>
        <v/>
      </c>
      <c r="P201" s="16"/>
      <c r="Q201" s="16"/>
      <c r="R201" s="16"/>
      <c r="S201" s="18"/>
      <c r="T201" s="16"/>
      <c r="U201" s="17" t="str">
        <f aca="false">IF(A201="","",IF(OR(B201="",H201="",R201="",S201=""),"TEST-ID, method, selector, date needed",IF(COUNTIF(Ref_TEST!$A$2:$A$201,B201)=0,"TEST-ID not in W10",IF(D201&lt;&gt;"Pass","HOLD: population IPE not Pass",IF(AND(OR(H201="Random (seeded)",H201="Systematic"),I201=""),"Seed or interval needed",IF(G201&lt;&gt;F201+N(J201),"Items selected differ from planned + targeted: explain",IF(P201&lt;&gt;"Y","Confirm period coverage",IF(Q201="","Raise wave 3 PBC request","OK"))))))))</f>
        <v/>
      </c>
    </row>
    <row r="202" customFormat="false" ht="15" hidden="false" customHeight="false" outlineLevel="0" collapsed="false">
      <c r="A202" s="16"/>
      <c r="B202" s="16"/>
      <c r="C202" s="17" t="str">
        <f aca="false">IFERROR(INDEX(Ref_TEST!$B$2:$B$201,MATCH(B202,Ref_TEST!$A$2:$A$201,0)),"")</f>
        <v/>
      </c>
      <c r="D202" s="17" t="str">
        <f aca="false">IFERROR(INDEX(Ref_TEST!$C$2:$C$201,MATCH(B202,Ref_TEST!$A$2:$A$201,0)),"")</f>
        <v/>
      </c>
      <c r="E202" s="17" t="str">
        <f aca="false">IFERROR(INDEX(Ref_TEST!$D$2:$D$201,MATCH(B202,Ref_TEST!$A$2:$A$201,0)),"")</f>
        <v/>
      </c>
      <c r="F202" s="17" t="str">
        <f aca="false">IFERROR(INDEX(Ref_TEST!$E$2:$E$201,MATCH(B202,Ref_TEST!$A$2:$A$201,0)),"")</f>
        <v/>
      </c>
      <c r="G202" s="17" t="str">
        <f aca="false">IF(A202="","",COUNTIF(Items!$A$5:$A$1004,A202))</f>
        <v/>
      </c>
      <c r="H202" s="16"/>
      <c r="I202" s="16"/>
      <c r="J202" s="16"/>
      <c r="K202" s="17" t="str">
        <f aca="false">IF(A202="","",COUNTIFS(Items!$A$5:$A$1004,A202,Items!$E$5:$E$1004,"Q1"))</f>
        <v/>
      </c>
      <c r="L202" s="17" t="str">
        <f aca="false">IF(A202="","",COUNTIFS(Items!$A$5:$A$1004,A202,Items!$E$5:$E$1004,"Q2"))</f>
        <v/>
      </c>
      <c r="M202" s="17" t="str">
        <f aca="false">IF(A202="","",COUNTIFS(Items!$A$5:$A$1004,A202,Items!$E$5:$E$1004,"Q3"))</f>
        <v/>
      </c>
      <c r="N202" s="17" t="str">
        <f aca="false">IF(A202="","",COUNTIFS(Items!$A$5:$A$1004,A202,Items!$E$5:$E$1004,"Q4"))</f>
        <v/>
      </c>
      <c r="O202" s="17" t="str">
        <f aca="false">IF(A202="","",COUNTIF(K202:N202,"&gt;0"))</f>
        <v/>
      </c>
      <c r="P202" s="16"/>
      <c r="Q202" s="16"/>
      <c r="R202" s="16"/>
      <c r="S202" s="18"/>
      <c r="T202" s="16"/>
      <c r="U202" s="17" t="str">
        <f aca="false">IF(A202="","",IF(OR(B202="",H202="",R202="",S202=""),"TEST-ID, method, selector, date needed",IF(COUNTIF(Ref_TEST!$A$2:$A$201,B202)=0,"TEST-ID not in W10",IF(D202&lt;&gt;"Pass","HOLD: population IPE not Pass",IF(AND(OR(H202="Random (seeded)",H202="Systematic"),I202=""),"Seed or interval needed",IF(G202&lt;&gt;F202+N(J202),"Items selected differ from planned + targeted: explain",IF(P202&lt;&gt;"Y","Confirm period coverage",IF(Q202="","Raise wave 3 PBC request","OK"))))))))</f>
        <v/>
      </c>
    </row>
    <row r="203" customFormat="false" ht="15" hidden="false" customHeight="false" outlineLevel="0" collapsed="false">
      <c r="A203" s="16"/>
      <c r="B203" s="16"/>
      <c r="C203" s="17" t="str">
        <f aca="false">IFERROR(INDEX(Ref_TEST!$B$2:$B$201,MATCH(B203,Ref_TEST!$A$2:$A$201,0)),"")</f>
        <v/>
      </c>
      <c r="D203" s="17" t="str">
        <f aca="false">IFERROR(INDEX(Ref_TEST!$C$2:$C$201,MATCH(B203,Ref_TEST!$A$2:$A$201,0)),"")</f>
        <v/>
      </c>
      <c r="E203" s="17" t="str">
        <f aca="false">IFERROR(INDEX(Ref_TEST!$D$2:$D$201,MATCH(B203,Ref_TEST!$A$2:$A$201,0)),"")</f>
        <v/>
      </c>
      <c r="F203" s="17" t="str">
        <f aca="false">IFERROR(INDEX(Ref_TEST!$E$2:$E$201,MATCH(B203,Ref_TEST!$A$2:$A$201,0)),"")</f>
        <v/>
      </c>
      <c r="G203" s="17" t="str">
        <f aca="false">IF(A203="","",COUNTIF(Items!$A$5:$A$1004,A203))</f>
        <v/>
      </c>
      <c r="H203" s="16"/>
      <c r="I203" s="16"/>
      <c r="J203" s="16"/>
      <c r="K203" s="17" t="str">
        <f aca="false">IF(A203="","",COUNTIFS(Items!$A$5:$A$1004,A203,Items!$E$5:$E$1004,"Q1"))</f>
        <v/>
      </c>
      <c r="L203" s="17" t="str">
        <f aca="false">IF(A203="","",COUNTIFS(Items!$A$5:$A$1004,A203,Items!$E$5:$E$1004,"Q2"))</f>
        <v/>
      </c>
      <c r="M203" s="17" t="str">
        <f aca="false">IF(A203="","",COUNTIFS(Items!$A$5:$A$1004,A203,Items!$E$5:$E$1004,"Q3"))</f>
        <v/>
      </c>
      <c r="N203" s="17" t="str">
        <f aca="false">IF(A203="","",COUNTIFS(Items!$A$5:$A$1004,A203,Items!$E$5:$E$1004,"Q4"))</f>
        <v/>
      </c>
      <c r="O203" s="17" t="str">
        <f aca="false">IF(A203="","",COUNTIF(K203:N203,"&gt;0"))</f>
        <v/>
      </c>
      <c r="P203" s="16"/>
      <c r="Q203" s="16"/>
      <c r="R203" s="16"/>
      <c r="S203" s="18"/>
      <c r="T203" s="16"/>
      <c r="U203" s="17" t="str">
        <f aca="false">IF(A203="","",IF(OR(B203="",H203="",R203="",S203=""),"TEST-ID, method, selector, date needed",IF(COUNTIF(Ref_TEST!$A$2:$A$201,B203)=0,"TEST-ID not in W10",IF(D203&lt;&gt;"Pass","HOLD: population IPE not Pass",IF(AND(OR(H203="Random (seeded)",H203="Systematic"),I203=""),"Seed or interval needed",IF(G203&lt;&gt;F203+N(J203),"Items selected differ from planned + targeted: explain",IF(P203&lt;&gt;"Y","Confirm period coverage",IF(Q203="","Raise wave 3 PBC request","OK"))))))))</f>
        <v/>
      </c>
    </row>
    <row r="204" customFormat="false" ht="15" hidden="false" customHeight="false" outlineLevel="0" collapsed="false">
      <c r="A204" s="16"/>
      <c r="B204" s="16"/>
      <c r="C204" s="17" t="str">
        <f aca="false">IFERROR(INDEX(Ref_TEST!$B$2:$B$201,MATCH(B204,Ref_TEST!$A$2:$A$201,0)),"")</f>
        <v/>
      </c>
      <c r="D204" s="17" t="str">
        <f aca="false">IFERROR(INDEX(Ref_TEST!$C$2:$C$201,MATCH(B204,Ref_TEST!$A$2:$A$201,0)),"")</f>
        <v/>
      </c>
      <c r="E204" s="17" t="str">
        <f aca="false">IFERROR(INDEX(Ref_TEST!$D$2:$D$201,MATCH(B204,Ref_TEST!$A$2:$A$201,0)),"")</f>
        <v/>
      </c>
      <c r="F204" s="17" t="str">
        <f aca="false">IFERROR(INDEX(Ref_TEST!$E$2:$E$201,MATCH(B204,Ref_TEST!$A$2:$A$201,0)),"")</f>
        <v/>
      </c>
      <c r="G204" s="17" t="str">
        <f aca="false">IF(A204="","",COUNTIF(Items!$A$5:$A$1004,A204))</f>
        <v/>
      </c>
      <c r="H204" s="16"/>
      <c r="I204" s="16"/>
      <c r="J204" s="16"/>
      <c r="K204" s="17" t="str">
        <f aca="false">IF(A204="","",COUNTIFS(Items!$A$5:$A$1004,A204,Items!$E$5:$E$1004,"Q1"))</f>
        <v/>
      </c>
      <c r="L204" s="17" t="str">
        <f aca="false">IF(A204="","",COUNTIFS(Items!$A$5:$A$1004,A204,Items!$E$5:$E$1004,"Q2"))</f>
        <v/>
      </c>
      <c r="M204" s="17" t="str">
        <f aca="false">IF(A204="","",COUNTIFS(Items!$A$5:$A$1004,A204,Items!$E$5:$E$1004,"Q3"))</f>
        <v/>
      </c>
      <c r="N204" s="17" t="str">
        <f aca="false">IF(A204="","",COUNTIFS(Items!$A$5:$A$1004,A204,Items!$E$5:$E$1004,"Q4"))</f>
        <v/>
      </c>
      <c r="O204" s="17" t="str">
        <f aca="false">IF(A204="","",COUNTIF(K204:N204,"&gt;0"))</f>
        <v/>
      </c>
      <c r="P204" s="16"/>
      <c r="Q204" s="16"/>
      <c r="R204" s="16"/>
      <c r="S204" s="18"/>
      <c r="T204" s="16"/>
      <c r="U204" s="17" t="str">
        <f aca="false">IF(A204="","",IF(OR(B204="",H204="",R204="",S204=""),"TEST-ID, method, selector, date needed",IF(COUNTIF(Ref_TEST!$A$2:$A$201,B204)=0,"TEST-ID not in W10",IF(D204&lt;&gt;"Pass","HOLD: population IPE not Pass",IF(AND(OR(H204="Random (seeded)",H204="Systematic"),I204=""),"Seed or interval needed",IF(G204&lt;&gt;F204+N(J204),"Items selected differ from planned + targeted: explain",IF(P204&lt;&gt;"Y","Confirm period coverage",IF(Q204="","Raise wave 3 PBC request","OK"))))))))</f>
        <v/>
      </c>
    </row>
  </sheetData>
  <autoFilter ref="A4:U204"/>
  <dataValidations count="3">
    <dataValidation allowBlank="true" error="Pick a value from the list." errorStyle="warning" operator="between" showDropDown="false" showErrorMessage="true" showInputMessage="false" sqref="B5:B204" type="list">
      <formula1>Ref_TEST!$A$2:$A$201</formula1>
      <formula2>0</formula2>
    </dataValidation>
    <dataValidation allowBlank="true" error="Pick a value from the list." errorStyle="stop" operator="between" showDropDown="false" showErrorMessage="true" showInputMessage="false" sqref="H5:H204" type="list">
      <formula1>Lists!$A$2:$A$6</formula1>
      <formula2>0</formula2>
    </dataValidation>
    <dataValidation allowBlank="true" error="Pick a value from the list." errorStyle="stop" operator="between" showDropDown="false" showErrorMessage="true" showInputMessage="false" sqref="P5:P204" type="list">
      <formula1>Lists!$C$2:$C$3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28"/>
  </cols>
  <sheetData>
    <row r="1" customFormat="false" ht="17.35" hidden="false" customHeight="false" outlineLevel="0" collapsed="false">
      <c r="A1" s="9" t="s">
        <v>109</v>
      </c>
    </row>
    <row r="2" customFormat="false" ht="15" hidden="false" customHeight="false" outlineLevel="0" collapsed="false">
      <c r="A2" s="10" t="s">
        <v>110</v>
      </c>
    </row>
    <row r="4" customFormat="false" ht="31.5" hidden="false" customHeight="true" outlineLevel="0" collapsed="false">
      <c r="A4" s="11" t="s">
        <v>26</v>
      </c>
      <c r="B4" s="11" t="s">
        <v>80</v>
      </c>
      <c r="C4" s="11" t="s">
        <v>83</v>
      </c>
      <c r="D4" s="11" t="s">
        <v>85</v>
      </c>
      <c r="E4" s="12" t="s">
        <v>88</v>
      </c>
      <c r="F4" s="11" t="s">
        <v>90</v>
      </c>
      <c r="G4" s="11" t="s">
        <v>92</v>
      </c>
      <c r="H4" s="12" t="s">
        <v>94</v>
      </c>
    </row>
    <row r="5" customFormat="false" ht="15" hidden="false" customHeight="false" outlineLevel="0" collapsed="false">
      <c r="A5" s="13" t="s">
        <v>101</v>
      </c>
      <c r="B5" s="13" t="s">
        <v>111</v>
      </c>
      <c r="C5" s="15" t="n">
        <v>46025</v>
      </c>
      <c r="D5" s="13" t="s">
        <v>112</v>
      </c>
      <c r="E5" s="14" t="str">
        <f aca="false">IF(C5="","","Q"&amp;ROUNDUP(MONTH(C5)/3,0))</f>
        <v>Q1</v>
      </c>
      <c r="F5" s="13" t="s">
        <v>113</v>
      </c>
      <c r="G5" s="13"/>
      <c r="H5" s="14" t="str">
        <f aca="false">IF(A5="","",IF(OR(B5="",C5=""),"Item ID and date needed",IF(COUNTIF(Sample_Log!$A$5:$A$204,A5)=0,"SMP-ID not in log",IF(COUNTIFS($A$5:$A$1004,A5,$B$5:$B$1004,B5)&gt;1,"Duplicate item in sample","OK"))))</f>
        <v>OK</v>
      </c>
    </row>
    <row r="6" customFormat="false" ht="15" hidden="false" customHeight="false" outlineLevel="0" collapsed="false">
      <c r="A6" s="13" t="s">
        <v>101</v>
      </c>
      <c r="B6" s="13" t="s">
        <v>114</v>
      </c>
      <c r="C6" s="15" t="n">
        <v>46026</v>
      </c>
      <c r="D6" s="13" t="s">
        <v>112</v>
      </c>
      <c r="E6" s="14" t="str">
        <f aca="false">IF(C6="","","Q"&amp;ROUNDUP(MONTH(C6)/3,0))</f>
        <v>Q1</v>
      </c>
      <c r="F6" s="13" t="s">
        <v>113</v>
      </c>
      <c r="G6" s="13"/>
      <c r="H6" s="14" t="str">
        <f aca="false">IF(A6="","",IF(OR(B6="",C6=""),"Item ID and date needed",IF(COUNTIF(Sample_Log!$A$5:$A$204,A6)=0,"SMP-ID not in log",IF(COUNTIFS($A$5:$A$1004,A6,$B$5:$B$1004,B6)&gt;1,"Duplicate item in sample","OK"))))</f>
        <v>OK</v>
      </c>
    </row>
    <row r="7" customFormat="false" ht="15" hidden="false" customHeight="false" outlineLevel="0" collapsed="false">
      <c r="A7" s="13" t="s">
        <v>101</v>
      </c>
      <c r="B7" s="13" t="s">
        <v>115</v>
      </c>
      <c r="C7" s="15" t="n">
        <v>46027</v>
      </c>
      <c r="D7" s="13" t="s">
        <v>112</v>
      </c>
      <c r="E7" s="14" t="str">
        <f aca="false">IF(C7="","","Q"&amp;ROUNDUP(MONTH(C7)/3,0))</f>
        <v>Q1</v>
      </c>
      <c r="F7" s="13" t="s">
        <v>113</v>
      </c>
      <c r="G7" s="13"/>
      <c r="H7" s="14" t="str">
        <f aca="false">IF(A7="","",IF(OR(B7="",C7=""),"Item ID and date needed",IF(COUNTIF(Sample_Log!$A$5:$A$204,A7)=0,"SMP-ID not in log",IF(COUNTIFS($A$5:$A$1004,A7,$B$5:$B$1004,B7)&gt;1,"Duplicate item in sample","OK"))))</f>
        <v>OK</v>
      </c>
    </row>
    <row r="8" customFormat="false" ht="15" hidden="false" customHeight="false" outlineLevel="0" collapsed="false">
      <c r="A8" s="13" t="s">
        <v>101</v>
      </c>
      <c r="B8" s="13" t="s">
        <v>116</v>
      </c>
      <c r="C8" s="15" t="n">
        <v>46059</v>
      </c>
      <c r="D8" s="13" t="s">
        <v>112</v>
      </c>
      <c r="E8" s="14" t="str">
        <f aca="false">IF(C8="","","Q"&amp;ROUNDUP(MONTH(C8)/3,0))</f>
        <v>Q1</v>
      </c>
      <c r="F8" s="13" t="s">
        <v>113</v>
      </c>
      <c r="G8" s="13"/>
      <c r="H8" s="14" t="str">
        <f aca="false">IF(A8="","",IF(OR(B8="",C8=""),"Item ID and date needed",IF(COUNTIF(Sample_Log!$A$5:$A$204,A8)=0,"SMP-ID not in log",IF(COUNTIFS($A$5:$A$1004,A8,$B$5:$B$1004,B8)&gt;1,"Duplicate item in sample","OK"))))</f>
        <v>OK</v>
      </c>
    </row>
    <row r="9" customFormat="false" ht="15" hidden="false" customHeight="false" outlineLevel="0" collapsed="false">
      <c r="A9" s="13" t="s">
        <v>101</v>
      </c>
      <c r="B9" s="13" t="s">
        <v>117</v>
      </c>
      <c r="C9" s="15" t="n">
        <v>46060</v>
      </c>
      <c r="D9" s="13" t="s">
        <v>112</v>
      </c>
      <c r="E9" s="14" t="str">
        <f aca="false">IF(C9="","","Q"&amp;ROUNDUP(MONTH(C9)/3,0))</f>
        <v>Q1</v>
      </c>
      <c r="F9" s="13" t="s">
        <v>113</v>
      </c>
      <c r="G9" s="13"/>
      <c r="H9" s="14" t="str">
        <f aca="false">IF(A9="","",IF(OR(B9="",C9=""),"Item ID and date needed",IF(COUNTIF(Sample_Log!$A$5:$A$204,A9)=0,"SMP-ID not in log",IF(COUNTIFS($A$5:$A$1004,A9,$B$5:$B$1004,B9)&gt;1,"Duplicate item in sample","OK"))))</f>
        <v>OK</v>
      </c>
    </row>
    <row r="10" customFormat="false" ht="15" hidden="false" customHeight="false" outlineLevel="0" collapsed="false">
      <c r="A10" s="13" t="s">
        <v>101</v>
      </c>
      <c r="B10" s="13" t="s">
        <v>118</v>
      </c>
      <c r="C10" s="15" t="n">
        <v>46061</v>
      </c>
      <c r="D10" s="13" t="s">
        <v>112</v>
      </c>
      <c r="E10" s="14" t="str">
        <f aca="false">IF(C10="","","Q"&amp;ROUNDUP(MONTH(C10)/3,0))</f>
        <v>Q1</v>
      </c>
      <c r="F10" s="13" t="s">
        <v>113</v>
      </c>
      <c r="G10" s="13"/>
      <c r="H10" s="14" t="str">
        <f aca="false">IF(A10="","",IF(OR(B10="",C10=""),"Item ID and date needed",IF(COUNTIF(Sample_Log!$A$5:$A$204,A10)=0,"SMP-ID not in log",IF(COUNTIFS($A$5:$A$1004,A10,$B$5:$B$1004,B10)&gt;1,"Duplicate item in sample","OK"))))</f>
        <v>OK</v>
      </c>
    </row>
    <row r="11" customFormat="false" ht="15" hidden="false" customHeight="false" outlineLevel="0" collapsed="false">
      <c r="A11" s="13" t="s">
        <v>101</v>
      </c>
      <c r="B11" s="13" t="s">
        <v>119</v>
      </c>
      <c r="C11" s="15" t="n">
        <v>46090</v>
      </c>
      <c r="D11" s="13" t="s">
        <v>112</v>
      </c>
      <c r="E11" s="14" t="str">
        <f aca="false">IF(C11="","","Q"&amp;ROUNDUP(MONTH(C11)/3,0))</f>
        <v>Q1</v>
      </c>
      <c r="F11" s="13" t="s">
        <v>113</v>
      </c>
      <c r="G11" s="13"/>
      <c r="H11" s="14" t="str">
        <f aca="false">IF(A11="","",IF(OR(B11="",C11=""),"Item ID and date needed",IF(COUNTIF(Sample_Log!$A$5:$A$204,A11)=0,"SMP-ID not in log",IF(COUNTIFS($A$5:$A$1004,A11,$B$5:$B$1004,B11)&gt;1,"Duplicate item in sample","OK"))))</f>
        <v>OK</v>
      </c>
    </row>
    <row r="12" customFormat="false" ht="15" hidden="false" customHeight="false" outlineLevel="0" collapsed="false">
      <c r="A12" s="13" t="s">
        <v>101</v>
      </c>
      <c r="B12" s="13" t="s">
        <v>120</v>
      </c>
      <c r="C12" s="15" t="n">
        <v>46091</v>
      </c>
      <c r="D12" s="13" t="s">
        <v>112</v>
      </c>
      <c r="E12" s="14" t="str">
        <f aca="false">IF(C12="","","Q"&amp;ROUNDUP(MONTH(C12)/3,0))</f>
        <v>Q1</v>
      </c>
      <c r="F12" s="13" t="s">
        <v>113</v>
      </c>
      <c r="G12" s="13"/>
      <c r="H12" s="14" t="str">
        <f aca="false">IF(A12="","",IF(OR(B12="",C12=""),"Item ID and date needed",IF(COUNTIF(Sample_Log!$A$5:$A$204,A12)=0,"SMP-ID not in log",IF(COUNTIFS($A$5:$A$1004,A12,$B$5:$B$1004,B12)&gt;1,"Duplicate item in sample","OK"))))</f>
        <v>OK</v>
      </c>
    </row>
    <row r="13" customFormat="false" ht="15" hidden="false" customHeight="false" outlineLevel="0" collapsed="false">
      <c r="A13" s="13" t="s">
        <v>101</v>
      </c>
      <c r="B13" s="13" t="s">
        <v>121</v>
      </c>
      <c r="C13" s="15" t="n">
        <v>46092</v>
      </c>
      <c r="D13" s="13" t="s">
        <v>112</v>
      </c>
      <c r="E13" s="14" t="str">
        <f aca="false">IF(C13="","","Q"&amp;ROUNDUP(MONTH(C13)/3,0))</f>
        <v>Q1</v>
      </c>
      <c r="F13" s="13" t="s">
        <v>113</v>
      </c>
      <c r="G13" s="13"/>
      <c r="H13" s="14" t="str">
        <f aca="false">IF(A13="","",IF(OR(B13="",C13=""),"Item ID and date needed",IF(COUNTIF(Sample_Log!$A$5:$A$204,A13)=0,"SMP-ID not in log",IF(COUNTIFS($A$5:$A$1004,A13,$B$5:$B$1004,B13)&gt;1,"Duplicate item in sample","OK"))))</f>
        <v>OK</v>
      </c>
    </row>
    <row r="14" customFormat="false" ht="15" hidden="false" customHeight="false" outlineLevel="0" collapsed="false">
      <c r="A14" s="13" t="s">
        <v>101</v>
      </c>
      <c r="B14" s="13" t="s">
        <v>122</v>
      </c>
      <c r="C14" s="15" t="n">
        <v>46124</v>
      </c>
      <c r="D14" s="13" t="s">
        <v>112</v>
      </c>
      <c r="E14" s="14" t="str">
        <f aca="false">IF(C14="","","Q"&amp;ROUNDUP(MONTH(C14)/3,0))</f>
        <v>Q2</v>
      </c>
      <c r="F14" s="13" t="s">
        <v>113</v>
      </c>
      <c r="G14" s="13"/>
      <c r="H14" s="14" t="str">
        <f aca="false">IF(A14="","",IF(OR(B14="",C14=""),"Item ID and date needed",IF(COUNTIF(Sample_Log!$A$5:$A$204,A14)=0,"SMP-ID not in log",IF(COUNTIFS($A$5:$A$1004,A14,$B$5:$B$1004,B14)&gt;1,"Duplicate item in sample","OK"))))</f>
        <v>OK</v>
      </c>
    </row>
    <row r="15" customFormat="false" ht="15" hidden="false" customHeight="false" outlineLevel="0" collapsed="false">
      <c r="A15" s="13" t="s">
        <v>101</v>
      </c>
      <c r="B15" s="13" t="s">
        <v>123</v>
      </c>
      <c r="C15" s="15" t="n">
        <v>46125</v>
      </c>
      <c r="D15" s="13" t="s">
        <v>112</v>
      </c>
      <c r="E15" s="14" t="str">
        <f aca="false">IF(C15="","","Q"&amp;ROUNDUP(MONTH(C15)/3,0))</f>
        <v>Q2</v>
      </c>
      <c r="F15" s="13" t="s">
        <v>113</v>
      </c>
      <c r="G15" s="13"/>
      <c r="H15" s="14" t="str">
        <f aca="false">IF(A15="","",IF(OR(B15="",C15=""),"Item ID and date needed",IF(COUNTIF(Sample_Log!$A$5:$A$204,A15)=0,"SMP-ID not in log",IF(COUNTIFS($A$5:$A$1004,A15,$B$5:$B$1004,B15)&gt;1,"Duplicate item in sample","OK"))))</f>
        <v>OK</v>
      </c>
    </row>
    <row r="16" customFormat="false" ht="15" hidden="false" customHeight="false" outlineLevel="0" collapsed="false">
      <c r="A16" s="13" t="s">
        <v>101</v>
      </c>
      <c r="B16" s="13" t="s">
        <v>124</v>
      </c>
      <c r="C16" s="15" t="n">
        <v>46126</v>
      </c>
      <c r="D16" s="13" t="s">
        <v>112</v>
      </c>
      <c r="E16" s="14" t="str">
        <f aca="false">IF(C16="","","Q"&amp;ROUNDUP(MONTH(C16)/3,0))</f>
        <v>Q2</v>
      </c>
      <c r="F16" s="13" t="s">
        <v>113</v>
      </c>
      <c r="G16" s="13"/>
      <c r="H16" s="14" t="str">
        <f aca="false">IF(A16="","",IF(OR(B16="",C16=""),"Item ID and date needed",IF(COUNTIF(Sample_Log!$A$5:$A$204,A16)=0,"SMP-ID not in log",IF(COUNTIFS($A$5:$A$1004,A16,$B$5:$B$1004,B16)&gt;1,"Duplicate item in sample","OK"))))</f>
        <v>OK</v>
      </c>
    </row>
    <row r="17" customFormat="false" ht="15" hidden="false" customHeight="false" outlineLevel="0" collapsed="false">
      <c r="A17" s="13" t="s">
        <v>101</v>
      </c>
      <c r="B17" s="13" t="s">
        <v>125</v>
      </c>
      <c r="C17" s="15" t="n">
        <v>46157</v>
      </c>
      <c r="D17" s="13" t="s">
        <v>112</v>
      </c>
      <c r="E17" s="14" t="str">
        <f aca="false">IF(C17="","","Q"&amp;ROUNDUP(MONTH(C17)/3,0))</f>
        <v>Q2</v>
      </c>
      <c r="F17" s="13" t="s">
        <v>113</v>
      </c>
      <c r="G17" s="13"/>
      <c r="H17" s="14" t="str">
        <f aca="false">IF(A17="","",IF(OR(B17="",C17=""),"Item ID and date needed",IF(COUNTIF(Sample_Log!$A$5:$A$204,A17)=0,"SMP-ID not in log",IF(COUNTIFS($A$5:$A$1004,A17,$B$5:$B$1004,B17)&gt;1,"Duplicate item in sample","OK"))))</f>
        <v>OK</v>
      </c>
    </row>
    <row r="18" customFormat="false" ht="15" hidden="false" customHeight="false" outlineLevel="0" collapsed="false">
      <c r="A18" s="13" t="s">
        <v>101</v>
      </c>
      <c r="B18" s="13" t="s">
        <v>126</v>
      </c>
      <c r="C18" s="15" t="n">
        <v>46158</v>
      </c>
      <c r="D18" s="13" t="s">
        <v>112</v>
      </c>
      <c r="E18" s="14" t="str">
        <f aca="false">IF(C18="","","Q"&amp;ROUNDUP(MONTH(C18)/3,0))</f>
        <v>Q2</v>
      </c>
      <c r="F18" s="13" t="s">
        <v>113</v>
      </c>
      <c r="G18" s="13"/>
      <c r="H18" s="14" t="str">
        <f aca="false">IF(A18="","",IF(OR(B18="",C18=""),"Item ID and date needed",IF(COUNTIF(Sample_Log!$A$5:$A$204,A18)=0,"SMP-ID not in log",IF(COUNTIFS($A$5:$A$1004,A18,$B$5:$B$1004,B18)&gt;1,"Duplicate item in sample","OK"))))</f>
        <v>OK</v>
      </c>
    </row>
    <row r="19" customFormat="false" ht="15" hidden="false" customHeight="false" outlineLevel="0" collapsed="false">
      <c r="A19" s="13" t="s">
        <v>101</v>
      </c>
      <c r="B19" s="13" t="s">
        <v>127</v>
      </c>
      <c r="C19" s="15" t="n">
        <v>46190</v>
      </c>
      <c r="D19" s="13" t="s">
        <v>112</v>
      </c>
      <c r="E19" s="14" t="str">
        <f aca="false">IF(C19="","","Q"&amp;ROUNDUP(MONTH(C19)/3,0))</f>
        <v>Q2</v>
      </c>
      <c r="F19" s="13" t="s">
        <v>113</v>
      </c>
      <c r="G19" s="13"/>
      <c r="H19" s="14" t="str">
        <f aca="false">IF(A19="","",IF(OR(B19="",C19=""),"Item ID and date needed",IF(COUNTIF(Sample_Log!$A$5:$A$204,A19)=0,"SMP-ID not in log",IF(COUNTIFS($A$5:$A$1004,A19,$B$5:$B$1004,B19)&gt;1,"Duplicate item in sample","OK"))))</f>
        <v>OK</v>
      </c>
    </row>
    <row r="20" customFormat="false" ht="15" hidden="false" customHeight="false" outlineLevel="0" collapsed="false">
      <c r="A20" s="13" t="s">
        <v>101</v>
      </c>
      <c r="B20" s="13" t="s">
        <v>128</v>
      </c>
      <c r="C20" s="15" t="n">
        <v>46191</v>
      </c>
      <c r="D20" s="13" t="s">
        <v>112</v>
      </c>
      <c r="E20" s="14" t="str">
        <f aca="false">IF(C20="","","Q"&amp;ROUNDUP(MONTH(C20)/3,0))</f>
        <v>Q2</v>
      </c>
      <c r="F20" s="13" t="s">
        <v>113</v>
      </c>
      <c r="G20" s="13"/>
      <c r="H20" s="14" t="str">
        <f aca="false">IF(A20="","",IF(OR(B20="",C20=""),"Item ID and date needed",IF(COUNTIF(Sample_Log!$A$5:$A$204,A20)=0,"SMP-ID not in log",IF(COUNTIFS($A$5:$A$1004,A20,$B$5:$B$1004,B20)&gt;1,"Duplicate item in sample","OK"))))</f>
        <v>OK</v>
      </c>
    </row>
    <row r="21" customFormat="false" ht="15" hidden="false" customHeight="false" outlineLevel="0" collapsed="false">
      <c r="A21" s="13" t="s">
        <v>101</v>
      </c>
      <c r="B21" s="13" t="s">
        <v>129</v>
      </c>
      <c r="C21" s="15" t="n">
        <v>46192</v>
      </c>
      <c r="D21" s="13" t="s">
        <v>112</v>
      </c>
      <c r="E21" s="14" t="str">
        <f aca="false">IF(C21="","","Q"&amp;ROUNDUP(MONTH(C21)/3,0))</f>
        <v>Q2</v>
      </c>
      <c r="F21" s="13" t="s">
        <v>113</v>
      </c>
      <c r="G21" s="13"/>
      <c r="H21" s="14" t="str">
        <f aca="false">IF(A21="","",IF(OR(B21="",C21=""),"Item ID and date needed",IF(COUNTIF(Sample_Log!$A$5:$A$204,A21)=0,"SMP-ID not in log",IF(COUNTIFS($A$5:$A$1004,A21,$B$5:$B$1004,B21)&gt;1,"Duplicate item in sample","OK"))))</f>
        <v>OK</v>
      </c>
    </row>
    <row r="22" customFormat="false" ht="15" hidden="false" customHeight="false" outlineLevel="0" collapsed="false">
      <c r="A22" s="13" t="s">
        <v>101</v>
      </c>
      <c r="B22" s="13" t="s">
        <v>130</v>
      </c>
      <c r="C22" s="15" t="n">
        <v>46223</v>
      </c>
      <c r="D22" s="13" t="s">
        <v>112</v>
      </c>
      <c r="E22" s="14" t="str">
        <f aca="false">IF(C22="","","Q"&amp;ROUNDUP(MONTH(C22)/3,0))</f>
        <v>Q3</v>
      </c>
      <c r="F22" s="13" t="s">
        <v>113</v>
      </c>
      <c r="G22" s="13"/>
      <c r="H22" s="14" t="str">
        <f aca="false">IF(A22="","",IF(OR(B22="",C22=""),"Item ID and date needed",IF(COUNTIF(Sample_Log!$A$5:$A$204,A22)=0,"SMP-ID not in log",IF(COUNTIFS($A$5:$A$1004,A22,$B$5:$B$1004,B22)&gt;1,"Duplicate item in sample","OK"))))</f>
        <v>OK</v>
      </c>
    </row>
    <row r="23" customFormat="false" ht="15" hidden="false" customHeight="false" outlineLevel="0" collapsed="false">
      <c r="A23" s="13" t="s">
        <v>101</v>
      </c>
      <c r="B23" s="13" t="s">
        <v>131</v>
      </c>
      <c r="C23" s="15" t="n">
        <v>46224</v>
      </c>
      <c r="D23" s="13" t="s">
        <v>112</v>
      </c>
      <c r="E23" s="14" t="str">
        <f aca="false">IF(C23="","","Q"&amp;ROUNDUP(MONTH(C23)/3,0))</f>
        <v>Q3</v>
      </c>
      <c r="F23" s="13" t="s">
        <v>113</v>
      </c>
      <c r="G23" s="13"/>
      <c r="H23" s="14" t="str">
        <f aca="false">IF(A23="","",IF(OR(B23="",C23=""),"Item ID and date needed",IF(COUNTIF(Sample_Log!$A$5:$A$204,A23)=0,"SMP-ID not in log",IF(COUNTIFS($A$5:$A$1004,A23,$B$5:$B$1004,B23)&gt;1,"Duplicate item in sample","OK"))))</f>
        <v>OK</v>
      </c>
    </row>
    <row r="24" customFormat="false" ht="15" hidden="false" customHeight="false" outlineLevel="0" collapsed="false">
      <c r="A24" s="13" t="s">
        <v>101</v>
      </c>
      <c r="B24" s="13" t="s">
        <v>132</v>
      </c>
      <c r="C24" s="15" t="n">
        <v>46225</v>
      </c>
      <c r="D24" s="13" t="s">
        <v>112</v>
      </c>
      <c r="E24" s="14" t="str">
        <f aca="false">IF(C24="","","Q"&amp;ROUNDUP(MONTH(C24)/3,0))</f>
        <v>Q3</v>
      </c>
      <c r="F24" s="13" t="s">
        <v>113</v>
      </c>
      <c r="G24" s="13"/>
      <c r="H24" s="14" t="str">
        <f aca="false">IF(A24="","",IF(OR(B24="",C24=""),"Item ID and date needed",IF(COUNTIF(Sample_Log!$A$5:$A$204,A24)=0,"SMP-ID not in log",IF(COUNTIFS($A$5:$A$1004,A24,$B$5:$B$1004,B24)&gt;1,"Duplicate item in sample","OK"))))</f>
        <v>OK</v>
      </c>
    </row>
    <row r="25" customFormat="false" ht="15" hidden="false" customHeight="false" outlineLevel="0" collapsed="false">
      <c r="A25" s="13" t="s">
        <v>101</v>
      </c>
      <c r="B25" s="13" t="s">
        <v>133</v>
      </c>
      <c r="C25" s="15" t="n">
        <v>46257</v>
      </c>
      <c r="D25" s="13" t="s">
        <v>112</v>
      </c>
      <c r="E25" s="14" t="str">
        <f aca="false">IF(C25="","","Q"&amp;ROUNDUP(MONTH(C25)/3,0))</f>
        <v>Q3</v>
      </c>
      <c r="F25" s="13" t="s">
        <v>113</v>
      </c>
      <c r="G25" s="13"/>
      <c r="H25" s="14" t="str">
        <f aca="false">IF(A25="","",IF(OR(B25="",C25=""),"Item ID and date needed",IF(COUNTIF(Sample_Log!$A$5:$A$204,A25)=0,"SMP-ID not in log",IF(COUNTIFS($A$5:$A$1004,A25,$B$5:$B$1004,B25)&gt;1,"Duplicate item in sample","OK"))))</f>
        <v>OK</v>
      </c>
    </row>
    <row r="26" customFormat="false" ht="15" hidden="false" customHeight="false" outlineLevel="0" collapsed="false">
      <c r="A26" s="13" t="s">
        <v>101</v>
      </c>
      <c r="B26" s="13" t="s">
        <v>134</v>
      </c>
      <c r="C26" s="15" t="n">
        <v>46258</v>
      </c>
      <c r="D26" s="13" t="s">
        <v>112</v>
      </c>
      <c r="E26" s="14" t="str">
        <f aca="false">IF(C26="","","Q"&amp;ROUNDUP(MONTH(C26)/3,0))</f>
        <v>Q3</v>
      </c>
      <c r="F26" s="13" t="s">
        <v>113</v>
      </c>
      <c r="G26" s="13"/>
      <c r="H26" s="14" t="str">
        <f aca="false">IF(A26="","",IF(OR(B26="",C26=""),"Item ID and date needed",IF(COUNTIF(Sample_Log!$A$5:$A$204,A26)=0,"SMP-ID not in log",IF(COUNTIFS($A$5:$A$1004,A26,$B$5:$B$1004,B26)&gt;1,"Duplicate item in sample","OK"))))</f>
        <v>OK</v>
      </c>
    </row>
    <row r="27" customFormat="false" ht="15" hidden="false" customHeight="false" outlineLevel="0" collapsed="false">
      <c r="A27" s="13" t="s">
        <v>101</v>
      </c>
      <c r="B27" s="13" t="s">
        <v>135</v>
      </c>
      <c r="C27" s="15" t="n">
        <v>46259</v>
      </c>
      <c r="D27" s="13" t="s">
        <v>112</v>
      </c>
      <c r="E27" s="14" t="str">
        <f aca="false">IF(C27="","","Q"&amp;ROUNDUP(MONTH(C27)/3,0))</f>
        <v>Q3</v>
      </c>
      <c r="F27" s="13" t="s">
        <v>113</v>
      </c>
      <c r="G27" s="13"/>
      <c r="H27" s="14" t="str">
        <f aca="false">IF(A27="","",IF(OR(B27="",C27=""),"Item ID and date needed",IF(COUNTIF(Sample_Log!$A$5:$A$204,A27)=0,"SMP-ID not in log",IF(COUNTIFS($A$5:$A$1004,A27,$B$5:$B$1004,B27)&gt;1,"Duplicate item in sample","OK"))))</f>
        <v>OK</v>
      </c>
    </row>
    <row r="28" customFormat="false" ht="15" hidden="false" customHeight="false" outlineLevel="0" collapsed="false">
      <c r="A28" s="13" t="s">
        <v>101</v>
      </c>
      <c r="B28" s="13" t="s">
        <v>136</v>
      </c>
      <c r="C28" s="15" t="n">
        <v>46291</v>
      </c>
      <c r="D28" s="13" t="s">
        <v>112</v>
      </c>
      <c r="E28" s="14" t="str">
        <f aca="false">IF(C28="","","Q"&amp;ROUNDUP(MONTH(C28)/3,0))</f>
        <v>Q3</v>
      </c>
      <c r="F28" s="13" t="s">
        <v>113</v>
      </c>
      <c r="G28" s="13"/>
      <c r="H28" s="14" t="str">
        <f aca="false">IF(A28="","",IF(OR(B28="",C28=""),"Item ID and date needed",IF(COUNTIF(Sample_Log!$A$5:$A$204,A28)=0,"SMP-ID not in log",IF(COUNTIFS($A$5:$A$1004,A28,$B$5:$B$1004,B28)&gt;1,"Duplicate item in sample","OK"))))</f>
        <v>OK</v>
      </c>
    </row>
    <row r="29" customFormat="false" ht="15" hidden="false" customHeight="false" outlineLevel="0" collapsed="false">
      <c r="A29" s="13" t="s">
        <v>101</v>
      </c>
      <c r="B29" s="13" t="s">
        <v>137</v>
      </c>
      <c r="C29" s="15" t="n">
        <v>46292</v>
      </c>
      <c r="D29" s="13" t="s">
        <v>112</v>
      </c>
      <c r="E29" s="14" t="str">
        <f aca="false">IF(C29="","","Q"&amp;ROUNDUP(MONTH(C29)/3,0))</f>
        <v>Q3</v>
      </c>
      <c r="F29" s="13" t="s">
        <v>113</v>
      </c>
      <c r="G29" s="13"/>
      <c r="H29" s="14" t="str">
        <f aca="false">IF(A29="","",IF(OR(B29="",C29=""),"Item ID and date needed",IF(COUNTIF(Sample_Log!$A$5:$A$204,A29)=0,"SMP-ID not in log",IF(COUNTIFS($A$5:$A$1004,A29,$B$5:$B$1004,B29)&gt;1,"Duplicate item in sample","OK"))))</f>
        <v>OK</v>
      </c>
    </row>
    <row r="30" customFormat="false" ht="15" hidden="false" customHeight="false" outlineLevel="0" collapsed="false">
      <c r="A30" s="13" t="s">
        <v>101</v>
      </c>
      <c r="B30" s="13" t="s">
        <v>138</v>
      </c>
      <c r="C30" s="15" t="n">
        <v>46185</v>
      </c>
      <c r="D30" s="13" t="s">
        <v>139</v>
      </c>
      <c r="E30" s="14" t="str">
        <f aca="false">IF(C30="","","Q"&amp;ROUNDUP(MONTH(C30)/3,0))</f>
        <v>Q2</v>
      </c>
      <c r="F30" s="13" t="s">
        <v>113</v>
      </c>
      <c r="G30" s="13" t="s">
        <v>140</v>
      </c>
      <c r="H30" s="14" t="str">
        <f aca="false">IF(A30="","",IF(OR(B30="",C30=""),"Item ID and date needed",IF(COUNTIF(Sample_Log!$A$5:$A$204,A30)=0,"SMP-ID not in log",IF(COUNTIFS($A$5:$A$1004,A30,$B$5:$B$1004,B30)&gt;1,"Duplicate item in sample","OK"))))</f>
        <v>OK</v>
      </c>
    </row>
    <row r="31" customFormat="false" ht="15" hidden="false" customHeight="false" outlineLevel="0" collapsed="false">
      <c r="A31" s="13" t="s">
        <v>101</v>
      </c>
      <c r="B31" s="13" t="s">
        <v>141</v>
      </c>
      <c r="C31" s="15" t="n">
        <v>46239</v>
      </c>
      <c r="D31" s="13" t="s">
        <v>139</v>
      </c>
      <c r="E31" s="14" t="str">
        <f aca="false">IF(C31="","","Q"&amp;ROUNDUP(MONTH(C31)/3,0))</f>
        <v>Q3</v>
      </c>
      <c r="F31" s="13" t="s">
        <v>113</v>
      </c>
      <c r="G31" s="13" t="s">
        <v>142</v>
      </c>
      <c r="H31" s="14" t="str">
        <f aca="false">IF(A31="","",IF(OR(B31="",C31=""),"Item ID and date needed",IF(COUNTIF(Sample_Log!$A$5:$A$204,A31)=0,"SMP-ID not in log",IF(COUNTIFS($A$5:$A$1004,A31,$B$5:$B$1004,B31)&gt;1,"Duplicate item in sample","OK"))))</f>
        <v>OK</v>
      </c>
    </row>
    <row r="32" customFormat="false" ht="15" hidden="false" customHeight="false" outlineLevel="0" collapsed="false">
      <c r="A32" s="16"/>
      <c r="B32" s="16"/>
      <c r="C32" s="18"/>
      <c r="D32" s="16"/>
      <c r="E32" s="17" t="str">
        <f aca="false">IF(C32="","","Q"&amp;ROUNDUP(MONTH(C32)/3,0))</f>
        <v/>
      </c>
      <c r="F32" s="16"/>
      <c r="G32" s="16"/>
      <c r="H32" s="17" t="str">
        <f aca="false">IF(A32="","",IF(OR(B32="",C32=""),"Item ID and date needed",IF(COUNTIF(Sample_Log!$A$5:$A$204,A32)=0,"SMP-ID not in log",IF(COUNTIFS($A$5:$A$1004,A32,$B$5:$B$1004,B32)&gt;1,"Duplicate item in sample","OK"))))</f>
        <v/>
      </c>
    </row>
    <row r="33" customFormat="false" ht="15" hidden="false" customHeight="false" outlineLevel="0" collapsed="false">
      <c r="A33" s="16"/>
      <c r="B33" s="16"/>
      <c r="C33" s="18"/>
      <c r="D33" s="16"/>
      <c r="E33" s="17" t="str">
        <f aca="false">IF(C33="","","Q"&amp;ROUNDUP(MONTH(C33)/3,0))</f>
        <v/>
      </c>
      <c r="F33" s="16"/>
      <c r="G33" s="16"/>
      <c r="H33" s="17" t="str">
        <f aca="false">IF(A33="","",IF(OR(B33="",C33=""),"Item ID and date needed",IF(COUNTIF(Sample_Log!$A$5:$A$204,A33)=0,"SMP-ID not in log",IF(COUNTIFS($A$5:$A$1004,A33,$B$5:$B$1004,B33)&gt;1,"Duplicate item in sample","OK"))))</f>
        <v/>
      </c>
    </row>
    <row r="34" customFormat="false" ht="15" hidden="false" customHeight="false" outlineLevel="0" collapsed="false">
      <c r="A34" s="16"/>
      <c r="B34" s="16"/>
      <c r="C34" s="18"/>
      <c r="D34" s="16"/>
      <c r="E34" s="17" t="str">
        <f aca="false">IF(C34="","","Q"&amp;ROUNDUP(MONTH(C34)/3,0))</f>
        <v/>
      </c>
      <c r="F34" s="16"/>
      <c r="G34" s="16"/>
      <c r="H34" s="17" t="str">
        <f aca="false">IF(A34="","",IF(OR(B34="",C34=""),"Item ID and date needed",IF(COUNTIF(Sample_Log!$A$5:$A$204,A34)=0,"SMP-ID not in log",IF(COUNTIFS($A$5:$A$1004,A34,$B$5:$B$1004,B34)&gt;1,"Duplicate item in sample","OK"))))</f>
        <v/>
      </c>
    </row>
    <row r="35" customFormat="false" ht="15" hidden="false" customHeight="false" outlineLevel="0" collapsed="false">
      <c r="A35" s="16"/>
      <c r="B35" s="16"/>
      <c r="C35" s="18"/>
      <c r="D35" s="16"/>
      <c r="E35" s="17" t="str">
        <f aca="false">IF(C35="","","Q"&amp;ROUNDUP(MONTH(C35)/3,0))</f>
        <v/>
      </c>
      <c r="F35" s="16"/>
      <c r="G35" s="16"/>
      <c r="H35" s="17" t="str">
        <f aca="false">IF(A35="","",IF(OR(B35="",C35=""),"Item ID and date needed",IF(COUNTIF(Sample_Log!$A$5:$A$204,A35)=0,"SMP-ID not in log",IF(COUNTIFS($A$5:$A$1004,A35,$B$5:$B$1004,B35)&gt;1,"Duplicate item in sample","OK"))))</f>
        <v/>
      </c>
    </row>
    <row r="36" customFormat="false" ht="15" hidden="false" customHeight="false" outlineLevel="0" collapsed="false">
      <c r="A36" s="16"/>
      <c r="B36" s="16"/>
      <c r="C36" s="18"/>
      <c r="D36" s="16"/>
      <c r="E36" s="17" t="str">
        <f aca="false">IF(C36="","","Q"&amp;ROUNDUP(MONTH(C36)/3,0))</f>
        <v/>
      </c>
      <c r="F36" s="16"/>
      <c r="G36" s="16"/>
      <c r="H36" s="17" t="str">
        <f aca="false">IF(A36="","",IF(OR(B36="",C36=""),"Item ID and date needed",IF(COUNTIF(Sample_Log!$A$5:$A$204,A36)=0,"SMP-ID not in log",IF(COUNTIFS($A$5:$A$1004,A36,$B$5:$B$1004,B36)&gt;1,"Duplicate item in sample","OK"))))</f>
        <v/>
      </c>
    </row>
    <row r="37" customFormat="false" ht="15" hidden="false" customHeight="false" outlineLevel="0" collapsed="false">
      <c r="A37" s="16"/>
      <c r="B37" s="16"/>
      <c r="C37" s="18"/>
      <c r="D37" s="16"/>
      <c r="E37" s="17" t="str">
        <f aca="false">IF(C37="","","Q"&amp;ROUNDUP(MONTH(C37)/3,0))</f>
        <v/>
      </c>
      <c r="F37" s="16"/>
      <c r="G37" s="16"/>
      <c r="H37" s="17" t="str">
        <f aca="false">IF(A37="","",IF(OR(B37="",C37=""),"Item ID and date needed",IF(COUNTIF(Sample_Log!$A$5:$A$204,A37)=0,"SMP-ID not in log",IF(COUNTIFS($A$5:$A$1004,A37,$B$5:$B$1004,B37)&gt;1,"Duplicate item in sample","OK"))))</f>
        <v/>
      </c>
    </row>
    <row r="38" customFormat="false" ht="15" hidden="false" customHeight="false" outlineLevel="0" collapsed="false">
      <c r="A38" s="16"/>
      <c r="B38" s="16"/>
      <c r="C38" s="18"/>
      <c r="D38" s="16"/>
      <c r="E38" s="17" t="str">
        <f aca="false">IF(C38="","","Q"&amp;ROUNDUP(MONTH(C38)/3,0))</f>
        <v/>
      </c>
      <c r="F38" s="16"/>
      <c r="G38" s="16"/>
      <c r="H38" s="17" t="str">
        <f aca="false">IF(A38="","",IF(OR(B38="",C38=""),"Item ID and date needed",IF(COUNTIF(Sample_Log!$A$5:$A$204,A38)=0,"SMP-ID not in log",IF(COUNTIFS($A$5:$A$1004,A38,$B$5:$B$1004,B38)&gt;1,"Duplicate item in sample","OK"))))</f>
        <v/>
      </c>
    </row>
    <row r="39" customFormat="false" ht="15" hidden="false" customHeight="false" outlineLevel="0" collapsed="false">
      <c r="A39" s="16"/>
      <c r="B39" s="16"/>
      <c r="C39" s="18"/>
      <c r="D39" s="16"/>
      <c r="E39" s="17" t="str">
        <f aca="false">IF(C39="","","Q"&amp;ROUNDUP(MONTH(C39)/3,0))</f>
        <v/>
      </c>
      <c r="F39" s="16"/>
      <c r="G39" s="16"/>
      <c r="H39" s="17" t="str">
        <f aca="false">IF(A39="","",IF(OR(B39="",C39=""),"Item ID and date needed",IF(COUNTIF(Sample_Log!$A$5:$A$204,A39)=0,"SMP-ID not in log",IF(COUNTIFS($A$5:$A$1004,A39,$B$5:$B$1004,B39)&gt;1,"Duplicate item in sample","OK"))))</f>
        <v/>
      </c>
    </row>
    <row r="40" customFormat="false" ht="15" hidden="false" customHeight="false" outlineLevel="0" collapsed="false">
      <c r="A40" s="16"/>
      <c r="B40" s="16"/>
      <c r="C40" s="18"/>
      <c r="D40" s="16"/>
      <c r="E40" s="17" t="str">
        <f aca="false">IF(C40="","","Q"&amp;ROUNDUP(MONTH(C40)/3,0))</f>
        <v/>
      </c>
      <c r="F40" s="16"/>
      <c r="G40" s="16"/>
      <c r="H40" s="17" t="str">
        <f aca="false">IF(A40="","",IF(OR(B40="",C40=""),"Item ID and date needed",IF(COUNTIF(Sample_Log!$A$5:$A$204,A40)=0,"SMP-ID not in log",IF(COUNTIFS($A$5:$A$1004,A40,$B$5:$B$1004,B40)&gt;1,"Duplicate item in sample","OK"))))</f>
        <v/>
      </c>
    </row>
    <row r="41" customFormat="false" ht="15" hidden="false" customHeight="false" outlineLevel="0" collapsed="false">
      <c r="A41" s="16"/>
      <c r="B41" s="16"/>
      <c r="C41" s="18"/>
      <c r="D41" s="16"/>
      <c r="E41" s="17" t="str">
        <f aca="false">IF(C41="","","Q"&amp;ROUNDUP(MONTH(C41)/3,0))</f>
        <v/>
      </c>
      <c r="F41" s="16"/>
      <c r="G41" s="16"/>
      <c r="H41" s="17" t="str">
        <f aca="false">IF(A41="","",IF(OR(B41="",C41=""),"Item ID and date needed",IF(COUNTIF(Sample_Log!$A$5:$A$204,A41)=0,"SMP-ID not in log",IF(COUNTIFS($A$5:$A$1004,A41,$B$5:$B$1004,B41)&gt;1,"Duplicate item in sample","OK"))))</f>
        <v/>
      </c>
    </row>
    <row r="42" customFormat="false" ht="15" hidden="false" customHeight="false" outlineLevel="0" collapsed="false">
      <c r="A42" s="16"/>
      <c r="B42" s="16"/>
      <c r="C42" s="18"/>
      <c r="D42" s="16"/>
      <c r="E42" s="17" t="str">
        <f aca="false">IF(C42="","","Q"&amp;ROUNDUP(MONTH(C42)/3,0))</f>
        <v/>
      </c>
      <c r="F42" s="16"/>
      <c r="G42" s="16"/>
      <c r="H42" s="17" t="str">
        <f aca="false">IF(A42="","",IF(OR(B42="",C42=""),"Item ID and date needed",IF(COUNTIF(Sample_Log!$A$5:$A$204,A42)=0,"SMP-ID not in log",IF(COUNTIFS($A$5:$A$1004,A42,$B$5:$B$1004,B42)&gt;1,"Duplicate item in sample","OK"))))</f>
        <v/>
      </c>
    </row>
    <row r="43" customFormat="false" ht="15" hidden="false" customHeight="false" outlineLevel="0" collapsed="false">
      <c r="A43" s="16"/>
      <c r="B43" s="16"/>
      <c r="C43" s="18"/>
      <c r="D43" s="16"/>
      <c r="E43" s="17" t="str">
        <f aca="false">IF(C43="","","Q"&amp;ROUNDUP(MONTH(C43)/3,0))</f>
        <v/>
      </c>
      <c r="F43" s="16"/>
      <c r="G43" s="16"/>
      <c r="H43" s="17" t="str">
        <f aca="false">IF(A43="","",IF(OR(B43="",C43=""),"Item ID and date needed",IF(COUNTIF(Sample_Log!$A$5:$A$204,A43)=0,"SMP-ID not in log",IF(COUNTIFS($A$5:$A$1004,A43,$B$5:$B$1004,B43)&gt;1,"Duplicate item in sample","OK"))))</f>
        <v/>
      </c>
    </row>
    <row r="44" customFormat="false" ht="15" hidden="false" customHeight="false" outlineLevel="0" collapsed="false">
      <c r="A44" s="16"/>
      <c r="B44" s="16"/>
      <c r="C44" s="18"/>
      <c r="D44" s="16"/>
      <c r="E44" s="17" t="str">
        <f aca="false">IF(C44="","","Q"&amp;ROUNDUP(MONTH(C44)/3,0))</f>
        <v/>
      </c>
      <c r="F44" s="16"/>
      <c r="G44" s="16"/>
      <c r="H44" s="17" t="str">
        <f aca="false">IF(A44="","",IF(OR(B44="",C44=""),"Item ID and date needed",IF(COUNTIF(Sample_Log!$A$5:$A$204,A44)=0,"SMP-ID not in log",IF(COUNTIFS($A$5:$A$1004,A44,$B$5:$B$1004,B44)&gt;1,"Duplicate item in sample","OK"))))</f>
        <v/>
      </c>
    </row>
    <row r="45" customFormat="false" ht="15" hidden="false" customHeight="false" outlineLevel="0" collapsed="false">
      <c r="A45" s="16"/>
      <c r="B45" s="16"/>
      <c r="C45" s="18"/>
      <c r="D45" s="16"/>
      <c r="E45" s="17" t="str">
        <f aca="false">IF(C45="","","Q"&amp;ROUNDUP(MONTH(C45)/3,0))</f>
        <v/>
      </c>
      <c r="F45" s="16"/>
      <c r="G45" s="16"/>
      <c r="H45" s="17" t="str">
        <f aca="false">IF(A45="","",IF(OR(B45="",C45=""),"Item ID and date needed",IF(COUNTIF(Sample_Log!$A$5:$A$204,A45)=0,"SMP-ID not in log",IF(COUNTIFS($A$5:$A$1004,A45,$B$5:$B$1004,B45)&gt;1,"Duplicate item in sample","OK"))))</f>
        <v/>
      </c>
    </row>
    <row r="46" customFormat="false" ht="15" hidden="false" customHeight="false" outlineLevel="0" collapsed="false">
      <c r="A46" s="16"/>
      <c r="B46" s="16"/>
      <c r="C46" s="18"/>
      <c r="D46" s="16"/>
      <c r="E46" s="17" t="str">
        <f aca="false">IF(C46="","","Q"&amp;ROUNDUP(MONTH(C46)/3,0))</f>
        <v/>
      </c>
      <c r="F46" s="16"/>
      <c r="G46" s="16"/>
      <c r="H46" s="17" t="str">
        <f aca="false">IF(A46="","",IF(OR(B46="",C46=""),"Item ID and date needed",IF(COUNTIF(Sample_Log!$A$5:$A$204,A46)=0,"SMP-ID not in log",IF(COUNTIFS($A$5:$A$1004,A46,$B$5:$B$1004,B46)&gt;1,"Duplicate item in sample","OK"))))</f>
        <v/>
      </c>
    </row>
    <row r="47" customFormat="false" ht="15" hidden="false" customHeight="false" outlineLevel="0" collapsed="false">
      <c r="A47" s="16"/>
      <c r="B47" s="16"/>
      <c r="C47" s="18"/>
      <c r="D47" s="16"/>
      <c r="E47" s="17" t="str">
        <f aca="false">IF(C47="","","Q"&amp;ROUNDUP(MONTH(C47)/3,0))</f>
        <v/>
      </c>
      <c r="F47" s="16"/>
      <c r="G47" s="16"/>
      <c r="H47" s="17" t="str">
        <f aca="false">IF(A47="","",IF(OR(B47="",C47=""),"Item ID and date needed",IF(COUNTIF(Sample_Log!$A$5:$A$204,A47)=0,"SMP-ID not in log",IF(COUNTIFS($A$5:$A$1004,A47,$B$5:$B$1004,B47)&gt;1,"Duplicate item in sample","OK"))))</f>
        <v/>
      </c>
    </row>
    <row r="48" customFormat="false" ht="15" hidden="false" customHeight="false" outlineLevel="0" collapsed="false">
      <c r="A48" s="16"/>
      <c r="B48" s="16"/>
      <c r="C48" s="18"/>
      <c r="D48" s="16"/>
      <c r="E48" s="17" t="str">
        <f aca="false">IF(C48="","","Q"&amp;ROUNDUP(MONTH(C48)/3,0))</f>
        <v/>
      </c>
      <c r="F48" s="16"/>
      <c r="G48" s="16"/>
      <c r="H48" s="17" t="str">
        <f aca="false">IF(A48="","",IF(OR(B48="",C48=""),"Item ID and date needed",IF(COUNTIF(Sample_Log!$A$5:$A$204,A48)=0,"SMP-ID not in log",IF(COUNTIFS($A$5:$A$1004,A48,$B$5:$B$1004,B48)&gt;1,"Duplicate item in sample","OK"))))</f>
        <v/>
      </c>
    </row>
    <row r="49" customFormat="false" ht="15" hidden="false" customHeight="false" outlineLevel="0" collapsed="false">
      <c r="A49" s="16"/>
      <c r="B49" s="16"/>
      <c r="C49" s="18"/>
      <c r="D49" s="16"/>
      <c r="E49" s="17" t="str">
        <f aca="false">IF(C49="","","Q"&amp;ROUNDUP(MONTH(C49)/3,0))</f>
        <v/>
      </c>
      <c r="F49" s="16"/>
      <c r="G49" s="16"/>
      <c r="H49" s="17" t="str">
        <f aca="false">IF(A49="","",IF(OR(B49="",C49=""),"Item ID and date needed",IF(COUNTIF(Sample_Log!$A$5:$A$204,A49)=0,"SMP-ID not in log",IF(COUNTIFS($A$5:$A$1004,A49,$B$5:$B$1004,B49)&gt;1,"Duplicate item in sample","OK"))))</f>
        <v/>
      </c>
    </row>
    <row r="50" customFormat="false" ht="15" hidden="false" customHeight="false" outlineLevel="0" collapsed="false">
      <c r="A50" s="16"/>
      <c r="B50" s="16"/>
      <c r="C50" s="18"/>
      <c r="D50" s="16"/>
      <c r="E50" s="17" t="str">
        <f aca="false">IF(C50="","","Q"&amp;ROUNDUP(MONTH(C50)/3,0))</f>
        <v/>
      </c>
      <c r="F50" s="16"/>
      <c r="G50" s="16"/>
      <c r="H50" s="17" t="str">
        <f aca="false">IF(A50="","",IF(OR(B50="",C50=""),"Item ID and date needed",IF(COUNTIF(Sample_Log!$A$5:$A$204,A50)=0,"SMP-ID not in log",IF(COUNTIFS($A$5:$A$1004,A50,$B$5:$B$1004,B50)&gt;1,"Duplicate item in sample","OK"))))</f>
        <v/>
      </c>
    </row>
    <row r="51" customFormat="false" ht="15" hidden="false" customHeight="false" outlineLevel="0" collapsed="false">
      <c r="A51" s="16"/>
      <c r="B51" s="16"/>
      <c r="C51" s="18"/>
      <c r="D51" s="16"/>
      <c r="E51" s="17" t="str">
        <f aca="false">IF(C51="","","Q"&amp;ROUNDUP(MONTH(C51)/3,0))</f>
        <v/>
      </c>
      <c r="F51" s="16"/>
      <c r="G51" s="16"/>
      <c r="H51" s="17" t="str">
        <f aca="false">IF(A51="","",IF(OR(B51="",C51=""),"Item ID and date needed",IF(COUNTIF(Sample_Log!$A$5:$A$204,A51)=0,"SMP-ID not in log",IF(COUNTIFS($A$5:$A$1004,A51,$B$5:$B$1004,B51)&gt;1,"Duplicate item in sample","OK"))))</f>
        <v/>
      </c>
    </row>
    <row r="52" customFormat="false" ht="15" hidden="false" customHeight="false" outlineLevel="0" collapsed="false">
      <c r="A52" s="16"/>
      <c r="B52" s="16"/>
      <c r="C52" s="18"/>
      <c r="D52" s="16"/>
      <c r="E52" s="17" t="str">
        <f aca="false">IF(C52="","","Q"&amp;ROUNDUP(MONTH(C52)/3,0))</f>
        <v/>
      </c>
      <c r="F52" s="16"/>
      <c r="G52" s="16"/>
      <c r="H52" s="17" t="str">
        <f aca="false">IF(A52="","",IF(OR(B52="",C52=""),"Item ID and date needed",IF(COUNTIF(Sample_Log!$A$5:$A$204,A52)=0,"SMP-ID not in log",IF(COUNTIFS($A$5:$A$1004,A52,$B$5:$B$1004,B52)&gt;1,"Duplicate item in sample","OK"))))</f>
        <v/>
      </c>
    </row>
    <row r="53" customFormat="false" ht="15" hidden="false" customHeight="false" outlineLevel="0" collapsed="false">
      <c r="A53" s="16"/>
      <c r="B53" s="16"/>
      <c r="C53" s="18"/>
      <c r="D53" s="16"/>
      <c r="E53" s="17" t="str">
        <f aca="false">IF(C53="","","Q"&amp;ROUNDUP(MONTH(C53)/3,0))</f>
        <v/>
      </c>
      <c r="F53" s="16"/>
      <c r="G53" s="16"/>
      <c r="H53" s="17" t="str">
        <f aca="false">IF(A53="","",IF(OR(B53="",C53=""),"Item ID and date needed",IF(COUNTIF(Sample_Log!$A$5:$A$204,A53)=0,"SMP-ID not in log",IF(COUNTIFS($A$5:$A$1004,A53,$B$5:$B$1004,B53)&gt;1,"Duplicate item in sample","OK"))))</f>
        <v/>
      </c>
    </row>
    <row r="54" customFormat="false" ht="15" hidden="false" customHeight="false" outlineLevel="0" collapsed="false">
      <c r="A54" s="16"/>
      <c r="B54" s="16"/>
      <c r="C54" s="18"/>
      <c r="D54" s="16"/>
      <c r="E54" s="17" t="str">
        <f aca="false">IF(C54="","","Q"&amp;ROUNDUP(MONTH(C54)/3,0))</f>
        <v/>
      </c>
      <c r="F54" s="16"/>
      <c r="G54" s="16"/>
      <c r="H54" s="17" t="str">
        <f aca="false">IF(A54="","",IF(OR(B54="",C54=""),"Item ID and date needed",IF(COUNTIF(Sample_Log!$A$5:$A$204,A54)=0,"SMP-ID not in log",IF(COUNTIFS($A$5:$A$1004,A54,$B$5:$B$1004,B54)&gt;1,"Duplicate item in sample","OK"))))</f>
        <v/>
      </c>
    </row>
    <row r="55" customFormat="false" ht="15" hidden="false" customHeight="false" outlineLevel="0" collapsed="false">
      <c r="A55" s="16"/>
      <c r="B55" s="16"/>
      <c r="C55" s="18"/>
      <c r="D55" s="16"/>
      <c r="E55" s="17" t="str">
        <f aca="false">IF(C55="","","Q"&amp;ROUNDUP(MONTH(C55)/3,0))</f>
        <v/>
      </c>
      <c r="F55" s="16"/>
      <c r="G55" s="16"/>
      <c r="H55" s="17" t="str">
        <f aca="false">IF(A55="","",IF(OR(B55="",C55=""),"Item ID and date needed",IF(COUNTIF(Sample_Log!$A$5:$A$204,A55)=0,"SMP-ID not in log",IF(COUNTIFS($A$5:$A$1004,A55,$B$5:$B$1004,B55)&gt;1,"Duplicate item in sample","OK"))))</f>
        <v/>
      </c>
    </row>
    <row r="56" customFormat="false" ht="15" hidden="false" customHeight="false" outlineLevel="0" collapsed="false">
      <c r="A56" s="16"/>
      <c r="B56" s="16"/>
      <c r="C56" s="18"/>
      <c r="D56" s="16"/>
      <c r="E56" s="17" t="str">
        <f aca="false">IF(C56="","","Q"&amp;ROUNDUP(MONTH(C56)/3,0))</f>
        <v/>
      </c>
      <c r="F56" s="16"/>
      <c r="G56" s="16"/>
      <c r="H56" s="17" t="str">
        <f aca="false">IF(A56="","",IF(OR(B56="",C56=""),"Item ID and date needed",IF(COUNTIF(Sample_Log!$A$5:$A$204,A56)=0,"SMP-ID not in log",IF(COUNTIFS($A$5:$A$1004,A56,$B$5:$B$1004,B56)&gt;1,"Duplicate item in sample","OK"))))</f>
        <v/>
      </c>
    </row>
    <row r="57" customFormat="false" ht="15" hidden="false" customHeight="false" outlineLevel="0" collapsed="false">
      <c r="A57" s="16"/>
      <c r="B57" s="16"/>
      <c r="C57" s="18"/>
      <c r="D57" s="16"/>
      <c r="E57" s="17" t="str">
        <f aca="false">IF(C57="","","Q"&amp;ROUNDUP(MONTH(C57)/3,0))</f>
        <v/>
      </c>
      <c r="F57" s="16"/>
      <c r="G57" s="16"/>
      <c r="H57" s="17" t="str">
        <f aca="false">IF(A57="","",IF(OR(B57="",C57=""),"Item ID and date needed",IF(COUNTIF(Sample_Log!$A$5:$A$204,A57)=0,"SMP-ID not in log",IF(COUNTIFS($A$5:$A$1004,A57,$B$5:$B$1004,B57)&gt;1,"Duplicate item in sample","OK"))))</f>
        <v/>
      </c>
    </row>
    <row r="58" customFormat="false" ht="15" hidden="false" customHeight="false" outlineLevel="0" collapsed="false">
      <c r="A58" s="16"/>
      <c r="B58" s="16"/>
      <c r="C58" s="18"/>
      <c r="D58" s="16"/>
      <c r="E58" s="17" t="str">
        <f aca="false">IF(C58="","","Q"&amp;ROUNDUP(MONTH(C58)/3,0))</f>
        <v/>
      </c>
      <c r="F58" s="16"/>
      <c r="G58" s="16"/>
      <c r="H58" s="17" t="str">
        <f aca="false">IF(A58="","",IF(OR(B58="",C58=""),"Item ID and date needed",IF(COUNTIF(Sample_Log!$A$5:$A$204,A58)=0,"SMP-ID not in log",IF(COUNTIFS($A$5:$A$1004,A58,$B$5:$B$1004,B58)&gt;1,"Duplicate item in sample","OK"))))</f>
        <v/>
      </c>
    </row>
    <row r="59" customFormat="false" ht="15" hidden="false" customHeight="false" outlineLevel="0" collapsed="false">
      <c r="A59" s="16"/>
      <c r="B59" s="16"/>
      <c r="C59" s="18"/>
      <c r="D59" s="16"/>
      <c r="E59" s="17" t="str">
        <f aca="false">IF(C59="","","Q"&amp;ROUNDUP(MONTH(C59)/3,0))</f>
        <v/>
      </c>
      <c r="F59" s="16"/>
      <c r="G59" s="16"/>
      <c r="H59" s="17" t="str">
        <f aca="false">IF(A59="","",IF(OR(B59="",C59=""),"Item ID and date needed",IF(COUNTIF(Sample_Log!$A$5:$A$204,A59)=0,"SMP-ID not in log",IF(COUNTIFS($A$5:$A$1004,A59,$B$5:$B$1004,B59)&gt;1,"Duplicate item in sample","OK"))))</f>
        <v/>
      </c>
    </row>
    <row r="60" customFormat="false" ht="15" hidden="false" customHeight="false" outlineLevel="0" collapsed="false">
      <c r="A60" s="16"/>
      <c r="B60" s="16"/>
      <c r="C60" s="18"/>
      <c r="D60" s="16"/>
      <c r="E60" s="17" t="str">
        <f aca="false">IF(C60="","","Q"&amp;ROUNDUP(MONTH(C60)/3,0))</f>
        <v/>
      </c>
      <c r="F60" s="16"/>
      <c r="G60" s="16"/>
      <c r="H60" s="17" t="str">
        <f aca="false">IF(A60="","",IF(OR(B60="",C60=""),"Item ID and date needed",IF(COUNTIF(Sample_Log!$A$5:$A$204,A60)=0,"SMP-ID not in log",IF(COUNTIFS($A$5:$A$1004,A60,$B$5:$B$1004,B60)&gt;1,"Duplicate item in sample","OK"))))</f>
        <v/>
      </c>
    </row>
    <row r="61" customFormat="false" ht="15" hidden="false" customHeight="false" outlineLevel="0" collapsed="false">
      <c r="A61" s="16"/>
      <c r="B61" s="16"/>
      <c r="C61" s="18"/>
      <c r="D61" s="16"/>
      <c r="E61" s="17" t="str">
        <f aca="false">IF(C61="","","Q"&amp;ROUNDUP(MONTH(C61)/3,0))</f>
        <v/>
      </c>
      <c r="F61" s="16"/>
      <c r="G61" s="16"/>
      <c r="H61" s="17" t="str">
        <f aca="false">IF(A61="","",IF(OR(B61="",C61=""),"Item ID and date needed",IF(COUNTIF(Sample_Log!$A$5:$A$204,A61)=0,"SMP-ID not in log",IF(COUNTIFS($A$5:$A$1004,A61,$B$5:$B$1004,B61)&gt;1,"Duplicate item in sample","OK"))))</f>
        <v/>
      </c>
    </row>
    <row r="62" customFormat="false" ht="15" hidden="false" customHeight="false" outlineLevel="0" collapsed="false">
      <c r="A62" s="16"/>
      <c r="B62" s="16"/>
      <c r="C62" s="18"/>
      <c r="D62" s="16"/>
      <c r="E62" s="17" t="str">
        <f aca="false">IF(C62="","","Q"&amp;ROUNDUP(MONTH(C62)/3,0))</f>
        <v/>
      </c>
      <c r="F62" s="16"/>
      <c r="G62" s="16"/>
      <c r="H62" s="17" t="str">
        <f aca="false">IF(A62="","",IF(OR(B62="",C62=""),"Item ID and date needed",IF(COUNTIF(Sample_Log!$A$5:$A$204,A62)=0,"SMP-ID not in log",IF(COUNTIFS($A$5:$A$1004,A62,$B$5:$B$1004,B62)&gt;1,"Duplicate item in sample","OK"))))</f>
        <v/>
      </c>
    </row>
    <row r="63" customFormat="false" ht="15" hidden="false" customHeight="false" outlineLevel="0" collapsed="false">
      <c r="A63" s="16"/>
      <c r="B63" s="16"/>
      <c r="C63" s="18"/>
      <c r="D63" s="16"/>
      <c r="E63" s="17" t="str">
        <f aca="false">IF(C63="","","Q"&amp;ROUNDUP(MONTH(C63)/3,0))</f>
        <v/>
      </c>
      <c r="F63" s="16"/>
      <c r="G63" s="16"/>
      <c r="H63" s="17" t="str">
        <f aca="false">IF(A63="","",IF(OR(B63="",C63=""),"Item ID and date needed",IF(COUNTIF(Sample_Log!$A$5:$A$204,A63)=0,"SMP-ID not in log",IF(COUNTIFS($A$5:$A$1004,A63,$B$5:$B$1004,B63)&gt;1,"Duplicate item in sample","OK"))))</f>
        <v/>
      </c>
    </row>
    <row r="64" customFormat="false" ht="15" hidden="false" customHeight="false" outlineLevel="0" collapsed="false">
      <c r="A64" s="16"/>
      <c r="B64" s="16"/>
      <c r="C64" s="18"/>
      <c r="D64" s="16"/>
      <c r="E64" s="17" t="str">
        <f aca="false">IF(C64="","","Q"&amp;ROUNDUP(MONTH(C64)/3,0))</f>
        <v/>
      </c>
      <c r="F64" s="16"/>
      <c r="G64" s="16"/>
      <c r="H64" s="17" t="str">
        <f aca="false">IF(A64="","",IF(OR(B64="",C64=""),"Item ID and date needed",IF(COUNTIF(Sample_Log!$A$5:$A$204,A64)=0,"SMP-ID not in log",IF(COUNTIFS($A$5:$A$1004,A64,$B$5:$B$1004,B64)&gt;1,"Duplicate item in sample","OK"))))</f>
        <v/>
      </c>
    </row>
    <row r="65" customFormat="false" ht="15" hidden="false" customHeight="false" outlineLevel="0" collapsed="false">
      <c r="A65" s="16"/>
      <c r="B65" s="16"/>
      <c r="C65" s="18"/>
      <c r="D65" s="16"/>
      <c r="E65" s="17" t="str">
        <f aca="false">IF(C65="","","Q"&amp;ROUNDUP(MONTH(C65)/3,0))</f>
        <v/>
      </c>
      <c r="F65" s="16"/>
      <c r="G65" s="16"/>
      <c r="H65" s="17" t="str">
        <f aca="false">IF(A65="","",IF(OR(B65="",C65=""),"Item ID and date needed",IF(COUNTIF(Sample_Log!$A$5:$A$204,A65)=0,"SMP-ID not in log",IF(COUNTIFS($A$5:$A$1004,A65,$B$5:$B$1004,B65)&gt;1,"Duplicate item in sample","OK"))))</f>
        <v/>
      </c>
    </row>
    <row r="66" customFormat="false" ht="15" hidden="false" customHeight="false" outlineLevel="0" collapsed="false">
      <c r="A66" s="16"/>
      <c r="B66" s="16"/>
      <c r="C66" s="18"/>
      <c r="D66" s="16"/>
      <c r="E66" s="17" t="str">
        <f aca="false">IF(C66="","","Q"&amp;ROUNDUP(MONTH(C66)/3,0))</f>
        <v/>
      </c>
      <c r="F66" s="16"/>
      <c r="G66" s="16"/>
      <c r="H66" s="17" t="str">
        <f aca="false">IF(A66="","",IF(OR(B66="",C66=""),"Item ID and date needed",IF(COUNTIF(Sample_Log!$A$5:$A$204,A66)=0,"SMP-ID not in log",IF(COUNTIFS($A$5:$A$1004,A66,$B$5:$B$1004,B66)&gt;1,"Duplicate item in sample","OK"))))</f>
        <v/>
      </c>
    </row>
    <row r="67" customFormat="false" ht="15" hidden="false" customHeight="false" outlineLevel="0" collapsed="false">
      <c r="A67" s="16"/>
      <c r="B67" s="16"/>
      <c r="C67" s="18"/>
      <c r="D67" s="16"/>
      <c r="E67" s="17" t="str">
        <f aca="false">IF(C67="","","Q"&amp;ROUNDUP(MONTH(C67)/3,0))</f>
        <v/>
      </c>
      <c r="F67" s="16"/>
      <c r="G67" s="16"/>
      <c r="H67" s="17" t="str">
        <f aca="false">IF(A67="","",IF(OR(B67="",C67=""),"Item ID and date needed",IF(COUNTIF(Sample_Log!$A$5:$A$204,A67)=0,"SMP-ID not in log",IF(COUNTIFS($A$5:$A$1004,A67,$B$5:$B$1004,B67)&gt;1,"Duplicate item in sample","OK"))))</f>
        <v/>
      </c>
    </row>
    <row r="68" customFormat="false" ht="15" hidden="false" customHeight="false" outlineLevel="0" collapsed="false">
      <c r="A68" s="16"/>
      <c r="B68" s="16"/>
      <c r="C68" s="18"/>
      <c r="D68" s="16"/>
      <c r="E68" s="17" t="str">
        <f aca="false">IF(C68="","","Q"&amp;ROUNDUP(MONTH(C68)/3,0))</f>
        <v/>
      </c>
      <c r="F68" s="16"/>
      <c r="G68" s="16"/>
      <c r="H68" s="17" t="str">
        <f aca="false">IF(A68="","",IF(OR(B68="",C68=""),"Item ID and date needed",IF(COUNTIF(Sample_Log!$A$5:$A$204,A68)=0,"SMP-ID not in log",IF(COUNTIFS($A$5:$A$1004,A68,$B$5:$B$1004,B68)&gt;1,"Duplicate item in sample","OK"))))</f>
        <v/>
      </c>
    </row>
    <row r="69" customFormat="false" ht="15" hidden="false" customHeight="false" outlineLevel="0" collapsed="false">
      <c r="A69" s="16"/>
      <c r="B69" s="16"/>
      <c r="C69" s="18"/>
      <c r="D69" s="16"/>
      <c r="E69" s="17" t="str">
        <f aca="false">IF(C69="","","Q"&amp;ROUNDUP(MONTH(C69)/3,0))</f>
        <v/>
      </c>
      <c r="F69" s="16"/>
      <c r="G69" s="16"/>
      <c r="H69" s="17" t="str">
        <f aca="false">IF(A69="","",IF(OR(B69="",C69=""),"Item ID and date needed",IF(COUNTIF(Sample_Log!$A$5:$A$204,A69)=0,"SMP-ID not in log",IF(COUNTIFS($A$5:$A$1004,A69,$B$5:$B$1004,B69)&gt;1,"Duplicate item in sample","OK"))))</f>
        <v/>
      </c>
    </row>
    <row r="70" customFormat="false" ht="15" hidden="false" customHeight="false" outlineLevel="0" collapsed="false">
      <c r="A70" s="16"/>
      <c r="B70" s="16"/>
      <c r="C70" s="18"/>
      <c r="D70" s="16"/>
      <c r="E70" s="17" t="str">
        <f aca="false">IF(C70="","","Q"&amp;ROUNDUP(MONTH(C70)/3,0))</f>
        <v/>
      </c>
      <c r="F70" s="16"/>
      <c r="G70" s="16"/>
      <c r="H70" s="17" t="str">
        <f aca="false">IF(A70="","",IF(OR(B70="",C70=""),"Item ID and date needed",IF(COUNTIF(Sample_Log!$A$5:$A$204,A70)=0,"SMP-ID not in log",IF(COUNTIFS($A$5:$A$1004,A70,$B$5:$B$1004,B70)&gt;1,"Duplicate item in sample","OK"))))</f>
        <v/>
      </c>
    </row>
    <row r="71" customFormat="false" ht="15" hidden="false" customHeight="false" outlineLevel="0" collapsed="false">
      <c r="A71" s="16"/>
      <c r="B71" s="16"/>
      <c r="C71" s="18"/>
      <c r="D71" s="16"/>
      <c r="E71" s="17" t="str">
        <f aca="false">IF(C71="","","Q"&amp;ROUNDUP(MONTH(C71)/3,0))</f>
        <v/>
      </c>
      <c r="F71" s="16"/>
      <c r="G71" s="16"/>
      <c r="H71" s="17" t="str">
        <f aca="false">IF(A71="","",IF(OR(B71="",C71=""),"Item ID and date needed",IF(COUNTIF(Sample_Log!$A$5:$A$204,A71)=0,"SMP-ID not in log",IF(COUNTIFS($A$5:$A$1004,A71,$B$5:$B$1004,B71)&gt;1,"Duplicate item in sample","OK"))))</f>
        <v/>
      </c>
    </row>
    <row r="72" customFormat="false" ht="15" hidden="false" customHeight="false" outlineLevel="0" collapsed="false">
      <c r="A72" s="16"/>
      <c r="B72" s="16"/>
      <c r="C72" s="18"/>
      <c r="D72" s="16"/>
      <c r="E72" s="17" t="str">
        <f aca="false">IF(C72="","","Q"&amp;ROUNDUP(MONTH(C72)/3,0))</f>
        <v/>
      </c>
      <c r="F72" s="16"/>
      <c r="G72" s="16"/>
      <c r="H72" s="17" t="str">
        <f aca="false">IF(A72="","",IF(OR(B72="",C72=""),"Item ID and date needed",IF(COUNTIF(Sample_Log!$A$5:$A$204,A72)=0,"SMP-ID not in log",IF(COUNTIFS($A$5:$A$1004,A72,$B$5:$B$1004,B72)&gt;1,"Duplicate item in sample","OK"))))</f>
        <v/>
      </c>
    </row>
    <row r="73" customFormat="false" ht="15" hidden="false" customHeight="false" outlineLevel="0" collapsed="false">
      <c r="A73" s="16"/>
      <c r="B73" s="16"/>
      <c r="C73" s="18"/>
      <c r="D73" s="16"/>
      <c r="E73" s="17" t="str">
        <f aca="false">IF(C73="","","Q"&amp;ROUNDUP(MONTH(C73)/3,0))</f>
        <v/>
      </c>
      <c r="F73" s="16"/>
      <c r="G73" s="16"/>
      <c r="H73" s="17" t="str">
        <f aca="false">IF(A73="","",IF(OR(B73="",C73=""),"Item ID and date needed",IF(COUNTIF(Sample_Log!$A$5:$A$204,A73)=0,"SMP-ID not in log",IF(COUNTIFS($A$5:$A$1004,A73,$B$5:$B$1004,B73)&gt;1,"Duplicate item in sample","OK"))))</f>
        <v/>
      </c>
    </row>
    <row r="74" customFormat="false" ht="15" hidden="false" customHeight="false" outlineLevel="0" collapsed="false">
      <c r="A74" s="16"/>
      <c r="B74" s="16"/>
      <c r="C74" s="18"/>
      <c r="D74" s="16"/>
      <c r="E74" s="17" t="str">
        <f aca="false">IF(C74="","","Q"&amp;ROUNDUP(MONTH(C74)/3,0))</f>
        <v/>
      </c>
      <c r="F74" s="16"/>
      <c r="G74" s="16"/>
      <c r="H74" s="17" t="str">
        <f aca="false">IF(A74="","",IF(OR(B74="",C74=""),"Item ID and date needed",IF(COUNTIF(Sample_Log!$A$5:$A$204,A74)=0,"SMP-ID not in log",IF(COUNTIFS($A$5:$A$1004,A74,$B$5:$B$1004,B74)&gt;1,"Duplicate item in sample","OK"))))</f>
        <v/>
      </c>
    </row>
    <row r="75" customFormat="false" ht="15" hidden="false" customHeight="false" outlineLevel="0" collapsed="false">
      <c r="A75" s="16"/>
      <c r="B75" s="16"/>
      <c r="C75" s="18"/>
      <c r="D75" s="16"/>
      <c r="E75" s="17" t="str">
        <f aca="false">IF(C75="","","Q"&amp;ROUNDUP(MONTH(C75)/3,0))</f>
        <v/>
      </c>
      <c r="F75" s="16"/>
      <c r="G75" s="16"/>
      <c r="H75" s="17" t="str">
        <f aca="false">IF(A75="","",IF(OR(B75="",C75=""),"Item ID and date needed",IF(COUNTIF(Sample_Log!$A$5:$A$204,A75)=0,"SMP-ID not in log",IF(COUNTIFS($A$5:$A$1004,A75,$B$5:$B$1004,B75)&gt;1,"Duplicate item in sample","OK"))))</f>
        <v/>
      </c>
    </row>
    <row r="76" customFormat="false" ht="15" hidden="false" customHeight="false" outlineLevel="0" collapsed="false">
      <c r="A76" s="16"/>
      <c r="B76" s="16"/>
      <c r="C76" s="18"/>
      <c r="D76" s="16"/>
      <c r="E76" s="17" t="str">
        <f aca="false">IF(C76="","","Q"&amp;ROUNDUP(MONTH(C76)/3,0))</f>
        <v/>
      </c>
      <c r="F76" s="16"/>
      <c r="G76" s="16"/>
      <c r="H76" s="17" t="str">
        <f aca="false">IF(A76="","",IF(OR(B76="",C76=""),"Item ID and date needed",IF(COUNTIF(Sample_Log!$A$5:$A$204,A76)=0,"SMP-ID not in log",IF(COUNTIFS($A$5:$A$1004,A76,$B$5:$B$1004,B76)&gt;1,"Duplicate item in sample","OK"))))</f>
        <v/>
      </c>
    </row>
    <row r="77" customFormat="false" ht="15" hidden="false" customHeight="false" outlineLevel="0" collapsed="false">
      <c r="A77" s="16"/>
      <c r="B77" s="16"/>
      <c r="C77" s="18"/>
      <c r="D77" s="16"/>
      <c r="E77" s="17" t="str">
        <f aca="false">IF(C77="","","Q"&amp;ROUNDUP(MONTH(C77)/3,0))</f>
        <v/>
      </c>
      <c r="F77" s="16"/>
      <c r="G77" s="16"/>
      <c r="H77" s="17" t="str">
        <f aca="false">IF(A77="","",IF(OR(B77="",C77=""),"Item ID and date needed",IF(COUNTIF(Sample_Log!$A$5:$A$204,A77)=0,"SMP-ID not in log",IF(COUNTIFS($A$5:$A$1004,A77,$B$5:$B$1004,B77)&gt;1,"Duplicate item in sample","OK"))))</f>
        <v/>
      </c>
    </row>
    <row r="78" customFormat="false" ht="15" hidden="false" customHeight="false" outlineLevel="0" collapsed="false">
      <c r="A78" s="16"/>
      <c r="B78" s="16"/>
      <c r="C78" s="18"/>
      <c r="D78" s="16"/>
      <c r="E78" s="17" t="str">
        <f aca="false">IF(C78="","","Q"&amp;ROUNDUP(MONTH(C78)/3,0))</f>
        <v/>
      </c>
      <c r="F78" s="16"/>
      <c r="G78" s="16"/>
      <c r="H78" s="17" t="str">
        <f aca="false">IF(A78="","",IF(OR(B78="",C78=""),"Item ID and date needed",IF(COUNTIF(Sample_Log!$A$5:$A$204,A78)=0,"SMP-ID not in log",IF(COUNTIFS($A$5:$A$1004,A78,$B$5:$B$1004,B78)&gt;1,"Duplicate item in sample","OK"))))</f>
        <v/>
      </c>
    </row>
    <row r="79" customFormat="false" ht="15" hidden="false" customHeight="false" outlineLevel="0" collapsed="false">
      <c r="A79" s="16"/>
      <c r="B79" s="16"/>
      <c r="C79" s="18"/>
      <c r="D79" s="16"/>
      <c r="E79" s="17" t="str">
        <f aca="false">IF(C79="","","Q"&amp;ROUNDUP(MONTH(C79)/3,0))</f>
        <v/>
      </c>
      <c r="F79" s="16"/>
      <c r="G79" s="16"/>
      <c r="H79" s="17" t="str">
        <f aca="false">IF(A79="","",IF(OR(B79="",C79=""),"Item ID and date needed",IF(COUNTIF(Sample_Log!$A$5:$A$204,A79)=0,"SMP-ID not in log",IF(COUNTIFS($A$5:$A$1004,A79,$B$5:$B$1004,B79)&gt;1,"Duplicate item in sample","OK"))))</f>
        <v/>
      </c>
    </row>
    <row r="80" customFormat="false" ht="15" hidden="false" customHeight="false" outlineLevel="0" collapsed="false">
      <c r="A80" s="16"/>
      <c r="B80" s="16"/>
      <c r="C80" s="18"/>
      <c r="D80" s="16"/>
      <c r="E80" s="17" t="str">
        <f aca="false">IF(C80="","","Q"&amp;ROUNDUP(MONTH(C80)/3,0))</f>
        <v/>
      </c>
      <c r="F80" s="16"/>
      <c r="G80" s="16"/>
      <c r="H80" s="17" t="str">
        <f aca="false">IF(A80="","",IF(OR(B80="",C80=""),"Item ID and date needed",IF(COUNTIF(Sample_Log!$A$5:$A$204,A80)=0,"SMP-ID not in log",IF(COUNTIFS($A$5:$A$1004,A80,$B$5:$B$1004,B80)&gt;1,"Duplicate item in sample","OK"))))</f>
        <v/>
      </c>
    </row>
    <row r="81" customFormat="false" ht="15" hidden="false" customHeight="false" outlineLevel="0" collapsed="false">
      <c r="A81" s="16"/>
      <c r="B81" s="16"/>
      <c r="C81" s="18"/>
      <c r="D81" s="16"/>
      <c r="E81" s="17" t="str">
        <f aca="false">IF(C81="","","Q"&amp;ROUNDUP(MONTH(C81)/3,0))</f>
        <v/>
      </c>
      <c r="F81" s="16"/>
      <c r="G81" s="16"/>
      <c r="H81" s="17" t="str">
        <f aca="false">IF(A81="","",IF(OR(B81="",C81=""),"Item ID and date needed",IF(COUNTIF(Sample_Log!$A$5:$A$204,A81)=0,"SMP-ID not in log",IF(COUNTIFS($A$5:$A$1004,A81,$B$5:$B$1004,B81)&gt;1,"Duplicate item in sample","OK"))))</f>
        <v/>
      </c>
    </row>
    <row r="82" customFormat="false" ht="15" hidden="false" customHeight="false" outlineLevel="0" collapsed="false">
      <c r="A82" s="16"/>
      <c r="B82" s="16"/>
      <c r="C82" s="18"/>
      <c r="D82" s="16"/>
      <c r="E82" s="17" t="str">
        <f aca="false">IF(C82="","","Q"&amp;ROUNDUP(MONTH(C82)/3,0))</f>
        <v/>
      </c>
      <c r="F82" s="16"/>
      <c r="G82" s="16"/>
      <c r="H82" s="17" t="str">
        <f aca="false">IF(A82="","",IF(OR(B82="",C82=""),"Item ID and date needed",IF(COUNTIF(Sample_Log!$A$5:$A$204,A82)=0,"SMP-ID not in log",IF(COUNTIFS($A$5:$A$1004,A82,$B$5:$B$1004,B82)&gt;1,"Duplicate item in sample","OK"))))</f>
        <v/>
      </c>
    </row>
    <row r="83" customFormat="false" ht="15" hidden="false" customHeight="false" outlineLevel="0" collapsed="false">
      <c r="A83" s="16"/>
      <c r="B83" s="16"/>
      <c r="C83" s="18"/>
      <c r="D83" s="16"/>
      <c r="E83" s="17" t="str">
        <f aca="false">IF(C83="","","Q"&amp;ROUNDUP(MONTH(C83)/3,0))</f>
        <v/>
      </c>
      <c r="F83" s="16"/>
      <c r="G83" s="16"/>
      <c r="H83" s="17" t="str">
        <f aca="false">IF(A83="","",IF(OR(B83="",C83=""),"Item ID and date needed",IF(COUNTIF(Sample_Log!$A$5:$A$204,A83)=0,"SMP-ID not in log",IF(COUNTIFS($A$5:$A$1004,A83,$B$5:$B$1004,B83)&gt;1,"Duplicate item in sample","OK"))))</f>
        <v/>
      </c>
    </row>
    <row r="84" customFormat="false" ht="15" hidden="false" customHeight="false" outlineLevel="0" collapsed="false">
      <c r="A84" s="16"/>
      <c r="B84" s="16"/>
      <c r="C84" s="18"/>
      <c r="D84" s="16"/>
      <c r="E84" s="17" t="str">
        <f aca="false">IF(C84="","","Q"&amp;ROUNDUP(MONTH(C84)/3,0))</f>
        <v/>
      </c>
      <c r="F84" s="16"/>
      <c r="G84" s="16"/>
      <c r="H84" s="17" t="str">
        <f aca="false">IF(A84="","",IF(OR(B84="",C84=""),"Item ID and date needed",IF(COUNTIF(Sample_Log!$A$5:$A$204,A84)=0,"SMP-ID not in log",IF(COUNTIFS($A$5:$A$1004,A84,$B$5:$B$1004,B84)&gt;1,"Duplicate item in sample","OK"))))</f>
        <v/>
      </c>
    </row>
    <row r="85" customFormat="false" ht="15" hidden="false" customHeight="false" outlineLevel="0" collapsed="false">
      <c r="A85" s="16"/>
      <c r="B85" s="16"/>
      <c r="C85" s="18"/>
      <c r="D85" s="16"/>
      <c r="E85" s="17" t="str">
        <f aca="false">IF(C85="","","Q"&amp;ROUNDUP(MONTH(C85)/3,0))</f>
        <v/>
      </c>
      <c r="F85" s="16"/>
      <c r="G85" s="16"/>
      <c r="H85" s="17" t="str">
        <f aca="false">IF(A85="","",IF(OR(B85="",C85=""),"Item ID and date needed",IF(COUNTIF(Sample_Log!$A$5:$A$204,A85)=0,"SMP-ID not in log",IF(COUNTIFS($A$5:$A$1004,A85,$B$5:$B$1004,B85)&gt;1,"Duplicate item in sample","OK"))))</f>
        <v/>
      </c>
    </row>
    <row r="86" customFormat="false" ht="15" hidden="false" customHeight="false" outlineLevel="0" collapsed="false">
      <c r="A86" s="16"/>
      <c r="B86" s="16"/>
      <c r="C86" s="18"/>
      <c r="D86" s="16"/>
      <c r="E86" s="17" t="str">
        <f aca="false">IF(C86="","","Q"&amp;ROUNDUP(MONTH(C86)/3,0))</f>
        <v/>
      </c>
      <c r="F86" s="16"/>
      <c r="G86" s="16"/>
      <c r="H86" s="17" t="str">
        <f aca="false">IF(A86="","",IF(OR(B86="",C86=""),"Item ID and date needed",IF(COUNTIF(Sample_Log!$A$5:$A$204,A86)=0,"SMP-ID not in log",IF(COUNTIFS($A$5:$A$1004,A86,$B$5:$B$1004,B86)&gt;1,"Duplicate item in sample","OK"))))</f>
        <v/>
      </c>
    </row>
    <row r="87" customFormat="false" ht="15" hidden="false" customHeight="false" outlineLevel="0" collapsed="false">
      <c r="A87" s="16"/>
      <c r="B87" s="16"/>
      <c r="C87" s="18"/>
      <c r="D87" s="16"/>
      <c r="E87" s="17" t="str">
        <f aca="false">IF(C87="","","Q"&amp;ROUNDUP(MONTH(C87)/3,0))</f>
        <v/>
      </c>
      <c r="F87" s="16"/>
      <c r="G87" s="16"/>
      <c r="H87" s="17" t="str">
        <f aca="false">IF(A87="","",IF(OR(B87="",C87=""),"Item ID and date needed",IF(COUNTIF(Sample_Log!$A$5:$A$204,A87)=0,"SMP-ID not in log",IF(COUNTIFS($A$5:$A$1004,A87,$B$5:$B$1004,B87)&gt;1,"Duplicate item in sample","OK"))))</f>
        <v/>
      </c>
    </row>
    <row r="88" customFormat="false" ht="15" hidden="false" customHeight="false" outlineLevel="0" collapsed="false">
      <c r="A88" s="16"/>
      <c r="B88" s="16"/>
      <c r="C88" s="18"/>
      <c r="D88" s="16"/>
      <c r="E88" s="17" t="str">
        <f aca="false">IF(C88="","","Q"&amp;ROUNDUP(MONTH(C88)/3,0))</f>
        <v/>
      </c>
      <c r="F88" s="16"/>
      <c r="G88" s="16"/>
      <c r="H88" s="17" t="str">
        <f aca="false">IF(A88="","",IF(OR(B88="",C88=""),"Item ID and date needed",IF(COUNTIF(Sample_Log!$A$5:$A$204,A88)=0,"SMP-ID not in log",IF(COUNTIFS($A$5:$A$1004,A88,$B$5:$B$1004,B88)&gt;1,"Duplicate item in sample","OK"))))</f>
        <v/>
      </c>
    </row>
    <row r="89" customFormat="false" ht="15" hidden="false" customHeight="false" outlineLevel="0" collapsed="false">
      <c r="A89" s="16"/>
      <c r="B89" s="16"/>
      <c r="C89" s="18"/>
      <c r="D89" s="16"/>
      <c r="E89" s="17" t="str">
        <f aca="false">IF(C89="","","Q"&amp;ROUNDUP(MONTH(C89)/3,0))</f>
        <v/>
      </c>
      <c r="F89" s="16"/>
      <c r="G89" s="16"/>
      <c r="H89" s="17" t="str">
        <f aca="false">IF(A89="","",IF(OR(B89="",C89=""),"Item ID and date needed",IF(COUNTIF(Sample_Log!$A$5:$A$204,A89)=0,"SMP-ID not in log",IF(COUNTIFS($A$5:$A$1004,A89,$B$5:$B$1004,B89)&gt;1,"Duplicate item in sample","OK"))))</f>
        <v/>
      </c>
    </row>
    <row r="90" customFormat="false" ht="15" hidden="false" customHeight="false" outlineLevel="0" collapsed="false">
      <c r="A90" s="16"/>
      <c r="B90" s="16"/>
      <c r="C90" s="18"/>
      <c r="D90" s="16"/>
      <c r="E90" s="17" t="str">
        <f aca="false">IF(C90="","","Q"&amp;ROUNDUP(MONTH(C90)/3,0))</f>
        <v/>
      </c>
      <c r="F90" s="16"/>
      <c r="G90" s="16"/>
      <c r="H90" s="17" t="str">
        <f aca="false">IF(A90="","",IF(OR(B90="",C90=""),"Item ID and date needed",IF(COUNTIF(Sample_Log!$A$5:$A$204,A90)=0,"SMP-ID not in log",IF(COUNTIFS($A$5:$A$1004,A90,$B$5:$B$1004,B90)&gt;1,"Duplicate item in sample","OK"))))</f>
        <v/>
      </c>
    </row>
    <row r="91" customFormat="false" ht="15" hidden="false" customHeight="false" outlineLevel="0" collapsed="false">
      <c r="A91" s="16"/>
      <c r="B91" s="16"/>
      <c r="C91" s="18"/>
      <c r="D91" s="16"/>
      <c r="E91" s="17" t="str">
        <f aca="false">IF(C91="","","Q"&amp;ROUNDUP(MONTH(C91)/3,0))</f>
        <v/>
      </c>
      <c r="F91" s="16"/>
      <c r="G91" s="16"/>
      <c r="H91" s="17" t="str">
        <f aca="false">IF(A91="","",IF(OR(B91="",C91=""),"Item ID and date needed",IF(COUNTIF(Sample_Log!$A$5:$A$204,A91)=0,"SMP-ID not in log",IF(COUNTIFS($A$5:$A$1004,A91,$B$5:$B$1004,B91)&gt;1,"Duplicate item in sample","OK"))))</f>
        <v/>
      </c>
    </row>
    <row r="92" customFormat="false" ht="15" hidden="false" customHeight="false" outlineLevel="0" collapsed="false">
      <c r="A92" s="16"/>
      <c r="B92" s="16"/>
      <c r="C92" s="18"/>
      <c r="D92" s="16"/>
      <c r="E92" s="17" t="str">
        <f aca="false">IF(C92="","","Q"&amp;ROUNDUP(MONTH(C92)/3,0))</f>
        <v/>
      </c>
      <c r="F92" s="16"/>
      <c r="G92" s="16"/>
      <c r="H92" s="17" t="str">
        <f aca="false">IF(A92="","",IF(OR(B92="",C92=""),"Item ID and date needed",IF(COUNTIF(Sample_Log!$A$5:$A$204,A92)=0,"SMP-ID not in log",IF(COUNTIFS($A$5:$A$1004,A92,$B$5:$B$1004,B92)&gt;1,"Duplicate item in sample","OK"))))</f>
        <v/>
      </c>
    </row>
    <row r="93" customFormat="false" ht="15" hidden="false" customHeight="false" outlineLevel="0" collapsed="false">
      <c r="A93" s="16"/>
      <c r="B93" s="16"/>
      <c r="C93" s="18"/>
      <c r="D93" s="16"/>
      <c r="E93" s="17" t="str">
        <f aca="false">IF(C93="","","Q"&amp;ROUNDUP(MONTH(C93)/3,0))</f>
        <v/>
      </c>
      <c r="F93" s="16"/>
      <c r="G93" s="16"/>
      <c r="H93" s="17" t="str">
        <f aca="false">IF(A93="","",IF(OR(B93="",C93=""),"Item ID and date needed",IF(COUNTIF(Sample_Log!$A$5:$A$204,A93)=0,"SMP-ID not in log",IF(COUNTIFS($A$5:$A$1004,A93,$B$5:$B$1004,B93)&gt;1,"Duplicate item in sample","OK"))))</f>
        <v/>
      </c>
    </row>
    <row r="94" customFormat="false" ht="15" hidden="false" customHeight="false" outlineLevel="0" collapsed="false">
      <c r="A94" s="16"/>
      <c r="B94" s="16"/>
      <c r="C94" s="18"/>
      <c r="D94" s="16"/>
      <c r="E94" s="17" t="str">
        <f aca="false">IF(C94="","","Q"&amp;ROUNDUP(MONTH(C94)/3,0))</f>
        <v/>
      </c>
      <c r="F94" s="16"/>
      <c r="G94" s="16"/>
      <c r="H94" s="17" t="str">
        <f aca="false">IF(A94="","",IF(OR(B94="",C94=""),"Item ID and date needed",IF(COUNTIF(Sample_Log!$A$5:$A$204,A94)=0,"SMP-ID not in log",IF(COUNTIFS($A$5:$A$1004,A94,$B$5:$B$1004,B94)&gt;1,"Duplicate item in sample","OK"))))</f>
        <v/>
      </c>
    </row>
    <row r="95" customFormat="false" ht="15" hidden="false" customHeight="false" outlineLevel="0" collapsed="false">
      <c r="A95" s="16"/>
      <c r="B95" s="16"/>
      <c r="C95" s="18"/>
      <c r="D95" s="16"/>
      <c r="E95" s="17" t="str">
        <f aca="false">IF(C95="","","Q"&amp;ROUNDUP(MONTH(C95)/3,0))</f>
        <v/>
      </c>
      <c r="F95" s="16"/>
      <c r="G95" s="16"/>
      <c r="H95" s="17" t="str">
        <f aca="false">IF(A95="","",IF(OR(B95="",C95=""),"Item ID and date needed",IF(COUNTIF(Sample_Log!$A$5:$A$204,A95)=0,"SMP-ID not in log",IF(COUNTIFS($A$5:$A$1004,A95,$B$5:$B$1004,B95)&gt;1,"Duplicate item in sample","OK"))))</f>
        <v/>
      </c>
    </row>
    <row r="96" customFormat="false" ht="15" hidden="false" customHeight="false" outlineLevel="0" collapsed="false">
      <c r="A96" s="16"/>
      <c r="B96" s="16"/>
      <c r="C96" s="18"/>
      <c r="D96" s="16"/>
      <c r="E96" s="17" t="str">
        <f aca="false">IF(C96="","","Q"&amp;ROUNDUP(MONTH(C96)/3,0))</f>
        <v/>
      </c>
      <c r="F96" s="16"/>
      <c r="G96" s="16"/>
      <c r="H96" s="17" t="str">
        <f aca="false">IF(A96="","",IF(OR(B96="",C96=""),"Item ID and date needed",IF(COUNTIF(Sample_Log!$A$5:$A$204,A96)=0,"SMP-ID not in log",IF(COUNTIFS($A$5:$A$1004,A96,$B$5:$B$1004,B96)&gt;1,"Duplicate item in sample","OK"))))</f>
        <v/>
      </c>
    </row>
    <row r="97" customFormat="false" ht="15" hidden="false" customHeight="false" outlineLevel="0" collapsed="false">
      <c r="A97" s="16"/>
      <c r="B97" s="16"/>
      <c r="C97" s="18"/>
      <c r="D97" s="16"/>
      <c r="E97" s="17" t="str">
        <f aca="false">IF(C97="","","Q"&amp;ROUNDUP(MONTH(C97)/3,0))</f>
        <v/>
      </c>
      <c r="F97" s="16"/>
      <c r="G97" s="16"/>
      <c r="H97" s="17" t="str">
        <f aca="false">IF(A97="","",IF(OR(B97="",C97=""),"Item ID and date needed",IF(COUNTIF(Sample_Log!$A$5:$A$204,A97)=0,"SMP-ID not in log",IF(COUNTIFS($A$5:$A$1004,A97,$B$5:$B$1004,B97)&gt;1,"Duplicate item in sample","OK"))))</f>
        <v/>
      </c>
    </row>
    <row r="98" customFormat="false" ht="15" hidden="false" customHeight="false" outlineLevel="0" collapsed="false">
      <c r="A98" s="16"/>
      <c r="B98" s="16"/>
      <c r="C98" s="18"/>
      <c r="D98" s="16"/>
      <c r="E98" s="17" t="str">
        <f aca="false">IF(C98="","","Q"&amp;ROUNDUP(MONTH(C98)/3,0))</f>
        <v/>
      </c>
      <c r="F98" s="16"/>
      <c r="G98" s="16"/>
      <c r="H98" s="17" t="str">
        <f aca="false">IF(A98="","",IF(OR(B98="",C98=""),"Item ID and date needed",IF(COUNTIF(Sample_Log!$A$5:$A$204,A98)=0,"SMP-ID not in log",IF(COUNTIFS($A$5:$A$1004,A98,$B$5:$B$1004,B98)&gt;1,"Duplicate item in sample","OK"))))</f>
        <v/>
      </c>
    </row>
    <row r="99" customFormat="false" ht="15" hidden="false" customHeight="false" outlineLevel="0" collapsed="false">
      <c r="A99" s="16"/>
      <c r="B99" s="16"/>
      <c r="C99" s="18"/>
      <c r="D99" s="16"/>
      <c r="E99" s="17" t="str">
        <f aca="false">IF(C99="","","Q"&amp;ROUNDUP(MONTH(C99)/3,0))</f>
        <v/>
      </c>
      <c r="F99" s="16"/>
      <c r="G99" s="16"/>
      <c r="H99" s="17" t="str">
        <f aca="false">IF(A99="","",IF(OR(B99="",C99=""),"Item ID and date needed",IF(COUNTIF(Sample_Log!$A$5:$A$204,A99)=0,"SMP-ID not in log",IF(COUNTIFS($A$5:$A$1004,A99,$B$5:$B$1004,B99)&gt;1,"Duplicate item in sample","OK"))))</f>
        <v/>
      </c>
    </row>
    <row r="100" customFormat="false" ht="15" hidden="false" customHeight="false" outlineLevel="0" collapsed="false">
      <c r="A100" s="16"/>
      <c r="B100" s="16"/>
      <c r="C100" s="18"/>
      <c r="D100" s="16"/>
      <c r="E100" s="17" t="str">
        <f aca="false">IF(C100="","","Q"&amp;ROUNDUP(MONTH(C100)/3,0))</f>
        <v/>
      </c>
      <c r="F100" s="16"/>
      <c r="G100" s="16"/>
      <c r="H100" s="17" t="str">
        <f aca="false">IF(A100="","",IF(OR(B100="",C100=""),"Item ID and date needed",IF(COUNTIF(Sample_Log!$A$5:$A$204,A100)=0,"SMP-ID not in log",IF(COUNTIFS($A$5:$A$1004,A100,$B$5:$B$1004,B100)&gt;1,"Duplicate item in sample","OK"))))</f>
        <v/>
      </c>
    </row>
    <row r="101" customFormat="false" ht="15" hidden="false" customHeight="false" outlineLevel="0" collapsed="false">
      <c r="A101" s="16"/>
      <c r="B101" s="16"/>
      <c r="C101" s="18"/>
      <c r="D101" s="16"/>
      <c r="E101" s="17" t="str">
        <f aca="false">IF(C101="","","Q"&amp;ROUNDUP(MONTH(C101)/3,0))</f>
        <v/>
      </c>
      <c r="F101" s="16"/>
      <c r="G101" s="16"/>
      <c r="H101" s="17" t="str">
        <f aca="false">IF(A101="","",IF(OR(B101="",C101=""),"Item ID and date needed",IF(COUNTIF(Sample_Log!$A$5:$A$204,A101)=0,"SMP-ID not in log",IF(COUNTIFS($A$5:$A$1004,A101,$B$5:$B$1004,B101)&gt;1,"Duplicate item in sample","OK"))))</f>
        <v/>
      </c>
    </row>
    <row r="102" customFormat="false" ht="15" hidden="false" customHeight="false" outlineLevel="0" collapsed="false">
      <c r="A102" s="16"/>
      <c r="B102" s="16"/>
      <c r="C102" s="18"/>
      <c r="D102" s="16"/>
      <c r="E102" s="17" t="str">
        <f aca="false">IF(C102="","","Q"&amp;ROUNDUP(MONTH(C102)/3,0))</f>
        <v/>
      </c>
      <c r="F102" s="16"/>
      <c r="G102" s="16"/>
      <c r="H102" s="17" t="str">
        <f aca="false">IF(A102="","",IF(OR(B102="",C102=""),"Item ID and date needed",IF(COUNTIF(Sample_Log!$A$5:$A$204,A102)=0,"SMP-ID not in log",IF(COUNTIFS($A$5:$A$1004,A102,$B$5:$B$1004,B102)&gt;1,"Duplicate item in sample","OK"))))</f>
        <v/>
      </c>
    </row>
    <row r="103" customFormat="false" ht="15" hidden="false" customHeight="false" outlineLevel="0" collapsed="false">
      <c r="A103" s="16"/>
      <c r="B103" s="16"/>
      <c r="C103" s="18"/>
      <c r="D103" s="16"/>
      <c r="E103" s="17" t="str">
        <f aca="false">IF(C103="","","Q"&amp;ROUNDUP(MONTH(C103)/3,0))</f>
        <v/>
      </c>
      <c r="F103" s="16"/>
      <c r="G103" s="16"/>
      <c r="H103" s="17" t="str">
        <f aca="false">IF(A103="","",IF(OR(B103="",C103=""),"Item ID and date needed",IF(COUNTIF(Sample_Log!$A$5:$A$204,A103)=0,"SMP-ID not in log",IF(COUNTIFS($A$5:$A$1004,A103,$B$5:$B$1004,B103)&gt;1,"Duplicate item in sample","OK"))))</f>
        <v/>
      </c>
    </row>
    <row r="104" customFormat="false" ht="15" hidden="false" customHeight="false" outlineLevel="0" collapsed="false">
      <c r="A104" s="16"/>
      <c r="B104" s="16"/>
      <c r="C104" s="18"/>
      <c r="D104" s="16"/>
      <c r="E104" s="17" t="str">
        <f aca="false">IF(C104="","","Q"&amp;ROUNDUP(MONTH(C104)/3,0))</f>
        <v/>
      </c>
      <c r="F104" s="16"/>
      <c r="G104" s="16"/>
      <c r="H104" s="17" t="str">
        <f aca="false">IF(A104="","",IF(OR(B104="",C104=""),"Item ID and date needed",IF(COUNTIF(Sample_Log!$A$5:$A$204,A104)=0,"SMP-ID not in log",IF(COUNTIFS($A$5:$A$1004,A104,$B$5:$B$1004,B104)&gt;1,"Duplicate item in sample","OK"))))</f>
        <v/>
      </c>
    </row>
    <row r="105" customFormat="false" ht="15" hidden="false" customHeight="false" outlineLevel="0" collapsed="false">
      <c r="A105" s="16"/>
      <c r="B105" s="16"/>
      <c r="C105" s="18"/>
      <c r="D105" s="16"/>
      <c r="E105" s="17" t="str">
        <f aca="false">IF(C105="","","Q"&amp;ROUNDUP(MONTH(C105)/3,0))</f>
        <v/>
      </c>
      <c r="F105" s="16"/>
      <c r="G105" s="16"/>
      <c r="H105" s="17" t="str">
        <f aca="false">IF(A105="","",IF(OR(B105="",C105=""),"Item ID and date needed",IF(COUNTIF(Sample_Log!$A$5:$A$204,A105)=0,"SMP-ID not in log",IF(COUNTIFS($A$5:$A$1004,A105,$B$5:$B$1004,B105)&gt;1,"Duplicate item in sample","OK"))))</f>
        <v/>
      </c>
    </row>
    <row r="106" customFormat="false" ht="15" hidden="false" customHeight="false" outlineLevel="0" collapsed="false">
      <c r="A106" s="16"/>
      <c r="B106" s="16"/>
      <c r="C106" s="18"/>
      <c r="D106" s="16"/>
      <c r="E106" s="17" t="str">
        <f aca="false">IF(C106="","","Q"&amp;ROUNDUP(MONTH(C106)/3,0))</f>
        <v/>
      </c>
      <c r="F106" s="16"/>
      <c r="G106" s="16"/>
      <c r="H106" s="17" t="str">
        <f aca="false">IF(A106="","",IF(OR(B106="",C106=""),"Item ID and date needed",IF(COUNTIF(Sample_Log!$A$5:$A$204,A106)=0,"SMP-ID not in log",IF(COUNTIFS($A$5:$A$1004,A106,$B$5:$B$1004,B106)&gt;1,"Duplicate item in sample","OK"))))</f>
        <v/>
      </c>
    </row>
    <row r="107" customFormat="false" ht="15" hidden="false" customHeight="false" outlineLevel="0" collapsed="false">
      <c r="A107" s="16"/>
      <c r="B107" s="16"/>
      <c r="C107" s="18"/>
      <c r="D107" s="16"/>
      <c r="E107" s="17" t="str">
        <f aca="false">IF(C107="","","Q"&amp;ROUNDUP(MONTH(C107)/3,0))</f>
        <v/>
      </c>
      <c r="F107" s="16"/>
      <c r="G107" s="16"/>
      <c r="H107" s="17" t="str">
        <f aca="false">IF(A107="","",IF(OR(B107="",C107=""),"Item ID and date needed",IF(COUNTIF(Sample_Log!$A$5:$A$204,A107)=0,"SMP-ID not in log",IF(COUNTIFS($A$5:$A$1004,A107,$B$5:$B$1004,B107)&gt;1,"Duplicate item in sample","OK"))))</f>
        <v/>
      </c>
    </row>
    <row r="108" customFormat="false" ht="15" hidden="false" customHeight="false" outlineLevel="0" collapsed="false">
      <c r="A108" s="16"/>
      <c r="B108" s="16"/>
      <c r="C108" s="18"/>
      <c r="D108" s="16"/>
      <c r="E108" s="17" t="str">
        <f aca="false">IF(C108="","","Q"&amp;ROUNDUP(MONTH(C108)/3,0))</f>
        <v/>
      </c>
      <c r="F108" s="16"/>
      <c r="G108" s="16"/>
      <c r="H108" s="17" t="str">
        <f aca="false">IF(A108="","",IF(OR(B108="",C108=""),"Item ID and date needed",IF(COUNTIF(Sample_Log!$A$5:$A$204,A108)=0,"SMP-ID not in log",IF(COUNTIFS($A$5:$A$1004,A108,$B$5:$B$1004,B108)&gt;1,"Duplicate item in sample","OK"))))</f>
        <v/>
      </c>
    </row>
    <row r="109" customFormat="false" ht="15" hidden="false" customHeight="false" outlineLevel="0" collapsed="false">
      <c r="A109" s="16"/>
      <c r="B109" s="16"/>
      <c r="C109" s="18"/>
      <c r="D109" s="16"/>
      <c r="E109" s="17" t="str">
        <f aca="false">IF(C109="","","Q"&amp;ROUNDUP(MONTH(C109)/3,0))</f>
        <v/>
      </c>
      <c r="F109" s="16"/>
      <c r="G109" s="16"/>
      <c r="H109" s="17" t="str">
        <f aca="false">IF(A109="","",IF(OR(B109="",C109=""),"Item ID and date needed",IF(COUNTIF(Sample_Log!$A$5:$A$204,A109)=0,"SMP-ID not in log",IF(COUNTIFS($A$5:$A$1004,A109,$B$5:$B$1004,B109)&gt;1,"Duplicate item in sample","OK"))))</f>
        <v/>
      </c>
    </row>
    <row r="110" customFormat="false" ht="15" hidden="false" customHeight="false" outlineLevel="0" collapsed="false">
      <c r="A110" s="16"/>
      <c r="B110" s="16"/>
      <c r="C110" s="18"/>
      <c r="D110" s="16"/>
      <c r="E110" s="17" t="str">
        <f aca="false">IF(C110="","","Q"&amp;ROUNDUP(MONTH(C110)/3,0))</f>
        <v/>
      </c>
      <c r="F110" s="16"/>
      <c r="G110" s="16"/>
      <c r="H110" s="17" t="str">
        <f aca="false">IF(A110="","",IF(OR(B110="",C110=""),"Item ID and date needed",IF(COUNTIF(Sample_Log!$A$5:$A$204,A110)=0,"SMP-ID not in log",IF(COUNTIFS($A$5:$A$1004,A110,$B$5:$B$1004,B110)&gt;1,"Duplicate item in sample","OK"))))</f>
        <v/>
      </c>
    </row>
    <row r="111" customFormat="false" ht="15" hidden="false" customHeight="false" outlineLevel="0" collapsed="false">
      <c r="A111" s="16"/>
      <c r="B111" s="16"/>
      <c r="C111" s="18"/>
      <c r="D111" s="16"/>
      <c r="E111" s="17" t="str">
        <f aca="false">IF(C111="","","Q"&amp;ROUNDUP(MONTH(C111)/3,0))</f>
        <v/>
      </c>
      <c r="F111" s="16"/>
      <c r="G111" s="16"/>
      <c r="H111" s="17" t="str">
        <f aca="false">IF(A111="","",IF(OR(B111="",C111=""),"Item ID and date needed",IF(COUNTIF(Sample_Log!$A$5:$A$204,A111)=0,"SMP-ID not in log",IF(COUNTIFS($A$5:$A$1004,A111,$B$5:$B$1004,B111)&gt;1,"Duplicate item in sample","OK"))))</f>
        <v/>
      </c>
    </row>
    <row r="112" customFormat="false" ht="15" hidden="false" customHeight="false" outlineLevel="0" collapsed="false">
      <c r="A112" s="16"/>
      <c r="B112" s="16"/>
      <c r="C112" s="18"/>
      <c r="D112" s="16"/>
      <c r="E112" s="17" t="str">
        <f aca="false">IF(C112="","","Q"&amp;ROUNDUP(MONTH(C112)/3,0))</f>
        <v/>
      </c>
      <c r="F112" s="16"/>
      <c r="G112" s="16"/>
      <c r="H112" s="17" t="str">
        <f aca="false">IF(A112="","",IF(OR(B112="",C112=""),"Item ID and date needed",IF(COUNTIF(Sample_Log!$A$5:$A$204,A112)=0,"SMP-ID not in log",IF(COUNTIFS($A$5:$A$1004,A112,$B$5:$B$1004,B112)&gt;1,"Duplicate item in sample","OK"))))</f>
        <v/>
      </c>
    </row>
    <row r="113" customFormat="false" ht="15" hidden="false" customHeight="false" outlineLevel="0" collapsed="false">
      <c r="A113" s="16"/>
      <c r="B113" s="16"/>
      <c r="C113" s="18"/>
      <c r="D113" s="16"/>
      <c r="E113" s="17" t="str">
        <f aca="false">IF(C113="","","Q"&amp;ROUNDUP(MONTH(C113)/3,0))</f>
        <v/>
      </c>
      <c r="F113" s="16"/>
      <c r="G113" s="16"/>
      <c r="H113" s="17" t="str">
        <f aca="false">IF(A113="","",IF(OR(B113="",C113=""),"Item ID and date needed",IF(COUNTIF(Sample_Log!$A$5:$A$204,A113)=0,"SMP-ID not in log",IF(COUNTIFS($A$5:$A$1004,A113,$B$5:$B$1004,B113)&gt;1,"Duplicate item in sample","OK"))))</f>
        <v/>
      </c>
    </row>
    <row r="114" customFormat="false" ht="15" hidden="false" customHeight="false" outlineLevel="0" collapsed="false">
      <c r="A114" s="16"/>
      <c r="B114" s="16"/>
      <c r="C114" s="18"/>
      <c r="D114" s="16"/>
      <c r="E114" s="17" t="str">
        <f aca="false">IF(C114="","","Q"&amp;ROUNDUP(MONTH(C114)/3,0))</f>
        <v/>
      </c>
      <c r="F114" s="16"/>
      <c r="G114" s="16"/>
      <c r="H114" s="17" t="str">
        <f aca="false">IF(A114="","",IF(OR(B114="",C114=""),"Item ID and date needed",IF(COUNTIF(Sample_Log!$A$5:$A$204,A114)=0,"SMP-ID not in log",IF(COUNTIFS($A$5:$A$1004,A114,$B$5:$B$1004,B114)&gt;1,"Duplicate item in sample","OK"))))</f>
        <v/>
      </c>
    </row>
    <row r="115" customFormat="false" ht="15" hidden="false" customHeight="false" outlineLevel="0" collapsed="false">
      <c r="A115" s="16"/>
      <c r="B115" s="16"/>
      <c r="C115" s="18"/>
      <c r="D115" s="16"/>
      <c r="E115" s="17" t="str">
        <f aca="false">IF(C115="","","Q"&amp;ROUNDUP(MONTH(C115)/3,0))</f>
        <v/>
      </c>
      <c r="F115" s="16"/>
      <c r="G115" s="16"/>
      <c r="H115" s="17" t="str">
        <f aca="false">IF(A115="","",IF(OR(B115="",C115=""),"Item ID and date needed",IF(COUNTIF(Sample_Log!$A$5:$A$204,A115)=0,"SMP-ID not in log",IF(COUNTIFS($A$5:$A$1004,A115,$B$5:$B$1004,B115)&gt;1,"Duplicate item in sample","OK"))))</f>
        <v/>
      </c>
    </row>
    <row r="116" customFormat="false" ht="15" hidden="false" customHeight="false" outlineLevel="0" collapsed="false">
      <c r="A116" s="16"/>
      <c r="B116" s="16"/>
      <c r="C116" s="18"/>
      <c r="D116" s="16"/>
      <c r="E116" s="17" t="str">
        <f aca="false">IF(C116="","","Q"&amp;ROUNDUP(MONTH(C116)/3,0))</f>
        <v/>
      </c>
      <c r="F116" s="16"/>
      <c r="G116" s="16"/>
      <c r="H116" s="17" t="str">
        <f aca="false">IF(A116="","",IF(OR(B116="",C116=""),"Item ID and date needed",IF(COUNTIF(Sample_Log!$A$5:$A$204,A116)=0,"SMP-ID not in log",IF(COUNTIFS($A$5:$A$1004,A116,$B$5:$B$1004,B116)&gt;1,"Duplicate item in sample","OK"))))</f>
        <v/>
      </c>
    </row>
    <row r="117" customFormat="false" ht="15" hidden="false" customHeight="false" outlineLevel="0" collapsed="false">
      <c r="A117" s="16"/>
      <c r="B117" s="16"/>
      <c r="C117" s="18"/>
      <c r="D117" s="16"/>
      <c r="E117" s="17" t="str">
        <f aca="false">IF(C117="","","Q"&amp;ROUNDUP(MONTH(C117)/3,0))</f>
        <v/>
      </c>
      <c r="F117" s="16"/>
      <c r="G117" s="16"/>
      <c r="H117" s="17" t="str">
        <f aca="false">IF(A117="","",IF(OR(B117="",C117=""),"Item ID and date needed",IF(COUNTIF(Sample_Log!$A$5:$A$204,A117)=0,"SMP-ID not in log",IF(COUNTIFS($A$5:$A$1004,A117,$B$5:$B$1004,B117)&gt;1,"Duplicate item in sample","OK"))))</f>
        <v/>
      </c>
    </row>
    <row r="118" customFormat="false" ht="15" hidden="false" customHeight="false" outlineLevel="0" collapsed="false">
      <c r="A118" s="16"/>
      <c r="B118" s="16"/>
      <c r="C118" s="18"/>
      <c r="D118" s="16"/>
      <c r="E118" s="17" t="str">
        <f aca="false">IF(C118="","","Q"&amp;ROUNDUP(MONTH(C118)/3,0))</f>
        <v/>
      </c>
      <c r="F118" s="16"/>
      <c r="G118" s="16"/>
      <c r="H118" s="17" t="str">
        <f aca="false">IF(A118="","",IF(OR(B118="",C118=""),"Item ID and date needed",IF(COUNTIF(Sample_Log!$A$5:$A$204,A118)=0,"SMP-ID not in log",IF(COUNTIFS($A$5:$A$1004,A118,$B$5:$B$1004,B118)&gt;1,"Duplicate item in sample","OK"))))</f>
        <v/>
      </c>
    </row>
    <row r="119" customFormat="false" ht="15" hidden="false" customHeight="false" outlineLevel="0" collapsed="false">
      <c r="A119" s="16"/>
      <c r="B119" s="16"/>
      <c r="C119" s="18"/>
      <c r="D119" s="16"/>
      <c r="E119" s="17" t="str">
        <f aca="false">IF(C119="","","Q"&amp;ROUNDUP(MONTH(C119)/3,0))</f>
        <v/>
      </c>
      <c r="F119" s="16"/>
      <c r="G119" s="16"/>
      <c r="H119" s="17" t="str">
        <f aca="false">IF(A119="","",IF(OR(B119="",C119=""),"Item ID and date needed",IF(COUNTIF(Sample_Log!$A$5:$A$204,A119)=0,"SMP-ID not in log",IF(COUNTIFS($A$5:$A$1004,A119,$B$5:$B$1004,B119)&gt;1,"Duplicate item in sample","OK"))))</f>
        <v/>
      </c>
    </row>
    <row r="120" customFormat="false" ht="15" hidden="false" customHeight="false" outlineLevel="0" collapsed="false">
      <c r="A120" s="16"/>
      <c r="B120" s="16"/>
      <c r="C120" s="18"/>
      <c r="D120" s="16"/>
      <c r="E120" s="17" t="str">
        <f aca="false">IF(C120="","","Q"&amp;ROUNDUP(MONTH(C120)/3,0))</f>
        <v/>
      </c>
      <c r="F120" s="16"/>
      <c r="G120" s="16"/>
      <c r="H120" s="17" t="str">
        <f aca="false">IF(A120="","",IF(OR(B120="",C120=""),"Item ID and date needed",IF(COUNTIF(Sample_Log!$A$5:$A$204,A120)=0,"SMP-ID not in log",IF(COUNTIFS($A$5:$A$1004,A120,$B$5:$B$1004,B120)&gt;1,"Duplicate item in sample","OK"))))</f>
        <v/>
      </c>
    </row>
    <row r="121" customFormat="false" ht="15" hidden="false" customHeight="false" outlineLevel="0" collapsed="false">
      <c r="A121" s="16"/>
      <c r="B121" s="16"/>
      <c r="C121" s="18"/>
      <c r="D121" s="16"/>
      <c r="E121" s="17" t="str">
        <f aca="false">IF(C121="","","Q"&amp;ROUNDUP(MONTH(C121)/3,0))</f>
        <v/>
      </c>
      <c r="F121" s="16"/>
      <c r="G121" s="16"/>
      <c r="H121" s="17" t="str">
        <f aca="false">IF(A121="","",IF(OR(B121="",C121=""),"Item ID and date needed",IF(COUNTIF(Sample_Log!$A$5:$A$204,A121)=0,"SMP-ID not in log",IF(COUNTIFS($A$5:$A$1004,A121,$B$5:$B$1004,B121)&gt;1,"Duplicate item in sample","OK"))))</f>
        <v/>
      </c>
    </row>
    <row r="122" customFormat="false" ht="15" hidden="false" customHeight="false" outlineLevel="0" collapsed="false">
      <c r="A122" s="16"/>
      <c r="B122" s="16"/>
      <c r="C122" s="18"/>
      <c r="D122" s="16"/>
      <c r="E122" s="17" t="str">
        <f aca="false">IF(C122="","","Q"&amp;ROUNDUP(MONTH(C122)/3,0))</f>
        <v/>
      </c>
      <c r="F122" s="16"/>
      <c r="G122" s="16"/>
      <c r="H122" s="17" t="str">
        <f aca="false">IF(A122="","",IF(OR(B122="",C122=""),"Item ID and date needed",IF(COUNTIF(Sample_Log!$A$5:$A$204,A122)=0,"SMP-ID not in log",IF(COUNTIFS($A$5:$A$1004,A122,$B$5:$B$1004,B122)&gt;1,"Duplicate item in sample","OK"))))</f>
        <v/>
      </c>
    </row>
    <row r="123" customFormat="false" ht="15" hidden="false" customHeight="false" outlineLevel="0" collapsed="false">
      <c r="A123" s="16"/>
      <c r="B123" s="16"/>
      <c r="C123" s="18"/>
      <c r="D123" s="16"/>
      <c r="E123" s="17" t="str">
        <f aca="false">IF(C123="","","Q"&amp;ROUNDUP(MONTH(C123)/3,0))</f>
        <v/>
      </c>
      <c r="F123" s="16"/>
      <c r="G123" s="16"/>
      <c r="H123" s="17" t="str">
        <f aca="false">IF(A123="","",IF(OR(B123="",C123=""),"Item ID and date needed",IF(COUNTIF(Sample_Log!$A$5:$A$204,A123)=0,"SMP-ID not in log",IF(COUNTIFS($A$5:$A$1004,A123,$B$5:$B$1004,B123)&gt;1,"Duplicate item in sample","OK"))))</f>
        <v/>
      </c>
    </row>
    <row r="124" customFormat="false" ht="15" hidden="false" customHeight="false" outlineLevel="0" collapsed="false">
      <c r="A124" s="16"/>
      <c r="B124" s="16"/>
      <c r="C124" s="18"/>
      <c r="D124" s="16"/>
      <c r="E124" s="17" t="str">
        <f aca="false">IF(C124="","","Q"&amp;ROUNDUP(MONTH(C124)/3,0))</f>
        <v/>
      </c>
      <c r="F124" s="16"/>
      <c r="G124" s="16"/>
      <c r="H124" s="17" t="str">
        <f aca="false">IF(A124="","",IF(OR(B124="",C124=""),"Item ID and date needed",IF(COUNTIF(Sample_Log!$A$5:$A$204,A124)=0,"SMP-ID not in log",IF(COUNTIFS($A$5:$A$1004,A124,$B$5:$B$1004,B124)&gt;1,"Duplicate item in sample","OK"))))</f>
        <v/>
      </c>
    </row>
    <row r="125" customFormat="false" ht="15" hidden="false" customHeight="false" outlineLevel="0" collapsed="false">
      <c r="A125" s="16"/>
      <c r="B125" s="16"/>
      <c r="C125" s="18"/>
      <c r="D125" s="16"/>
      <c r="E125" s="17" t="str">
        <f aca="false">IF(C125="","","Q"&amp;ROUNDUP(MONTH(C125)/3,0))</f>
        <v/>
      </c>
      <c r="F125" s="16"/>
      <c r="G125" s="16"/>
      <c r="H125" s="17" t="str">
        <f aca="false">IF(A125="","",IF(OR(B125="",C125=""),"Item ID and date needed",IF(COUNTIF(Sample_Log!$A$5:$A$204,A125)=0,"SMP-ID not in log",IF(COUNTIFS($A$5:$A$1004,A125,$B$5:$B$1004,B125)&gt;1,"Duplicate item in sample","OK"))))</f>
        <v/>
      </c>
    </row>
    <row r="126" customFormat="false" ht="15" hidden="false" customHeight="false" outlineLevel="0" collapsed="false">
      <c r="A126" s="16"/>
      <c r="B126" s="16"/>
      <c r="C126" s="18"/>
      <c r="D126" s="16"/>
      <c r="E126" s="17" t="str">
        <f aca="false">IF(C126="","","Q"&amp;ROUNDUP(MONTH(C126)/3,0))</f>
        <v/>
      </c>
      <c r="F126" s="16"/>
      <c r="G126" s="16"/>
      <c r="H126" s="17" t="str">
        <f aca="false">IF(A126="","",IF(OR(B126="",C126=""),"Item ID and date needed",IF(COUNTIF(Sample_Log!$A$5:$A$204,A126)=0,"SMP-ID not in log",IF(COUNTIFS($A$5:$A$1004,A126,$B$5:$B$1004,B126)&gt;1,"Duplicate item in sample","OK"))))</f>
        <v/>
      </c>
    </row>
    <row r="127" customFormat="false" ht="15" hidden="false" customHeight="false" outlineLevel="0" collapsed="false">
      <c r="A127" s="16"/>
      <c r="B127" s="16"/>
      <c r="C127" s="18"/>
      <c r="D127" s="16"/>
      <c r="E127" s="17" t="str">
        <f aca="false">IF(C127="","","Q"&amp;ROUNDUP(MONTH(C127)/3,0))</f>
        <v/>
      </c>
      <c r="F127" s="16"/>
      <c r="G127" s="16"/>
      <c r="H127" s="17" t="str">
        <f aca="false">IF(A127="","",IF(OR(B127="",C127=""),"Item ID and date needed",IF(COUNTIF(Sample_Log!$A$5:$A$204,A127)=0,"SMP-ID not in log",IF(COUNTIFS($A$5:$A$1004,A127,$B$5:$B$1004,B127)&gt;1,"Duplicate item in sample","OK"))))</f>
        <v/>
      </c>
    </row>
    <row r="128" customFormat="false" ht="15" hidden="false" customHeight="false" outlineLevel="0" collapsed="false">
      <c r="A128" s="16"/>
      <c r="B128" s="16"/>
      <c r="C128" s="18"/>
      <c r="D128" s="16"/>
      <c r="E128" s="17" t="str">
        <f aca="false">IF(C128="","","Q"&amp;ROUNDUP(MONTH(C128)/3,0))</f>
        <v/>
      </c>
      <c r="F128" s="16"/>
      <c r="G128" s="16"/>
      <c r="H128" s="17" t="str">
        <f aca="false">IF(A128="","",IF(OR(B128="",C128=""),"Item ID and date needed",IF(COUNTIF(Sample_Log!$A$5:$A$204,A128)=0,"SMP-ID not in log",IF(COUNTIFS($A$5:$A$1004,A128,$B$5:$B$1004,B128)&gt;1,"Duplicate item in sample","OK"))))</f>
        <v/>
      </c>
    </row>
    <row r="129" customFormat="false" ht="15" hidden="false" customHeight="false" outlineLevel="0" collapsed="false">
      <c r="A129" s="16"/>
      <c r="B129" s="16"/>
      <c r="C129" s="18"/>
      <c r="D129" s="16"/>
      <c r="E129" s="17" t="str">
        <f aca="false">IF(C129="","","Q"&amp;ROUNDUP(MONTH(C129)/3,0))</f>
        <v/>
      </c>
      <c r="F129" s="16"/>
      <c r="G129" s="16"/>
      <c r="H129" s="17" t="str">
        <f aca="false">IF(A129="","",IF(OR(B129="",C129=""),"Item ID and date needed",IF(COUNTIF(Sample_Log!$A$5:$A$204,A129)=0,"SMP-ID not in log",IF(COUNTIFS($A$5:$A$1004,A129,$B$5:$B$1004,B129)&gt;1,"Duplicate item in sample","OK"))))</f>
        <v/>
      </c>
    </row>
    <row r="130" customFormat="false" ht="15" hidden="false" customHeight="false" outlineLevel="0" collapsed="false">
      <c r="A130" s="16"/>
      <c r="B130" s="16"/>
      <c r="C130" s="18"/>
      <c r="D130" s="16"/>
      <c r="E130" s="17" t="str">
        <f aca="false">IF(C130="","","Q"&amp;ROUNDUP(MONTH(C130)/3,0))</f>
        <v/>
      </c>
      <c r="F130" s="16"/>
      <c r="G130" s="16"/>
      <c r="H130" s="17" t="str">
        <f aca="false">IF(A130="","",IF(OR(B130="",C130=""),"Item ID and date needed",IF(COUNTIF(Sample_Log!$A$5:$A$204,A130)=0,"SMP-ID not in log",IF(COUNTIFS($A$5:$A$1004,A130,$B$5:$B$1004,B130)&gt;1,"Duplicate item in sample","OK"))))</f>
        <v/>
      </c>
    </row>
    <row r="131" customFormat="false" ht="15" hidden="false" customHeight="false" outlineLevel="0" collapsed="false">
      <c r="A131" s="16"/>
      <c r="B131" s="16"/>
      <c r="C131" s="18"/>
      <c r="D131" s="16"/>
      <c r="E131" s="17" t="str">
        <f aca="false">IF(C131="","","Q"&amp;ROUNDUP(MONTH(C131)/3,0))</f>
        <v/>
      </c>
      <c r="F131" s="16"/>
      <c r="G131" s="16"/>
      <c r="H131" s="17" t="str">
        <f aca="false">IF(A131="","",IF(OR(B131="",C131=""),"Item ID and date needed",IF(COUNTIF(Sample_Log!$A$5:$A$204,A131)=0,"SMP-ID not in log",IF(COUNTIFS($A$5:$A$1004,A131,$B$5:$B$1004,B131)&gt;1,"Duplicate item in sample","OK"))))</f>
        <v/>
      </c>
    </row>
    <row r="132" customFormat="false" ht="15" hidden="false" customHeight="false" outlineLevel="0" collapsed="false">
      <c r="A132" s="16"/>
      <c r="B132" s="16"/>
      <c r="C132" s="18"/>
      <c r="D132" s="16"/>
      <c r="E132" s="17" t="str">
        <f aca="false">IF(C132="","","Q"&amp;ROUNDUP(MONTH(C132)/3,0))</f>
        <v/>
      </c>
      <c r="F132" s="16"/>
      <c r="G132" s="16"/>
      <c r="H132" s="17" t="str">
        <f aca="false">IF(A132="","",IF(OR(B132="",C132=""),"Item ID and date needed",IF(COUNTIF(Sample_Log!$A$5:$A$204,A132)=0,"SMP-ID not in log",IF(COUNTIFS($A$5:$A$1004,A132,$B$5:$B$1004,B132)&gt;1,"Duplicate item in sample","OK"))))</f>
        <v/>
      </c>
    </row>
    <row r="133" customFormat="false" ht="15" hidden="false" customHeight="false" outlineLevel="0" collapsed="false">
      <c r="A133" s="16"/>
      <c r="B133" s="16"/>
      <c r="C133" s="18"/>
      <c r="D133" s="16"/>
      <c r="E133" s="17" t="str">
        <f aca="false">IF(C133="","","Q"&amp;ROUNDUP(MONTH(C133)/3,0))</f>
        <v/>
      </c>
      <c r="F133" s="16"/>
      <c r="G133" s="16"/>
      <c r="H133" s="17" t="str">
        <f aca="false">IF(A133="","",IF(OR(B133="",C133=""),"Item ID and date needed",IF(COUNTIF(Sample_Log!$A$5:$A$204,A133)=0,"SMP-ID not in log",IF(COUNTIFS($A$5:$A$1004,A133,$B$5:$B$1004,B133)&gt;1,"Duplicate item in sample","OK"))))</f>
        <v/>
      </c>
    </row>
    <row r="134" customFormat="false" ht="15" hidden="false" customHeight="false" outlineLevel="0" collapsed="false">
      <c r="A134" s="16"/>
      <c r="B134" s="16"/>
      <c r="C134" s="18"/>
      <c r="D134" s="16"/>
      <c r="E134" s="17" t="str">
        <f aca="false">IF(C134="","","Q"&amp;ROUNDUP(MONTH(C134)/3,0))</f>
        <v/>
      </c>
      <c r="F134" s="16"/>
      <c r="G134" s="16"/>
      <c r="H134" s="17" t="str">
        <f aca="false">IF(A134="","",IF(OR(B134="",C134=""),"Item ID and date needed",IF(COUNTIF(Sample_Log!$A$5:$A$204,A134)=0,"SMP-ID not in log",IF(COUNTIFS($A$5:$A$1004,A134,$B$5:$B$1004,B134)&gt;1,"Duplicate item in sample","OK"))))</f>
        <v/>
      </c>
    </row>
    <row r="135" customFormat="false" ht="15" hidden="false" customHeight="false" outlineLevel="0" collapsed="false">
      <c r="A135" s="16"/>
      <c r="B135" s="16"/>
      <c r="C135" s="18"/>
      <c r="D135" s="16"/>
      <c r="E135" s="17" t="str">
        <f aca="false">IF(C135="","","Q"&amp;ROUNDUP(MONTH(C135)/3,0))</f>
        <v/>
      </c>
      <c r="F135" s="16"/>
      <c r="G135" s="16"/>
      <c r="H135" s="17" t="str">
        <f aca="false">IF(A135="","",IF(OR(B135="",C135=""),"Item ID and date needed",IF(COUNTIF(Sample_Log!$A$5:$A$204,A135)=0,"SMP-ID not in log",IF(COUNTIFS($A$5:$A$1004,A135,$B$5:$B$1004,B135)&gt;1,"Duplicate item in sample","OK"))))</f>
        <v/>
      </c>
    </row>
    <row r="136" customFormat="false" ht="15" hidden="false" customHeight="false" outlineLevel="0" collapsed="false">
      <c r="A136" s="16"/>
      <c r="B136" s="16"/>
      <c r="C136" s="18"/>
      <c r="D136" s="16"/>
      <c r="E136" s="17" t="str">
        <f aca="false">IF(C136="","","Q"&amp;ROUNDUP(MONTH(C136)/3,0))</f>
        <v/>
      </c>
      <c r="F136" s="16"/>
      <c r="G136" s="16"/>
      <c r="H136" s="17" t="str">
        <f aca="false">IF(A136="","",IF(OR(B136="",C136=""),"Item ID and date needed",IF(COUNTIF(Sample_Log!$A$5:$A$204,A136)=0,"SMP-ID not in log",IF(COUNTIFS($A$5:$A$1004,A136,$B$5:$B$1004,B136)&gt;1,"Duplicate item in sample","OK"))))</f>
        <v/>
      </c>
    </row>
    <row r="137" customFormat="false" ht="15" hidden="false" customHeight="false" outlineLevel="0" collapsed="false">
      <c r="A137" s="16"/>
      <c r="B137" s="16"/>
      <c r="C137" s="18"/>
      <c r="D137" s="16"/>
      <c r="E137" s="17" t="str">
        <f aca="false">IF(C137="","","Q"&amp;ROUNDUP(MONTH(C137)/3,0))</f>
        <v/>
      </c>
      <c r="F137" s="16"/>
      <c r="G137" s="16"/>
      <c r="H137" s="17" t="str">
        <f aca="false">IF(A137="","",IF(OR(B137="",C137=""),"Item ID and date needed",IF(COUNTIF(Sample_Log!$A$5:$A$204,A137)=0,"SMP-ID not in log",IF(COUNTIFS($A$5:$A$1004,A137,$B$5:$B$1004,B137)&gt;1,"Duplicate item in sample","OK"))))</f>
        <v/>
      </c>
    </row>
    <row r="138" customFormat="false" ht="15" hidden="false" customHeight="false" outlineLevel="0" collapsed="false">
      <c r="A138" s="16"/>
      <c r="B138" s="16"/>
      <c r="C138" s="18"/>
      <c r="D138" s="16"/>
      <c r="E138" s="17" t="str">
        <f aca="false">IF(C138="","","Q"&amp;ROUNDUP(MONTH(C138)/3,0))</f>
        <v/>
      </c>
      <c r="F138" s="16"/>
      <c r="G138" s="16"/>
      <c r="H138" s="17" t="str">
        <f aca="false">IF(A138="","",IF(OR(B138="",C138=""),"Item ID and date needed",IF(COUNTIF(Sample_Log!$A$5:$A$204,A138)=0,"SMP-ID not in log",IF(COUNTIFS($A$5:$A$1004,A138,$B$5:$B$1004,B138)&gt;1,"Duplicate item in sample","OK"))))</f>
        <v/>
      </c>
    </row>
    <row r="139" customFormat="false" ht="15" hidden="false" customHeight="false" outlineLevel="0" collapsed="false">
      <c r="A139" s="16"/>
      <c r="B139" s="16"/>
      <c r="C139" s="18"/>
      <c r="D139" s="16"/>
      <c r="E139" s="17" t="str">
        <f aca="false">IF(C139="","","Q"&amp;ROUNDUP(MONTH(C139)/3,0))</f>
        <v/>
      </c>
      <c r="F139" s="16"/>
      <c r="G139" s="16"/>
      <c r="H139" s="17" t="str">
        <f aca="false">IF(A139="","",IF(OR(B139="",C139=""),"Item ID and date needed",IF(COUNTIF(Sample_Log!$A$5:$A$204,A139)=0,"SMP-ID not in log",IF(COUNTIFS($A$5:$A$1004,A139,$B$5:$B$1004,B139)&gt;1,"Duplicate item in sample","OK"))))</f>
        <v/>
      </c>
    </row>
    <row r="140" customFormat="false" ht="15" hidden="false" customHeight="false" outlineLevel="0" collapsed="false">
      <c r="A140" s="16"/>
      <c r="B140" s="16"/>
      <c r="C140" s="18"/>
      <c r="D140" s="16"/>
      <c r="E140" s="17" t="str">
        <f aca="false">IF(C140="","","Q"&amp;ROUNDUP(MONTH(C140)/3,0))</f>
        <v/>
      </c>
      <c r="F140" s="16"/>
      <c r="G140" s="16"/>
      <c r="H140" s="17" t="str">
        <f aca="false">IF(A140="","",IF(OR(B140="",C140=""),"Item ID and date needed",IF(COUNTIF(Sample_Log!$A$5:$A$204,A140)=0,"SMP-ID not in log",IF(COUNTIFS($A$5:$A$1004,A140,$B$5:$B$1004,B140)&gt;1,"Duplicate item in sample","OK"))))</f>
        <v/>
      </c>
    </row>
    <row r="141" customFormat="false" ht="15" hidden="false" customHeight="false" outlineLevel="0" collapsed="false">
      <c r="A141" s="16"/>
      <c r="B141" s="16"/>
      <c r="C141" s="18"/>
      <c r="D141" s="16"/>
      <c r="E141" s="17" t="str">
        <f aca="false">IF(C141="","","Q"&amp;ROUNDUP(MONTH(C141)/3,0))</f>
        <v/>
      </c>
      <c r="F141" s="16"/>
      <c r="G141" s="16"/>
      <c r="H141" s="17" t="str">
        <f aca="false">IF(A141="","",IF(OR(B141="",C141=""),"Item ID and date needed",IF(COUNTIF(Sample_Log!$A$5:$A$204,A141)=0,"SMP-ID not in log",IF(COUNTIFS($A$5:$A$1004,A141,$B$5:$B$1004,B141)&gt;1,"Duplicate item in sample","OK"))))</f>
        <v/>
      </c>
    </row>
    <row r="142" customFormat="false" ht="15" hidden="false" customHeight="false" outlineLevel="0" collapsed="false">
      <c r="A142" s="16"/>
      <c r="B142" s="16"/>
      <c r="C142" s="18"/>
      <c r="D142" s="16"/>
      <c r="E142" s="17" t="str">
        <f aca="false">IF(C142="","","Q"&amp;ROUNDUP(MONTH(C142)/3,0))</f>
        <v/>
      </c>
      <c r="F142" s="16"/>
      <c r="G142" s="16"/>
      <c r="H142" s="17" t="str">
        <f aca="false">IF(A142="","",IF(OR(B142="",C142=""),"Item ID and date needed",IF(COUNTIF(Sample_Log!$A$5:$A$204,A142)=0,"SMP-ID not in log",IF(COUNTIFS($A$5:$A$1004,A142,$B$5:$B$1004,B142)&gt;1,"Duplicate item in sample","OK"))))</f>
        <v/>
      </c>
    </row>
    <row r="143" customFormat="false" ht="15" hidden="false" customHeight="false" outlineLevel="0" collapsed="false">
      <c r="A143" s="16"/>
      <c r="B143" s="16"/>
      <c r="C143" s="18"/>
      <c r="D143" s="16"/>
      <c r="E143" s="17" t="str">
        <f aca="false">IF(C143="","","Q"&amp;ROUNDUP(MONTH(C143)/3,0))</f>
        <v/>
      </c>
      <c r="F143" s="16"/>
      <c r="G143" s="16"/>
      <c r="H143" s="17" t="str">
        <f aca="false">IF(A143="","",IF(OR(B143="",C143=""),"Item ID and date needed",IF(COUNTIF(Sample_Log!$A$5:$A$204,A143)=0,"SMP-ID not in log",IF(COUNTIFS($A$5:$A$1004,A143,$B$5:$B$1004,B143)&gt;1,"Duplicate item in sample","OK"))))</f>
        <v/>
      </c>
    </row>
    <row r="144" customFormat="false" ht="15" hidden="false" customHeight="false" outlineLevel="0" collapsed="false">
      <c r="A144" s="16"/>
      <c r="B144" s="16"/>
      <c r="C144" s="18"/>
      <c r="D144" s="16"/>
      <c r="E144" s="17" t="str">
        <f aca="false">IF(C144="","","Q"&amp;ROUNDUP(MONTH(C144)/3,0))</f>
        <v/>
      </c>
      <c r="F144" s="16"/>
      <c r="G144" s="16"/>
      <c r="H144" s="17" t="str">
        <f aca="false">IF(A144="","",IF(OR(B144="",C144=""),"Item ID and date needed",IF(COUNTIF(Sample_Log!$A$5:$A$204,A144)=0,"SMP-ID not in log",IF(COUNTIFS($A$5:$A$1004,A144,$B$5:$B$1004,B144)&gt;1,"Duplicate item in sample","OK"))))</f>
        <v/>
      </c>
    </row>
    <row r="145" customFormat="false" ht="15" hidden="false" customHeight="false" outlineLevel="0" collapsed="false">
      <c r="A145" s="16"/>
      <c r="B145" s="16"/>
      <c r="C145" s="18"/>
      <c r="D145" s="16"/>
      <c r="E145" s="17" t="str">
        <f aca="false">IF(C145="","","Q"&amp;ROUNDUP(MONTH(C145)/3,0))</f>
        <v/>
      </c>
      <c r="F145" s="16"/>
      <c r="G145" s="16"/>
      <c r="H145" s="17" t="str">
        <f aca="false">IF(A145="","",IF(OR(B145="",C145=""),"Item ID and date needed",IF(COUNTIF(Sample_Log!$A$5:$A$204,A145)=0,"SMP-ID not in log",IF(COUNTIFS($A$5:$A$1004,A145,$B$5:$B$1004,B145)&gt;1,"Duplicate item in sample","OK"))))</f>
        <v/>
      </c>
    </row>
    <row r="146" customFormat="false" ht="15" hidden="false" customHeight="false" outlineLevel="0" collapsed="false">
      <c r="A146" s="16"/>
      <c r="B146" s="16"/>
      <c r="C146" s="18"/>
      <c r="D146" s="16"/>
      <c r="E146" s="17" t="str">
        <f aca="false">IF(C146="","","Q"&amp;ROUNDUP(MONTH(C146)/3,0))</f>
        <v/>
      </c>
      <c r="F146" s="16"/>
      <c r="G146" s="16"/>
      <c r="H146" s="17" t="str">
        <f aca="false">IF(A146="","",IF(OR(B146="",C146=""),"Item ID and date needed",IF(COUNTIF(Sample_Log!$A$5:$A$204,A146)=0,"SMP-ID not in log",IF(COUNTIFS($A$5:$A$1004,A146,$B$5:$B$1004,B146)&gt;1,"Duplicate item in sample","OK"))))</f>
        <v/>
      </c>
    </row>
    <row r="147" customFormat="false" ht="15" hidden="false" customHeight="false" outlineLevel="0" collapsed="false">
      <c r="A147" s="16"/>
      <c r="B147" s="16"/>
      <c r="C147" s="18"/>
      <c r="D147" s="16"/>
      <c r="E147" s="17" t="str">
        <f aca="false">IF(C147="","","Q"&amp;ROUNDUP(MONTH(C147)/3,0))</f>
        <v/>
      </c>
      <c r="F147" s="16"/>
      <c r="G147" s="16"/>
      <c r="H147" s="17" t="str">
        <f aca="false">IF(A147="","",IF(OR(B147="",C147=""),"Item ID and date needed",IF(COUNTIF(Sample_Log!$A$5:$A$204,A147)=0,"SMP-ID not in log",IF(COUNTIFS($A$5:$A$1004,A147,$B$5:$B$1004,B147)&gt;1,"Duplicate item in sample","OK"))))</f>
        <v/>
      </c>
    </row>
    <row r="148" customFormat="false" ht="15" hidden="false" customHeight="false" outlineLevel="0" collapsed="false">
      <c r="A148" s="16"/>
      <c r="B148" s="16"/>
      <c r="C148" s="18"/>
      <c r="D148" s="16"/>
      <c r="E148" s="17" t="str">
        <f aca="false">IF(C148="","","Q"&amp;ROUNDUP(MONTH(C148)/3,0))</f>
        <v/>
      </c>
      <c r="F148" s="16"/>
      <c r="G148" s="16"/>
      <c r="H148" s="17" t="str">
        <f aca="false">IF(A148="","",IF(OR(B148="",C148=""),"Item ID and date needed",IF(COUNTIF(Sample_Log!$A$5:$A$204,A148)=0,"SMP-ID not in log",IF(COUNTIFS($A$5:$A$1004,A148,$B$5:$B$1004,B148)&gt;1,"Duplicate item in sample","OK"))))</f>
        <v/>
      </c>
    </row>
    <row r="149" customFormat="false" ht="15" hidden="false" customHeight="false" outlineLevel="0" collapsed="false">
      <c r="A149" s="16"/>
      <c r="B149" s="16"/>
      <c r="C149" s="18"/>
      <c r="D149" s="16"/>
      <c r="E149" s="17" t="str">
        <f aca="false">IF(C149="","","Q"&amp;ROUNDUP(MONTH(C149)/3,0))</f>
        <v/>
      </c>
      <c r="F149" s="16"/>
      <c r="G149" s="16"/>
      <c r="H149" s="17" t="str">
        <f aca="false">IF(A149="","",IF(OR(B149="",C149=""),"Item ID and date needed",IF(COUNTIF(Sample_Log!$A$5:$A$204,A149)=0,"SMP-ID not in log",IF(COUNTIFS($A$5:$A$1004,A149,$B$5:$B$1004,B149)&gt;1,"Duplicate item in sample","OK"))))</f>
        <v/>
      </c>
    </row>
    <row r="150" customFormat="false" ht="15" hidden="false" customHeight="false" outlineLevel="0" collapsed="false">
      <c r="A150" s="16"/>
      <c r="B150" s="16"/>
      <c r="C150" s="18"/>
      <c r="D150" s="16"/>
      <c r="E150" s="17" t="str">
        <f aca="false">IF(C150="","","Q"&amp;ROUNDUP(MONTH(C150)/3,0))</f>
        <v/>
      </c>
      <c r="F150" s="16"/>
      <c r="G150" s="16"/>
      <c r="H150" s="17" t="str">
        <f aca="false">IF(A150="","",IF(OR(B150="",C150=""),"Item ID and date needed",IF(COUNTIF(Sample_Log!$A$5:$A$204,A150)=0,"SMP-ID not in log",IF(COUNTIFS($A$5:$A$1004,A150,$B$5:$B$1004,B150)&gt;1,"Duplicate item in sample","OK"))))</f>
        <v/>
      </c>
    </row>
    <row r="151" customFormat="false" ht="15" hidden="false" customHeight="false" outlineLevel="0" collapsed="false">
      <c r="A151" s="16"/>
      <c r="B151" s="16"/>
      <c r="C151" s="18"/>
      <c r="D151" s="16"/>
      <c r="E151" s="17" t="str">
        <f aca="false">IF(C151="","","Q"&amp;ROUNDUP(MONTH(C151)/3,0))</f>
        <v/>
      </c>
      <c r="F151" s="16"/>
      <c r="G151" s="16"/>
      <c r="H151" s="17" t="str">
        <f aca="false">IF(A151="","",IF(OR(B151="",C151=""),"Item ID and date needed",IF(COUNTIF(Sample_Log!$A$5:$A$204,A151)=0,"SMP-ID not in log",IF(COUNTIFS($A$5:$A$1004,A151,$B$5:$B$1004,B151)&gt;1,"Duplicate item in sample","OK"))))</f>
        <v/>
      </c>
    </row>
    <row r="152" customFormat="false" ht="15" hidden="false" customHeight="false" outlineLevel="0" collapsed="false">
      <c r="A152" s="16"/>
      <c r="B152" s="16"/>
      <c r="C152" s="18"/>
      <c r="D152" s="16"/>
      <c r="E152" s="17" t="str">
        <f aca="false">IF(C152="","","Q"&amp;ROUNDUP(MONTH(C152)/3,0))</f>
        <v/>
      </c>
      <c r="F152" s="16"/>
      <c r="G152" s="16"/>
      <c r="H152" s="17" t="str">
        <f aca="false">IF(A152="","",IF(OR(B152="",C152=""),"Item ID and date needed",IF(COUNTIF(Sample_Log!$A$5:$A$204,A152)=0,"SMP-ID not in log",IF(COUNTIFS($A$5:$A$1004,A152,$B$5:$B$1004,B152)&gt;1,"Duplicate item in sample","OK"))))</f>
        <v/>
      </c>
    </row>
    <row r="153" customFormat="false" ht="15" hidden="false" customHeight="false" outlineLevel="0" collapsed="false">
      <c r="A153" s="16"/>
      <c r="B153" s="16"/>
      <c r="C153" s="18"/>
      <c r="D153" s="16"/>
      <c r="E153" s="17" t="str">
        <f aca="false">IF(C153="","","Q"&amp;ROUNDUP(MONTH(C153)/3,0))</f>
        <v/>
      </c>
      <c r="F153" s="16"/>
      <c r="G153" s="16"/>
      <c r="H153" s="17" t="str">
        <f aca="false">IF(A153="","",IF(OR(B153="",C153=""),"Item ID and date needed",IF(COUNTIF(Sample_Log!$A$5:$A$204,A153)=0,"SMP-ID not in log",IF(COUNTIFS($A$5:$A$1004,A153,$B$5:$B$1004,B153)&gt;1,"Duplicate item in sample","OK"))))</f>
        <v/>
      </c>
    </row>
    <row r="154" customFormat="false" ht="15" hidden="false" customHeight="false" outlineLevel="0" collapsed="false">
      <c r="A154" s="16"/>
      <c r="B154" s="16"/>
      <c r="C154" s="18"/>
      <c r="D154" s="16"/>
      <c r="E154" s="17" t="str">
        <f aca="false">IF(C154="","","Q"&amp;ROUNDUP(MONTH(C154)/3,0))</f>
        <v/>
      </c>
      <c r="F154" s="16"/>
      <c r="G154" s="16"/>
      <c r="H154" s="17" t="str">
        <f aca="false">IF(A154="","",IF(OR(B154="",C154=""),"Item ID and date needed",IF(COUNTIF(Sample_Log!$A$5:$A$204,A154)=0,"SMP-ID not in log",IF(COUNTIFS($A$5:$A$1004,A154,$B$5:$B$1004,B154)&gt;1,"Duplicate item in sample","OK"))))</f>
        <v/>
      </c>
    </row>
    <row r="155" customFormat="false" ht="15" hidden="false" customHeight="false" outlineLevel="0" collapsed="false">
      <c r="A155" s="16"/>
      <c r="B155" s="16"/>
      <c r="C155" s="18"/>
      <c r="D155" s="16"/>
      <c r="E155" s="17" t="str">
        <f aca="false">IF(C155="","","Q"&amp;ROUNDUP(MONTH(C155)/3,0))</f>
        <v/>
      </c>
      <c r="F155" s="16"/>
      <c r="G155" s="16"/>
      <c r="H155" s="17" t="str">
        <f aca="false">IF(A155="","",IF(OR(B155="",C155=""),"Item ID and date needed",IF(COUNTIF(Sample_Log!$A$5:$A$204,A155)=0,"SMP-ID not in log",IF(COUNTIFS($A$5:$A$1004,A155,$B$5:$B$1004,B155)&gt;1,"Duplicate item in sample","OK"))))</f>
        <v/>
      </c>
    </row>
    <row r="156" customFormat="false" ht="15" hidden="false" customHeight="false" outlineLevel="0" collapsed="false">
      <c r="A156" s="16"/>
      <c r="B156" s="16"/>
      <c r="C156" s="18"/>
      <c r="D156" s="16"/>
      <c r="E156" s="17" t="str">
        <f aca="false">IF(C156="","","Q"&amp;ROUNDUP(MONTH(C156)/3,0))</f>
        <v/>
      </c>
      <c r="F156" s="16"/>
      <c r="G156" s="16"/>
      <c r="H156" s="17" t="str">
        <f aca="false">IF(A156="","",IF(OR(B156="",C156=""),"Item ID and date needed",IF(COUNTIF(Sample_Log!$A$5:$A$204,A156)=0,"SMP-ID not in log",IF(COUNTIFS($A$5:$A$1004,A156,$B$5:$B$1004,B156)&gt;1,"Duplicate item in sample","OK"))))</f>
        <v/>
      </c>
    </row>
    <row r="157" customFormat="false" ht="15" hidden="false" customHeight="false" outlineLevel="0" collapsed="false">
      <c r="A157" s="16"/>
      <c r="B157" s="16"/>
      <c r="C157" s="18"/>
      <c r="D157" s="16"/>
      <c r="E157" s="17" t="str">
        <f aca="false">IF(C157="","","Q"&amp;ROUNDUP(MONTH(C157)/3,0))</f>
        <v/>
      </c>
      <c r="F157" s="16"/>
      <c r="G157" s="16"/>
      <c r="H157" s="17" t="str">
        <f aca="false">IF(A157="","",IF(OR(B157="",C157=""),"Item ID and date needed",IF(COUNTIF(Sample_Log!$A$5:$A$204,A157)=0,"SMP-ID not in log",IF(COUNTIFS($A$5:$A$1004,A157,$B$5:$B$1004,B157)&gt;1,"Duplicate item in sample","OK"))))</f>
        <v/>
      </c>
    </row>
    <row r="158" customFormat="false" ht="15" hidden="false" customHeight="false" outlineLevel="0" collapsed="false">
      <c r="A158" s="16"/>
      <c r="B158" s="16"/>
      <c r="C158" s="18"/>
      <c r="D158" s="16"/>
      <c r="E158" s="17" t="str">
        <f aca="false">IF(C158="","","Q"&amp;ROUNDUP(MONTH(C158)/3,0))</f>
        <v/>
      </c>
      <c r="F158" s="16"/>
      <c r="G158" s="16"/>
      <c r="H158" s="17" t="str">
        <f aca="false">IF(A158="","",IF(OR(B158="",C158=""),"Item ID and date needed",IF(COUNTIF(Sample_Log!$A$5:$A$204,A158)=0,"SMP-ID not in log",IF(COUNTIFS($A$5:$A$1004,A158,$B$5:$B$1004,B158)&gt;1,"Duplicate item in sample","OK"))))</f>
        <v/>
      </c>
    </row>
    <row r="159" customFormat="false" ht="15" hidden="false" customHeight="false" outlineLevel="0" collapsed="false">
      <c r="A159" s="16"/>
      <c r="B159" s="16"/>
      <c r="C159" s="18"/>
      <c r="D159" s="16"/>
      <c r="E159" s="17" t="str">
        <f aca="false">IF(C159="","","Q"&amp;ROUNDUP(MONTH(C159)/3,0))</f>
        <v/>
      </c>
      <c r="F159" s="16"/>
      <c r="G159" s="16"/>
      <c r="H159" s="17" t="str">
        <f aca="false">IF(A159="","",IF(OR(B159="",C159=""),"Item ID and date needed",IF(COUNTIF(Sample_Log!$A$5:$A$204,A159)=0,"SMP-ID not in log",IF(COUNTIFS($A$5:$A$1004,A159,$B$5:$B$1004,B159)&gt;1,"Duplicate item in sample","OK"))))</f>
        <v/>
      </c>
    </row>
    <row r="160" customFormat="false" ht="15" hidden="false" customHeight="false" outlineLevel="0" collapsed="false">
      <c r="A160" s="16"/>
      <c r="B160" s="16"/>
      <c r="C160" s="18"/>
      <c r="D160" s="16"/>
      <c r="E160" s="17" t="str">
        <f aca="false">IF(C160="","","Q"&amp;ROUNDUP(MONTH(C160)/3,0))</f>
        <v/>
      </c>
      <c r="F160" s="16"/>
      <c r="G160" s="16"/>
      <c r="H160" s="17" t="str">
        <f aca="false">IF(A160="","",IF(OR(B160="",C160=""),"Item ID and date needed",IF(COUNTIF(Sample_Log!$A$5:$A$204,A160)=0,"SMP-ID not in log",IF(COUNTIFS($A$5:$A$1004,A160,$B$5:$B$1004,B160)&gt;1,"Duplicate item in sample","OK"))))</f>
        <v/>
      </c>
    </row>
    <row r="161" customFormat="false" ht="15" hidden="false" customHeight="false" outlineLevel="0" collapsed="false">
      <c r="A161" s="16"/>
      <c r="B161" s="16"/>
      <c r="C161" s="18"/>
      <c r="D161" s="16"/>
      <c r="E161" s="17" t="str">
        <f aca="false">IF(C161="","","Q"&amp;ROUNDUP(MONTH(C161)/3,0))</f>
        <v/>
      </c>
      <c r="F161" s="16"/>
      <c r="G161" s="16"/>
      <c r="H161" s="17" t="str">
        <f aca="false">IF(A161="","",IF(OR(B161="",C161=""),"Item ID and date needed",IF(COUNTIF(Sample_Log!$A$5:$A$204,A161)=0,"SMP-ID not in log",IF(COUNTIFS($A$5:$A$1004,A161,$B$5:$B$1004,B161)&gt;1,"Duplicate item in sample","OK"))))</f>
        <v/>
      </c>
    </row>
    <row r="162" customFormat="false" ht="15" hidden="false" customHeight="false" outlineLevel="0" collapsed="false">
      <c r="A162" s="16"/>
      <c r="B162" s="16"/>
      <c r="C162" s="18"/>
      <c r="D162" s="16"/>
      <c r="E162" s="17" t="str">
        <f aca="false">IF(C162="","","Q"&amp;ROUNDUP(MONTH(C162)/3,0))</f>
        <v/>
      </c>
      <c r="F162" s="16"/>
      <c r="G162" s="16"/>
      <c r="H162" s="17" t="str">
        <f aca="false">IF(A162="","",IF(OR(B162="",C162=""),"Item ID and date needed",IF(COUNTIF(Sample_Log!$A$5:$A$204,A162)=0,"SMP-ID not in log",IF(COUNTIFS($A$5:$A$1004,A162,$B$5:$B$1004,B162)&gt;1,"Duplicate item in sample","OK"))))</f>
        <v/>
      </c>
    </row>
    <row r="163" customFormat="false" ht="15" hidden="false" customHeight="false" outlineLevel="0" collapsed="false">
      <c r="A163" s="16"/>
      <c r="B163" s="16"/>
      <c r="C163" s="18"/>
      <c r="D163" s="16"/>
      <c r="E163" s="17" t="str">
        <f aca="false">IF(C163="","","Q"&amp;ROUNDUP(MONTH(C163)/3,0))</f>
        <v/>
      </c>
      <c r="F163" s="16"/>
      <c r="G163" s="16"/>
      <c r="H163" s="17" t="str">
        <f aca="false">IF(A163="","",IF(OR(B163="",C163=""),"Item ID and date needed",IF(COUNTIF(Sample_Log!$A$5:$A$204,A163)=0,"SMP-ID not in log",IF(COUNTIFS($A$5:$A$1004,A163,$B$5:$B$1004,B163)&gt;1,"Duplicate item in sample","OK"))))</f>
        <v/>
      </c>
    </row>
    <row r="164" customFormat="false" ht="15" hidden="false" customHeight="false" outlineLevel="0" collapsed="false">
      <c r="A164" s="16"/>
      <c r="B164" s="16"/>
      <c r="C164" s="18"/>
      <c r="D164" s="16"/>
      <c r="E164" s="17" t="str">
        <f aca="false">IF(C164="","","Q"&amp;ROUNDUP(MONTH(C164)/3,0))</f>
        <v/>
      </c>
      <c r="F164" s="16"/>
      <c r="G164" s="16"/>
      <c r="H164" s="17" t="str">
        <f aca="false">IF(A164="","",IF(OR(B164="",C164=""),"Item ID and date needed",IF(COUNTIF(Sample_Log!$A$5:$A$204,A164)=0,"SMP-ID not in log",IF(COUNTIFS($A$5:$A$1004,A164,$B$5:$B$1004,B164)&gt;1,"Duplicate item in sample","OK"))))</f>
        <v/>
      </c>
    </row>
    <row r="165" customFormat="false" ht="15" hidden="false" customHeight="false" outlineLevel="0" collapsed="false">
      <c r="A165" s="16"/>
      <c r="B165" s="16"/>
      <c r="C165" s="18"/>
      <c r="D165" s="16"/>
      <c r="E165" s="17" t="str">
        <f aca="false">IF(C165="","","Q"&amp;ROUNDUP(MONTH(C165)/3,0))</f>
        <v/>
      </c>
      <c r="F165" s="16"/>
      <c r="G165" s="16"/>
      <c r="H165" s="17" t="str">
        <f aca="false">IF(A165="","",IF(OR(B165="",C165=""),"Item ID and date needed",IF(COUNTIF(Sample_Log!$A$5:$A$204,A165)=0,"SMP-ID not in log",IF(COUNTIFS($A$5:$A$1004,A165,$B$5:$B$1004,B165)&gt;1,"Duplicate item in sample","OK"))))</f>
        <v/>
      </c>
    </row>
    <row r="166" customFormat="false" ht="15" hidden="false" customHeight="false" outlineLevel="0" collapsed="false">
      <c r="A166" s="16"/>
      <c r="B166" s="16"/>
      <c r="C166" s="18"/>
      <c r="D166" s="16"/>
      <c r="E166" s="17" t="str">
        <f aca="false">IF(C166="","","Q"&amp;ROUNDUP(MONTH(C166)/3,0))</f>
        <v/>
      </c>
      <c r="F166" s="16"/>
      <c r="G166" s="16"/>
      <c r="H166" s="17" t="str">
        <f aca="false">IF(A166="","",IF(OR(B166="",C166=""),"Item ID and date needed",IF(COUNTIF(Sample_Log!$A$5:$A$204,A166)=0,"SMP-ID not in log",IF(COUNTIFS($A$5:$A$1004,A166,$B$5:$B$1004,B166)&gt;1,"Duplicate item in sample","OK"))))</f>
        <v/>
      </c>
    </row>
    <row r="167" customFormat="false" ht="15" hidden="false" customHeight="false" outlineLevel="0" collapsed="false">
      <c r="A167" s="16"/>
      <c r="B167" s="16"/>
      <c r="C167" s="18"/>
      <c r="D167" s="16"/>
      <c r="E167" s="17" t="str">
        <f aca="false">IF(C167="","","Q"&amp;ROUNDUP(MONTH(C167)/3,0))</f>
        <v/>
      </c>
      <c r="F167" s="16"/>
      <c r="G167" s="16"/>
      <c r="H167" s="17" t="str">
        <f aca="false">IF(A167="","",IF(OR(B167="",C167=""),"Item ID and date needed",IF(COUNTIF(Sample_Log!$A$5:$A$204,A167)=0,"SMP-ID not in log",IF(COUNTIFS($A$5:$A$1004,A167,$B$5:$B$1004,B167)&gt;1,"Duplicate item in sample","OK"))))</f>
        <v/>
      </c>
    </row>
    <row r="168" customFormat="false" ht="15" hidden="false" customHeight="false" outlineLevel="0" collapsed="false">
      <c r="A168" s="16"/>
      <c r="B168" s="16"/>
      <c r="C168" s="18"/>
      <c r="D168" s="16"/>
      <c r="E168" s="17" t="str">
        <f aca="false">IF(C168="","","Q"&amp;ROUNDUP(MONTH(C168)/3,0))</f>
        <v/>
      </c>
      <c r="F168" s="16"/>
      <c r="G168" s="16"/>
      <c r="H168" s="17" t="str">
        <f aca="false">IF(A168="","",IF(OR(B168="",C168=""),"Item ID and date needed",IF(COUNTIF(Sample_Log!$A$5:$A$204,A168)=0,"SMP-ID not in log",IF(COUNTIFS($A$5:$A$1004,A168,$B$5:$B$1004,B168)&gt;1,"Duplicate item in sample","OK"))))</f>
        <v/>
      </c>
    </row>
    <row r="169" customFormat="false" ht="15" hidden="false" customHeight="false" outlineLevel="0" collapsed="false">
      <c r="A169" s="16"/>
      <c r="B169" s="16"/>
      <c r="C169" s="18"/>
      <c r="D169" s="16"/>
      <c r="E169" s="17" t="str">
        <f aca="false">IF(C169="","","Q"&amp;ROUNDUP(MONTH(C169)/3,0))</f>
        <v/>
      </c>
      <c r="F169" s="16"/>
      <c r="G169" s="16"/>
      <c r="H169" s="17" t="str">
        <f aca="false">IF(A169="","",IF(OR(B169="",C169=""),"Item ID and date needed",IF(COUNTIF(Sample_Log!$A$5:$A$204,A169)=0,"SMP-ID not in log",IF(COUNTIFS($A$5:$A$1004,A169,$B$5:$B$1004,B169)&gt;1,"Duplicate item in sample","OK"))))</f>
        <v/>
      </c>
    </row>
    <row r="170" customFormat="false" ht="15" hidden="false" customHeight="false" outlineLevel="0" collapsed="false">
      <c r="A170" s="16"/>
      <c r="B170" s="16"/>
      <c r="C170" s="18"/>
      <c r="D170" s="16"/>
      <c r="E170" s="17" t="str">
        <f aca="false">IF(C170="","","Q"&amp;ROUNDUP(MONTH(C170)/3,0))</f>
        <v/>
      </c>
      <c r="F170" s="16"/>
      <c r="G170" s="16"/>
      <c r="H170" s="17" t="str">
        <f aca="false">IF(A170="","",IF(OR(B170="",C170=""),"Item ID and date needed",IF(COUNTIF(Sample_Log!$A$5:$A$204,A170)=0,"SMP-ID not in log",IF(COUNTIFS($A$5:$A$1004,A170,$B$5:$B$1004,B170)&gt;1,"Duplicate item in sample","OK"))))</f>
        <v/>
      </c>
    </row>
    <row r="171" customFormat="false" ht="15" hidden="false" customHeight="false" outlineLevel="0" collapsed="false">
      <c r="A171" s="16"/>
      <c r="B171" s="16"/>
      <c r="C171" s="18"/>
      <c r="D171" s="16"/>
      <c r="E171" s="17" t="str">
        <f aca="false">IF(C171="","","Q"&amp;ROUNDUP(MONTH(C171)/3,0))</f>
        <v/>
      </c>
      <c r="F171" s="16"/>
      <c r="G171" s="16"/>
      <c r="H171" s="17" t="str">
        <f aca="false">IF(A171="","",IF(OR(B171="",C171=""),"Item ID and date needed",IF(COUNTIF(Sample_Log!$A$5:$A$204,A171)=0,"SMP-ID not in log",IF(COUNTIFS($A$5:$A$1004,A171,$B$5:$B$1004,B171)&gt;1,"Duplicate item in sample","OK"))))</f>
        <v/>
      </c>
    </row>
    <row r="172" customFormat="false" ht="15" hidden="false" customHeight="false" outlineLevel="0" collapsed="false">
      <c r="A172" s="16"/>
      <c r="B172" s="16"/>
      <c r="C172" s="18"/>
      <c r="D172" s="16"/>
      <c r="E172" s="17" t="str">
        <f aca="false">IF(C172="","","Q"&amp;ROUNDUP(MONTH(C172)/3,0))</f>
        <v/>
      </c>
      <c r="F172" s="16"/>
      <c r="G172" s="16"/>
      <c r="H172" s="17" t="str">
        <f aca="false">IF(A172="","",IF(OR(B172="",C172=""),"Item ID and date needed",IF(COUNTIF(Sample_Log!$A$5:$A$204,A172)=0,"SMP-ID not in log",IF(COUNTIFS($A$5:$A$1004,A172,$B$5:$B$1004,B172)&gt;1,"Duplicate item in sample","OK"))))</f>
        <v/>
      </c>
    </row>
    <row r="173" customFormat="false" ht="15" hidden="false" customHeight="false" outlineLevel="0" collapsed="false">
      <c r="A173" s="16"/>
      <c r="B173" s="16"/>
      <c r="C173" s="18"/>
      <c r="D173" s="16"/>
      <c r="E173" s="17" t="str">
        <f aca="false">IF(C173="","","Q"&amp;ROUNDUP(MONTH(C173)/3,0))</f>
        <v/>
      </c>
      <c r="F173" s="16"/>
      <c r="G173" s="16"/>
      <c r="H173" s="17" t="str">
        <f aca="false">IF(A173="","",IF(OR(B173="",C173=""),"Item ID and date needed",IF(COUNTIF(Sample_Log!$A$5:$A$204,A173)=0,"SMP-ID not in log",IF(COUNTIFS($A$5:$A$1004,A173,$B$5:$B$1004,B173)&gt;1,"Duplicate item in sample","OK"))))</f>
        <v/>
      </c>
    </row>
    <row r="174" customFormat="false" ht="15" hidden="false" customHeight="false" outlineLevel="0" collapsed="false">
      <c r="A174" s="16"/>
      <c r="B174" s="16"/>
      <c r="C174" s="18"/>
      <c r="D174" s="16"/>
      <c r="E174" s="17" t="str">
        <f aca="false">IF(C174="","","Q"&amp;ROUNDUP(MONTH(C174)/3,0))</f>
        <v/>
      </c>
      <c r="F174" s="16"/>
      <c r="G174" s="16"/>
      <c r="H174" s="17" t="str">
        <f aca="false">IF(A174="","",IF(OR(B174="",C174=""),"Item ID and date needed",IF(COUNTIF(Sample_Log!$A$5:$A$204,A174)=0,"SMP-ID not in log",IF(COUNTIFS($A$5:$A$1004,A174,$B$5:$B$1004,B174)&gt;1,"Duplicate item in sample","OK"))))</f>
        <v/>
      </c>
    </row>
    <row r="175" customFormat="false" ht="15" hidden="false" customHeight="false" outlineLevel="0" collapsed="false">
      <c r="A175" s="16"/>
      <c r="B175" s="16"/>
      <c r="C175" s="18"/>
      <c r="D175" s="16"/>
      <c r="E175" s="17" t="str">
        <f aca="false">IF(C175="","","Q"&amp;ROUNDUP(MONTH(C175)/3,0))</f>
        <v/>
      </c>
      <c r="F175" s="16"/>
      <c r="G175" s="16"/>
      <c r="H175" s="17" t="str">
        <f aca="false">IF(A175="","",IF(OR(B175="",C175=""),"Item ID and date needed",IF(COUNTIF(Sample_Log!$A$5:$A$204,A175)=0,"SMP-ID not in log",IF(COUNTIFS($A$5:$A$1004,A175,$B$5:$B$1004,B175)&gt;1,"Duplicate item in sample","OK"))))</f>
        <v/>
      </c>
    </row>
    <row r="176" customFormat="false" ht="15" hidden="false" customHeight="false" outlineLevel="0" collapsed="false">
      <c r="A176" s="16"/>
      <c r="B176" s="16"/>
      <c r="C176" s="18"/>
      <c r="D176" s="16"/>
      <c r="E176" s="17" t="str">
        <f aca="false">IF(C176="","","Q"&amp;ROUNDUP(MONTH(C176)/3,0))</f>
        <v/>
      </c>
      <c r="F176" s="16"/>
      <c r="G176" s="16"/>
      <c r="H176" s="17" t="str">
        <f aca="false">IF(A176="","",IF(OR(B176="",C176=""),"Item ID and date needed",IF(COUNTIF(Sample_Log!$A$5:$A$204,A176)=0,"SMP-ID not in log",IF(COUNTIFS($A$5:$A$1004,A176,$B$5:$B$1004,B176)&gt;1,"Duplicate item in sample","OK"))))</f>
        <v/>
      </c>
    </row>
    <row r="177" customFormat="false" ht="15" hidden="false" customHeight="false" outlineLevel="0" collapsed="false">
      <c r="A177" s="16"/>
      <c r="B177" s="16"/>
      <c r="C177" s="18"/>
      <c r="D177" s="16"/>
      <c r="E177" s="17" t="str">
        <f aca="false">IF(C177="","","Q"&amp;ROUNDUP(MONTH(C177)/3,0))</f>
        <v/>
      </c>
      <c r="F177" s="16"/>
      <c r="G177" s="16"/>
      <c r="H177" s="17" t="str">
        <f aca="false">IF(A177="","",IF(OR(B177="",C177=""),"Item ID and date needed",IF(COUNTIF(Sample_Log!$A$5:$A$204,A177)=0,"SMP-ID not in log",IF(COUNTIFS($A$5:$A$1004,A177,$B$5:$B$1004,B177)&gt;1,"Duplicate item in sample","OK"))))</f>
        <v/>
      </c>
    </row>
    <row r="178" customFormat="false" ht="15" hidden="false" customHeight="false" outlineLevel="0" collapsed="false">
      <c r="A178" s="16"/>
      <c r="B178" s="16"/>
      <c r="C178" s="18"/>
      <c r="D178" s="16"/>
      <c r="E178" s="17" t="str">
        <f aca="false">IF(C178="","","Q"&amp;ROUNDUP(MONTH(C178)/3,0))</f>
        <v/>
      </c>
      <c r="F178" s="16"/>
      <c r="G178" s="16"/>
      <c r="H178" s="17" t="str">
        <f aca="false">IF(A178="","",IF(OR(B178="",C178=""),"Item ID and date needed",IF(COUNTIF(Sample_Log!$A$5:$A$204,A178)=0,"SMP-ID not in log",IF(COUNTIFS($A$5:$A$1004,A178,$B$5:$B$1004,B178)&gt;1,"Duplicate item in sample","OK"))))</f>
        <v/>
      </c>
    </row>
    <row r="179" customFormat="false" ht="15" hidden="false" customHeight="false" outlineLevel="0" collapsed="false">
      <c r="A179" s="16"/>
      <c r="B179" s="16"/>
      <c r="C179" s="18"/>
      <c r="D179" s="16"/>
      <c r="E179" s="17" t="str">
        <f aca="false">IF(C179="","","Q"&amp;ROUNDUP(MONTH(C179)/3,0))</f>
        <v/>
      </c>
      <c r="F179" s="16"/>
      <c r="G179" s="16"/>
      <c r="H179" s="17" t="str">
        <f aca="false">IF(A179="","",IF(OR(B179="",C179=""),"Item ID and date needed",IF(COUNTIF(Sample_Log!$A$5:$A$204,A179)=0,"SMP-ID not in log",IF(COUNTIFS($A$5:$A$1004,A179,$B$5:$B$1004,B179)&gt;1,"Duplicate item in sample","OK"))))</f>
        <v/>
      </c>
    </row>
    <row r="180" customFormat="false" ht="15" hidden="false" customHeight="false" outlineLevel="0" collapsed="false">
      <c r="A180" s="16"/>
      <c r="B180" s="16"/>
      <c r="C180" s="18"/>
      <c r="D180" s="16"/>
      <c r="E180" s="17" t="str">
        <f aca="false">IF(C180="","","Q"&amp;ROUNDUP(MONTH(C180)/3,0))</f>
        <v/>
      </c>
      <c r="F180" s="16"/>
      <c r="G180" s="16"/>
      <c r="H180" s="17" t="str">
        <f aca="false">IF(A180="","",IF(OR(B180="",C180=""),"Item ID and date needed",IF(COUNTIF(Sample_Log!$A$5:$A$204,A180)=0,"SMP-ID not in log",IF(COUNTIFS($A$5:$A$1004,A180,$B$5:$B$1004,B180)&gt;1,"Duplicate item in sample","OK"))))</f>
        <v/>
      </c>
    </row>
    <row r="181" customFormat="false" ht="15" hidden="false" customHeight="false" outlineLevel="0" collapsed="false">
      <c r="A181" s="16"/>
      <c r="B181" s="16"/>
      <c r="C181" s="18"/>
      <c r="D181" s="16"/>
      <c r="E181" s="17" t="str">
        <f aca="false">IF(C181="","","Q"&amp;ROUNDUP(MONTH(C181)/3,0))</f>
        <v/>
      </c>
      <c r="F181" s="16"/>
      <c r="G181" s="16"/>
      <c r="H181" s="17" t="str">
        <f aca="false">IF(A181="","",IF(OR(B181="",C181=""),"Item ID and date needed",IF(COUNTIF(Sample_Log!$A$5:$A$204,A181)=0,"SMP-ID not in log",IF(COUNTIFS($A$5:$A$1004,A181,$B$5:$B$1004,B181)&gt;1,"Duplicate item in sample","OK"))))</f>
        <v/>
      </c>
    </row>
    <row r="182" customFormat="false" ht="15" hidden="false" customHeight="false" outlineLevel="0" collapsed="false">
      <c r="A182" s="16"/>
      <c r="B182" s="16"/>
      <c r="C182" s="18"/>
      <c r="D182" s="16"/>
      <c r="E182" s="17" t="str">
        <f aca="false">IF(C182="","","Q"&amp;ROUNDUP(MONTH(C182)/3,0))</f>
        <v/>
      </c>
      <c r="F182" s="16"/>
      <c r="G182" s="16"/>
      <c r="H182" s="17" t="str">
        <f aca="false">IF(A182="","",IF(OR(B182="",C182=""),"Item ID and date needed",IF(COUNTIF(Sample_Log!$A$5:$A$204,A182)=0,"SMP-ID not in log",IF(COUNTIFS($A$5:$A$1004,A182,$B$5:$B$1004,B182)&gt;1,"Duplicate item in sample","OK"))))</f>
        <v/>
      </c>
    </row>
    <row r="183" customFormat="false" ht="15" hidden="false" customHeight="false" outlineLevel="0" collapsed="false">
      <c r="A183" s="16"/>
      <c r="B183" s="16"/>
      <c r="C183" s="18"/>
      <c r="D183" s="16"/>
      <c r="E183" s="17" t="str">
        <f aca="false">IF(C183="","","Q"&amp;ROUNDUP(MONTH(C183)/3,0))</f>
        <v/>
      </c>
      <c r="F183" s="16"/>
      <c r="G183" s="16"/>
      <c r="H183" s="17" t="str">
        <f aca="false">IF(A183="","",IF(OR(B183="",C183=""),"Item ID and date needed",IF(COUNTIF(Sample_Log!$A$5:$A$204,A183)=0,"SMP-ID not in log",IF(COUNTIFS($A$5:$A$1004,A183,$B$5:$B$1004,B183)&gt;1,"Duplicate item in sample","OK"))))</f>
        <v/>
      </c>
    </row>
    <row r="184" customFormat="false" ht="15" hidden="false" customHeight="false" outlineLevel="0" collapsed="false">
      <c r="A184" s="16"/>
      <c r="B184" s="16"/>
      <c r="C184" s="18"/>
      <c r="D184" s="16"/>
      <c r="E184" s="17" t="str">
        <f aca="false">IF(C184="","","Q"&amp;ROUNDUP(MONTH(C184)/3,0))</f>
        <v/>
      </c>
      <c r="F184" s="16"/>
      <c r="G184" s="16"/>
      <c r="H184" s="17" t="str">
        <f aca="false">IF(A184="","",IF(OR(B184="",C184=""),"Item ID and date needed",IF(COUNTIF(Sample_Log!$A$5:$A$204,A184)=0,"SMP-ID not in log",IF(COUNTIFS($A$5:$A$1004,A184,$B$5:$B$1004,B184)&gt;1,"Duplicate item in sample","OK"))))</f>
        <v/>
      </c>
    </row>
    <row r="185" customFormat="false" ht="15" hidden="false" customHeight="false" outlineLevel="0" collapsed="false">
      <c r="A185" s="16"/>
      <c r="B185" s="16"/>
      <c r="C185" s="18"/>
      <c r="D185" s="16"/>
      <c r="E185" s="17" t="str">
        <f aca="false">IF(C185="","","Q"&amp;ROUNDUP(MONTH(C185)/3,0))</f>
        <v/>
      </c>
      <c r="F185" s="16"/>
      <c r="G185" s="16"/>
      <c r="H185" s="17" t="str">
        <f aca="false">IF(A185="","",IF(OR(B185="",C185=""),"Item ID and date needed",IF(COUNTIF(Sample_Log!$A$5:$A$204,A185)=0,"SMP-ID not in log",IF(COUNTIFS($A$5:$A$1004,A185,$B$5:$B$1004,B185)&gt;1,"Duplicate item in sample","OK"))))</f>
        <v/>
      </c>
    </row>
    <row r="186" customFormat="false" ht="15" hidden="false" customHeight="false" outlineLevel="0" collapsed="false">
      <c r="A186" s="16"/>
      <c r="B186" s="16"/>
      <c r="C186" s="18"/>
      <c r="D186" s="16"/>
      <c r="E186" s="17" t="str">
        <f aca="false">IF(C186="","","Q"&amp;ROUNDUP(MONTH(C186)/3,0))</f>
        <v/>
      </c>
      <c r="F186" s="16"/>
      <c r="G186" s="16"/>
      <c r="H186" s="17" t="str">
        <f aca="false">IF(A186="","",IF(OR(B186="",C186=""),"Item ID and date needed",IF(COUNTIF(Sample_Log!$A$5:$A$204,A186)=0,"SMP-ID not in log",IF(COUNTIFS($A$5:$A$1004,A186,$B$5:$B$1004,B186)&gt;1,"Duplicate item in sample","OK"))))</f>
        <v/>
      </c>
    </row>
    <row r="187" customFormat="false" ht="15" hidden="false" customHeight="false" outlineLevel="0" collapsed="false">
      <c r="A187" s="16"/>
      <c r="B187" s="16"/>
      <c r="C187" s="18"/>
      <c r="D187" s="16"/>
      <c r="E187" s="17" t="str">
        <f aca="false">IF(C187="","","Q"&amp;ROUNDUP(MONTH(C187)/3,0))</f>
        <v/>
      </c>
      <c r="F187" s="16"/>
      <c r="G187" s="16"/>
      <c r="H187" s="17" t="str">
        <f aca="false">IF(A187="","",IF(OR(B187="",C187=""),"Item ID and date needed",IF(COUNTIF(Sample_Log!$A$5:$A$204,A187)=0,"SMP-ID not in log",IF(COUNTIFS($A$5:$A$1004,A187,$B$5:$B$1004,B187)&gt;1,"Duplicate item in sample","OK"))))</f>
        <v/>
      </c>
    </row>
    <row r="188" customFormat="false" ht="15" hidden="false" customHeight="false" outlineLevel="0" collapsed="false">
      <c r="A188" s="16"/>
      <c r="B188" s="16"/>
      <c r="C188" s="18"/>
      <c r="D188" s="16"/>
      <c r="E188" s="17" t="str">
        <f aca="false">IF(C188="","","Q"&amp;ROUNDUP(MONTH(C188)/3,0))</f>
        <v/>
      </c>
      <c r="F188" s="16"/>
      <c r="G188" s="16"/>
      <c r="H188" s="17" t="str">
        <f aca="false">IF(A188="","",IF(OR(B188="",C188=""),"Item ID and date needed",IF(COUNTIF(Sample_Log!$A$5:$A$204,A188)=0,"SMP-ID not in log",IF(COUNTIFS($A$5:$A$1004,A188,$B$5:$B$1004,B188)&gt;1,"Duplicate item in sample","OK"))))</f>
        <v/>
      </c>
    </row>
    <row r="189" customFormat="false" ht="15" hidden="false" customHeight="false" outlineLevel="0" collapsed="false">
      <c r="A189" s="16"/>
      <c r="B189" s="16"/>
      <c r="C189" s="18"/>
      <c r="D189" s="16"/>
      <c r="E189" s="17" t="str">
        <f aca="false">IF(C189="","","Q"&amp;ROUNDUP(MONTH(C189)/3,0))</f>
        <v/>
      </c>
      <c r="F189" s="16"/>
      <c r="G189" s="16"/>
      <c r="H189" s="17" t="str">
        <f aca="false">IF(A189="","",IF(OR(B189="",C189=""),"Item ID and date needed",IF(COUNTIF(Sample_Log!$A$5:$A$204,A189)=0,"SMP-ID not in log",IF(COUNTIFS($A$5:$A$1004,A189,$B$5:$B$1004,B189)&gt;1,"Duplicate item in sample","OK"))))</f>
        <v/>
      </c>
    </row>
    <row r="190" customFormat="false" ht="15" hidden="false" customHeight="false" outlineLevel="0" collapsed="false">
      <c r="A190" s="16"/>
      <c r="B190" s="16"/>
      <c r="C190" s="18"/>
      <c r="D190" s="16"/>
      <c r="E190" s="17" t="str">
        <f aca="false">IF(C190="","","Q"&amp;ROUNDUP(MONTH(C190)/3,0))</f>
        <v/>
      </c>
      <c r="F190" s="16"/>
      <c r="G190" s="16"/>
      <c r="H190" s="17" t="str">
        <f aca="false">IF(A190="","",IF(OR(B190="",C190=""),"Item ID and date needed",IF(COUNTIF(Sample_Log!$A$5:$A$204,A190)=0,"SMP-ID not in log",IF(COUNTIFS($A$5:$A$1004,A190,$B$5:$B$1004,B190)&gt;1,"Duplicate item in sample","OK"))))</f>
        <v/>
      </c>
    </row>
    <row r="191" customFormat="false" ht="15" hidden="false" customHeight="false" outlineLevel="0" collapsed="false">
      <c r="A191" s="16"/>
      <c r="B191" s="16"/>
      <c r="C191" s="18"/>
      <c r="D191" s="16"/>
      <c r="E191" s="17" t="str">
        <f aca="false">IF(C191="","","Q"&amp;ROUNDUP(MONTH(C191)/3,0))</f>
        <v/>
      </c>
      <c r="F191" s="16"/>
      <c r="G191" s="16"/>
      <c r="H191" s="17" t="str">
        <f aca="false">IF(A191="","",IF(OR(B191="",C191=""),"Item ID and date needed",IF(COUNTIF(Sample_Log!$A$5:$A$204,A191)=0,"SMP-ID not in log",IF(COUNTIFS($A$5:$A$1004,A191,$B$5:$B$1004,B191)&gt;1,"Duplicate item in sample","OK"))))</f>
        <v/>
      </c>
    </row>
    <row r="192" customFormat="false" ht="15" hidden="false" customHeight="false" outlineLevel="0" collapsed="false">
      <c r="A192" s="16"/>
      <c r="B192" s="16"/>
      <c r="C192" s="18"/>
      <c r="D192" s="16"/>
      <c r="E192" s="17" t="str">
        <f aca="false">IF(C192="","","Q"&amp;ROUNDUP(MONTH(C192)/3,0))</f>
        <v/>
      </c>
      <c r="F192" s="16"/>
      <c r="G192" s="16"/>
      <c r="H192" s="17" t="str">
        <f aca="false">IF(A192="","",IF(OR(B192="",C192=""),"Item ID and date needed",IF(COUNTIF(Sample_Log!$A$5:$A$204,A192)=0,"SMP-ID not in log",IF(COUNTIFS($A$5:$A$1004,A192,$B$5:$B$1004,B192)&gt;1,"Duplicate item in sample","OK"))))</f>
        <v/>
      </c>
    </row>
    <row r="193" customFormat="false" ht="15" hidden="false" customHeight="false" outlineLevel="0" collapsed="false">
      <c r="A193" s="16"/>
      <c r="B193" s="16"/>
      <c r="C193" s="18"/>
      <c r="D193" s="16"/>
      <c r="E193" s="17" t="str">
        <f aca="false">IF(C193="","","Q"&amp;ROUNDUP(MONTH(C193)/3,0))</f>
        <v/>
      </c>
      <c r="F193" s="16"/>
      <c r="G193" s="16"/>
      <c r="H193" s="17" t="str">
        <f aca="false">IF(A193="","",IF(OR(B193="",C193=""),"Item ID and date needed",IF(COUNTIF(Sample_Log!$A$5:$A$204,A193)=0,"SMP-ID not in log",IF(COUNTIFS($A$5:$A$1004,A193,$B$5:$B$1004,B193)&gt;1,"Duplicate item in sample","OK"))))</f>
        <v/>
      </c>
    </row>
    <row r="194" customFormat="false" ht="15" hidden="false" customHeight="false" outlineLevel="0" collapsed="false">
      <c r="A194" s="16"/>
      <c r="B194" s="16"/>
      <c r="C194" s="18"/>
      <c r="D194" s="16"/>
      <c r="E194" s="17" t="str">
        <f aca="false">IF(C194="","","Q"&amp;ROUNDUP(MONTH(C194)/3,0))</f>
        <v/>
      </c>
      <c r="F194" s="16"/>
      <c r="G194" s="16"/>
      <c r="H194" s="17" t="str">
        <f aca="false">IF(A194="","",IF(OR(B194="",C194=""),"Item ID and date needed",IF(COUNTIF(Sample_Log!$A$5:$A$204,A194)=0,"SMP-ID not in log",IF(COUNTIFS($A$5:$A$1004,A194,$B$5:$B$1004,B194)&gt;1,"Duplicate item in sample","OK"))))</f>
        <v/>
      </c>
    </row>
    <row r="195" customFormat="false" ht="15" hidden="false" customHeight="false" outlineLevel="0" collapsed="false">
      <c r="A195" s="16"/>
      <c r="B195" s="16"/>
      <c r="C195" s="18"/>
      <c r="D195" s="16"/>
      <c r="E195" s="17" t="str">
        <f aca="false">IF(C195="","","Q"&amp;ROUNDUP(MONTH(C195)/3,0))</f>
        <v/>
      </c>
      <c r="F195" s="16"/>
      <c r="G195" s="16"/>
      <c r="H195" s="17" t="str">
        <f aca="false">IF(A195="","",IF(OR(B195="",C195=""),"Item ID and date needed",IF(COUNTIF(Sample_Log!$A$5:$A$204,A195)=0,"SMP-ID not in log",IF(COUNTIFS($A$5:$A$1004,A195,$B$5:$B$1004,B195)&gt;1,"Duplicate item in sample","OK"))))</f>
        <v/>
      </c>
    </row>
    <row r="196" customFormat="false" ht="15" hidden="false" customHeight="false" outlineLevel="0" collapsed="false">
      <c r="A196" s="16"/>
      <c r="B196" s="16"/>
      <c r="C196" s="18"/>
      <c r="D196" s="16"/>
      <c r="E196" s="17" t="str">
        <f aca="false">IF(C196="","","Q"&amp;ROUNDUP(MONTH(C196)/3,0))</f>
        <v/>
      </c>
      <c r="F196" s="16"/>
      <c r="G196" s="16"/>
      <c r="H196" s="17" t="str">
        <f aca="false">IF(A196="","",IF(OR(B196="",C196=""),"Item ID and date needed",IF(COUNTIF(Sample_Log!$A$5:$A$204,A196)=0,"SMP-ID not in log",IF(COUNTIFS($A$5:$A$1004,A196,$B$5:$B$1004,B196)&gt;1,"Duplicate item in sample","OK"))))</f>
        <v/>
      </c>
    </row>
    <row r="197" customFormat="false" ht="15" hidden="false" customHeight="false" outlineLevel="0" collapsed="false">
      <c r="A197" s="16"/>
      <c r="B197" s="16"/>
      <c r="C197" s="18"/>
      <c r="D197" s="16"/>
      <c r="E197" s="17" t="str">
        <f aca="false">IF(C197="","","Q"&amp;ROUNDUP(MONTH(C197)/3,0))</f>
        <v/>
      </c>
      <c r="F197" s="16"/>
      <c r="G197" s="16"/>
      <c r="H197" s="17" t="str">
        <f aca="false">IF(A197="","",IF(OR(B197="",C197=""),"Item ID and date needed",IF(COUNTIF(Sample_Log!$A$5:$A$204,A197)=0,"SMP-ID not in log",IF(COUNTIFS($A$5:$A$1004,A197,$B$5:$B$1004,B197)&gt;1,"Duplicate item in sample","OK"))))</f>
        <v/>
      </c>
    </row>
    <row r="198" customFormat="false" ht="15" hidden="false" customHeight="false" outlineLevel="0" collapsed="false">
      <c r="A198" s="16"/>
      <c r="B198" s="16"/>
      <c r="C198" s="18"/>
      <c r="D198" s="16"/>
      <c r="E198" s="17" t="str">
        <f aca="false">IF(C198="","","Q"&amp;ROUNDUP(MONTH(C198)/3,0))</f>
        <v/>
      </c>
      <c r="F198" s="16"/>
      <c r="G198" s="16"/>
      <c r="H198" s="17" t="str">
        <f aca="false">IF(A198="","",IF(OR(B198="",C198=""),"Item ID and date needed",IF(COUNTIF(Sample_Log!$A$5:$A$204,A198)=0,"SMP-ID not in log",IF(COUNTIFS($A$5:$A$1004,A198,$B$5:$B$1004,B198)&gt;1,"Duplicate item in sample","OK"))))</f>
        <v/>
      </c>
    </row>
    <row r="199" customFormat="false" ht="15" hidden="false" customHeight="false" outlineLevel="0" collapsed="false">
      <c r="A199" s="16"/>
      <c r="B199" s="16"/>
      <c r="C199" s="18"/>
      <c r="D199" s="16"/>
      <c r="E199" s="17" t="str">
        <f aca="false">IF(C199="","","Q"&amp;ROUNDUP(MONTH(C199)/3,0))</f>
        <v/>
      </c>
      <c r="F199" s="16"/>
      <c r="G199" s="16"/>
      <c r="H199" s="17" t="str">
        <f aca="false">IF(A199="","",IF(OR(B199="",C199=""),"Item ID and date needed",IF(COUNTIF(Sample_Log!$A$5:$A$204,A199)=0,"SMP-ID not in log",IF(COUNTIFS($A$5:$A$1004,A199,$B$5:$B$1004,B199)&gt;1,"Duplicate item in sample","OK"))))</f>
        <v/>
      </c>
    </row>
    <row r="200" customFormat="false" ht="15" hidden="false" customHeight="false" outlineLevel="0" collapsed="false">
      <c r="A200" s="16"/>
      <c r="B200" s="16"/>
      <c r="C200" s="18"/>
      <c r="D200" s="16"/>
      <c r="E200" s="17" t="str">
        <f aca="false">IF(C200="","","Q"&amp;ROUNDUP(MONTH(C200)/3,0))</f>
        <v/>
      </c>
      <c r="F200" s="16"/>
      <c r="G200" s="16"/>
      <c r="H200" s="17" t="str">
        <f aca="false">IF(A200="","",IF(OR(B200="",C200=""),"Item ID and date needed",IF(COUNTIF(Sample_Log!$A$5:$A$204,A200)=0,"SMP-ID not in log",IF(COUNTIFS($A$5:$A$1004,A200,$B$5:$B$1004,B200)&gt;1,"Duplicate item in sample","OK"))))</f>
        <v/>
      </c>
    </row>
    <row r="201" customFormat="false" ht="15" hidden="false" customHeight="false" outlineLevel="0" collapsed="false">
      <c r="A201" s="16"/>
      <c r="B201" s="16"/>
      <c r="C201" s="18"/>
      <c r="D201" s="16"/>
      <c r="E201" s="17" t="str">
        <f aca="false">IF(C201="","","Q"&amp;ROUNDUP(MONTH(C201)/3,0))</f>
        <v/>
      </c>
      <c r="F201" s="16"/>
      <c r="G201" s="16"/>
      <c r="H201" s="17" t="str">
        <f aca="false">IF(A201="","",IF(OR(B201="",C201=""),"Item ID and date needed",IF(COUNTIF(Sample_Log!$A$5:$A$204,A201)=0,"SMP-ID not in log",IF(COUNTIFS($A$5:$A$1004,A201,$B$5:$B$1004,B201)&gt;1,"Duplicate item in sample","OK"))))</f>
        <v/>
      </c>
    </row>
    <row r="202" customFormat="false" ht="15" hidden="false" customHeight="false" outlineLevel="0" collapsed="false">
      <c r="A202" s="16"/>
      <c r="B202" s="16"/>
      <c r="C202" s="18"/>
      <c r="D202" s="16"/>
      <c r="E202" s="17" t="str">
        <f aca="false">IF(C202="","","Q"&amp;ROUNDUP(MONTH(C202)/3,0))</f>
        <v/>
      </c>
      <c r="F202" s="16"/>
      <c r="G202" s="16"/>
      <c r="H202" s="17" t="str">
        <f aca="false">IF(A202="","",IF(OR(B202="",C202=""),"Item ID and date needed",IF(COUNTIF(Sample_Log!$A$5:$A$204,A202)=0,"SMP-ID not in log",IF(COUNTIFS($A$5:$A$1004,A202,$B$5:$B$1004,B202)&gt;1,"Duplicate item in sample","OK"))))</f>
        <v/>
      </c>
    </row>
    <row r="203" customFormat="false" ht="15" hidden="false" customHeight="false" outlineLevel="0" collapsed="false">
      <c r="A203" s="16"/>
      <c r="B203" s="16"/>
      <c r="C203" s="18"/>
      <c r="D203" s="16"/>
      <c r="E203" s="17" t="str">
        <f aca="false">IF(C203="","","Q"&amp;ROUNDUP(MONTH(C203)/3,0))</f>
        <v/>
      </c>
      <c r="F203" s="16"/>
      <c r="G203" s="16"/>
      <c r="H203" s="17" t="str">
        <f aca="false">IF(A203="","",IF(OR(B203="",C203=""),"Item ID and date needed",IF(COUNTIF(Sample_Log!$A$5:$A$204,A203)=0,"SMP-ID not in log",IF(COUNTIFS($A$5:$A$1004,A203,$B$5:$B$1004,B203)&gt;1,"Duplicate item in sample","OK"))))</f>
        <v/>
      </c>
    </row>
    <row r="204" customFormat="false" ht="15" hidden="false" customHeight="false" outlineLevel="0" collapsed="false">
      <c r="A204" s="16"/>
      <c r="B204" s="16"/>
      <c r="C204" s="18"/>
      <c r="D204" s="16"/>
      <c r="E204" s="17" t="str">
        <f aca="false">IF(C204="","","Q"&amp;ROUNDUP(MONTH(C204)/3,0))</f>
        <v/>
      </c>
      <c r="F204" s="16"/>
      <c r="G204" s="16"/>
      <c r="H204" s="17" t="str">
        <f aca="false">IF(A204="","",IF(OR(B204="",C204=""),"Item ID and date needed",IF(COUNTIF(Sample_Log!$A$5:$A$204,A204)=0,"SMP-ID not in log",IF(COUNTIFS($A$5:$A$1004,A204,$B$5:$B$1004,B204)&gt;1,"Duplicate item in sample","OK"))))</f>
        <v/>
      </c>
    </row>
    <row r="205" customFormat="false" ht="15" hidden="false" customHeight="false" outlineLevel="0" collapsed="false">
      <c r="A205" s="16"/>
      <c r="B205" s="16"/>
      <c r="C205" s="18"/>
      <c r="D205" s="16"/>
      <c r="E205" s="17" t="str">
        <f aca="false">IF(C205="","","Q"&amp;ROUNDUP(MONTH(C205)/3,0))</f>
        <v/>
      </c>
      <c r="F205" s="16"/>
      <c r="G205" s="16"/>
      <c r="H205" s="17" t="str">
        <f aca="false">IF(A205="","",IF(OR(B205="",C205=""),"Item ID and date needed",IF(COUNTIF(Sample_Log!$A$5:$A$204,A205)=0,"SMP-ID not in log",IF(COUNTIFS($A$5:$A$1004,A205,$B$5:$B$1004,B205)&gt;1,"Duplicate item in sample","OK"))))</f>
        <v/>
      </c>
    </row>
    <row r="206" customFormat="false" ht="15" hidden="false" customHeight="false" outlineLevel="0" collapsed="false">
      <c r="A206" s="16"/>
      <c r="B206" s="16"/>
      <c r="C206" s="18"/>
      <c r="D206" s="16"/>
      <c r="E206" s="17" t="str">
        <f aca="false">IF(C206="","","Q"&amp;ROUNDUP(MONTH(C206)/3,0))</f>
        <v/>
      </c>
      <c r="F206" s="16"/>
      <c r="G206" s="16"/>
      <c r="H206" s="17" t="str">
        <f aca="false">IF(A206="","",IF(OR(B206="",C206=""),"Item ID and date needed",IF(COUNTIF(Sample_Log!$A$5:$A$204,A206)=0,"SMP-ID not in log",IF(COUNTIFS($A$5:$A$1004,A206,$B$5:$B$1004,B206)&gt;1,"Duplicate item in sample","OK"))))</f>
        <v/>
      </c>
    </row>
    <row r="207" customFormat="false" ht="15" hidden="false" customHeight="false" outlineLevel="0" collapsed="false">
      <c r="A207" s="16"/>
      <c r="B207" s="16"/>
      <c r="C207" s="18"/>
      <c r="D207" s="16"/>
      <c r="E207" s="17" t="str">
        <f aca="false">IF(C207="","","Q"&amp;ROUNDUP(MONTH(C207)/3,0))</f>
        <v/>
      </c>
      <c r="F207" s="16"/>
      <c r="G207" s="16"/>
      <c r="H207" s="17" t="str">
        <f aca="false">IF(A207="","",IF(OR(B207="",C207=""),"Item ID and date needed",IF(COUNTIF(Sample_Log!$A$5:$A$204,A207)=0,"SMP-ID not in log",IF(COUNTIFS($A$5:$A$1004,A207,$B$5:$B$1004,B207)&gt;1,"Duplicate item in sample","OK"))))</f>
        <v/>
      </c>
    </row>
    <row r="208" customFormat="false" ht="15" hidden="false" customHeight="false" outlineLevel="0" collapsed="false">
      <c r="A208" s="16"/>
      <c r="B208" s="16"/>
      <c r="C208" s="18"/>
      <c r="D208" s="16"/>
      <c r="E208" s="17" t="str">
        <f aca="false">IF(C208="","","Q"&amp;ROUNDUP(MONTH(C208)/3,0))</f>
        <v/>
      </c>
      <c r="F208" s="16"/>
      <c r="G208" s="16"/>
      <c r="H208" s="17" t="str">
        <f aca="false">IF(A208="","",IF(OR(B208="",C208=""),"Item ID and date needed",IF(COUNTIF(Sample_Log!$A$5:$A$204,A208)=0,"SMP-ID not in log",IF(COUNTIFS($A$5:$A$1004,A208,$B$5:$B$1004,B208)&gt;1,"Duplicate item in sample","OK"))))</f>
        <v/>
      </c>
    </row>
    <row r="209" customFormat="false" ht="15" hidden="false" customHeight="false" outlineLevel="0" collapsed="false">
      <c r="A209" s="16"/>
      <c r="B209" s="16"/>
      <c r="C209" s="18"/>
      <c r="D209" s="16"/>
      <c r="E209" s="17" t="str">
        <f aca="false">IF(C209="","","Q"&amp;ROUNDUP(MONTH(C209)/3,0))</f>
        <v/>
      </c>
      <c r="F209" s="16"/>
      <c r="G209" s="16"/>
      <c r="H209" s="17" t="str">
        <f aca="false">IF(A209="","",IF(OR(B209="",C209=""),"Item ID and date needed",IF(COUNTIF(Sample_Log!$A$5:$A$204,A209)=0,"SMP-ID not in log",IF(COUNTIFS($A$5:$A$1004,A209,$B$5:$B$1004,B209)&gt;1,"Duplicate item in sample","OK"))))</f>
        <v/>
      </c>
    </row>
    <row r="210" customFormat="false" ht="15" hidden="false" customHeight="false" outlineLevel="0" collapsed="false">
      <c r="A210" s="16"/>
      <c r="B210" s="16"/>
      <c r="C210" s="18"/>
      <c r="D210" s="16"/>
      <c r="E210" s="17" t="str">
        <f aca="false">IF(C210="","","Q"&amp;ROUNDUP(MONTH(C210)/3,0))</f>
        <v/>
      </c>
      <c r="F210" s="16"/>
      <c r="G210" s="16"/>
      <c r="H210" s="17" t="str">
        <f aca="false">IF(A210="","",IF(OR(B210="",C210=""),"Item ID and date needed",IF(COUNTIF(Sample_Log!$A$5:$A$204,A210)=0,"SMP-ID not in log",IF(COUNTIFS($A$5:$A$1004,A210,$B$5:$B$1004,B210)&gt;1,"Duplicate item in sample","OK"))))</f>
        <v/>
      </c>
    </row>
    <row r="211" customFormat="false" ht="15" hidden="false" customHeight="false" outlineLevel="0" collapsed="false">
      <c r="A211" s="16"/>
      <c r="B211" s="16"/>
      <c r="C211" s="18"/>
      <c r="D211" s="16"/>
      <c r="E211" s="17" t="str">
        <f aca="false">IF(C211="","","Q"&amp;ROUNDUP(MONTH(C211)/3,0))</f>
        <v/>
      </c>
      <c r="F211" s="16"/>
      <c r="G211" s="16"/>
      <c r="H211" s="17" t="str">
        <f aca="false">IF(A211="","",IF(OR(B211="",C211=""),"Item ID and date needed",IF(COUNTIF(Sample_Log!$A$5:$A$204,A211)=0,"SMP-ID not in log",IF(COUNTIFS($A$5:$A$1004,A211,$B$5:$B$1004,B211)&gt;1,"Duplicate item in sample","OK"))))</f>
        <v/>
      </c>
    </row>
    <row r="212" customFormat="false" ht="15" hidden="false" customHeight="false" outlineLevel="0" collapsed="false">
      <c r="A212" s="16"/>
      <c r="B212" s="16"/>
      <c r="C212" s="18"/>
      <c r="D212" s="16"/>
      <c r="E212" s="17" t="str">
        <f aca="false">IF(C212="","","Q"&amp;ROUNDUP(MONTH(C212)/3,0))</f>
        <v/>
      </c>
      <c r="F212" s="16"/>
      <c r="G212" s="16"/>
      <c r="H212" s="17" t="str">
        <f aca="false">IF(A212="","",IF(OR(B212="",C212=""),"Item ID and date needed",IF(COUNTIF(Sample_Log!$A$5:$A$204,A212)=0,"SMP-ID not in log",IF(COUNTIFS($A$5:$A$1004,A212,$B$5:$B$1004,B212)&gt;1,"Duplicate item in sample","OK"))))</f>
        <v/>
      </c>
    </row>
    <row r="213" customFormat="false" ht="15" hidden="false" customHeight="false" outlineLevel="0" collapsed="false">
      <c r="A213" s="16"/>
      <c r="B213" s="16"/>
      <c r="C213" s="18"/>
      <c r="D213" s="16"/>
      <c r="E213" s="17" t="str">
        <f aca="false">IF(C213="","","Q"&amp;ROUNDUP(MONTH(C213)/3,0))</f>
        <v/>
      </c>
      <c r="F213" s="16"/>
      <c r="G213" s="16"/>
      <c r="H213" s="17" t="str">
        <f aca="false">IF(A213="","",IF(OR(B213="",C213=""),"Item ID and date needed",IF(COUNTIF(Sample_Log!$A$5:$A$204,A213)=0,"SMP-ID not in log",IF(COUNTIFS($A$5:$A$1004,A213,$B$5:$B$1004,B213)&gt;1,"Duplicate item in sample","OK"))))</f>
        <v/>
      </c>
    </row>
    <row r="214" customFormat="false" ht="15" hidden="false" customHeight="false" outlineLevel="0" collapsed="false">
      <c r="A214" s="16"/>
      <c r="B214" s="16"/>
      <c r="C214" s="18"/>
      <c r="D214" s="16"/>
      <c r="E214" s="17" t="str">
        <f aca="false">IF(C214="","","Q"&amp;ROUNDUP(MONTH(C214)/3,0))</f>
        <v/>
      </c>
      <c r="F214" s="16"/>
      <c r="G214" s="16"/>
      <c r="H214" s="17" t="str">
        <f aca="false">IF(A214="","",IF(OR(B214="",C214=""),"Item ID and date needed",IF(COUNTIF(Sample_Log!$A$5:$A$204,A214)=0,"SMP-ID not in log",IF(COUNTIFS($A$5:$A$1004,A214,$B$5:$B$1004,B214)&gt;1,"Duplicate item in sample","OK"))))</f>
        <v/>
      </c>
    </row>
    <row r="215" customFormat="false" ht="15" hidden="false" customHeight="false" outlineLevel="0" collapsed="false">
      <c r="A215" s="16"/>
      <c r="B215" s="16"/>
      <c r="C215" s="18"/>
      <c r="D215" s="16"/>
      <c r="E215" s="17" t="str">
        <f aca="false">IF(C215="","","Q"&amp;ROUNDUP(MONTH(C215)/3,0))</f>
        <v/>
      </c>
      <c r="F215" s="16"/>
      <c r="G215" s="16"/>
      <c r="H215" s="17" t="str">
        <f aca="false">IF(A215="","",IF(OR(B215="",C215=""),"Item ID and date needed",IF(COUNTIF(Sample_Log!$A$5:$A$204,A215)=0,"SMP-ID not in log",IF(COUNTIFS($A$5:$A$1004,A215,$B$5:$B$1004,B215)&gt;1,"Duplicate item in sample","OK"))))</f>
        <v/>
      </c>
    </row>
    <row r="216" customFormat="false" ht="15" hidden="false" customHeight="false" outlineLevel="0" collapsed="false">
      <c r="A216" s="16"/>
      <c r="B216" s="16"/>
      <c r="C216" s="18"/>
      <c r="D216" s="16"/>
      <c r="E216" s="17" t="str">
        <f aca="false">IF(C216="","","Q"&amp;ROUNDUP(MONTH(C216)/3,0))</f>
        <v/>
      </c>
      <c r="F216" s="16"/>
      <c r="G216" s="16"/>
      <c r="H216" s="17" t="str">
        <f aca="false">IF(A216="","",IF(OR(B216="",C216=""),"Item ID and date needed",IF(COUNTIF(Sample_Log!$A$5:$A$204,A216)=0,"SMP-ID not in log",IF(COUNTIFS($A$5:$A$1004,A216,$B$5:$B$1004,B216)&gt;1,"Duplicate item in sample","OK"))))</f>
        <v/>
      </c>
    </row>
    <row r="217" customFormat="false" ht="15" hidden="false" customHeight="false" outlineLevel="0" collapsed="false">
      <c r="A217" s="16"/>
      <c r="B217" s="16"/>
      <c r="C217" s="18"/>
      <c r="D217" s="16"/>
      <c r="E217" s="17" t="str">
        <f aca="false">IF(C217="","","Q"&amp;ROUNDUP(MONTH(C217)/3,0))</f>
        <v/>
      </c>
      <c r="F217" s="16"/>
      <c r="G217" s="16"/>
      <c r="H217" s="17" t="str">
        <f aca="false">IF(A217="","",IF(OR(B217="",C217=""),"Item ID and date needed",IF(COUNTIF(Sample_Log!$A$5:$A$204,A217)=0,"SMP-ID not in log",IF(COUNTIFS($A$5:$A$1004,A217,$B$5:$B$1004,B217)&gt;1,"Duplicate item in sample","OK"))))</f>
        <v/>
      </c>
    </row>
    <row r="218" customFormat="false" ht="15" hidden="false" customHeight="false" outlineLevel="0" collapsed="false">
      <c r="A218" s="16"/>
      <c r="B218" s="16"/>
      <c r="C218" s="18"/>
      <c r="D218" s="16"/>
      <c r="E218" s="17" t="str">
        <f aca="false">IF(C218="","","Q"&amp;ROUNDUP(MONTH(C218)/3,0))</f>
        <v/>
      </c>
      <c r="F218" s="16"/>
      <c r="G218" s="16"/>
      <c r="H218" s="17" t="str">
        <f aca="false">IF(A218="","",IF(OR(B218="",C218=""),"Item ID and date needed",IF(COUNTIF(Sample_Log!$A$5:$A$204,A218)=0,"SMP-ID not in log",IF(COUNTIFS($A$5:$A$1004,A218,$B$5:$B$1004,B218)&gt;1,"Duplicate item in sample","OK"))))</f>
        <v/>
      </c>
    </row>
    <row r="219" customFormat="false" ht="15" hidden="false" customHeight="false" outlineLevel="0" collapsed="false">
      <c r="A219" s="16"/>
      <c r="B219" s="16"/>
      <c r="C219" s="18"/>
      <c r="D219" s="16"/>
      <c r="E219" s="17" t="str">
        <f aca="false">IF(C219="","","Q"&amp;ROUNDUP(MONTH(C219)/3,0))</f>
        <v/>
      </c>
      <c r="F219" s="16"/>
      <c r="G219" s="16"/>
      <c r="H219" s="17" t="str">
        <f aca="false">IF(A219="","",IF(OR(B219="",C219=""),"Item ID and date needed",IF(COUNTIF(Sample_Log!$A$5:$A$204,A219)=0,"SMP-ID not in log",IF(COUNTIFS($A$5:$A$1004,A219,$B$5:$B$1004,B219)&gt;1,"Duplicate item in sample","OK"))))</f>
        <v/>
      </c>
    </row>
    <row r="220" customFormat="false" ht="15" hidden="false" customHeight="false" outlineLevel="0" collapsed="false">
      <c r="A220" s="16"/>
      <c r="B220" s="16"/>
      <c r="C220" s="18"/>
      <c r="D220" s="16"/>
      <c r="E220" s="17" t="str">
        <f aca="false">IF(C220="","","Q"&amp;ROUNDUP(MONTH(C220)/3,0))</f>
        <v/>
      </c>
      <c r="F220" s="16"/>
      <c r="G220" s="16"/>
      <c r="H220" s="17" t="str">
        <f aca="false">IF(A220="","",IF(OR(B220="",C220=""),"Item ID and date needed",IF(COUNTIF(Sample_Log!$A$5:$A$204,A220)=0,"SMP-ID not in log",IF(COUNTIFS($A$5:$A$1004,A220,$B$5:$B$1004,B220)&gt;1,"Duplicate item in sample","OK"))))</f>
        <v/>
      </c>
    </row>
    <row r="221" customFormat="false" ht="15" hidden="false" customHeight="false" outlineLevel="0" collapsed="false">
      <c r="A221" s="16"/>
      <c r="B221" s="16"/>
      <c r="C221" s="18"/>
      <c r="D221" s="16"/>
      <c r="E221" s="17" t="str">
        <f aca="false">IF(C221="","","Q"&amp;ROUNDUP(MONTH(C221)/3,0))</f>
        <v/>
      </c>
      <c r="F221" s="16"/>
      <c r="G221" s="16"/>
      <c r="H221" s="17" t="str">
        <f aca="false">IF(A221="","",IF(OR(B221="",C221=""),"Item ID and date needed",IF(COUNTIF(Sample_Log!$A$5:$A$204,A221)=0,"SMP-ID not in log",IF(COUNTIFS($A$5:$A$1004,A221,$B$5:$B$1004,B221)&gt;1,"Duplicate item in sample","OK"))))</f>
        <v/>
      </c>
    </row>
    <row r="222" customFormat="false" ht="15" hidden="false" customHeight="false" outlineLevel="0" collapsed="false">
      <c r="A222" s="16"/>
      <c r="B222" s="16"/>
      <c r="C222" s="18"/>
      <c r="D222" s="16"/>
      <c r="E222" s="17" t="str">
        <f aca="false">IF(C222="","","Q"&amp;ROUNDUP(MONTH(C222)/3,0))</f>
        <v/>
      </c>
      <c r="F222" s="16"/>
      <c r="G222" s="16"/>
      <c r="H222" s="17" t="str">
        <f aca="false">IF(A222="","",IF(OR(B222="",C222=""),"Item ID and date needed",IF(COUNTIF(Sample_Log!$A$5:$A$204,A222)=0,"SMP-ID not in log",IF(COUNTIFS($A$5:$A$1004,A222,$B$5:$B$1004,B222)&gt;1,"Duplicate item in sample","OK"))))</f>
        <v/>
      </c>
    </row>
    <row r="223" customFormat="false" ht="15" hidden="false" customHeight="false" outlineLevel="0" collapsed="false">
      <c r="A223" s="16"/>
      <c r="B223" s="16"/>
      <c r="C223" s="18"/>
      <c r="D223" s="16"/>
      <c r="E223" s="17" t="str">
        <f aca="false">IF(C223="","","Q"&amp;ROUNDUP(MONTH(C223)/3,0))</f>
        <v/>
      </c>
      <c r="F223" s="16"/>
      <c r="G223" s="16"/>
      <c r="H223" s="17" t="str">
        <f aca="false">IF(A223="","",IF(OR(B223="",C223=""),"Item ID and date needed",IF(COUNTIF(Sample_Log!$A$5:$A$204,A223)=0,"SMP-ID not in log",IF(COUNTIFS($A$5:$A$1004,A223,$B$5:$B$1004,B223)&gt;1,"Duplicate item in sample","OK"))))</f>
        <v/>
      </c>
    </row>
    <row r="224" customFormat="false" ht="15" hidden="false" customHeight="false" outlineLevel="0" collapsed="false">
      <c r="A224" s="16"/>
      <c r="B224" s="16"/>
      <c r="C224" s="18"/>
      <c r="D224" s="16"/>
      <c r="E224" s="17" t="str">
        <f aca="false">IF(C224="","","Q"&amp;ROUNDUP(MONTH(C224)/3,0))</f>
        <v/>
      </c>
      <c r="F224" s="16"/>
      <c r="G224" s="16"/>
      <c r="H224" s="17" t="str">
        <f aca="false">IF(A224="","",IF(OR(B224="",C224=""),"Item ID and date needed",IF(COUNTIF(Sample_Log!$A$5:$A$204,A224)=0,"SMP-ID not in log",IF(COUNTIFS($A$5:$A$1004,A224,$B$5:$B$1004,B224)&gt;1,"Duplicate item in sample","OK"))))</f>
        <v/>
      </c>
    </row>
    <row r="225" customFormat="false" ht="15" hidden="false" customHeight="false" outlineLevel="0" collapsed="false">
      <c r="A225" s="16"/>
      <c r="B225" s="16"/>
      <c r="C225" s="18"/>
      <c r="D225" s="16"/>
      <c r="E225" s="17" t="str">
        <f aca="false">IF(C225="","","Q"&amp;ROUNDUP(MONTH(C225)/3,0))</f>
        <v/>
      </c>
      <c r="F225" s="16"/>
      <c r="G225" s="16"/>
      <c r="H225" s="17" t="str">
        <f aca="false">IF(A225="","",IF(OR(B225="",C225=""),"Item ID and date needed",IF(COUNTIF(Sample_Log!$A$5:$A$204,A225)=0,"SMP-ID not in log",IF(COUNTIFS($A$5:$A$1004,A225,$B$5:$B$1004,B225)&gt;1,"Duplicate item in sample","OK"))))</f>
        <v/>
      </c>
    </row>
    <row r="226" customFormat="false" ht="15" hidden="false" customHeight="false" outlineLevel="0" collapsed="false">
      <c r="A226" s="16"/>
      <c r="B226" s="16"/>
      <c r="C226" s="18"/>
      <c r="D226" s="16"/>
      <c r="E226" s="17" t="str">
        <f aca="false">IF(C226="","","Q"&amp;ROUNDUP(MONTH(C226)/3,0))</f>
        <v/>
      </c>
      <c r="F226" s="16"/>
      <c r="G226" s="16"/>
      <c r="H226" s="17" t="str">
        <f aca="false">IF(A226="","",IF(OR(B226="",C226=""),"Item ID and date needed",IF(COUNTIF(Sample_Log!$A$5:$A$204,A226)=0,"SMP-ID not in log",IF(COUNTIFS($A$5:$A$1004,A226,$B$5:$B$1004,B226)&gt;1,"Duplicate item in sample","OK"))))</f>
        <v/>
      </c>
    </row>
    <row r="227" customFormat="false" ht="15" hidden="false" customHeight="false" outlineLevel="0" collapsed="false">
      <c r="A227" s="16"/>
      <c r="B227" s="16"/>
      <c r="C227" s="18"/>
      <c r="D227" s="16"/>
      <c r="E227" s="17" t="str">
        <f aca="false">IF(C227="","","Q"&amp;ROUNDUP(MONTH(C227)/3,0))</f>
        <v/>
      </c>
      <c r="F227" s="16"/>
      <c r="G227" s="16"/>
      <c r="H227" s="17" t="str">
        <f aca="false">IF(A227="","",IF(OR(B227="",C227=""),"Item ID and date needed",IF(COUNTIF(Sample_Log!$A$5:$A$204,A227)=0,"SMP-ID not in log",IF(COUNTIFS($A$5:$A$1004,A227,$B$5:$B$1004,B227)&gt;1,"Duplicate item in sample","OK"))))</f>
        <v/>
      </c>
    </row>
    <row r="228" customFormat="false" ht="15" hidden="false" customHeight="false" outlineLevel="0" collapsed="false">
      <c r="A228" s="16"/>
      <c r="B228" s="16"/>
      <c r="C228" s="18"/>
      <c r="D228" s="16"/>
      <c r="E228" s="17" t="str">
        <f aca="false">IF(C228="","","Q"&amp;ROUNDUP(MONTH(C228)/3,0))</f>
        <v/>
      </c>
      <c r="F228" s="16"/>
      <c r="G228" s="16"/>
      <c r="H228" s="17" t="str">
        <f aca="false">IF(A228="","",IF(OR(B228="",C228=""),"Item ID and date needed",IF(COUNTIF(Sample_Log!$A$5:$A$204,A228)=0,"SMP-ID not in log",IF(COUNTIFS($A$5:$A$1004,A228,$B$5:$B$1004,B228)&gt;1,"Duplicate item in sample","OK"))))</f>
        <v/>
      </c>
    </row>
    <row r="229" customFormat="false" ht="15" hidden="false" customHeight="false" outlineLevel="0" collapsed="false">
      <c r="A229" s="16"/>
      <c r="B229" s="16"/>
      <c r="C229" s="18"/>
      <c r="D229" s="16"/>
      <c r="E229" s="17" t="str">
        <f aca="false">IF(C229="","","Q"&amp;ROUNDUP(MONTH(C229)/3,0))</f>
        <v/>
      </c>
      <c r="F229" s="16"/>
      <c r="G229" s="16"/>
      <c r="H229" s="17" t="str">
        <f aca="false">IF(A229="","",IF(OR(B229="",C229=""),"Item ID and date needed",IF(COUNTIF(Sample_Log!$A$5:$A$204,A229)=0,"SMP-ID not in log",IF(COUNTIFS($A$5:$A$1004,A229,$B$5:$B$1004,B229)&gt;1,"Duplicate item in sample","OK"))))</f>
        <v/>
      </c>
    </row>
    <row r="230" customFormat="false" ht="15" hidden="false" customHeight="false" outlineLevel="0" collapsed="false">
      <c r="A230" s="16"/>
      <c r="B230" s="16"/>
      <c r="C230" s="18"/>
      <c r="D230" s="16"/>
      <c r="E230" s="17" t="str">
        <f aca="false">IF(C230="","","Q"&amp;ROUNDUP(MONTH(C230)/3,0))</f>
        <v/>
      </c>
      <c r="F230" s="16"/>
      <c r="G230" s="16"/>
      <c r="H230" s="17" t="str">
        <f aca="false">IF(A230="","",IF(OR(B230="",C230=""),"Item ID and date needed",IF(COUNTIF(Sample_Log!$A$5:$A$204,A230)=0,"SMP-ID not in log",IF(COUNTIFS($A$5:$A$1004,A230,$B$5:$B$1004,B230)&gt;1,"Duplicate item in sample","OK"))))</f>
        <v/>
      </c>
    </row>
    <row r="231" customFormat="false" ht="15" hidden="false" customHeight="false" outlineLevel="0" collapsed="false">
      <c r="A231" s="16"/>
      <c r="B231" s="16"/>
      <c r="C231" s="18"/>
      <c r="D231" s="16"/>
      <c r="E231" s="17" t="str">
        <f aca="false">IF(C231="","","Q"&amp;ROUNDUP(MONTH(C231)/3,0))</f>
        <v/>
      </c>
      <c r="F231" s="16"/>
      <c r="G231" s="16"/>
      <c r="H231" s="17" t="str">
        <f aca="false">IF(A231="","",IF(OR(B231="",C231=""),"Item ID and date needed",IF(COUNTIF(Sample_Log!$A$5:$A$204,A231)=0,"SMP-ID not in log",IF(COUNTIFS($A$5:$A$1004,A231,$B$5:$B$1004,B231)&gt;1,"Duplicate item in sample","OK"))))</f>
        <v/>
      </c>
    </row>
    <row r="232" customFormat="false" ht="15" hidden="false" customHeight="false" outlineLevel="0" collapsed="false">
      <c r="A232" s="16"/>
      <c r="B232" s="16"/>
      <c r="C232" s="18"/>
      <c r="D232" s="16"/>
      <c r="E232" s="17" t="str">
        <f aca="false">IF(C232="","","Q"&amp;ROUNDUP(MONTH(C232)/3,0))</f>
        <v/>
      </c>
      <c r="F232" s="16"/>
      <c r="G232" s="16"/>
      <c r="H232" s="17" t="str">
        <f aca="false">IF(A232="","",IF(OR(B232="",C232=""),"Item ID and date needed",IF(COUNTIF(Sample_Log!$A$5:$A$204,A232)=0,"SMP-ID not in log",IF(COUNTIFS($A$5:$A$1004,A232,$B$5:$B$1004,B232)&gt;1,"Duplicate item in sample","OK"))))</f>
        <v/>
      </c>
    </row>
    <row r="233" customFormat="false" ht="15" hidden="false" customHeight="false" outlineLevel="0" collapsed="false">
      <c r="A233" s="16"/>
      <c r="B233" s="16"/>
      <c r="C233" s="18"/>
      <c r="D233" s="16"/>
      <c r="E233" s="17" t="str">
        <f aca="false">IF(C233="","","Q"&amp;ROUNDUP(MONTH(C233)/3,0))</f>
        <v/>
      </c>
      <c r="F233" s="16"/>
      <c r="G233" s="16"/>
      <c r="H233" s="17" t="str">
        <f aca="false">IF(A233="","",IF(OR(B233="",C233=""),"Item ID and date needed",IF(COUNTIF(Sample_Log!$A$5:$A$204,A233)=0,"SMP-ID not in log",IF(COUNTIFS($A$5:$A$1004,A233,$B$5:$B$1004,B233)&gt;1,"Duplicate item in sample","OK"))))</f>
        <v/>
      </c>
    </row>
    <row r="234" customFormat="false" ht="15" hidden="false" customHeight="false" outlineLevel="0" collapsed="false">
      <c r="A234" s="16"/>
      <c r="B234" s="16"/>
      <c r="C234" s="18"/>
      <c r="D234" s="16"/>
      <c r="E234" s="17" t="str">
        <f aca="false">IF(C234="","","Q"&amp;ROUNDUP(MONTH(C234)/3,0))</f>
        <v/>
      </c>
      <c r="F234" s="16"/>
      <c r="G234" s="16"/>
      <c r="H234" s="17" t="str">
        <f aca="false">IF(A234="","",IF(OR(B234="",C234=""),"Item ID and date needed",IF(COUNTIF(Sample_Log!$A$5:$A$204,A234)=0,"SMP-ID not in log",IF(COUNTIFS($A$5:$A$1004,A234,$B$5:$B$1004,B234)&gt;1,"Duplicate item in sample","OK"))))</f>
        <v/>
      </c>
    </row>
    <row r="235" customFormat="false" ht="15" hidden="false" customHeight="false" outlineLevel="0" collapsed="false">
      <c r="A235" s="16"/>
      <c r="B235" s="16"/>
      <c r="C235" s="18"/>
      <c r="D235" s="16"/>
      <c r="E235" s="17" t="str">
        <f aca="false">IF(C235="","","Q"&amp;ROUNDUP(MONTH(C235)/3,0))</f>
        <v/>
      </c>
      <c r="F235" s="16"/>
      <c r="G235" s="16"/>
      <c r="H235" s="17" t="str">
        <f aca="false">IF(A235="","",IF(OR(B235="",C235=""),"Item ID and date needed",IF(COUNTIF(Sample_Log!$A$5:$A$204,A235)=0,"SMP-ID not in log",IF(COUNTIFS($A$5:$A$1004,A235,$B$5:$B$1004,B235)&gt;1,"Duplicate item in sample","OK"))))</f>
        <v/>
      </c>
    </row>
    <row r="236" customFormat="false" ht="15" hidden="false" customHeight="false" outlineLevel="0" collapsed="false">
      <c r="A236" s="16"/>
      <c r="B236" s="16"/>
      <c r="C236" s="18"/>
      <c r="D236" s="16"/>
      <c r="E236" s="17" t="str">
        <f aca="false">IF(C236="","","Q"&amp;ROUNDUP(MONTH(C236)/3,0))</f>
        <v/>
      </c>
      <c r="F236" s="16"/>
      <c r="G236" s="16"/>
      <c r="H236" s="17" t="str">
        <f aca="false">IF(A236="","",IF(OR(B236="",C236=""),"Item ID and date needed",IF(COUNTIF(Sample_Log!$A$5:$A$204,A236)=0,"SMP-ID not in log",IF(COUNTIFS($A$5:$A$1004,A236,$B$5:$B$1004,B236)&gt;1,"Duplicate item in sample","OK"))))</f>
        <v/>
      </c>
    </row>
    <row r="237" customFormat="false" ht="15" hidden="false" customHeight="false" outlineLevel="0" collapsed="false">
      <c r="A237" s="16"/>
      <c r="B237" s="16"/>
      <c r="C237" s="18"/>
      <c r="D237" s="16"/>
      <c r="E237" s="17" t="str">
        <f aca="false">IF(C237="","","Q"&amp;ROUNDUP(MONTH(C237)/3,0))</f>
        <v/>
      </c>
      <c r="F237" s="16"/>
      <c r="G237" s="16"/>
      <c r="H237" s="17" t="str">
        <f aca="false">IF(A237="","",IF(OR(B237="",C237=""),"Item ID and date needed",IF(COUNTIF(Sample_Log!$A$5:$A$204,A237)=0,"SMP-ID not in log",IF(COUNTIFS($A$5:$A$1004,A237,$B$5:$B$1004,B237)&gt;1,"Duplicate item in sample","OK"))))</f>
        <v/>
      </c>
    </row>
    <row r="238" customFormat="false" ht="15" hidden="false" customHeight="false" outlineLevel="0" collapsed="false">
      <c r="A238" s="16"/>
      <c r="B238" s="16"/>
      <c r="C238" s="18"/>
      <c r="D238" s="16"/>
      <c r="E238" s="17" t="str">
        <f aca="false">IF(C238="","","Q"&amp;ROUNDUP(MONTH(C238)/3,0))</f>
        <v/>
      </c>
      <c r="F238" s="16"/>
      <c r="G238" s="16"/>
      <c r="H238" s="17" t="str">
        <f aca="false">IF(A238="","",IF(OR(B238="",C238=""),"Item ID and date needed",IF(COUNTIF(Sample_Log!$A$5:$A$204,A238)=0,"SMP-ID not in log",IF(COUNTIFS($A$5:$A$1004,A238,$B$5:$B$1004,B238)&gt;1,"Duplicate item in sample","OK"))))</f>
        <v/>
      </c>
    </row>
    <row r="239" customFormat="false" ht="15" hidden="false" customHeight="false" outlineLevel="0" collapsed="false">
      <c r="A239" s="16"/>
      <c r="B239" s="16"/>
      <c r="C239" s="18"/>
      <c r="D239" s="16"/>
      <c r="E239" s="17" t="str">
        <f aca="false">IF(C239="","","Q"&amp;ROUNDUP(MONTH(C239)/3,0))</f>
        <v/>
      </c>
      <c r="F239" s="16"/>
      <c r="G239" s="16"/>
      <c r="H239" s="17" t="str">
        <f aca="false">IF(A239="","",IF(OR(B239="",C239=""),"Item ID and date needed",IF(COUNTIF(Sample_Log!$A$5:$A$204,A239)=0,"SMP-ID not in log",IF(COUNTIFS($A$5:$A$1004,A239,$B$5:$B$1004,B239)&gt;1,"Duplicate item in sample","OK"))))</f>
        <v/>
      </c>
    </row>
    <row r="240" customFormat="false" ht="15" hidden="false" customHeight="false" outlineLevel="0" collapsed="false">
      <c r="A240" s="16"/>
      <c r="B240" s="16"/>
      <c r="C240" s="18"/>
      <c r="D240" s="16"/>
      <c r="E240" s="17" t="str">
        <f aca="false">IF(C240="","","Q"&amp;ROUNDUP(MONTH(C240)/3,0))</f>
        <v/>
      </c>
      <c r="F240" s="16"/>
      <c r="G240" s="16"/>
      <c r="H240" s="17" t="str">
        <f aca="false">IF(A240="","",IF(OR(B240="",C240=""),"Item ID and date needed",IF(COUNTIF(Sample_Log!$A$5:$A$204,A240)=0,"SMP-ID not in log",IF(COUNTIFS($A$5:$A$1004,A240,$B$5:$B$1004,B240)&gt;1,"Duplicate item in sample","OK"))))</f>
        <v/>
      </c>
    </row>
    <row r="241" customFormat="false" ht="15" hidden="false" customHeight="false" outlineLevel="0" collapsed="false">
      <c r="A241" s="16"/>
      <c r="B241" s="16"/>
      <c r="C241" s="18"/>
      <c r="D241" s="16"/>
      <c r="E241" s="17" t="str">
        <f aca="false">IF(C241="","","Q"&amp;ROUNDUP(MONTH(C241)/3,0))</f>
        <v/>
      </c>
      <c r="F241" s="16"/>
      <c r="G241" s="16"/>
      <c r="H241" s="17" t="str">
        <f aca="false">IF(A241="","",IF(OR(B241="",C241=""),"Item ID and date needed",IF(COUNTIF(Sample_Log!$A$5:$A$204,A241)=0,"SMP-ID not in log",IF(COUNTIFS($A$5:$A$1004,A241,$B$5:$B$1004,B241)&gt;1,"Duplicate item in sample","OK"))))</f>
        <v/>
      </c>
    </row>
    <row r="242" customFormat="false" ht="15" hidden="false" customHeight="false" outlineLevel="0" collapsed="false">
      <c r="A242" s="16"/>
      <c r="B242" s="16"/>
      <c r="C242" s="18"/>
      <c r="D242" s="16"/>
      <c r="E242" s="17" t="str">
        <f aca="false">IF(C242="","","Q"&amp;ROUNDUP(MONTH(C242)/3,0))</f>
        <v/>
      </c>
      <c r="F242" s="16"/>
      <c r="G242" s="16"/>
      <c r="H242" s="17" t="str">
        <f aca="false">IF(A242="","",IF(OR(B242="",C242=""),"Item ID and date needed",IF(COUNTIF(Sample_Log!$A$5:$A$204,A242)=0,"SMP-ID not in log",IF(COUNTIFS($A$5:$A$1004,A242,$B$5:$B$1004,B242)&gt;1,"Duplicate item in sample","OK"))))</f>
        <v/>
      </c>
    </row>
    <row r="243" customFormat="false" ht="15" hidden="false" customHeight="false" outlineLevel="0" collapsed="false">
      <c r="A243" s="16"/>
      <c r="B243" s="16"/>
      <c r="C243" s="18"/>
      <c r="D243" s="16"/>
      <c r="E243" s="17" t="str">
        <f aca="false">IF(C243="","","Q"&amp;ROUNDUP(MONTH(C243)/3,0))</f>
        <v/>
      </c>
      <c r="F243" s="16"/>
      <c r="G243" s="16"/>
      <c r="H243" s="17" t="str">
        <f aca="false">IF(A243="","",IF(OR(B243="",C243=""),"Item ID and date needed",IF(COUNTIF(Sample_Log!$A$5:$A$204,A243)=0,"SMP-ID not in log",IF(COUNTIFS($A$5:$A$1004,A243,$B$5:$B$1004,B243)&gt;1,"Duplicate item in sample","OK"))))</f>
        <v/>
      </c>
    </row>
    <row r="244" customFormat="false" ht="15" hidden="false" customHeight="false" outlineLevel="0" collapsed="false">
      <c r="A244" s="16"/>
      <c r="B244" s="16"/>
      <c r="C244" s="18"/>
      <c r="D244" s="16"/>
      <c r="E244" s="17" t="str">
        <f aca="false">IF(C244="","","Q"&amp;ROUNDUP(MONTH(C244)/3,0))</f>
        <v/>
      </c>
      <c r="F244" s="16"/>
      <c r="G244" s="16"/>
      <c r="H244" s="17" t="str">
        <f aca="false">IF(A244="","",IF(OR(B244="",C244=""),"Item ID and date needed",IF(COUNTIF(Sample_Log!$A$5:$A$204,A244)=0,"SMP-ID not in log",IF(COUNTIFS($A$5:$A$1004,A244,$B$5:$B$1004,B244)&gt;1,"Duplicate item in sample","OK"))))</f>
        <v/>
      </c>
    </row>
    <row r="245" customFormat="false" ht="15" hidden="false" customHeight="false" outlineLevel="0" collapsed="false">
      <c r="A245" s="16"/>
      <c r="B245" s="16"/>
      <c r="C245" s="18"/>
      <c r="D245" s="16"/>
      <c r="E245" s="17" t="str">
        <f aca="false">IF(C245="","","Q"&amp;ROUNDUP(MONTH(C245)/3,0))</f>
        <v/>
      </c>
      <c r="F245" s="16"/>
      <c r="G245" s="16"/>
      <c r="H245" s="17" t="str">
        <f aca="false">IF(A245="","",IF(OR(B245="",C245=""),"Item ID and date needed",IF(COUNTIF(Sample_Log!$A$5:$A$204,A245)=0,"SMP-ID not in log",IF(COUNTIFS($A$5:$A$1004,A245,$B$5:$B$1004,B245)&gt;1,"Duplicate item in sample","OK"))))</f>
        <v/>
      </c>
    </row>
    <row r="246" customFormat="false" ht="15" hidden="false" customHeight="false" outlineLevel="0" collapsed="false">
      <c r="A246" s="16"/>
      <c r="B246" s="16"/>
      <c r="C246" s="18"/>
      <c r="D246" s="16"/>
      <c r="E246" s="17" t="str">
        <f aca="false">IF(C246="","","Q"&amp;ROUNDUP(MONTH(C246)/3,0))</f>
        <v/>
      </c>
      <c r="F246" s="16"/>
      <c r="G246" s="16"/>
      <c r="H246" s="17" t="str">
        <f aca="false">IF(A246="","",IF(OR(B246="",C246=""),"Item ID and date needed",IF(COUNTIF(Sample_Log!$A$5:$A$204,A246)=0,"SMP-ID not in log",IF(COUNTIFS($A$5:$A$1004,A246,$B$5:$B$1004,B246)&gt;1,"Duplicate item in sample","OK"))))</f>
        <v/>
      </c>
    </row>
    <row r="247" customFormat="false" ht="15" hidden="false" customHeight="false" outlineLevel="0" collapsed="false">
      <c r="A247" s="16"/>
      <c r="B247" s="16"/>
      <c r="C247" s="18"/>
      <c r="D247" s="16"/>
      <c r="E247" s="17" t="str">
        <f aca="false">IF(C247="","","Q"&amp;ROUNDUP(MONTH(C247)/3,0))</f>
        <v/>
      </c>
      <c r="F247" s="16"/>
      <c r="G247" s="16"/>
      <c r="H247" s="17" t="str">
        <f aca="false">IF(A247="","",IF(OR(B247="",C247=""),"Item ID and date needed",IF(COUNTIF(Sample_Log!$A$5:$A$204,A247)=0,"SMP-ID not in log",IF(COUNTIFS($A$5:$A$1004,A247,$B$5:$B$1004,B247)&gt;1,"Duplicate item in sample","OK"))))</f>
        <v/>
      </c>
    </row>
    <row r="248" customFormat="false" ht="15" hidden="false" customHeight="false" outlineLevel="0" collapsed="false">
      <c r="A248" s="16"/>
      <c r="B248" s="16"/>
      <c r="C248" s="18"/>
      <c r="D248" s="16"/>
      <c r="E248" s="17" t="str">
        <f aca="false">IF(C248="","","Q"&amp;ROUNDUP(MONTH(C248)/3,0))</f>
        <v/>
      </c>
      <c r="F248" s="16"/>
      <c r="G248" s="16"/>
      <c r="H248" s="17" t="str">
        <f aca="false">IF(A248="","",IF(OR(B248="",C248=""),"Item ID and date needed",IF(COUNTIF(Sample_Log!$A$5:$A$204,A248)=0,"SMP-ID not in log",IF(COUNTIFS($A$5:$A$1004,A248,$B$5:$B$1004,B248)&gt;1,"Duplicate item in sample","OK"))))</f>
        <v/>
      </c>
    </row>
    <row r="249" customFormat="false" ht="15" hidden="false" customHeight="false" outlineLevel="0" collapsed="false">
      <c r="A249" s="16"/>
      <c r="B249" s="16"/>
      <c r="C249" s="18"/>
      <c r="D249" s="16"/>
      <c r="E249" s="17" t="str">
        <f aca="false">IF(C249="","","Q"&amp;ROUNDUP(MONTH(C249)/3,0))</f>
        <v/>
      </c>
      <c r="F249" s="16"/>
      <c r="G249" s="16"/>
      <c r="H249" s="17" t="str">
        <f aca="false">IF(A249="","",IF(OR(B249="",C249=""),"Item ID and date needed",IF(COUNTIF(Sample_Log!$A$5:$A$204,A249)=0,"SMP-ID not in log",IF(COUNTIFS($A$5:$A$1004,A249,$B$5:$B$1004,B249)&gt;1,"Duplicate item in sample","OK"))))</f>
        <v/>
      </c>
    </row>
    <row r="250" customFormat="false" ht="15" hidden="false" customHeight="false" outlineLevel="0" collapsed="false">
      <c r="A250" s="16"/>
      <c r="B250" s="16"/>
      <c r="C250" s="18"/>
      <c r="D250" s="16"/>
      <c r="E250" s="17" t="str">
        <f aca="false">IF(C250="","","Q"&amp;ROUNDUP(MONTH(C250)/3,0))</f>
        <v/>
      </c>
      <c r="F250" s="16"/>
      <c r="G250" s="16"/>
      <c r="H250" s="17" t="str">
        <f aca="false">IF(A250="","",IF(OR(B250="",C250=""),"Item ID and date needed",IF(COUNTIF(Sample_Log!$A$5:$A$204,A250)=0,"SMP-ID not in log",IF(COUNTIFS($A$5:$A$1004,A250,$B$5:$B$1004,B250)&gt;1,"Duplicate item in sample","OK"))))</f>
        <v/>
      </c>
    </row>
    <row r="251" customFormat="false" ht="15" hidden="false" customHeight="false" outlineLevel="0" collapsed="false">
      <c r="A251" s="16"/>
      <c r="B251" s="16"/>
      <c r="C251" s="18"/>
      <c r="D251" s="16"/>
      <c r="E251" s="17" t="str">
        <f aca="false">IF(C251="","","Q"&amp;ROUNDUP(MONTH(C251)/3,0))</f>
        <v/>
      </c>
      <c r="F251" s="16"/>
      <c r="G251" s="16"/>
      <c r="H251" s="17" t="str">
        <f aca="false">IF(A251="","",IF(OR(B251="",C251=""),"Item ID and date needed",IF(COUNTIF(Sample_Log!$A$5:$A$204,A251)=0,"SMP-ID not in log",IF(COUNTIFS($A$5:$A$1004,A251,$B$5:$B$1004,B251)&gt;1,"Duplicate item in sample","OK"))))</f>
        <v/>
      </c>
    </row>
    <row r="252" customFormat="false" ht="15" hidden="false" customHeight="false" outlineLevel="0" collapsed="false">
      <c r="A252" s="16"/>
      <c r="B252" s="16"/>
      <c r="C252" s="18"/>
      <c r="D252" s="16"/>
      <c r="E252" s="17" t="str">
        <f aca="false">IF(C252="","","Q"&amp;ROUNDUP(MONTH(C252)/3,0))</f>
        <v/>
      </c>
      <c r="F252" s="16"/>
      <c r="G252" s="16"/>
      <c r="H252" s="17" t="str">
        <f aca="false">IF(A252="","",IF(OR(B252="",C252=""),"Item ID and date needed",IF(COUNTIF(Sample_Log!$A$5:$A$204,A252)=0,"SMP-ID not in log",IF(COUNTIFS($A$5:$A$1004,A252,$B$5:$B$1004,B252)&gt;1,"Duplicate item in sample","OK"))))</f>
        <v/>
      </c>
    </row>
    <row r="253" customFormat="false" ht="15" hidden="false" customHeight="false" outlineLevel="0" collapsed="false">
      <c r="A253" s="16"/>
      <c r="B253" s="16"/>
      <c r="C253" s="18"/>
      <c r="D253" s="16"/>
      <c r="E253" s="17" t="str">
        <f aca="false">IF(C253="","","Q"&amp;ROUNDUP(MONTH(C253)/3,0))</f>
        <v/>
      </c>
      <c r="F253" s="16"/>
      <c r="G253" s="16"/>
      <c r="H253" s="17" t="str">
        <f aca="false">IF(A253="","",IF(OR(B253="",C253=""),"Item ID and date needed",IF(COUNTIF(Sample_Log!$A$5:$A$204,A253)=0,"SMP-ID not in log",IF(COUNTIFS($A$5:$A$1004,A253,$B$5:$B$1004,B253)&gt;1,"Duplicate item in sample","OK"))))</f>
        <v/>
      </c>
    </row>
    <row r="254" customFormat="false" ht="15" hidden="false" customHeight="false" outlineLevel="0" collapsed="false">
      <c r="A254" s="16"/>
      <c r="B254" s="16"/>
      <c r="C254" s="18"/>
      <c r="D254" s="16"/>
      <c r="E254" s="17" t="str">
        <f aca="false">IF(C254="","","Q"&amp;ROUNDUP(MONTH(C254)/3,0))</f>
        <v/>
      </c>
      <c r="F254" s="16"/>
      <c r="G254" s="16"/>
      <c r="H254" s="17" t="str">
        <f aca="false">IF(A254="","",IF(OR(B254="",C254=""),"Item ID and date needed",IF(COUNTIF(Sample_Log!$A$5:$A$204,A254)=0,"SMP-ID not in log",IF(COUNTIFS($A$5:$A$1004,A254,$B$5:$B$1004,B254)&gt;1,"Duplicate item in sample","OK"))))</f>
        <v/>
      </c>
    </row>
    <row r="255" customFormat="false" ht="15" hidden="false" customHeight="false" outlineLevel="0" collapsed="false">
      <c r="A255" s="16"/>
      <c r="B255" s="16"/>
      <c r="C255" s="18"/>
      <c r="D255" s="16"/>
      <c r="E255" s="17" t="str">
        <f aca="false">IF(C255="","","Q"&amp;ROUNDUP(MONTH(C255)/3,0))</f>
        <v/>
      </c>
      <c r="F255" s="16"/>
      <c r="G255" s="16"/>
      <c r="H255" s="17" t="str">
        <f aca="false">IF(A255="","",IF(OR(B255="",C255=""),"Item ID and date needed",IF(COUNTIF(Sample_Log!$A$5:$A$204,A255)=0,"SMP-ID not in log",IF(COUNTIFS($A$5:$A$1004,A255,$B$5:$B$1004,B255)&gt;1,"Duplicate item in sample","OK"))))</f>
        <v/>
      </c>
    </row>
    <row r="256" customFormat="false" ht="15" hidden="false" customHeight="false" outlineLevel="0" collapsed="false">
      <c r="A256" s="16"/>
      <c r="B256" s="16"/>
      <c r="C256" s="18"/>
      <c r="D256" s="16"/>
      <c r="E256" s="17" t="str">
        <f aca="false">IF(C256="","","Q"&amp;ROUNDUP(MONTH(C256)/3,0))</f>
        <v/>
      </c>
      <c r="F256" s="16"/>
      <c r="G256" s="16"/>
      <c r="H256" s="17" t="str">
        <f aca="false">IF(A256="","",IF(OR(B256="",C256=""),"Item ID and date needed",IF(COUNTIF(Sample_Log!$A$5:$A$204,A256)=0,"SMP-ID not in log",IF(COUNTIFS($A$5:$A$1004,A256,$B$5:$B$1004,B256)&gt;1,"Duplicate item in sample","OK"))))</f>
        <v/>
      </c>
    </row>
    <row r="257" customFormat="false" ht="15" hidden="false" customHeight="false" outlineLevel="0" collapsed="false">
      <c r="A257" s="16"/>
      <c r="B257" s="16"/>
      <c r="C257" s="18"/>
      <c r="D257" s="16"/>
      <c r="E257" s="17" t="str">
        <f aca="false">IF(C257="","","Q"&amp;ROUNDUP(MONTH(C257)/3,0))</f>
        <v/>
      </c>
      <c r="F257" s="16"/>
      <c r="G257" s="16"/>
      <c r="H257" s="17" t="str">
        <f aca="false">IF(A257="","",IF(OR(B257="",C257=""),"Item ID and date needed",IF(COUNTIF(Sample_Log!$A$5:$A$204,A257)=0,"SMP-ID not in log",IF(COUNTIFS($A$5:$A$1004,A257,$B$5:$B$1004,B257)&gt;1,"Duplicate item in sample","OK"))))</f>
        <v/>
      </c>
    </row>
    <row r="258" customFormat="false" ht="15" hidden="false" customHeight="false" outlineLevel="0" collapsed="false">
      <c r="A258" s="16"/>
      <c r="B258" s="16"/>
      <c r="C258" s="18"/>
      <c r="D258" s="16"/>
      <c r="E258" s="17" t="str">
        <f aca="false">IF(C258="","","Q"&amp;ROUNDUP(MONTH(C258)/3,0))</f>
        <v/>
      </c>
      <c r="F258" s="16"/>
      <c r="G258" s="16"/>
      <c r="H258" s="17" t="str">
        <f aca="false">IF(A258="","",IF(OR(B258="",C258=""),"Item ID and date needed",IF(COUNTIF(Sample_Log!$A$5:$A$204,A258)=0,"SMP-ID not in log",IF(COUNTIFS($A$5:$A$1004,A258,$B$5:$B$1004,B258)&gt;1,"Duplicate item in sample","OK"))))</f>
        <v/>
      </c>
    </row>
    <row r="259" customFormat="false" ht="15" hidden="false" customHeight="false" outlineLevel="0" collapsed="false">
      <c r="A259" s="16"/>
      <c r="B259" s="16"/>
      <c r="C259" s="18"/>
      <c r="D259" s="16"/>
      <c r="E259" s="17" t="str">
        <f aca="false">IF(C259="","","Q"&amp;ROUNDUP(MONTH(C259)/3,0))</f>
        <v/>
      </c>
      <c r="F259" s="16"/>
      <c r="G259" s="16"/>
      <c r="H259" s="17" t="str">
        <f aca="false">IF(A259="","",IF(OR(B259="",C259=""),"Item ID and date needed",IF(COUNTIF(Sample_Log!$A$5:$A$204,A259)=0,"SMP-ID not in log",IF(COUNTIFS($A$5:$A$1004,A259,$B$5:$B$1004,B259)&gt;1,"Duplicate item in sample","OK"))))</f>
        <v/>
      </c>
    </row>
    <row r="260" customFormat="false" ht="15" hidden="false" customHeight="false" outlineLevel="0" collapsed="false">
      <c r="A260" s="16"/>
      <c r="B260" s="16"/>
      <c r="C260" s="18"/>
      <c r="D260" s="16"/>
      <c r="E260" s="17" t="str">
        <f aca="false">IF(C260="","","Q"&amp;ROUNDUP(MONTH(C260)/3,0))</f>
        <v/>
      </c>
      <c r="F260" s="16"/>
      <c r="G260" s="16"/>
      <c r="H260" s="17" t="str">
        <f aca="false">IF(A260="","",IF(OR(B260="",C260=""),"Item ID and date needed",IF(COUNTIF(Sample_Log!$A$5:$A$204,A260)=0,"SMP-ID not in log",IF(COUNTIFS($A$5:$A$1004,A260,$B$5:$B$1004,B260)&gt;1,"Duplicate item in sample","OK"))))</f>
        <v/>
      </c>
    </row>
    <row r="261" customFormat="false" ht="15" hidden="false" customHeight="false" outlineLevel="0" collapsed="false">
      <c r="A261" s="16"/>
      <c r="B261" s="16"/>
      <c r="C261" s="18"/>
      <c r="D261" s="16"/>
      <c r="E261" s="17" t="str">
        <f aca="false">IF(C261="","","Q"&amp;ROUNDUP(MONTH(C261)/3,0))</f>
        <v/>
      </c>
      <c r="F261" s="16"/>
      <c r="G261" s="16"/>
      <c r="H261" s="17" t="str">
        <f aca="false">IF(A261="","",IF(OR(B261="",C261=""),"Item ID and date needed",IF(COUNTIF(Sample_Log!$A$5:$A$204,A261)=0,"SMP-ID not in log",IF(COUNTIFS($A$5:$A$1004,A261,$B$5:$B$1004,B261)&gt;1,"Duplicate item in sample","OK"))))</f>
        <v/>
      </c>
    </row>
    <row r="262" customFormat="false" ht="15" hidden="false" customHeight="false" outlineLevel="0" collapsed="false">
      <c r="A262" s="16"/>
      <c r="B262" s="16"/>
      <c r="C262" s="18"/>
      <c r="D262" s="16"/>
      <c r="E262" s="17" t="str">
        <f aca="false">IF(C262="","","Q"&amp;ROUNDUP(MONTH(C262)/3,0))</f>
        <v/>
      </c>
      <c r="F262" s="16"/>
      <c r="G262" s="16"/>
      <c r="H262" s="17" t="str">
        <f aca="false">IF(A262="","",IF(OR(B262="",C262=""),"Item ID and date needed",IF(COUNTIF(Sample_Log!$A$5:$A$204,A262)=0,"SMP-ID not in log",IF(COUNTIFS($A$5:$A$1004,A262,$B$5:$B$1004,B262)&gt;1,"Duplicate item in sample","OK"))))</f>
        <v/>
      </c>
    </row>
    <row r="263" customFormat="false" ht="15" hidden="false" customHeight="false" outlineLevel="0" collapsed="false">
      <c r="A263" s="16"/>
      <c r="B263" s="16"/>
      <c r="C263" s="18"/>
      <c r="D263" s="16"/>
      <c r="E263" s="17" t="str">
        <f aca="false">IF(C263="","","Q"&amp;ROUNDUP(MONTH(C263)/3,0))</f>
        <v/>
      </c>
      <c r="F263" s="16"/>
      <c r="G263" s="16"/>
      <c r="H263" s="17" t="str">
        <f aca="false">IF(A263="","",IF(OR(B263="",C263=""),"Item ID and date needed",IF(COUNTIF(Sample_Log!$A$5:$A$204,A263)=0,"SMP-ID not in log",IF(COUNTIFS($A$5:$A$1004,A263,$B$5:$B$1004,B263)&gt;1,"Duplicate item in sample","OK"))))</f>
        <v/>
      </c>
    </row>
    <row r="264" customFormat="false" ht="15" hidden="false" customHeight="false" outlineLevel="0" collapsed="false">
      <c r="A264" s="16"/>
      <c r="B264" s="16"/>
      <c r="C264" s="18"/>
      <c r="D264" s="16"/>
      <c r="E264" s="17" t="str">
        <f aca="false">IF(C264="","","Q"&amp;ROUNDUP(MONTH(C264)/3,0))</f>
        <v/>
      </c>
      <c r="F264" s="16"/>
      <c r="G264" s="16"/>
      <c r="H264" s="17" t="str">
        <f aca="false">IF(A264="","",IF(OR(B264="",C264=""),"Item ID and date needed",IF(COUNTIF(Sample_Log!$A$5:$A$204,A264)=0,"SMP-ID not in log",IF(COUNTIFS($A$5:$A$1004,A264,$B$5:$B$1004,B264)&gt;1,"Duplicate item in sample","OK"))))</f>
        <v/>
      </c>
    </row>
    <row r="265" customFormat="false" ht="15" hidden="false" customHeight="false" outlineLevel="0" collapsed="false">
      <c r="A265" s="16"/>
      <c r="B265" s="16"/>
      <c r="C265" s="18"/>
      <c r="D265" s="16"/>
      <c r="E265" s="17" t="str">
        <f aca="false">IF(C265="","","Q"&amp;ROUNDUP(MONTH(C265)/3,0))</f>
        <v/>
      </c>
      <c r="F265" s="16"/>
      <c r="G265" s="16"/>
      <c r="H265" s="17" t="str">
        <f aca="false">IF(A265="","",IF(OR(B265="",C265=""),"Item ID and date needed",IF(COUNTIF(Sample_Log!$A$5:$A$204,A265)=0,"SMP-ID not in log",IF(COUNTIFS($A$5:$A$1004,A265,$B$5:$B$1004,B265)&gt;1,"Duplicate item in sample","OK"))))</f>
        <v/>
      </c>
    </row>
    <row r="266" customFormat="false" ht="15" hidden="false" customHeight="false" outlineLevel="0" collapsed="false">
      <c r="A266" s="16"/>
      <c r="B266" s="16"/>
      <c r="C266" s="18"/>
      <c r="D266" s="16"/>
      <c r="E266" s="17" t="str">
        <f aca="false">IF(C266="","","Q"&amp;ROUNDUP(MONTH(C266)/3,0))</f>
        <v/>
      </c>
      <c r="F266" s="16"/>
      <c r="G266" s="16"/>
      <c r="H266" s="17" t="str">
        <f aca="false">IF(A266="","",IF(OR(B266="",C266=""),"Item ID and date needed",IF(COUNTIF(Sample_Log!$A$5:$A$204,A266)=0,"SMP-ID not in log",IF(COUNTIFS($A$5:$A$1004,A266,$B$5:$B$1004,B266)&gt;1,"Duplicate item in sample","OK"))))</f>
        <v/>
      </c>
    </row>
    <row r="267" customFormat="false" ht="15" hidden="false" customHeight="false" outlineLevel="0" collapsed="false">
      <c r="A267" s="16"/>
      <c r="B267" s="16"/>
      <c r="C267" s="18"/>
      <c r="D267" s="16"/>
      <c r="E267" s="17" t="str">
        <f aca="false">IF(C267="","","Q"&amp;ROUNDUP(MONTH(C267)/3,0))</f>
        <v/>
      </c>
      <c r="F267" s="16"/>
      <c r="G267" s="16"/>
      <c r="H267" s="17" t="str">
        <f aca="false">IF(A267="","",IF(OR(B267="",C267=""),"Item ID and date needed",IF(COUNTIF(Sample_Log!$A$5:$A$204,A267)=0,"SMP-ID not in log",IF(COUNTIFS($A$5:$A$1004,A267,$B$5:$B$1004,B267)&gt;1,"Duplicate item in sample","OK"))))</f>
        <v/>
      </c>
    </row>
    <row r="268" customFormat="false" ht="15" hidden="false" customHeight="false" outlineLevel="0" collapsed="false">
      <c r="A268" s="16"/>
      <c r="B268" s="16"/>
      <c r="C268" s="18"/>
      <c r="D268" s="16"/>
      <c r="E268" s="17" t="str">
        <f aca="false">IF(C268="","","Q"&amp;ROUNDUP(MONTH(C268)/3,0))</f>
        <v/>
      </c>
      <c r="F268" s="16"/>
      <c r="G268" s="16"/>
      <c r="H268" s="17" t="str">
        <f aca="false">IF(A268="","",IF(OR(B268="",C268=""),"Item ID and date needed",IF(COUNTIF(Sample_Log!$A$5:$A$204,A268)=0,"SMP-ID not in log",IF(COUNTIFS($A$5:$A$1004,A268,$B$5:$B$1004,B268)&gt;1,"Duplicate item in sample","OK"))))</f>
        <v/>
      </c>
    </row>
    <row r="269" customFormat="false" ht="15" hidden="false" customHeight="false" outlineLevel="0" collapsed="false">
      <c r="A269" s="16"/>
      <c r="B269" s="16"/>
      <c r="C269" s="18"/>
      <c r="D269" s="16"/>
      <c r="E269" s="17" t="str">
        <f aca="false">IF(C269="","","Q"&amp;ROUNDUP(MONTH(C269)/3,0))</f>
        <v/>
      </c>
      <c r="F269" s="16"/>
      <c r="G269" s="16"/>
      <c r="H269" s="17" t="str">
        <f aca="false">IF(A269="","",IF(OR(B269="",C269=""),"Item ID and date needed",IF(COUNTIF(Sample_Log!$A$5:$A$204,A269)=0,"SMP-ID not in log",IF(COUNTIFS($A$5:$A$1004,A269,$B$5:$B$1004,B269)&gt;1,"Duplicate item in sample","OK"))))</f>
        <v/>
      </c>
    </row>
    <row r="270" customFormat="false" ht="15" hidden="false" customHeight="false" outlineLevel="0" collapsed="false">
      <c r="A270" s="16"/>
      <c r="B270" s="16"/>
      <c r="C270" s="18"/>
      <c r="D270" s="16"/>
      <c r="E270" s="17" t="str">
        <f aca="false">IF(C270="","","Q"&amp;ROUNDUP(MONTH(C270)/3,0))</f>
        <v/>
      </c>
      <c r="F270" s="16"/>
      <c r="G270" s="16"/>
      <c r="H270" s="17" t="str">
        <f aca="false">IF(A270="","",IF(OR(B270="",C270=""),"Item ID and date needed",IF(COUNTIF(Sample_Log!$A$5:$A$204,A270)=0,"SMP-ID not in log",IF(COUNTIFS($A$5:$A$1004,A270,$B$5:$B$1004,B270)&gt;1,"Duplicate item in sample","OK"))))</f>
        <v/>
      </c>
    </row>
    <row r="271" customFormat="false" ht="15" hidden="false" customHeight="false" outlineLevel="0" collapsed="false">
      <c r="A271" s="16"/>
      <c r="B271" s="16"/>
      <c r="C271" s="18"/>
      <c r="D271" s="16"/>
      <c r="E271" s="17" t="str">
        <f aca="false">IF(C271="","","Q"&amp;ROUNDUP(MONTH(C271)/3,0))</f>
        <v/>
      </c>
      <c r="F271" s="16"/>
      <c r="G271" s="16"/>
      <c r="H271" s="17" t="str">
        <f aca="false">IF(A271="","",IF(OR(B271="",C271=""),"Item ID and date needed",IF(COUNTIF(Sample_Log!$A$5:$A$204,A271)=0,"SMP-ID not in log",IF(COUNTIFS($A$5:$A$1004,A271,$B$5:$B$1004,B271)&gt;1,"Duplicate item in sample","OK"))))</f>
        <v/>
      </c>
    </row>
    <row r="272" customFormat="false" ht="15" hidden="false" customHeight="false" outlineLevel="0" collapsed="false">
      <c r="A272" s="16"/>
      <c r="B272" s="16"/>
      <c r="C272" s="18"/>
      <c r="D272" s="16"/>
      <c r="E272" s="17" t="str">
        <f aca="false">IF(C272="","","Q"&amp;ROUNDUP(MONTH(C272)/3,0))</f>
        <v/>
      </c>
      <c r="F272" s="16"/>
      <c r="G272" s="16"/>
      <c r="H272" s="17" t="str">
        <f aca="false">IF(A272="","",IF(OR(B272="",C272=""),"Item ID and date needed",IF(COUNTIF(Sample_Log!$A$5:$A$204,A272)=0,"SMP-ID not in log",IF(COUNTIFS($A$5:$A$1004,A272,$B$5:$B$1004,B272)&gt;1,"Duplicate item in sample","OK"))))</f>
        <v/>
      </c>
    </row>
    <row r="273" customFormat="false" ht="15" hidden="false" customHeight="false" outlineLevel="0" collapsed="false">
      <c r="A273" s="16"/>
      <c r="B273" s="16"/>
      <c r="C273" s="18"/>
      <c r="D273" s="16"/>
      <c r="E273" s="17" t="str">
        <f aca="false">IF(C273="","","Q"&amp;ROUNDUP(MONTH(C273)/3,0))</f>
        <v/>
      </c>
      <c r="F273" s="16"/>
      <c r="G273" s="16"/>
      <c r="H273" s="17" t="str">
        <f aca="false">IF(A273="","",IF(OR(B273="",C273=""),"Item ID and date needed",IF(COUNTIF(Sample_Log!$A$5:$A$204,A273)=0,"SMP-ID not in log",IF(COUNTIFS($A$5:$A$1004,A273,$B$5:$B$1004,B273)&gt;1,"Duplicate item in sample","OK"))))</f>
        <v/>
      </c>
    </row>
    <row r="274" customFormat="false" ht="15" hidden="false" customHeight="false" outlineLevel="0" collapsed="false">
      <c r="A274" s="16"/>
      <c r="B274" s="16"/>
      <c r="C274" s="18"/>
      <c r="D274" s="16"/>
      <c r="E274" s="17" t="str">
        <f aca="false">IF(C274="","","Q"&amp;ROUNDUP(MONTH(C274)/3,0))</f>
        <v/>
      </c>
      <c r="F274" s="16"/>
      <c r="G274" s="16"/>
      <c r="H274" s="17" t="str">
        <f aca="false">IF(A274="","",IF(OR(B274="",C274=""),"Item ID and date needed",IF(COUNTIF(Sample_Log!$A$5:$A$204,A274)=0,"SMP-ID not in log",IF(COUNTIFS($A$5:$A$1004,A274,$B$5:$B$1004,B274)&gt;1,"Duplicate item in sample","OK"))))</f>
        <v/>
      </c>
    </row>
    <row r="275" customFormat="false" ht="15" hidden="false" customHeight="false" outlineLevel="0" collapsed="false">
      <c r="A275" s="16"/>
      <c r="B275" s="16"/>
      <c r="C275" s="18"/>
      <c r="D275" s="16"/>
      <c r="E275" s="17" t="str">
        <f aca="false">IF(C275="","","Q"&amp;ROUNDUP(MONTH(C275)/3,0))</f>
        <v/>
      </c>
      <c r="F275" s="16"/>
      <c r="G275" s="16"/>
      <c r="H275" s="17" t="str">
        <f aca="false">IF(A275="","",IF(OR(B275="",C275=""),"Item ID and date needed",IF(COUNTIF(Sample_Log!$A$5:$A$204,A275)=0,"SMP-ID not in log",IF(COUNTIFS($A$5:$A$1004,A275,$B$5:$B$1004,B275)&gt;1,"Duplicate item in sample","OK"))))</f>
        <v/>
      </c>
    </row>
    <row r="276" customFormat="false" ht="15" hidden="false" customHeight="false" outlineLevel="0" collapsed="false">
      <c r="A276" s="16"/>
      <c r="B276" s="16"/>
      <c r="C276" s="18"/>
      <c r="D276" s="16"/>
      <c r="E276" s="17" t="str">
        <f aca="false">IF(C276="","","Q"&amp;ROUNDUP(MONTH(C276)/3,0))</f>
        <v/>
      </c>
      <c r="F276" s="16"/>
      <c r="G276" s="16"/>
      <c r="H276" s="17" t="str">
        <f aca="false">IF(A276="","",IF(OR(B276="",C276=""),"Item ID and date needed",IF(COUNTIF(Sample_Log!$A$5:$A$204,A276)=0,"SMP-ID not in log",IF(COUNTIFS($A$5:$A$1004,A276,$B$5:$B$1004,B276)&gt;1,"Duplicate item in sample","OK"))))</f>
        <v/>
      </c>
    </row>
    <row r="277" customFormat="false" ht="15" hidden="false" customHeight="false" outlineLevel="0" collapsed="false">
      <c r="A277" s="16"/>
      <c r="B277" s="16"/>
      <c r="C277" s="18"/>
      <c r="D277" s="16"/>
      <c r="E277" s="17" t="str">
        <f aca="false">IF(C277="","","Q"&amp;ROUNDUP(MONTH(C277)/3,0))</f>
        <v/>
      </c>
      <c r="F277" s="16"/>
      <c r="G277" s="16"/>
      <c r="H277" s="17" t="str">
        <f aca="false">IF(A277="","",IF(OR(B277="",C277=""),"Item ID and date needed",IF(COUNTIF(Sample_Log!$A$5:$A$204,A277)=0,"SMP-ID not in log",IF(COUNTIFS($A$5:$A$1004,A277,$B$5:$B$1004,B277)&gt;1,"Duplicate item in sample","OK"))))</f>
        <v/>
      </c>
    </row>
    <row r="278" customFormat="false" ht="15" hidden="false" customHeight="false" outlineLevel="0" collapsed="false">
      <c r="A278" s="16"/>
      <c r="B278" s="16"/>
      <c r="C278" s="18"/>
      <c r="D278" s="16"/>
      <c r="E278" s="17" t="str">
        <f aca="false">IF(C278="","","Q"&amp;ROUNDUP(MONTH(C278)/3,0))</f>
        <v/>
      </c>
      <c r="F278" s="16"/>
      <c r="G278" s="16"/>
      <c r="H278" s="17" t="str">
        <f aca="false">IF(A278="","",IF(OR(B278="",C278=""),"Item ID and date needed",IF(COUNTIF(Sample_Log!$A$5:$A$204,A278)=0,"SMP-ID not in log",IF(COUNTIFS($A$5:$A$1004,A278,$B$5:$B$1004,B278)&gt;1,"Duplicate item in sample","OK"))))</f>
        <v/>
      </c>
    </row>
    <row r="279" customFormat="false" ht="15" hidden="false" customHeight="false" outlineLevel="0" collapsed="false">
      <c r="A279" s="16"/>
      <c r="B279" s="16"/>
      <c r="C279" s="18"/>
      <c r="D279" s="16"/>
      <c r="E279" s="17" t="str">
        <f aca="false">IF(C279="","","Q"&amp;ROUNDUP(MONTH(C279)/3,0))</f>
        <v/>
      </c>
      <c r="F279" s="16"/>
      <c r="G279" s="16"/>
      <c r="H279" s="17" t="str">
        <f aca="false">IF(A279="","",IF(OR(B279="",C279=""),"Item ID and date needed",IF(COUNTIF(Sample_Log!$A$5:$A$204,A279)=0,"SMP-ID not in log",IF(COUNTIFS($A$5:$A$1004,A279,$B$5:$B$1004,B279)&gt;1,"Duplicate item in sample","OK"))))</f>
        <v/>
      </c>
    </row>
    <row r="280" customFormat="false" ht="15" hidden="false" customHeight="false" outlineLevel="0" collapsed="false">
      <c r="A280" s="16"/>
      <c r="B280" s="16"/>
      <c r="C280" s="18"/>
      <c r="D280" s="16"/>
      <c r="E280" s="17" t="str">
        <f aca="false">IF(C280="","","Q"&amp;ROUNDUP(MONTH(C280)/3,0))</f>
        <v/>
      </c>
      <c r="F280" s="16"/>
      <c r="G280" s="16"/>
      <c r="H280" s="17" t="str">
        <f aca="false">IF(A280="","",IF(OR(B280="",C280=""),"Item ID and date needed",IF(COUNTIF(Sample_Log!$A$5:$A$204,A280)=0,"SMP-ID not in log",IF(COUNTIFS($A$5:$A$1004,A280,$B$5:$B$1004,B280)&gt;1,"Duplicate item in sample","OK"))))</f>
        <v/>
      </c>
    </row>
    <row r="281" customFormat="false" ht="15" hidden="false" customHeight="false" outlineLevel="0" collapsed="false">
      <c r="A281" s="16"/>
      <c r="B281" s="16"/>
      <c r="C281" s="18"/>
      <c r="D281" s="16"/>
      <c r="E281" s="17" t="str">
        <f aca="false">IF(C281="","","Q"&amp;ROUNDUP(MONTH(C281)/3,0))</f>
        <v/>
      </c>
      <c r="F281" s="16"/>
      <c r="G281" s="16"/>
      <c r="H281" s="17" t="str">
        <f aca="false">IF(A281="","",IF(OR(B281="",C281=""),"Item ID and date needed",IF(COUNTIF(Sample_Log!$A$5:$A$204,A281)=0,"SMP-ID not in log",IF(COUNTIFS($A$5:$A$1004,A281,$B$5:$B$1004,B281)&gt;1,"Duplicate item in sample","OK"))))</f>
        <v/>
      </c>
    </row>
    <row r="282" customFormat="false" ht="15" hidden="false" customHeight="false" outlineLevel="0" collapsed="false">
      <c r="A282" s="16"/>
      <c r="B282" s="16"/>
      <c r="C282" s="18"/>
      <c r="D282" s="16"/>
      <c r="E282" s="17" t="str">
        <f aca="false">IF(C282="","","Q"&amp;ROUNDUP(MONTH(C282)/3,0))</f>
        <v/>
      </c>
      <c r="F282" s="16"/>
      <c r="G282" s="16"/>
      <c r="H282" s="17" t="str">
        <f aca="false">IF(A282="","",IF(OR(B282="",C282=""),"Item ID and date needed",IF(COUNTIF(Sample_Log!$A$5:$A$204,A282)=0,"SMP-ID not in log",IF(COUNTIFS($A$5:$A$1004,A282,$B$5:$B$1004,B282)&gt;1,"Duplicate item in sample","OK"))))</f>
        <v/>
      </c>
    </row>
    <row r="283" customFormat="false" ht="15" hidden="false" customHeight="false" outlineLevel="0" collapsed="false">
      <c r="A283" s="16"/>
      <c r="B283" s="16"/>
      <c r="C283" s="18"/>
      <c r="D283" s="16"/>
      <c r="E283" s="17" t="str">
        <f aca="false">IF(C283="","","Q"&amp;ROUNDUP(MONTH(C283)/3,0))</f>
        <v/>
      </c>
      <c r="F283" s="16"/>
      <c r="G283" s="16"/>
      <c r="H283" s="17" t="str">
        <f aca="false">IF(A283="","",IF(OR(B283="",C283=""),"Item ID and date needed",IF(COUNTIF(Sample_Log!$A$5:$A$204,A283)=0,"SMP-ID not in log",IF(COUNTIFS($A$5:$A$1004,A283,$B$5:$B$1004,B283)&gt;1,"Duplicate item in sample","OK"))))</f>
        <v/>
      </c>
    </row>
    <row r="284" customFormat="false" ht="15" hidden="false" customHeight="false" outlineLevel="0" collapsed="false">
      <c r="A284" s="16"/>
      <c r="B284" s="16"/>
      <c r="C284" s="18"/>
      <c r="D284" s="16"/>
      <c r="E284" s="17" t="str">
        <f aca="false">IF(C284="","","Q"&amp;ROUNDUP(MONTH(C284)/3,0))</f>
        <v/>
      </c>
      <c r="F284" s="16"/>
      <c r="G284" s="16"/>
      <c r="H284" s="17" t="str">
        <f aca="false">IF(A284="","",IF(OR(B284="",C284=""),"Item ID and date needed",IF(COUNTIF(Sample_Log!$A$5:$A$204,A284)=0,"SMP-ID not in log",IF(COUNTIFS($A$5:$A$1004,A284,$B$5:$B$1004,B284)&gt;1,"Duplicate item in sample","OK"))))</f>
        <v/>
      </c>
    </row>
    <row r="285" customFormat="false" ht="15" hidden="false" customHeight="false" outlineLevel="0" collapsed="false">
      <c r="A285" s="16"/>
      <c r="B285" s="16"/>
      <c r="C285" s="18"/>
      <c r="D285" s="16"/>
      <c r="E285" s="17" t="str">
        <f aca="false">IF(C285="","","Q"&amp;ROUNDUP(MONTH(C285)/3,0))</f>
        <v/>
      </c>
      <c r="F285" s="16"/>
      <c r="G285" s="16"/>
      <c r="H285" s="17" t="str">
        <f aca="false">IF(A285="","",IF(OR(B285="",C285=""),"Item ID and date needed",IF(COUNTIF(Sample_Log!$A$5:$A$204,A285)=0,"SMP-ID not in log",IF(COUNTIFS($A$5:$A$1004,A285,$B$5:$B$1004,B285)&gt;1,"Duplicate item in sample","OK"))))</f>
        <v/>
      </c>
    </row>
    <row r="286" customFormat="false" ht="15" hidden="false" customHeight="false" outlineLevel="0" collapsed="false">
      <c r="A286" s="16"/>
      <c r="B286" s="16"/>
      <c r="C286" s="18"/>
      <c r="D286" s="16"/>
      <c r="E286" s="17" t="str">
        <f aca="false">IF(C286="","","Q"&amp;ROUNDUP(MONTH(C286)/3,0))</f>
        <v/>
      </c>
      <c r="F286" s="16"/>
      <c r="G286" s="16"/>
      <c r="H286" s="17" t="str">
        <f aca="false">IF(A286="","",IF(OR(B286="",C286=""),"Item ID and date needed",IF(COUNTIF(Sample_Log!$A$5:$A$204,A286)=0,"SMP-ID not in log",IF(COUNTIFS($A$5:$A$1004,A286,$B$5:$B$1004,B286)&gt;1,"Duplicate item in sample","OK"))))</f>
        <v/>
      </c>
    </row>
    <row r="287" customFormat="false" ht="15" hidden="false" customHeight="false" outlineLevel="0" collapsed="false">
      <c r="A287" s="16"/>
      <c r="B287" s="16"/>
      <c r="C287" s="18"/>
      <c r="D287" s="16"/>
      <c r="E287" s="17" t="str">
        <f aca="false">IF(C287="","","Q"&amp;ROUNDUP(MONTH(C287)/3,0))</f>
        <v/>
      </c>
      <c r="F287" s="16"/>
      <c r="G287" s="16"/>
      <c r="H287" s="17" t="str">
        <f aca="false">IF(A287="","",IF(OR(B287="",C287=""),"Item ID and date needed",IF(COUNTIF(Sample_Log!$A$5:$A$204,A287)=0,"SMP-ID not in log",IF(COUNTIFS($A$5:$A$1004,A287,$B$5:$B$1004,B287)&gt;1,"Duplicate item in sample","OK"))))</f>
        <v/>
      </c>
    </row>
    <row r="288" customFormat="false" ht="15" hidden="false" customHeight="false" outlineLevel="0" collapsed="false">
      <c r="A288" s="16"/>
      <c r="B288" s="16"/>
      <c r="C288" s="18"/>
      <c r="D288" s="16"/>
      <c r="E288" s="17" t="str">
        <f aca="false">IF(C288="","","Q"&amp;ROUNDUP(MONTH(C288)/3,0))</f>
        <v/>
      </c>
      <c r="F288" s="16"/>
      <c r="G288" s="16"/>
      <c r="H288" s="17" t="str">
        <f aca="false">IF(A288="","",IF(OR(B288="",C288=""),"Item ID and date needed",IF(COUNTIF(Sample_Log!$A$5:$A$204,A288)=0,"SMP-ID not in log",IF(COUNTIFS($A$5:$A$1004,A288,$B$5:$B$1004,B288)&gt;1,"Duplicate item in sample","OK"))))</f>
        <v/>
      </c>
    </row>
    <row r="289" customFormat="false" ht="15" hidden="false" customHeight="false" outlineLevel="0" collapsed="false">
      <c r="A289" s="16"/>
      <c r="B289" s="16"/>
      <c r="C289" s="18"/>
      <c r="D289" s="16"/>
      <c r="E289" s="17" t="str">
        <f aca="false">IF(C289="","","Q"&amp;ROUNDUP(MONTH(C289)/3,0))</f>
        <v/>
      </c>
      <c r="F289" s="16"/>
      <c r="G289" s="16"/>
      <c r="H289" s="17" t="str">
        <f aca="false">IF(A289="","",IF(OR(B289="",C289=""),"Item ID and date needed",IF(COUNTIF(Sample_Log!$A$5:$A$204,A289)=0,"SMP-ID not in log",IF(COUNTIFS($A$5:$A$1004,A289,$B$5:$B$1004,B289)&gt;1,"Duplicate item in sample","OK"))))</f>
        <v/>
      </c>
    </row>
    <row r="290" customFormat="false" ht="15" hidden="false" customHeight="false" outlineLevel="0" collapsed="false">
      <c r="A290" s="16"/>
      <c r="B290" s="16"/>
      <c r="C290" s="18"/>
      <c r="D290" s="16"/>
      <c r="E290" s="17" t="str">
        <f aca="false">IF(C290="","","Q"&amp;ROUNDUP(MONTH(C290)/3,0))</f>
        <v/>
      </c>
      <c r="F290" s="16"/>
      <c r="G290" s="16"/>
      <c r="H290" s="17" t="str">
        <f aca="false">IF(A290="","",IF(OR(B290="",C290=""),"Item ID and date needed",IF(COUNTIF(Sample_Log!$A$5:$A$204,A290)=0,"SMP-ID not in log",IF(COUNTIFS($A$5:$A$1004,A290,$B$5:$B$1004,B290)&gt;1,"Duplicate item in sample","OK"))))</f>
        <v/>
      </c>
    </row>
    <row r="291" customFormat="false" ht="15" hidden="false" customHeight="false" outlineLevel="0" collapsed="false">
      <c r="A291" s="16"/>
      <c r="B291" s="16"/>
      <c r="C291" s="18"/>
      <c r="D291" s="16"/>
      <c r="E291" s="17" t="str">
        <f aca="false">IF(C291="","","Q"&amp;ROUNDUP(MONTH(C291)/3,0))</f>
        <v/>
      </c>
      <c r="F291" s="16"/>
      <c r="G291" s="16"/>
      <c r="H291" s="17" t="str">
        <f aca="false">IF(A291="","",IF(OR(B291="",C291=""),"Item ID and date needed",IF(COUNTIF(Sample_Log!$A$5:$A$204,A291)=0,"SMP-ID not in log",IF(COUNTIFS($A$5:$A$1004,A291,$B$5:$B$1004,B291)&gt;1,"Duplicate item in sample","OK"))))</f>
        <v/>
      </c>
    </row>
    <row r="292" customFormat="false" ht="15" hidden="false" customHeight="false" outlineLevel="0" collapsed="false">
      <c r="A292" s="16"/>
      <c r="B292" s="16"/>
      <c r="C292" s="18"/>
      <c r="D292" s="16"/>
      <c r="E292" s="17" t="str">
        <f aca="false">IF(C292="","","Q"&amp;ROUNDUP(MONTH(C292)/3,0))</f>
        <v/>
      </c>
      <c r="F292" s="16"/>
      <c r="G292" s="16"/>
      <c r="H292" s="17" t="str">
        <f aca="false">IF(A292="","",IF(OR(B292="",C292=""),"Item ID and date needed",IF(COUNTIF(Sample_Log!$A$5:$A$204,A292)=0,"SMP-ID not in log",IF(COUNTIFS($A$5:$A$1004,A292,$B$5:$B$1004,B292)&gt;1,"Duplicate item in sample","OK"))))</f>
        <v/>
      </c>
    </row>
    <row r="293" customFormat="false" ht="15" hidden="false" customHeight="false" outlineLevel="0" collapsed="false">
      <c r="A293" s="16"/>
      <c r="B293" s="16"/>
      <c r="C293" s="18"/>
      <c r="D293" s="16"/>
      <c r="E293" s="17" t="str">
        <f aca="false">IF(C293="","","Q"&amp;ROUNDUP(MONTH(C293)/3,0))</f>
        <v/>
      </c>
      <c r="F293" s="16"/>
      <c r="G293" s="16"/>
      <c r="H293" s="17" t="str">
        <f aca="false">IF(A293="","",IF(OR(B293="",C293=""),"Item ID and date needed",IF(COUNTIF(Sample_Log!$A$5:$A$204,A293)=0,"SMP-ID not in log",IF(COUNTIFS($A$5:$A$1004,A293,$B$5:$B$1004,B293)&gt;1,"Duplicate item in sample","OK"))))</f>
        <v/>
      </c>
    </row>
    <row r="294" customFormat="false" ht="15" hidden="false" customHeight="false" outlineLevel="0" collapsed="false">
      <c r="A294" s="16"/>
      <c r="B294" s="16"/>
      <c r="C294" s="18"/>
      <c r="D294" s="16"/>
      <c r="E294" s="17" t="str">
        <f aca="false">IF(C294="","","Q"&amp;ROUNDUP(MONTH(C294)/3,0))</f>
        <v/>
      </c>
      <c r="F294" s="16"/>
      <c r="G294" s="16"/>
      <c r="H294" s="17" t="str">
        <f aca="false">IF(A294="","",IF(OR(B294="",C294=""),"Item ID and date needed",IF(COUNTIF(Sample_Log!$A$5:$A$204,A294)=0,"SMP-ID not in log",IF(COUNTIFS($A$5:$A$1004,A294,$B$5:$B$1004,B294)&gt;1,"Duplicate item in sample","OK"))))</f>
        <v/>
      </c>
    </row>
    <row r="295" customFormat="false" ht="15" hidden="false" customHeight="false" outlineLevel="0" collapsed="false">
      <c r="A295" s="16"/>
      <c r="B295" s="16"/>
      <c r="C295" s="18"/>
      <c r="D295" s="16"/>
      <c r="E295" s="17" t="str">
        <f aca="false">IF(C295="","","Q"&amp;ROUNDUP(MONTH(C295)/3,0))</f>
        <v/>
      </c>
      <c r="F295" s="16"/>
      <c r="G295" s="16"/>
      <c r="H295" s="17" t="str">
        <f aca="false">IF(A295="","",IF(OR(B295="",C295=""),"Item ID and date needed",IF(COUNTIF(Sample_Log!$A$5:$A$204,A295)=0,"SMP-ID not in log",IF(COUNTIFS($A$5:$A$1004,A295,$B$5:$B$1004,B295)&gt;1,"Duplicate item in sample","OK"))))</f>
        <v/>
      </c>
    </row>
    <row r="296" customFormat="false" ht="15" hidden="false" customHeight="false" outlineLevel="0" collapsed="false">
      <c r="A296" s="16"/>
      <c r="B296" s="16"/>
      <c r="C296" s="18"/>
      <c r="D296" s="16"/>
      <c r="E296" s="17" t="str">
        <f aca="false">IF(C296="","","Q"&amp;ROUNDUP(MONTH(C296)/3,0))</f>
        <v/>
      </c>
      <c r="F296" s="16"/>
      <c r="G296" s="16"/>
      <c r="H296" s="17" t="str">
        <f aca="false">IF(A296="","",IF(OR(B296="",C296=""),"Item ID and date needed",IF(COUNTIF(Sample_Log!$A$5:$A$204,A296)=0,"SMP-ID not in log",IF(COUNTIFS($A$5:$A$1004,A296,$B$5:$B$1004,B296)&gt;1,"Duplicate item in sample","OK"))))</f>
        <v/>
      </c>
    </row>
    <row r="297" customFormat="false" ht="15" hidden="false" customHeight="false" outlineLevel="0" collapsed="false">
      <c r="A297" s="16"/>
      <c r="B297" s="16"/>
      <c r="C297" s="18"/>
      <c r="D297" s="16"/>
      <c r="E297" s="17" t="str">
        <f aca="false">IF(C297="","","Q"&amp;ROUNDUP(MONTH(C297)/3,0))</f>
        <v/>
      </c>
      <c r="F297" s="16"/>
      <c r="G297" s="16"/>
      <c r="H297" s="17" t="str">
        <f aca="false">IF(A297="","",IF(OR(B297="",C297=""),"Item ID and date needed",IF(COUNTIF(Sample_Log!$A$5:$A$204,A297)=0,"SMP-ID not in log",IF(COUNTIFS($A$5:$A$1004,A297,$B$5:$B$1004,B297)&gt;1,"Duplicate item in sample","OK"))))</f>
        <v/>
      </c>
    </row>
    <row r="298" customFormat="false" ht="15" hidden="false" customHeight="false" outlineLevel="0" collapsed="false">
      <c r="A298" s="16"/>
      <c r="B298" s="16"/>
      <c r="C298" s="18"/>
      <c r="D298" s="16"/>
      <c r="E298" s="17" t="str">
        <f aca="false">IF(C298="","","Q"&amp;ROUNDUP(MONTH(C298)/3,0))</f>
        <v/>
      </c>
      <c r="F298" s="16"/>
      <c r="G298" s="16"/>
      <c r="H298" s="17" t="str">
        <f aca="false">IF(A298="","",IF(OR(B298="",C298=""),"Item ID and date needed",IF(COUNTIF(Sample_Log!$A$5:$A$204,A298)=0,"SMP-ID not in log",IF(COUNTIFS($A$5:$A$1004,A298,$B$5:$B$1004,B298)&gt;1,"Duplicate item in sample","OK"))))</f>
        <v/>
      </c>
    </row>
    <row r="299" customFormat="false" ht="15" hidden="false" customHeight="false" outlineLevel="0" collapsed="false">
      <c r="A299" s="16"/>
      <c r="B299" s="16"/>
      <c r="C299" s="18"/>
      <c r="D299" s="16"/>
      <c r="E299" s="17" t="str">
        <f aca="false">IF(C299="","","Q"&amp;ROUNDUP(MONTH(C299)/3,0))</f>
        <v/>
      </c>
      <c r="F299" s="16"/>
      <c r="G299" s="16"/>
      <c r="H299" s="17" t="str">
        <f aca="false">IF(A299="","",IF(OR(B299="",C299=""),"Item ID and date needed",IF(COUNTIF(Sample_Log!$A$5:$A$204,A299)=0,"SMP-ID not in log",IF(COUNTIFS($A$5:$A$1004,A299,$B$5:$B$1004,B299)&gt;1,"Duplicate item in sample","OK"))))</f>
        <v/>
      </c>
    </row>
    <row r="300" customFormat="false" ht="15" hidden="false" customHeight="false" outlineLevel="0" collapsed="false">
      <c r="A300" s="16"/>
      <c r="B300" s="16"/>
      <c r="C300" s="18"/>
      <c r="D300" s="16"/>
      <c r="E300" s="17" t="str">
        <f aca="false">IF(C300="","","Q"&amp;ROUNDUP(MONTH(C300)/3,0))</f>
        <v/>
      </c>
      <c r="F300" s="16"/>
      <c r="G300" s="16"/>
      <c r="H300" s="17" t="str">
        <f aca="false">IF(A300="","",IF(OR(B300="",C300=""),"Item ID and date needed",IF(COUNTIF(Sample_Log!$A$5:$A$204,A300)=0,"SMP-ID not in log",IF(COUNTIFS($A$5:$A$1004,A300,$B$5:$B$1004,B300)&gt;1,"Duplicate item in sample","OK"))))</f>
        <v/>
      </c>
    </row>
    <row r="301" customFormat="false" ht="15" hidden="false" customHeight="false" outlineLevel="0" collapsed="false">
      <c r="A301" s="16"/>
      <c r="B301" s="16"/>
      <c r="C301" s="18"/>
      <c r="D301" s="16"/>
      <c r="E301" s="17" t="str">
        <f aca="false">IF(C301="","","Q"&amp;ROUNDUP(MONTH(C301)/3,0))</f>
        <v/>
      </c>
      <c r="F301" s="16"/>
      <c r="G301" s="16"/>
      <c r="H301" s="17" t="str">
        <f aca="false">IF(A301="","",IF(OR(B301="",C301=""),"Item ID and date needed",IF(COUNTIF(Sample_Log!$A$5:$A$204,A301)=0,"SMP-ID not in log",IF(COUNTIFS($A$5:$A$1004,A301,$B$5:$B$1004,B301)&gt;1,"Duplicate item in sample","OK"))))</f>
        <v/>
      </c>
    </row>
    <row r="302" customFormat="false" ht="15" hidden="false" customHeight="false" outlineLevel="0" collapsed="false">
      <c r="A302" s="16"/>
      <c r="B302" s="16"/>
      <c r="C302" s="18"/>
      <c r="D302" s="16"/>
      <c r="E302" s="17" t="str">
        <f aca="false">IF(C302="","","Q"&amp;ROUNDUP(MONTH(C302)/3,0))</f>
        <v/>
      </c>
      <c r="F302" s="16"/>
      <c r="G302" s="16"/>
      <c r="H302" s="17" t="str">
        <f aca="false">IF(A302="","",IF(OR(B302="",C302=""),"Item ID and date needed",IF(COUNTIF(Sample_Log!$A$5:$A$204,A302)=0,"SMP-ID not in log",IF(COUNTIFS($A$5:$A$1004,A302,$B$5:$B$1004,B302)&gt;1,"Duplicate item in sample","OK"))))</f>
        <v/>
      </c>
    </row>
    <row r="303" customFormat="false" ht="15" hidden="false" customHeight="false" outlineLevel="0" collapsed="false">
      <c r="A303" s="16"/>
      <c r="B303" s="16"/>
      <c r="C303" s="18"/>
      <c r="D303" s="16"/>
      <c r="E303" s="17" t="str">
        <f aca="false">IF(C303="","","Q"&amp;ROUNDUP(MONTH(C303)/3,0))</f>
        <v/>
      </c>
      <c r="F303" s="16"/>
      <c r="G303" s="16"/>
      <c r="H303" s="17" t="str">
        <f aca="false">IF(A303="","",IF(OR(B303="",C303=""),"Item ID and date needed",IF(COUNTIF(Sample_Log!$A$5:$A$204,A303)=0,"SMP-ID not in log",IF(COUNTIFS($A$5:$A$1004,A303,$B$5:$B$1004,B303)&gt;1,"Duplicate item in sample","OK"))))</f>
        <v/>
      </c>
    </row>
    <row r="304" customFormat="false" ht="15" hidden="false" customHeight="false" outlineLevel="0" collapsed="false">
      <c r="A304" s="16"/>
      <c r="B304" s="16"/>
      <c r="C304" s="18"/>
      <c r="D304" s="16"/>
      <c r="E304" s="17" t="str">
        <f aca="false">IF(C304="","","Q"&amp;ROUNDUP(MONTH(C304)/3,0))</f>
        <v/>
      </c>
      <c r="F304" s="16"/>
      <c r="G304" s="16"/>
      <c r="H304" s="17" t="str">
        <f aca="false">IF(A304="","",IF(OR(B304="",C304=""),"Item ID and date needed",IF(COUNTIF(Sample_Log!$A$5:$A$204,A304)=0,"SMP-ID not in log",IF(COUNTIFS($A$5:$A$1004,A304,$B$5:$B$1004,B304)&gt;1,"Duplicate item in sample","OK"))))</f>
        <v/>
      </c>
    </row>
    <row r="305" customFormat="false" ht="15" hidden="false" customHeight="false" outlineLevel="0" collapsed="false">
      <c r="A305" s="16"/>
      <c r="B305" s="16"/>
      <c r="C305" s="18"/>
      <c r="D305" s="16"/>
      <c r="E305" s="17" t="str">
        <f aca="false">IF(C305="","","Q"&amp;ROUNDUP(MONTH(C305)/3,0))</f>
        <v/>
      </c>
      <c r="F305" s="16"/>
      <c r="G305" s="16"/>
      <c r="H305" s="17" t="str">
        <f aca="false">IF(A305="","",IF(OR(B305="",C305=""),"Item ID and date needed",IF(COUNTIF(Sample_Log!$A$5:$A$204,A305)=0,"SMP-ID not in log",IF(COUNTIFS($A$5:$A$1004,A305,$B$5:$B$1004,B305)&gt;1,"Duplicate item in sample","OK"))))</f>
        <v/>
      </c>
    </row>
    <row r="306" customFormat="false" ht="15" hidden="false" customHeight="false" outlineLevel="0" collapsed="false">
      <c r="A306" s="16"/>
      <c r="B306" s="16"/>
      <c r="C306" s="18"/>
      <c r="D306" s="16"/>
      <c r="E306" s="17" t="str">
        <f aca="false">IF(C306="","","Q"&amp;ROUNDUP(MONTH(C306)/3,0))</f>
        <v/>
      </c>
      <c r="F306" s="16"/>
      <c r="G306" s="16"/>
      <c r="H306" s="17" t="str">
        <f aca="false">IF(A306="","",IF(OR(B306="",C306=""),"Item ID and date needed",IF(COUNTIF(Sample_Log!$A$5:$A$204,A306)=0,"SMP-ID not in log",IF(COUNTIFS($A$5:$A$1004,A306,$B$5:$B$1004,B306)&gt;1,"Duplicate item in sample","OK"))))</f>
        <v/>
      </c>
    </row>
    <row r="307" customFormat="false" ht="15" hidden="false" customHeight="false" outlineLevel="0" collapsed="false">
      <c r="A307" s="16"/>
      <c r="B307" s="16"/>
      <c r="C307" s="18"/>
      <c r="D307" s="16"/>
      <c r="E307" s="17" t="str">
        <f aca="false">IF(C307="","","Q"&amp;ROUNDUP(MONTH(C307)/3,0))</f>
        <v/>
      </c>
      <c r="F307" s="16"/>
      <c r="G307" s="16"/>
      <c r="H307" s="17" t="str">
        <f aca="false">IF(A307="","",IF(OR(B307="",C307=""),"Item ID and date needed",IF(COUNTIF(Sample_Log!$A$5:$A$204,A307)=0,"SMP-ID not in log",IF(COUNTIFS($A$5:$A$1004,A307,$B$5:$B$1004,B307)&gt;1,"Duplicate item in sample","OK"))))</f>
        <v/>
      </c>
    </row>
    <row r="308" customFormat="false" ht="15" hidden="false" customHeight="false" outlineLevel="0" collapsed="false">
      <c r="A308" s="16"/>
      <c r="B308" s="16"/>
      <c r="C308" s="18"/>
      <c r="D308" s="16"/>
      <c r="E308" s="17" t="str">
        <f aca="false">IF(C308="","","Q"&amp;ROUNDUP(MONTH(C308)/3,0))</f>
        <v/>
      </c>
      <c r="F308" s="16"/>
      <c r="G308" s="16"/>
      <c r="H308" s="17" t="str">
        <f aca="false">IF(A308="","",IF(OR(B308="",C308=""),"Item ID and date needed",IF(COUNTIF(Sample_Log!$A$5:$A$204,A308)=0,"SMP-ID not in log",IF(COUNTIFS($A$5:$A$1004,A308,$B$5:$B$1004,B308)&gt;1,"Duplicate item in sample","OK"))))</f>
        <v/>
      </c>
    </row>
    <row r="309" customFormat="false" ht="15" hidden="false" customHeight="false" outlineLevel="0" collapsed="false">
      <c r="A309" s="16"/>
      <c r="B309" s="16"/>
      <c r="C309" s="18"/>
      <c r="D309" s="16"/>
      <c r="E309" s="17" t="str">
        <f aca="false">IF(C309="","","Q"&amp;ROUNDUP(MONTH(C309)/3,0))</f>
        <v/>
      </c>
      <c r="F309" s="16"/>
      <c r="G309" s="16"/>
      <c r="H309" s="17" t="str">
        <f aca="false">IF(A309="","",IF(OR(B309="",C309=""),"Item ID and date needed",IF(COUNTIF(Sample_Log!$A$5:$A$204,A309)=0,"SMP-ID not in log",IF(COUNTIFS($A$5:$A$1004,A309,$B$5:$B$1004,B309)&gt;1,"Duplicate item in sample","OK"))))</f>
        <v/>
      </c>
    </row>
    <row r="310" customFormat="false" ht="15" hidden="false" customHeight="false" outlineLevel="0" collapsed="false">
      <c r="A310" s="16"/>
      <c r="B310" s="16"/>
      <c r="C310" s="18"/>
      <c r="D310" s="16"/>
      <c r="E310" s="17" t="str">
        <f aca="false">IF(C310="","","Q"&amp;ROUNDUP(MONTH(C310)/3,0))</f>
        <v/>
      </c>
      <c r="F310" s="16"/>
      <c r="G310" s="16"/>
      <c r="H310" s="17" t="str">
        <f aca="false">IF(A310="","",IF(OR(B310="",C310=""),"Item ID and date needed",IF(COUNTIF(Sample_Log!$A$5:$A$204,A310)=0,"SMP-ID not in log",IF(COUNTIFS($A$5:$A$1004,A310,$B$5:$B$1004,B310)&gt;1,"Duplicate item in sample","OK"))))</f>
        <v/>
      </c>
    </row>
    <row r="311" customFormat="false" ht="15" hidden="false" customHeight="false" outlineLevel="0" collapsed="false">
      <c r="A311" s="16"/>
      <c r="B311" s="16"/>
      <c r="C311" s="18"/>
      <c r="D311" s="16"/>
      <c r="E311" s="17" t="str">
        <f aca="false">IF(C311="","","Q"&amp;ROUNDUP(MONTH(C311)/3,0))</f>
        <v/>
      </c>
      <c r="F311" s="16"/>
      <c r="G311" s="16"/>
      <c r="H311" s="17" t="str">
        <f aca="false">IF(A311="","",IF(OR(B311="",C311=""),"Item ID and date needed",IF(COUNTIF(Sample_Log!$A$5:$A$204,A311)=0,"SMP-ID not in log",IF(COUNTIFS($A$5:$A$1004,A311,$B$5:$B$1004,B311)&gt;1,"Duplicate item in sample","OK"))))</f>
        <v/>
      </c>
    </row>
    <row r="312" customFormat="false" ht="15" hidden="false" customHeight="false" outlineLevel="0" collapsed="false">
      <c r="A312" s="16"/>
      <c r="B312" s="16"/>
      <c r="C312" s="18"/>
      <c r="D312" s="16"/>
      <c r="E312" s="17" t="str">
        <f aca="false">IF(C312="","","Q"&amp;ROUNDUP(MONTH(C312)/3,0))</f>
        <v/>
      </c>
      <c r="F312" s="16"/>
      <c r="G312" s="16"/>
      <c r="H312" s="17" t="str">
        <f aca="false">IF(A312="","",IF(OR(B312="",C312=""),"Item ID and date needed",IF(COUNTIF(Sample_Log!$A$5:$A$204,A312)=0,"SMP-ID not in log",IF(COUNTIFS($A$5:$A$1004,A312,$B$5:$B$1004,B312)&gt;1,"Duplicate item in sample","OK"))))</f>
        <v/>
      </c>
    </row>
    <row r="313" customFormat="false" ht="15" hidden="false" customHeight="false" outlineLevel="0" collapsed="false">
      <c r="A313" s="16"/>
      <c r="B313" s="16"/>
      <c r="C313" s="18"/>
      <c r="D313" s="16"/>
      <c r="E313" s="17" t="str">
        <f aca="false">IF(C313="","","Q"&amp;ROUNDUP(MONTH(C313)/3,0))</f>
        <v/>
      </c>
      <c r="F313" s="16"/>
      <c r="G313" s="16"/>
      <c r="H313" s="17" t="str">
        <f aca="false">IF(A313="","",IF(OR(B313="",C313=""),"Item ID and date needed",IF(COUNTIF(Sample_Log!$A$5:$A$204,A313)=0,"SMP-ID not in log",IF(COUNTIFS($A$5:$A$1004,A313,$B$5:$B$1004,B313)&gt;1,"Duplicate item in sample","OK"))))</f>
        <v/>
      </c>
    </row>
    <row r="314" customFormat="false" ht="15" hidden="false" customHeight="false" outlineLevel="0" collapsed="false">
      <c r="A314" s="16"/>
      <c r="B314" s="16"/>
      <c r="C314" s="18"/>
      <c r="D314" s="16"/>
      <c r="E314" s="17" t="str">
        <f aca="false">IF(C314="","","Q"&amp;ROUNDUP(MONTH(C314)/3,0))</f>
        <v/>
      </c>
      <c r="F314" s="16"/>
      <c r="G314" s="16"/>
      <c r="H314" s="17" t="str">
        <f aca="false">IF(A314="","",IF(OR(B314="",C314=""),"Item ID and date needed",IF(COUNTIF(Sample_Log!$A$5:$A$204,A314)=0,"SMP-ID not in log",IF(COUNTIFS($A$5:$A$1004,A314,$B$5:$B$1004,B314)&gt;1,"Duplicate item in sample","OK"))))</f>
        <v/>
      </c>
    </row>
    <row r="315" customFormat="false" ht="15" hidden="false" customHeight="false" outlineLevel="0" collapsed="false">
      <c r="A315" s="16"/>
      <c r="B315" s="16"/>
      <c r="C315" s="18"/>
      <c r="D315" s="16"/>
      <c r="E315" s="17" t="str">
        <f aca="false">IF(C315="","","Q"&amp;ROUNDUP(MONTH(C315)/3,0))</f>
        <v/>
      </c>
      <c r="F315" s="16"/>
      <c r="G315" s="16"/>
      <c r="H315" s="17" t="str">
        <f aca="false">IF(A315="","",IF(OR(B315="",C315=""),"Item ID and date needed",IF(COUNTIF(Sample_Log!$A$5:$A$204,A315)=0,"SMP-ID not in log",IF(COUNTIFS($A$5:$A$1004,A315,$B$5:$B$1004,B315)&gt;1,"Duplicate item in sample","OK"))))</f>
        <v/>
      </c>
    </row>
    <row r="316" customFormat="false" ht="15" hidden="false" customHeight="false" outlineLevel="0" collapsed="false">
      <c r="A316" s="16"/>
      <c r="B316" s="16"/>
      <c r="C316" s="18"/>
      <c r="D316" s="16"/>
      <c r="E316" s="17" t="str">
        <f aca="false">IF(C316="","","Q"&amp;ROUNDUP(MONTH(C316)/3,0))</f>
        <v/>
      </c>
      <c r="F316" s="16"/>
      <c r="G316" s="16"/>
      <c r="H316" s="17" t="str">
        <f aca="false">IF(A316="","",IF(OR(B316="",C316=""),"Item ID and date needed",IF(COUNTIF(Sample_Log!$A$5:$A$204,A316)=0,"SMP-ID not in log",IF(COUNTIFS($A$5:$A$1004,A316,$B$5:$B$1004,B316)&gt;1,"Duplicate item in sample","OK"))))</f>
        <v/>
      </c>
    </row>
    <row r="317" customFormat="false" ht="15" hidden="false" customHeight="false" outlineLevel="0" collapsed="false">
      <c r="A317" s="16"/>
      <c r="B317" s="16"/>
      <c r="C317" s="18"/>
      <c r="D317" s="16"/>
      <c r="E317" s="17" t="str">
        <f aca="false">IF(C317="","","Q"&amp;ROUNDUP(MONTH(C317)/3,0))</f>
        <v/>
      </c>
      <c r="F317" s="16"/>
      <c r="G317" s="16"/>
      <c r="H317" s="17" t="str">
        <f aca="false">IF(A317="","",IF(OR(B317="",C317=""),"Item ID and date needed",IF(COUNTIF(Sample_Log!$A$5:$A$204,A317)=0,"SMP-ID not in log",IF(COUNTIFS($A$5:$A$1004,A317,$B$5:$B$1004,B317)&gt;1,"Duplicate item in sample","OK"))))</f>
        <v/>
      </c>
    </row>
    <row r="318" customFormat="false" ht="15" hidden="false" customHeight="false" outlineLevel="0" collapsed="false">
      <c r="A318" s="16"/>
      <c r="B318" s="16"/>
      <c r="C318" s="18"/>
      <c r="D318" s="16"/>
      <c r="E318" s="17" t="str">
        <f aca="false">IF(C318="","","Q"&amp;ROUNDUP(MONTH(C318)/3,0))</f>
        <v/>
      </c>
      <c r="F318" s="16"/>
      <c r="G318" s="16"/>
      <c r="H318" s="17" t="str">
        <f aca="false">IF(A318="","",IF(OR(B318="",C318=""),"Item ID and date needed",IF(COUNTIF(Sample_Log!$A$5:$A$204,A318)=0,"SMP-ID not in log",IF(COUNTIFS($A$5:$A$1004,A318,$B$5:$B$1004,B318)&gt;1,"Duplicate item in sample","OK"))))</f>
        <v/>
      </c>
    </row>
    <row r="319" customFormat="false" ht="15" hidden="false" customHeight="false" outlineLevel="0" collapsed="false">
      <c r="A319" s="16"/>
      <c r="B319" s="16"/>
      <c r="C319" s="18"/>
      <c r="D319" s="16"/>
      <c r="E319" s="17" t="str">
        <f aca="false">IF(C319="","","Q"&amp;ROUNDUP(MONTH(C319)/3,0))</f>
        <v/>
      </c>
      <c r="F319" s="16"/>
      <c r="G319" s="16"/>
      <c r="H319" s="17" t="str">
        <f aca="false">IF(A319="","",IF(OR(B319="",C319=""),"Item ID and date needed",IF(COUNTIF(Sample_Log!$A$5:$A$204,A319)=0,"SMP-ID not in log",IF(COUNTIFS($A$5:$A$1004,A319,$B$5:$B$1004,B319)&gt;1,"Duplicate item in sample","OK"))))</f>
        <v/>
      </c>
    </row>
    <row r="320" customFormat="false" ht="15" hidden="false" customHeight="false" outlineLevel="0" collapsed="false">
      <c r="A320" s="16"/>
      <c r="B320" s="16"/>
      <c r="C320" s="18"/>
      <c r="D320" s="16"/>
      <c r="E320" s="17" t="str">
        <f aca="false">IF(C320="","","Q"&amp;ROUNDUP(MONTH(C320)/3,0))</f>
        <v/>
      </c>
      <c r="F320" s="16"/>
      <c r="G320" s="16"/>
      <c r="H320" s="17" t="str">
        <f aca="false">IF(A320="","",IF(OR(B320="",C320=""),"Item ID and date needed",IF(COUNTIF(Sample_Log!$A$5:$A$204,A320)=0,"SMP-ID not in log",IF(COUNTIFS($A$5:$A$1004,A320,$B$5:$B$1004,B320)&gt;1,"Duplicate item in sample","OK"))))</f>
        <v/>
      </c>
    </row>
    <row r="321" customFormat="false" ht="15" hidden="false" customHeight="false" outlineLevel="0" collapsed="false">
      <c r="A321" s="16"/>
      <c r="B321" s="16"/>
      <c r="C321" s="18"/>
      <c r="D321" s="16"/>
      <c r="E321" s="17" t="str">
        <f aca="false">IF(C321="","","Q"&amp;ROUNDUP(MONTH(C321)/3,0))</f>
        <v/>
      </c>
      <c r="F321" s="16"/>
      <c r="G321" s="16"/>
      <c r="H321" s="17" t="str">
        <f aca="false">IF(A321="","",IF(OR(B321="",C321=""),"Item ID and date needed",IF(COUNTIF(Sample_Log!$A$5:$A$204,A321)=0,"SMP-ID not in log",IF(COUNTIFS($A$5:$A$1004,A321,$B$5:$B$1004,B321)&gt;1,"Duplicate item in sample","OK"))))</f>
        <v/>
      </c>
    </row>
    <row r="322" customFormat="false" ht="15" hidden="false" customHeight="false" outlineLevel="0" collapsed="false">
      <c r="A322" s="16"/>
      <c r="B322" s="16"/>
      <c r="C322" s="18"/>
      <c r="D322" s="16"/>
      <c r="E322" s="17" t="str">
        <f aca="false">IF(C322="","","Q"&amp;ROUNDUP(MONTH(C322)/3,0))</f>
        <v/>
      </c>
      <c r="F322" s="16"/>
      <c r="G322" s="16"/>
      <c r="H322" s="17" t="str">
        <f aca="false">IF(A322="","",IF(OR(B322="",C322=""),"Item ID and date needed",IF(COUNTIF(Sample_Log!$A$5:$A$204,A322)=0,"SMP-ID not in log",IF(COUNTIFS($A$5:$A$1004,A322,$B$5:$B$1004,B322)&gt;1,"Duplicate item in sample","OK"))))</f>
        <v/>
      </c>
    </row>
    <row r="323" customFormat="false" ht="15" hidden="false" customHeight="false" outlineLevel="0" collapsed="false">
      <c r="A323" s="16"/>
      <c r="B323" s="16"/>
      <c r="C323" s="18"/>
      <c r="D323" s="16"/>
      <c r="E323" s="17" t="str">
        <f aca="false">IF(C323="","","Q"&amp;ROUNDUP(MONTH(C323)/3,0))</f>
        <v/>
      </c>
      <c r="F323" s="16"/>
      <c r="G323" s="16"/>
      <c r="H323" s="17" t="str">
        <f aca="false">IF(A323="","",IF(OR(B323="",C323=""),"Item ID and date needed",IF(COUNTIF(Sample_Log!$A$5:$A$204,A323)=0,"SMP-ID not in log",IF(COUNTIFS($A$5:$A$1004,A323,$B$5:$B$1004,B323)&gt;1,"Duplicate item in sample","OK"))))</f>
        <v/>
      </c>
    </row>
    <row r="324" customFormat="false" ht="15" hidden="false" customHeight="false" outlineLevel="0" collapsed="false">
      <c r="A324" s="16"/>
      <c r="B324" s="16"/>
      <c r="C324" s="18"/>
      <c r="D324" s="16"/>
      <c r="E324" s="17" t="str">
        <f aca="false">IF(C324="","","Q"&amp;ROUNDUP(MONTH(C324)/3,0))</f>
        <v/>
      </c>
      <c r="F324" s="16"/>
      <c r="G324" s="16"/>
      <c r="H324" s="17" t="str">
        <f aca="false">IF(A324="","",IF(OR(B324="",C324=""),"Item ID and date needed",IF(COUNTIF(Sample_Log!$A$5:$A$204,A324)=0,"SMP-ID not in log",IF(COUNTIFS($A$5:$A$1004,A324,$B$5:$B$1004,B324)&gt;1,"Duplicate item in sample","OK"))))</f>
        <v/>
      </c>
    </row>
    <row r="325" customFormat="false" ht="15" hidden="false" customHeight="false" outlineLevel="0" collapsed="false">
      <c r="A325" s="16"/>
      <c r="B325" s="16"/>
      <c r="C325" s="18"/>
      <c r="D325" s="16"/>
      <c r="E325" s="17" t="str">
        <f aca="false">IF(C325="","","Q"&amp;ROUNDUP(MONTH(C325)/3,0))</f>
        <v/>
      </c>
      <c r="F325" s="16"/>
      <c r="G325" s="16"/>
      <c r="H325" s="17" t="str">
        <f aca="false">IF(A325="","",IF(OR(B325="",C325=""),"Item ID and date needed",IF(COUNTIF(Sample_Log!$A$5:$A$204,A325)=0,"SMP-ID not in log",IF(COUNTIFS($A$5:$A$1004,A325,$B$5:$B$1004,B325)&gt;1,"Duplicate item in sample","OK"))))</f>
        <v/>
      </c>
    </row>
    <row r="326" customFormat="false" ht="15" hidden="false" customHeight="false" outlineLevel="0" collapsed="false">
      <c r="A326" s="16"/>
      <c r="B326" s="16"/>
      <c r="C326" s="18"/>
      <c r="D326" s="16"/>
      <c r="E326" s="17" t="str">
        <f aca="false">IF(C326="","","Q"&amp;ROUNDUP(MONTH(C326)/3,0))</f>
        <v/>
      </c>
      <c r="F326" s="16"/>
      <c r="G326" s="16"/>
      <c r="H326" s="17" t="str">
        <f aca="false">IF(A326="","",IF(OR(B326="",C326=""),"Item ID and date needed",IF(COUNTIF(Sample_Log!$A$5:$A$204,A326)=0,"SMP-ID not in log",IF(COUNTIFS($A$5:$A$1004,A326,$B$5:$B$1004,B326)&gt;1,"Duplicate item in sample","OK"))))</f>
        <v/>
      </c>
    </row>
    <row r="327" customFormat="false" ht="15" hidden="false" customHeight="false" outlineLevel="0" collapsed="false">
      <c r="A327" s="16"/>
      <c r="B327" s="16"/>
      <c r="C327" s="18"/>
      <c r="D327" s="16"/>
      <c r="E327" s="17" t="str">
        <f aca="false">IF(C327="","","Q"&amp;ROUNDUP(MONTH(C327)/3,0))</f>
        <v/>
      </c>
      <c r="F327" s="16"/>
      <c r="G327" s="16"/>
      <c r="H327" s="17" t="str">
        <f aca="false">IF(A327="","",IF(OR(B327="",C327=""),"Item ID and date needed",IF(COUNTIF(Sample_Log!$A$5:$A$204,A327)=0,"SMP-ID not in log",IF(COUNTIFS($A$5:$A$1004,A327,$B$5:$B$1004,B327)&gt;1,"Duplicate item in sample","OK"))))</f>
        <v/>
      </c>
    </row>
    <row r="328" customFormat="false" ht="15" hidden="false" customHeight="false" outlineLevel="0" collapsed="false">
      <c r="A328" s="16"/>
      <c r="B328" s="16"/>
      <c r="C328" s="18"/>
      <c r="D328" s="16"/>
      <c r="E328" s="17" t="str">
        <f aca="false">IF(C328="","","Q"&amp;ROUNDUP(MONTH(C328)/3,0))</f>
        <v/>
      </c>
      <c r="F328" s="16"/>
      <c r="G328" s="16"/>
      <c r="H328" s="17" t="str">
        <f aca="false">IF(A328="","",IF(OR(B328="",C328=""),"Item ID and date needed",IF(COUNTIF(Sample_Log!$A$5:$A$204,A328)=0,"SMP-ID not in log",IF(COUNTIFS($A$5:$A$1004,A328,$B$5:$B$1004,B328)&gt;1,"Duplicate item in sample","OK"))))</f>
        <v/>
      </c>
    </row>
    <row r="329" customFormat="false" ht="15" hidden="false" customHeight="false" outlineLevel="0" collapsed="false">
      <c r="A329" s="16"/>
      <c r="B329" s="16"/>
      <c r="C329" s="18"/>
      <c r="D329" s="16"/>
      <c r="E329" s="17" t="str">
        <f aca="false">IF(C329="","","Q"&amp;ROUNDUP(MONTH(C329)/3,0))</f>
        <v/>
      </c>
      <c r="F329" s="16"/>
      <c r="G329" s="16"/>
      <c r="H329" s="17" t="str">
        <f aca="false">IF(A329="","",IF(OR(B329="",C329=""),"Item ID and date needed",IF(COUNTIF(Sample_Log!$A$5:$A$204,A329)=0,"SMP-ID not in log",IF(COUNTIFS($A$5:$A$1004,A329,$B$5:$B$1004,B329)&gt;1,"Duplicate item in sample","OK"))))</f>
        <v/>
      </c>
    </row>
    <row r="330" customFormat="false" ht="15" hidden="false" customHeight="false" outlineLevel="0" collapsed="false">
      <c r="A330" s="16"/>
      <c r="B330" s="16"/>
      <c r="C330" s="18"/>
      <c r="D330" s="16"/>
      <c r="E330" s="17" t="str">
        <f aca="false">IF(C330="","","Q"&amp;ROUNDUP(MONTH(C330)/3,0))</f>
        <v/>
      </c>
      <c r="F330" s="16"/>
      <c r="G330" s="16"/>
      <c r="H330" s="17" t="str">
        <f aca="false">IF(A330="","",IF(OR(B330="",C330=""),"Item ID and date needed",IF(COUNTIF(Sample_Log!$A$5:$A$204,A330)=0,"SMP-ID not in log",IF(COUNTIFS($A$5:$A$1004,A330,$B$5:$B$1004,B330)&gt;1,"Duplicate item in sample","OK"))))</f>
        <v/>
      </c>
    </row>
    <row r="331" customFormat="false" ht="15" hidden="false" customHeight="false" outlineLevel="0" collapsed="false">
      <c r="A331" s="16"/>
      <c r="B331" s="16"/>
      <c r="C331" s="18"/>
      <c r="D331" s="16"/>
      <c r="E331" s="17" t="str">
        <f aca="false">IF(C331="","","Q"&amp;ROUNDUP(MONTH(C331)/3,0))</f>
        <v/>
      </c>
      <c r="F331" s="16"/>
      <c r="G331" s="16"/>
      <c r="H331" s="17" t="str">
        <f aca="false">IF(A331="","",IF(OR(B331="",C331=""),"Item ID and date needed",IF(COUNTIF(Sample_Log!$A$5:$A$204,A331)=0,"SMP-ID not in log",IF(COUNTIFS($A$5:$A$1004,A331,$B$5:$B$1004,B331)&gt;1,"Duplicate item in sample","OK"))))</f>
        <v/>
      </c>
    </row>
    <row r="332" customFormat="false" ht="15" hidden="false" customHeight="false" outlineLevel="0" collapsed="false">
      <c r="A332" s="16"/>
      <c r="B332" s="16"/>
      <c r="C332" s="18"/>
      <c r="D332" s="16"/>
      <c r="E332" s="17" t="str">
        <f aca="false">IF(C332="","","Q"&amp;ROUNDUP(MONTH(C332)/3,0))</f>
        <v/>
      </c>
      <c r="F332" s="16"/>
      <c r="G332" s="16"/>
      <c r="H332" s="17" t="str">
        <f aca="false">IF(A332="","",IF(OR(B332="",C332=""),"Item ID and date needed",IF(COUNTIF(Sample_Log!$A$5:$A$204,A332)=0,"SMP-ID not in log",IF(COUNTIFS($A$5:$A$1004,A332,$B$5:$B$1004,B332)&gt;1,"Duplicate item in sample","OK"))))</f>
        <v/>
      </c>
    </row>
    <row r="333" customFormat="false" ht="15" hidden="false" customHeight="false" outlineLevel="0" collapsed="false">
      <c r="A333" s="16"/>
      <c r="B333" s="16"/>
      <c r="C333" s="18"/>
      <c r="D333" s="16"/>
      <c r="E333" s="17" t="str">
        <f aca="false">IF(C333="","","Q"&amp;ROUNDUP(MONTH(C333)/3,0))</f>
        <v/>
      </c>
      <c r="F333" s="16"/>
      <c r="G333" s="16"/>
      <c r="H333" s="17" t="str">
        <f aca="false">IF(A333="","",IF(OR(B333="",C333=""),"Item ID and date needed",IF(COUNTIF(Sample_Log!$A$5:$A$204,A333)=0,"SMP-ID not in log",IF(COUNTIFS($A$5:$A$1004,A333,$B$5:$B$1004,B333)&gt;1,"Duplicate item in sample","OK"))))</f>
        <v/>
      </c>
    </row>
    <row r="334" customFormat="false" ht="15" hidden="false" customHeight="false" outlineLevel="0" collapsed="false">
      <c r="A334" s="16"/>
      <c r="B334" s="16"/>
      <c r="C334" s="18"/>
      <c r="D334" s="16"/>
      <c r="E334" s="17" t="str">
        <f aca="false">IF(C334="","","Q"&amp;ROUNDUP(MONTH(C334)/3,0))</f>
        <v/>
      </c>
      <c r="F334" s="16"/>
      <c r="G334" s="16"/>
      <c r="H334" s="17" t="str">
        <f aca="false">IF(A334="","",IF(OR(B334="",C334=""),"Item ID and date needed",IF(COUNTIF(Sample_Log!$A$5:$A$204,A334)=0,"SMP-ID not in log",IF(COUNTIFS($A$5:$A$1004,A334,$B$5:$B$1004,B334)&gt;1,"Duplicate item in sample","OK"))))</f>
        <v/>
      </c>
    </row>
    <row r="335" customFormat="false" ht="15" hidden="false" customHeight="false" outlineLevel="0" collapsed="false">
      <c r="A335" s="16"/>
      <c r="B335" s="16"/>
      <c r="C335" s="18"/>
      <c r="D335" s="16"/>
      <c r="E335" s="17" t="str">
        <f aca="false">IF(C335="","","Q"&amp;ROUNDUP(MONTH(C335)/3,0))</f>
        <v/>
      </c>
      <c r="F335" s="16"/>
      <c r="G335" s="16"/>
      <c r="H335" s="17" t="str">
        <f aca="false">IF(A335="","",IF(OR(B335="",C335=""),"Item ID and date needed",IF(COUNTIF(Sample_Log!$A$5:$A$204,A335)=0,"SMP-ID not in log",IF(COUNTIFS($A$5:$A$1004,A335,$B$5:$B$1004,B335)&gt;1,"Duplicate item in sample","OK"))))</f>
        <v/>
      </c>
    </row>
    <row r="336" customFormat="false" ht="15" hidden="false" customHeight="false" outlineLevel="0" collapsed="false">
      <c r="A336" s="16"/>
      <c r="B336" s="16"/>
      <c r="C336" s="18"/>
      <c r="D336" s="16"/>
      <c r="E336" s="17" t="str">
        <f aca="false">IF(C336="","","Q"&amp;ROUNDUP(MONTH(C336)/3,0))</f>
        <v/>
      </c>
      <c r="F336" s="16"/>
      <c r="G336" s="16"/>
      <c r="H336" s="17" t="str">
        <f aca="false">IF(A336="","",IF(OR(B336="",C336=""),"Item ID and date needed",IF(COUNTIF(Sample_Log!$A$5:$A$204,A336)=0,"SMP-ID not in log",IF(COUNTIFS($A$5:$A$1004,A336,$B$5:$B$1004,B336)&gt;1,"Duplicate item in sample","OK"))))</f>
        <v/>
      </c>
    </row>
    <row r="337" customFormat="false" ht="15" hidden="false" customHeight="false" outlineLevel="0" collapsed="false">
      <c r="A337" s="16"/>
      <c r="B337" s="16"/>
      <c r="C337" s="18"/>
      <c r="D337" s="16"/>
      <c r="E337" s="17" t="str">
        <f aca="false">IF(C337="","","Q"&amp;ROUNDUP(MONTH(C337)/3,0))</f>
        <v/>
      </c>
      <c r="F337" s="16"/>
      <c r="G337" s="16"/>
      <c r="H337" s="17" t="str">
        <f aca="false">IF(A337="","",IF(OR(B337="",C337=""),"Item ID and date needed",IF(COUNTIF(Sample_Log!$A$5:$A$204,A337)=0,"SMP-ID not in log",IF(COUNTIFS($A$5:$A$1004,A337,$B$5:$B$1004,B337)&gt;1,"Duplicate item in sample","OK"))))</f>
        <v/>
      </c>
    </row>
    <row r="338" customFormat="false" ht="15" hidden="false" customHeight="false" outlineLevel="0" collapsed="false">
      <c r="A338" s="16"/>
      <c r="B338" s="16"/>
      <c r="C338" s="18"/>
      <c r="D338" s="16"/>
      <c r="E338" s="17" t="str">
        <f aca="false">IF(C338="","","Q"&amp;ROUNDUP(MONTH(C338)/3,0))</f>
        <v/>
      </c>
      <c r="F338" s="16"/>
      <c r="G338" s="16"/>
      <c r="H338" s="17" t="str">
        <f aca="false">IF(A338="","",IF(OR(B338="",C338=""),"Item ID and date needed",IF(COUNTIF(Sample_Log!$A$5:$A$204,A338)=0,"SMP-ID not in log",IF(COUNTIFS($A$5:$A$1004,A338,$B$5:$B$1004,B338)&gt;1,"Duplicate item in sample","OK"))))</f>
        <v/>
      </c>
    </row>
    <row r="339" customFormat="false" ht="15" hidden="false" customHeight="false" outlineLevel="0" collapsed="false">
      <c r="A339" s="16"/>
      <c r="B339" s="16"/>
      <c r="C339" s="18"/>
      <c r="D339" s="16"/>
      <c r="E339" s="17" t="str">
        <f aca="false">IF(C339="","","Q"&amp;ROUNDUP(MONTH(C339)/3,0))</f>
        <v/>
      </c>
      <c r="F339" s="16"/>
      <c r="G339" s="16"/>
      <c r="H339" s="17" t="str">
        <f aca="false">IF(A339="","",IF(OR(B339="",C339=""),"Item ID and date needed",IF(COUNTIF(Sample_Log!$A$5:$A$204,A339)=0,"SMP-ID not in log",IF(COUNTIFS($A$5:$A$1004,A339,$B$5:$B$1004,B339)&gt;1,"Duplicate item in sample","OK"))))</f>
        <v/>
      </c>
    </row>
    <row r="340" customFormat="false" ht="15" hidden="false" customHeight="false" outlineLevel="0" collapsed="false">
      <c r="A340" s="16"/>
      <c r="B340" s="16"/>
      <c r="C340" s="18"/>
      <c r="D340" s="16"/>
      <c r="E340" s="17" t="str">
        <f aca="false">IF(C340="","","Q"&amp;ROUNDUP(MONTH(C340)/3,0))</f>
        <v/>
      </c>
      <c r="F340" s="16"/>
      <c r="G340" s="16"/>
      <c r="H340" s="17" t="str">
        <f aca="false">IF(A340="","",IF(OR(B340="",C340=""),"Item ID and date needed",IF(COUNTIF(Sample_Log!$A$5:$A$204,A340)=0,"SMP-ID not in log",IF(COUNTIFS($A$5:$A$1004,A340,$B$5:$B$1004,B340)&gt;1,"Duplicate item in sample","OK"))))</f>
        <v/>
      </c>
    </row>
    <row r="341" customFormat="false" ht="15" hidden="false" customHeight="false" outlineLevel="0" collapsed="false">
      <c r="A341" s="16"/>
      <c r="B341" s="16"/>
      <c r="C341" s="18"/>
      <c r="D341" s="16"/>
      <c r="E341" s="17" t="str">
        <f aca="false">IF(C341="","","Q"&amp;ROUNDUP(MONTH(C341)/3,0))</f>
        <v/>
      </c>
      <c r="F341" s="16"/>
      <c r="G341" s="16"/>
      <c r="H341" s="17" t="str">
        <f aca="false">IF(A341="","",IF(OR(B341="",C341=""),"Item ID and date needed",IF(COUNTIF(Sample_Log!$A$5:$A$204,A341)=0,"SMP-ID not in log",IF(COUNTIFS($A$5:$A$1004,A341,$B$5:$B$1004,B341)&gt;1,"Duplicate item in sample","OK"))))</f>
        <v/>
      </c>
    </row>
    <row r="342" customFormat="false" ht="15" hidden="false" customHeight="false" outlineLevel="0" collapsed="false">
      <c r="A342" s="16"/>
      <c r="B342" s="16"/>
      <c r="C342" s="18"/>
      <c r="D342" s="16"/>
      <c r="E342" s="17" t="str">
        <f aca="false">IF(C342="","","Q"&amp;ROUNDUP(MONTH(C342)/3,0))</f>
        <v/>
      </c>
      <c r="F342" s="16"/>
      <c r="G342" s="16"/>
      <c r="H342" s="17" t="str">
        <f aca="false">IF(A342="","",IF(OR(B342="",C342=""),"Item ID and date needed",IF(COUNTIF(Sample_Log!$A$5:$A$204,A342)=0,"SMP-ID not in log",IF(COUNTIFS($A$5:$A$1004,A342,$B$5:$B$1004,B342)&gt;1,"Duplicate item in sample","OK"))))</f>
        <v/>
      </c>
    </row>
    <row r="343" customFormat="false" ht="15" hidden="false" customHeight="false" outlineLevel="0" collapsed="false">
      <c r="A343" s="16"/>
      <c r="B343" s="16"/>
      <c r="C343" s="18"/>
      <c r="D343" s="16"/>
      <c r="E343" s="17" t="str">
        <f aca="false">IF(C343="","","Q"&amp;ROUNDUP(MONTH(C343)/3,0))</f>
        <v/>
      </c>
      <c r="F343" s="16"/>
      <c r="G343" s="16"/>
      <c r="H343" s="17" t="str">
        <f aca="false">IF(A343="","",IF(OR(B343="",C343=""),"Item ID and date needed",IF(COUNTIF(Sample_Log!$A$5:$A$204,A343)=0,"SMP-ID not in log",IF(COUNTIFS($A$5:$A$1004,A343,$B$5:$B$1004,B343)&gt;1,"Duplicate item in sample","OK"))))</f>
        <v/>
      </c>
    </row>
    <row r="344" customFormat="false" ht="15" hidden="false" customHeight="false" outlineLevel="0" collapsed="false">
      <c r="A344" s="16"/>
      <c r="B344" s="16"/>
      <c r="C344" s="18"/>
      <c r="D344" s="16"/>
      <c r="E344" s="17" t="str">
        <f aca="false">IF(C344="","","Q"&amp;ROUNDUP(MONTH(C344)/3,0))</f>
        <v/>
      </c>
      <c r="F344" s="16"/>
      <c r="G344" s="16"/>
      <c r="H344" s="17" t="str">
        <f aca="false">IF(A344="","",IF(OR(B344="",C344=""),"Item ID and date needed",IF(COUNTIF(Sample_Log!$A$5:$A$204,A344)=0,"SMP-ID not in log",IF(COUNTIFS($A$5:$A$1004,A344,$B$5:$B$1004,B344)&gt;1,"Duplicate item in sample","OK"))))</f>
        <v/>
      </c>
    </row>
    <row r="345" customFormat="false" ht="15" hidden="false" customHeight="false" outlineLevel="0" collapsed="false">
      <c r="A345" s="16"/>
      <c r="B345" s="16"/>
      <c r="C345" s="18"/>
      <c r="D345" s="16"/>
      <c r="E345" s="17" t="str">
        <f aca="false">IF(C345="","","Q"&amp;ROUNDUP(MONTH(C345)/3,0))</f>
        <v/>
      </c>
      <c r="F345" s="16"/>
      <c r="G345" s="16"/>
      <c r="H345" s="17" t="str">
        <f aca="false">IF(A345="","",IF(OR(B345="",C345=""),"Item ID and date needed",IF(COUNTIF(Sample_Log!$A$5:$A$204,A345)=0,"SMP-ID not in log",IF(COUNTIFS($A$5:$A$1004,A345,$B$5:$B$1004,B345)&gt;1,"Duplicate item in sample","OK"))))</f>
        <v/>
      </c>
    </row>
    <row r="346" customFormat="false" ht="15" hidden="false" customHeight="false" outlineLevel="0" collapsed="false">
      <c r="A346" s="16"/>
      <c r="B346" s="16"/>
      <c r="C346" s="18"/>
      <c r="D346" s="16"/>
      <c r="E346" s="17" t="str">
        <f aca="false">IF(C346="","","Q"&amp;ROUNDUP(MONTH(C346)/3,0))</f>
        <v/>
      </c>
      <c r="F346" s="16"/>
      <c r="G346" s="16"/>
      <c r="H346" s="17" t="str">
        <f aca="false">IF(A346="","",IF(OR(B346="",C346=""),"Item ID and date needed",IF(COUNTIF(Sample_Log!$A$5:$A$204,A346)=0,"SMP-ID not in log",IF(COUNTIFS($A$5:$A$1004,A346,$B$5:$B$1004,B346)&gt;1,"Duplicate item in sample","OK"))))</f>
        <v/>
      </c>
    </row>
    <row r="347" customFormat="false" ht="15" hidden="false" customHeight="false" outlineLevel="0" collapsed="false">
      <c r="A347" s="16"/>
      <c r="B347" s="16"/>
      <c r="C347" s="18"/>
      <c r="D347" s="16"/>
      <c r="E347" s="17" t="str">
        <f aca="false">IF(C347="","","Q"&amp;ROUNDUP(MONTH(C347)/3,0))</f>
        <v/>
      </c>
      <c r="F347" s="16"/>
      <c r="G347" s="16"/>
      <c r="H347" s="17" t="str">
        <f aca="false">IF(A347="","",IF(OR(B347="",C347=""),"Item ID and date needed",IF(COUNTIF(Sample_Log!$A$5:$A$204,A347)=0,"SMP-ID not in log",IF(COUNTIFS($A$5:$A$1004,A347,$B$5:$B$1004,B347)&gt;1,"Duplicate item in sample","OK"))))</f>
        <v/>
      </c>
    </row>
    <row r="348" customFormat="false" ht="15" hidden="false" customHeight="false" outlineLevel="0" collapsed="false">
      <c r="A348" s="16"/>
      <c r="B348" s="16"/>
      <c r="C348" s="18"/>
      <c r="D348" s="16"/>
      <c r="E348" s="17" t="str">
        <f aca="false">IF(C348="","","Q"&amp;ROUNDUP(MONTH(C348)/3,0))</f>
        <v/>
      </c>
      <c r="F348" s="16"/>
      <c r="G348" s="16"/>
      <c r="H348" s="17" t="str">
        <f aca="false">IF(A348="","",IF(OR(B348="",C348=""),"Item ID and date needed",IF(COUNTIF(Sample_Log!$A$5:$A$204,A348)=0,"SMP-ID not in log",IF(COUNTIFS($A$5:$A$1004,A348,$B$5:$B$1004,B348)&gt;1,"Duplicate item in sample","OK"))))</f>
        <v/>
      </c>
    </row>
    <row r="349" customFormat="false" ht="15" hidden="false" customHeight="false" outlineLevel="0" collapsed="false">
      <c r="A349" s="16"/>
      <c r="B349" s="16"/>
      <c r="C349" s="18"/>
      <c r="D349" s="16"/>
      <c r="E349" s="17" t="str">
        <f aca="false">IF(C349="","","Q"&amp;ROUNDUP(MONTH(C349)/3,0))</f>
        <v/>
      </c>
      <c r="F349" s="16"/>
      <c r="G349" s="16"/>
      <c r="H349" s="17" t="str">
        <f aca="false">IF(A349="","",IF(OR(B349="",C349=""),"Item ID and date needed",IF(COUNTIF(Sample_Log!$A$5:$A$204,A349)=0,"SMP-ID not in log",IF(COUNTIFS($A$5:$A$1004,A349,$B$5:$B$1004,B349)&gt;1,"Duplicate item in sample","OK"))))</f>
        <v/>
      </c>
    </row>
    <row r="350" customFormat="false" ht="15" hidden="false" customHeight="false" outlineLevel="0" collapsed="false">
      <c r="A350" s="16"/>
      <c r="B350" s="16"/>
      <c r="C350" s="18"/>
      <c r="D350" s="16"/>
      <c r="E350" s="17" t="str">
        <f aca="false">IF(C350="","","Q"&amp;ROUNDUP(MONTH(C350)/3,0))</f>
        <v/>
      </c>
      <c r="F350" s="16"/>
      <c r="G350" s="16"/>
      <c r="H350" s="17" t="str">
        <f aca="false">IF(A350="","",IF(OR(B350="",C350=""),"Item ID and date needed",IF(COUNTIF(Sample_Log!$A$5:$A$204,A350)=0,"SMP-ID not in log",IF(COUNTIFS($A$5:$A$1004,A350,$B$5:$B$1004,B350)&gt;1,"Duplicate item in sample","OK"))))</f>
        <v/>
      </c>
    </row>
    <row r="351" customFormat="false" ht="15" hidden="false" customHeight="false" outlineLevel="0" collapsed="false">
      <c r="A351" s="16"/>
      <c r="B351" s="16"/>
      <c r="C351" s="18"/>
      <c r="D351" s="16"/>
      <c r="E351" s="17" t="str">
        <f aca="false">IF(C351="","","Q"&amp;ROUNDUP(MONTH(C351)/3,0))</f>
        <v/>
      </c>
      <c r="F351" s="16"/>
      <c r="G351" s="16"/>
      <c r="H351" s="17" t="str">
        <f aca="false">IF(A351="","",IF(OR(B351="",C351=""),"Item ID and date needed",IF(COUNTIF(Sample_Log!$A$5:$A$204,A351)=0,"SMP-ID not in log",IF(COUNTIFS($A$5:$A$1004,A351,$B$5:$B$1004,B351)&gt;1,"Duplicate item in sample","OK"))))</f>
        <v/>
      </c>
    </row>
    <row r="352" customFormat="false" ht="15" hidden="false" customHeight="false" outlineLevel="0" collapsed="false">
      <c r="A352" s="16"/>
      <c r="B352" s="16"/>
      <c r="C352" s="18"/>
      <c r="D352" s="16"/>
      <c r="E352" s="17" t="str">
        <f aca="false">IF(C352="","","Q"&amp;ROUNDUP(MONTH(C352)/3,0))</f>
        <v/>
      </c>
      <c r="F352" s="16"/>
      <c r="G352" s="16"/>
      <c r="H352" s="17" t="str">
        <f aca="false">IF(A352="","",IF(OR(B352="",C352=""),"Item ID and date needed",IF(COUNTIF(Sample_Log!$A$5:$A$204,A352)=0,"SMP-ID not in log",IF(COUNTIFS($A$5:$A$1004,A352,$B$5:$B$1004,B352)&gt;1,"Duplicate item in sample","OK"))))</f>
        <v/>
      </c>
    </row>
    <row r="353" customFormat="false" ht="15" hidden="false" customHeight="false" outlineLevel="0" collapsed="false">
      <c r="A353" s="16"/>
      <c r="B353" s="16"/>
      <c r="C353" s="18"/>
      <c r="D353" s="16"/>
      <c r="E353" s="17" t="str">
        <f aca="false">IF(C353="","","Q"&amp;ROUNDUP(MONTH(C353)/3,0))</f>
        <v/>
      </c>
      <c r="F353" s="16"/>
      <c r="G353" s="16"/>
      <c r="H353" s="17" t="str">
        <f aca="false">IF(A353="","",IF(OR(B353="",C353=""),"Item ID and date needed",IF(COUNTIF(Sample_Log!$A$5:$A$204,A353)=0,"SMP-ID not in log",IF(COUNTIFS($A$5:$A$1004,A353,$B$5:$B$1004,B353)&gt;1,"Duplicate item in sample","OK"))))</f>
        <v/>
      </c>
    </row>
    <row r="354" customFormat="false" ht="15" hidden="false" customHeight="false" outlineLevel="0" collapsed="false">
      <c r="A354" s="16"/>
      <c r="B354" s="16"/>
      <c r="C354" s="18"/>
      <c r="D354" s="16"/>
      <c r="E354" s="17" t="str">
        <f aca="false">IF(C354="","","Q"&amp;ROUNDUP(MONTH(C354)/3,0))</f>
        <v/>
      </c>
      <c r="F354" s="16"/>
      <c r="G354" s="16"/>
      <c r="H354" s="17" t="str">
        <f aca="false">IF(A354="","",IF(OR(B354="",C354=""),"Item ID and date needed",IF(COUNTIF(Sample_Log!$A$5:$A$204,A354)=0,"SMP-ID not in log",IF(COUNTIFS($A$5:$A$1004,A354,$B$5:$B$1004,B354)&gt;1,"Duplicate item in sample","OK"))))</f>
        <v/>
      </c>
    </row>
    <row r="355" customFormat="false" ht="15" hidden="false" customHeight="false" outlineLevel="0" collapsed="false">
      <c r="A355" s="16"/>
      <c r="B355" s="16"/>
      <c r="C355" s="18"/>
      <c r="D355" s="16"/>
      <c r="E355" s="17" t="str">
        <f aca="false">IF(C355="","","Q"&amp;ROUNDUP(MONTH(C355)/3,0))</f>
        <v/>
      </c>
      <c r="F355" s="16"/>
      <c r="G355" s="16"/>
      <c r="H355" s="17" t="str">
        <f aca="false">IF(A355="","",IF(OR(B355="",C355=""),"Item ID and date needed",IF(COUNTIF(Sample_Log!$A$5:$A$204,A355)=0,"SMP-ID not in log",IF(COUNTIFS($A$5:$A$1004,A355,$B$5:$B$1004,B355)&gt;1,"Duplicate item in sample","OK"))))</f>
        <v/>
      </c>
    </row>
    <row r="356" customFormat="false" ht="15" hidden="false" customHeight="false" outlineLevel="0" collapsed="false">
      <c r="A356" s="16"/>
      <c r="B356" s="16"/>
      <c r="C356" s="18"/>
      <c r="D356" s="16"/>
      <c r="E356" s="17" t="str">
        <f aca="false">IF(C356="","","Q"&amp;ROUNDUP(MONTH(C356)/3,0))</f>
        <v/>
      </c>
      <c r="F356" s="16"/>
      <c r="G356" s="16"/>
      <c r="H356" s="17" t="str">
        <f aca="false">IF(A356="","",IF(OR(B356="",C356=""),"Item ID and date needed",IF(COUNTIF(Sample_Log!$A$5:$A$204,A356)=0,"SMP-ID not in log",IF(COUNTIFS($A$5:$A$1004,A356,$B$5:$B$1004,B356)&gt;1,"Duplicate item in sample","OK"))))</f>
        <v/>
      </c>
    </row>
    <row r="357" customFormat="false" ht="15" hidden="false" customHeight="false" outlineLevel="0" collapsed="false">
      <c r="A357" s="16"/>
      <c r="B357" s="16"/>
      <c r="C357" s="18"/>
      <c r="D357" s="16"/>
      <c r="E357" s="17" t="str">
        <f aca="false">IF(C357="","","Q"&amp;ROUNDUP(MONTH(C357)/3,0))</f>
        <v/>
      </c>
      <c r="F357" s="16"/>
      <c r="G357" s="16"/>
      <c r="H357" s="17" t="str">
        <f aca="false">IF(A357="","",IF(OR(B357="",C357=""),"Item ID and date needed",IF(COUNTIF(Sample_Log!$A$5:$A$204,A357)=0,"SMP-ID not in log",IF(COUNTIFS($A$5:$A$1004,A357,$B$5:$B$1004,B357)&gt;1,"Duplicate item in sample","OK"))))</f>
        <v/>
      </c>
    </row>
    <row r="358" customFormat="false" ht="15" hidden="false" customHeight="false" outlineLevel="0" collapsed="false">
      <c r="A358" s="16"/>
      <c r="B358" s="16"/>
      <c r="C358" s="18"/>
      <c r="D358" s="16"/>
      <c r="E358" s="17" t="str">
        <f aca="false">IF(C358="","","Q"&amp;ROUNDUP(MONTH(C358)/3,0))</f>
        <v/>
      </c>
      <c r="F358" s="16"/>
      <c r="G358" s="16"/>
      <c r="H358" s="17" t="str">
        <f aca="false">IF(A358="","",IF(OR(B358="",C358=""),"Item ID and date needed",IF(COUNTIF(Sample_Log!$A$5:$A$204,A358)=0,"SMP-ID not in log",IF(COUNTIFS($A$5:$A$1004,A358,$B$5:$B$1004,B358)&gt;1,"Duplicate item in sample","OK"))))</f>
        <v/>
      </c>
    </row>
    <row r="359" customFormat="false" ht="15" hidden="false" customHeight="false" outlineLevel="0" collapsed="false">
      <c r="A359" s="16"/>
      <c r="B359" s="16"/>
      <c r="C359" s="18"/>
      <c r="D359" s="16"/>
      <c r="E359" s="17" t="str">
        <f aca="false">IF(C359="","","Q"&amp;ROUNDUP(MONTH(C359)/3,0))</f>
        <v/>
      </c>
      <c r="F359" s="16"/>
      <c r="G359" s="16"/>
      <c r="H359" s="17" t="str">
        <f aca="false">IF(A359="","",IF(OR(B359="",C359=""),"Item ID and date needed",IF(COUNTIF(Sample_Log!$A$5:$A$204,A359)=0,"SMP-ID not in log",IF(COUNTIFS($A$5:$A$1004,A359,$B$5:$B$1004,B359)&gt;1,"Duplicate item in sample","OK"))))</f>
        <v/>
      </c>
    </row>
    <row r="360" customFormat="false" ht="15" hidden="false" customHeight="false" outlineLevel="0" collapsed="false">
      <c r="A360" s="16"/>
      <c r="B360" s="16"/>
      <c r="C360" s="18"/>
      <c r="D360" s="16"/>
      <c r="E360" s="17" t="str">
        <f aca="false">IF(C360="","","Q"&amp;ROUNDUP(MONTH(C360)/3,0))</f>
        <v/>
      </c>
      <c r="F360" s="16"/>
      <c r="G360" s="16"/>
      <c r="H360" s="17" t="str">
        <f aca="false">IF(A360="","",IF(OR(B360="",C360=""),"Item ID and date needed",IF(COUNTIF(Sample_Log!$A$5:$A$204,A360)=0,"SMP-ID not in log",IF(COUNTIFS($A$5:$A$1004,A360,$B$5:$B$1004,B360)&gt;1,"Duplicate item in sample","OK"))))</f>
        <v/>
      </c>
    </row>
    <row r="361" customFormat="false" ht="15" hidden="false" customHeight="false" outlineLevel="0" collapsed="false">
      <c r="A361" s="16"/>
      <c r="B361" s="16"/>
      <c r="C361" s="18"/>
      <c r="D361" s="16"/>
      <c r="E361" s="17" t="str">
        <f aca="false">IF(C361="","","Q"&amp;ROUNDUP(MONTH(C361)/3,0))</f>
        <v/>
      </c>
      <c r="F361" s="16"/>
      <c r="G361" s="16"/>
      <c r="H361" s="17" t="str">
        <f aca="false">IF(A361="","",IF(OR(B361="",C361=""),"Item ID and date needed",IF(COUNTIF(Sample_Log!$A$5:$A$204,A361)=0,"SMP-ID not in log",IF(COUNTIFS($A$5:$A$1004,A361,$B$5:$B$1004,B361)&gt;1,"Duplicate item in sample","OK"))))</f>
        <v/>
      </c>
    </row>
    <row r="362" customFormat="false" ht="15" hidden="false" customHeight="false" outlineLevel="0" collapsed="false">
      <c r="A362" s="16"/>
      <c r="B362" s="16"/>
      <c r="C362" s="18"/>
      <c r="D362" s="16"/>
      <c r="E362" s="17" t="str">
        <f aca="false">IF(C362="","","Q"&amp;ROUNDUP(MONTH(C362)/3,0))</f>
        <v/>
      </c>
      <c r="F362" s="16"/>
      <c r="G362" s="16"/>
      <c r="H362" s="17" t="str">
        <f aca="false">IF(A362="","",IF(OR(B362="",C362=""),"Item ID and date needed",IF(COUNTIF(Sample_Log!$A$5:$A$204,A362)=0,"SMP-ID not in log",IF(COUNTIFS($A$5:$A$1004,A362,$B$5:$B$1004,B362)&gt;1,"Duplicate item in sample","OK"))))</f>
        <v/>
      </c>
    </row>
    <row r="363" customFormat="false" ht="15" hidden="false" customHeight="false" outlineLevel="0" collapsed="false">
      <c r="A363" s="16"/>
      <c r="B363" s="16"/>
      <c r="C363" s="18"/>
      <c r="D363" s="16"/>
      <c r="E363" s="17" t="str">
        <f aca="false">IF(C363="","","Q"&amp;ROUNDUP(MONTH(C363)/3,0))</f>
        <v/>
      </c>
      <c r="F363" s="16"/>
      <c r="G363" s="16"/>
      <c r="H363" s="17" t="str">
        <f aca="false">IF(A363="","",IF(OR(B363="",C363=""),"Item ID and date needed",IF(COUNTIF(Sample_Log!$A$5:$A$204,A363)=0,"SMP-ID not in log",IF(COUNTIFS($A$5:$A$1004,A363,$B$5:$B$1004,B363)&gt;1,"Duplicate item in sample","OK"))))</f>
        <v/>
      </c>
    </row>
    <row r="364" customFormat="false" ht="15" hidden="false" customHeight="false" outlineLevel="0" collapsed="false">
      <c r="A364" s="16"/>
      <c r="B364" s="16"/>
      <c r="C364" s="18"/>
      <c r="D364" s="16"/>
      <c r="E364" s="17" t="str">
        <f aca="false">IF(C364="","","Q"&amp;ROUNDUP(MONTH(C364)/3,0))</f>
        <v/>
      </c>
      <c r="F364" s="16"/>
      <c r="G364" s="16"/>
      <c r="H364" s="17" t="str">
        <f aca="false">IF(A364="","",IF(OR(B364="",C364=""),"Item ID and date needed",IF(COUNTIF(Sample_Log!$A$5:$A$204,A364)=0,"SMP-ID not in log",IF(COUNTIFS($A$5:$A$1004,A364,$B$5:$B$1004,B364)&gt;1,"Duplicate item in sample","OK"))))</f>
        <v/>
      </c>
    </row>
    <row r="365" customFormat="false" ht="15" hidden="false" customHeight="false" outlineLevel="0" collapsed="false">
      <c r="A365" s="16"/>
      <c r="B365" s="16"/>
      <c r="C365" s="18"/>
      <c r="D365" s="16"/>
      <c r="E365" s="17" t="str">
        <f aca="false">IF(C365="","","Q"&amp;ROUNDUP(MONTH(C365)/3,0))</f>
        <v/>
      </c>
      <c r="F365" s="16"/>
      <c r="G365" s="16"/>
      <c r="H365" s="17" t="str">
        <f aca="false">IF(A365="","",IF(OR(B365="",C365=""),"Item ID and date needed",IF(COUNTIF(Sample_Log!$A$5:$A$204,A365)=0,"SMP-ID not in log",IF(COUNTIFS($A$5:$A$1004,A365,$B$5:$B$1004,B365)&gt;1,"Duplicate item in sample","OK"))))</f>
        <v/>
      </c>
    </row>
    <row r="366" customFormat="false" ht="15" hidden="false" customHeight="false" outlineLevel="0" collapsed="false">
      <c r="A366" s="16"/>
      <c r="B366" s="16"/>
      <c r="C366" s="18"/>
      <c r="D366" s="16"/>
      <c r="E366" s="17" t="str">
        <f aca="false">IF(C366="","","Q"&amp;ROUNDUP(MONTH(C366)/3,0))</f>
        <v/>
      </c>
      <c r="F366" s="16"/>
      <c r="G366" s="16"/>
      <c r="H366" s="17" t="str">
        <f aca="false">IF(A366="","",IF(OR(B366="",C366=""),"Item ID and date needed",IF(COUNTIF(Sample_Log!$A$5:$A$204,A366)=0,"SMP-ID not in log",IF(COUNTIFS($A$5:$A$1004,A366,$B$5:$B$1004,B366)&gt;1,"Duplicate item in sample","OK"))))</f>
        <v/>
      </c>
    </row>
    <row r="367" customFormat="false" ht="15" hidden="false" customHeight="false" outlineLevel="0" collapsed="false">
      <c r="A367" s="16"/>
      <c r="B367" s="16"/>
      <c r="C367" s="18"/>
      <c r="D367" s="16"/>
      <c r="E367" s="17" t="str">
        <f aca="false">IF(C367="","","Q"&amp;ROUNDUP(MONTH(C367)/3,0))</f>
        <v/>
      </c>
      <c r="F367" s="16"/>
      <c r="G367" s="16"/>
      <c r="H367" s="17" t="str">
        <f aca="false">IF(A367="","",IF(OR(B367="",C367=""),"Item ID and date needed",IF(COUNTIF(Sample_Log!$A$5:$A$204,A367)=0,"SMP-ID not in log",IF(COUNTIFS($A$5:$A$1004,A367,$B$5:$B$1004,B367)&gt;1,"Duplicate item in sample","OK"))))</f>
        <v/>
      </c>
    </row>
    <row r="368" customFormat="false" ht="15" hidden="false" customHeight="false" outlineLevel="0" collapsed="false">
      <c r="A368" s="16"/>
      <c r="B368" s="16"/>
      <c r="C368" s="18"/>
      <c r="D368" s="16"/>
      <c r="E368" s="17" t="str">
        <f aca="false">IF(C368="","","Q"&amp;ROUNDUP(MONTH(C368)/3,0))</f>
        <v/>
      </c>
      <c r="F368" s="16"/>
      <c r="G368" s="16"/>
      <c r="H368" s="17" t="str">
        <f aca="false">IF(A368="","",IF(OR(B368="",C368=""),"Item ID and date needed",IF(COUNTIF(Sample_Log!$A$5:$A$204,A368)=0,"SMP-ID not in log",IF(COUNTIFS($A$5:$A$1004,A368,$B$5:$B$1004,B368)&gt;1,"Duplicate item in sample","OK"))))</f>
        <v/>
      </c>
    </row>
    <row r="369" customFormat="false" ht="15" hidden="false" customHeight="false" outlineLevel="0" collapsed="false">
      <c r="A369" s="16"/>
      <c r="B369" s="16"/>
      <c r="C369" s="18"/>
      <c r="D369" s="16"/>
      <c r="E369" s="17" t="str">
        <f aca="false">IF(C369="","","Q"&amp;ROUNDUP(MONTH(C369)/3,0))</f>
        <v/>
      </c>
      <c r="F369" s="16"/>
      <c r="G369" s="16"/>
      <c r="H369" s="17" t="str">
        <f aca="false">IF(A369="","",IF(OR(B369="",C369=""),"Item ID and date needed",IF(COUNTIF(Sample_Log!$A$5:$A$204,A369)=0,"SMP-ID not in log",IF(COUNTIFS($A$5:$A$1004,A369,$B$5:$B$1004,B369)&gt;1,"Duplicate item in sample","OK"))))</f>
        <v/>
      </c>
    </row>
    <row r="370" customFormat="false" ht="15" hidden="false" customHeight="false" outlineLevel="0" collapsed="false">
      <c r="A370" s="16"/>
      <c r="B370" s="16"/>
      <c r="C370" s="18"/>
      <c r="D370" s="16"/>
      <c r="E370" s="17" t="str">
        <f aca="false">IF(C370="","","Q"&amp;ROUNDUP(MONTH(C370)/3,0))</f>
        <v/>
      </c>
      <c r="F370" s="16"/>
      <c r="G370" s="16"/>
      <c r="H370" s="17" t="str">
        <f aca="false">IF(A370="","",IF(OR(B370="",C370=""),"Item ID and date needed",IF(COUNTIF(Sample_Log!$A$5:$A$204,A370)=0,"SMP-ID not in log",IF(COUNTIFS($A$5:$A$1004,A370,$B$5:$B$1004,B370)&gt;1,"Duplicate item in sample","OK"))))</f>
        <v/>
      </c>
    </row>
    <row r="371" customFormat="false" ht="15" hidden="false" customHeight="false" outlineLevel="0" collapsed="false">
      <c r="A371" s="16"/>
      <c r="B371" s="16"/>
      <c r="C371" s="18"/>
      <c r="D371" s="16"/>
      <c r="E371" s="17" t="str">
        <f aca="false">IF(C371="","","Q"&amp;ROUNDUP(MONTH(C371)/3,0))</f>
        <v/>
      </c>
      <c r="F371" s="16"/>
      <c r="G371" s="16"/>
      <c r="H371" s="17" t="str">
        <f aca="false">IF(A371="","",IF(OR(B371="",C371=""),"Item ID and date needed",IF(COUNTIF(Sample_Log!$A$5:$A$204,A371)=0,"SMP-ID not in log",IF(COUNTIFS($A$5:$A$1004,A371,$B$5:$B$1004,B371)&gt;1,"Duplicate item in sample","OK"))))</f>
        <v/>
      </c>
    </row>
    <row r="372" customFormat="false" ht="15" hidden="false" customHeight="false" outlineLevel="0" collapsed="false">
      <c r="A372" s="16"/>
      <c r="B372" s="16"/>
      <c r="C372" s="18"/>
      <c r="D372" s="16"/>
      <c r="E372" s="17" t="str">
        <f aca="false">IF(C372="","","Q"&amp;ROUNDUP(MONTH(C372)/3,0))</f>
        <v/>
      </c>
      <c r="F372" s="16"/>
      <c r="G372" s="16"/>
      <c r="H372" s="17" t="str">
        <f aca="false">IF(A372="","",IF(OR(B372="",C372=""),"Item ID and date needed",IF(COUNTIF(Sample_Log!$A$5:$A$204,A372)=0,"SMP-ID not in log",IF(COUNTIFS($A$5:$A$1004,A372,$B$5:$B$1004,B372)&gt;1,"Duplicate item in sample","OK"))))</f>
        <v/>
      </c>
    </row>
    <row r="373" customFormat="false" ht="15" hidden="false" customHeight="false" outlineLevel="0" collapsed="false">
      <c r="A373" s="16"/>
      <c r="B373" s="16"/>
      <c r="C373" s="18"/>
      <c r="D373" s="16"/>
      <c r="E373" s="17" t="str">
        <f aca="false">IF(C373="","","Q"&amp;ROUNDUP(MONTH(C373)/3,0))</f>
        <v/>
      </c>
      <c r="F373" s="16"/>
      <c r="G373" s="16"/>
      <c r="H373" s="17" t="str">
        <f aca="false">IF(A373="","",IF(OR(B373="",C373=""),"Item ID and date needed",IF(COUNTIF(Sample_Log!$A$5:$A$204,A373)=0,"SMP-ID not in log",IF(COUNTIFS($A$5:$A$1004,A373,$B$5:$B$1004,B373)&gt;1,"Duplicate item in sample","OK"))))</f>
        <v/>
      </c>
    </row>
    <row r="374" customFormat="false" ht="15" hidden="false" customHeight="false" outlineLevel="0" collapsed="false">
      <c r="A374" s="16"/>
      <c r="B374" s="16"/>
      <c r="C374" s="18"/>
      <c r="D374" s="16"/>
      <c r="E374" s="17" t="str">
        <f aca="false">IF(C374="","","Q"&amp;ROUNDUP(MONTH(C374)/3,0))</f>
        <v/>
      </c>
      <c r="F374" s="16"/>
      <c r="G374" s="16"/>
      <c r="H374" s="17" t="str">
        <f aca="false">IF(A374="","",IF(OR(B374="",C374=""),"Item ID and date needed",IF(COUNTIF(Sample_Log!$A$5:$A$204,A374)=0,"SMP-ID not in log",IF(COUNTIFS($A$5:$A$1004,A374,$B$5:$B$1004,B374)&gt;1,"Duplicate item in sample","OK"))))</f>
        <v/>
      </c>
    </row>
    <row r="375" customFormat="false" ht="15" hidden="false" customHeight="false" outlineLevel="0" collapsed="false">
      <c r="A375" s="16"/>
      <c r="B375" s="16"/>
      <c r="C375" s="18"/>
      <c r="D375" s="16"/>
      <c r="E375" s="17" t="str">
        <f aca="false">IF(C375="","","Q"&amp;ROUNDUP(MONTH(C375)/3,0))</f>
        <v/>
      </c>
      <c r="F375" s="16"/>
      <c r="G375" s="16"/>
      <c r="H375" s="17" t="str">
        <f aca="false">IF(A375="","",IF(OR(B375="",C375=""),"Item ID and date needed",IF(COUNTIF(Sample_Log!$A$5:$A$204,A375)=0,"SMP-ID not in log",IF(COUNTIFS($A$5:$A$1004,A375,$B$5:$B$1004,B375)&gt;1,"Duplicate item in sample","OK"))))</f>
        <v/>
      </c>
    </row>
    <row r="376" customFormat="false" ht="15" hidden="false" customHeight="false" outlineLevel="0" collapsed="false">
      <c r="A376" s="16"/>
      <c r="B376" s="16"/>
      <c r="C376" s="18"/>
      <c r="D376" s="16"/>
      <c r="E376" s="17" t="str">
        <f aca="false">IF(C376="","","Q"&amp;ROUNDUP(MONTH(C376)/3,0))</f>
        <v/>
      </c>
      <c r="F376" s="16"/>
      <c r="G376" s="16"/>
      <c r="H376" s="17" t="str">
        <f aca="false">IF(A376="","",IF(OR(B376="",C376=""),"Item ID and date needed",IF(COUNTIF(Sample_Log!$A$5:$A$204,A376)=0,"SMP-ID not in log",IF(COUNTIFS($A$5:$A$1004,A376,$B$5:$B$1004,B376)&gt;1,"Duplicate item in sample","OK"))))</f>
        <v/>
      </c>
    </row>
    <row r="377" customFormat="false" ht="15" hidden="false" customHeight="false" outlineLevel="0" collapsed="false">
      <c r="A377" s="16"/>
      <c r="B377" s="16"/>
      <c r="C377" s="18"/>
      <c r="D377" s="16"/>
      <c r="E377" s="17" t="str">
        <f aca="false">IF(C377="","","Q"&amp;ROUNDUP(MONTH(C377)/3,0))</f>
        <v/>
      </c>
      <c r="F377" s="16"/>
      <c r="G377" s="16"/>
      <c r="H377" s="17" t="str">
        <f aca="false">IF(A377="","",IF(OR(B377="",C377=""),"Item ID and date needed",IF(COUNTIF(Sample_Log!$A$5:$A$204,A377)=0,"SMP-ID not in log",IF(COUNTIFS($A$5:$A$1004,A377,$B$5:$B$1004,B377)&gt;1,"Duplicate item in sample","OK"))))</f>
        <v/>
      </c>
    </row>
    <row r="378" customFormat="false" ht="15" hidden="false" customHeight="false" outlineLevel="0" collapsed="false">
      <c r="A378" s="16"/>
      <c r="B378" s="16"/>
      <c r="C378" s="18"/>
      <c r="D378" s="16"/>
      <c r="E378" s="17" t="str">
        <f aca="false">IF(C378="","","Q"&amp;ROUNDUP(MONTH(C378)/3,0))</f>
        <v/>
      </c>
      <c r="F378" s="16"/>
      <c r="G378" s="16"/>
      <c r="H378" s="17" t="str">
        <f aca="false">IF(A378="","",IF(OR(B378="",C378=""),"Item ID and date needed",IF(COUNTIF(Sample_Log!$A$5:$A$204,A378)=0,"SMP-ID not in log",IF(COUNTIFS($A$5:$A$1004,A378,$B$5:$B$1004,B378)&gt;1,"Duplicate item in sample","OK"))))</f>
        <v/>
      </c>
    </row>
    <row r="379" customFormat="false" ht="15" hidden="false" customHeight="false" outlineLevel="0" collapsed="false">
      <c r="A379" s="16"/>
      <c r="B379" s="16"/>
      <c r="C379" s="18"/>
      <c r="D379" s="16"/>
      <c r="E379" s="17" t="str">
        <f aca="false">IF(C379="","","Q"&amp;ROUNDUP(MONTH(C379)/3,0))</f>
        <v/>
      </c>
      <c r="F379" s="16"/>
      <c r="G379" s="16"/>
      <c r="H379" s="17" t="str">
        <f aca="false">IF(A379="","",IF(OR(B379="",C379=""),"Item ID and date needed",IF(COUNTIF(Sample_Log!$A$5:$A$204,A379)=0,"SMP-ID not in log",IF(COUNTIFS($A$5:$A$1004,A379,$B$5:$B$1004,B379)&gt;1,"Duplicate item in sample","OK"))))</f>
        <v/>
      </c>
    </row>
    <row r="380" customFormat="false" ht="15" hidden="false" customHeight="false" outlineLevel="0" collapsed="false">
      <c r="A380" s="16"/>
      <c r="B380" s="16"/>
      <c r="C380" s="18"/>
      <c r="D380" s="16"/>
      <c r="E380" s="17" t="str">
        <f aca="false">IF(C380="","","Q"&amp;ROUNDUP(MONTH(C380)/3,0))</f>
        <v/>
      </c>
      <c r="F380" s="16"/>
      <c r="G380" s="16"/>
      <c r="H380" s="17" t="str">
        <f aca="false">IF(A380="","",IF(OR(B380="",C380=""),"Item ID and date needed",IF(COUNTIF(Sample_Log!$A$5:$A$204,A380)=0,"SMP-ID not in log",IF(COUNTIFS($A$5:$A$1004,A380,$B$5:$B$1004,B380)&gt;1,"Duplicate item in sample","OK"))))</f>
        <v/>
      </c>
    </row>
    <row r="381" customFormat="false" ht="15" hidden="false" customHeight="false" outlineLevel="0" collapsed="false">
      <c r="A381" s="16"/>
      <c r="B381" s="16"/>
      <c r="C381" s="18"/>
      <c r="D381" s="16"/>
      <c r="E381" s="17" t="str">
        <f aca="false">IF(C381="","","Q"&amp;ROUNDUP(MONTH(C381)/3,0))</f>
        <v/>
      </c>
      <c r="F381" s="16"/>
      <c r="G381" s="16"/>
      <c r="H381" s="17" t="str">
        <f aca="false">IF(A381="","",IF(OR(B381="",C381=""),"Item ID and date needed",IF(COUNTIF(Sample_Log!$A$5:$A$204,A381)=0,"SMP-ID not in log",IF(COUNTIFS($A$5:$A$1004,A381,$B$5:$B$1004,B381)&gt;1,"Duplicate item in sample","OK"))))</f>
        <v/>
      </c>
    </row>
    <row r="382" customFormat="false" ht="15" hidden="false" customHeight="false" outlineLevel="0" collapsed="false">
      <c r="A382" s="16"/>
      <c r="B382" s="16"/>
      <c r="C382" s="18"/>
      <c r="D382" s="16"/>
      <c r="E382" s="17" t="str">
        <f aca="false">IF(C382="","","Q"&amp;ROUNDUP(MONTH(C382)/3,0))</f>
        <v/>
      </c>
      <c r="F382" s="16"/>
      <c r="G382" s="16"/>
      <c r="H382" s="17" t="str">
        <f aca="false">IF(A382="","",IF(OR(B382="",C382=""),"Item ID and date needed",IF(COUNTIF(Sample_Log!$A$5:$A$204,A382)=0,"SMP-ID not in log",IF(COUNTIFS($A$5:$A$1004,A382,$B$5:$B$1004,B382)&gt;1,"Duplicate item in sample","OK"))))</f>
        <v/>
      </c>
    </row>
    <row r="383" customFormat="false" ht="15" hidden="false" customHeight="false" outlineLevel="0" collapsed="false">
      <c r="A383" s="16"/>
      <c r="B383" s="16"/>
      <c r="C383" s="18"/>
      <c r="D383" s="16"/>
      <c r="E383" s="17" t="str">
        <f aca="false">IF(C383="","","Q"&amp;ROUNDUP(MONTH(C383)/3,0))</f>
        <v/>
      </c>
      <c r="F383" s="16"/>
      <c r="G383" s="16"/>
      <c r="H383" s="17" t="str">
        <f aca="false">IF(A383="","",IF(OR(B383="",C383=""),"Item ID and date needed",IF(COUNTIF(Sample_Log!$A$5:$A$204,A383)=0,"SMP-ID not in log",IF(COUNTIFS($A$5:$A$1004,A383,$B$5:$B$1004,B383)&gt;1,"Duplicate item in sample","OK"))))</f>
        <v/>
      </c>
    </row>
    <row r="384" customFormat="false" ht="15" hidden="false" customHeight="false" outlineLevel="0" collapsed="false">
      <c r="A384" s="16"/>
      <c r="B384" s="16"/>
      <c r="C384" s="18"/>
      <c r="D384" s="16"/>
      <c r="E384" s="17" t="str">
        <f aca="false">IF(C384="","","Q"&amp;ROUNDUP(MONTH(C384)/3,0))</f>
        <v/>
      </c>
      <c r="F384" s="16"/>
      <c r="G384" s="16"/>
      <c r="H384" s="17" t="str">
        <f aca="false">IF(A384="","",IF(OR(B384="",C384=""),"Item ID and date needed",IF(COUNTIF(Sample_Log!$A$5:$A$204,A384)=0,"SMP-ID not in log",IF(COUNTIFS($A$5:$A$1004,A384,$B$5:$B$1004,B384)&gt;1,"Duplicate item in sample","OK"))))</f>
        <v/>
      </c>
    </row>
    <row r="385" customFormat="false" ht="15" hidden="false" customHeight="false" outlineLevel="0" collapsed="false">
      <c r="A385" s="16"/>
      <c r="B385" s="16"/>
      <c r="C385" s="18"/>
      <c r="D385" s="16"/>
      <c r="E385" s="17" t="str">
        <f aca="false">IF(C385="","","Q"&amp;ROUNDUP(MONTH(C385)/3,0))</f>
        <v/>
      </c>
      <c r="F385" s="16"/>
      <c r="G385" s="16"/>
      <c r="H385" s="17" t="str">
        <f aca="false">IF(A385="","",IF(OR(B385="",C385=""),"Item ID and date needed",IF(COUNTIF(Sample_Log!$A$5:$A$204,A385)=0,"SMP-ID not in log",IF(COUNTIFS($A$5:$A$1004,A385,$B$5:$B$1004,B385)&gt;1,"Duplicate item in sample","OK"))))</f>
        <v/>
      </c>
    </row>
    <row r="386" customFormat="false" ht="15" hidden="false" customHeight="false" outlineLevel="0" collapsed="false">
      <c r="A386" s="16"/>
      <c r="B386" s="16"/>
      <c r="C386" s="18"/>
      <c r="D386" s="16"/>
      <c r="E386" s="17" t="str">
        <f aca="false">IF(C386="","","Q"&amp;ROUNDUP(MONTH(C386)/3,0))</f>
        <v/>
      </c>
      <c r="F386" s="16"/>
      <c r="G386" s="16"/>
      <c r="H386" s="17" t="str">
        <f aca="false">IF(A386="","",IF(OR(B386="",C386=""),"Item ID and date needed",IF(COUNTIF(Sample_Log!$A$5:$A$204,A386)=0,"SMP-ID not in log",IF(COUNTIFS($A$5:$A$1004,A386,$B$5:$B$1004,B386)&gt;1,"Duplicate item in sample","OK"))))</f>
        <v/>
      </c>
    </row>
    <row r="387" customFormat="false" ht="15" hidden="false" customHeight="false" outlineLevel="0" collapsed="false">
      <c r="A387" s="16"/>
      <c r="B387" s="16"/>
      <c r="C387" s="18"/>
      <c r="D387" s="16"/>
      <c r="E387" s="17" t="str">
        <f aca="false">IF(C387="","","Q"&amp;ROUNDUP(MONTH(C387)/3,0))</f>
        <v/>
      </c>
      <c r="F387" s="16"/>
      <c r="G387" s="16"/>
      <c r="H387" s="17" t="str">
        <f aca="false">IF(A387="","",IF(OR(B387="",C387=""),"Item ID and date needed",IF(COUNTIF(Sample_Log!$A$5:$A$204,A387)=0,"SMP-ID not in log",IF(COUNTIFS($A$5:$A$1004,A387,$B$5:$B$1004,B387)&gt;1,"Duplicate item in sample","OK"))))</f>
        <v/>
      </c>
    </row>
    <row r="388" customFormat="false" ht="15" hidden="false" customHeight="false" outlineLevel="0" collapsed="false">
      <c r="A388" s="16"/>
      <c r="B388" s="16"/>
      <c r="C388" s="18"/>
      <c r="D388" s="16"/>
      <c r="E388" s="17" t="str">
        <f aca="false">IF(C388="","","Q"&amp;ROUNDUP(MONTH(C388)/3,0))</f>
        <v/>
      </c>
      <c r="F388" s="16"/>
      <c r="G388" s="16"/>
      <c r="H388" s="17" t="str">
        <f aca="false">IF(A388="","",IF(OR(B388="",C388=""),"Item ID and date needed",IF(COUNTIF(Sample_Log!$A$5:$A$204,A388)=0,"SMP-ID not in log",IF(COUNTIFS($A$5:$A$1004,A388,$B$5:$B$1004,B388)&gt;1,"Duplicate item in sample","OK"))))</f>
        <v/>
      </c>
    </row>
    <row r="389" customFormat="false" ht="15" hidden="false" customHeight="false" outlineLevel="0" collapsed="false">
      <c r="A389" s="16"/>
      <c r="B389" s="16"/>
      <c r="C389" s="18"/>
      <c r="D389" s="16"/>
      <c r="E389" s="17" t="str">
        <f aca="false">IF(C389="","","Q"&amp;ROUNDUP(MONTH(C389)/3,0))</f>
        <v/>
      </c>
      <c r="F389" s="16"/>
      <c r="G389" s="16"/>
      <c r="H389" s="17" t="str">
        <f aca="false">IF(A389="","",IF(OR(B389="",C389=""),"Item ID and date needed",IF(COUNTIF(Sample_Log!$A$5:$A$204,A389)=0,"SMP-ID not in log",IF(COUNTIFS($A$5:$A$1004,A389,$B$5:$B$1004,B389)&gt;1,"Duplicate item in sample","OK"))))</f>
        <v/>
      </c>
    </row>
    <row r="390" customFormat="false" ht="15" hidden="false" customHeight="false" outlineLevel="0" collapsed="false">
      <c r="A390" s="16"/>
      <c r="B390" s="16"/>
      <c r="C390" s="18"/>
      <c r="D390" s="16"/>
      <c r="E390" s="17" t="str">
        <f aca="false">IF(C390="","","Q"&amp;ROUNDUP(MONTH(C390)/3,0))</f>
        <v/>
      </c>
      <c r="F390" s="16"/>
      <c r="G390" s="16"/>
      <c r="H390" s="17" t="str">
        <f aca="false">IF(A390="","",IF(OR(B390="",C390=""),"Item ID and date needed",IF(COUNTIF(Sample_Log!$A$5:$A$204,A390)=0,"SMP-ID not in log",IF(COUNTIFS($A$5:$A$1004,A390,$B$5:$B$1004,B390)&gt;1,"Duplicate item in sample","OK"))))</f>
        <v/>
      </c>
    </row>
    <row r="391" customFormat="false" ht="15" hidden="false" customHeight="false" outlineLevel="0" collapsed="false">
      <c r="A391" s="16"/>
      <c r="B391" s="16"/>
      <c r="C391" s="18"/>
      <c r="D391" s="16"/>
      <c r="E391" s="17" t="str">
        <f aca="false">IF(C391="","","Q"&amp;ROUNDUP(MONTH(C391)/3,0))</f>
        <v/>
      </c>
      <c r="F391" s="16"/>
      <c r="G391" s="16"/>
      <c r="H391" s="17" t="str">
        <f aca="false">IF(A391="","",IF(OR(B391="",C391=""),"Item ID and date needed",IF(COUNTIF(Sample_Log!$A$5:$A$204,A391)=0,"SMP-ID not in log",IF(COUNTIFS($A$5:$A$1004,A391,$B$5:$B$1004,B391)&gt;1,"Duplicate item in sample","OK"))))</f>
        <v/>
      </c>
    </row>
    <row r="392" customFormat="false" ht="15" hidden="false" customHeight="false" outlineLevel="0" collapsed="false">
      <c r="A392" s="16"/>
      <c r="B392" s="16"/>
      <c r="C392" s="18"/>
      <c r="D392" s="16"/>
      <c r="E392" s="17" t="str">
        <f aca="false">IF(C392="","","Q"&amp;ROUNDUP(MONTH(C392)/3,0))</f>
        <v/>
      </c>
      <c r="F392" s="16"/>
      <c r="G392" s="16"/>
      <c r="H392" s="17" t="str">
        <f aca="false">IF(A392="","",IF(OR(B392="",C392=""),"Item ID and date needed",IF(COUNTIF(Sample_Log!$A$5:$A$204,A392)=0,"SMP-ID not in log",IF(COUNTIFS($A$5:$A$1004,A392,$B$5:$B$1004,B392)&gt;1,"Duplicate item in sample","OK"))))</f>
        <v/>
      </c>
    </row>
    <row r="393" customFormat="false" ht="15" hidden="false" customHeight="false" outlineLevel="0" collapsed="false">
      <c r="A393" s="16"/>
      <c r="B393" s="16"/>
      <c r="C393" s="18"/>
      <c r="D393" s="16"/>
      <c r="E393" s="17" t="str">
        <f aca="false">IF(C393="","","Q"&amp;ROUNDUP(MONTH(C393)/3,0))</f>
        <v/>
      </c>
      <c r="F393" s="16"/>
      <c r="G393" s="16"/>
      <c r="H393" s="17" t="str">
        <f aca="false">IF(A393="","",IF(OR(B393="",C393=""),"Item ID and date needed",IF(COUNTIF(Sample_Log!$A$5:$A$204,A393)=0,"SMP-ID not in log",IF(COUNTIFS($A$5:$A$1004,A393,$B$5:$B$1004,B393)&gt;1,"Duplicate item in sample","OK"))))</f>
        <v/>
      </c>
    </row>
    <row r="394" customFormat="false" ht="15" hidden="false" customHeight="false" outlineLevel="0" collapsed="false">
      <c r="A394" s="16"/>
      <c r="B394" s="16"/>
      <c r="C394" s="18"/>
      <c r="D394" s="16"/>
      <c r="E394" s="17" t="str">
        <f aca="false">IF(C394="","","Q"&amp;ROUNDUP(MONTH(C394)/3,0))</f>
        <v/>
      </c>
      <c r="F394" s="16"/>
      <c r="G394" s="16"/>
      <c r="H394" s="17" t="str">
        <f aca="false">IF(A394="","",IF(OR(B394="",C394=""),"Item ID and date needed",IF(COUNTIF(Sample_Log!$A$5:$A$204,A394)=0,"SMP-ID not in log",IF(COUNTIFS($A$5:$A$1004,A394,$B$5:$B$1004,B394)&gt;1,"Duplicate item in sample","OK"))))</f>
        <v/>
      </c>
    </row>
    <row r="395" customFormat="false" ht="15" hidden="false" customHeight="false" outlineLevel="0" collapsed="false">
      <c r="A395" s="16"/>
      <c r="B395" s="16"/>
      <c r="C395" s="18"/>
      <c r="D395" s="16"/>
      <c r="E395" s="17" t="str">
        <f aca="false">IF(C395="","","Q"&amp;ROUNDUP(MONTH(C395)/3,0))</f>
        <v/>
      </c>
      <c r="F395" s="16"/>
      <c r="G395" s="16"/>
      <c r="H395" s="17" t="str">
        <f aca="false">IF(A395="","",IF(OR(B395="",C395=""),"Item ID and date needed",IF(COUNTIF(Sample_Log!$A$5:$A$204,A395)=0,"SMP-ID not in log",IF(COUNTIFS($A$5:$A$1004,A395,$B$5:$B$1004,B395)&gt;1,"Duplicate item in sample","OK"))))</f>
        <v/>
      </c>
    </row>
    <row r="396" customFormat="false" ht="15" hidden="false" customHeight="false" outlineLevel="0" collapsed="false">
      <c r="A396" s="16"/>
      <c r="B396" s="16"/>
      <c r="C396" s="18"/>
      <c r="D396" s="16"/>
      <c r="E396" s="17" t="str">
        <f aca="false">IF(C396="","","Q"&amp;ROUNDUP(MONTH(C396)/3,0))</f>
        <v/>
      </c>
      <c r="F396" s="16"/>
      <c r="G396" s="16"/>
      <c r="H396" s="17" t="str">
        <f aca="false">IF(A396="","",IF(OR(B396="",C396=""),"Item ID and date needed",IF(COUNTIF(Sample_Log!$A$5:$A$204,A396)=0,"SMP-ID not in log",IF(COUNTIFS($A$5:$A$1004,A396,$B$5:$B$1004,B396)&gt;1,"Duplicate item in sample","OK"))))</f>
        <v/>
      </c>
    </row>
    <row r="397" customFormat="false" ht="15" hidden="false" customHeight="false" outlineLevel="0" collapsed="false">
      <c r="A397" s="16"/>
      <c r="B397" s="16"/>
      <c r="C397" s="18"/>
      <c r="D397" s="16"/>
      <c r="E397" s="17" t="str">
        <f aca="false">IF(C397="","","Q"&amp;ROUNDUP(MONTH(C397)/3,0))</f>
        <v/>
      </c>
      <c r="F397" s="16"/>
      <c r="G397" s="16"/>
      <c r="H397" s="17" t="str">
        <f aca="false">IF(A397="","",IF(OR(B397="",C397=""),"Item ID and date needed",IF(COUNTIF(Sample_Log!$A$5:$A$204,A397)=0,"SMP-ID not in log",IF(COUNTIFS($A$5:$A$1004,A397,$B$5:$B$1004,B397)&gt;1,"Duplicate item in sample","OK"))))</f>
        <v/>
      </c>
    </row>
    <row r="398" customFormat="false" ht="15" hidden="false" customHeight="false" outlineLevel="0" collapsed="false">
      <c r="A398" s="16"/>
      <c r="B398" s="16"/>
      <c r="C398" s="18"/>
      <c r="D398" s="16"/>
      <c r="E398" s="17" t="str">
        <f aca="false">IF(C398="","","Q"&amp;ROUNDUP(MONTH(C398)/3,0))</f>
        <v/>
      </c>
      <c r="F398" s="16"/>
      <c r="G398" s="16"/>
      <c r="H398" s="17" t="str">
        <f aca="false">IF(A398="","",IF(OR(B398="",C398=""),"Item ID and date needed",IF(COUNTIF(Sample_Log!$A$5:$A$204,A398)=0,"SMP-ID not in log",IF(COUNTIFS($A$5:$A$1004,A398,$B$5:$B$1004,B398)&gt;1,"Duplicate item in sample","OK"))))</f>
        <v/>
      </c>
    </row>
    <row r="399" customFormat="false" ht="15" hidden="false" customHeight="false" outlineLevel="0" collapsed="false">
      <c r="A399" s="16"/>
      <c r="B399" s="16"/>
      <c r="C399" s="18"/>
      <c r="D399" s="16"/>
      <c r="E399" s="17" t="str">
        <f aca="false">IF(C399="","","Q"&amp;ROUNDUP(MONTH(C399)/3,0))</f>
        <v/>
      </c>
      <c r="F399" s="16"/>
      <c r="G399" s="16"/>
      <c r="H399" s="17" t="str">
        <f aca="false">IF(A399="","",IF(OR(B399="",C399=""),"Item ID and date needed",IF(COUNTIF(Sample_Log!$A$5:$A$204,A399)=0,"SMP-ID not in log",IF(COUNTIFS($A$5:$A$1004,A399,$B$5:$B$1004,B399)&gt;1,"Duplicate item in sample","OK"))))</f>
        <v/>
      </c>
    </row>
    <row r="400" customFormat="false" ht="15" hidden="false" customHeight="false" outlineLevel="0" collapsed="false">
      <c r="A400" s="16"/>
      <c r="B400" s="16"/>
      <c r="C400" s="18"/>
      <c r="D400" s="16"/>
      <c r="E400" s="17" t="str">
        <f aca="false">IF(C400="","","Q"&amp;ROUNDUP(MONTH(C400)/3,0))</f>
        <v/>
      </c>
      <c r="F400" s="16"/>
      <c r="G400" s="16"/>
      <c r="H400" s="17" t="str">
        <f aca="false">IF(A400="","",IF(OR(B400="",C400=""),"Item ID and date needed",IF(COUNTIF(Sample_Log!$A$5:$A$204,A400)=0,"SMP-ID not in log",IF(COUNTIFS($A$5:$A$1004,A400,$B$5:$B$1004,B400)&gt;1,"Duplicate item in sample","OK"))))</f>
        <v/>
      </c>
    </row>
    <row r="401" customFormat="false" ht="15" hidden="false" customHeight="false" outlineLevel="0" collapsed="false">
      <c r="A401" s="16"/>
      <c r="B401" s="16"/>
      <c r="C401" s="18"/>
      <c r="D401" s="16"/>
      <c r="E401" s="17" t="str">
        <f aca="false">IF(C401="","","Q"&amp;ROUNDUP(MONTH(C401)/3,0))</f>
        <v/>
      </c>
      <c r="F401" s="16"/>
      <c r="G401" s="16"/>
      <c r="H401" s="17" t="str">
        <f aca="false">IF(A401="","",IF(OR(B401="",C401=""),"Item ID and date needed",IF(COUNTIF(Sample_Log!$A$5:$A$204,A401)=0,"SMP-ID not in log",IF(COUNTIFS($A$5:$A$1004,A401,$B$5:$B$1004,B401)&gt;1,"Duplicate item in sample","OK"))))</f>
        <v/>
      </c>
    </row>
    <row r="402" customFormat="false" ht="15" hidden="false" customHeight="false" outlineLevel="0" collapsed="false">
      <c r="A402" s="16"/>
      <c r="B402" s="16"/>
      <c r="C402" s="18"/>
      <c r="D402" s="16"/>
      <c r="E402" s="17" t="str">
        <f aca="false">IF(C402="","","Q"&amp;ROUNDUP(MONTH(C402)/3,0))</f>
        <v/>
      </c>
      <c r="F402" s="16"/>
      <c r="G402" s="16"/>
      <c r="H402" s="17" t="str">
        <f aca="false">IF(A402="","",IF(OR(B402="",C402=""),"Item ID and date needed",IF(COUNTIF(Sample_Log!$A$5:$A$204,A402)=0,"SMP-ID not in log",IF(COUNTIFS($A$5:$A$1004,A402,$B$5:$B$1004,B402)&gt;1,"Duplicate item in sample","OK"))))</f>
        <v/>
      </c>
    </row>
    <row r="403" customFormat="false" ht="15" hidden="false" customHeight="false" outlineLevel="0" collapsed="false">
      <c r="A403" s="16"/>
      <c r="B403" s="16"/>
      <c r="C403" s="18"/>
      <c r="D403" s="16"/>
      <c r="E403" s="17" t="str">
        <f aca="false">IF(C403="","","Q"&amp;ROUNDUP(MONTH(C403)/3,0))</f>
        <v/>
      </c>
      <c r="F403" s="16"/>
      <c r="G403" s="16"/>
      <c r="H403" s="17" t="str">
        <f aca="false">IF(A403="","",IF(OR(B403="",C403=""),"Item ID and date needed",IF(COUNTIF(Sample_Log!$A$5:$A$204,A403)=0,"SMP-ID not in log",IF(COUNTIFS($A$5:$A$1004,A403,$B$5:$B$1004,B403)&gt;1,"Duplicate item in sample","OK"))))</f>
        <v/>
      </c>
    </row>
    <row r="404" customFormat="false" ht="15" hidden="false" customHeight="false" outlineLevel="0" collapsed="false">
      <c r="A404" s="16"/>
      <c r="B404" s="16"/>
      <c r="C404" s="18"/>
      <c r="D404" s="16"/>
      <c r="E404" s="17" t="str">
        <f aca="false">IF(C404="","","Q"&amp;ROUNDUP(MONTH(C404)/3,0))</f>
        <v/>
      </c>
      <c r="F404" s="16"/>
      <c r="G404" s="16"/>
      <c r="H404" s="17" t="str">
        <f aca="false">IF(A404="","",IF(OR(B404="",C404=""),"Item ID and date needed",IF(COUNTIF(Sample_Log!$A$5:$A$204,A404)=0,"SMP-ID not in log",IF(COUNTIFS($A$5:$A$1004,A404,$B$5:$B$1004,B404)&gt;1,"Duplicate item in sample","OK"))))</f>
        <v/>
      </c>
    </row>
    <row r="405" customFormat="false" ht="15" hidden="false" customHeight="false" outlineLevel="0" collapsed="false">
      <c r="A405" s="16"/>
      <c r="B405" s="16"/>
      <c r="C405" s="18"/>
      <c r="D405" s="16"/>
      <c r="E405" s="17" t="str">
        <f aca="false">IF(C405="","","Q"&amp;ROUNDUP(MONTH(C405)/3,0))</f>
        <v/>
      </c>
      <c r="F405" s="16"/>
      <c r="G405" s="16"/>
      <c r="H405" s="17" t="str">
        <f aca="false">IF(A405="","",IF(OR(B405="",C405=""),"Item ID and date needed",IF(COUNTIF(Sample_Log!$A$5:$A$204,A405)=0,"SMP-ID not in log",IF(COUNTIFS($A$5:$A$1004,A405,$B$5:$B$1004,B405)&gt;1,"Duplicate item in sample","OK"))))</f>
        <v/>
      </c>
    </row>
    <row r="406" customFormat="false" ht="15" hidden="false" customHeight="false" outlineLevel="0" collapsed="false">
      <c r="A406" s="16"/>
      <c r="B406" s="16"/>
      <c r="C406" s="18"/>
      <c r="D406" s="16"/>
      <c r="E406" s="17" t="str">
        <f aca="false">IF(C406="","","Q"&amp;ROUNDUP(MONTH(C406)/3,0))</f>
        <v/>
      </c>
      <c r="F406" s="16"/>
      <c r="G406" s="16"/>
      <c r="H406" s="17" t="str">
        <f aca="false">IF(A406="","",IF(OR(B406="",C406=""),"Item ID and date needed",IF(COUNTIF(Sample_Log!$A$5:$A$204,A406)=0,"SMP-ID not in log",IF(COUNTIFS($A$5:$A$1004,A406,$B$5:$B$1004,B406)&gt;1,"Duplicate item in sample","OK"))))</f>
        <v/>
      </c>
    </row>
    <row r="407" customFormat="false" ht="15" hidden="false" customHeight="false" outlineLevel="0" collapsed="false">
      <c r="A407" s="16"/>
      <c r="B407" s="16"/>
      <c r="C407" s="18"/>
      <c r="D407" s="16"/>
      <c r="E407" s="17" t="str">
        <f aca="false">IF(C407="","","Q"&amp;ROUNDUP(MONTH(C407)/3,0))</f>
        <v/>
      </c>
      <c r="F407" s="16"/>
      <c r="G407" s="16"/>
      <c r="H407" s="17" t="str">
        <f aca="false">IF(A407="","",IF(OR(B407="",C407=""),"Item ID and date needed",IF(COUNTIF(Sample_Log!$A$5:$A$204,A407)=0,"SMP-ID not in log",IF(COUNTIFS($A$5:$A$1004,A407,$B$5:$B$1004,B407)&gt;1,"Duplicate item in sample","OK"))))</f>
        <v/>
      </c>
    </row>
    <row r="408" customFormat="false" ht="15" hidden="false" customHeight="false" outlineLevel="0" collapsed="false">
      <c r="A408" s="16"/>
      <c r="B408" s="16"/>
      <c r="C408" s="18"/>
      <c r="D408" s="16"/>
      <c r="E408" s="17" t="str">
        <f aca="false">IF(C408="","","Q"&amp;ROUNDUP(MONTH(C408)/3,0))</f>
        <v/>
      </c>
      <c r="F408" s="16"/>
      <c r="G408" s="16"/>
      <c r="H408" s="17" t="str">
        <f aca="false">IF(A408="","",IF(OR(B408="",C408=""),"Item ID and date needed",IF(COUNTIF(Sample_Log!$A$5:$A$204,A408)=0,"SMP-ID not in log",IF(COUNTIFS($A$5:$A$1004,A408,$B$5:$B$1004,B408)&gt;1,"Duplicate item in sample","OK"))))</f>
        <v/>
      </c>
    </row>
    <row r="409" customFormat="false" ht="15" hidden="false" customHeight="false" outlineLevel="0" collapsed="false">
      <c r="A409" s="16"/>
      <c r="B409" s="16"/>
      <c r="C409" s="18"/>
      <c r="D409" s="16"/>
      <c r="E409" s="17" t="str">
        <f aca="false">IF(C409="","","Q"&amp;ROUNDUP(MONTH(C409)/3,0))</f>
        <v/>
      </c>
      <c r="F409" s="16"/>
      <c r="G409" s="16"/>
      <c r="H409" s="17" t="str">
        <f aca="false">IF(A409="","",IF(OR(B409="",C409=""),"Item ID and date needed",IF(COUNTIF(Sample_Log!$A$5:$A$204,A409)=0,"SMP-ID not in log",IF(COUNTIFS($A$5:$A$1004,A409,$B$5:$B$1004,B409)&gt;1,"Duplicate item in sample","OK"))))</f>
        <v/>
      </c>
    </row>
    <row r="410" customFormat="false" ht="15" hidden="false" customHeight="false" outlineLevel="0" collapsed="false">
      <c r="A410" s="16"/>
      <c r="B410" s="16"/>
      <c r="C410" s="18"/>
      <c r="D410" s="16"/>
      <c r="E410" s="17" t="str">
        <f aca="false">IF(C410="","","Q"&amp;ROUNDUP(MONTH(C410)/3,0))</f>
        <v/>
      </c>
      <c r="F410" s="16"/>
      <c r="G410" s="16"/>
      <c r="H410" s="17" t="str">
        <f aca="false">IF(A410="","",IF(OR(B410="",C410=""),"Item ID and date needed",IF(COUNTIF(Sample_Log!$A$5:$A$204,A410)=0,"SMP-ID not in log",IF(COUNTIFS($A$5:$A$1004,A410,$B$5:$B$1004,B410)&gt;1,"Duplicate item in sample","OK"))))</f>
        <v/>
      </c>
    </row>
    <row r="411" customFormat="false" ht="15" hidden="false" customHeight="false" outlineLevel="0" collapsed="false">
      <c r="A411" s="16"/>
      <c r="B411" s="16"/>
      <c r="C411" s="18"/>
      <c r="D411" s="16"/>
      <c r="E411" s="17" t="str">
        <f aca="false">IF(C411="","","Q"&amp;ROUNDUP(MONTH(C411)/3,0))</f>
        <v/>
      </c>
      <c r="F411" s="16"/>
      <c r="G411" s="16"/>
      <c r="H411" s="17" t="str">
        <f aca="false">IF(A411="","",IF(OR(B411="",C411=""),"Item ID and date needed",IF(COUNTIF(Sample_Log!$A$5:$A$204,A411)=0,"SMP-ID not in log",IF(COUNTIFS($A$5:$A$1004,A411,$B$5:$B$1004,B411)&gt;1,"Duplicate item in sample","OK"))))</f>
        <v/>
      </c>
    </row>
    <row r="412" customFormat="false" ht="15" hidden="false" customHeight="false" outlineLevel="0" collapsed="false">
      <c r="A412" s="16"/>
      <c r="B412" s="16"/>
      <c r="C412" s="18"/>
      <c r="D412" s="16"/>
      <c r="E412" s="17" t="str">
        <f aca="false">IF(C412="","","Q"&amp;ROUNDUP(MONTH(C412)/3,0))</f>
        <v/>
      </c>
      <c r="F412" s="16"/>
      <c r="G412" s="16"/>
      <c r="H412" s="17" t="str">
        <f aca="false">IF(A412="","",IF(OR(B412="",C412=""),"Item ID and date needed",IF(COUNTIF(Sample_Log!$A$5:$A$204,A412)=0,"SMP-ID not in log",IF(COUNTIFS($A$5:$A$1004,A412,$B$5:$B$1004,B412)&gt;1,"Duplicate item in sample","OK"))))</f>
        <v/>
      </c>
    </row>
    <row r="413" customFormat="false" ht="15" hidden="false" customHeight="false" outlineLevel="0" collapsed="false">
      <c r="A413" s="16"/>
      <c r="B413" s="16"/>
      <c r="C413" s="18"/>
      <c r="D413" s="16"/>
      <c r="E413" s="17" t="str">
        <f aca="false">IF(C413="","","Q"&amp;ROUNDUP(MONTH(C413)/3,0))</f>
        <v/>
      </c>
      <c r="F413" s="16"/>
      <c r="G413" s="16"/>
      <c r="H413" s="17" t="str">
        <f aca="false">IF(A413="","",IF(OR(B413="",C413=""),"Item ID and date needed",IF(COUNTIF(Sample_Log!$A$5:$A$204,A413)=0,"SMP-ID not in log",IF(COUNTIFS($A$5:$A$1004,A413,$B$5:$B$1004,B413)&gt;1,"Duplicate item in sample","OK"))))</f>
        <v/>
      </c>
    </row>
    <row r="414" customFormat="false" ht="15" hidden="false" customHeight="false" outlineLevel="0" collapsed="false">
      <c r="A414" s="16"/>
      <c r="B414" s="16"/>
      <c r="C414" s="18"/>
      <c r="D414" s="16"/>
      <c r="E414" s="17" t="str">
        <f aca="false">IF(C414="","","Q"&amp;ROUNDUP(MONTH(C414)/3,0))</f>
        <v/>
      </c>
      <c r="F414" s="16"/>
      <c r="G414" s="16"/>
      <c r="H414" s="17" t="str">
        <f aca="false">IF(A414="","",IF(OR(B414="",C414=""),"Item ID and date needed",IF(COUNTIF(Sample_Log!$A$5:$A$204,A414)=0,"SMP-ID not in log",IF(COUNTIFS($A$5:$A$1004,A414,$B$5:$B$1004,B414)&gt;1,"Duplicate item in sample","OK"))))</f>
        <v/>
      </c>
    </row>
    <row r="415" customFormat="false" ht="15" hidden="false" customHeight="false" outlineLevel="0" collapsed="false">
      <c r="A415" s="16"/>
      <c r="B415" s="16"/>
      <c r="C415" s="18"/>
      <c r="D415" s="16"/>
      <c r="E415" s="17" t="str">
        <f aca="false">IF(C415="","","Q"&amp;ROUNDUP(MONTH(C415)/3,0))</f>
        <v/>
      </c>
      <c r="F415" s="16"/>
      <c r="G415" s="16"/>
      <c r="H415" s="17" t="str">
        <f aca="false">IF(A415="","",IF(OR(B415="",C415=""),"Item ID and date needed",IF(COUNTIF(Sample_Log!$A$5:$A$204,A415)=0,"SMP-ID not in log",IF(COUNTIFS($A$5:$A$1004,A415,$B$5:$B$1004,B415)&gt;1,"Duplicate item in sample","OK"))))</f>
        <v/>
      </c>
    </row>
    <row r="416" customFormat="false" ht="15" hidden="false" customHeight="false" outlineLevel="0" collapsed="false">
      <c r="A416" s="16"/>
      <c r="B416" s="16"/>
      <c r="C416" s="18"/>
      <c r="D416" s="16"/>
      <c r="E416" s="17" t="str">
        <f aca="false">IF(C416="","","Q"&amp;ROUNDUP(MONTH(C416)/3,0))</f>
        <v/>
      </c>
      <c r="F416" s="16"/>
      <c r="G416" s="16"/>
      <c r="H416" s="17" t="str">
        <f aca="false">IF(A416="","",IF(OR(B416="",C416=""),"Item ID and date needed",IF(COUNTIF(Sample_Log!$A$5:$A$204,A416)=0,"SMP-ID not in log",IF(COUNTIFS($A$5:$A$1004,A416,$B$5:$B$1004,B416)&gt;1,"Duplicate item in sample","OK"))))</f>
        <v/>
      </c>
    </row>
    <row r="417" customFormat="false" ht="15" hidden="false" customHeight="false" outlineLevel="0" collapsed="false">
      <c r="A417" s="16"/>
      <c r="B417" s="16"/>
      <c r="C417" s="18"/>
      <c r="D417" s="16"/>
      <c r="E417" s="17" t="str">
        <f aca="false">IF(C417="","","Q"&amp;ROUNDUP(MONTH(C417)/3,0))</f>
        <v/>
      </c>
      <c r="F417" s="16"/>
      <c r="G417" s="16"/>
      <c r="H417" s="17" t="str">
        <f aca="false">IF(A417="","",IF(OR(B417="",C417=""),"Item ID and date needed",IF(COUNTIF(Sample_Log!$A$5:$A$204,A417)=0,"SMP-ID not in log",IF(COUNTIFS($A$5:$A$1004,A417,$B$5:$B$1004,B417)&gt;1,"Duplicate item in sample","OK"))))</f>
        <v/>
      </c>
    </row>
    <row r="418" customFormat="false" ht="15" hidden="false" customHeight="false" outlineLevel="0" collapsed="false">
      <c r="A418" s="16"/>
      <c r="B418" s="16"/>
      <c r="C418" s="18"/>
      <c r="D418" s="16"/>
      <c r="E418" s="17" t="str">
        <f aca="false">IF(C418="","","Q"&amp;ROUNDUP(MONTH(C418)/3,0))</f>
        <v/>
      </c>
      <c r="F418" s="16"/>
      <c r="G418" s="16"/>
      <c r="H418" s="17" t="str">
        <f aca="false">IF(A418="","",IF(OR(B418="",C418=""),"Item ID and date needed",IF(COUNTIF(Sample_Log!$A$5:$A$204,A418)=0,"SMP-ID not in log",IF(COUNTIFS($A$5:$A$1004,A418,$B$5:$B$1004,B418)&gt;1,"Duplicate item in sample","OK"))))</f>
        <v/>
      </c>
    </row>
    <row r="419" customFormat="false" ht="15" hidden="false" customHeight="false" outlineLevel="0" collapsed="false">
      <c r="A419" s="16"/>
      <c r="B419" s="16"/>
      <c r="C419" s="18"/>
      <c r="D419" s="16"/>
      <c r="E419" s="17" t="str">
        <f aca="false">IF(C419="","","Q"&amp;ROUNDUP(MONTH(C419)/3,0))</f>
        <v/>
      </c>
      <c r="F419" s="16"/>
      <c r="G419" s="16"/>
      <c r="H419" s="17" t="str">
        <f aca="false">IF(A419="","",IF(OR(B419="",C419=""),"Item ID and date needed",IF(COUNTIF(Sample_Log!$A$5:$A$204,A419)=0,"SMP-ID not in log",IF(COUNTIFS($A$5:$A$1004,A419,$B$5:$B$1004,B419)&gt;1,"Duplicate item in sample","OK"))))</f>
        <v/>
      </c>
    </row>
    <row r="420" customFormat="false" ht="15" hidden="false" customHeight="false" outlineLevel="0" collapsed="false">
      <c r="A420" s="16"/>
      <c r="B420" s="16"/>
      <c r="C420" s="18"/>
      <c r="D420" s="16"/>
      <c r="E420" s="17" t="str">
        <f aca="false">IF(C420="","","Q"&amp;ROUNDUP(MONTH(C420)/3,0))</f>
        <v/>
      </c>
      <c r="F420" s="16"/>
      <c r="G420" s="16"/>
      <c r="H420" s="17" t="str">
        <f aca="false">IF(A420="","",IF(OR(B420="",C420=""),"Item ID and date needed",IF(COUNTIF(Sample_Log!$A$5:$A$204,A420)=0,"SMP-ID not in log",IF(COUNTIFS($A$5:$A$1004,A420,$B$5:$B$1004,B420)&gt;1,"Duplicate item in sample","OK"))))</f>
        <v/>
      </c>
    </row>
    <row r="421" customFormat="false" ht="15" hidden="false" customHeight="false" outlineLevel="0" collapsed="false">
      <c r="A421" s="16"/>
      <c r="B421" s="16"/>
      <c r="C421" s="18"/>
      <c r="D421" s="16"/>
      <c r="E421" s="17" t="str">
        <f aca="false">IF(C421="","","Q"&amp;ROUNDUP(MONTH(C421)/3,0))</f>
        <v/>
      </c>
      <c r="F421" s="16"/>
      <c r="G421" s="16"/>
      <c r="H421" s="17" t="str">
        <f aca="false">IF(A421="","",IF(OR(B421="",C421=""),"Item ID and date needed",IF(COUNTIF(Sample_Log!$A$5:$A$204,A421)=0,"SMP-ID not in log",IF(COUNTIFS($A$5:$A$1004,A421,$B$5:$B$1004,B421)&gt;1,"Duplicate item in sample","OK"))))</f>
        <v/>
      </c>
    </row>
    <row r="422" customFormat="false" ht="15" hidden="false" customHeight="false" outlineLevel="0" collapsed="false">
      <c r="A422" s="16"/>
      <c r="B422" s="16"/>
      <c r="C422" s="18"/>
      <c r="D422" s="16"/>
      <c r="E422" s="17" t="str">
        <f aca="false">IF(C422="","","Q"&amp;ROUNDUP(MONTH(C422)/3,0))</f>
        <v/>
      </c>
      <c r="F422" s="16"/>
      <c r="G422" s="16"/>
      <c r="H422" s="17" t="str">
        <f aca="false">IF(A422="","",IF(OR(B422="",C422=""),"Item ID and date needed",IF(COUNTIF(Sample_Log!$A$5:$A$204,A422)=0,"SMP-ID not in log",IF(COUNTIFS($A$5:$A$1004,A422,$B$5:$B$1004,B422)&gt;1,"Duplicate item in sample","OK"))))</f>
        <v/>
      </c>
    </row>
    <row r="423" customFormat="false" ht="15" hidden="false" customHeight="false" outlineLevel="0" collapsed="false">
      <c r="A423" s="16"/>
      <c r="B423" s="16"/>
      <c r="C423" s="18"/>
      <c r="D423" s="16"/>
      <c r="E423" s="17" t="str">
        <f aca="false">IF(C423="","","Q"&amp;ROUNDUP(MONTH(C423)/3,0))</f>
        <v/>
      </c>
      <c r="F423" s="16"/>
      <c r="G423" s="16"/>
      <c r="H423" s="17" t="str">
        <f aca="false">IF(A423="","",IF(OR(B423="",C423=""),"Item ID and date needed",IF(COUNTIF(Sample_Log!$A$5:$A$204,A423)=0,"SMP-ID not in log",IF(COUNTIFS($A$5:$A$1004,A423,$B$5:$B$1004,B423)&gt;1,"Duplicate item in sample","OK"))))</f>
        <v/>
      </c>
    </row>
    <row r="424" customFormat="false" ht="15" hidden="false" customHeight="false" outlineLevel="0" collapsed="false">
      <c r="A424" s="16"/>
      <c r="B424" s="16"/>
      <c r="C424" s="18"/>
      <c r="D424" s="16"/>
      <c r="E424" s="17" t="str">
        <f aca="false">IF(C424="","","Q"&amp;ROUNDUP(MONTH(C424)/3,0))</f>
        <v/>
      </c>
      <c r="F424" s="16"/>
      <c r="G424" s="16"/>
      <c r="H424" s="17" t="str">
        <f aca="false">IF(A424="","",IF(OR(B424="",C424=""),"Item ID and date needed",IF(COUNTIF(Sample_Log!$A$5:$A$204,A424)=0,"SMP-ID not in log",IF(COUNTIFS($A$5:$A$1004,A424,$B$5:$B$1004,B424)&gt;1,"Duplicate item in sample","OK"))))</f>
        <v/>
      </c>
    </row>
    <row r="425" customFormat="false" ht="15" hidden="false" customHeight="false" outlineLevel="0" collapsed="false">
      <c r="A425" s="16"/>
      <c r="B425" s="16"/>
      <c r="C425" s="18"/>
      <c r="D425" s="16"/>
      <c r="E425" s="17" t="str">
        <f aca="false">IF(C425="","","Q"&amp;ROUNDUP(MONTH(C425)/3,0))</f>
        <v/>
      </c>
      <c r="F425" s="16"/>
      <c r="G425" s="16"/>
      <c r="H425" s="17" t="str">
        <f aca="false">IF(A425="","",IF(OR(B425="",C425=""),"Item ID and date needed",IF(COUNTIF(Sample_Log!$A$5:$A$204,A425)=0,"SMP-ID not in log",IF(COUNTIFS($A$5:$A$1004,A425,$B$5:$B$1004,B425)&gt;1,"Duplicate item in sample","OK"))))</f>
        <v/>
      </c>
    </row>
    <row r="426" customFormat="false" ht="15" hidden="false" customHeight="false" outlineLevel="0" collapsed="false">
      <c r="A426" s="16"/>
      <c r="B426" s="16"/>
      <c r="C426" s="18"/>
      <c r="D426" s="16"/>
      <c r="E426" s="17" t="str">
        <f aca="false">IF(C426="","","Q"&amp;ROUNDUP(MONTH(C426)/3,0))</f>
        <v/>
      </c>
      <c r="F426" s="16"/>
      <c r="G426" s="16"/>
      <c r="H426" s="17" t="str">
        <f aca="false">IF(A426="","",IF(OR(B426="",C426=""),"Item ID and date needed",IF(COUNTIF(Sample_Log!$A$5:$A$204,A426)=0,"SMP-ID not in log",IF(COUNTIFS($A$5:$A$1004,A426,$B$5:$B$1004,B426)&gt;1,"Duplicate item in sample","OK"))))</f>
        <v/>
      </c>
    </row>
    <row r="427" customFormat="false" ht="15" hidden="false" customHeight="false" outlineLevel="0" collapsed="false">
      <c r="A427" s="16"/>
      <c r="B427" s="16"/>
      <c r="C427" s="18"/>
      <c r="D427" s="16"/>
      <c r="E427" s="17" t="str">
        <f aca="false">IF(C427="","","Q"&amp;ROUNDUP(MONTH(C427)/3,0))</f>
        <v/>
      </c>
      <c r="F427" s="16"/>
      <c r="G427" s="16"/>
      <c r="H427" s="17" t="str">
        <f aca="false">IF(A427="","",IF(OR(B427="",C427=""),"Item ID and date needed",IF(COUNTIF(Sample_Log!$A$5:$A$204,A427)=0,"SMP-ID not in log",IF(COUNTIFS($A$5:$A$1004,A427,$B$5:$B$1004,B427)&gt;1,"Duplicate item in sample","OK"))))</f>
        <v/>
      </c>
    </row>
    <row r="428" customFormat="false" ht="15" hidden="false" customHeight="false" outlineLevel="0" collapsed="false">
      <c r="A428" s="16"/>
      <c r="B428" s="16"/>
      <c r="C428" s="18"/>
      <c r="D428" s="16"/>
      <c r="E428" s="17" t="str">
        <f aca="false">IF(C428="","","Q"&amp;ROUNDUP(MONTH(C428)/3,0))</f>
        <v/>
      </c>
      <c r="F428" s="16"/>
      <c r="G428" s="16"/>
      <c r="H428" s="17" t="str">
        <f aca="false">IF(A428="","",IF(OR(B428="",C428=""),"Item ID and date needed",IF(COUNTIF(Sample_Log!$A$5:$A$204,A428)=0,"SMP-ID not in log",IF(COUNTIFS($A$5:$A$1004,A428,$B$5:$B$1004,B428)&gt;1,"Duplicate item in sample","OK"))))</f>
        <v/>
      </c>
    </row>
    <row r="429" customFormat="false" ht="15" hidden="false" customHeight="false" outlineLevel="0" collapsed="false">
      <c r="A429" s="16"/>
      <c r="B429" s="16"/>
      <c r="C429" s="18"/>
      <c r="D429" s="16"/>
      <c r="E429" s="17" t="str">
        <f aca="false">IF(C429="","","Q"&amp;ROUNDUP(MONTH(C429)/3,0))</f>
        <v/>
      </c>
      <c r="F429" s="16"/>
      <c r="G429" s="16"/>
      <c r="H429" s="17" t="str">
        <f aca="false">IF(A429="","",IF(OR(B429="",C429=""),"Item ID and date needed",IF(COUNTIF(Sample_Log!$A$5:$A$204,A429)=0,"SMP-ID not in log",IF(COUNTIFS($A$5:$A$1004,A429,$B$5:$B$1004,B429)&gt;1,"Duplicate item in sample","OK"))))</f>
        <v/>
      </c>
    </row>
    <row r="430" customFormat="false" ht="15" hidden="false" customHeight="false" outlineLevel="0" collapsed="false">
      <c r="A430" s="16"/>
      <c r="B430" s="16"/>
      <c r="C430" s="18"/>
      <c r="D430" s="16"/>
      <c r="E430" s="17" t="str">
        <f aca="false">IF(C430="","","Q"&amp;ROUNDUP(MONTH(C430)/3,0))</f>
        <v/>
      </c>
      <c r="F430" s="16"/>
      <c r="G430" s="16"/>
      <c r="H430" s="17" t="str">
        <f aca="false">IF(A430="","",IF(OR(B430="",C430=""),"Item ID and date needed",IF(COUNTIF(Sample_Log!$A$5:$A$204,A430)=0,"SMP-ID not in log",IF(COUNTIFS($A$5:$A$1004,A430,$B$5:$B$1004,B430)&gt;1,"Duplicate item in sample","OK"))))</f>
        <v/>
      </c>
    </row>
    <row r="431" customFormat="false" ht="15" hidden="false" customHeight="false" outlineLevel="0" collapsed="false">
      <c r="A431" s="16"/>
      <c r="B431" s="16"/>
      <c r="C431" s="18"/>
      <c r="D431" s="16"/>
      <c r="E431" s="17" t="str">
        <f aca="false">IF(C431="","","Q"&amp;ROUNDUP(MONTH(C431)/3,0))</f>
        <v/>
      </c>
      <c r="F431" s="16"/>
      <c r="G431" s="16"/>
      <c r="H431" s="17" t="str">
        <f aca="false">IF(A431="","",IF(OR(B431="",C431=""),"Item ID and date needed",IF(COUNTIF(Sample_Log!$A$5:$A$204,A431)=0,"SMP-ID not in log",IF(COUNTIFS($A$5:$A$1004,A431,$B$5:$B$1004,B431)&gt;1,"Duplicate item in sample","OK"))))</f>
        <v/>
      </c>
    </row>
    <row r="432" customFormat="false" ht="15" hidden="false" customHeight="false" outlineLevel="0" collapsed="false">
      <c r="A432" s="16"/>
      <c r="B432" s="16"/>
      <c r="C432" s="18"/>
      <c r="D432" s="16"/>
      <c r="E432" s="17" t="str">
        <f aca="false">IF(C432="","","Q"&amp;ROUNDUP(MONTH(C432)/3,0))</f>
        <v/>
      </c>
      <c r="F432" s="16"/>
      <c r="G432" s="16"/>
      <c r="H432" s="17" t="str">
        <f aca="false">IF(A432="","",IF(OR(B432="",C432=""),"Item ID and date needed",IF(COUNTIF(Sample_Log!$A$5:$A$204,A432)=0,"SMP-ID not in log",IF(COUNTIFS($A$5:$A$1004,A432,$B$5:$B$1004,B432)&gt;1,"Duplicate item in sample","OK"))))</f>
        <v/>
      </c>
    </row>
    <row r="433" customFormat="false" ht="15" hidden="false" customHeight="false" outlineLevel="0" collapsed="false">
      <c r="A433" s="16"/>
      <c r="B433" s="16"/>
      <c r="C433" s="18"/>
      <c r="D433" s="16"/>
      <c r="E433" s="17" t="str">
        <f aca="false">IF(C433="","","Q"&amp;ROUNDUP(MONTH(C433)/3,0))</f>
        <v/>
      </c>
      <c r="F433" s="16"/>
      <c r="G433" s="16"/>
      <c r="H433" s="17" t="str">
        <f aca="false">IF(A433="","",IF(OR(B433="",C433=""),"Item ID and date needed",IF(COUNTIF(Sample_Log!$A$5:$A$204,A433)=0,"SMP-ID not in log",IF(COUNTIFS($A$5:$A$1004,A433,$B$5:$B$1004,B433)&gt;1,"Duplicate item in sample","OK"))))</f>
        <v/>
      </c>
    </row>
    <row r="434" customFormat="false" ht="15" hidden="false" customHeight="false" outlineLevel="0" collapsed="false">
      <c r="A434" s="16"/>
      <c r="B434" s="16"/>
      <c r="C434" s="18"/>
      <c r="D434" s="16"/>
      <c r="E434" s="17" t="str">
        <f aca="false">IF(C434="","","Q"&amp;ROUNDUP(MONTH(C434)/3,0))</f>
        <v/>
      </c>
      <c r="F434" s="16"/>
      <c r="G434" s="16"/>
      <c r="H434" s="17" t="str">
        <f aca="false">IF(A434="","",IF(OR(B434="",C434=""),"Item ID and date needed",IF(COUNTIF(Sample_Log!$A$5:$A$204,A434)=0,"SMP-ID not in log",IF(COUNTIFS($A$5:$A$1004,A434,$B$5:$B$1004,B434)&gt;1,"Duplicate item in sample","OK"))))</f>
        <v/>
      </c>
    </row>
    <row r="435" customFormat="false" ht="15" hidden="false" customHeight="false" outlineLevel="0" collapsed="false">
      <c r="A435" s="16"/>
      <c r="B435" s="16"/>
      <c r="C435" s="18"/>
      <c r="D435" s="16"/>
      <c r="E435" s="17" t="str">
        <f aca="false">IF(C435="","","Q"&amp;ROUNDUP(MONTH(C435)/3,0))</f>
        <v/>
      </c>
      <c r="F435" s="16"/>
      <c r="G435" s="16"/>
      <c r="H435" s="17" t="str">
        <f aca="false">IF(A435="","",IF(OR(B435="",C435=""),"Item ID and date needed",IF(COUNTIF(Sample_Log!$A$5:$A$204,A435)=0,"SMP-ID not in log",IF(COUNTIFS($A$5:$A$1004,A435,$B$5:$B$1004,B435)&gt;1,"Duplicate item in sample","OK"))))</f>
        <v/>
      </c>
    </row>
    <row r="436" customFormat="false" ht="15" hidden="false" customHeight="false" outlineLevel="0" collapsed="false">
      <c r="A436" s="16"/>
      <c r="B436" s="16"/>
      <c r="C436" s="18"/>
      <c r="D436" s="16"/>
      <c r="E436" s="17" t="str">
        <f aca="false">IF(C436="","","Q"&amp;ROUNDUP(MONTH(C436)/3,0))</f>
        <v/>
      </c>
      <c r="F436" s="16"/>
      <c r="G436" s="16"/>
      <c r="H436" s="17" t="str">
        <f aca="false">IF(A436="","",IF(OR(B436="",C436=""),"Item ID and date needed",IF(COUNTIF(Sample_Log!$A$5:$A$204,A436)=0,"SMP-ID not in log",IF(COUNTIFS($A$5:$A$1004,A436,$B$5:$B$1004,B436)&gt;1,"Duplicate item in sample","OK"))))</f>
        <v/>
      </c>
    </row>
    <row r="437" customFormat="false" ht="15" hidden="false" customHeight="false" outlineLevel="0" collapsed="false">
      <c r="A437" s="16"/>
      <c r="B437" s="16"/>
      <c r="C437" s="18"/>
      <c r="D437" s="16"/>
      <c r="E437" s="17" t="str">
        <f aca="false">IF(C437="","","Q"&amp;ROUNDUP(MONTH(C437)/3,0))</f>
        <v/>
      </c>
      <c r="F437" s="16"/>
      <c r="G437" s="16"/>
      <c r="H437" s="17" t="str">
        <f aca="false">IF(A437="","",IF(OR(B437="",C437=""),"Item ID and date needed",IF(COUNTIF(Sample_Log!$A$5:$A$204,A437)=0,"SMP-ID not in log",IF(COUNTIFS($A$5:$A$1004,A437,$B$5:$B$1004,B437)&gt;1,"Duplicate item in sample","OK"))))</f>
        <v/>
      </c>
    </row>
    <row r="438" customFormat="false" ht="15" hidden="false" customHeight="false" outlineLevel="0" collapsed="false">
      <c r="A438" s="16"/>
      <c r="B438" s="16"/>
      <c r="C438" s="18"/>
      <c r="D438" s="16"/>
      <c r="E438" s="17" t="str">
        <f aca="false">IF(C438="","","Q"&amp;ROUNDUP(MONTH(C438)/3,0))</f>
        <v/>
      </c>
      <c r="F438" s="16"/>
      <c r="G438" s="16"/>
      <c r="H438" s="17" t="str">
        <f aca="false">IF(A438="","",IF(OR(B438="",C438=""),"Item ID and date needed",IF(COUNTIF(Sample_Log!$A$5:$A$204,A438)=0,"SMP-ID not in log",IF(COUNTIFS($A$5:$A$1004,A438,$B$5:$B$1004,B438)&gt;1,"Duplicate item in sample","OK"))))</f>
        <v/>
      </c>
    </row>
    <row r="439" customFormat="false" ht="15" hidden="false" customHeight="false" outlineLevel="0" collapsed="false">
      <c r="A439" s="16"/>
      <c r="B439" s="16"/>
      <c r="C439" s="18"/>
      <c r="D439" s="16"/>
      <c r="E439" s="17" t="str">
        <f aca="false">IF(C439="","","Q"&amp;ROUNDUP(MONTH(C439)/3,0))</f>
        <v/>
      </c>
      <c r="F439" s="16"/>
      <c r="G439" s="16"/>
      <c r="H439" s="17" t="str">
        <f aca="false">IF(A439="","",IF(OR(B439="",C439=""),"Item ID and date needed",IF(COUNTIF(Sample_Log!$A$5:$A$204,A439)=0,"SMP-ID not in log",IF(COUNTIFS($A$5:$A$1004,A439,$B$5:$B$1004,B439)&gt;1,"Duplicate item in sample","OK"))))</f>
        <v/>
      </c>
    </row>
    <row r="440" customFormat="false" ht="15" hidden="false" customHeight="false" outlineLevel="0" collapsed="false">
      <c r="A440" s="16"/>
      <c r="B440" s="16"/>
      <c r="C440" s="18"/>
      <c r="D440" s="16"/>
      <c r="E440" s="17" t="str">
        <f aca="false">IF(C440="","","Q"&amp;ROUNDUP(MONTH(C440)/3,0))</f>
        <v/>
      </c>
      <c r="F440" s="16"/>
      <c r="G440" s="16"/>
      <c r="H440" s="17" t="str">
        <f aca="false">IF(A440="","",IF(OR(B440="",C440=""),"Item ID and date needed",IF(COUNTIF(Sample_Log!$A$5:$A$204,A440)=0,"SMP-ID not in log",IF(COUNTIFS($A$5:$A$1004,A440,$B$5:$B$1004,B440)&gt;1,"Duplicate item in sample","OK"))))</f>
        <v/>
      </c>
    </row>
    <row r="441" customFormat="false" ht="15" hidden="false" customHeight="false" outlineLevel="0" collapsed="false">
      <c r="A441" s="16"/>
      <c r="B441" s="16"/>
      <c r="C441" s="18"/>
      <c r="D441" s="16"/>
      <c r="E441" s="17" t="str">
        <f aca="false">IF(C441="","","Q"&amp;ROUNDUP(MONTH(C441)/3,0))</f>
        <v/>
      </c>
      <c r="F441" s="16"/>
      <c r="G441" s="16"/>
      <c r="H441" s="17" t="str">
        <f aca="false">IF(A441="","",IF(OR(B441="",C441=""),"Item ID and date needed",IF(COUNTIF(Sample_Log!$A$5:$A$204,A441)=0,"SMP-ID not in log",IF(COUNTIFS($A$5:$A$1004,A441,$B$5:$B$1004,B441)&gt;1,"Duplicate item in sample","OK"))))</f>
        <v/>
      </c>
    </row>
    <row r="442" customFormat="false" ht="15" hidden="false" customHeight="false" outlineLevel="0" collapsed="false">
      <c r="A442" s="16"/>
      <c r="B442" s="16"/>
      <c r="C442" s="18"/>
      <c r="D442" s="16"/>
      <c r="E442" s="17" t="str">
        <f aca="false">IF(C442="","","Q"&amp;ROUNDUP(MONTH(C442)/3,0))</f>
        <v/>
      </c>
      <c r="F442" s="16"/>
      <c r="G442" s="16"/>
      <c r="H442" s="17" t="str">
        <f aca="false">IF(A442="","",IF(OR(B442="",C442=""),"Item ID and date needed",IF(COUNTIF(Sample_Log!$A$5:$A$204,A442)=0,"SMP-ID not in log",IF(COUNTIFS($A$5:$A$1004,A442,$B$5:$B$1004,B442)&gt;1,"Duplicate item in sample","OK"))))</f>
        <v/>
      </c>
    </row>
    <row r="443" customFormat="false" ht="15" hidden="false" customHeight="false" outlineLevel="0" collapsed="false">
      <c r="A443" s="16"/>
      <c r="B443" s="16"/>
      <c r="C443" s="18"/>
      <c r="D443" s="16"/>
      <c r="E443" s="17" t="str">
        <f aca="false">IF(C443="","","Q"&amp;ROUNDUP(MONTH(C443)/3,0))</f>
        <v/>
      </c>
      <c r="F443" s="16"/>
      <c r="G443" s="16"/>
      <c r="H443" s="17" t="str">
        <f aca="false">IF(A443="","",IF(OR(B443="",C443=""),"Item ID and date needed",IF(COUNTIF(Sample_Log!$A$5:$A$204,A443)=0,"SMP-ID not in log",IF(COUNTIFS($A$5:$A$1004,A443,$B$5:$B$1004,B443)&gt;1,"Duplicate item in sample","OK"))))</f>
        <v/>
      </c>
    </row>
    <row r="444" customFormat="false" ht="15" hidden="false" customHeight="false" outlineLevel="0" collapsed="false">
      <c r="A444" s="16"/>
      <c r="B444" s="16"/>
      <c r="C444" s="18"/>
      <c r="D444" s="16"/>
      <c r="E444" s="17" t="str">
        <f aca="false">IF(C444="","","Q"&amp;ROUNDUP(MONTH(C444)/3,0))</f>
        <v/>
      </c>
      <c r="F444" s="16"/>
      <c r="G444" s="16"/>
      <c r="H444" s="17" t="str">
        <f aca="false">IF(A444="","",IF(OR(B444="",C444=""),"Item ID and date needed",IF(COUNTIF(Sample_Log!$A$5:$A$204,A444)=0,"SMP-ID not in log",IF(COUNTIFS($A$5:$A$1004,A444,$B$5:$B$1004,B444)&gt;1,"Duplicate item in sample","OK"))))</f>
        <v/>
      </c>
    </row>
    <row r="445" customFormat="false" ht="15" hidden="false" customHeight="false" outlineLevel="0" collapsed="false">
      <c r="A445" s="16"/>
      <c r="B445" s="16"/>
      <c r="C445" s="18"/>
      <c r="D445" s="16"/>
      <c r="E445" s="17" t="str">
        <f aca="false">IF(C445="","","Q"&amp;ROUNDUP(MONTH(C445)/3,0))</f>
        <v/>
      </c>
      <c r="F445" s="16"/>
      <c r="G445" s="16"/>
      <c r="H445" s="17" t="str">
        <f aca="false">IF(A445="","",IF(OR(B445="",C445=""),"Item ID and date needed",IF(COUNTIF(Sample_Log!$A$5:$A$204,A445)=0,"SMP-ID not in log",IF(COUNTIFS($A$5:$A$1004,A445,$B$5:$B$1004,B445)&gt;1,"Duplicate item in sample","OK"))))</f>
        <v/>
      </c>
    </row>
    <row r="446" customFormat="false" ht="15" hidden="false" customHeight="false" outlineLevel="0" collapsed="false">
      <c r="A446" s="16"/>
      <c r="B446" s="16"/>
      <c r="C446" s="18"/>
      <c r="D446" s="16"/>
      <c r="E446" s="17" t="str">
        <f aca="false">IF(C446="","","Q"&amp;ROUNDUP(MONTH(C446)/3,0))</f>
        <v/>
      </c>
      <c r="F446" s="16"/>
      <c r="G446" s="16"/>
      <c r="H446" s="17" t="str">
        <f aca="false">IF(A446="","",IF(OR(B446="",C446=""),"Item ID and date needed",IF(COUNTIF(Sample_Log!$A$5:$A$204,A446)=0,"SMP-ID not in log",IF(COUNTIFS($A$5:$A$1004,A446,$B$5:$B$1004,B446)&gt;1,"Duplicate item in sample","OK"))))</f>
        <v/>
      </c>
    </row>
    <row r="447" customFormat="false" ht="15" hidden="false" customHeight="false" outlineLevel="0" collapsed="false">
      <c r="A447" s="16"/>
      <c r="B447" s="16"/>
      <c r="C447" s="18"/>
      <c r="D447" s="16"/>
      <c r="E447" s="17" t="str">
        <f aca="false">IF(C447="","","Q"&amp;ROUNDUP(MONTH(C447)/3,0))</f>
        <v/>
      </c>
      <c r="F447" s="16"/>
      <c r="G447" s="16"/>
      <c r="H447" s="17" t="str">
        <f aca="false">IF(A447="","",IF(OR(B447="",C447=""),"Item ID and date needed",IF(COUNTIF(Sample_Log!$A$5:$A$204,A447)=0,"SMP-ID not in log",IF(COUNTIFS($A$5:$A$1004,A447,$B$5:$B$1004,B447)&gt;1,"Duplicate item in sample","OK"))))</f>
        <v/>
      </c>
    </row>
    <row r="448" customFormat="false" ht="15" hidden="false" customHeight="false" outlineLevel="0" collapsed="false">
      <c r="A448" s="16"/>
      <c r="B448" s="16"/>
      <c r="C448" s="18"/>
      <c r="D448" s="16"/>
      <c r="E448" s="17" t="str">
        <f aca="false">IF(C448="","","Q"&amp;ROUNDUP(MONTH(C448)/3,0))</f>
        <v/>
      </c>
      <c r="F448" s="16"/>
      <c r="G448" s="16"/>
      <c r="H448" s="17" t="str">
        <f aca="false">IF(A448="","",IF(OR(B448="",C448=""),"Item ID and date needed",IF(COUNTIF(Sample_Log!$A$5:$A$204,A448)=0,"SMP-ID not in log",IF(COUNTIFS($A$5:$A$1004,A448,$B$5:$B$1004,B448)&gt;1,"Duplicate item in sample","OK"))))</f>
        <v/>
      </c>
    </row>
    <row r="449" customFormat="false" ht="15" hidden="false" customHeight="false" outlineLevel="0" collapsed="false">
      <c r="A449" s="16"/>
      <c r="B449" s="16"/>
      <c r="C449" s="18"/>
      <c r="D449" s="16"/>
      <c r="E449" s="17" t="str">
        <f aca="false">IF(C449="","","Q"&amp;ROUNDUP(MONTH(C449)/3,0))</f>
        <v/>
      </c>
      <c r="F449" s="16"/>
      <c r="G449" s="16"/>
      <c r="H449" s="17" t="str">
        <f aca="false">IF(A449="","",IF(OR(B449="",C449=""),"Item ID and date needed",IF(COUNTIF(Sample_Log!$A$5:$A$204,A449)=0,"SMP-ID not in log",IF(COUNTIFS($A$5:$A$1004,A449,$B$5:$B$1004,B449)&gt;1,"Duplicate item in sample","OK"))))</f>
        <v/>
      </c>
    </row>
    <row r="450" customFormat="false" ht="15" hidden="false" customHeight="false" outlineLevel="0" collapsed="false">
      <c r="A450" s="16"/>
      <c r="B450" s="16"/>
      <c r="C450" s="18"/>
      <c r="D450" s="16"/>
      <c r="E450" s="17" t="str">
        <f aca="false">IF(C450="","","Q"&amp;ROUNDUP(MONTH(C450)/3,0))</f>
        <v/>
      </c>
      <c r="F450" s="16"/>
      <c r="G450" s="16"/>
      <c r="H450" s="17" t="str">
        <f aca="false">IF(A450="","",IF(OR(B450="",C450=""),"Item ID and date needed",IF(COUNTIF(Sample_Log!$A$5:$A$204,A450)=0,"SMP-ID not in log",IF(COUNTIFS($A$5:$A$1004,A450,$B$5:$B$1004,B450)&gt;1,"Duplicate item in sample","OK"))))</f>
        <v/>
      </c>
    </row>
    <row r="451" customFormat="false" ht="15" hidden="false" customHeight="false" outlineLevel="0" collapsed="false">
      <c r="A451" s="16"/>
      <c r="B451" s="16"/>
      <c r="C451" s="18"/>
      <c r="D451" s="16"/>
      <c r="E451" s="17" t="str">
        <f aca="false">IF(C451="","","Q"&amp;ROUNDUP(MONTH(C451)/3,0))</f>
        <v/>
      </c>
      <c r="F451" s="16"/>
      <c r="G451" s="16"/>
      <c r="H451" s="17" t="str">
        <f aca="false">IF(A451="","",IF(OR(B451="",C451=""),"Item ID and date needed",IF(COUNTIF(Sample_Log!$A$5:$A$204,A451)=0,"SMP-ID not in log",IF(COUNTIFS($A$5:$A$1004,A451,$B$5:$B$1004,B451)&gt;1,"Duplicate item in sample","OK"))))</f>
        <v/>
      </c>
    </row>
    <row r="452" customFormat="false" ht="15" hidden="false" customHeight="false" outlineLevel="0" collapsed="false">
      <c r="A452" s="16"/>
      <c r="B452" s="16"/>
      <c r="C452" s="18"/>
      <c r="D452" s="16"/>
      <c r="E452" s="17" t="str">
        <f aca="false">IF(C452="","","Q"&amp;ROUNDUP(MONTH(C452)/3,0))</f>
        <v/>
      </c>
      <c r="F452" s="16"/>
      <c r="G452" s="16"/>
      <c r="H452" s="17" t="str">
        <f aca="false">IF(A452="","",IF(OR(B452="",C452=""),"Item ID and date needed",IF(COUNTIF(Sample_Log!$A$5:$A$204,A452)=0,"SMP-ID not in log",IF(COUNTIFS($A$5:$A$1004,A452,$B$5:$B$1004,B452)&gt;1,"Duplicate item in sample","OK"))))</f>
        <v/>
      </c>
    </row>
    <row r="453" customFormat="false" ht="15" hidden="false" customHeight="false" outlineLevel="0" collapsed="false">
      <c r="A453" s="16"/>
      <c r="B453" s="16"/>
      <c r="C453" s="18"/>
      <c r="D453" s="16"/>
      <c r="E453" s="17" t="str">
        <f aca="false">IF(C453="","","Q"&amp;ROUNDUP(MONTH(C453)/3,0))</f>
        <v/>
      </c>
      <c r="F453" s="16"/>
      <c r="G453" s="16"/>
      <c r="H453" s="17" t="str">
        <f aca="false">IF(A453="","",IF(OR(B453="",C453=""),"Item ID and date needed",IF(COUNTIF(Sample_Log!$A$5:$A$204,A453)=0,"SMP-ID not in log",IF(COUNTIFS($A$5:$A$1004,A453,$B$5:$B$1004,B453)&gt;1,"Duplicate item in sample","OK"))))</f>
        <v/>
      </c>
    </row>
    <row r="454" customFormat="false" ht="15" hidden="false" customHeight="false" outlineLevel="0" collapsed="false">
      <c r="A454" s="16"/>
      <c r="B454" s="16"/>
      <c r="C454" s="18"/>
      <c r="D454" s="16"/>
      <c r="E454" s="17" t="str">
        <f aca="false">IF(C454="","","Q"&amp;ROUNDUP(MONTH(C454)/3,0))</f>
        <v/>
      </c>
      <c r="F454" s="16"/>
      <c r="G454" s="16"/>
      <c r="H454" s="17" t="str">
        <f aca="false">IF(A454="","",IF(OR(B454="",C454=""),"Item ID and date needed",IF(COUNTIF(Sample_Log!$A$5:$A$204,A454)=0,"SMP-ID not in log",IF(COUNTIFS($A$5:$A$1004,A454,$B$5:$B$1004,B454)&gt;1,"Duplicate item in sample","OK"))))</f>
        <v/>
      </c>
    </row>
    <row r="455" customFormat="false" ht="15" hidden="false" customHeight="false" outlineLevel="0" collapsed="false">
      <c r="A455" s="16"/>
      <c r="B455" s="16"/>
      <c r="C455" s="18"/>
      <c r="D455" s="16"/>
      <c r="E455" s="17" t="str">
        <f aca="false">IF(C455="","","Q"&amp;ROUNDUP(MONTH(C455)/3,0))</f>
        <v/>
      </c>
      <c r="F455" s="16"/>
      <c r="G455" s="16"/>
      <c r="H455" s="17" t="str">
        <f aca="false">IF(A455="","",IF(OR(B455="",C455=""),"Item ID and date needed",IF(COUNTIF(Sample_Log!$A$5:$A$204,A455)=0,"SMP-ID not in log",IF(COUNTIFS($A$5:$A$1004,A455,$B$5:$B$1004,B455)&gt;1,"Duplicate item in sample","OK"))))</f>
        <v/>
      </c>
    </row>
    <row r="456" customFormat="false" ht="15" hidden="false" customHeight="false" outlineLevel="0" collapsed="false">
      <c r="A456" s="16"/>
      <c r="B456" s="16"/>
      <c r="C456" s="18"/>
      <c r="D456" s="16"/>
      <c r="E456" s="17" t="str">
        <f aca="false">IF(C456="","","Q"&amp;ROUNDUP(MONTH(C456)/3,0))</f>
        <v/>
      </c>
      <c r="F456" s="16"/>
      <c r="G456" s="16"/>
      <c r="H456" s="17" t="str">
        <f aca="false">IF(A456="","",IF(OR(B456="",C456=""),"Item ID and date needed",IF(COUNTIF(Sample_Log!$A$5:$A$204,A456)=0,"SMP-ID not in log",IF(COUNTIFS($A$5:$A$1004,A456,$B$5:$B$1004,B456)&gt;1,"Duplicate item in sample","OK"))))</f>
        <v/>
      </c>
    </row>
    <row r="457" customFormat="false" ht="15" hidden="false" customHeight="false" outlineLevel="0" collapsed="false">
      <c r="A457" s="16"/>
      <c r="B457" s="16"/>
      <c r="C457" s="18"/>
      <c r="D457" s="16"/>
      <c r="E457" s="17" t="str">
        <f aca="false">IF(C457="","","Q"&amp;ROUNDUP(MONTH(C457)/3,0))</f>
        <v/>
      </c>
      <c r="F457" s="16"/>
      <c r="G457" s="16"/>
      <c r="H457" s="17" t="str">
        <f aca="false">IF(A457="","",IF(OR(B457="",C457=""),"Item ID and date needed",IF(COUNTIF(Sample_Log!$A$5:$A$204,A457)=0,"SMP-ID not in log",IF(COUNTIFS($A$5:$A$1004,A457,$B$5:$B$1004,B457)&gt;1,"Duplicate item in sample","OK"))))</f>
        <v/>
      </c>
    </row>
    <row r="458" customFormat="false" ht="15" hidden="false" customHeight="false" outlineLevel="0" collapsed="false">
      <c r="A458" s="16"/>
      <c r="B458" s="16"/>
      <c r="C458" s="18"/>
      <c r="D458" s="16"/>
      <c r="E458" s="17" t="str">
        <f aca="false">IF(C458="","","Q"&amp;ROUNDUP(MONTH(C458)/3,0))</f>
        <v/>
      </c>
      <c r="F458" s="16"/>
      <c r="G458" s="16"/>
      <c r="H458" s="17" t="str">
        <f aca="false">IF(A458="","",IF(OR(B458="",C458=""),"Item ID and date needed",IF(COUNTIF(Sample_Log!$A$5:$A$204,A458)=0,"SMP-ID not in log",IF(COUNTIFS($A$5:$A$1004,A458,$B$5:$B$1004,B458)&gt;1,"Duplicate item in sample","OK"))))</f>
        <v/>
      </c>
    </row>
    <row r="459" customFormat="false" ht="15" hidden="false" customHeight="false" outlineLevel="0" collapsed="false">
      <c r="A459" s="16"/>
      <c r="B459" s="16"/>
      <c r="C459" s="18"/>
      <c r="D459" s="16"/>
      <c r="E459" s="17" t="str">
        <f aca="false">IF(C459="","","Q"&amp;ROUNDUP(MONTH(C459)/3,0))</f>
        <v/>
      </c>
      <c r="F459" s="16"/>
      <c r="G459" s="16"/>
      <c r="H459" s="17" t="str">
        <f aca="false">IF(A459="","",IF(OR(B459="",C459=""),"Item ID and date needed",IF(COUNTIF(Sample_Log!$A$5:$A$204,A459)=0,"SMP-ID not in log",IF(COUNTIFS($A$5:$A$1004,A459,$B$5:$B$1004,B459)&gt;1,"Duplicate item in sample","OK"))))</f>
        <v/>
      </c>
    </row>
    <row r="460" customFormat="false" ht="15" hidden="false" customHeight="false" outlineLevel="0" collapsed="false">
      <c r="A460" s="16"/>
      <c r="B460" s="16"/>
      <c r="C460" s="18"/>
      <c r="D460" s="16"/>
      <c r="E460" s="17" t="str">
        <f aca="false">IF(C460="","","Q"&amp;ROUNDUP(MONTH(C460)/3,0))</f>
        <v/>
      </c>
      <c r="F460" s="16"/>
      <c r="G460" s="16"/>
      <c r="H460" s="17" t="str">
        <f aca="false">IF(A460="","",IF(OR(B460="",C460=""),"Item ID and date needed",IF(COUNTIF(Sample_Log!$A$5:$A$204,A460)=0,"SMP-ID not in log",IF(COUNTIFS($A$5:$A$1004,A460,$B$5:$B$1004,B460)&gt;1,"Duplicate item in sample","OK"))))</f>
        <v/>
      </c>
    </row>
    <row r="461" customFormat="false" ht="15" hidden="false" customHeight="false" outlineLevel="0" collapsed="false">
      <c r="A461" s="16"/>
      <c r="B461" s="16"/>
      <c r="C461" s="18"/>
      <c r="D461" s="16"/>
      <c r="E461" s="17" t="str">
        <f aca="false">IF(C461="","","Q"&amp;ROUNDUP(MONTH(C461)/3,0))</f>
        <v/>
      </c>
      <c r="F461" s="16"/>
      <c r="G461" s="16"/>
      <c r="H461" s="17" t="str">
        <f aca="false">IF(A461="","",IF(OR(B461="",C461=""),"Item ID and date needed",IF(COUNTIF(Sample_Log!$A$5:$A$204,A461)=0,"SMP-ID not in log",IF(COUNTIFS($A$5:$A$1004,A461,$B$5:$B$1004,B461)&gt;1,"Duplicate item in sample","OK"))))</f>
        <v/>
      </c>
    </row>
    <row r="462" customFormat="false" ht="15" hidden="false" customHeight="false" outlineLevel="0" collapsed="false">
      <c r="A462" s="16"/>
      <c r="B462" s="16"/>
      <c r="C462" s="18"/>
      <c r="D462" s="16"/>
      <c r="E462" s="17" t="str">
        <f aca="false">IF(C462="","","Q"&amp;ROUNDUP(MONTH(C462)/3,0))</f>
        <v/>
      </c>
      <c r="F462" s="16"/>
      <c r="G462" s="16"/>
      <c r="H462" s="17" t="str">
        <f aca="false">IF(A462="","",IF(OR(B462="",C462=""),"Item ID and date needed",IF(COUNTIF(Sample_Log!$A$5:$A$204,A462)=0,"SMP-ID not in log",IF(COUNTIFS($A$5:$A$1004,A462,$B$5:$B$1004,B462)&gt;1,"Duplicate item in sample","OK"))))</f>
        <v/>
      </c>
    </row>
    <row r="463" customFormat="false" ht="15" hidden="false" customHeight="false" outlineLevel="0" collapsed="false">
      <c r="A463" s="16"/>
      <c r="B463" s="16"/>
      <c r="C463" s="18"/>
      <c r="D463" s="16"/>
      <c r="E463" s="17" t="str">
        <f aca="false">IF(C463="","","Q"&amp;ROUNDUP(MONTH(C463)/3,0))</f>
        <v/>
      </c>
      <c r="F463" s="16"/>
      <c r="G463" s="16"/>
      <c r="H463" s="17" t="str">
        <f aca="false">IF(A463="","",IF(OR(B463="",C463=""),"Item ID and date needed",IF(COUNTIF(Sample_Log!$A$5:$A$204,A463)=0,"SMP-ID not in log",IF(COUNTIFS($A$5:$A$1004,A463,$B$5:$B$1004,B463)&gt;1,"Duplicate item in sample","OK"))))</f>
        <v/>
      </c>
    </row>
    <row r="464" customFormat="false" ht="15" hidden="false" customHeight="false" outlineLevel="0" collapsed="false">
      <c r="A464" s="16"/>
      <c r="B464" s="16"/>
      <c r="C464" s="18"/>
      <c r="D464" s="16"/>
      <c r="E464" s="17" t="str">
        <f aca="false">IF(C464="","","Q"&amp;ROUNDUP(MONTH(C464)/3,0))</f>
        <v/>
      </c>
      <c r="F464" s="16"/>
      <c r="G464" s="16"/>
      <c r="H464" s="17" t="str">
        <f aca="false">IF(A464="","",IF(OR(B464="",C464=""),"Item ID and date needed",IF(COUNTIF(Sample_Log!$A$5:$A$204,A464)=0,"SMP-ID not in log",IF(COUNTIFS($A$5:$A$1004,A464,$B$5:$B$1004,B464)&gt;1,"Duplicate item in sample","OK"))))</f>
        <v/>
      </c>
    </row>
    <row r="465" customFormat="false" ht="15" hidden="false" customHeight="false" outlineLevel="0" collapsed="false">
      <c r="A465" s="16"/>
      <c r="B465" s="16"/>
      <c r="C465" s="18"/>
      <c r="D465" s="16"/>
      <c r="E465" s="17" t="str">
        <f aca="false">IF(C465="","","Q"&amp;ROUNDUP(MONTH(C465)/3,0))</f>
        <v/>
      </c>
      <c r="F465" s="16"/>
      <c r="G465" s="16"/>
      <c r="H465" s="17" t="str">
        <f aca="false">IF(A465="","",IF(OR(B465="",C465=""),"Item ID and date needed",IF(COUNTIF(Sample_Log!$A$5:$A$204,A465)=0,"SMP-ID not in log",IF(COUNTIFS($A$5:$A$1004,A465,$B$5:$B$1004,B465)&gt;1,"Duplicate item in sample","OK"))))</f>
        <v/>
      </c>
    </row>
    <row r="466" customFormat="false" ht="15" hidden="false" customHeight="false" outlineLevel="0" collapsed="false">
      <c r="A466" s="16"/>
      <c r="B466" s="16"/>
      <c r="C466" s="18"/>
      <c r="D466" s="16"/>
      <c r="E466" s="17" t="str">
        <f aca="false">IF(C466="","","Q"&amp;ROUNDUP(MONTH(C466)/3,0))</f>
        <v/>
      </c>
      <c r="F466" s="16"/>
      <c r="G466" s="16"/>
      <c r="H466" s="17" t="str">
        <f aca="false">IF(A466="","",IF(OR(B466="",C466=""),"Item ID and date needed",IF(COUNTIF(Sample_Log!$A$5:$A$204,A466)=0,"SMP-ID not in log",IF(COUNTIFS($A$5:$A$1004,A466,$B$5:$B$1004,B466)&gt;1,"Duplicate item in sample","OK"))))</f>
        <v/>
      </c>
    </row>
    <row r="467" customFormat="false" ht="15" hidden="false" customHeight="false" outlineLevel="0" collapsed="false">
      <c r="A467" s="16"/>
      <c r="B467" s="16"/>
      <c r="C467" s="18"/>
      <c r="D467" s="16"/>
      <c r="E467" s="17" t="str">
        <f aca="false">IF(C467="","","Q"&amp;ROUNDUP(MONTH(C467)/3,0))</f>
        <v/>
      </c>
      <c r="F467" s="16"/>
      <c r="G467" s="16"/>
      <c r="H467" s="17" t="str">
        <f aca="false">IF(A467="","",IF(OR(B467="",C467=""),"Item ID and date needed",IF(COUNTIF(Sample_Log!$A$5:$A$204,A467)=0,"SMP-ID not in log",IF(COUNTIFS($A$5:$A$1004,A467,$B$5:$B$1004,B467)&gt;1,"Duplicate item in sample","OK"))))</f>
        <v/>
      </c>
    </row>
    <row r="468" customFormat="false" ht="15" hidden="false" customHeight="false" outlineLevel="0" collapsed="false">
      <c r="A468" s="16"/>
      <c r="B468" s="16"/>
      <c r="C468" s="18"/>
      <c r="D468" s="16"/>
      <c r="E468" s="17" t="str">
        <f aca="false">IF(C468="","","Q"&amp;ROUNDUP(MONTH(C468)/3,0))</f>
        <v/>
      </c>
      <c r="F468" s="16"/>
      <c r="G468" s="16"/>
      <c r="H468" s="17" t="str">
        <f aca="false">IF(A468="","",IF(OR(B468="",C468=""),"Item ID and date needed",IF(COUNTIF(Sample_Log!$A$5:$A$204,A468)=0,"SMP-ID not in log",IF(COUNTIFS($A$5:$A$1004,A468,$B$5:$B$1004,B468)&gt;1,"Duplicate item in sample","OK"))))</f>
        <v/>
      </c>
    </row>
    <row r="469" customFormat="false" ht="15" hidden="false" customHeight="false" outlineLevel="0" collapsed="false">
      <c r="A469" s="16"/>
      <c r="B469" s="16"/>
      <c r="C469" s="18"/>
      <c r="D469" s="16"/>
      <c r="E469" s="17" t="str">
        <f aca="false">IF(C469="","","Q"&amp;ROUNDUP(MONTH(C469)/3,0))</f>
        <v/>
      </c>
      <c r="F469" s="16"/>
      <c r="G469" s="16"/>
      <c r="H469" s="17" t="str">
        <f aca="false">IF(A469="","",IF(OR(B469="",C469=""),"Item ID and date needed",IF(COUNTIF(Sample_Log!$A$5:$A$204,A469)=0,"SMP-ID not in log",IF(COUNTIFS($A$5:$A$1004,A469,$B$5:$B$1004,B469)&gt;1,"Duplicate item in sample","OK"))))</f>
        <v/>
      </c>
    </row>
    <row r="470" customFormat="false" ht="15" hidden="false" customHeight="false" outlineLevel="0" collapsed="false">
      <c r="A470" s="16"/>
      <c r="B470" s="16"/>
      <c r="C470" s="18"/>
      <c r="D470" s="16"/>
      <c r="E470" s="17" t="str">
        <f aca="false">IF(C470="","","Q"&amp;ROUNDUP(MONTH(C470)/3,0))</f>
        <v/>
      </c>
      <c r="F470" s="16"/>
      <c r="G470" s="16"/>
      <c r="H470" s="17" t="str">
        <f aca="false">IF(A470="","",IF(OR(B470="",C470=""),"Item ID and date needed",IF(COUNTIF(Sample_Log!$A$5:$A$204,A470)=0,"SMP-ID not in log",IF(COUNTIFS($A$5:$A$1004,A470,$B$5:$B$1004,B470)&gt;1,"Duplicate item in sample","OK"))))</f>
        <v/>
      </c>
    </row>
    <row r="471" customFormat="false" ht="15" hidden="false" customHeight="false" outlineLevel="0" collapsed="false">
      <c r="A471" s="16"/>
      <c r="B471" s="16"/>
      <c r="C471" s="18"/>
      <c r="D471" s="16"/>
      <c r="E471" s="17" t="str">
        <f aca="false">IF(C471="","","Q"&amp;ROUNDUP(MONTH(C471)/3,0))</f>
        <v/>
      </c>
      <c r="F471" s="16"/>
      <c r="G471" s="16"/>
      <c r="H471" s="17" t="str">
        <f aca="false">IF(A471="","",IF(OR(B471="",C471=""),"Item ID and date needed",IF(COUNTIF(Sample_Log!$A$5:$A$204,A471)=0,"SMP-ID not in log",IF(COUNTIFS($A$5:$A$1004,A471,$B$5:$B$1004,B471)&gt;1,"Duplicate item in sample","OK"))))</f>
        <v/>
      </c>
    </row>
    <row r="472" customFormat="false" ht="15" hidden="false" customHeight="false" outlineLevel="0" collapsed="false">
      <c r="A472" s="16"/>
      <c r="B472" s="16"/>
      <c r="C472" s="18"/>
      <c r="D472" s="16"/>
      <c r="E472" s="17" t="str">
        <f aca="false">IF(C472="","","Q"&amp;ROUNDUP(MONTH(C472)/3,0))</f>
        <v/>
      </c>
      <c r="F472" s="16"/>
      <c r="G472" s="16"/>
      <c r="H472" s="17" t="str">
        <f aca="false">IF(A472="","",IF(OR(B472="",C472=""),"Item ID and date needed",IF(COUNTIF(Sample_Log!$A$5:$A$204,A472)=0,"SMP-ID not in log",IF(COUNTIFS($A$5:$A$1004,A472,$B$5:$B$1004,B472)&gt;1,"Duplicate item in sample","OK"))))</f>
        <v/>
      </c>
    </row>
    <row r="473" customFormat="false" ht="15" hidden="false" customHeight="false" outlineLevel="0" collapsed="false">
      <c r="A473" s="16"/>
      <c r="B473" s="16"/>
      <c r="C473" s="18"/>
      <c r="D473" s="16"/>
      <c r="E473" s="17" t="str">
        <f aca="false">IF(C473="","","Q"&amp;ROUNDUP(MONTH(C473)/3,0))</f>
        <v/>
      </c>
      <c r="F473" s="16"/>
      <c r="G473" s="16"/>
      <c r="H473" s="17" t="str">
        <f aca="false">IF(A473="","",IF(OR(B473="",C473=""),"Item ID and date needed",IF(COUNTIF(Sample_Log!$A$5:$A$204,A473)=0,"SMP-ID not in log",IF(COUNTIFS($A$5:$A$1004,A473,$B$5:$B$1004,B473)&gt;1,"Duplicate item in sample","OK"))))</f>
        <v/>
      </c>
    </row>
    <row r="474" customFormat="false" ht="15" hidden="false" customHeight="false" outlineLevel="0" collapsed="false">
      <c r="A474" s="16"/>
      <c r="B474" s="16"/>
      <c r="C474" s="18"/>
      <c r="D474" s="16"/>
      <c r="E474" s="17" t="str">
        <f aca="false">IF(C474="","","Q"&amp;ROUNDUP(MONTH(C474)/3,0))</f>
        <v/>
      </c>
      <c r="F474" s="16"/>
      <c r="G474" s="16"/>
      <c r="H474" s="17" t="str">
        <f aca="false">IF(A474="","",IF(OR(B474="",C474=""),"Item ID and date needed",IF(COUNTIF(Sample_Log!$A$5:$A$204,A474)=0,"SMP-ID not in log",IF(COUNTIFS($A$5:$A$1004,A474,$B$5:$B$1004,B474)&gt;1,"Duplicate item in sample","OK"))))</f>
        <v/>
      </c>
    </row>
    <row r="475" customFormat="false" ht="15" hidden="false" customHeight="false" outlineLevel="0" collapsed="false">
      <c r="A475" s="16"/>
      <c r="B475" s="16"/>
      <c r="C475" s="18"/>
      <c r="D475" s="16"/>
      <c r="E475" s="17" t="str">
        <f aca="false">IF(C475="","","Q"&amp;ROUNDUP(MONTH(C475)/3,0))</f>
        <v/>
      </c>
      <c r="F475" s="16"/>
      <c r="G475" s="16"/>
      <c r="H475" s="17" t="str">
        <f aca="false">IF(A475="","",IF(OR(B475="",C475=""),"Item ID and date needed",IF(COUNTIF(Sample_Log!$A$5:$A$204,A475)=0,"SMP-ID not in log",IF(COUNTIFS($A$5:$A$1004,A475,$B$5:$B$1004,B475)&gt;1,"Duplicate item in sample","OK"))))</f>
        <v/>
      </c>
    </row>
    <row r="476" customFormat="false" ht="15" hidden="false" customHeight="false" outlineLevel="0" collapsed="false">
      <c r="A476" s="16"/>
      <c r="B476" s="16"/>
      <c r="C476" s="18"/>
      <c r="D476" s="16"/>
      <c r="E476" s="17" t="str">
        <f aca="false">IF(C476="","","Q"&amp;ROUNDUP(MONTH(C476)/3,0))</f>
        <v/>
      </c>
      <c r="F476" s="16"/>
      <c r="G476" s="16"/>
      <c r="H476" s="17" t="str">
        <f aca="false">IF(A476="","",IF(OR(B476="",C476=""),"Item ID and date needed",IF(COUNTIF(Sample_Log!$A$5:$A$204,A476)=0,"SMP-ID not in log",IF(COUNTIFS($A$5:$A$1004,A476,$B$5:$B$1004,B476)&gt;1,"Duplicate item in sample","OK"))))</f>
        <v/>
      </c>
    </row>
    <row r="477" customFormat="false" ht="15" hidden="false" customHeight="false" outlineLevel="0" collapsed="false">
      <c r="A477" s="16"/>
      <c r="B477" s="16"/>
      <c r="C477" s="18"/>
      <c r="D477" s="16"/>
      <c r="E477" s="17" t="str">
        <f aca="false">IF(C477="","","Q"&amp;ROUNDUP(MONTH(C477)/3,0))</f>
        <v/>
      </c>
      <c r="F477" s="16"/>
      <c r="G477" s="16"/>
      <c r="H477" s="17" t="str">
        <f aca="false">IF(A477="","",IF(OR(B477="",C477=""),"Item ID and date needed",IF(COUNTIF(Sample_Log!$A$5:$A$204,A477)=0,"SMP-ID not in log",IF(COUNTIFS($A$5:$A$1004,A477,$B$5:$B$1004,B477)&gt;1,"Duplicate item in sample","OK"))))</f>
        <v/>
      </c>
    </row>
    <row r="478" customFormat="false" ht="15" hidden="false" customHeight="false" outlineLevel="0" collapsed="false">
      <c r="A478" s="16"/>
      <c r="B478" s="16"/>
      <c r="C478" s="18"/>
      <c r="D478" s="16"/>
      <c r="E478" s="17" t="str">
        <f aca="false">IF(C478="","","Q"&amp;ROUNDUP(MONTH(C478)/3,0))</f>
        <v/>
      </c>
      <c r="F478" s="16"/>
      <c r="G478" s="16"/>
      <c r="H478" s="17" t="str">
        <f aca="false">IF(A478="","",IF(OR(B478="",C478=""),"Item ID and date needed",IF(COUNTIF(Sample_Log!$A$5:$A$204,A478)=0,"SMP-ID not in log",IF(COUNTIFS($A$5:$A$1004,A478,$B$5:$B$1004,B478)&gt;1,"Duplicate item in sample","OK"))))</f>
        <v/>
      </c>
    </row>
    <row r="479" customFormat="false" ht="15" hidden="false" customHeight="false" outlineLevel="0" collapsed="false">
      <c r="A479" s="16"/>
      <c r="B479" s="16"/>
      <c r="C479" s="18"/>
      <c r="D479" s="16"/>
      <c r="E479" s="17" t="str">
        <f aca="false">IF(C479="","","Q"&amp;ROUNDUP(MONTH(C479)/3,0))</f>
        <v/>
      </c>
      <c r="F479" s="16"/>
      <c r="G479" s="16"/>
      <c r="H479" s="17" t="str">
        <f aca="false">IF(A479="","",IF(OR(B479="",C479=""),"Item ID and date needed",IF(COUNTIF(Sample_Log!$A$5:$A$204,A479)=0,"SMP-ID not in log",IF(COUNTIFS($A$5:$A$1004,A479,$B$5:$B$1004,B479)&gt;1,"Duplicate item in sample","OK"))))</f>
        <v/>
      </c>
    </row>
    <row r="480" customFormat="false" ht="15" hidden="false" customHeight="false" outlineLevel="0" collapsed="false">
      <c r="A480" s="16"/>
      <c r="B480" s="16"/>
      <c r="C480" s="18"/>
      <c r="D480" s="16"/>
      <c r="E480" s="17" t="str">
        <f aca="false">IF(C480="","","Q"&amp;ROUNDUP(MONTH(C480)/3,0))</f>
        <v/>
      </c>
      <c r="F480" s="16"/>
      <c r="G480" s="16"/>
      <c r="H480" s="17" t="str">
        <f aca="false">IF(A480="","",IF(OR(B480="",C480=""),"Item ID and date needed",IF(COUNTIF(Sample_Log!$A$5:$A$204,A480)=0,"SMP-ID not in log",IF(COUNTIFS($A$5:$A$1004,A480,$B$5:$B$1004,B480)&gt;1,"Duplicate item in sample","OK"))))</f>
        <v/>
      </c>
    </row>
    <row r="481" customFormat="false" ht="15" hidden="false" customHeight="false" outlineLevel="0" collapsed="false">
      <c r="A481" s="16"/>
      <c r="B481" s="16"/>
      <c r="C481" s="18"/>
      <c r="D481" s="16"/>
      <c r="E481" s="17" t="str">
        <f aca="false">IF(C481="","","Q"&amp;ROUNDUP(MONTH(C481)/3,0))</f>
        <v/>
      </c>
      <c r="F481" s="16"/>
      <c r="G481" s="16"/>
      <c r="H481" s="17" t="str">
        <f aca="false">IF(A481="","",IF(OR(B481="",C481=""),"Item ID and date needed",IF(COUNTIF(Sample_Log!$A$5:$A$204,A481)=0,"SMP-ID not in log",IF(COUNTIFS($A$5:$A$1004,A481,$B$5:$B$1004,B481)&gt;1,"Duplicate item in sample","OK"))))</f>
        <v/>
      </c>
    </row>
    <row r="482" customFormat="false" ht="15" hidden="false" customHeight="false" outlineLevel="0" collapsed="false">
      <c r="A482" s="16"/>
      <c r="B482" s="16"/>
      <c r="C482" s="18"/>
      <c r="D482" s="16"/>
      <c r="E482" s="17" t="str">
        <f aca="false">IF(C482="","","Q"&amp;ROUNDUP(MONTH(C482)/3,0))</f>
        <v/>
      </c>
      <c r="F482" s="16"/>
      <c r="G482" s="16"/>
      <c r="H482" s="17" t="str">
        <f aca="false">IF(A482="","",IF(OR(B482="",C482=""),"Item ID and date needed",IF(COUNTIF(Sample_Log!$A$5:$A$204,A482)=0,"SMP-ID not in log",IF(COUNTIFS($A$5:$A$1004,A482,$B$5:$B$1004,B482)&gt;1,"Duplicate item in sample","OK"))))</f>
        <v/>
      </c>
    </row>
    <row r="483" customFormat="false" ht="15" hidden="false" customHeight="false" outlineLevel="0" collapsed="false">
      <c r="A483" s="16"/>
      <c r="B483" s="16"/>
      <c r="C483" s="18"/>
      <c r="D483" s="16"/>
      <c r="E483" s="17" t="str">
        <f aca="false">IF(C483="","","Q"&amp;ROUNDUP(MONTH(C483)/3,0))</f>
        <v/>
      </c>
      <c r="F483" s="16"/>
      <c r="G483" s="16"/>
      <c r="H483" s="17" t="str">
        <f aca="false">IF(A483="","",IF(OR(B483="",C483=""),"Item ID and date needed",IF(COUNTIF(Sample_Log!$A$5:$A$204,A483)=0,"SMP-ID not in log",IF(COUNTIFS($A$5:$A$1004,A483,$B$5:$B$1004,B483)&gt;1,"Duplicate item in sample","OK"))))</f>
        <v/>
      </c>
    </row>
    <row r="484" customFormat="false" ht="15" hidden="false" customHeight="false" outlineLevel="0" collapsed="false">
      <c r="A484" s="16"/>
      <c r="B484" s="16"/>
      <c r="C484" s="18"/>
      <c r="D484" s="16"/>
      <c r="E484" s="17" t="str">
        <f aca="false">IF(C484="","","Q"&amp;ROUNDUP(MONTH(C484)/3,0))</f>
        <v/>
      </c>
      <c r="F484" s="16"/>
      <c r="G484" s="16"/>
      <c r="H484" s="17" t="str">
        <f aca="false">IF(A484="","",IF(OR(B484="",C484=""),"Item ID and date needed",IF(COUNTIF(Sample_Log!$A$5:$A$204,A484)=0,"SMP-ID not in log",IF(COUNTIFS($A$5:$A$1004,A484,$B$5:$B$1004,B484)&gt;1,"Duplicate item in sample","OK"))))</f>
        <v/>
      </c>
    </row>
    <row r="485" customFormat="false" ht="15" hidden="false" customHeight="false" outlineLevel="0" collapsed="false">
      <c r="A485" s="16"/>
      <c r="B485" s="16"/>
      <c r="C485" s="18"/>
      <c r="D485" s="16"/>
      <c r="E485" s="17" t="str">
        <f aca="false">IF(C485="","","Q"&amp;ROUNDUP(MONTH(C485)/3,0))</f>
        <v/>
      </c>
      <c r="F485" s="16"/>
      <c r="G485" s="16"/>
      <c r="H485" s="17" t="str">
        <f aca="false">IF(A485="","",IF(OR(B485="",C485=""),"Item ID and date needed",IF(COUNTIF(Sample_Log!$A$5:$A$204,A485)=0,"SMP-ID not in log",IF(COUNTIFS($A$5:$A$1004,A485,$B$5:$B$1004,B485)&gt;1,"Duplicate item in sample","OK"))))</f>
        <v/>
      </c>
    </row>
    <row r="486" customFormat="false" ht="15" hidden="false" customHeight="false" outlineLevel="0" collapsed="false">
      <c r="A486" s="16"/>
      <c r="B486" s="16"/>
      <c r="C486" s="18"/>
      <c r="D486" s="16"/>
      <c r="E486" s="17" t="str">
        <f aca="false">IF(C486="","","Q"&amp;ROUNDUP(MONTH(C486)/3,0))</f>
        <v/>
      </c>
      <c r="F486" s="16"/>
      <c r="G486" s="16"/>
      <c r="H486" s="17" t="str">
        <f aca="false">IF(A486="","",IF(OR(B486="",C486=""),"Item ID and date needed",IF(COUNTIF(Sample_Log!$A$5:$A$204,A486)=0,"SMP-ID not in log",IF(COUNTIFS($A$5:$A$1004,A486,$B$5:$B$1004,B486)&gt;1,"Duplicate item in sample","OK"))))</f>
        <v/>
      </c>
    </row>
    <row r="487" customFormat="false" ht="15" hidden="false" customHeight="false" outlineLevel="0" collapsed="false">
      <c r="A487" s="16"/>
      <c r="B487" s="16"/>
      <c r="C487" s="18"/>
      <c r="D487" s="16"/>
      <c r="E487" s="17" t="str">
        <f aca="false">IF(C487="","","Q"&amp;ROUNDUP(MONTH(C487)/3,0))</f>
        <v/>
      </c>
      <c r="F487" s="16"/>
      <c r="G487" s="16"/>
      <c r="H487" s="17" t="str">
        <f aca="false">IF(A487="","",IF(OR(B487="",C487=""),"Item ID and date needed",IF(COUNTIF(Sample_Log!$A$5:$A$204,A487)=0,"SMP-ID not in log",IF(COUNTIFS($A$5:$A$1004,A487,$B$5:$B$1004,B487)&gt;1,"Duplicate item in sample","OK"))))</f>
        <v/>
      </c>
    </row>
    <row r="488" customFormat="false" ht="15" hidden="false" customHeight="false" outlineLevel="0" collapsed="false">
      <c r="A488" s="16"/>
      <c r="B488" s="16"/>
      <c r="C488" s="18"/>
      <c r="D488" s="16"/>
      <c r="E488" s="17" t="str">
        <f aca="false">IF(C488="","","Q"&amp;ROUNDUP(MONTH(C488)/3,0))</f>
        <v/>
      </c>
      <c r="F488" s="16"/>
      <c r="G488" s="16"/>
      <c r="H488" s="17" t="str">
        <f aca="false">IF(A488="","",IF(OR(B488="",C488=""),"Item ID and date needed",IF(COUNTIF(Sample_Log!$A$5:$A$204,A488)=0,"SMP-ID not in log",IF(COUNTIFS($A$5:$A$1004,A488,$B$5:$B$1004,B488)&gt;1,"Duplicate item in sample","OK"))))</f>
        <v/>
      </c>
    </row>
    <row r="489" customFormat="false" ht="15" hidden="false" customHeight="false" outlineLevel="0" collapsed="false">
      <c r="A489" s="16"/>
      <c r="B489" s="16"/>
      <c r="C489" s="18"/>
      <c r="D489" s="16"/>
      <c r="E489" s="17" t="str">
        <f aca="false">IF(C489="","","Q"&amp;ROUNDUP(MONTH(C489)/3,0))</f>
        <v/>
      </c>
      <c r="F489" s="16"/>
      <c r="G489" s="16"/>
      <c r="H489" s="17" t="str">
        <f aca="false">IF(A489="","",IF(OR(B489="",C489=""),"Item ID and date needed",IF(COUNTIF(Sample_Log!$A$5:$A$204,A489)=0,"SMP-ID not in log",IF(COUNTIFS($A$5:$A$1004,A489,$B$5:$B$1004,B489)&gt;1,"Duplicate item in sample","OK"))))</f>
        <v/>
      </c>
    </row>
    <row r="490" customFormat="false" ht="15" hidden="false" customHeight="false" outlineLevel="0" collapsed="false">
      <c r="A490" s="16"/>
      <c r="B490" s="16"/>
      <c r="C490" s="18"/>
      <c r="D490" s="16"/>
      <c r="E490" s="17" t="str">
        <f aca="false">IF(C490="","","Q"&amp;ROUNDUP(MONTH(C490)/3,0))</f>
        <v/>
      </c>
      <c r="F490" s="16"/>
      <c r="G490" s="16"/>
      <c r="H490" s="17" t="str">
        <f aca="false">IF(A490="","",IF(OR(B490="",C490=""),"Item ID and date needed",IF(COUNTIF(Sample_Log!$A$5:$A$204,A490)=0,"SMP-ID not in log",IF(COUNTIFS($A$5:$A$1004,A490,$B$5:$B$1004,B490)&gt;1,"Duplicate item in sample","OK"))))</f>
        <v/>
      </c>
    </row>
    <row r="491" customFormat="false" ht="15" hidden="false" customHeight="false" outlineLevel="0" collapsed="false">
      <c r="A491" s="16"/>
      <c r="B491" s="16"/>
      <c r="C491" s="18"/>
      <c r="D491" s="16"/>
      <c r="E491" s="17" t="str">
        <f aca="false">IF(C491="","","Q"&amp;ROUNDUP(MONTH(C491)/3,0))</f>
        <v/>
      </c>
      <c r="F491" s="16"/>
      <c r="G491" s="16"/>
      <c r="H491" s="17" t="str">
        <f aca="false">IF(A491="","",IF(OR(B491="",C491=""),"Item ID and date needed",IF(COUNTIF(Sample_Log!$A$5:$A$204,A491)=0,"SMP-ID not in log",IF(COUNTIFS($A$5:$A$1004,A491,$B$5:$B$1004,B491)&gt;1,"Duplicate item in sample","OK"))))</f>
        <v/>
      </c>
    </row>
    <row r="492" customFormat="false" ht="15" hidden="false" customHeight="false" outlineLevel="0" collapsed="false">
      <c r="A492" s="16"/>
      <c r="B492" s="16"/>
      <c r="C492" s="18"/>
      <c r="D492" s="16"/>
      <c r="E492" s="17" t="str">
        <f aca="false">IF(C492="","","Q"&amp;ROUNDUP(MONTH(C492)/3,0))</f>
        <v/>
      </c>
      <c r="F492" s="16"/>
      <c r="G492" s="16"/>
      <c r="H492" s="17" t="str">
        <f aca="false">IF(A492="","",IF(OR(B492="",C492=""),"Item ID and date needed",IF(COUNTIF(Sample_Log!$A$5:$A$204,A492)=0,"SMP-ID not in log",IF(COUNTIFS($A$5:$A$1004,A492,$B$5:$B$1004,B492)&gt;1,"Duplicate item in sample","OK"))))</f>
        <v/>
      </c>
    </row>
    <row r="493" customFormat="false" ht="15" hidden="false" customHeight="false" outlineLevel="0" collapsed="false">
      <c r="A493" s="16"/>
      <c r="B493" s="16"/>
      <c r="C493" s="18"/>
      <c r="D493" s="16"/>
      <c r="E493" s="17" t="str">
        <f aca="false">IF(C493="","","Q"&amp;ROUNDUP(MONTH(C493)/3,0))</f>
        <v/>
      </c>
      <c r="F493" s="16"/>
      <c r="G493" s="16"/>
      <c r="H493" s="17" t="str">
        <f aca="false">IF(A493="","",IF(OR(B493="",C493=""),"Item ID and date needed",IF(COUNTIF(Sample_Log!$A$5:$A$204,A493)=0,"SMP-ID not in log",IF(COUNTIFS($A$5:$A$1004,A493,$B$5:$B$1004,B493)&gt;1,"Duplicate item in sample","OK"))))</f>
        <v/>
      </c>
    </row>
    <row r="494" customFormat="false" ht="15" hidden="false" customHeight="false" outlineLevel="0" collapsed="false">
      <c r="A494" s="16"/>
      <c r="B494" s="16"/>
      <c r="C494" s="18"/>
      <c r="D494" s="16"/>
      <c r="E494" s="17" t="str">
        <f aca="false">IF(C494="","","Q"&amp;ROUNDUP(MONTH(C494)/3,0))</f>
        <v/>
      </c>
      <c r="F494" s="16"/>
      <c r="G494" s="16"/>
      <c r="H494" s="17" t="str">
        <f aca="false">IF(A494="","",IF(OR(B494="",C494=""),"Item ID and date needed",IF(COUNTIF(Sample_Log!$A$5:$A$204,A494)=0,"SMP-ID not in log",IF(COUNTIFS($A$5:$A$1004,A494,$B$5:$B$1004,B494)&gt;1,"Duplicate item in sample","OK"))))</f>
        <v/>
      </c>
    </row>
    <row r="495" customFormat="false" ht="15" hidden="false" customHeight="false" outlineLevel="0" collapsed="false">
      <c r="A495" s="16"/>
      <c r="B495" s="16"/>
      <c r="C495" s="18"/>
      <c r="D495" s="16"/>
      <c r="E495" s="17" t="str">
        <f aca="false">IF(C495="","","Q"&amp;ROUNDUP(MONTH(C495)/3,0))</f>
        <v/>
      </c>
      <c r="F495" s="16"/>
      <c r="G495" s="16"/>
      <c r="H495" s="17" t="str">
        <f aca="false">IF(A495="","",IF(OR(B495="",C495=""),"Item ID and date needed",IF(COUNTIF(Sample_Log!$A$5:$A$204,A495)=0,"SMP-ID not in log",IF(COUNTIFS($A$5:$A$1004,A495,$B$5:$B$1004,B495)&gt;1,"Duplicate item in sample","OK"))))</f>
        <v/>
      </c>
    </row>
    <row r="496" customFormat="false" ht="15" hidden="false" customHeight="false" outlineLevel="0" collapsed="false">
      <c r="A496" s="16"/>
      <c r="B496" s="16"/>
      <c r="C496" s="18"/>
      <c r="D496" s="16"/>
      <c r="E496" s="17" t="str">
        <f aca="false">IF(C496="","","Q"&amp;ROUNDUP(MONTH(C496)/3,0))</f>
        <v/>
      </c>
      <c r="F496" s="16"/>
      <c r="G496" s="16"/>
      <c r="H496" s="17" t="str">
        <f aca="false">IF(A496="","",IF(OR(B496="",C496=""),"Item ID and date needed",IF(COUNTIF(Sample_Log!$A$5:$A$204,A496)=0,"SMP-ID not in log",IF(COUNTIFS($A$5:$A$1004,A496,$B$5:$B$1004,B496)&gt;1,"Duplicate item in sample","OK"))))</f>
        <v/>
      </c>
    </row>
    <row r="497" customFormat="false" ht="15" hidden="false" customHeight="false" outlineLevel="0" collapsed="false">
      <c r="A497" s="16"/>
      <c r="B497" s="16"/>
      <c r="C497" s="18"/>
      <c r="D497" s="16"/>
      <c r="E497" s="17" t="str">
        <f aca="false">IF(C497="","","Q"&amp;ROUNDUP(MONTH(C497)/3,0))</f>
        <v/>
      </c>
      <c r="F497" s="16"/>
      <c r="G497" s="16"/>
      <c r="H497" s="17" t="str">
        <f aca="false">IF(A497="","",IF(OR(B497="",C497=""),"Item ID and date needed",IF(COUNTIF(Sample_Log!$A$5:$A$204,A497)=0,"SMP-ID not in log",IF(COUNTIFS($A$5:$A$1004,A497,$B$5:$B$1004,B497)&gt;1,"Duplicate item in sample","OK"))))</f>
        <v/>
      </c>
    </row>
    <row r="498" customFormat="false" ht="15" hidden="false" customHeight="false" outlineLevel="0" collapsed="false">
      <c r="A498" s="16"/>
      <c r="B498" s="16"/>
      <c r="C498" s="18"/>
      <c r="D498" s="16"/>
      <c r="E498" s="17" t="str">
        <f aca="false">IF(C498="","","Q"&amp;ROUNDUP(MONTH(C498)/3,0))</f>
        <v/>
      </c>
      <c r="F498" s="16"/>
      <c r="G498" s="16"/>
      <c r="H498" s="17" t="str">
        <f aca="false">IF(A498="","",IF(OR(B498="",C498=""),"Item ID and date needed",IF(COUNTIF(Sample_Log!$A$5:$A$204,A498)=0,"SMP-ID not in log",IF(COUNTIFS($A$5:$A$1004,A498,$B$5:$B$1004,B498)&gt;1,"Duplicate item in sample","OK"))))</f>
        <v/>
      </c>
    </row>
    <row r="499" customFormat="false" ht="15" hidden="false" customHeight="false" outlineLevel="0" collapsed="false">
      <c r="A499" s="16"/>
      <c r="B499" s="16"/>
      <c r="C499" s="18"/>
      <c r="D499" s="16"/>
      <c r="E499" s="17" t="str">
        <f aca="false">IF(C499="","","Q"&amp;ROUNDUP(MONTH(C499)/3,0))</f>
        <v/>
      </c>
      <c r="F499" s="16"/>
      <c r="G499" s="16"/>
      <c r="H499" s="17" t="str">
        <f aca="false">IF(A499="","",IF(OR(B499="",C499=""),"Item ID and date needed",IF(COUNTIF(Sample_Log!$A$5:$A$204,A499)=0,"SMP-ID not in log",IF(COUNTIFS($A$5:$A$1004,A499,$B$5:$B$1004,B499)&gt;1,"Duplicate item in sample","OK"))))</f>
        <v/>
      </c>
    </row>
    <row r="500" customFormat="false" ht="15" hidden="false" customHeight="false" outlineLevel="0" collapsed="false">
      <c r="A500" s="16"/>
      <c r="B500" s="16"/>
      <c r="C500" s="18"/>
      <c r="D500" s="16"/>
      <c r="E500" s="17" t="str">
        <f aca="false">IF(C500="","","Q"&amp;ROUNDUP(MONTH(C500)/3,0))</f>
        <v/>
      </c>
      <c r="F500" s="16"/>
      <c r="G500" s="16"/>
      <c r="H500" s="17" t="str">
        <f aca="false">IF(A500="","",IF(OR(B500="",C500=""),"Item ID and date needed",IF(COUNTIF(Sample_Log!$A$5:$A$204,A500)=0,"SMP-ID not in log",IF(COUNTIFS($A$5:$A$1004,A500,$B$5:$B$1004,B500)&gt;1,"Duplicate item in sample","OK"))))</f>
        <v/>
      </c>
    </row>
    <row r="501" customFormat="false" ht="15" hidden="false" customHeight="false" outlineLevel="0" collapsed="false">
      <c r="A501" s="16"/>
      <c r="B501" s="16"/>
      <c r="C501" s="18"/>
      <c r="D501" s="16"/>
      <c r="E501" s="17" t="str">
        <f aca="false">IF(C501="","","Q"&amp;ROUNDUP(MONTH(C501)/3,0))</f>
        <v/>
      </c>
      <c r="F501" s="16"/>
      <c r="G501" s="16"/>
      <c r="H501" s="17" t="str">
        <f aca="false">IF(A501="","",IF(OR(B501="",C501=""),"Item ID and date needed",IF(COUNTIF(Sample_Log!$A$5:$A$204,A501)=0,"SMP-ID not in log",IF(COUNTIFS($A$5:$A$1004,A501,$B$5:$B$1004,B501)&gt;1,"Duplicate item in sample","OK"))))</f>
        <v/>
      </c>
    </row>
    <row r="502" customFormat="false" ht="15" hidden="false" customHeight="false" outlineLevel="0" collapsed="false">
      <c r="A502" s="16"/>
      <c r="B502" s="16"/>
      <c r="C502" s="18"/>
      <c r="D502" s="16"/>
      <c r="E502" s="17" t="str">
        <f aca="false">IF(C502="","","Q"&amp;ROUNDUP(MONTH(C502)/3,0))</f>
        <v/>
      </c>
      <c r="F502" s="16"/>
      <c r="G502" s="16"/>
      <c r="H502" s="17" t="str">
        <f aca="false">IF(A502="","",IF(OR(B502="",C502=""),"Item ID and date needed",IF(COUNTIF(Sample_Log!$A$5:$A$204,A502)=0,"SMP-ID not in log",IF(COUNTIFS($A$5:$A$1004,A502,$B$5:$B$1004,B502)&gt;1,"Duplicate item in sample","OK"))))</f>
        <v/>
      </c>
    </row>
    <row r="503" customFormat="false" ht="15" hidden="false" customHeight="false" outlineLevel="0" collapsed="false">
      <c r="A503" s="16"/>
      <c r="B503" s="16"/>
      <c r="C503" s="18"/>
      <c r="D503" s="16"/>
      <c r="E503" s="17" t="str">
        <f aca="false">IF(C503="","","Q"&amp;ROUNDUP(MONTH(C503)/3,0))</f>
        <v/>
      </c>
      <c r="F503" s="16"/>
      <c r="G503" s="16"/>
      <c r="H503" s="17" t="str">
        <f aca="false">IF(A503="","",IF(OR(B503="",C503=""),"Item ID and date needed",IF(COUNTIF(Sample_Log!$A$5:$A$204,A503)=0,"SMP-ID not in log",IF(COUNTIFS($A$5:$A$1004,A503,$B$5:$B$1004,B503)&gt;1,"Duplicate item in sample","OK"))))</f>
        <v/>
      </c>
    </row>
    <row r="504" customFormat="false" ht="15" hidden="false" customHeight="false" outlineLevel="0" collapsed="false">
      <c r="A504" s="16"/>
      <c r="B504" s="16"/>
      <c r="C504" s="18"/>
      <c r="D504" s="16"/>
      <c r="E504" s="17" t="str">
        <f aca="false">IF(C504="","","Q"&amp;ROUNDUP(MONTH(C504)/3,0))</f>
        <v/>
      </c>
      <c r="F504" s="16"/>
      <c r="G504" s="16"/>
      <c r="H504" s="17" t="str">
        <f aca="false">IF(A504="","",IF(OR(B504="",C504=""),"Item ID and date needed",IF(COUNTIF(Sample_Log!$A$5:$A$204,A504)=0,"SMP-ID not in log",IF(COUNTIFS($A$5:$A$1004,A504,$B$5:$B$1004,B504)&gt;1,"Duplicate item in sample","OK"))))</f>
        <v/>
      </c>
    </row>
    <row r="505" customFormat="false" ht="15" hidden="false" customHeight="false" outlineLevel="0" collapsed="false">
      <c r="A505" s="16"/>
      <c r="B505" s="16"/>
      <c r="C505" s="18"/>
      <c r="D505" s="16"/>
      <c r="E505" s="17" t="str">
        <f aca="false">IF(C505="","","Q"&amp;ROUNDUP(MONTH(C505)/3,0))</f>
        <v/>
      </c>
      <c r="F505" s="16"/>
      <c r="G505" s="16"/>
      <c r="H505" s="17" t="str">
        <f aca="false">IF(A505="","",IF(OR(B505="",C505=""),"Item ID and date needed",IF(COUNTIF(Sample_Log!$A$5:$A$204,A505)=0,"SMP-ID not in log",IF(COUNTIFS($A$5:$A$1004,A505,$B$5:$B$1004,B505)&gt;1,"Duplicate item in sample","OK"))))</f>
        <v/>
      </c>
    </row>
    <row r="506" customFormat="false" ht="15" hidden="false" customHeight="false" outlineLevel="0" collapsed="false">
      <c r="A506" s="16"/>
      <c r="B506" s="16"/>
      <c r="C506" s="18"/>
      <c r="D506" s="16"/>
      <c r="E506" s="17" t="str">
        <f aca="false">IF(C506="","","Q"&amp;ROUNDUP(MONTH(C506)/3,0))</f>
        <v/>
      </c>
      <c r="F506" s="16"/>
      <c r="G506" s="16"/>
      <c r="H506" s="17" t="str">
        <f aca="false">IF(A506="","",IF(OR(B506="",C506=""),"Item ID and date needed",IF(COUNTIF(Sample_Log!$A$5:$A$204,A506)=0,"SMP-ID not in log",IF(COUNTIFS($A$5:$A$1004,A506,$B$5:$B$1004,B506)&gt;1,"Duplicate item in sample","OK"))))</f>
        <v/>
      </c>
    </row>
    <row r="507" customFormat="false" ht="15" hidden="false" customHeight="false" outlineLevel="0" collapsed="false">
      <c r="A507" s="16"/>
      <c r="B507" s="16"/>
      <c r="C507" s="18"/>
      <c r="D507" s="16"/>
      <c r="E507" s="17" t="str">
        <f aca="false">IF(C507="","","Q"&amp;ROUNDUP(MONTH(C507)/3,0))</f>
        <v/>
      </c>
      <c r="F507" s="16"/>
      <c r="G507" s="16"/>
      <c r="H507" s="17" t="str">
        <f aca="false">IF(A507="","",IF(OR(B507="",C507=""),"Item ID and date needed",IF(COUNTIF(Sample_Log!$A$5:$A$204,A507)=0,"SMP-ID not in log",IF(COUNTIFS($A$5:$A$1004,A507,$B$5:$B$1004,B507)&gt;1,"Duplicate item in sample","OK"))))</f>
        <v/>
      </c>
    </row>
    <row r="508" customFormat="false" ht="15" hidden="false" customHeight="false" outlineLevel="0" collapsed="false">
      <c r="A508" s="16"/>
      <c r="B508" s="16"/>
      <c r="C508" s="18"/>
      <c r="D508" s="16"/>
      <c r="E508" s="17" t="str">
        <f aca="false">IF(C508="","","Q"&amp;ROUNDUP(MONTH(C508)/3,0))</f>
        <v/>
      </c>
      <c r="F508" s="16"/>
      <c r="G508" s="16"/>
      <c r="H508" s="17" t="str">
        <f aca="false">IF(A508="","",IF(OR(B508="",C508=""),"Item ID and date needed",IF(COUNTIF(Sample_Log!$A$5:$A$204,A508)=0,"SMP-ID not in log",IF(COUNTIFS($A$5:$A$1004,A508,$B$5:$B$1004,B508)&gt;1,"Duplicate item in sample","OK"))))</f>
        <v/>
      </c>
    </row>
    <row r="509" customFormat="false" ht="15" hidden="false" customHeight="false" outlineLevel="0" collapsed="false">
      <c r="A509" s="16"/>
      <c r="B509" s="16"/>
      <c r="C509" s="18"/>
      <c r="D509" s="16"/>
      <c r="E509" s="17" t="str">
        <f aca="false">IF(C509="","","Q"&amp;ROUNDUP(MONTH(C509)/3,0))</f>
        <v/>
      </c>
      <c r="F509" s="16"/>
      <c r="G509" s="16"/>
      <c r="H509" s="17" t="str">
        <f aca="false">IF(A509="","",IF(OR(B509="",C509=""),"Item ID and date needed",IF(COUNTIF(Sample_Log!$A$5:$A$204,A509)=0,"SMP-ID not in log",IF(COUNTIFS($A$5:$A$1004,A509,$B$5:$B$1004,B509)&gt;1,"Duplicate item in sample","OK"))))</f>
        <v/>
      </c>
    </row>
    <row r="510" customFormat="false" ht="15" hidden="false" customHeight="false" outlineLevel="0" collapsed="false">
      <c r="A510" s="16"/>
      <c r="B510" s="16"/>
      <c r="C510" s="18"/>
      <c r="D510" s="16"/>
      <c r="E510" s="17" t="str">
        <f aca="false">IF(C510="","","Q"&amp;ROUNDUP(MONTH(C510)/3,0))</f>
        <v/>
      </c>
      <c r="F510" s="16"/>
      <c r="G510" s="16"/>
      <c r="H510" s="17" t="str">
        <f aca="false">IF(A510="","",IF(OR(B510="",C510=""),"Item ID and date needed",IF(COUNTIF(Sample_Log!$A$5:$A$204,A510)=0,"SMP-ID not in log",IF(COUNTIFS($A$5:$A$1004,A510,$B$5:$B$1004,B510)&gt;1,"Duplicate item in sample","OK"))))</f>
        <v/>
      </c>
    </row>
    <row r="511" customFormat="false" ht="15" hidden="false" customHeight="false" outlineLevel="0" collapsed="false">
      <c r="A511" s="16"/>
      <c r="B511" s="16"/>
      <c r="C511" s="18"/>
      <c r="D511" s="16"/>
      <c r="E511" s="17" t="str">
        <f aca="false">IF(C511="","","Q"&amp;ROUNDUP(MONTH(C511)/3,0))</f>
        <v/>
      </c>
      <c r="F511" s="16"/>
      <c r="G511" s="16"/>
      <c r="H511" s="17" t="str">
        <f aca="false">IF(A511="","",IF(OR(B511="",C511=""),"Item ID and date needed",IF(COUNTIF(Sample_Log!$A$5:$A$204,A511)=0,"SMP-ID not in log",IF(COUNTIFS($A$5:$A$1004,A511,$B$5:$B$1004,B511)&gt;1,"Duplicate item in sample","OK"))))</f>
        <v/>
      </c>
    </row>
    <row r="512" customFormat="false" ht="15" hidden="false" customHeight="false" outlineLevel="0" collapsed="false">
      <c r="A512" s="16"/>
      <c r="B512" s="16"/>
      <c r="C512" s="18"/>
      <c r="D512" s="16"/>
      <c r="E512" s="17" t="str">
        <f aca="false">IF(C512="","","Q"&amp;ROUNDUP(MONTH(C512)/3,0))</f>
        <v/>
      </c>
      <c r="F512" s="16"/>
      <c r="G512" s="16"/>
      <c r="H512" s="17" t="str">
        <f aca="false">IF(A512="","",IF(OR(B512="",C512=""),"Item ID and date needed",IF(COUNTIF(Sample_Log!$A$5:$A$204,A512)=0,"SMP-ID not in log",IF(COUNTIFS($A$5:$A$1004,A512,$B$5:$B$1004,B512)&gt;1,"Duplicate item in sample","OK"))))</f>
        <v/>
      </c>
    </row>
    <row r="513" customFormat="false" ht="15" hidden="false" customHeight="false" outlineLevel="0" collapsed="false">
      <c r="A513" s="16"/>
      <c r="B513" s="16"/>
      <c r="C513" s="18"/>
      <c r="D513" s="16"/>
      <c r="E513" s="17" t="str">
        <f aca="false">IF(C513="","","Q"&amp;ROUNDUP(MONTH(C513)/3,0))</f>
        <v/>
      </c>
      <c r="F513" s="16"/>
      <c r="G513" s="16"/>
      <c r="H513" s="17" t="str">
        <f aca="false">IF(A513="","",IF(OR(B513="",C513=""),"Item ID and date needed",IF(COUNTIF(Sample_Log!$A$5:$A$204,A513)=0,"SMP-ID not in log",IF(COUNTIFS($A$5:$A$1004,A513,$B$5:$B$1004,B513)&gt;1,"Duplicate item in sample","OK"))))</f>
        <v/>
      </c>
    </row>
    <row r="514" customFormat="false" ht="15" hidden="false" customHeight="false" outlineLevel="0" collapsed="false">
      <c r="A514" s="16"/>
      <c r="B514" s="16"/>
      <c r="C514" s="18"/>
      <c r="D514" s="16"/>
      <c r="E514" s="17" t="str">
        <f aca="false">IF(C514="","","Q"&amp;ROUNDUP(MONTH(C514)/3,0))</f>
        <v/>
      </c>
      <c r="F514" s="16"/>
      <c r="G514" s="16"/>
      <c r="H514" s="17" t="str">
        <f aca="false">IF(A514="","",IF(OR(B514="",C514=""),"Item ID and date needed",IF(COUNTIF(Sample_Log!$A$5:$A$204,A514)=0,"SMP-ID not in log",IF(COUNTIFS($A$5:$A$1004,A514,$B$5:$B$1004,B514)&gt;1,"Duplicate item in sample","OK"))))</f>
        <v/>
      </c>
    </row>
    <row r="515" customFormat="false" ht="15" hidden="false" customHeight="false" outlineLevel="0" collapsed="false">
      <c r="A515" s="16"/>
      <c r="B515" s="16"/>
      <c r="C515" s="18"/>
      <c r="D515" s="16"/>
      <c r="E515" s="17" t="str">
        <f aca="false">IF(C515="","","Q"&amp;ROUNDUP(MONTH(C515)/3,0))</f>
        <v/>
      </c>
      <c r="F515" s="16"/>
      <c r="G515" s="16"/>
      <c r="H515" s="17" t="str">
        <f aca="false">IF(A515="","",IF(OR(B515="",C515=""),"Item ID and date needed",IF(COUNTIF(Sample_Log!$A$5:$A$204,A515)=0,"SMP-ID not in log",IF(COUNTIFS($A$5:$A$1004,A515,$B$5:$B$1004,B515)&gt;1,"Duplicate item in sample","OK"))))</f>
        <v/>
      </c>
    </row>
    <row r="516" customFormat="false" ht="15" hidden="false" customHeight="false" outlineLevel="0" collapsed="false">
      <c r="A516" s="16"/>
      <c r="B516" s="16"/>
      <c r="C516" s="18"/>
      <c r="D516" s="16"/>
      <c r="E516" s="17" t="str">
        <f aca="false">IF(C516="","","Q"&amp;ROUNDUP(MONTH(C516)/3,0))</f>
        <v/>
      </c>
      <c r="F516" s="16"/>
      <c r="G516" s="16"/>
      <c r="H516" s="17" t="str">
        <f aca="false">IF(A516="","",IF(OR(B516="",C516=""),"Item ID and date needed",IF(COUNTIF(Sample_Log!$A$5:$A$204,A516)=0,"SMP-ID not in log",IF(COUNTIFS($A$5:$A$1004,A516,$B$5:$B$1004,B516)&gt;1,"Duplicate item in sample","OK"))))</f>
        <v/>
      </c>
    </row>
    <row r="517" customFormat="false" ht="15" hidden="false" customHeight="false" outlineLevel="0" collapsed="false">
      <c r="A517" s="16"/>
      <c r="B517" s="16"/>
      <c r="C517" s="18"/>
      <c r="D517" s="16"/>
      <c r="E517" s="17" t="str">
        <f aca="false">IF(C517="","","Q"&amp;ROUNDUP(MONTH(C517)/3,0))</f>
        <v/>
      </c>
      <c r="F517" s="16"/>
      <c r="G517" s="16"/>
      <c r="H517" s="17" t="str">
        <f aca="false">IF(A517="","",IF(OR(B517="",C517=""),"Item ID and date needed",IF(COUNTIF(Sample_Log!$A$5:$A$204,A517)=0,"SMP-ID not in log",IF(COUNTIFS($A$5:$A$1004,A517,$B$5:$B$1004,B517)&gt;1,"Duplicate item in sample","OK"))))</f>
        <v/>
      </c>
    </row>
    <row r="518" customFormat="false" ht="15" hidden="false" customHeight="false" outlineLevel="0" collapsed="false">
      <c r="A518" s="16"/>
      <c r="B518" s="16"/>
      <c r="C518" s="18"/>
      <c r="D518" s="16"/>
      <c r="E518" s="17" t="str">
        <f aca="false">IF(C518="","","Q"&amp;ROUNDUP(MONTH(C518)/3,0))</f>
        <v/>
      </c>
      <c r="F518" s="16"/>
      <c r="G518" s="16"/>
      <c r="H518" s="17" t="str">
        <f aca="false">IF(A518="","",IF(OR(B518="",C518=""),"Item ID and date needed",IF(COUNTIF(Sample_Log!$A$5:$A$204,A518)=0,"SMP-ID not in log",IF(COUNTIFS($A$5:$A$1004,A518,$B$5:$B$1004,B518)&gt;1,"Duplicate item in sample","OK"))))</f>
        <v/>
      </c>
    </row>
    <row r="519" customFormat="false" ht="15" hidden="false" customHeight="false" outlineLevel="0" collapsed="false">
      <c r="A519" s="16"/>
      <c r="B519" s="16"/>
      <c r="C519" s="18"/>
      <c r="D519" s="16"/>
      <c r="E519" s="17" t="str">
        <f aca="false">IF(C519="","","Q"&amp;ROUNDUP(MONTH(C519)/3,0))</f>
        <v/>
      </c>
      <c r="F519" s="16"/>
      <c r="G519" s="16"/>
      <c r="H519" s="17" t="str">
        <f aca="false">IF(A519="","",IF(OR(B519="",C519=""),"Item ID and date needed",IF(COUNTIF(Sample_Log!$A$5:$A$204,A519)=0,"SMP-ID not in log",IF(COUNTIFS($A$5:$A$1004,A519,$B$5:$B$1004,B519)&gt;1,"Duplicate item in sample","OK"))))</f>
        <v/>
      </c>
    </row>
    <row r="520" customFormat="false" ht="15" hidden="false" customHeight="false" outlineLevel="0" collapsed="false">
      <c r="A520" s="16"/>
      <c r="B520" s="16"/>
      <c r="C520" s="18"/>
      <c r="D520" s="16"/>
      <c r="E520" s="17" t="str">
        <f aca="false">IF(C520="","","Q"&amp;ROUNDUP(MONTH(C520)/3,0))</f>
        <v/>
      </c>
      <c r="F520" s="16"/>
      <c r="G520" s="16"/>
      <c r="H520" s="17" t="str">
        <f aca="false">IF(A520="","",IF(OR(B520="",C520=""),"Item ID and date needed",IF(COUNTIF(Sample_Log!$A$5:$A$204,A520)=0,"SMP-ID not in log",IF(COUNTIFS($A$5:$A$1004,A520,$B$5:$B$1004,B520)&gt;1,"Duplicate item in sample","OK"))))</f>
        <v/>
      </c>
    </row>
    <row r="521" customFormat="false" ht="15" hidden="false" customHeight="false" outlineLevel="0" collapsed="false">
      <c r="A521" s="16"/>
      <c r="B521" s="16"/>
      <c r="C521" s="18"/>
      <c r="D521" s="16"/>
      <c r="E521" s="17" t="str">
        <f aca="false">IF(C521="","","Q"&amp;ROUNDUP(MONTH(C521)/3,0))</f>
        <v/>
      </c>
      <c r="F521" s="16"/>
      <c r="G521" s="16"/>
      <c r="H521" s="17" t="str">
        <f aca="false">IF(A521="","",IF(OR(B521="",C521=""),"Item ID and date needed",IF(COUNTIF(Sample_Log!$A$5:$A$204,A521)=0,"SMP-ID not in log",IF(COUNTIFS($A$5:$A$1004,A521,$B$5:$B$1004,B521)&gt;1,"Duplicate item in sample","OK"))))</f>
        <v/>
      </c>
    </row>
    <row r="522" customFormat="false" ht="15" hidden="false" customHeight="false" outlineLevel="0" collapsed="false">
      <c r="A522" s="16"/>
      <c r="B522" s="16"/>
      <c r="C522" s="18"/>
      <c r="D522" s="16"/>
      <c r="E522" s="17" t="str">
        <f aca="false">IF(C522="","","Q"&amp;ROUNDUP(MONTH(C522)/3,0))</f>
        <v/>
      </c>
      <c r="F522" s="16"/>
      <c r="G522" s="16"/>
      <c r="H522" s="17" t="str">
        <f aca="false">IF(A522="","",IF(OR(B522="",C522=""),"Item ID and date needed",IF(COUNTIF(Sample_Log!$A$5:$A$204,A522)=0,"SMP-ID not in log",IF(COUNTIFS($A$5:$A$1004,A522,$B$5:$B$1004,B522)&gt;1,"Duplicate item in sample","OK"))))</f>
        <v/>
      </c>
    </row>
    <row r="523" customFormat="false" ht="15" hidden="false" customHeight="false" outlineLevel="0" collapsed="false">
      <c r="A523" s="16"/>
      <c r="B523" s="16"/>
      <c r="C523" s="18"/>
      <c r="D523" s="16"/>
      <c r="E523" s="17" t="str">
        <f aca="false">IF(C523="","","Q"&amp;ROUNDUP(MONTH(C523)/3,0))</f>
        <v/>
      </c>
      <c r="F523" s="16"/>
      <c r="G523" s="16"/>
      <c r="H523" s="17" t="str">
        <f aca="false">IF(A523="","",IF(OR(B523="",C523=""),"Item ID and date needed",IF(COUNTIF(Sample_Log!$A$5:$A$204,A523)=0,"SMP-ID not in log",IF(COUNTIFS($A$5:$A$1004,A523,$B$5:$B$1004,B523)&gt;1,"Duplicate item in sample","OK"))))</f>
        <v/>
      </c>
    </row>
    <row r="524" customFormat="false" ht="15" hidden="false" customHeight="false" outlineLevel="0" collapsed="false">
      <c r="A524" s="16"/>
      <c r="B524" s="16"/>
      <c r="C524" s="18"/>
      <c r="D524" s="16"/>
      <c r="E524" s="17" t="str">
        <f aca="false">IF(C524="","","Q"&amp;ROUNDUP(MONTH(C524)/3,0))</f>
        <v/>
      </c>
      <c r="F524" s="16"/>
      <c r="G524" s="16"/>
      <c r="H524" s="17" t="str">
        <f aca="false">IF(A524="","",IF(OR(B524="",C524=""),"Item ID and date needed",IF(COUNTIF(Sample_Log!$A$5:$A$204,A524)=0,"SMP-ID not in log",IF(COUNTIFS($A$5:$A$1004,A524,$B$5:$B$1004,B524)&gt;1,"Duplicate item in sample","OK"))))</f>
        <v/>
      </c>
    </row>
    <row r="525" customFormat="false" ht="15" hidden="false" customHeight="false" outlineLevel="0" collapsed="false">
      <c r="A525" s="16"/>
      <c r="B525" s="16"/>
      <c r="C525" s="18"/>
      <c r="D525" s="16"/>
      <c r="E525" s="17" t="str">
        <f aca="false">IF(C525="","","Q"&amp;ROUNDUP(MONTH(C525)/3,0))</f>
        <v/>
      </c>
      <c r="F525" s="16"/>
      <c r="G525" s="16"/>
      <c r="H525" s="17" t="str">
        <f aca="false">IF(A525="","",IF(OR(B525="",C525=""),"Item ID and date needed",IF(COUNTIF(Sample_Log!$A$5:$A$204,A525)=0,"SMP-ID not in log",IF(COUNTIFS($A$5:$A$1004,A525,$B$5:$B$1004,B525)&gt;1,"Duplicate item in sample","OK"))))</f>
        <v/>
      </c>
    </row>
    <row r="526" customFormat="false" ht="15" hidden="false" customHeight="false" outlineLevel="0" collapsed="false">
      <c r="A526" s="16"/>
      <c r="B526" s="16"/>
      <c r="C526" s="18"/>
      <c r="D526" s="16"/>
      <c r="E526" s="17" t="str">
        <f aca="false">IF(C526="","","Q"&amp;ROUNDUP(MONTH(C526)/3,0))</f>
        <v/>
      </c>
      <c r="F526" s="16"/>
      <c r="G526" s="16"/>
      <c r="H526" s="17" t="str">
        <f aca="false">IF(A526="","",IF(OR(B526="",C526=""),"Item ID and date needed",IF(COUNTIF(Sample_Log!$A$5:$A$204,A526)=0,"SMP-ID not in log",IF(COUNTIFS($A$5:$A$1004,A526,$B$5:$B$1004,B526)&gt;1,"Duplicate item in sample","OK"))))</f>
        <v/>
      </c>
    </row>
    <row r="527" customFormat="false" ht="15" hidden="false" customHeight="false" outlineLevel="0" collapsed="false">
      <c r="A527" s="16"/>
      <c r="B527" s="16"/>
      <c r="C527" s="18"/>
      <c r="D527" s="16"/>
      <c r="E527" s="17" t="str">
        <f aca="false">IF(C527="","","Q"&amp;ROUNDUP(MONTH(C527)/3,0))</f>
        <v/>
      </c>
      <c r="F527" s="16"/>
      <c r="G527" s="16"/>
      <c r="H527" s="17" t="str">
        <f aca="false">IF(A527="","",IF(OR(B527="",C527=""),"Item ID and date needed",IF(COUNTIF(Sample_Log!$A$5:$A$204,A527)=0,"SMP-ID not in log",IF(COUNTIFS($A$5:$A$1004,A527,$B$5:$B$1004,B527)&gt;1,"Duplicate item in sample","OK"))))</f>
        <v/>
      </c>
    </row>
    <row r="528" customFormat="false" ht="15" hidden="false" customHeight="false" outlineLevel="0" collapsed="false">
      <c r="A528" s="16"/>
      <c r="B528" s="16"/>
      <c r="C528" s="18"/>
      <c r="D528" s="16"/>
      <c r="E528" s="17" t="str">
        <f aca="false">IF(C528="","","Q"&amp;ROUNDUP(MONTH(C528)/3,0))</f>
        <v/>
      </c>
      <c r="F528" s="16"/>
      <c r="G528" s="16"/>
      <c r="H528" s="17" t="str">
        <f aca="false">IF(A528="","",IF(OR(B528="",C528=""),"Item ID and date needed",IF(COUNTIF(Sample_Log!$A$5:$A$204,A528)=0,"SMP-ID not in log",IF(COUNTIFS($A$5:$A$1004,A528,$B$5:$B$1004,B528)&gt;1,"Duplicate item in sample","OK"))))</f>
        <v/>
      </c>
    </row>
    <row r="529" customFormat="false" ht="15" hidden="false" customHeight="false" outlineLevel="0" collapsed="false">
      <c r="A529" s="16"/>
      <c r="B529" s="16"/>
      <c r="C529" s="18"/>
      <c r="D529" s="16"/>
      <c r="E529" s="17" t="str">
        <f aca="false">IF(C529="","","Q"&amp;ROUNDUP(MONTH(C529)/3,0))</f>
        <v/>
      </c>
      <c r="F529" s="16"/>
      <c r="G529" s="16"/>
      <c r="H529" s="17" t="str">
        <f aca="false">IF(A529="","",IF(OR(B529="",C529=""),"Item ID and date needed",IF(COUNTIF(Sample_Log!$A$5:$A$204,A529)=0,"SMP-ID not in log",IF(COUNTIFS($A$5:$A$1004,A529,$B$5:$B$1004,B529)&gt;1,"Duplicate item in sample","OK"))))</f>
        <v/>
      </c>
    </row>
    <row r="530" customFormat="false" ht="15" hidden="false" customHeight="false" outlineLevel="0" collapsed="false">
      <c r="A530" s="16"/>
      <c r="B530" s="16"/>
      <c r="C530" s="18"/>
      <c r="D530" s="16"/>
      <c r="E530" s="17" t="str">
        <f aca="false">IF(C530="","","Q"&amp;ROUNDUP(MONTH(C530)/3,0))</f>
        <v/>
      </c>
      <c r="F530" s="16"/>
      <c r="G530" s="16"/>
      <c r="H530" s="17" t="str">
        <f aca="false">IF(A530="","",IF(OR(B530="",C530=""),"Item ID and date needed",IF(COUNTIF(Sample_Log!$A$5:$A$204,A530)=0,"SMP-ID not in log",IF(COUNTIFS($A$5:$A$1004,A530,$B$5:$B$1004,B530)&gt;1,"Duplicate item in sample","OK"))))</f>
        <v/>
      </c>
    </row>
    <row r="531" customFormat="false" ht="15" hidden="false" customHeight="false" outlineLevel="0" collapsed="false">
      <c r="A531" s="16"/>
      <c r="B531" s="16"/>
      <c r="C531" s="18"/>
      <c r="D531" s="16"/>
      <c r="E531" s="17" t="str">
        <f aca="false">IF(C531="","","Q"&amp;ROUNDUP(MONTH(C531)/3,0))</f>
        <v/>
      </c>
      <c r="F531" s="16"/>
      <c r="G531" s="16"/>
      <c r="H531" s="17" t="str">
        <f aca="false">IF(A531="","",IF(OR(B531="",C531=""),"Item ID and date needed",IF(COUNTIF(Sample_Log!$A$5:$A$204,A531)=0,"SMP-ID not in log",IF(COUNTIFS($A$5:$A$1004,A531,$B$5:$B$1004,B531)&gt;1,"Duplicate item in sample","OK"))))</f>
        <v/>
      </c>
    </row>
    <row r="532" customFormat="false" ht="15" hidden="false" customHeight="false" outlineLevel="0" collapsed="false">
      <c r="A532" s="16"/>
      <c r="B532" s="16"/>
      <c r="C532" s="18"/>
      <c r="D532" s="16"/>
      <c r="E532" s="17" t="str">
        <f aca="false">IF(C532="","","Q"&amp;ROUNDUP(MONTH(C532)/3,0))</f>
        <v/>
      </c>
      <c r="F532" s="16"/>
      <c r="G532" s="16"/>
      <c r="H532" s="17" t="str">
        <f aca="false">IF(A532="","",IF(OR(B532="",C532=""),"Item ID and date needed",IF(COUNTIF(Sample_Log!$A$5:$A$204,A532)=0,"SMP-ID not in log",IF(COUNTIFS($A$5:$A$1004,A532,$B$5:$B$1004,B532)&gt;1,"Duplicate item in sample","OK"))))</f>
        <v/>
      </c>
    </row>
    <row r="533" customFormat="false" ht="15" hidden="false" customHeight="false" outlineLevel="0" collapsed="false">
      <c r="A533" s="16"/>
      <c r="B533" s="16"/>
      <c r="C533" s="18"/>
      <c r="D533" s="16"/>
      <c r="E533" s="17" t="str">
        <f aca="false">IF(C533="","","Q"&amp;ROUNDUP(MONTH(C533)/3,0))</f>
        <v/>
      </c>
      <c r="F533" s="16"/>
      <c r="G533" s="16"/>
      <c r="H533" s="17" t="str">
        <f aca="false">IF(A533="","",IF(OR(B533="",C533=""),"Item ID and date needed",IF(COUNTIF(Sample_Log!$A$5:$A$204,A533)=0,"SMP-ID not in log",IF(COUNTIFS($A$5:$A$1004,A533,$B$5:$B$1004,B533)&gt;1,"Duplicate item in sample","OK"))))</f>
        <v/>
      </c>
    </row>
    <row r="534" customFormat="false" ht="15" hidden="false" customHeight="false" outlineLevel="0" collapsed="false">
      <c r="A534" s="16"/>
      <c r="B534" s="16"/>
      <c r="C534" s="18"/>
      <c r="D534" s="16"/>
      <c r="E534" s="17" t="str">
        <f aca="false">IF(C534="","","Q"&amp;ROUNDUP(MONTH(C534)/3,0))</f>
        <v/>
      </c>
      <c r="F534" s="16"/>
      <c r="G534" s="16"/>
      <c r="H534" s="17" t="str">
        <f aca="false">IF(A534="","",IF(OR(B534="",C534=""),"Item ID and date needed",IF(COUNTIF(Sample_Log!$A$5:$A$204,A534)=0,"SMP-ID not in log",IF(COUNTIFS($A$5:$A$1004,A534,$B$5:$B$1004,B534)&gt;1,"Duplicate item in sample","OK"))))</f>
        <v/>
      </c>
    </row>
    <row r="535" customFormat="false" ht="15" hidden="false" customHeight="false" outlineLevel="0" collapsed="false">
      <c r="A535" s="16"/>
      <c r="B535" s="16"/>
      <c r="C535" s="18"/>
      <c r="D535" s="16"/>
      <c r="E535" s="17" t="str">
        <f aca="false">IF(C535="","","Q"&amp;ROUNDUP(MONTH(C535)/3,0))</f>
        <v/>
      </c>
      <c r="F535" s="16"/>
      <c r="G535" s="16"/>
      <c r="H535" s="17" t="str">
        <f aca="false">IF(A535="","",IF(OR(B535="",C535=""),"Item ID and date needed",IF(COUNTIF(Sample_Log!$A$5:$A$204,A535)=0,"SMP-ID not in log",IF(COUNTIFS($A$5:$A$1004,A535,$B$5:$B$1004,B535)&gt;1,"Duplicate item in sample","OK"))))</f>
        <v/>
      </c>
    </row>
    <row r="536" customFormat="false" ht="15" hidden="false" customHeight="false" outlineLevel="0" collapsed="false">
      <c r="A536" s="16"/>
      <c r="B536" s="16"/>
      <c r="C536" s="18"/>
      <c r="D536" s="16"/>
      <c r="E536" s="17" t="str">
        <f aca="false">IF(C536="","","Q"&amp;ROUNDUP(MONTH(C536)/3,0))</f>
        <v/>
      </c>
      <c r="F536" s="16"/>
      <c r="G536" s="16"/>
      <c r="H536" s="17" t="str">
        <f aca="false">IF(A536="","",IF(OR(B536="",C536=""),"Item ID and date needed",IF(COUNTIF(Sample_Log!$A$5:$A$204,A536)=0,"SMP-ID not in log",IF(COUNTIFS($A$5:$A$1004,A536,$B$5:$B$1004,B536)&gt;1,"Duplicate item in sample","OK"))))</f>
        <v/>
      </c>
    </row>
    <row r="537" customFormat="false" ht="15" hidden="false" customHeight="false" outlineLevel="0" collapsed="false">
      <c r="A537" s="16"/>
      <c r="B537" s="16"/>
      <c r="C537" s="18"/>
      <c r="D537" s="16"/>
      <c r="E537" s="17" t="str">
        <f aca="false">IF(C537="","","Q"&amp;ROUNDUP(MONTH(C537)/3,0))</f>
        <v/>
      </c>
      <c r="F537" s="16"/>
      <c r="G537" s="16"/>
      <c r="H537" s="17" t="str">
        <f aca="false">IF(A537="","",IF(OR(B537="",C537=""),"Item ID and date needed",IF(COUNTIF(Sample_Log!$A$5:$A$204,A537)=0,"SMP-ID not in log",IF(COUNTIFS($A$5:$A$1004,A537,$B$5:$B$1004,B537)&gt;1,"Duplicate item in sample","OK"))))</f>
        <v/>
      </c>
    </row>
    <row r="538" customFormat="false" ht="15" hidden="false" customHeight="false" outlineLevel="0" collapsed="false">
      <c r="A538" s="16"/>
      <c r="B538" s="16"/>
      <c r="C538" s="18"/>
      <c r="D538" s="16"/>
      <c r="E538" s="17" t="str">
        <f aca="false">IF(C538="","","Q"&amp;ROUNDUP(MONTH(C538)/3,0))</f>
        <v/>
      </c>
      <c r="F538" s="16"/>
      <c r="G538" s="16"/>
      <c r="H538" s="17" t="str">
        <f aca="false">IF(A538="","",IF(OR(B538="",C538=""),"Item ID and date needed",IF(COUNTIF(Sample_Log!$A$5:$A$204,A538)=0,"SMP-ID not in log",IF(COUNTIFS($A$5:$A$1004,A538,$B$5:$B$1004,B538)&gt;1,"Duplicate item in sample","OK"))))</f>
        <v/>
      </c>
    </row>
    <row r="539" customFormat="false" ht="15" hidden="false" customHeight="false" outlineLevel="0" collapsed="false">
      <c r="A539" s="16"/>
      <c r="B539" s="16"/>
      <c r="C539" s="18"/>
      <c r="D539" s="16"/>
      <c r="E539" s="17" t="str">
        <f aca="false">IF(C539="","","Q"&amp;ROUNDUP(MONTH(C539)/3,0))</f>
        <v/>
      </c>
      <c r="F539" s="16"/>
      <c r="G539" s="16"/>
      <c r="H539" s="17" t="str">
        <f aca="false">IF(A539="","",IF(OR(B539="",C539=""),"Item ID and date needed",IF(COUNTIF(Sample_Log!$A$5:$A$204,A539)=0,"SMP-ID not in log",IF(COUNTIFS($A$5:$A$1004,A539,$B$5:$B$1004,B539)&gt;1,"Duplicate item in sample","OK"))))</f>
        <v/>
      </c>
    </row>
    <row r="540" customFormat="false" ht="15" hidden="false" customHeight="false" outlineLevel="0" collapsed="false">
      <c r="A540" s="16"/>
      <c r="B540" s="16"/>
      <c r="C540" s="18"/>
      <c r="D540" s="16"/>
      <c r="E540" s="17" t="str">
        <f aca="false">IF(C540="","","Q"&amp;ROUNDUP(MONTH(C540)/3,0))</f>
        <v/>
      </c>
      <c r="F540" s="16"/>
      <c r="G540" s="16"/>
      <c r="H540" s="17" t="str">
        <f aca="false">IF(A540="","",IF(OR(B540="",C540=""),"Item ID and date needed",IF(COUNTIF(Sample_Log!$A$5:$A$204,A540)=0,"SMP-ID not in log",IF(COUNTIFS($A$5:$A$1004,A540,$B$5:$B$1004,B540)&gt;1,"Duplicate item in sample","OK"))))</f>
        <v/>
      </c>
    </row>
    <row r="541" customFormat="false" ht="15" hidden="false" customHeight="false" outlineLevel="0" collapsed="false">
      <c r="A541" s="16"/>
      <c r="B541" s="16"/>
      <c r="C541" s="18"/>
      <c r="D541" s="16"/>
      <c r="E541" s="17" t="str">
        <f aca="false">IF(C541="","","Q"&amp;ROUNDUP(MONTH(C541)/3,0))</f>
        <v/>
      </c>
      <c r="F541" s="16"/>
      <c r="G541" s="16"/>
      <c r="H541" s="17" t="str">
        <f aca="false">IF(A541="","",IF(OR(B541="",C541=""),"Item ID and date needed",IF(COUNTIF(Sample_Log!$A$5:$A$204,A541)=0,"SMP-ID not in log",IF(COUNTIFS($A$5:$A$1004,A541,$B$5:$B$1004,B541)&gt;1,"Duplicate item in sample","OK"))))</f>
        <v/>
      </c>
    </row>
    <row r="542" customFormat="false" ht="15" hidden="false" customHeight="false" outlineLevel="0" collapsed="false">
      <c r="A542" s="16"/>
      <c r="B542" s="16"/>
      <c r="C542" s="18"/>
      <c r="D542" s="16"/>
      <c r="E542" s="17" t="str">
        <f aca="false">IF(C542="","","Q"&amp;ROUNDUP(MONTH(C542)/3,0))</f>
        <v/>
      </c>
      <c r="F542" s="16"/>
      <c r="G542" s="16"/>
      <c r="H542" s="17" t="str">
        <f aca="false">IF(A542="","",IF(OR(B542="",C542=""),"Item ID and date needed",IF(COUNTIF(Sample_Log!$A$5:$A$204,A542)=0,"SMP-ID not in log",IF(COUNTIFS($A$5:$A$1004,A542,$B$5:$B$1004,B542)&gt;1,"Duplicate item in sample","OK"))))</f>
        <v/>
      </c>
    </row>
    <row r="543" customFormat="false" ht="15" hidden="false" customHeight="false" outlineLevel="0" collapsed="false">
      <c r="A543" s="16"/>
      <c r="B543" s="16"/>
      <c r="C543" s="18"/>
      <c r="D543" s="16"/>
      <c r="E543" s="17" t="str">
        <f aca="false">IF(C543="","","Q"&amp;ROUNDUP(MONTH(C543)/3,0))</f>
        <v/>
      </c>
      <c r="F543" s="16"/>
      <c r="G543" s="16"/>
      <c r="H543" s="17" t="str">
        <f aca="false">IF(A543="","",IF(OR(B543="",C543=""),"Item ID and date needed",IF(COUNTIF(Sample_Log!$A$5:$A$204,A543)=0,"SMP-ID not in log",IF(COUNTIFS($A$5:$A$1004,A543,$B$5:$B$1004,B543)&gt;1,"Duplicate item in sample","OK"))))</f>
        <v/>
      </c>
    </row>
    <row r="544" customFormat="false" ht="15" hidden="false" customHeight="false" outlineLevel="0" collapsed="false">
      <c r="A544" s="16"/>
      <c r="B544" s="16"/>
      <c r="C544" s="18"/>
      <c r="D544" s="16"/>
      <c r="E544" s="17" t="str">
        <f aca="false">IF(C544="","","Q"&amp;ROUNDUP(MONTH(C544)/3,0))</f>
        <v/>
      </c>
      <c r="F544" s="16"/>
      <c r="G544" s="16"/>
      <c r="H544" s="17" t="str">
        <f aca="false">IF(A544="","",IF(OR(B544="",C544=""),"Item ID and date needed",IF(COUNTIF(Sample_Log!$A$5:$A$204,A544)=0,"SMP-ID not in log",IF(COUNTIFS($A$5:$A$1004,A544,$B$5:$B$1004,B544)&gt;1,"Duplicate item in sample","OK"))))</f>
        <v/>
      </c>
    </row>
    <row r="545" customFormat="false" ht="15" hidden="false" customHeight="false" outlineLevel="0" collapsed="false">
      <c r="A545" s="16"/>
      <c r="B545" s="16"/>
      <c r="C545" s="18"/>
      <c r="D545" s="16"/>
      <c r="E545" s="17" t="str">
        <f aca="false">IF(C545="","","Q"&amp;ROUNDUP(MONTH(C545)/3,0))</f>
        <v/>
      </c>
      <c r="F545" s="16"/>
      <c r="G545" s="16"/>
      <c r="H545" s="17" t="str">
        <f aca="false">IF(A545="","",IF(OR(B545="",C545=""),"Item ID and date needed",IF(COUNTIF(Sample_Log!$A$5:$A$204,A545)=0,"SMP-ID not in log",IF(COUNTIFS($A$5:$A$1004,A545,$B$5:$B$1004,B545)&gt;1,"Duplicate item in sample","OK"))))</f>
        <v/>
      </c>
    </row>
    <row r="546" customFormat="false" ht="15" hidden="false" customHeight="false" outlineLevel="0" collapsed="false">
      <c r="A546" s="16"/>
      <c r="B546" s="16"/>
      <c r="C546" s="18"/>
      <c r="D546" s="16"/>
      <c r="E546" s="17" t="str">
        <f aca="false">IF(C546="","","Q"&amp;ROUNDUP(MONTH(C546)/3,0))</f>
        <v/>
      </c>
      <c r="F546" s="16"/>
      <c r="G546" s="16"/>
      <c r="H546" s="17" t="str">
        <f aca="false">IF(A546="","",IF(OR(B546="",C546=""),"Item ID and date needed",IF(COUNTIF(Sample_Log!$A$5:$A$204,A546)=0,"SMP-ID not in log",IF(COUNTIFS($A$5:$A$1004,A546,$B$5:$B$1004,B546)&gt;1,"Duplicate item in sample","OK"))))</f>
        <v/>
      </c>
    </row>
    <row r="547" customFormat="false" ht="15" hidden="false" customHeight="false" outlineLevel="0" collapsed="false">
      <c r="A547" s="16"/>
      <c r="B547" s="16"/>
      <c r="C547" s="18"/>
      <c r="D547" s="16"/>
      <c r="E547" s="17" t="str">
        <f aca="false">IF(C547="","","Q"&amp;ROUNDUP(MONTH(C547)/3,0))</f>
        <v/>
      </c>
      <c r="F547" s="16"/>
      <c r="G547" s="16"/>
      <c r="H547" s="17" t="str">
        <f aca="false">IF(A547="","",IF(OR(B547="",C547=""),"Item ID and date needed",IF(COUNTIF(Sample_Log!$A$5:$A$204,A547)=0,"SMP-ID not in log",IF(COUNTIFS($A$5:$A$1004,A547,$B$5:$B$1004,B547)&gt;1,"Duplicate item in sample","OK"))))</f>
        <v/>
      </c>
    </row>
    <row r="548" customFormat="false" ht="15" hidden="false" customHeight="false" outlineLevel="0" collapsed="false">
      <c r="A548" s="16"/>
      <c r="B548" s="16"/>
      <c r="C548" s="18"/>
      <c r="D548" s="16"/>
      <c r="E548" s="17" t="str">
        <f aca="false">IF(C548="","","Q"&amp;ROUNDUP(MONTH(C548)/3,0))</f>
        <v/>
      </c>
      <c r="F548" s="16"/>
      <c r="G548" s="16"/>
      <c r="H548" s="17" t="str">
        <f aca="false">IF(A548="","",IF(OR(B548="",C548=""),"Item ID and date needed",IF(COUNTIF(Sample_Log!$A$5:$A$204,A548)=0,"SMP-ID not in log",IF(COUNTIFS($A$5:$A$1004,A548,$B$5:$B$1004,B548)&gt;1,"Duplicate item in sample","OK"))))</f>
        <v/>
      </c>
    </row>
    <row r="549" customFormat="false" ht="15" hidden="false" customHeight="false" outlineLevel="0" collapsed="false">
      <c r="A549" s="16"/>
      <c r="B549" s="16"/>
      <c r="C549" s="18"/>
      <c r="D549" s="16"/>
      <c r="E549" s="17" t="str">
        <f aca="false">IF(C549="","","Q"&amp;ROUNDUP(MONTH(C549)/3,0))</f>
        <v/>
      </c>
      <c r="F549" s="16"/>
      <c r="G549" s="16"/>
      <c r="H549" s="17" t="str">
        <f aca="false">IF(A549="","",IF(OR(B549="",C549=""),"Item ID and date needed",IF(COUNTIF(Sample_Log!$A$5:$A$204,A549)=0,"SMP-ID not in log",IF(COUNTIFS($A$5:$A$1004,A549,$B$5:$B$1004,B549)&gt;1,"Duplicate item in sample","OK"))))</f>
        <v/>
      </c>
    </row>
    <row r="550" customFormat="false" ht="15" hidden="false" customHeight="false" outlineLevel="0" collapsed="false">
      <c r="A550" s="16"/>
      <c r="B550" s="16"/>
      <c r="C550" s="18"/>
      <c r="D550" s="16"/>
      <c r="E550" s="17" t="str">
        <f aca="false">IF(C550="","","Q"&amp;ROUNDUP(MONTH(C550)/3,0))</f>
        <v/>
      </c>
      <c r="F550" s="16"/>
      <c r="G550" s="16"/>
      <c r="H550" s="17" t="str">
        <f aca="false">IF(A550="","",IF(OR(B550="",C550=""),"Item ID and date needed",IF(COUNTIF(Sample_Log!$A$5:$A$204,A550)=0,"SMP-ID not in log",IF(COUNTIFS($A$5:$A$1004,A550,$B$5:$B$1004,B550)&gt;1,"Duplicate item in sample","OK"))))</f>
        <v/>
      </c>
    </row>
    <row r="551" customFormat="false" ht="15" hidden="false" customHeight="false" outlineLevel="0" collapsed="false">
      <c r="A551" s="16"/>
      <c r="B551" s="16"/>
      <c r="C551" s="18"/>
      <c r="D551" s="16"/>
      <c r="E551" s="17" t="str">
        <f aca="false">IF(C551="","","Q"&amp;ROUNDUP(MONTH(C551)/3,0))</f>
        <v/>
      </c>
      <c r="F551" s="16"/>
      <c r="G551" s="16"/>
      <c r="H551" s="17" t="str">
        <f aca="false">IF(A551="","",IF(OR(B551="",C551=""),"Item ID and date needed",IF(COUNTIF(Sample_Log!$A$5:$A$204,A551)=0,"SMP-ID not in log",IF(COUNTIFS($A$5:$A$1004,A551,$B$5:$B$1004,B551)&gt;1,"Duplicate item in sample","OK"))))</f>
        <v/>
      </c>
    </row>
    <row r="552" customFormat="false" ht="15" hidden="false" customHeight="false" outlineLevel="0" collapsed="false">
      <c r="A552" s="16"/>
      <c r="B552" s="16"/>
      <c r="C552" s="18"/>
      <c r="D552" s="16"/>
      <c r="E552" s="17" t="str">
        <f aca="false">IF(C552="","","Q"&amp;ROUNDUP(MONTH(C552)/3,0))</f>
        <v/>
      </c>
      <c r="F552" s="16"/>
      <c r="G552" s="16"/>
      <c r="H552" s="17" t="str">
        <f aca="false">IF(A552="","",IF(OR(B552="",C552=""),"Item ID and date needed",IF(COUNTIF(Sample_Log!$A$5:$A$204,A552)=0,"SMP-ID not in log",IF(COUNTIFS($A$5:$A$1004,A552,$B$5:$B$1004,B552)&gt;1,"Duplicate item in sample","OK"))))</f>
        <v/>
      </c>
    </row>
    <row r="553" customFormat="false" ht="15" hidden="false" customHeight="false" outlineLevel="0" collapsed="false">
      <c r="A553" s="16"/>
      <c r="B553" s="16"/>
      <c r="C553" s="18"/>
      <c r="D553" s="16"/>
      <c r="E553" s="17" t="str">
        <f aca="false">IF(C553="","","Q"&amp;ROUNDUP(MONTH(C553)/3,0))</f>
        <v/>
      </c>
      <c r="F553" s="16"/>
      <c r="G553" s="16"/>
      <c r="H553" s="17" t="str">
        <f aca="false">IF(A553="","",IF(OR(B553="",C553=""),"Item ID and date needed",IF(COUNTIF(Sample_Log!$A$5:$A$204,A553)=0,"SMP-ID not in log",IF(COUNTIFS($A$5:$A$1004,A553,$B$5:$B$1004,B553)&gt;1,"Duplicate item in sample","OK"))))</f>
        <v/>
      </c>
    </row>
    <row r="554" customFormat="false" ht="15" hidden="false" customHeight="false" outlineLevel="0" collapsed="false">
      <c r="A554" s="16"/>
      <c r="B554" s="16"/>
      <c r="C554" s="18"/>
      <c r="D554" s="16"/>
      <c r="E554" s="17" t="str">
        <f aca="false">IF(C554="","","Q"&amp;ROUNDUP(MONTH(C554)/3,0))</f>
        <v/>
      </c>
      <c r="F554" s="16"/>
      <c r="G554" s="16"/>
      <c r="H554" s="17" t="str">
        <f aca="false">IF(A554="","",IF(OR(B554="",C554=""),"Item ID and date needed",IF(COUNTIF(Sample_Log!$A$5:$A$204,A554)=0,"SMP-ID not in log",IF(COUNTIFS($A$5:$A$1004,A554,$B$5:$B$1004,B554)&gt;1,"Duplicate item in sample","OK"))))</f>
        <v/>
      </c>
    </row>
    <row r="555" customFormat="false" ht="15" hidden="false" customHeight="false" outlineLevel="0" collapsed="false">
      <c r="A555" s="16"/>
      <c r="B555" s="16"/>
      <c r="C555" s="18"/>
      <c r="D555" s="16"/>
      <c r="E555" s="17" t="str">
        <f aca="false">IF(C555="","","Q"&amp;ROUNDUP(MONTH(C555)/3,0))</f>
        <v/>
      </c>
      <c r="F555" s="16"/>
      <c r="G555" s="16"/>
      <c r="H555" s="17" t="str">
        <f aca="false">IF(A555="","",IF(OR(B555="",C555=""),"Item ID and date needed",IF(COUNTIF(Sample_Log!$A$5:$A$204,A555)=0,"SMP-ID not in log",IF(COUNTIFS($A$5:$A$1004,A555,$B$5:$B$1004,B555)&gt;1,"Duplicate item in sample","OK"))))</f>
        <v/>
      </c>
    </row>
    <row r="556" customFormat="false" ht="15" hidden="false" customHeight="false" outlineLevel="0" collapsed="false">
      <c r="A556" s="16"/>
      <c r="B556" s="16"/>
      <c r="C556" s="18"/>
      <c r="D556" s="16"/>
      <c r="E556" s="17" t="str">
        <f aca="false">IF(C556="","","Q"&amp;ROUNDUP(MONTH(C556)/3,0))</f>
        <v/>
      </c>
      <c r="F556" s="16"/>
      <c r="G556" s="16"/>
      <c r="H556" s="17" t="str">
        <f aca="false">IF(A556="","",IF(OR(B556="",C556=""),"Item ID and date needed",IF(COUNTIF(Sample_Log!$A$5:$A$204,A556)=0,"SMP-ID not in log",IF(COUNTIFS($A$5:$A$1004,A556,$B$5:$B$1004,B556)&gt;1,"Duplicate item in sample","OK"))))</f>
        <v/>
      </c>
    </row>
    <row r="557" customFormat="false" ht="15" hidden="false" customHeight="false" outlineLevel="0" collapsed="false">
      <c r="A557" s="16"/>
      <c r="B557" s="16"/>
      <c r="C557" s="18"/>
      <c r="D557" s="16"/>
      <c r="E557" s="17" t="str">
        <f aca="false">IF(C557="","","Q"&amp;ROUNDUP(MONTH(C557)/3,0))</f>
        <v/>
      </c>
      <c r="F557" s="16"/>
      <c r="G557" s="16"/>
      <c r="H557" s="17" t="str">
        <f aca="false">IF(A557="","",IF(OR(B557="",C557=""),"Item ID and date needed",IF(COUNTIF(Sample_Log!$A$5:$A$204,A557)=0,"SMP-ID not in log",IF(COUNTIFS($A$5:$A$1004,A557,$B$5:$B$1004,B557)&gt;1,"Duplicate item in sample","OK"))))</f>
        <v/>
      </c>
    </row>
    <row r="558" customFormat="false" ht="15" hidden="false" customHeight="false" outlineLevel="0" collapsed="false">
      <c r="A558" s="16"/>
      <c r="B558" s="16"/>
      <c r="C558" s="18"/>
      <c r="D558" s="16"/>
      <c r="E558" s="17" t="str">
        <f aca="false">IF(C558="","","Q"&amp;ROUNDUP(MONTH(C558)/3,0))</f>
        <v/>
      </c>
      <c r="F558" s="16"/>
      <c r="G558" s="16"/>
      <c r="H558" s="17" t="str">
        <f aca="false">IF(A558="","",IF(OR(B558="",C558=""),"Item ID and date needed",IF(COUNTIF(Sample_Log!$A$5:$A$204,A558)=0,"SMP-ID not in log",IF(COUNTIFS($A$5:$A$1004,A558,$B$5:$B$1004,B558)&gt;1,"Duplicate item in sample","OK"))))</f>
        <v/>
      </c>
    </row>
    <row r="559" customFormat="false" ht="15" hidden="false" customHeight="false" outlineLevel="0" collapsed="false">
      <c r="A559" s="16"/>
      <c r="B559" s="16"/>
      <c r="C559" s="18"/>
      <c r="D559" s="16"/>
      <c r="E559" s="17" t="str">
        <f aca="false">IF(C559="","","Q"&amp;ROUNDUP(MONTH(C559)/3,0))</f>
        <v/>
      </c>
      <c r="F559" s="16"/>
      <c r="G559" s="16"/>
      <c r="H559" s="17" t="str">
        <f aca="false">IF(A559="","",IF(OR(B559="",C559=""),"Item ID and date needed",IF(COUNTIF(Sample_Log!$A$5:$A$204,A559)=0,"SMP-ID not in log",IF(COUNTIFS($A$5:$A$1004,A559,$B$5:$B$1004,B559)&gt;1,"Duplicate item in sample","OK"))))</f>
        <v/>
      </c>
    </row>
    <row r="560" customFormat="false" ht="15" hidden="false" customHeight="false" outlineLevel="0" collapsed="false">
      <c r="A560" s="16"/>
      <c r="B560" s="16"/>
      <c r="C560" s="18"/>
      <c r="D560" s="16"/>
      <c r="E560" s="17" t="str">
        <f aca="false">IF(C560="","","Q"&amp;ROUNDUP(MONTH(C560)/3,0))</f>
        <v/>
      </c>
      <c r="F560" s="16"/>
      <c r="G560" s="16"/>
      <c r="H560" s="17" t="str">
        <f aca="false">IF(A560="","",IF(OR(B560="",C560=""),"Item ID and date needed",IF(COUNTIF(Sample_Log!$A$5:$A$204,A560)=0,"SMP-ID not in log",IF(COUNTIFS($A$5:$A$1004,A560,$B$5:$B$1004,B560)&gt;1,"Duplicate item in sample","OK"))))</f>
        <v/>
      </c>
    </row>
    <row r="561" customFormat="false" ht="15" hidden="false" customHeight="false" outlineLevel="0" collapsed="false">
      <c r="A561" s="16"/>
      <c r="B561" s="16"/>
      <c r="C561" s="18"/>
      <c r="D561" s="16"/>
      <c r="E561" s="17" t="str">
        <f aca="false">IF(C561="","","Q"&amp;ROUNDUP(MONTH(C561)/3,0))</f>
        <v/>
      </c>
      <c r="F561" s="16"/>
      <c r="G561" s="16"/>
      <c r="H561" s="17" t="str">
        <f aca="false">IF(A561="","",IF(OR(B561="",C561=""),"Item ID and date needed",IF(COUNTIF(Sample_Log!$A$5:$A$204,A561)=0,"SMP-ID not in log",IF(COUNTIFS($A$5:$A$1004,A561,$B$5:$B$1004,B561)&gt;1,"Duplicate item in sample","OK"))))</f>
        <v/>
      </c>
    </row>
    <row r="562" customFormat="false" ht="15" hidden="false" customHeight="false" outlineLevel="0" collapsed="false">
      <c r="A562" s="16"/>
      <c r="B562" s="16"/>
      <c r="C562" s="18"/>
      <c r="D562" s="16"/>
      <c r="E562" s="17" t="str">
        <f aca="false">IF(C562="","","Q"&amp;ROUNDUP(MONTH(C562)/3,0))</f>
        <v/>
      </c>
      <c r="F562" s="16"/>
      <c r="G562" s="16"/>
      <c r="H562" s="17" t="str">
        <f aca="false">IF(A562="","",IF(OR(B562="",C562=""),"Item ID and date needed",IF(COUNTIF(Sample_Log!$A$5:$A$204,A562)=0,"SMP-ID not in log",IF(COUNTIFS($A$5:$A$1004,A562,$B$5:$B$1004,B562)&gt;1,"Duplicate item in sample","OK"))))</f>
        <v/>
      </c>
    </row>
    <row r="563" customFormat="false" ht="15" hidden="false" customHeight="false" outlineLevel="0" collapsed="false">
      <c r="A563" s="16"/>
      <c r="B563" s="16"/>
      <c r="C563" s="18"/>
      <c r="D563" s="16"/>
      <c r="E563" s="17" t="str">
        <f aca="false">IF(C563="","","Q"&amp;ROUNDUP(MONTH(C563)/3,0))</f>
        <v/>
      </c>
      <c r="F563" s="16"/>
      <c r="G563" s="16"/>
      <c r="H563" s="17" t="str">
        <f aca="false">IF(A563="","",IF(OR(B563="",C563=""),"Item ID and date needed",IF(COUNTIF(Sample_Log!$A$5:$A$204,A563)=0,"SMP-ID not in log",IF(COUNTIFS($A$5:$A$1004,A563,$B$5:$B$1004,B563)&gt;1,"Duplicate item in sample","OK"))))</f>
        <v/>
      </c>
    </row>
    <row r="564" customFormat="false" ht="15" hidden="false" customHeight="false" outlineLevel="0" collapsed="false">
      <c r="A564" s="16"/>
      <c r="B564" s="16"/>
      <c r="C564" s="18"/>
      <c r="D564" s="16"/>
      <c r="E564" s="17" t="str">
        <f aca="false">IF(C564="","","Q"&amp;ROUNDUP(MONTH(C564)/3,0))</f>
        <v/>
      </c>
      <c r="F564" s="16"/>
      <c r="G564" s="16"/>
      <c r="H564" s="17" t="str">
        <f aca="false">IF(A564="","",IF(OR(B564="",C564=""),"Item ID and date needed",IF(COUNTIF(Sample_Log!$A$5:$A$204,A564)=0,"SMP-ID not in log",IF(COUNTIFS($A$5:$A$1004,A564,$B$5:$B$1004,B564)&gt;1,"Duplicate item in sample","OK"))))</f>
        <v/>
      </c>
    </row>
    <row r="565" customFormat="false" ht="15" hidden="false" customHeight="false" outlineLevel="0" collapsed="false">
      <c r="A565" s="16"/>
      <c r="B565" s="16"/>
      <c r="C565" s="18"/>
      <c r="D565" s="16"/>
      <c r="E565" s="17" t="str">
        <f aca="false">IF(C565="","","Q"&amp;ROUNDUP(MONTH(C565)/3,0))</f>
        <v/>
      </c>
      <c r="F565" s="16"/>
      <c r="G565" s="16"/>
      <c r="H565" s="17" t="str">
        <f aca="false">IF(A565="","",IF(OR(B565="",C565=""),"Item ID and date needed",IF(COUNTIF(Sample_Log!$A$5:$A$204,A565)=0,"SMP-ID not in log",IF(COUNTIFS($A$5:$A$1004,A565,$B$5:$B$1004,B565)&gt;1,"Duplicate item in sample","OK"))))</f>
        <v/>
      </c>
    </row>
    <row r="566" customFormat="false" ht="15" hidden="false" customHeight="false" outlineLevel="0" collapsed="false">
      <c r="A566" s="16"/>
      <c r="B566" s="16"/>
      <c r="C566" s="18"/>
      <c r="D566" s="16"/>
      <c r="E566" s="17" t="str">
        <f aca="false">IF(C566="","","Q"&amp;ROUNDUP(MONTH(C566)/3,0))</f>
        <v/>
      </c>
      <c r="F566" s="16"/>
      <c r="G566" s="16"/>
      <c r="H566" s="17" t="str">
        <f aca="false">IF(A566="","",IF(OR(B566="",C566=""),"Item ID and date needed",IF(COUNTIF(Sample_Log!$A$5:$A$204,A566)=0,"SMP-ID not in log",IF(COUNTIFS($A$5:$A$1004,A566,$B$5:$B$1004,B566)&gt;1,"Duplicate item in sample","OK"))))</f>
        <v/>
      </c>
    </row>
    <row r="567" customFormat="false" ht="15" hidden="false" customHeight="false" outlineLevel="0" collapsed="false">
      <c r="A567" s="16"/>
      <c r="B567" s="16"/>
      <c r="C567" s="18"/>
      <c r="D567" s="16"/>
      <c r="E567" s="17" t="str">
        <f aca="false">IF(C567="","","Q"&amp;ROUNDUP(MONTH(C567)/3,0))</f>
        <v/>
      </c>
      <c r="F567" s="16"/>
      <c r="G567" s="16"/>
      <c r="H567" s="17" t="str">
        <f aca="false">IF(A567="","",IF(OR(B567="",C567=""),"Item ID and date needed",IF(COUNTIF(Sample_Log!$A$5:$A$204,A567)=0,"SMP-ID not in log",IF(COUNTIFS($A$5:$A$1004,A567,$B$5:$B$1004,B567)&gt;1,"Duplicate item in sample","OK"))))</f>
        <v/>
      </c>
    </row>
    <row r="568" customFormat="false" ht="15" hidden="false" customHeight="false" outlineLevel="0" collapsed="false">
      <c r="A568" s="16"/>
      <c r="B568" s="16"/>
      <c r="C568" s="18"/>
      <c r="D568" s="16"/>
      <c r="E568" s="17" t="str">
        <f aca="false">IF(C568="","","Q"&amp;ROUNDUP(MONTH(C568)/3,0))</f>
        <v/>
      </c>
      <c r="F568" s="16"/>
      <c r="G568" s="16"/>
      <c r="H568" s="17" t="str">
        <f aca="false">IF(A568="","",IF(OR(B568="",C568=""),"Item ID and date needed",IF(COUNTIF(Sample_Log!$A$5:$A$204,A568)=0,"SMP-ID not in log",IF(COUNTIFS($A$5:$A$1004,A568,$B$5:$B$1004,B568)&gt;1,"Duplicate item in sample","OK"))))</f>
        <v/>
      </c>
    </row>
    <row r="569" customFormat="false" ht="15" hidden="false" customHeight="false" outlineLevel="0" collapsed="false">
      <c r="A569" s="16"/>
      <c r="B569" s="16"/>
      <c r="C569" s="18"/>
      <c r="D569" s="16"/>
      <c r="E569" s="17" t="str">
        <f aca="false">IF(C569="","","Q"&amp;ROUNDUP(MONTH(C569)/3,0))</f>
        <v/>
      </c>
      <c r="F569" s="16"/>
      <c r="G569" s="16"/>
      <c r="H569" s="17" t="str">
        <f aca="false">IF(A569="","",IF(OR(B569="",C569=""),"Item ID and date needed",IF(COUNTIF(Sample_Log!$A$5:$A$204,A569)=0,"SMP-ID not in log",IF(COUNTIFS($A$5:$A$1004,A569,$B$5:$B$1004,B569)&gt;1,"Duplicate item in sample","OK"))))</f>
        <v/>
      </c>
    </row>
    <row r="570" customFormat="false" ht="15" hidden="false" customHeight="false" outlineLevel="0" collapsed="false">
      <c r="A570" s="16"/>
      <c r="B570" s="16"/>
      <c r="C570" s="18"/>
      <c r="D570" s="16"/>
      <c r="E570" s="17" t="str">
        <f aca="false">IF(C570="","","Q"&amp;ROUNDUP(MONTH(C570)/3,0))</f>
        <v/>
      </c>
      <c r="F570" s="16"/>
      <c r="G570" s="16"/>
      <c r="H570" s="17" t="str">
        <f aca="false">IF(A570="","",IF(OR(B570="",C570=""),"Item ID and date needed",IF(COUNTIF(Sample_Log!$A$5:$A$204,A570)=0,"SMP-ID not in log",IF(COUNTIFS($A$5:$A$1004,A570,$B$5:$B$1004,B570)&gt;1,"Duplicate item in sample","OK"))))</f>
        <v/>
      </c>
    </row>
    <row r="571" customFormat="false" ht="15" hidden="false" customHeight="false" outlineLevel="0" collapsed="false">
      <c r="A571" s="16"/>
      <c r="B571" s="16"/>
      <c r="C571" s="18"/>
      <c r="D571" s="16"/>
      <c r="E571" s="17" t="str">
        <f aca="false">IF(C571="","","Q"&amp;ROUNDUP(MONTH(C571)/3,0))</f>
        <v/>
      </c>
      <c r="F571" s="16"/>
      <c r="G571" s="16"/>
      <c r="H571" s="17" t="str">
        <f aca="false">IF(A571="","",IF(OR(B571="",C571=""),"Item ID and date needed",IF(COUNTIF(Sample_Log!$A$5:$A$204,A571)=0,"SMP-ID not in log",IF(COUNTIFS($A$5:$A$1004,A571,$B$5:$B$1004,B571)&gt;1,"Duplicate item in sample","OK"))))</f>
        <v/>
      </c>
    </row>
    <row r="572" customFormat="false" ht="15" hidden="false" customHeight="false" outlineLevel="0" collapsed="false">
      <c r="A572" s="16"/>
      <c r="B572" s="16"/>
      <c r="C572" s="18"/>
      <c r="D572" s="16"/>
      <c r="E572" s="17" t="str">
        <f aca="false">IF(C572="","","Q"&amp;ROUNDUP(MONTH(C572)/3,0))</f>
        <v/>
      </c>
      <c r="F572" s="16"/>
      <c r="G572" s="16"/>
      <c r="H572" s="17" t="str">
        <f aca="false">IF(A572="","",IF(OR(B572="",C572=""),"Item ID and date needed",IF(COUNTIF(Sample_Log!$A$5:$A$204,A572)=0,"SMP-ID not in log",IF(COUNTIFS($A$5:$A$1004,A572,$B$5:$B$1004,B572)&gt;1,"Duplicate item in sample","OK"))))</f>
        <v/>
      </c>
    </row>
    <row r="573" customFormat="false" ht="15" hidden="false" customHeight="false" outlineLevel="0" collapsed="false">
      <c r="A573" s="16"/>
      <c r="B573" s="16"/>
      <c r="C573" s="18"/>
      <c r="D573" s="16"/>
      <c r="E573" s="17" t="str">
        <f aca="false">IF(C573="","","Q"&amp;ROUNDUP(MONTH(C573)/3,0))</f>
        <v/>
      </c>
      <c r="F573" s="16"/>
      <c r="G573" s="16"/>
      <c r="H573" s="17" t="str">
        <f aca="false">IF(A573="","",IF(OR(B573="",C573=""),"Item ID and date needed",IF(COUNTIF(Sample_Log!$A$5:$A$204,A573)=0,"SMP-ID not in log",IF(COUNTIFS($A$5:$A$1004,A573,$B$5:$B$1004,B573)&gt;1,"Duplicate item in sample","OK"))))</f>
        <v/>
      </c>
    </row>
    <row r="574" customFormat="false" ht="15" hidden="false" customHeight="false" outlineLevel="0" collapsed="false">
      <c r="A574" s="16"/>
      <c r="B574" s="16"/>
      <c r="C574" s="18"/>
      <c r="D574" s="16"/>
      <c r="E574" s="17" t="str">
        <f aca="false">IF(C574="","","Q"&amp;ROUNDUP(MONTH(C574)/3,0))</f>
        <v/>
      </c>
      <c r="F574" s="16"/>
      <c r="G574" s="16"/>
      <c r="H574" s="17" t="str">
        <f aca="false">IF(A574="","",IF(OR(B574="",C574=""),"Item ID and date needed",IF(COUNTIF(Sample_Log!$A$5:$A$204,A574)=0,"SMP-ID not in log",IF(COUNTIFS($A$5:$A$1004,A574,$B$5:$B$1004,B574)&gt;1,"Duplicate item in sample","OK"))))</f>
        <v/>
      </c>
    </row>
    <row r="575" customFormat="false" ht="15" hidden="false" customHeight="false" outlineLevel="0" collapsed="false">
      <c r="A575" s="16"/>
      <c r="B575" s="16"/>
      <c r="C575" s="18"/>
      <c r="D575" s="16"/>
      <c r="E575" s="17" t="str">
        <f aca="false">IF(C575="","","Q"&amp;ROUNDUP(MONTH(C575)/3,0))</f>
        <v/>
      </c>
      <c r="F575" s="16"/>
      <c r="G575" s="16"/>
      <c r="H575" s="17" t="str">
        <f aca="false">IF(A575="","",IF(OR(B575="",C575=""),"Item ID and date needed",IF(COUNTIF(Sample_Log!$A$5:$A$204,A575)=0,"SMP-ID not in log",IF(COUNTIFS($A$5:$A$1004,A575,$B$5:$B$1004,B575)&gt;1,"Duplicate item in sample","OK"))))</f>
        <v/>
      </c>
    </row>
    <row r="576" customFormat="false" ht="15" hidden="false" customHeight="false" outlineLevel="0" collapsed="false">
      <c r="A576" s="16"/>
      <c r="B576" s="16"/>
      <c r="C576" s="18"/>
      <c r="D576" s="16"/>
      <c r="E576" s="17" t="str">
        <f aca="false">IF(C576="","","Q"&amp;ROUNDUP(MONTH(C576)/3,0))</f>
        <v/>
      </c>
      <c r="F576" s="16"/>
      <c r="G576" s="16"/>
      <c r="H576" s="17" t="str">
        <f aca="false">IF(A576="","",IF(OR(B576="",C576=""),"Item ID and date needed",IF(COUNTIF(Sample_Log!$A$5:$A$204,A576)=0,"SMP-ID not in log",IF(COUNTIFS($A$5:$A$1004,A576,$B$5:$B$1004,B576)&gt;1,"Duplicate item in sample","OK"))))</f>
        <v/>
      </c>
    </row>
    <row r="577" customFormat="false" ht="15" hidden="false" customHeight="false" outlineLevel="0" collapsed="false">
      <c r="A577" s="16"/>
      <c r="B577" s="16"/>
      <c r="C577" s="18"/>
      <c r="D577" s="16"/>
      <c r="E577" s="17" t="str">
        <f aca="false">IF(C577="","","Q"&amp;ROUNDUP(MONTH(C577)/3,0))</f>
        <v/>
      </c>
      <c r="F577" s="16"/>
      <c r="G577" s="16"/>
      <c r="H577" s="17" t="str">
        <f aca="false">IF(A577="","",IF(OR(B577="",C577=""),"Item ID and date needed",IF(COUNTIF(Sample_Log!$A$5:$A$204,A577)=0,"SMP-ID not in log",IF(COUNTIFS($A$5:$A$1004,A577,$B$5:$B$1004,B577)&gt;1,"Duplicate item in sample","OK"))))</f>
        <v/>
      </c>
    </row>
    <row r="578" customFormat="false" ht="15" hidden="false" customHeight="false" outlineLevel="0" collapsed="false">
      <c r="A578" s="16"/>
      <c r="B578" s="16"/>
      <c r="C578" s="18"/>
      <c r="D578" s="16"/>
      <c r="E578" s="17" t="str">
        <f aca="false">IF(C578="","","Q"&amp;ROUNDUP(MONTH(C578)/3,0))</f>
        <v/>
      </c>
      <c r="F578" s="16"/>
      <c r="G578" s="16"/>
      <c r="H578" s="17" t="str">
        <f aca="false">IF(A578="","",IF(OR(B578="",C578=""),"Item ID and date needed",IF(COUNTIF(Sample_Log!$A$5:$A$204,A578)=0,"SMP-ID not in log",IF(COUNTIFS($A$5:$A$1004,A578,$B$5:$B$1004,B578)&gt;1,"Duplicate item in sample","OK"))))</f>
        <v/>
      </c>
    </row>
    <row r="579" customFormat="false" ht="15" hidden="false" customHeight="false" outlineLevel="0" collapsed="false">
      <c r="A579" s="16"/>
      <c r="B579" s="16"/>
      <c r="C579" s="18"/>
      <c r="D579" s="16"/>
      <c r="E579" s="17" t="str">
        <f aca="false">IF(C579="","","Q"&amp;ROUNDUP(MONTH(C579)/3,0))</f>
        <v/>
      </c>
      <c r="F579" s="16"/>
      <c r="G579" s="16"/>
      <c r="H579" s="17" t="str">
        <f aca="false">IF(A579="","",IF(OR(B579="",C579=""),"Item ID and date needed",IF(COUNTIF(Sample_Log!$A$5:$A$204,A579)=0,"SMP-ID not in log",IF(COUNTIFS($A$5:$A$1004,A579,$B$5:$B$1004,B579)&gt;1,"Duplicate item in sample","OK"))))</f>
        <v/>
      </c>
    </row>
    <row r="580" customFormat="false" ht="15" hidden="false" customHeight="false" outlineLevel="0" collapsed="false">
      <c r="A580" s="16"/>
      <c r="B580" s="16"/>
      <c r="C580" s="18"/>
      <c r="D580" s="16"/>
      <c r="E580" s="17" t="str">
        <f aca="false">IF(C580="","","Q"&amp;ROUNDUP(MONTH(C580)/3,0))</f>
        <v/>
      </c>
      <c r="F580" s="16"/>
      <c r="G580" s="16"/>
      <c r="H580" s="17" t="str">
        <f aca="false">IF(A580="","",IF(OR(B580="",C580=""),"Item ID and date needed",IF(COUNTIF(Sample_Log!$A$5:$A$204,A580)=0,"SMP-ID not in log",IF(COUNTIFS($A$5:$A$1004,A580,$B$5:$B$1004,B580)&gt;1,"Duplicate item in sample","OK"))))</f>
        <v/>
      </c>
    </row>
    <row r="581" customFormat="false" ht="15" hidden="false" customHeight="false" outlineLevel="0" collapsed="false">
      <c r="A581" s="16"/>
      <c r="B581" s="16"/>
      <c r="C581" s="18"/>
      <c r="D581" s="16"/>
      <c r="E581" s="17" t="str">
        <f aca="false">IF(C581="","","Q"&amp;ROUNDUP(MONTH(C581)/3,0))</f>
        <v/>
      </c>
      <c r="F581" s="16"/>
      <c r="G581" s="16"/>
      <c r="H581" s="17" t="str">
        <f aca="false">IF(A581="","",IF(OR(B581="",C581=""),"Item ID and date needed",IF(COUNTIF(Sample_Log!$A$5:$A$204,A581)=0,"SMP-ID not in log",IF(COUNTIFS($A$5:$A$1004,A581,$B$5:$B$1004,B581)&gt;1,"Duplicate item in sample","OK"))))</f>
        <v/>
      </c>
    </row>
    <row r="582" customFormat="false" ht="15" hidden="false" customHeight="false" outlineLevel="0" collapsed="false">
      <c r="A582" s="16"/>
      <c r="B582" s="16"/>
      <c r="C582" s="18"/>
      <c r="D582" s="16"/>
      <c r="E582" s="17" t="str">
        <f aca="false">IF(C582="","","Q"&amp;ROUNDUP(MONTH(C582)/3,0))</f>
        <v/>
      </c>
      <c r="F582" s="16"/>
      <c r="G582" s="16"/>
      <c r="H582" s="17" t="str">
        <f aca="false">IF(A582="","",IF(OR(B582="",C582=""),"Item ID and date needed",IF(COUNTIF(Sample_Log!$A$5:$A$204,A582)=0,"SMP-ID not in log",IF(COUNTIFS($A$5:$A$1004,A582,$B$5:$B$1004,B582)&gt;1,"Duplicate item in sample","OK"))))</f>
        <v/>
      </c>
    </row>
    <row r="583" customFormat="false" ht="15" hidden="false" customHeight="false" outlineLevel="0" collapsed="false">
      <c r="A583" s="16"/>
      <c r="B583" s="16"/>
      <c r="C583" s="18"/>
      <c r="D583" s="16"/>
      <c r="E583" s="17" t="str">
        <f aca="false">IF(C583="","","Q"&amp;ROUNDUP(MONTH(C583)/3,0))</f>
        <v/>
      </c>
      <c r="F583" s="16"/>
      <c r="G583" s="16"/>
      <c r="H583" s="17" t="str">
        <f aca="false">IF(A583="","",IF(OR(B583="",C583=""),"Item ID and date needed",IF(COUNTIF(Sample_Log!$A$5:$A$204,A583)=0,"SMP-ID not in log",IF(COUNTIFS($A$5:$A$1004,A583,$B$5:$B$1004,B583)&gt;1,"Duplicate item in sample","OK"))))</f>
        <v/>
      </c>
    </row>
    <row r="584" customFormat="false" ht="15" hidden="false" customHeight="false" outlineLevel="0" collapsed="false">
      <c r="A584" s="16"/>
      <c r="B584" s="16"/>
      <c r="C584" s="18"/>
      <c r="D584" s="16"/>
      <c r="E584" s="17" t="str">
        <f aca="false">IF(C584="","","Q"&amp;ROUNDUP(MONTH(C584)/3,0))</f>
        <v/>
      </c>
      <c r="F584" s="16"/>
      <c r="G584" s="16"/>
      <c r="H584" s="17" t="str">
        <f aca="false">IF(A584="","",IF(OR(B584="",C584=""),"Item ID and date needed",IF(COUNTIF(Sample_Log!$A$5:$A$204,A584)=0,"SMP-ID not in log",IF(COUNTIFS($A$5:$A$1004,A584,$B$5:$B$1004,B584)&gt;1,"Duplicate item in sample","OK"))))</f>
        <v/>
      </c>
    </row>
    <row r="585" customFormat="false" ht="15" hidden="false" customHeight="false" outlineLevel="0" collapsed="false">
      <c r="A585" s="16"/>
      <c r="B585" s="16"/>
      <c r="C585" s="18"/>
      <c r="D585" s="16"/>
      <c r="E585" s="17" t="str">
        <f aca="false">IF(C585="","","Q"&amp;ROUNDUP(MONTH(C585)/3,0))</f>
        <v/>
      </c>
      <c r="F585" s="16"/>
      <c r="G585" s="16"/>
      <c r="H585" s="17" t="str">
        <f aca="false">IF(A585="","",IF(OR(B585="",C585=""),"Item ID and date needed",IF(COUNTIF(Sample_Log!$A$5:$A$204,A585)=0,"SMP-ID not in log",IF(COUNTIFS($A$5:$A$1004,A585,$B$5:$B$1004,B585)&gt;1,"Duplicate item in sample","OK"))))</f>
        <v/>
      </c>
    </row>
    <row r="586" customFormat="false" ht="15" hidden="false" customHeight="false" outlineLevel="0" collapsed="false">
      <c r="A586" s="16"/>
      <c r="B586" s="16"/>
      <c r="C586" s="18"/>
      <c r="D586" s="16"/>
      <c r="E586" s="17" t="str">
        <f aca="false">IF(C586="","","Q"&amp;ROUNDUP(MONTH(C586)/3,0))</f>
        <v/>
      </c>
      <c r="F586" s="16"/>
      <c r="G586" s="16"/>
      <c r="H586" s="17" t="str">
        <f aca="false">IF(A586="","",IF(OR(B586="",C586=""),"Item ID and date needed",IF(COUNTIF(Sample_Log!$A$5:$A$204,A586)=0,"SMP-ID not in log",IF(COUNTIFS($A$5:$A$1004,A586,$B$5:$B$1004,B586)&gt;1,"Duplicate item in sample","OK"))))</f>
        <v/>
      </c>
    </row>
    <row r="587" customFormat="false" ht="15" hidden="false" customHeight="false" outlineLevel="0" collapsed="false">
      <c r="A587" s="16"/>
      <c r="B587" s="16"/>
      <c r="C587" s="18"/>
      <c r="D587" s="16"/>
      <c r="E587" s="17" t="str">
        <f aca="false">IF(C587="","","Q"&amp;ROUNDUP(MONTH(C587)/3,0))</f>
        <v/>
      </c>
      <c r="F587" s="16"/>
      <c r="G587" s="16"/>
      <c r="H587" s="17" t="str">
        <f aca="false">IF(A587="","",IF(OR(B587="",C587=""),"Item ID and date needed",IF(COUNTIF(Sample_Log!$A$5:$A$204,A587)=0,"SMP-ID not in log",IF(COUNTIFS($A$5:$A$1004,A587,$B$5:$B$1004,B587)&gt;1,"Duplicate item in sample","OK"))))</f>
        <v/>
      </c>
    </row>
    <row r="588" customFormat="false" ht="15" hidden="false" customHeight="false" outlineLevel="0" collapsed="false">
      <c r="A588" s="16"/>
      <c r="B588" s="16"/>
      <c r="C588" s="18"/>
      <c r="D588" s="16"/>
      <c r="E588" s="17" t="str">
        <f aca="false">IF(C588="","","Q"&amp;ROUNDUP(MONTH(C588)/3,0))</f>
        <v/>
      </c>
      <c r="F588" s="16"/>
      <c r="G588" s="16"/>
      <c r="H588" s="17" t="str">
        <f aca="false">IF(A588="","",IF(OR(B588="",C588=""),"Item ID and date needed",IF(COUNTIF(Sample_Log!$A$5:$A$204,A588)=0,"SMP-ID not in log",IF(COUNTIFS($A$5:$A$1004,A588,$B$5:$B$1004,B588)&gt;1,"Duplicate item in sample","OK"))))</f>
        <v/>
      </c>
    </row>
    <row r="589" customFormat="false" ht="15" hidden="false" customHeight="false" outlineLevel="0" collapsed="false">
      <c r="A589" s="16"/>
      <c r="B589" s="16"/>
      <c r="C589" s="18"/>
      <c r="D589" s="16"/>
      <c r="E589" s="17" t="str">
        <f aca="false">IF(C589="","","Q"&amp;ROUNDUP(MONTH(C589)/3,0))</f>
        <v/>
      </c>
      <c r="F589" s="16"/>
      <c r="G589" s="16"/>
      <c r="H589" s="17" t="str">
        <f aca="false">IF(A589="","",IF(OR(B589="",C589=""),"Item ID and date needed",IF(COUNTIF(Sample_Log!$A$5:$A$204,A589)=0,"SMP-ID not in log",IF(COUNTIFS($A$5:$A$1004,A589,$B$5:$B$1004,B589)&gt;1,"Duplicate item in sample","OK"))))</f>
        <v/>
      </c>
    </row>
    <row r="590" customFormat="false" ht="15" hidden="false" customHeight="false" outlineLevel="0" collapsed="false">
      <c r="A590" s="16"/>
      <c r="B590" s="16"/>
      <c r="C590" s="18"/>
      <c r="D590" s="16"/>
      <c r="E590" s="17" t="str">
        <f aca="false">IF(C590="","","Q"&amp;ROUNDUP(MONTH(C590)/3,0))</f>
        <v/>
      </c>
      <c r="F590" s="16"/>
      <c r="G590" s="16"/>
      <c r="H590" s="17" t="str">
        <f aca="false">IF(A590="","",IF(OR(B590="",C590=""),"Item ID and date needed",IF(COUNTIF(Sample_Log!$A$5:$A$204,A590)=0,"SMP-ID not in log",IF(COUNTIFS($A$5:$A$1004,A590,$B$5:$B$1004,B590)&gt;1,"Duplicate item in sample","OK"))))</f>
        <v/>
      </c>
    </row>
    <row r="591" customFormat="false" ht="15" hidden="false" customHeight="false" outlineLevel="0" collapsed="false">
      <c r="A591" s="16"/>
      <c r="B591" s="16"/>
      <c r="C591" s="18"/>
      <c r="D591" s="16"/>
      <c r="E591" s="17" t="str">
        <f aca="false">IF(C591="","","Q"&amp;ROUNDUP(MONTH(C591)/3,0))</f>
        <v/>
      </c>
      <c r="F591" s="16"/>
      <c r="G591" s="16"/>
      <c r="H591" s="17" t="str">
        <f aca="false">IF(A591="","",IF(OR(B591="",C591=""),"Item ID and date needed",IF(COUNTIF(Sample_Log!$A$5:$A$204,A591)=0,"SMP-ID not in log",IF(COUNTIFS($A$5:$A$1004,A591,$B$5:$B$1004,B591)&gt;1,"Duplicate item in sample","OK"))))</f>
        <v/>
      </c>
    </row>
    <row r="592" customFormat="false" ht="15" hidden="false" customHeight="false" outlineLevel="0" collapsed="false">
      <c r="A592" s="16"/>
      <c r="B592" s="16"/>
      <c r="C592" s="18"/>
      <c r="D592" s="16"/>
      <c r="E592" s="17" t="str">
        <f aca="false">IF(C592="","","Q"&amp;ROUNDUP(MONTH(C592)/3,0))</f>
        <v/>
      </c>
      <c r="F592" s="16"/>
      <c r="G592" s="16"/>
      <c r="H592" s="17" t="str">
        <f aca="false">IF(A592="","",IF(OR(B592="",C592=""),"Item ID and date needed",IF(COUNTIF(Sample_Log!$A$5:$A$204,A592)=0,"SMP-ID not in log",IF(COUNTIFS($A$5:$A$1004,A592,$B$5:$B$1004,B592)&gt;1,"Duplicate item in sample","OK"))))</f>
        <v/>
      </c>
    </row>
    <row r="593" customFormat="false" ht="15" hidden="false" customHeight="false" outlineLevel="0" collapsed="false">
      <c r="A593" s="16"/>
      <c r="B593" s="16"/>
      <c r="C593" s="18"/>
      <c r="D593" s="16"/>
      <c r="E593" s="17" t="str">
        <f aca="false">IF(C593="","","Q"&amp;ROUNDUP(MONTH(C593)/3,0))</f>
        <v/>
      </c>
      <c r="F593" s="16"/>
      <c r="G593" s="16"/>
      <c r="H593" s="17" t="str">
        <f aca="false">IF(A593="","",IF(OR(B593="",C593=""),"Item ID and date needed",IF(COUNTIF(Sample_Log!$A$5:$A$204,A593)=0,"SMP-ID not in log",IF(COUNTIFS($A$5:$A$1004,A593,$B$5:$B$1004,B593)&gt;1,"Duplicate item in sample","OK"))))</f>
        <v/>
      </c>
    </row>
    <row r="594" customFormat="false" ht="15" hidden="false" customHeight="false" outlineLevel="0" collapsed="false">
      <c r="A594" s="16"/>
      <c r="B594" s="16"/>
      <c r="C594" s="18"/>
      <c r="D594" s="16"/>
      <c r="E594" s="17" t="str">
        <f aca="false">IF(C594="","","Q"&amp;ROUNDUP(MONTH(C594)/3,0))</f>
        <v/>
      </c>
      <c r="F594" s="16"/>
      <c r="G594" s="16"/>
      <c r="H594" s="17" t="str">
        <f aca="false">IF(A594="","",IF(OR(B594="",C594=""),"Item ID and date needed",IF(COUNTIF(Sample_Log!$A$5:$A$204,A594)=0,"SMP-ID not in log",IF(COUNTIFS($A$5:$A$1004,A594,$B$5:$B$1004,B594)&gt;1,"Duplicate item in sample","OK"))))</f>
        <v/>
      </c>
    </row>
    <row r="595" customFormat="false" ht="15" hidden="false" customHeight="false" outlineLevel="0" collapsed="false">
      <c r="A595" s="16"/>
      <c r="B595" s="16"/>
      <c r="C595" s="18"/>
      <c r="D595" s="16"/>
      <c r="E595" s="17" t="str">
        <f aca="false">IF(C595="","","Q"&amp;ROUNDUP(MONTH(C595)/3,0))</f>
        <v/>
      </c>
      <c r="F595" s="16"/>
      <c r="G595" s="16"/>
      <c r="H595" s="17" t="str">
        <f aca="false">IF(A595="","",IF(OR(B595="",C595=""),"Item ID and date needed",IF(COUNTIF(Sample_Log!$A$5:$A$204,A595)=0,"SMP-ID not in log",IF(COUNTIFS($A$5:$A$1004,A595,$B$5:$B$1004,B595)&gt;1,"Duplicate item in sample","OK"))))</f>
        <v/>
      </c>
    </row>
    <row r="596" customFormat="false" ht="15" hidden="false" customHeight="false" outlineLevel="0" collapsed="false">
      <c r="A596" s="16"/>
      <c r="B596" s="16"/>
      <c r="C596" s="18"/>
      <c r="D596" s="16"/>
      <c r="E596" s="17" t="str">
        <f aca="false">IF(C596="","","Q"&amp;ROUNDUP(MONTH(C596)/3,0))</f>
        <v/>
      </c>
      <c r="F596" s="16"/>
      <c r="G596" s="16"/>
      <c r="H596" s="17" t="str">
        <f aca="false">IF(A596="","",IF(OR(B596="",C596=""),"Item ID and date needed",IF(COUNTIF(Sample_Log!$A$5:$A$204,A596)=0,"SMP-ID not in log",IF(COUNTIFS($A$5:$A$1004,A596,$B$5:$B$1004,B596)&gt;1,"Duplicate item in sample","OK"))))</f>
        <v/>
      </c>
    </row>
    <row r="597" customFormat="false" ht="15" hidden="false" customHeight="false" outlineLevel="0" collapsed="false">
      <c r="A597" s="16"/>
      <c r="B597" s="16"/>
      <c r="C597" s="18"/>
      <c r="D597" s="16"/>
      <c r="E597" s="17" t="str">
        <f aca="false">IF(C597="","","Q"&amp;ROUNDUP(MONTH(C597)/3,0))</f>
        <v/>
      </c>
      <c r="F597" s="16"/>
      <c r="G597" s="16"/>
      <c r="H597" s="17" t="str">
        <f aca="false">IF(A597="","",IF(OR(B597="",C597=""),"Item ID and date needed",IF(COUNTIF(Sample_Log!$A$5:$A$204,A597)=0,"SMP-ID not in log",IF(COUNTIFS($A$5:$A$1004,A597,$B$5:$B$1004,B597)&gt;1,"Duplicate item in sample","OK"))))</f>
        <v/>
      </c>
    </row>
    <row r="598" customFormat="false" ht="15" hidden="false" customHeight="false" outlineLevel="0" collapsed="false">
      <c r="A598" s="16"/>
      <c r="B598" s="16"/>
      <c r="C598" s="18"/>
      <c r="D598" s="16"/>
      <c r="E598" s="17" t="str">
        <f aca="false">IF(C598="","","Q"&amp;ROUNDUP(MONTH(C598)/3,0))</f>
        <v/>
      </c>
      <c r="F598" s="16"/>
      <c r="G598" s="16"/>
      <c r="H598" s="17" t="str">
        <f aca="false">IF(A598="","",IF(OR(B598="",C598=""),"Item ID and date needed",IF(COUNTIF(Sample_Log!$A$5:$A$204,A598)=0,"SMP-ID not in log",IF(COUNTIFS($A$5:$A$1004,A598,$B$5:$B$1004,B598)&gt;1,"Duplicate item in sample","OK"))))</f>
        <v/>
      </c>
    </row>
    <row r="599" customFormat="false" ht="15" hidden="false" customHeight="false" outlineLevel="0" collapsed="false">
      <c r="A599" s="16"/>
      <c r="B599" s="16"/>
      <c r="C599" s="18"/>
      <c r="D599" s="16"/>
      <c r="E599" s="17" t="str">
        <f aca="false">IF(C599="","","Q"&amp;ROUNDUP(MONTH(C599)/3,0))</f>
        <v/>
      </c>
      <c r="F599" s="16"/>
      <c r="G599" s="16"/>
      <c r="H599" s="17" t="str">
        <f aca="false">IF(A599="","",IF(OR(B599="",C599=""),"Item ID and date needed",IF(COUNTIF(Sample_Log!$A$5:$A$204,A599)=0,"SMP-ID not in log",IF(COUNTIFS($A$5:$A$1004,A599,$B$5:$B$1004,B599)&gt;1,"Duplicate item in sample","OK"))))</f>
        <v/>
      </c>
    </row>
    <row r="600" customFormat="false" ht="15" hidden="false" customHeight="false" outlineLevel="0" collapsed="false">
      <c r="A600" s="16"/>
      <c r="B600" s="16"/>
      <c r="C600" s="18"/>
      <c r="D600" s="16"/>
      <c r="E600" s="17" t="str">
        <f aca="false">IF(C600="","","Q"&amp;ROUNDUP(MONTH(C600)/3,0))</f>
        <v/>
      </c>
      <c r="F600" s="16"/>
      <c r="G600" s="16"/>
      <c r="H600" s="17" t="str">
        <f aca="false">IF(A600="","",IF(OR(B600="",C600=""),"Item ID and date needed",IF(COUNTIF(Sample_Log!$A$5:$A$204,A600)=0,"SMP-ID not in log",IF(COUNTIFS($A$5:$A$1004,A600,$B$5:$B$1004,B600)&gt;1,"Duplicate item in sample","OK"))))</f>
        <v/>
      </c>
    </row>
    <row r="601" customFormat="false" ht="15" hidden="false" customHeight="false" outlineLevel="0" collapsed="false">
      <c r="A601" s="16"/>
      <c r="B601" s="16"/>
      <c r="C601" s="18"/>
      <c r="D601" s="16"/>
      <c r="E601" s="17" t="str">
        <f aca="false">IF(C601="","","Q"&amp;ROUNDUP(MONTH(C601)/3,0))</f>
        <v/>
      </c>
      <c r="F601" s="16"/>
      <c r="G601" s="16"/>
      <c r="H601" s="17" t="str">
        <f aca="false">IF(A601="","",IF(OR(B601="",C601=""),"Item ID and date needed",IF(COUNTIF(Sample_Log!$A$5:$A$204,A601)=0,"SMP-ID not in log",IF(COUNTIFS($A$5:$A$1004,A601,$B$5:$B$1004,B601)&gt;1,"Duplicate item in sample","OK"))))</f>
        <v/>
      </c>
    </row>
    <row r="602" customFormat="false" ht="15" hidden="false" customHeight="false" outlineLevel="0" collapsed="false">
      <c r="A602" s="16"/>
      <c r="B602" s="16"/>
      <c r="C602" s="18"/>
      <c r="D602" s="16"/>
      <c r="E602" s="17" t="str">
        <f aca="false">IF(C602="","","Q"&amp;ROUNDUP(MONTH(C602)/3,0))</f>
        <v/>
      </c>
      <c r="F602" s="16"/>
      <c r="G602" s="16"/>
      <c r="H602" s="17" t="str">
        <f aca="false">IF(A602="","",IF(OR(B602="",C602=""),"Item ID and date needed",IF(COUNTIF(Sample_Log!$A$5:$A$204,A602)=0,"SMP-ID not in log",IF(COUNTIFS($A$5:$A$1004,A602,$B$5:$B$1004,B602)&gt;1,"Duplicate item in sample","OK"))))</f>
        <v/>
      </c>
    </row>
    <row r="603" customFormat="false" ht="15" hidden="false" customHeight="false" outlineLevel="0" collapsed="false">
      <c r="A603" s="16"/>
      <c r="B603" s="16"/>
      <c r="C603" s="18"/>
      <c r="D603" s="16"/>
      <c r="E603" s="17" t="str">
        <f aca="false">IF(C603="","","Q"&amp;ROUNDUP(MONTH(C603)/3,0))</f>
        <v/>
      </c>
      <c r="F603" s="16"/>
      <c r="G603" s="16"/>
      <c r="H603" s="17" t="str">
        <f aca="false">IF(A603="","",IF(OR(B603="",C603=""),"Item ID and date needed",IF(COUNTIF(Sample_Log!$A$5:$A$204,A603)=0,"SMP-ID not in log",IF(COUNTIFS($A$5:$A$1004,A603,$B$5:$B$1004,B603)&gt;1,"Duplicate item in sample","OK"))))</f>
        <v/>
      </c>
    </row>
    <row r="604" customFormat="false" ht="15" hidden="false" customHeight="false" outlineLevel="0" collapsed="false">
      <c r="A604" s="16"/>
      <c r="B604" s="16"/>
      <c r="C604" s="18"/>
      <c r="D604" s="16"/>
      <c r="E604" s="17" t="str">
        <f aca="false">IF(C604="","","Q"&amp;ROUNDUP(MONTH(C604)/3,0))</f>
        <v/>
      </c>
      <c r="F604" s="16"/>
      <c r="G604" s="16"/>
      <c r="H604" s="17" t="str">
        <f aca="false">IF(A604="","",IF(OR(B604="",C604=""),"Item ID and date needed",IF(COUNTIF(Sample_Log!$A$5:$A$204,A604)=0,"SMP-ID not in log",IF(COUNTIFS($A$5:$A$1004,A604,$B$5:$B$1004,B604)&gt;1,"Duplicate item in sample","OK"))))</f>
        <v/>
      </c>
    </row>
    <row r="605" customFormat="false" ht="15" hidden="false" customHeight="false" outlineLevel="0" collapsed="false">
      <c r="A605" s="16"/>
      <c r="B605" s="16"/>
      <c r="C605" s="18"/>
      <c r="D605" s="16"/>
      <c r="E605" s="17" t="str">
        <f aca="false">IF(C605="","","Q"&amp;ROUNDUP(MONTH(C605)/3,0))</f>
        <v/>
      </c>
      <c r="F605" s="16"/>
      <c r="G605" s="16"/>
      <c r="H605" s="17" t="str">
        <f aca="false">IF(A605="","",IF(OR(B605="",C605=""),"Item ID and date needed",IF(COUNTIF(Sample_Log!$A$5:$A$204,A605)=0,"SMP-ID not in log",IF(COUNTIFS($A$5:$A$1004,A605,$B$5:$B$1004,B605)&gt;1,"Duplicate item in sample","OK"))))</f>
        <v/>
      </c>
    </row>
    <row r="606" customFormat="false" ht="15" hidden="false" customHeight="false" outlineLevel="0" collapsed="false">
      <c r="A606" s="16"/>
      <c r="B606" s="16"/>
      <c r="C606" s="18"/>
      <c r="D606" s="16"/>
      <c r="E606" s="17" t="str">
        <f aca="false">IF(C606="","","Q"&amp;ROUNDUP(MONTH(C606)/3,0))</f>
        <v/>
      </c>
      <c r="F606" s="16"/>
      <c r="G606" s="16"/>
      <c r="H606" s="17" t="str">
        <f aca="false">IF(A606="","",IF(OR(B606="",C606=""),"Item ID and date needed",IF(COUNTIF(Sample_Log!$A$5:$A$204,A606)=0,"SMP-ID not in log",IF(COUNTIFS($A$5:$A$1004,A606,$B$5:$B$1004,B606)&gt;1,"Duplicate item in sample","OK"))))</f>
        <v/>
      </c>
    </row>
    <row r="607" customFormat="false" ht="15" hidden="false" customHeight="false" outlineLevel="0" collapsed="false">
      <c r="A607" s="16"/>
      <c r="B607" s="16"/>
      <c r="C607" s="18"/>
      <c r="D607" s="16"/>
      <c r="E607" s="17" t="str">
        <f aca="false">IF(C607="","","Q"&amp;ROUNDUP(MONTH(C607)/3,0))</f>
        <v/>
      </c>
      <c r="F607" s="16"/>
      <c r="G607" s="16"/>
      <c r="H607" s="17" t="str">
        <f aca="false">IF(A607="","",IF(OR(B607="",C607=""),"Item ID and date needed",IF(COUNTIF(Sample_Log!$A$5:$A$204,A607)=0,"SMP-ID not in log",IF(COUNTIFS($A$5:$A$1004,A607,$B$5:$B$1004,B607)&gt;1,"Duplicate item in sample","OK"))))</f>
        <v/>
      </c>
    </row>
    <row r="608" customFormat="false" ht="15" hidden="false" customHeight="false" outlineLevel="0" collapsed="false">
      <c r="A608" s="16"/>
      <c r="B608" s="16"/>
      <c r="C608" s="18"/>
      <c r="D608" s="16"/>
      <c r="E608" s="17" t="str">
        <f aca="false">IF(C608="","","Q"&amp;ROUNDUP(MONTH(C608)/3,0))</f>
        <v/>
      </c>
      <c r="F608" s="16"/>
      <c r="G608" s="16"/>
      <c r="H608" s="17" t="str">
        <f aca="false">IF(A608="","",IF(OR(B608="",C608=""),"Item ID and date needed",IF(COUNTIF(Sample_Log!$A$5:$A$204,A608)=0,"SMP-ID not in log",IF(COUNTIFS($A$5:$A$1004,A608,$B$5:$B$1004,B608)&gt;1,"Duplicate item in sample","OK"))))</f>
        <v/>
      </c>
    </row>
    <row r="609" customFormat="false" ht="15" hidden="false" customHeight="false" outlineLevel="0" collapsed="false">
      <c r="A609" s="16"/>
      <c r="B609" s="16"/>
      <c r="C609" s="18"/>
      <c r="D609" s="16"/>
      <c r="E609" s="17" t="str">
        <f aca="false">IF(C609="","","Q"&amp;ROUNDUP(MONTH(C609)/3,0))</f>
        <v/>
      </c>
      <c r="F609" s="16"/>
      <c r="G609" s="16"/>
      <c r="H609" s="17" t="str">
        <f aca="false">IF(A609="","",IF(OR(B609="",C609=""),"Item ID and date needed",IF(COUNTIF(Sample_Log!$A$5:$A$204,A609)=0,"SMP-ID not in log",IF(COUNTIFS($A$5:$A$1004,A609,$B$5:$B$1004,B609)&gt;1,"Duplicate item in sample","OK"))))</f>
        <v/>
      </c>
    </row>
    <row r="610" customFormat="false" ht="15" hidden="false" customHeight="false" outlineLevel="0" collapsed="false">
      <c r="A610" s="16"/>
      <c r="B610" s="16"/>
      <c r="C610" s="18"/>
      <c r="D610" s="16"/>
      <c r="E610" s="17" t="str">
        <f aca="false">IF(C610="","","Q"&amp;ROUNDUP(MONTH(C610)/3,0))</f>
        <v/>
      </c>
      <c r="F610" s="16"/>
      <c r="G610" s="16"/>
      <c r="H610" s="17" t="str">
        <f aca="false">IF(A610="","",IF(OR(B610="",C610=""),"Item ID and date needed",IF(COUNTIF(Sample_Log!$A$5:$A$204,A610)=0,"SMP-ID not in log",IF(COUNTIFS($A$5:$A$1004,A610,$B$5:$B$1004,B610)&gt;1,"Duplicate item in sample","OK"))))</f>
        <v/>
      </c>
    </row>
    <row r="611" customFormat="false" ht="15" hidden="false" customHeight="false" outlineLevel="0" collapsed="false">
      <c r="A611" s="16"/>
      <c r="B611" s="16"/>
      <c r="C611" s="18"/>
      <c r="D611" s="16"/>
      <c r="E611" s="17" t="str">
        <f aca="false">IF(C611="","","Q"&amp;ROUNDUP(MONTH(C611)/3,0))</f>
        <v/>
      </c>
      <c r="F611" s="16"/>
      <c r="G611" s="16"/>
      <c r="H611" s="17" t="str">
        <f aca="false">IF(A611="","",IF(OR(B611="",C611=""),"Item ID and date needed",IF(COUNTIF(Sample_Log!$A$5:$A$204,A611)=0,"SMP-ID not in log",IF(COUNTIFS($A$5:$A$1004,A611,$B$5:$B$1004,B611)&gt;1,"Duplicate item in sample","OK"))))</f>
        <v/>
      </c>
    </row>
    <row r="612" customFormat="false" ht="15" hidden="false" customHeight="false" outlineLevel="0" collapsed="false">
      <c r="A612" s="16"/>
      <c r="B612" s="16"/>
      <c r="C612" s="18"/>
      <c r="D612" s="16"/>
      <c r="E612" s="17" t="str">
        <f aca="false">IF(C612="","","Q"&amp;ROUNDUP(MONTH(C612)/3,0))</f>
        <v/>
      </c>
      <c r="F612" s="16"/>
      <c r="G612" s="16"/>
      <c r="H612" s="17" t="str">
        <f aca="false">IF(A612="","",IF(OR(B612="",C612=""),"Item ID and date needed",IF(COUNTIF(Sample_Log!$A$5:$A$204,A612)=0,"SMP-ID not in log",IF(COUNTIFS($A$5:$A$1004,A612,$B$5:$B$1004,B612)&gt;1,"Duplicate item in sample","OK"))))</f>
        <v/>
      </c>
    </row>
    <row r="613" customFormat="false" ht="15" hidden="false" customHeight="false" outlineLevel="0" collapsed="false">
      <c r="A613" s="16"/>
      <c r="B613" s="16"/>
      <c r="C613" s="18"/>
      <c r="D613" s="16"/>
      <c r="E613" s="17" t="str">
        <f aca="false">IF(C613="","","Q"&amp;ROUNDUP(MONTH(C613)/3,0))</f>
        <v/>
      </c>
      <c r="F613" s="16"/>
      <c r="G613" s="16"/>
      <c r="H613" s="17" t="str">
        <f aca="false">IF(A613="","",IF(OR(B613="",C613=""),"Item ID and date needed",IF(COUNTIF(Sample_Log!$A$5:$A$204,A613)=0,"SMP-ID not in log",IF(COUNTIFS($A$5:$A$1004,A613,$B$5:$B$1004,B613)&gt;1,"Duplicate item in sample","OK"))))</f>
        <v/>
      </c>
    </row>
    <row r="614" customFormat="false" ht="15" hidden="false" customHeight="false" outlineLevel="0" collapsed="false">
      <c r="A614" s="16"/>
      <c r="B614" s="16"/>
      <c r="C614" s="18"/>
      <c r="D614" s="16"/>
      <c r="E614" s="17" t="str">
        <f aca="false">IF(C614="","","Q"&amp;ROUNDUP(MONTH(C614)/3,0))</f>
        <v/>
      </c>
      <c r="F614" s="16"/>
      <c r="G614" s="16"/>
      <c r="H614" s="17" t="str">
        <f aca="false">IF(A614="","",IF(OR(B614="",C614=""),"Item ID and date needed",IF(COUNTIF(Sample_Log!$A$5:$A$204,A614)=0,"SMP-ID not in log",IF(COUNTIFS($A$5:$A$1004,A614,$B$5:$B$1004,B614)&gt;1,"Duplicate item in sample","OK"))))</f>
        <v/>
      </c>
    </row>
    <row r="615" customFormat="false" ht="15" hidden="false" customHeight="false" outlineLevel="0" collapsed="false">
      <c r="A615" s="16"/>
      <c r="B615" s="16"/>
      <c r="C615" s="18"/>
      <c r="D615" s="16"/>
      <c r="E615" s="17" t="str">
        <f aca="false">IF(C615="","","Q"&amp;ROUNDUP(MONTH(C615)/3,0))</f>
        <v/>
      </c>
      <c r="F615" s="16"/>
      <c r="G615" s="16"/>
      <c r="H615" s="17" t="str">
        <f aca="false">IF(A615="","",IF(OR(B615="",C615=""),"Item ID and date needed",IF(COUNTIF(Sample_Log!$A$5:$A$204,A615)=0,"SMP-ID not in log",IF(COUNTIFS($A$5:$A$1004,A615,$B$5:$B$1004,B615)&gt;1,"Duplicate item in sample","OK"))))</f>
        <v/>
      </c>
    </row>
    <row r="616" customFormat="false" ht="15" hidden="false" customHeight="false" outlineLevel="0" collapsed="false">
      <c r="A616" s="16"/>
      <c r="B616" s="16"/>
      <c r="C616" s="18"/>
      <c r="D616" s="16"/>
      <c r="E616" s="17" t="str">
        <f aca="false">IF(C616="","","Q"&amp;ROUNDUP(MONTH(C616)/3,0))</f>
        <v/>
      </c>
      <c r="F616" s="16"/>
      <c r="G616" s="16"/>
      <c r="H616" s="17" t="str">
        <f aca="false">IF(A616="","",IF(OR(B616="",C616=""),"Item ID and date needed",IF(COUNTIF(Sample_Log!$A$5:$A$204,A616)=0,"SMP-ID not in log",IF(COUNTIFS($A$5:$A$1004,A616,$B$5:$B$1004,B616)&gt;1,"Duplicate item in sample","OK"))))</f>
        <v/>
      </c>
    </row>
    <row r="617" customFormat="false" ht="15" hidden="false" customHeight="false" outlineLevel="0" collapsed="false">
      <c r="A617" s="16"/>
      <c r="B617" s="16"/>
      <c r="C617" s="18"/>
      <c r="D617" s="16"/>
      <c r="E617" s="17" t="str">
        <f aca="false">IF(C617="","","Q"&amp;ROUNDUP(MONTH(C617)/3,0))</f>
        <v/>
      </c>
      <c r="F617" s="16"/>
      <c r="G617" s="16"/>
      <c r="H617" s="17" t="str">
        <f aca="false">IF(A617="","",IF(OR(B617="",C617=""),"Item ID and date needed",IF(COUNTIF(Sample_Log!$A$5:$A$204,A617)=0,"SMP-ID not in log",IF(COUNTIFS($A$5:$A$1004,A617,$B$5:$B$1004,B617)&gt;1,"Duplicate item in sample","OK"))))</f>
        <v/>
      </c>
    </row>
    <row r="618" customFormat="false" ht="15" hidden="false" customHeight="false" outlineLevel="0" collapsed="false">
      <c r="A618" s="16"/>
      <c r="B618" s="16"/>
      <c r="C618" s="18"/>
      <c r="D618" s="16"/>
      <c r="E618" s="17" t="str">
        <f aca="false">IF(C618="","","Q"&amp;ROUNDUP(MONTH(C618)/3,0))</f>
        <v/>
      </c>
      <c r="F618" s="16"/>
      <c r="G618" s="16"/>
      <c r="H618" s="17" t="str">
        <f aca="false">IF(A618="","",IF(OR(B618="",C618=""),"Item ID and date needed",IF(COUNTIF(Sample_Log!$A$5:$A$204,A618)=0,"SMP-ID not in log",IF(COUNTIFS($A$5:$A$1004,A618,$B$5:$B$1004,B618)&gt;1,"Duplicate item in sample","OK"))))</f>
        <v/>
      </c>
    </row>
    <row r="619" customFormat="false" ht="15" hidden="false" customHeight="false" outlineLevel="0" collapsed="false">
      <c r="A619" s="16"/>
      <c r="B619" s="16"/>
      <c r="C619" s="18"/>
      <c r="D619" s="16"/>
      <c r="E619" s="17" t="str">
        <f aca="false">IF(C619="","","Q"&amp;ROUNDUP(MONTH(C619)/3,0))</f>
        <v/>
      </c>
      <c r="F619" s="16"/>
      <c r="G619" s="16"/>
      <c r="H619" s="17" t="str">
        <f aca="false">IF(A619="","",IF(OR(B619="",C619=""),"Item ID and date needed",IF(COUNTIF(Sample_Log!$A$5:$A$204,A619)=0,"SMP-ID not in log",IF(COUNTIFS($A$5:$A$1004,A619,$B$5:$B$1004,B619)&gt;1,"Duplicate item in sample","OK"))))</f>
        <v/>
      </c>
    </row>
    <row r="620" customFormat="false" ht="15" hidden="false" customHeight="false" outlineLevel="0" collapsed="false">
      <c r="A620" s="16"/>
      <c r="B620" s="16"/>
      <c r="C620" s="18"/>
      <c r="D620" s="16"/>
      <c r="E620" s="17" t="str">
        <f aca="false">IF(C620="","","Q"&amp;ROUNDUP(MONTH(C620)/3,0))</f>
        <v/>
      </c>
      <c r="F620" s="16"/>
      <c r="G620" s="16"/>
      <c r="H620" s="17" t="str">
        <f aca="false">IF(A620="","",IF(OR(B620="",C620=""),"Item ID and date needed",IF(COUNTIF(Sample_Log!$A$5:$A$204,A620)=0,"SMP-ID not in log",IF(COUNTIFS($A$5:$A$1004,A620,$B$5:$B$1004,B620)&gt;1,"Duplicate item in sample","OK"))))</f>
        <v/>
      </c>
    </row>
    <row r="621" customFormat="false" ht="15" hidden="false" customHeight="false" outlineLevel="0" collapsed="false">
      <c r="A621" s="16"/>
      <c r="B621" s="16"/>
      <c r="C621" s="18"/>
      <c r="D621" s="16"/>
      <c r="E621" s="17" t="str">
        <f aca="false">IF(C621="","","Q"&amp;ROUNDUP(MONTH(C621)/3,0))</f>
        <v/>
      </c>
      <c r="F621" s="16"/>
      <c r="G621" s="16"/>
      <c r="H621" s="17" t="str">
        <f aca="false">IF(A621="","",IF(OR(B621="",C621=""),"Item ID and date needed",IF(COUNTIF(Sample_Log!$A$5:$A$204,A621)=0,"SMP-ID not in log",IF(COUNTIFS($A$5:$A$1004,A621,$B$5:$B$1004,B621)&gt;1,"Duplicate item in sample","OK"))))</f>
        <v/>
      </c>
    </row>
    <row r="622" customFormat="false" ht="15" hidden="false" customHeight="false" outlineLevel="0" collapsed="false">
      <c r="A622" s="16"/>
      <c r="B622" s="16"/>
      <c r="C622" s="18"/>
      <c r="D622" s="16"/>
      <c r="E622" s="17" t="str">
        <f aca="false">IF(C622="","","Q"&amp;ROUNDUP(MONTH(C622)/3,0))</f>
        <v/>
      </c>
      <c r="F622" s="16"/>
      <c r="G622" s="16"/>
      <c r="H622" s="17" t="str">
        <f aca="false">IF(A622="","",IF(OR(B622="",C622=""),"Item ID and date needed",IF(COUNTIF(Sample_Log!$A$5:$A$204,A622)=0,"SMP-ID not in log",IF(COUNTIFS($A$5:$A$1004,A622,$B$5:$B$1004,B622)&gt;1,"Duplicate item in sample","OK"))))</f>
        <v/>
      </c>
    </row>
    <row r="623" customFormat="false" ht="15" hidden="false" customHeight="false" outlineLevel="0" collapsed="false">
      <c r="A623" s="16"/>
      <c r="B623" s="16"/>
      <c r="C623" s="18"/>
      <c r="D623" s="16"/>
      <c r="E623" s="17" t="str">
        <f aca="false">IF(C623="","","Q"&amp;ROUNDUP(MONTH(C623)/3,0))</f>
        <v/>
      </c>
      <c r="F623" s="16"/>
      <c r="G623" s="16"/>
      <c r="H623" s="17" t="str">
        <f aca="false">IF(A623="","",IF(OR(B623="",C623=""),"Item ID and date needed",IF(COUNTIF(Sample_Log!$A$5:$A$204,A623)=0,"SMP-ID not in log",IF(COUNTIFS($A$5:$A$1004,A623,$B$5:$B$1004,B623)&gt;1,"Duplicate item in sample","OK"))))</f>
        <v/>
      </c>
    </row>
    <row r="624" customFormat="false" ht="15" hidden="false" customHeight="false" outlineLevel="0" collapsed="false">
      <c r="A624" s="16"/>
      <c r="B624" s="16"/>
      <c r="C624" s="18"/>
      <c r="D624" s="16"/>
      <c r="E624" s="17" t="str">
        <f aca="false">IF(C624="","","Q"&amp;ROUNDUP(MONTH(C624)/3,0))</f>
        <v/>
      </c>
      <c r="F624" s="16"/>
      <c r="G624" s="16"/>
      <c r="H624" s="17" t="str">
        <f aca="false">IF(A624="","",IF(OR(B624="",C624=""),"Item ID and date needed",IF(COUNTIF(Sample_Log!$A$5:$A$204,A624)=0,"SMP-ID not in log",IF(COUNTIFS($A$5:$A$1004,A624,$B$5:$B$1004,B624)&gt;1,"Duplicate item in sample","OK"))))</f>
        <v/>
      </c>
    </row>
    <row r="625" customFormat="false" ht="15" hidden="false" customHeight="false" outlineLevel="0" collapsed="false">
      <c r="A625" s="16"/>
      <c r="B625" s="16"/>
      <c r="C625" s="18"/>
      <c r="D625" s="16"/>
      <c r="E625" s="17" t="str">
        <f aca="false">IF(C625="","","Q"&amp;ROUNDUP(MONTH(C625)/3,0))</f>
        <v/>
      </c>
      <c r="F625" s="16"/>
      <c r="G625" s="16"/>
      <c r="H625" s="17" t="str">
        <f aca="false">IF(A625="","",IF(OR(B625="",C625=""),"Item ID and date needed",IF(COUNTIF(Sample_Log!$A$5:$A$204,A625)=0,"SMP-ID not in log",IF(COUNTIFS($A$5:$A$1004,A625,$B$5:$B$1004,B625)&gt;1,"Duplicate item in sample","OK"))))</f>
        <v/>
      </c>
    </row>
    <row r="626" customFormat="false" ht="15" hidden="false" customHeight="false" outlineLevel="0" collapsed="false">
      <c r="A626" s="16"/>
      <c r="B626" s="16"/>
      <c r="C626" s="18"/>
      <c r="D626" s="16"/>
      <c r="E626" s="17" t="str">
        <f aca="false">IF(C626="","","Q"&amp;ROUNDUP(MONTH(C626)/3,0))</f>
        <v/>
      </c>
      <c r="F626" s="16"/>
      <c r="G626" s="16"/>
      <c r="H626" s="17" t="str">
        <f aca="false">IF(A626="","",IF(OR(B626="",C626=""),"Item ID and date needed",IF(COUNTIF(Sample_Log!$A$5:$A$204,A626)=0,"SMP-ID not in log",IF(COUNTIFS($A$5:$A$1004,A626,$B$5:$B$1004,B626)&gt;1,"Duplicate item in sample","OK"))))</f>
        <v/>
      </c>
    </row>
    <row r="627" customFormat="false" ht="15" hidden="false" customHeight="false" outlineLevel="0" collapsed="false">
      <c r="A627" s="16"/>
      <c r="B627" s="16"/>
      <c r="C627" s="18"/>
      <c r="D627" s="16"/>
      <c r="E627" s="17" t="str">
        <f aca="false">IF(C627="","","Q"&amp;ROUNDUP(MONTH(C627)/3,0))</f>
        <v/>
      </c>
      <c r="F627" s="16"/>
      <c r="G627" s="16"/>
      <c r="H627" s="17" t="str">
        <f aca="false">IF(A627="","",IF(OR(B627="",C627=""),"Item ID and date needed",IF(COUNTIF(Sample_Log!$A$5:$A$204,A627)=0,"SMP-ID not in log",IF(COUNTIFS($A$5:$A$1004,A627,$B$5:$B$1004,B627)&gt;1,"Duplicate item in sample","OK"))))</f>
        <v/>
      </c>
    </row>
    <row r="628" customFormat="false" ht="15" hidden="false" customHeight="false" outlineLevel="0" collapsed="false">
      <c r="A628" s="16"/>
      <c r="B628" s="16"/>
      <c r="C628" s="18"/>
      <c r="D628" s="16"/>
      <c r="E628" s="17" t="str">
        <f aca="false">IF(C628="","","Q"&amp;ROUNDUP(MONTH(C628)/3,0))</f>
        <v/>
      </c>
      <c r="F628" s="16"/>
      <c r="G628" s="16"/>
      <c r="H628" s="17" t="str">
        <f aca="false">IF(A628="","",IF(OR(B628="",C628=""),"Item ID and date needed",IF(COUNTIF(Sample_Log!$A$5:$A$204,A628)=0,"SMP-ID not in log",IF(COUNTIFS($A$5:$A$1004,A628,$B$5:$B$1004,B628)&gt;1,"Duplicate item in sample","OK"))))</f>
        <v/>
      </c>
    </row>
    <row r="629" customFormat="false" ht="15" hidden="false" customHeight="false" outlineLevel="0" collapsed="false">
      <c r="A629" s="16"/>
      <c r="B629" s="16"/>
      <c r="C629" s="18"/>
      <c r="D629" s="16"/>
      <c r="E629" s="17" t="str">
        <f aca="false">IF(C629="","","Q"&amp;ROUNDUP(MONTH(C629)/3,0))</f>
        <v/>
      </c>
      <c r="F629" s="16"/>
      <c r="G629" s="16"/>
      <c r="H629" s="17" t="str">
        <f aca="false">IF(A629="","",IF(OR(B629="",C629=""),"Item ID and date needed",IF(COUNTIF(Sample_Log!$A$5:$A$204,A629)=0,"SMP-ID not in log",IF(COUNTIFS($A$5:$A$1004,A629,$B$5:$B$1004,B629)&gt;1,"Duplicate item in sample","OK"))))</f>
        <v/>
      </c>
    </row>
    <row r="630" customFormat="false" ht="15" hidden="false" customHeight="false" outlineLevel="0" collapsed="false">
      <c r="A630" s="16"/>
      <c r="B630" s="16"/>
      <c r="C630" s="18"/>
      <c r="D630" s="16"/>
      <c r="E630" s="17" t="str">
        <f aca="false">IF(C630="","","Q"&amp;ROUNDUP(MONTH(C630)/3,0))</f>
        <v/>
      </c>
      <c r="F630" s="16"/>
      <c r="G630" s="16"/>
      <c r="H630" s="17" t="str">
        <f aca="false">IF(A630="","",IF(OR(B630="",C630=""),"Item ID and date needed",IF(COUNTIF(Sample_Log!$A$5:$A$204,A630)=0,"SMP-ID not in log",IF(COUNTIFS($A$5:$A$1004,A630,$B$5:$B$1004,B630)&gt;1,"Duplicate item in sample","OK"))))</f>
        <v/>
      </c>
    </row>
    <row r="631" customFormat="false" ht="15" hidden="false" customHeight="false" outlineLevel="0" collapsed="false">
      <c r="A631" s="16"/>
      <c r="B631" s="16"/>
      <c r="C631" s="18"/>
      <c r="D631" s="16"/>
      <c r="E631" s="17" t="str">
        <f aca="false">IF(C631="","","Q"&amp;ROUNDUP(MONTH(C631)/3,0))</f>
        <v/>
      </c>
      <c r="F631" s="16"/>
      <c r="G631" s="16"/>
      <c r="H631" s="17" t="str">
        <f aca="false">IF(A631="","",IF(OR(B631="",C631=""),"Item ID and date needed",IF(COUNTIF(Sample_Log!$A$5:$A$204,A631)=0,"SMP-ID not in log",IF(COUNTIFS($A$5:$A$1004,A631,$B$5:$B$1004,B631)&gt;1,"Duplicate item in sample","OK"))))</f>
        <v/>
      </c>
    </row>
    <row r="632" customFormat="false" ht="15" hidden="false" customHeight="false" outlineLevel="0" collapsed="false">
      <c r="A632" s="16"/>
      <c r="B632" s="16"/>
      <c r="C632" s="18"/>
      <c r="D632" s="16"/>
      <c r="E632" s="17" t="str">
        <f aca="false">IF(C632="","","Q"&amp;ROUNDUP(MONTH(C632)/3,0))</f>
        <v/>
      </c>
      <c r="F632" s="16"/>
      <c r="G632" s="16"/>
      <c r="H632" s="17" t="str">
        <f aca="false">IF(A632="","",IF(OR(B632="",C632=""),"Item ID and date needed",IF(COUNTIF(Sample_Log!$A$5:$A$204,A632)=0,"SMP-ID not in log",IF(COUNTIFS($A$5:$A$1004,A632,$B$5:$B$1004,B632)&gt;1,"Duplicate item in sample","OK"))))</f>
        <v/>
      </c>
    </row>
    <row r="633" customFormat="false" ht="15" hidden="false" customHeight="false" outlineLevel="0" collapsed="false">
      <c r="A633" s="16"/>
      <c r="B633" s="16"/>
      <c r="C633" s="18"/>
      <c r="D633" s="16"/>
      <c r="E633" s="17" t="str">
        <f aca="false">IF(C633="","","Q"&amp;ROUNDUP(MONTH(C633)/3,0))</f>
        <v/>
      </c>
      <c r="F633" s="16"/>
      <c r="G633" s="16"/>
      <c r="H633" s="17" t="str">
        <f aca="false">IF(A633="","",IF(OR(B633="",C633=""),"Item ID and date needed",IF(COUNTIF(Sample_Log!$A$5:$A$204,A633)=0,"SMP-ID not in log",IF(COUNTIFS($A$5:$A$1004,A633,$B$5:$B$1004,B633)&gt;1,"Duplicate item in sample","OK"))))</f>
        <v/>
      </c>
    </row>
    <row r="634" customFormat="false" ht="15" hidden="false" customHeight="false" outlineLevel="0" collapsed="false">
      <c r="A634" s="16"/>
      <c r="B634" s="16"/>
      <c r="C634" s="18"/>
      <c r="D634" s="16"/>
      <c r="E634" s="17" t="str">
        <f aca="false">IF(C634="","","Q"&amp;ROUNDUP(MONTH(C634)/3,0))</f>
        <v/>
      </c>
      <c r="F634" s="16"/>
      <c r="G634" s="16"/>
      <c r="H634" s="17" t="str">
        <f aca="false">IF(A634="","",IF(OR(B634="",C634=""),"Item ID and date needed",IF(COUNTIF(Sample_Log!$A$5:$A$204,A634)=0,"SMP-ID not in log",IF(COUNTIFS($A$5:$A$1004,A634,$B$5:$B$1004,B634)&gt;1,"Duplicate item in sample","OK"))))</f>
        <v/>
      </c>
    </row>
    <row r="635" customFormat="false" ht="15" hidden="false" customHeight="false" outlineLevel="0" collapsed="false">
      <c r="A635" s="16"/>
      <c r="B635" s="16"/>
      <c r="C635" s="18"/>
      <c r="D635" s="16"/>
      <c r="E635" s="17" t="str">
        <f aca="false">IF(C635="","","Q"&amp;ROUNDUP(MONTH(C635)/3,0))</f>
        <v/>
      </c>
      <c r="F635" s="16"/>
      <c r="G635" s="16"/>
      <c r="H635" s="17" t="str">
        <f aca="false">IF(A635="","",IF(OR(B635="",C635=""),"Item ID and date needed",IF(COUNTIF(Sample_Log!$A$5:$A$204,A635)=0,"SMP-ID not in log",IF(COUNTIFS($A$5:$A$1004,A635,$B$5:$B$1004,B635)&gt;1,"Duplicate item in sample","OK"))))</f>
        <v/>
      </c>
    </row>
    <row r="636" customFormat="false" ht="15" hidden="false" customHeight="false" outlineLevel="0" collapsed="false">
      <c r="A636" s="16"/>
      <c r="B636" s="16"/>
      <c r="C636" s="18"/>
      <c r="D636" s="16"/>
      <c r="E636" s="17" t="str">
        <f aca="false">IF(C636="","","Q"&amp;ROUNDUP(MONTH(C636)/3,0))</f>
        <v/>
      </c>
      <c r="F636" s="16"/>
      <c r="G636" s="16"/>
      <c r="H636" s="17" t="str">
        <f aca="false">IF(A636="","",IF(OR(B636="",C636=""),"Item ID and date needed",IF(COUNTIF(Sample_Log!$A$5:$A$204,A636)=0,"SMP-ID not in log",IF(COUNTIFS($A$5:$A$1004,A636,$B$5:$B$1004,B636)&gt;1,"Duplicate item in sample","OK"))))</f>
        <v/>
      </c>
    </row>
    <row r="637" customFormat="false" ht="15" hidden="false" customHeight="false" outlineLevel="0" collapsed="false">
      <c r="A637" s="16"/>
      <c r="B637" s="16"/>
      <c r="C637" s="18"/>
      <c r="D637" s="16"/>
      <c r="E637" s="17" t="str">
        <f aca="false">IF(C637="","","Q"&amp;ROUNDUP(MONTH(C637)/3,0))</f>
        <v/>
      </c>
      <c r="F637" s="16"/>
      <c r="G637" s="16"/>
      <c r="H637" s="17" t="str">
        <f aca="false">IF(A637="","",IF(OR(B637="",C637=""),"Item ID and date needed",IF(COUNTIF(Sample_Log!$A$5:$A$204,A637)=0,"SMP-ID not in log",IF(COUNTIFS($A$5:$A$1004,A637,$B$5:$B$1004,B637)&gt;1,"Duplicate item in sample","OK"))))</f>
        <v/>
      </c>
    </row>
    <row r="638" customFormat="false" ht="15" hidden="false" customHeight="false" outlineLevel="0" collapsed="false">
      <c r="A638" s="16"/>
      <c r="B638" s="16"/>
      <c r="C638" s="18"/>
      <c r="D638" s="16"/>
      <c r="E638" s="17" t="str">
        <f aca="false">IF(C638="","","Q"&amp;ROUNDUP(MONTH(C638)/3,0))</f>
        <v/>
      </c>
      <c r="F638" s="16"/>
      <c r="G638" s="16"/>
      <c r="H638" s="17" t="str">
        <f aca="false">IF(A638="","",IF(OR(B638="",C638=""),"Item ID and date needed",IF(COUNTIF(Sample_Log!$A$5:$A$204,A638)=0,"SMP-ID not in log",IF(COUNTIFS($A$5:$A$1004,A638,$B$5:$B$1004,B638)&gt;1,"Duplicate item in sample","OK"))))</f>
        <v/>
      </c>
    </row>
    <row r="639" customFormat="false" ht="15" hidden="false" customHeight="false" outlineLevel="0" collapsed="false">
      <c r="A639" s="16"/>
      <c r="B639" s="16"/>
      <c r="C639" s="18"/>
      <c r="D639" s="16"/>
      <c r="E639" s="17" t="str">
        <f aca="false">IF(C639="","","Q"&amp;ROUNDUP(MONTH(C639)/3,0))</f>
        <v/>
      </c>
      <c r="F639" s="16"/>
      <c r="G639" s="16"/>
      <c r="H639" s="17" t="str">
        <f aca="false">IF(A639="","",IF(OR(B639="",C639=""),"Item ID and date needed",IF(COUNTIF(Sample_Log!$A$5:$A$204,A639)=0,"SMP-ID not in log",IF(COUNTIFS($A$5:$A$1004,A639,$B$5:$B$1004,B639)&gt;1,"Duplicate item in sample","OK"))))</f>
        <v/>
      </c>
    </row>
    <row r="640" customFormat="false" ht="15" hidden="false" customHeight="false" outlineLevel="0" collapsed="false">
      <c r="A640" s="16"/>
      <c r="B640" s="16"/>
      <c r="C640" s="18"/>
      <c r="D640" s="16"/>
      <c r="E640" s="17" t="str">
        <f aca="false">IF(C640="","","Q"&amp;ROUNDUP(MONTH(C640)/3,0))</f>
        <v/>
      </c>
      <c r="F640" s="16"/>
      <c r="G640" s="16"/>
      <c r="H640" s="17" t="str">
        <f aca="false">IF(A640="","",IF(OR(B640="",C640=""),"Item ID and date needed",IF(COUNTIF(Sample_Log!$A$5:$A$204,A640)=0,"SMP-ID not in log",IF(COUNTIFS($A$5:$A$1004,A640,$B$5:$B$1004,B640)&gt;1,"Duplicate item in sample","OK"))))</f>
        <v/>
      </c>
    </row>
    <row r="641" customFormat="false" ht="15" hidden="false" customHeight="false" outlineLevel="0" collapsed="false">
      <c r="A641" s="16"/>
      <c r="B641" s="16"/>
      <c r="C641" s="18"/>
      <c r="D641" s="16"/>
      <c r="E641" s="17" t="str">
        <f aca="false">IF(C641="","","Q"&amp;ROUNDUP(MONTH(C641)/3,0))</f>
        <v/>
      </c>
      <c r="F641" s="16"/>
      <c r="G641" s="16"/>
      <c r="H641" s="17" t="str">
        <f aca="false">IF(A641="","",IF(OR(B641="",C641=""),"Item ID and date needed",IF(COUNTIF(Sample_Log!$A$5:$A$204,A641)=0,"SMP-ID not in log",IF(COUNTIFS($A$5:$A$1004,A641,$B$5:$B$1004,B641)&gt;1,"Duplicate item in sample","OK"))))</f>
        <v/>
      </c>
    </row>
    <row r="642" customFormat="false" ht="15" hidden="false" customHeight="false" outlineLevel="0" collapsed="false">
      <c r="A642" s="16"/>
      <c r="B642" s="16"/>
      <c r="C642" s="18"/>
      <c r="D642" s="16"/>
      <c r="E642" s="17" t="str">
        <f aca="false">IF(C642="","","Q"&amp;ROUNDUP(MONTH(C642)/3,0))</f>
        <v/>
      </c>
      <c r="F642" s="16"/>
      <c r="G642" s="16"/>
      <c r="H642" s="17" t="str">
        <f aca="false">IF(A642="","",IF(OR(B642="",C642=""),"Item ID and date needed",IF(COUNTIF(Sample_Log!$A$5:$A$204,A642)=0,"SMP-ID not in log",IF(COUNTIFS($A$5:$A$1004,A642,$B$5:$B$1004,B642)&gt;1,"Duplicate item in sample","OK"))))</f>
        <v/>
      </c>
    </row>
    <row r="643" customFormat="false" ht="15" hidden="false" customHeight="false" outlineLevel="0" collapsed="false">
      <c r="A643" s="16"/>
      <c r="B643" s="16"/>
      <c r="C643" s="18"/>
      <c r="D643" s="16"/>
      <c r="E643" s="17" t="str">
        <f aca="false">IF(C643="","","Q"&amp;ROUNDUP(MONTH(C643)/3,0))</f>
        <v/>
      </c>
      <c r="F643" s="16"/>
      <c r="G643" s="16"/>
      <c r="H643" s="17" t="str">
        <f aca="false">IF(A643="","",IF(OR(B643="",C643=""),"Item ID and date needed",IF(COUNTIF(Sample_Log!$A$5:$A$204,A643)=0,"SMP-ID not in log",IF(COUNTIFS($A$5:$A$1004,A643,$B$5:$B$1004,B643)&gt;1,"Duplicate item in sample","OK"))))</f>
        <v/>
      </c>
    </row>
    <row r="644" customFormat="false" ht="15" hidden="false" customHeight="false" outlineLevel="0" collapsed="false">
      <c r="A644" s="16"/>
      <c r="B644" s="16"/>
      <c r="C644" s="18"/>
      <c r="D644" s="16"/>
      <c r="E644" s="17" t="str">
        <f aca="false">IF(C644="","","Q"&amp;ROUNDUP(MONTH(C644)/3,0))</f>
        <v/>
      </c>
      <c r="F644" s="16"/>
      <c r="G644" s="16"/>
      <c r="H644" s="17" t="str">
        <f aca="false">IF(A644="","",IF(OR(B644="",C644=""),"Item ID and date needed",IF(COUNTIF(Sample_Log!$A$5:$A$204,A644)=0,"SMP-ID not in log",IF(COUNTIFS($A$5:$A$1004,A644,$B$5:$B$1004,B644)&gt;1,"Duplicate item in sample","OK"))))</f>
        <v/>
      </c>
    </row>
    <row r="645" customFormat="false" ht="15" hidden="false" customHeight="false" outlineLevel="0" collapsed="false">
      <c r="A645" s="16"/>
      <c r="B645" s="16"/>
      <c r="C645" s="18"/>
      <c r="D645" s="16"/>
      <c r="E645" s="17" t="str">
        <f aca="false">IF(C645="","","Q"&amp;ROUNDUP(MONTH(C645)/3,0))</f>
        <v/>
      </c>
      <c r="F645" s="16"/>
      <c r="G645" s="16"/>
      <c r="H645" s="17" t="str">
        <f aca="false">IF(A645="","",IF(OR(B645="",C645=""),"Item ID and date needed",IF(COUNTIF(Sample_Log!$A$5:$A$204,A645)=0,"SMP-ID not in log",IF(COUNTIFS($A$5:$A$1004,A645,$B$5:$B$1004,B645)&gt;1,"Duplicate item in sample","OK"))))</f>
        <v/>
      </c>
    </row>
    <row r="646" customFormat="false" ht="15" hidden="false" customHeight="false" outlineLevel="0" collapsed="false">
      <c r="A646" s="16"/>
      <c r="B646" s="16"/>
      <c r="C646" s="18"/>
      <c r="D646" s="16"/>
      <c r="E646" s="17" t="str">
        <f aca="false">IF(C646="","","Q"&amp;ROUNDUP(MONTH(C646)/3,0))</f>
        <v/>
      </c>
      <c r="F646" s="16"/>
      <c r="G646" s="16"/>
      <c r="H646" s="17" t="str">
        <f aca="false">IF(A646="","",IF(OR(B646="",C646=""),"Item ID and date needed",IF(COUNTIF(Sample_Log!$A$5:$A$204,A646)=0,"SMP-ID not in log",IF(COUNTIFS($A$5:$A$1004,A646,$B$5:$B$1004,B646)&gt;1,"Duplicate item in sample","OK"))))</f>
        <v/>
      </c>
    </row>
    <row r="647" customFormat="false" ht="15" hidden="false" customHeight="false" outlineLevel="0" collapsed="false">
      <c r="A647" s="16"/>
      <c r="B647" s="16"/>
      <c r="C647" s="18"/>
      <c r="D647" s="16"/>
      <c r="E647" s="17" t="str">
        <f aca="false">IF(C647="","","Q"&amp;ROUNDUP(MONTH(C647)/3,0))</f>
        <v/>
      </c>
      <c r="F647" s="16"/>
      <c r="G647" s="16"/>
      <c r="H647" s="17" t="str">
        <f aca="false">IF(A647="","",IF(OR(B647="",C647=""),"Item ID and date needed",IF(COUNTIF(Sample_Log!$A$5:$A$204,A647)=0,"SMP-ID not in log",IF(COUNTIFS($A$5:$A$1004,A647,$B$5:$B$1004,B647)&gt;1,"Duplicate item in sample","OK"))))</f>
        <v/>
      </c>
    </row>
    <row r="648" customFormat="false" ht="15" hidden="false" customHeight="false" outlineLevel="0" collapsed="false">
      <c r="A648" s="16"/>
      <c r="B648" s="16"/>
      <c r="C648" s="18"/>
      <c r="D648" s="16"/>
      <c r="E648" s="17" t="str">
        <f aca="false">IF(C648="","","Q"&amp;ROUNDUP(MONTH(C648)/3,0))</f>
        <v/>
      </c>
      <c r="F648" s="16"/>
      <c r="G648" s="16"/>
      <c r="H648" s="17" t="str">
        <f aca="false">IF(A648="","",IF(OR(B648="",C648=""),"Item ID and date needed",IF(COUNTIF(Sample_Log!$A$5:$A$204,A648)=0,"SMP-ID not in log",IF(COUNTIFS($A$5:$A$1004,A648,$B$5:$B$1004,B648)&gt;1,"Duplicate item in sample","OK"))))</f>
        <v/>
      </c>
    </row>
    <row r="649" customFormat="false" ht="15" hidden="false" customHeight="false" outlineLevel="0" collapsed="false">
      <c r="A649" s="16"/>
      <c r="B649" s="16"/>
      <c r="C649" s="18"/>
      <c r="D649" s="16"/>
      <c r="E649" s="17" t="str">
        <f aca="false">IF(C649="","","Q"&amp;ROUNDUP(MONTH(C649)/3,0))</f>
        <v/>
      </c>
      <c r="F649" s="16"/>
      <c r="G649" s="16"/>
      <c r="H649" s="17" t="str">
        <f aca="false">IF(A649="","",IF(OR(B649="",C649=""),"Item ID and date needed",IF(COUNTIF(Sample_Log!$A$5:$A$204,A649)=0,"SMP-ID not in log",IF(COUNTIFS($A$5:$A$1004,A649,$B$5:$B$1004,B649)&gt;1,"Duplicate item in sample","OK"))))</f>
        <v/>
      </c>
    </row>
    <row r="650" customFormat="false" ht="15" hidden="false" customHeight="false" outlineLevel="0" collapsed="false">
      <c r="A650" s="16"/>
      <c r="B650" s="16"/>
      <c r="C650" s="18"/>
      <c r="D650" s="16"/>
      <c r="E650" s="17" t="str">
        <f aca="false">IF(C650="","","Q"&amp;ROUNDUP(MONTH(C650)/3,0))</f>
        <v/>
      </c>
      <c r="F650" s="16"/>
      <c r="G650" s="16"/>
      <c r="H650" s="17" t="str">
        <f aca="false">IF(A650="","",IF(OR(B650="",C650=""),"Item ID and date needed",IF(COUNTIF(Sample_Log!$A$5:$A$204,A650)=0,"SMP-ID not in log",IF(COUNTIFS($A$5:$A$1004,A650,$B$5:$B$1004,B650)&gt;1,"Duplicate item in sample","OK"))))</f>
        <v/>
      </c>
    </row>
    <row r="651" customFormat="false" ht="15" hidden="false" customHeight="false" outlineLevel="0" collapsed="false">
      <c r="A651" s="16"/>
      <c r="B651" s="16"/>
      <c r="C651" s="18"/>
      <c r="D651" s="16"/>
      <c r="E651" s="17" t="str">
        <f aca="false">IF(C651="","","Q"&amp;ROUNDUP(MONTH(C651)/3,0))</f>
        <v/>
      </c>
      <c r="F651" s="16"/>
      <c r="G651" s="16"/>
      <c r="H651" s="17" t="str">
        <f aca="false">IF(A651="","",IF(OR(B651="",C651=""),"Item ID and date needed",IF(COUNTIF(Sample_Log!$A$5:$A$204,A651)=0,"SMP-ID not in log",IF(COUNTIFS($A$5:$A$1004,A651,$B$5:$B$1004,B651)&gt;1,"Duplicate item in sample","OK"))))</f>
        <v/>
      </c>
    </row>
    <row r="652" customFormat="false" ht="15" hidden="false" customHeight="false" outlineLevel="0" collapsed="false">
      <c r="A652" s="16"/>
      <c r="B652" s="16"/>
      <c r="C652" s="18"/>
      <c r="D652" s="16"/>
      <c r="E652" s="17" t="str">
        <f aca="false">IF(C652="","","Q"&amp;ROUNDUP(MONTH(C652)/3,0))</f>
        <v/>
      </c>
      <c r="F652" s="16"/>
      <c r="G652" s="16"/>
      <c r="H652" s="17" t="str">
        <f aca="false">IF(A652="","",IF(OR(B652="",C652=""),"Item ID and date needed",IF(COUNTIF(Sample_Log!$A$5:$A$204,A652)=0,"SMP-ID not in log",IF(COUNTIFS($A$5:$A$1004,A652,$B$5:$B$1004,B652)&gt;1,"Duplicate item in sample","OK"))))</f>
        <v/>
      </c>
    </row>
    <row r="653" customFormat="false" ht="15" hidden="false" customHeight="false" outlineLevel="0" collapsed="false">
      <c r="A653" s="16"/>
      <c r="B653" s="16"/>
      <c r="C653" s="18"/>
      <c r="D653" s="16"/>
      <c r="E653" s="17" t="str">
        <f aca="false">IF(C653="","","Q"&amp;ROUNDUP(MONTH(C653)/3,0))</f>
        <v/>
      </c>
      <c r="F653" s="16"/>
      <c r="G653" s="16"/>
      <c r="H653" s="17" t="str">
        <f aca="false">IF(A653="","",IF(OR(B653="",C653=""),"Item ID and date needed",IF(COUNTIF(Sample_Log!$A$5:$A$204,A653)=0,"SMP-ID not in log",IF(COUNTIFS($A$5:$A$1004,A653,$B$5:$B$1004,B653)&gt;1,"Duplicate item in sample","OK"))))</f>
        <v/>
      </c>
    </row>
    <row r="654" customFormat="false" ht="15" hidden="false" customHeight="false" outlineLevel="0" collapsed="false">
      <c r="A654" s="16"/>
      <c r="B654" s="16"/>
      <c r="C654" s="18"/>
      <c r="D654" s="16"/>
      <c r="E654" s="17" t="str">
        <f aca="false">IF(C654="","","Q"&amp;ROUNDUP(MONTH(C654)/3,0))</f>
        <v/>
      </c>
      <c r="F654" s="16"/>
      <c r="G654" s="16"/>
      <c r="H654" s="17" t="str">
        <f aca="false">IF(A654="","",IF(OR(B654="",C654=""),"Item ID and date needed",IF(COUNTIF(Sample_Log!$A$5:$A$204,A654)=0,"SMP-ID not in log",IF(COUNTIFS($A$5:$A$1004,A654,$B$5:$B$1004,B654)&gt;1,"Duplicate item in sample","OK"))))</f>
        <v/>
      </c>
    </row>
    <row r="655" customFormat="false" ht="15" hidden="false" customHeight="false" outlineLevel="0" collapsed="false">
      <c r="A655" s="16"/>
      <c r="B655" s="16"/>
      <c r="C655" s="18"/>
      <c r="D655" s="16"/>
      <c r="E655" s="17" t="str">
        <f aca="false">IF(C655="","","Q"&amp;ROUNDUP(MONTH(C655)/3,0))</f>
        <v/>
      </c>
      <c r="F655" s="16"/>
      <c r="G655" s="16"/>
      <c r="H655" s="17" t="str">
        <f aca="false">IF(A655="","",IF(OR(B655="",C655=""),"Item ID and date needed",IF(COUNTIF(Sample_Log!$A$5:$A$204,A655)=0,"SMP-ID not in log",IF(COUNTIFS($A$5:$A$1004,A655,$B$5:$B$1004,B655)&gt;1,"Duplicate item in sample","OK"))))</f>
        <v/>
      </c>
    </row>
    <row r="656" customFormat="false" ht="15" hidden="false" customHeight="false" outlineLevel="0" collapsed="false">
      <c r="A656" s="16"/>
      <c r="B656" s="16"/>
      <c r="C656" s="18"/>
      <c r="D656" s="16"/>
      <c r="E656" s="17" t="str">
        <f aca="false">IF(C656="","","Q"&amp;ROUNDUP(MONTH(C656)/3,0))</f>
        <v/>
      </c>
      <c r="F656" s="16"/>
      <c r="G656" s="16"/>
      <c r="H656" s="17" t="str">
        <f aca="false">IF(A656="","",IF(OR(B656="",C656=""),"Item ID and date needed",IF(COUNTIF(Sample_Log!$A$5:$A$204,A656)=0,"SMP-ID not in log",IF(COUNTIFS($A$5:$A$1004,A656,$B$5:$B$1004,B656)&gt;1,"Duplicate item in sample","OK"))))</f>
        <v/>
      </c>
    </row>
    <row r="657" customFormat="false" ht="15" hidden="false" customHeight="false" outlineLevel="0" collapsed="false">
      <c r="A657" s="16"/>
      <c r="B657" s="16"/>
      <c r="C657" s="18"/>
      <c r="D657" s="16"/>
      <c r="E657" s="17" t="str">
        <f aca="false">IF(C657="","","Q"&amp;ROUNDUP(MONTH(C657)/3,0))</f>
        <v/>
      </c>
      <c r="F657" s="16"/>
      <c r="G657" s="16"/>
      <c r="H657" s="17" t="str">
        <f aca="false">IF(A657="","",IF(OR(B657="",C657=""),"Item ID and date needed",IF(COUNTIF(Sample_Log!$A$5:$A$204,A657)=0,"SMP-ID not in log",IF(COUNTIFS($A$5:$A$1004,A657,$B$5:$B$1004,B657)&gt;1,"Duplicate item in sample","OK"))))</f>
        <v/>
      </c>
    </row>
    <row r="658" customFormat="false" ht="15" hidden="false" customHeight="false" outlineLevel="0" collapsed="false">
      <c r="A658" s="16"/>
      <c r="B658" s="16"/>
      <c r="C658" s="18"/>
      <c r="D658" s="16"/>
      <c r="E658" s="17" t="str">
        <f aca="false">IF(C658="","","Q"&amp;ROUNDUP(MONTH(C658)/3,0))</f>
        <v/>
      </c>
      <c r="F658" s="16"/>
      <c r="G658" s="16"/>
      <c r="H658" s="17" t="str">
        <f aca="false">IF(A658="","",IF(OR(B658="",C658=""),"Item ID and date needed",IF(COUNTIF(Sample_Log!$A$5:$A$204,A658)=0,"SMP-ID not in log",IF(COUNTIFS($A$5:$A$1004,A658,$B$5:$B$1004,B658)&gt;1,"Duplicate item in sample","OK"))))</f>
        <v/>
      </c>
    </row>
    <row r="659" customFormat="false" ht="15" hidden="false" customHeight="false" outlineLevel="0" collapsed="false">
      <c r="A659" s="16"/>
      <c r="B659" s="16"/>
      <c r="C659" s="18"/>
      <c r="D659" s="16"/>
      <c r="E659" s="17" t="str">
        <f aca="false">IF(C659="","","Q"&amp;ROUNDUP(MONTH(C659)/3,0))</f>
        <v/>
      </c>
      <c r="F659" s="16"/>
      <c r="G659" s="16"/>
      <c r="H659" s="17" t="str">
        <f aca="false">IF(A659="","",IF(OR(B659="",C659=""),"Item ID and date needed",IF(COUNTIF(Sample_Log!$A$5:$A$204,A659)=0,"SMP-ID not in log",IF(COUNTIFS($A$5:$A$1004,A659,$B$5:$B$1004,B659)&gt;1,"Duplicate item in sample","OK"))))</f>
        <v/>
      </c>
    </row>
    <row r="660" customFormat="false" ht="15" hidden="false" customHeight="false" outlineLevel="0" collapsed="false">
      <c r="A660" s="16"/>
      <c r="B660" s="16"/>
      <c r="C660" s="18"/>
      <c r="D660" s="16"/>
      <c r="E660" s="17" t="str">
        <f aca="false">IF(C660="","","Q"&amp;ROUNDUP(MONTH(C660)/3,0))</f>
        <v/>
      </c>
      <c r="F660" s="16"/>
      <c r="G660" s="16"/>
      <c r="H660" s="17" t="str">
        <f aca="false">IF(A660="","",IF(OR(B660="",C660=""),"Item ID and date needed",IF(COUNTIF(Sample_Log!$A$5:$A$204,A660)=0,"SMP-ID not in log",IF(COUNTIFS($A$5:$A$1004,A660,$B$5:$B$1004,B660)&gt;1,"Duplicate item in sample","OK"))))</f>
        <v/>
      </c>
    </row>
    <row r="661" customFormat="false" ht="15" hidden="false" customHeight="false" outlineLevel="0" collapsed="false">
      <c r="A661" s="16"/>
      <c r="B661" s="16"/>
      <c r="C661" s="18"/>
      <c r="D661" s="16"/>
      <c r="E661" s="17" t="str">
        <f aca="false">IF(C661="","","Q"&amp;ROUNDUP(MONTH(C661)/3,0))</f>
        <v/>
      </c>
      <c r="F661" s="16"/>
      <c r="G661" s="16"/>
      <c r="H661" s="17" t="str">
        <f aca="false">IF(A661="","",IF(OR(B661="",C661=""),"Item ID and date needed",IF(COUNTIF(Sample_Log!$A$5:$A$204,A661)=0,"SMP-ID not in log",IF(COUNTIFS($A$5:$A$1004,A661,$B$5:$B$1004,B661)&gt;1,"Duplicate item in sample","OK"))))</f>
        <v/>
      </c>
    </row>
    <row r="662" customFormat="false" ht="15" hidden="false" customHeight="false" outlineLevel="0" collapsed="false">
      <c r="A662" s="16"/>
      <c r="B662" s="16"/>
      <c r="C662" s="18"/>
      <c r="D662" s="16"/>
      <c r="E662" s="17" t="str">
        <f aca="false">IF(C662="","","Q"&amp;ROUNDUP(MONTH(C662)/3,0))</f>
        <v/>
      </c>
      <c r="F662" s="16"/>
      <c r="G662" s="16"/>
      <c r="H662" s="17" t="str">
        <f aca="false">IF(A662="","",IF(OR(B662="",C662=""),"Item ID and date needed",IF(COUNTIF(Sample_Log!$A$5:$A$204,A662)=0,"SMP-ID not in log",IF(COUNTIFS($A$5:$A$1004,A662,$B$5:$B$1004,B662)&gt;1,"Duplicate item in sample","OK"))))</f>
        <v/>
      </c>
    </row>
    <row r="663" customFormat="false" ht="15" hidden="false" customHeight="false" outlineLevel="0" collapsed="false">
      <c r="A663" s="16"/>
      <c r="B663" s="16"/>
      <c r="C663" s="18"/>
      <c r="D663" s="16"/>
      <c r="E663" s="17" t="str">
        <f aca="false">IF(C663="","","Q"&amp;ROUNDUP(MONTH(C663)/3,0))</f>
        <v/>
      </c>
      <c r="F663" s="16"/>
      <c r="G663" s="16"/>
      <c r="H663" s="17" t="str">
        <f aca="false">IF(A663="","",IF(OR(B663="",C663=""),"Item ID and date needed",IF(COUNTIF(Sample_Log!$A$5:$A$204,A663)=0,"SMP-ID not in log",IF(COUNTIFS($A$5:$A$1004,A663,$B$5:$B$1004,B663)&gt;1,"Duplicate item in sample","OK"))))</f>
        <v/>
      </c>
    </row>
    <row r="664" customFormat="false" ht="15" hidden="false" customHeight="false" outlineLevel="0" collapsed="false">
      <c r="A664" s="16"/>
      <c r="B664" s="16"/>
      <c r="C664" s="18"/>
      <c r="D664" s="16"/>
      <c r="E664" s="17" t="str">
        <f aca="false">IF(C664="","","Q"&amp;ROUNDUP(MONTH(C664)/3,0))</f>
        <v/>
      </c>
      <c r="F664" s="16"/>
      <c r="G664" s="16"/>
      <c r="H664" s="17" t="str">
        <f aca="false">IF(A664="","",IF(OR(B664="",C664=""),"Item ID and date needed",IF(COUNTIF(Sample_Log!$A$5:$A$204,A664)=0,"SMP-ID not in log",IF(COUNTIFS($A$5:$A$1004,A664,$B$5:$B$1004,B664)&gt;1,"Duplicate item in sample","OK"))))</f>
        <v/>
      </c>
    </row>
    <row r="665" customFormat="false" ht="15" hidden="false" customHeight="false" outlineLevel="0" collapsed="false">
      <c r="A665" s="16"/>
      <c r="B665" s="16"/>
      <c r="C665" s="18"/>
      <c r="D665" s="16"/>
      <c r="E665" s="17" t="str">
        <f aca="false">IF(C665="","","Q"&amp;ROUNDUP(MONTH(C665)/3,0))</f>
        <v/>
      </c>
      <c r="F665" s="16"/>
      <c r="G665" s="16"/>
      <c r="H665" s="17" t="str">
        <f aca="false">IF(A665="","",IF(OR(B665="",C665=""),"Item ID and date needed",IF(COUNTIF(Sample_Log!$A$5:$A$204,A665)=0,"SMP-ID not in log",IF(COUNTIFS($A$5:$A$1004,A665,$B$5:$B$1004,B665)&gt;1,"Duplicate item in sample","OK"))))</f>
        <v/>
      </c>
    </row>
    <row r="666" customFormat="false" ht="15" hidden="false" customHeight="false" outlineLevel="0" collapsed="false">
      <c r="A666" s="16"/>
      <c r="B666" s="16"/>
      <c r="C666" s="18"/>
      <c r="D666" s="16"/>
      <c r="E666" s="17" t="str">
        <f aca="false">IF(C666="","","Q"&amp;ROUNDUP(MONTH(C666)/3,0))</f>
        <v/>
      </c>
      <c r="F666" s="16"/>
      <c r="G666" s="16"/>
      <c r="H666" s="17" t="str">
        <f aca="false">IF(A666="","",IF(OR(B666="",C666=""),"Item ID and date needed",IF(COUNTIF(Sample_Log!$A$5:$A$204,A666)=0,"SMP-ID not in log",IF(COUNTIFS($A$5:$A$1004,A666,$B$5:$B$1004,B666)&gt;1,"Duplicate item in sample","OK"))))</f>
        <v/>
      </c>
    </row>
    <row r="667" customFormat="false" ht="15" hidden="false" customHeight="false" outlineLevel="0" collapsed="false">
      <c r="A667" s="16"/>
      <c r="B667" s="16"/>
      <c r="C667" s="18"/>
      <c r="D667" s="16"/>
      <c r="E667" s="17" t="str">
        <f aca="false">IF(C667="","","Q"&amp;ROUNDUP(MONTH(C667)/3,0))</f>
        <v/>
      </c>
      <c r="F667" s="16"/>
      <c r="G667" s="16"/>
      <c r="H667" s="17" t="str">
        <f aca="false">IF(A667="","",IF(OR(B667="",C667=""),"Item ID and date needed",IF(COUNTIF(Sample_Log!$A$5:$A$204,A667)=0,"SMP-ID not in log",IF(COUNTIFS($A$5:$A$1004,A667,$B$5:$B$1004,B667)&gt;1,"Duplicate item in sample","OK"))))</f>
        <v/>
      </c>
    </row>
    <row r="668" customFormat="false" ht="15" hidden="false" customHeight="false" outlineLevel="0" collapsed="false">
      <c r="A668" s="16"/>
      <c r="B668" s="16"/>
      <c r="C668" s="18"/>
      <c r="D668" s="16"/>
      <c r="E668" s="17" t="str">
        <f aca="false">IF(C668="","","Q"&amp;ROUNDUP(MONTH(C668)/3,0))</f>
        <v/>
      </c>
      <c r="F668" s="16"/>
      <c r="G668" s="16"/>
      <c r="H668" s="17" t="str">
        <f aca="false">IF(A668="","",IF(OR(B668="",C668=""),"Item ID and date needed",IF(COUNTIF(Sample_Log!$A$5:$A$204,A668)=0,"SMP-ID not in log",IF(COUNTIFS($A$5:$A$1004,A668,$B$5:$B$1004,B668)&gt;1,"Duplicate item in sample","OK"))))</f>
        <v/>
      </c>
    </row>
    <row r="669" customFormat="false" ht="15" hidden="false" customHeight="false" outlineLevel="0" collapsed="false">
      <c r="A669" s="16"/>
      <c r="B669" s="16"/>
      <c r="C669" s="18"/>
      <c r="D669" s="16"/>
      <c r="E669" s="17" t="str">
        <f aca="false">IF(C669="","","Q"&amp;ROUNDUP(MONTH(C669)/3,0))</f>
        <v/>
      </c>
      <c r="F669" s="16"/>
      <c r="G669" s="16"/>
      <c r="H669" s="17" t="str">
        <f aca="false">IF(A669="","",IF(OR(B669="",C669=""),"Item ID and date needed",IF(COUNTIF(Sample_Log!$A$5:$A$204,A669)=0,"SMP-ID not in log",IF(COUNTIFS($A$5:$A$1004,A669,$B$5:$B$1004,B669)&gt;1,"Duplicate item in sample","OK"))))</f>
        <v/>
      </c>
    </row>
    <row r="670" customFormat="false" ht="15" hidden="false" customHeight="false" outlineLevel="0" collapsed="false">
      <c r="A670" s="16"/>
      <c r="B670" s="16"/>
      <c r="C670" s="18"/>
      <c r="D670" s="16"/>
      <c r="E670" s="17" t="str">
        <f aca="false">IF(C670="","","Q"&amp;ROUNDUP(MONTH(C670)/3,0))</f>
        <v/>
      </c>
      <c r="F670" s="16"/>
      <c r="G670" s="16"/>
      <c r="H670" s="17" t="str">
        <f aca="false">IF(A670="","",IF(OR(B670="",C670=""),"Item ID and date needed",IF(COUNTIF(Sample_Log!$A$5:$A$204,A670)=0,"SMP-ID not in log",IF(COUNTIFS($A$5:$A$1004,A670,$B$5:$B$1004,B670)&gt;1,"Duplicate item in sample","OK"))))</f>
        <v/>
      </c>
    </row>
    <row r="671" customFormat="false" ht="15" hidden="false" customHeight="false" outlineLevel="0" collapsed="false">
      <c r="A671" s="16"/>
      <c r="B671" s="16"/>
      <c r="C671" s="18"/>
      <c r="D671" s="16"/>
      <c r="E671" s="17" t="str">
        <f aca="false">IF(C671="","","Q"&amp;ROUNDUP(MONTH(C671)/3,0))</f>
        <v/>
      </c>
      <c r="F671" s="16"/>
      <c r="G671" s="16"/>
      <c r="H671" s="17" t="str">
        <f aca="false">IF(A671="","",IF(OR(B671="",C671=""),"Item ID and date needed",IF(COUNTIF(Sample_Log!$A$5:$A$204,A671)=0,"SMP-ID not in log",IF(COUNTIFS($A$5:$A$1004,A671,$B$5:$B$1004,B671)&gt;1,"Duplicate item in sample","OK"))))</f>
        <v/>
      </c>
    </row>
    <row r="672" customFormat="false" ht="15" hidden="false" customHeight="false" outlineLevel="0" collapsed="false">
      <c r="A672" s="16"/>
      <c r="B672" s="16"/>
      <c r="C672" s="18"/>
      <c r="D672" s="16"/>
      <c r="E672" s="17" t="str">
        <f aca="false">IF(C672="","","Q"&amp;ROUNDUP(MONTH(C672)/3,0))</f>
        <v/>
      </c>
      <c r="F672" s="16"/>
      <c r="G672" s="16"/>
      <c r="H672" s="17" t="str">
        <f aca="false">IF(A672="","",IF(OR(B672="",C672=""),"Item ID and date needed",IF(COUNTIF(Sample_Log!$A$5:$A$204,A672)=0,"SMP-ID not in log",IF(COUNTIFS($A$5:$A$1004,A672,$B$5:$B$1004,B672)&gt;1,"Duplicate item in sample","OK"))))</f>
        <v/>
      </c>
    </row>
    <row r="673" customFormat="false" ht="15" hidden="false" customHeight="false" outlineLevel="0" collapsed="false">
      <c r="A673" s="16"/>
      <c r="B673" s="16"/>
      <c r="C673" s="18"/>
      <c r="D673" s="16"/>
      <c r="E673" s="17" t="str">
        <f aca="false">IF(C673="","","Q"&amp;ROUNDUP(MONTH(C673)/3,0))</f>
        <v/>
      </c>
      <c r="F673" s="16"/>
      <c r="G673" s="16"/>
      <c r="H673" s="17" t="str">
        <f aca="false">IF(A673="","",IF(OR(B673="",C673=""),"Item ID and date needed",IF(COUNTIF(Sample_Log!$A$5:$A$204,A673)=0,"SMP-ID not in log",IF(COUNTIFS($A$5:$A$1004,A673,$B$5:$B$1004,B673)&gt;1,"Duplicate item in sample","OK"))))</f>
        <v/>
      </c>
    </row>
    <row r="674" customFormat="false" ht="15" hidden="false" customHeight="false" outlineLevel="0" collapsed="false">
      <c r="A674" s="16"/>
      <c r="B674" s="16"/>
      <c r="C674" s="18"/>
      <c r="D674" s="16"/>
      <c r="E674" s="17" t="str">
        <f aca="false">IF(C674="","","Q"&amp;ROUNDUP(MONTH(C674)/3,0))</f>
        <v/>
      </c>
      <c r="F674" s="16"/>
      <c r="G674" s="16"/>
      <c r="H674" s="17" t="str">
        <f aca="false">IF(A674="","",IF(OR(B674="",C674=""),"Item ID and date needed",IF(COUNTIF(Sample_Log!$A$5:$A$204,A674)=0,"SMP-ID not in log",IF(COUNTIFS($A$5:$A$1004,A674,$B$5:$B$1004,B674)&gt;1,"Duplicate item in sample","OK"))))</f>
        <v/>
      </c>
    </row>
    <row r="675" customFormat="false" ht="15" hidden="false" customHeight="false" outlineLevel="0" collapsed="false">
      <c r="A675" s="16"/>
      <c r="B675" s="16"/>
      <c r="C675" s="18"/>
      <c r="D675" s="16"/>
      <c r="E675" s="17" t="str">
        <f aca="false">IF(C675="","","Q"&amp;ROUNDUP(MONTH(C675)/3,0))</f>
        <v/>
      </c>
      <c r="F675" s="16"/>
      <c r="G675" s="16"/>
      <c r="H675" s="17" t="str">
        <f aca="false">IF(A675="","",IF(OR(B675="",C675=""),"Item ID and date needed",IF(COUNTIF(Sample_Log!$A$5:$A$204,A675)=0,"SMP-ID not in log",IF(COUNTIFS($A$5:$A$1004,A675,$B$5:$B$1004,B675)&gt;1,"Duplicate item in sample","OK"))))</f>
        <v/>
      </c>
    </row>
    <row r="676" customFormat="false" ht="15" hidden="false" customHeight="false" outlineLevel="0" collapsed="false">
      <c r="A676" s="16"/>
      <c r="B676" s="16"/>
      <c r="C676" s="18"/>
      <c r="D676" s="16"/>
      <c r="E676" s="17" t="str">
        <f aca="false">IF(C676="","","Q"&amp;ROUNDUP(MONTH(C676)/3,0))</f>
        <v/>
      </c>
      <c r="F676" s="16"/>
      <c r="G676" s="16"/>
      <c r="H676" s="17" t="str">
        <f aca="false">IF(A676="","",IF(OR(B676="",C676=""),"Item ID and date needed",IF(COUNTIF(Sample_Log!$A$5:$A$204,A676)=0,"SMP-ID not in log",IF(COUNTIFS($A$5:$A$1004,A676,$B$5:$B$1004,B676)&gt;1,"Duplicate item in sample","OK"))))</f>
        <v/>
      </c>
    </row>
    <row r="677" customFormat="false" ht="15" hidden="false" customHeight="false" outlineLevel="0" collapsed="false">
      <c r="A677" s="16"/>
      <c r="B677" s="16"/>
      <c r="C677" s="18"/>
      <c r="D677" s="16"/>
      <c r="E677" s="17" t="str">
        <f aca="false">IF(C677="","","Q"&amp;ROUNDUP(MONTH(C677)/3,0))</f>
        <v/>
      </c>
      <c r="F677" s="16"/>
      <c r="G677" s="16"/>
      <c r="H677" s="17" t="str">
        <f aca="false">IF(A677="","",IF(OR(B677="",C677=""),"Item ID and date needed",IF(COUNTIF(Sample_Log!$A$5:$A$204,A677)=0,"SMP-ID not in log",IF(COUNTIFS($A$5:$A$1004,A677,$B$5:$B$1004,B677)&gt;1,"Duplicate item in sample","OK"))))</f>
        <v/>
      </c>
    </row>
    <row r="678" customFormat="false" ht="15" hidden="false" customHeight="false" outlineLevel="0" collapsed="false">
      <c r="A678" s="16"/>
      <c r="B678" s="16"/>
      <c r="C678" s="18"/>
      <c r="D678" s="16"/>
      <c r="E678" s="17" t="str">
        <f aca="false">IF(C678="","","Q"&amp;ROUNDUP(MONTH(C678)/3,0))</f>
        <v/>
      </c>
      <c r="F678" s="16"/>
      <c r="G678" s="16"/>
      <c r="H678" s="17" t="str">
        <f aca="false">IF(A678="","",IF(OR(B678="",C678=""),"Item ID and date needed",IF(COUNTIF(Sample_Log!$A$5:$A$204,A678)=0,"SMP-ID not in log",IF(COUNTIFS($A$5:$A$1004,A678,$B$5:$B$1004,B678)&gt;1,"Duplicate item in sample","OK"))))</f>
        <v/>
      </c>
    </row>
    <row r="679" customFormat="false" ht="15" hidden="false" customHeight="false" outlineLevel="0" collapsed="false">
      <c r="A679" s="16"/>
      <c r="B679" s="16"/>
      <c r="C679" s="18"/>
      <c r="D679" s="16"/>
      <c r="E679" s="17" t="str">
        <f aca="false">IF(C679="","","Q"&amp;ROUNDUP(MONTH(C679)/3,0))</f>
        <v/>
      </c>
      <c r="F679" s="16"/>
      <c r="G679" s="16"/>
      <c r="H679" s="17" t="str">
        <f aca="false">IF(A679="","",IF(OR(B679="",C679=""),"Item ID and date needed",IF(COUNTIF(Sample_Log!$A$5:$A$204,A679)=0,"SMP-ID not in log",IF(COUNTIFS($A$5:$A$1004,A679,$B$5:$B$1004,B679)&gt;1,"Duplicate item in sample","OK"))))</f>
        <v/>
      </c>
    </row>
    <row r="680" customFormat="false" ht="15" hidden="false" customHeight="false" outlineLevel="0" collapsed="false">
      <c r="A680" s="16"/>
      <c r="B680" s="16"/>
      <c r="C680" s="18"/>
      <c r="D680" s="16"/>
      <c r="E680" s="17" t="str">
        <f aca="false">IF(C680="","","Q"&amp;ROUNDUP(MONTH(C680)/3,0))</f>
        <v/>
      </c>
      <c r="F680" s="16"/>
      <c r="G680" s="16"/>
      <c r="H680" s="17" t="str">
        <f aca="false">IF(A680="","",IF(OR(B680="",C680=""),"Item ID and date needed",IF(COUNTIF(Sample_Log!$A$5:$A$204,A680)=0,"SMP-ID not in log",IF(COUNTIFS($A$5:$A$1004,A680,$B$5:$B$1004,B680)&gt;1,"Duplicate item in sample","OK"))))</f>
        <v/>
      </c>
    </row>
    <row r="681" customFormat="false" ht="15" hidden="false" customHeight="false" outlineLevel="0" collapsed="false">
      <c r="A681" s="16"/>
      <c r="B681" s="16"/>
      <c r="C681" s="18"/>
      <c r="D681" s="16"/>
      <c r="E681" s="17" t="str">
        <f aca="false">IF(C681="","","Q"&amp;ROUNDUP(MONTH(C681)/3,0))</f>
        <v/>
      </c>
      <c r="F681" s="16"/>
      <c r="G681" s="16"/>
      <c r="H681" s="17" t="str">
        <f aca="false">IF(A681="","",IF(OR(B681="",C681=""),"Item ID and date needed",IF(COUNTIF(Sample_Log!$A$5:$A$204,A681)=0,"SMP-ID not in log",IF(COUNTIFS($A$5:$A$1004,A681,$B$5:$B$1004,B681)&gt;1,"Duplicate item in sample","OK"))))</f>
        <v/>
      </c>
    </row>
    <row r="682" customFormat="false" ht="15" hidden="false" customHeight="false" outlineLevel="0" collapsed="false">
      <c r="A682" s="16"/>
      <c r="B682" s="16"/>
      <c r="C682" s="18"/>
      <c r="D682" s="16"/>
      <c r="E682" s="17" t="str">
        <f aca="false">IF(C682="","","Q"&amp;ROUNDUP(MONTH(C682)/3,0))</f>
        <v/>
      </c>
      <c r="F682" s="16"/>
      <c r="G682" s="16"/>
      <c r="H682" s="17" t="str">
        <f aca="false">IF(A682="","",IF(OR(B682="",C682=""),"Item ID and date needed",IF(COUNTIF(Sample_Log!$A$5:$A$204,A682)=0,"SMP-ID not in log",IF(COUNTIFS($A$5:$A$1004,A682,$B$5:$B$1004,B682)&gt;1,"Duplicate item in sample","OK"))))</f>
        <v/>
      </c>
    </row>
    <row r="683" customFormat="false" ht="15" hidden="false" customHeight="false" outlineLevel="0" collapsed="false">
      <c r="A683" s="16"/>
      <c r="B683" s="16"/>
      <c r="C683" s="18"/>
      <c r="D683" s="16"/>
      <c r="E683" s="17" t="str">
        <f aca="false">IF(C683="","","Q"&amp;ROUNDUP(MONTH(C683)/3,0))</f>
        <v/>
      </c>
      <c r="F683" s="16"/>
      <c r="G683" s="16"/>
      <c r="H683" s="17" t="str">
        <f aca="false">IF(A683="","",IF(OR(B683="",C683=""),"Item ID and date needed",IF(COUNTIF(Sample_Log!$A$5:$A$204,A683)=0,"SMP-ID not in log",IF(COUNTIFS($A$5:$A$1004,A683,$B$5:$B$1004,B683)&gt;1,"Duplicate item in sample","OK"))))</f>
        <v/>
      </c>
    </row>
    <row r="684" customFormat="false" ht="15" hidden="false" customHeight="false" outlineLevel="0" collapsed="false">
      <c r="A684" s="16"/>
      <c r="B684" s="16"/>
      <c r="C684" s="18"/>
      <c r="D684" s="16"/>
      <c r="E684" s="17" t="str">
        <f aca="false">IF(C684="","","Q"&amp;ROUNDUP(MONTH(C684)/3,0))</f>
        <v/>
      </c>
      <c r="F684" s="16"/>
      <c r="G684" s="16"/>
      <c r="H684" s="17" t="str">
        <f aca="false">IF(A684="","",IF(OR(B684="",C684=""),"Item ID and date needed",IF(COUNTIF(Sample_Log!$A$5:$A$204,A684)=0,"SMP-ID not in log",IF(COUNTIFS($A$5:$A$1004,A684,$B$5:$B$1004,B684)&gt;1,"Duplicate item in sample","OK"))))</f>
        <v/>
      </c>
    </row>
    <row r="685" customFormat="false" ht="15" hidden="false" customHeight="false" outlineLevel="0" collapsed="false">
      <c r="A685" s="16"/>
      <c r="B685" s="16"/>
      <c r="C685" s="18"/>
      <c r="D685" s="16"/>
      <c r="E685" s="17" t="str">
        <f aca="false">IF(C685="","","Q"&amp;ROUNDUP(MONTH(C685)/3,0))</f>
        <v/>
      </c>
      <c r="F685" s="16"/>
      <c r="G685" s="16"/>
      <c r="H685" s="17" t="str">
        <f aca="false">IF(A685="","",IF(OR(B685="",C685=""),"Item ID and date needed",IF(COUNTIF(Sample_Log!$A$5:$A$204,A685)=0,"SMP-ID not in log",IF(COUNTIFS($A$5:$A$1004,A685,$B$5:$B$1004,B685)&gt;1,"Duplicate item in sample","OK"))))</f>
        <v/>
      </c>
    </row>
    <row r="686" customFormat="false" ht="15" hidden="false" customHeight="false" outlineLevel="0" collapsed="false">
      <c r="A686" s="16"/>
      <c r="B686" s="16"/>
      <c r="C686" s="18"/>
      <c r="D686" s="16"/>
      <c r="E686" s="17" t="str">
        <f aca="false">IF(C686="","","Q"&amp;ROUNDUP(MONTH(C686)/3,0))</f>
        <v/>
      </c>
      <c r="F686" s="16"/>
      <c r="G686" s="16"/>
      <c r="H686" s="17" t="str">
        <f aca="false">IF(A686="","",IF(OR(B686="",C686=""),"Item ID and date needed",IF(COUNTIF(Sample_Log!$A$5:$A$204,A686)=0,"SMP-ID not in log",IF(COUNTIFS($A$5:$A$1004,A686,$B$5:$B$1004,B686)&gt;1,"Duplicate item in sample","OK"))))</f>
        <v/>
      </c>
    </row>
    <row r="687" customFormat="false" ht="15" hidden="false" customHeight="false" outlineLevel="0" collapsed="false">
      <c r="A687" s="16"/>
      <c r="B687" s="16"/>
      <c r="C687" s="18"/>
      <c r="D687" s="16"/>
      <c r="E687" s="17" t="str">
        <f aca="false">IF(C687="","","Q"&amp;ROUNDUP(MONTH(C687)/3,0))</f>
        <v/>
      </c>
      <c r="F687" s="16"/>
      <c r="G687" s="16"/>
      <c r="H687" s="17" t="str">
        <f aca="false">IF(A687="","",IF(OR(B687="",C687=""),"Item ID and date needed",IF(COUNTIF(Sample_Log!$A$5:$A$204,A687)=0,"SMP-ID not in log",IF(COUNTIFS($A$5:$A$1004,A687,$B$5:$B$1004,B687)&gt;1,"Duplicate item in sample","OK"))))</f>
        <v/>
      </c>
    </row>
    <row r="688" customFormat="false" ht="15" hidden="false" customHeight="false" outlineLevel="0" collapsed="false">
      <c r="A688" s="16"/>
      <c r="B688" s="16"/>
      <c r="C688" s="18"/>
      <c r="D688" s="16"/>
      <c r="E688" s="17" t="str">
        <f aca="false">IF(C688="","","Q"&amp;ROUNDUP(MONTH(C688)/3,0))</f>
        <v/>
      </c>
      <c r="F688" s="16"/>
      <c r="G688" s="16"/>
      <c r="H688" s="17" t="str">
        <f aca="false">IF(A688="","",IF(OR(B688="",C688=""),"Item ID and date needed",IF(COUNTIF(Sample_Log!$A$5:$A$204,A688)=0,"SMP-ID not in log",IF(COUNTIFS($A$5:$A$1004,A688,$B$5:$B$1004,B688)&gt;1,"Duplicate item in sample","OK"))))</f>
        <v/>
      </c>
    </row>
    <row r="689" customFormat="false" ht="15" hidden="false" customHeight="false" outlineLevel="0" collapsed="false">
      <c r="A689" s="16"/>
      <c r="B689" s="16"/>
      <c r="C689" s="18"/>
      <c r="D689" s="16"/>
      <c r="E689" s="17" t="str">
        <f aca="false">IF(C689="","","Q"&amp;ROUNDUP(MONTH(C689)/3,0))</f>
        <v/>
      </c>
      <c r="F689" s="16"/>
      <c r="G689" s="16"/>
      <c r="H689" s="17" t="str">
        <f aca="false">IF(A689="","",IF(OR(B689="",C689=""),"Item ID and date needed",IF(COUNTIF(Sample_Log!$A$5:$A$204,A689)=0,"SMP-ID not in log",IF(COUNTIFS($A$5:$A$1004,A689,$B$5:$B$1004,B689)&gt;1,"Duplicate item in sample","OK"))))</f>
        <v/>
      </c>
    </row>
    <row r="690" customFormat="false" ht="15" hidden="false" customHeight="false" outlineLevel="0" collapsed="false">
      <c r="A690" s="16"/>
      <c r="B690" s="16"/>
      <c r="C690" s="18"/>
      <c r="D690" s="16"/>
      <c r="E690" s="17" t="str">
        <f aca="false">IF(C690="","","Q"&amp;ROUNDUP(MONTH(C690)/3,0))</f>
        <v/>
      </c>
      <c r="F690" s="16"/>
      <c r="G690" s="16"/>
      <c r="H690" s="17" t="str">
        <f aca="false">IF(A690="","",IF(OR(B690="",C690=""),"Item ID and date needed",IF(COUNTIF(Sample_Log!$A$5:$A$204,A690)=0,"SMP-ID not in log",IF(COUNTIFS($A$5:$A$1004,A690,$B$5:$B$1004,B690)&gt;1,"Duplicate item in sample","OK"))))</f>
        <v/>
      </c>
    </row>
    <row r="691" customFormat="false" ht="15" hidden="false" customHeight="false" outlineLevel="0" collapsed="false">
      <c r="A691" s="16"/>
      <c r="B691" s="16"/>
      <c r="C691" s="18"/>
      <c r="D691" s="16"/>
      <c r="E691" s="17" t="str">
        <f aca="false">IF(C691="","","Q"&amp;ROUNDUP(MONTH(C691)/3,0))</f>
        <v/>
      </c>
      <c r="F691" s="16"/>
      <c r="G691" s="16"/>
      <c r="H691" s="17" t="str">
        <f aca="false">IF(A691="","",IF(OR(B691="",C691=""),"Item ID and date needed",IF(COUNTIF(Sample_Log!$A$5:$A$204,A691)=0,"SMP-ID not in log",IF(COUNTIFS($A$5:$A$1004,A691,$B$5:$B$1004,B691)&gt;1,"Duplicate item in sample","OK"))))</f>
        <v/>
      </c>
    </row>
    <row r="692" customFormat="false" ht="15" hidden="false" customHeight="false" outlineLevel="0" collapsed="false">
      <c r="A692" s="16"/>
      <c r="B692" s="16"/>
      <c r="C692" s="18"/>
      <c r="D692" s="16"/>
      <c r="E692" s="17" t="str">
        <f aca="false">IF(C692="","","Q"&amp;ROUNDUP(MONTH(C692)/3,0))</f>
        <v/>
      </c>
      <c r="F692" s="16"/>
      <c r="G692" s="16"/>
      <c r="H692" s="17" t="str">
        <f aca="false">IF(A692="","",IF(OR(B692="",C692=""),"Item ID and date needed",IF(COUNTIF(Sample_Log!$A$5:$A$204,A692)=0,"SMP-ID not in log",IF(COUNTIFS($A$5:$A$1004,A692,$B$5:$B$1004,B692)&gt;1,"Duplicate item in sample","OK"))))</f>
        <v/>
      </c>
    </row>
    <row r="693" customFormat="false" ht="15" hidden="false" customHeight="false" outlineLevel="0" collapsed="false">
      <c r="A693" s="16"/>
      <c r="B693" s="16"/>
      <c r="C693" s="18"/>
      <c r="D693" s="16"/>
      <c r="E693" s="17" t="str">
        <f aca="false">IF(C693="","","Q"&amp;ROUNDUP(MONTH(C693)/3,0))</f>
        <v/>
      </c>
      <c r="F693" s="16"/>
      <c r="G693" s="16"/>
      <c r="H693" s="17" t="str">
        <f aca="false">IF(A693="","",IF(OR(B693="",C693=""),"Item ID and date needed",IF(COUNTIF(Sample_Log!$A$5:$A$204,A693)=0,"SMP-ID not in log",IF(COUNTIFS($A$5:$A$1004,A693,$B$5:$B$1004,B693)&gt;1,"Duplicate item in sample","OK"))))</f>
        <v/>
      </c>
    </row>
    <row r="694" customFormat="false" ht="15" hidden="false" customHeight="false" outlineLevel="0" collapsed="false">
      <c r="A694" s="16"/>
      <c r="B694" s="16"/>
      <c r="C694" s="18"/>
      <c r="D694" s="16"/>
      <c r="E694" s="17" t="str">
        <f aca="false">IF(C694="","","Q"&amp;ROUNDUP(MONTH(C694)/3,0))</f>
        <v/>
      </c>
      <c r="F694" s="16"/>
      <c r="G694" s="16"/>
      <c r="H694" s="17" t="str">
        <f aca="false">IF(A694="","",IF(OR(B694="",C694=""),"Item ID and date needed",IF(COUNTIF(Sample_Log!$A$5:$A$204,A694)=0,"SMP-ID not in log",IF(COUNTIFS($A$5:$A$1004,A694,$B$5:$B$1004,B694)&gt;1,"Duplicate item in sample","OK"))))</f>
        <v/>
      </c>
    </row>
    <row r="695" customFormat="false" ht="15" hidden="false" customHeight="false" outlineLevel="0" collapsed="false">
      <c r="A695" s="16"/>
      <c r="B695" s="16"/>
      <c r="C695" s="18"/>
      <c r="D695" s="16"/>
      <c r="E695" s="17" t="str">
        <f aca="false">IF(C695="","","Q"&amp;ROUNDUP(MONTH(C695)/3,0))</f>
        <v/>
      </c>
      <c r="F695" s="16"/>
      <c r="G695" s="16"/>
      <c r="H695" s="17" t="str">
        <f aca="false">IF(A695="","",IF(OR(B695="",C695=""),"Item ID and date needed",IF(COUNTIF(Sample_Log!$A$5:$A$204,A695)=0,"SMP-ID not in log",IF(COUNTIFS($A$5:$A$1004,A695,$B$5:$B$1004,B695)&gt;1,"Duplicate item in sample","OK"))))</f>
        <v/>
      </c>
    </row>
    <row r="696" customFormat="false" ht="15" hidden="false" customHeight="false" outlineLevel="0" collapsed="false">
      <c r="A696" s="16"/>
      <c r="B696" s="16"/>
      <c r="C696" s="18"/>
      <c r="D696" s="16"/>
      <c r="E696" s="17" t="str">
        <f aca="false">IF(C696="","","Q"&amp;ROUNDUP(MONTH(C696)/3,0))</f>
        <v/>
      </c>
      <c r="F696" s="16"/>
      <c r="G696" s="16"/>
      <c r="H696" s="17" t="str">
        <f aca="false">IF(A696="","",IF(OR(B696="",C696=""),"Item ID and date needed",IF(COUNTIF(Sample_Log!$A$5:$A$204,A696)=0,"SMP-ID not in log",IF(COUNTIFS($A$5:$A$1004,A696,$B$5:$B$1004,B696)&gt;1,"Duplicate item in sample","OK"))))</f>
        <v/>
      </c>
    </row>
    <row r="697" customFormat="false" ht="15" hidden="false" customHeight="false" outlineLevel="0" collapsed="false">
      <c r="A697" s="16"/>
      <c r="B697" s="16"/>
      <c r="C697" s="18"/>
      <c r="D697" s="16"/>
      <c r="E697" s="17" t="str">
        <f aca="false">IF(C697="","","Q"&amp;ROUNDUP(MONTH(C697)/3,0))</f>
        <v/>
      </c>
      <c r="F697" s="16"/>
      <c r="G697" s="16"/>
      <c r="H697" s="17" t="str">
        <f aca="false">IF(A697="","",IF(OR(B697="",C697=""),"Item ID and date needed",IF(COUNTIF(Sample_Log!$A$5:$A$204,A697)=0,"SMP-ID not in log",IF(COUNTIFS($A$5:$A$1004,A697,$B$5:$B$1004,B697)&gt;1,"Duplicate item in sample","OK"))))</f>
        <v/>
      </c>
    </row>
    <row r="698" customFormat="false" ht="15" hidden="false" customHeight="false" outlineLevel="0" collapsed="false">
      <c r="A698" s="16"/>
      <c r="B698" s="16"/>
      <c r="C698" s="18"/>
      <c r="D698" s="16"/>
      <c r="E698" s="17" t="str">
        <f aca="false">IF(C698="","","Q"&amp;ROUNDUP(MONTH(C698)/3,0))</f>
        <v/>
      </c>
      <c r="F698" s="16"/>
      <c r="G698" s="16"/>
      <c r="H698" s="17" t="str">
        <f aca="false">IF(A698="","",IF(OR(B698="",C698=""),"Item ID and date needed",IF(COUNTIF(Sample_Log!$A$5:$A$204,A698)=0,"SMP-ID not in log",IF(COUNTIFS($A$5:$A$1004,A698,$B$5:$B$1004,B698)&gt;1,"Duplicate item in sample","OK"))))</f>
        <v/>
      </c>
    </row>
    <row r="699" customFormat="false" ht="15" hidden="false" customHeight="false" outlineLevel="0" collapsed="false">
      <c r="A699" s="16"/>
      <c r="B699" s="16"/>
      <c r="C699" s="18"/>
      <c r="D699" s="16"/>
      <c r="E699" s="17" t="str">
        <f aca="false">IF(C699="","","Q"&amp;ROUNDUP(MONTH(C699)/3,0))</f>
        <v/>
      </c>
      <c r="F699" s="16"/>
      <c r="G699" s="16"/>
      <c r="H699" s="17" t="str">
        <f aca="false">IF(A699="","",IF(OR(B699="",C699=""),"Item ID and date needed",IF(COUNTIF(Sample_Log!$A$5:$A$204,A699)=0,"SMP-ID not in log",IF(COUNTIFS($A$5:$A$1004,A699,$B$5:$B$1004,B699)&gt;1,"Duplicate item in sample","OK"))))</f>
        <v/>
      </c>
    </row>
    <row r="700" customFormat="false" ht="15" hidden="false" customHeight="false" outlineLevel="0" collapsed="false">
      <c r="A700" s="16"/>
      <c r="B700" s="16"/>
      <c r="C700" s="18"/>
      <c r="D700" s="16"/>
      <c r="E700" s="17" t="str">
        <f aca="false">IF(C700="","","Q"&amp;ROUNDUP(MONTH(C700)/3,0))</f>
        <v/>
      </c>
      <c r="F700" s="16"/>
      <c r="G700" s="16"/>
      <c r="H700" s="17" t="str">
        <f aca="false">IF(A700="","",IF(OR(B700="",C700=""),"Item ID and date needed",IF(COUNTIF(Sample_Log!$A$5:$A$204,A700)=0,"SMP-ID not in log",IF(COUNTIFS($A$5:$A$1004,A700,$B$5:$B$1004,B700)&gt;1,"Duplicate item in sample","OK"))))</f>
        <v/>
      </c>
    </row>
    <row r="701" customFormat="false" ht="15" hidden="false" customHeight="false" outlineLevel="0" collapsed="false">
      <c r="A701" s="16"/>
      <c r="B701" s="16"/>
      <c r="C701" s="18"/>
      <c r="D701" s="16"/>
      <c r="E701" s="17" t="str">
        <f aca="false">IF(C701="","","Q"&amp;ROUNDUP(MONTH(C701)/3,0))</f>
        <v/>
      </c>
      <c r="F701" s="16"/>
      <c r="G701" s="16"/>
      <c r="H701" s="17" t="str">
        <f aca="false">IF(A701="","",IF(OR(B701="",C701=""),"Item ID and date needed",IF(COUNTIF(Sample_Log!$A$5:$A$204,A701)=0,"SMP-ID not in log",IF(COUNTIFS($A$5:$A$1004,A701,$B$5:$B$1004,B701)&gt;1,"Duplicate item in sample","OK"))))</f>
        <v/>
      </c>
    </row>
    <row r="702" customFormat="false" ht="15" hidden="false" customHeight="false" outlineLevel="0" collapsed="false">
      <c r="A702" s="16"/>
      <c r="B702" s="16"/>
      <c r="C702" s="18"/>
      <c r="D702" s="16"/>
      <c r="E702" s="17" t="str">
        <f aca="false">IF(C702="","","Q"&amp;ROUNDUP(MONTH(C702)/3,0))</f>
        <v/>
      </c>
      <c r="F702" s="16"/>
      <c r="G702" s="16"/>
      <c r="H702" s="17" t="str">
        <f aca="false">IF(A702="","",IF(OR(B702="",C702=""),"Item ID and date needed",IF(COUNTIF(Sample_Log!$A$5:$A$204,A702)=0,"SMP-ID not in log",IF(COUNTIFS($A$5:$A$1004,A702,$B$5:$B$1004,B702)&gt;1,"Duplicate item in sample","OK"))))</f>
        <v/>
      </c>
    </row>
    <row r="703" customFormat="false" ht="15" hidden="false" customHeight="false" outlineLevel="0" collapsed="false">
      <c r="A703" s="16"/>
      <c r="B703" s="16"/>
      <c r="C703" s="18"/>
      <c r="D703" s="16"/>
      <c r="E703" s="17" t="str">
        <f aca="false">IF(C703="","","Q"&amp;ROUNDUP(MONTH(C703)/3,0))</f>
        <v/>
      </c>
      <c r="F703" s="16"/>
      <c r="G703" s="16"/>
      <c r="H703" s="17" t="str">
        <f aca="false">IF(A703="","",IF(OR(B703="",C703=""),"Item ID and date needed",IF(COUNTIF(Sample_Log!$A$5:$A$204,A703)=0,"SMP-ID not in log",IF(COUNTIFS($A$5:$A$1004,A703,$B$5:$B$1004,B703)&gt;1,"Duplicate item in sample","OK"))))</f>
        <v/>
      </c>
    </row>
    <row r="704" customFormat="false" ht="15" hidden="false" customHeight="false" outlineLevel="0" collapsed="false">
      <c r="A704" s="16"/>
      <c r="B704" s="16"/>
      <c r="C704" s="18"/>
      <c r="D704" s="16"/>
      <c r="E704" s="17" t="str">
        <f aca="false">IF(C704="","","Q"&amp;ROUNDUP(MONTH(C704)/3,0))</f>
        <v/>
      </c>
      <c r="F704" s="16"/>
      <c r="G704" s="16"/>
      <c r="H704" s="17" t="str">
        <f aca="false">IF(A704="","",IF(OR(B704="",C704=""),"Item ID and date needed",IF(COUNTIF(Sample_Log!$A$5:$A$204,A704)=0,"SMP-ID not in log",IF(COUNTIFS($A$5:$A$1004,A704,$B$5:$B$1004,B704)&gt;1,"Duplicate item in sample","OK"))))</f>
        <v/>
      </c>
    </row>
    <row r="705" customFormat="false" ht="15" hidden="false" customHeight="false" outlineLevel="0" collapsed="false">
      <c r="A705" s="16"/>
      <c r="B705" s="16"/>
      <c r="C705" s="18"/>
      <c r="D705" s="16"/>
      <c r="E705" s="17" t="str">
        <f aca="false">IF(C705="","","Q"&amp;ROUNDUP(MONTH(C705)/3,0))</f>
        <v/>
      </c>
      <c r="F705" s="16"/>
      <c r="G705" s="16"/>
      <c r="H705" s="17" t="str">
        <f aca="false">IF(A705="","",IF(OR(B705="",C705=""),"Item ID and date needed",IF(COUNTIF(Sample_Log!$A$5:$A$204,A705)=0,"SMP-ID not in log",IF(COUNTIFS($A$5:$A$1004,A705,$B$5:$B$1004,B705)&gt;1,"Duplicate item in sample","OK"))))</f>
        <v/>
      </c>
    </row>
    <row r="706" customFormat="false" ht="15" hidden="false" customHeight="false" outlineLevel="0" collapsed="false">
      <c r="A706" s="16"/>
      <c r="B706" s="16"/>
      <c r="C706" s="18"/>
      <c r="D706" s="16"/>
      <c r="E706" s="17" t="str">
        <f aca="false">IF(C706="","","Q"&amp;ROUNDUP(MONTH(C706)/3,0))</f>
        <v/>
      </c>
      <c r="F706" s="16"/>
      <c r="G706" s="16"/>
      <c r="H706" s="17" t="str">
        <f aca="false">IF(A706="","",IF(OR(B706="",C706=""),"Item ID and date needed",IF(COUNTIF(Sample_Log!$A$5:$A$204,A706)=0,"SMP-ID not in log",IF(COUNTIFS($A$5:$A$1004,A706,$B$5:$B$1004,B706)&gt;1,"Duplicate item in sample","OK"))))</f>
        <v/>
      </c>
    </row>
    <row r="707" customFormat="false" ht="15" hidden="false" customHeight="false" outlineLevel="0" collapsed="false">
      <c r="A707" s="16"/>
      <c r="B707" s="16"/>
      <c r="C707" s="18"/>
      <c r="D707" s="16"/>
      <c r="E707" s="17" t="str">
        <f aca="false">IF(C707="","","Q"&amp;ROUNDUP(MONTH(C707)/3,0))</f>
        <v/>
      </c>
      <c r="F707" s="16"/>
      <c r="G707" s="16"/>
      <c r="H707" s="17" t="str">
        <f aca="false">IF(A707="","",IF(OR(B707="",C707=""),"Item ID and date needed",IF(COUNTIF(Sample_Log!$A$5:$A$204,A707)=0,"SMP-ID not in log",IF(COUNTIFS($A$5:$A$1004,A707,$B$5:$B$1004,B707)&gt;1,"Duplicate item in sample","OK"))))</f>
        <v/>
      </c>
    </row>
    <row r="708" customFormat="false" ht="15" hidden="false" customHeight="false" outlineLevel="0" collapsed="false">
      <c r="A708" s="16"/>
      <c r="B708" s="16"/>
      <c r="C708" s="18"/>
      <c r="D708" s="16"/>
      <c r="E708" s="17" t="str">
        <f aca="false">IF(C708="","","Q"&amp;ROUNDUP(MONTH(C708)/3,0))</f>
        <v/>
      </c>
      <c r="F708" s="16"/>
      <c r="G708" s="16"/>
      <c r="H708" s="17" t="str">
        <f aca="false">IF(A708="","",IF(OR(B708="",C708=""),"Item ID and date needed",IF(COUNTIF(Sample_Log!$A$5:$A$204,A708)=0,"SMP-ID not in log",IF(COUNTIFS($A$5:$A$1004,A708,$B$5:$B$1004,B708)&gt;1,"Duplicate item in sample","OK"))))</f>
        <v/>
      </c>
    </row>
    <row r="709" customFormat="false" ht="15" hidden="false" customHeight="false" outlineLevel="0" collapsed="false">
      <c r="A709" s="16"/>
      <c r="B709" s="16"/>
      <c r="C709" s="18"/>
      <c r="D709" s="16"/>
      <c r="E709" s="17" t="str">
        <f aca="false">IF(C709="","","Q"&amp;ROUNDUP(MONTH(C709)/3,0))</f>
        <v/>
      </c>
      <c r="F709" s="16"/>
      <c r="G709" s="16"/>
      <c r="H709" s="17" t="str">
        <f aca="false">IF(A709="","",IF(OR(B709="",C709=""),"Item ID and date needed",IF(COUNTIF(Sample_Log!$A$5:$A$204,A709)=0,"SMP-ID not in log",IF(COUNTIFS($A$5:$A$1004,A709,$B$5:$B$1004,B709)&gt;1,"Duplicate item in sample","OK"))))</f>
        <v/>
      </c>
    </row>
    <row r="710" customFormat="false" ht="15" hidden="false" customHeight="false" outlineLevel="0" collapsed="false">
      <c r="A710" s="16"/>
      <c r="B710" s="16"/>
      <c r="C710" s="18"/>
      <c r="D710" s="16"/>
      <c r="E710" s="17" t="str">
        <f aca="false">IF(C710="","","Q"&amp;ROUNDUP(MONTH(C710)/3,0))</f>
        <v/>
      </c>
      <c r="F710" s="16"/>
      <c r="G710" s="16"/>
      <c r="H710" s="17" t="str">
        <f aca="false">IF(A710="","",IF(OR(B710="",C710=""),"Item ID and date needed",IF(COUNTIF(Sample_Log!$A$5:$A$204,A710)=0,"SMP-ID not in log",IF(COUNTIFS($A$5:$A$1004,A710,$B$5:$B$1004,B710)&gt;1,"Duplicate item in sample","OK"))))</f>
        <v/>
      </c>
    </row>
    <row r="711" customFormat="false" ht="15" hidden="false" customHeight="false" outlineLevel="0" collapsed="false">
      <c r="A711" s="16"/>
      <c r="B711" s="16"/>
      <c r="C711" s="18"/>
      <c r="D711" s="16"/>
      <c r="E711" s="17" t="str">
        <f aca="false">IF(C711="","","Q"&amp;ROUNDUP(MONTH(C711)/3,0))</f>
        <v/>
      </c>
      <c r="F711" s="16"/>
      <c r="G711" s="16"/>
      <c r="H711" s="17" t="str">
        <f aca="false">IF(A711="","",IF(OR(B711="",C711=""),"Item ID and date needed",IF(COUNTIF(Sample_Log!$A$5:$A$204,A711)=0,"SMP-ID not in log",IF(COUNTIFS($A$5:$A$1004,A711,$B$5:$B$1004,B711)&gt;1,"Duplicate item in sample","OK"))))</f>
        <v/>
      </c>
    </row>
    <row r="712" customFormat="false" ht="15" hidden="false" customHeight="false" outlineLevel="0" collapsed="false">
      <c r="A712" s="16"/>
      <c r="B712" s="16"/>
      <c r="C712" s="18"/>
      <c r="D712" s="16"/>
      <c r="E712" s="17" t="str">
        <f aca="false">IF(C712="","","Q"&amp;ROUNDUP(MONTH(C712)/3,0))</f>
        <v/>
      </c>
      <c r="F712" s="16"/>
      <c r="G712" s="16"/>
      <c r="H712" s="17" t="str">
        <f aca="false">IF(A712="","",IF(OR(B712="",C712=""),"Item ID and date needed",IF(COUNTIF(Sample_Log!$A$5:$A$204,A712)=0,"SMP-ID not in log",IF(COUNTIFS($A$5:$A$1004,A712,$B$5:$B$1004,B712)&gt;1,"Duplicate item in sample","OK"))))</f>
        <v/>
      </c>
    </row>
    <row r="713" customFormat="false" ht="15" hidden="false" customHeight="false" outlineLevel="0" collapsed="false">
      <c r="A713" s="16"/>
      <c r="B713" s="16"/>
      <c r="C713" s="18"/>
      <c r="D713" s="16"/>
      <c r="E713" s="17" t="str">
        <f aca="false">IF(C713="","","Q"&amp;ROUNDUP(MONTH(C713)/3,0))</f>
        <v/>
      </c>
      <c r="F713" s="16"/>
      <c r="G713" s="16"/>
      <c r="H713" s="17" t="str">
        <f aca="false">IF(A713="","",IF(OR(B713="",C713=""),"Item ID and date needed",IF(COUNTIF(Sample_Log!$A$5:$A$204,A713)=0,"SMP-ID not in log",IF(COUNTIFS($A$5:$A$1004,A713,$B$5:$B$1004,B713)&gt;1,"Duplicate item in sample","OK"))))</f>
        <v/>
      </c>
    </row>
    <row r="714" customFormat="false" ht="15" hidden="false" customHeight="false" outlineLevel="0" collapsed="false">
      <c r="A714" s="16"/>
      <c r="B714" s="16"/>
      <c r="C714" s="18"/>
      <c r="D714" s="16"/>
      <c r="E714" s="17" t="str">
        <f aca="false">IF(C714="","","Q"&amp;ROUNDUP(MONTH(C714)/3,0))</f>
        <v/>
      </c>
      <c r="F714" s="16"/>
      <c r="G714" s="16"/>
      <c r="H714" s="17" t="str">
        <f aca="false">IF(A714="","",IF(OR(B714="",C714=""),"Item ID and date needed",IF(COUNTIF(Sample_Log!$A$5:$A$204,A714)=0,"SMP-ID not in log",IF(COUNTIFS($A$5:$A$1004,A714,$B$5:$B$1004,B714)&gt;1,"Duplicate item in sample","OK"))))</f>
        <v/>
      </c>
    </row>
    <row r="715" customFormat="false" ht="15" hidden="false" customHeight="false" outlineLevel="0" collapsed="false">
      <c r="A715" s="16"/>
      <c r="B715" s="16"/>
      <c r="C715" s="18"/>
      <c r="D715" s="16"/>
      <c r="E715" s="17" t="str">
        <f aca="false">IF(C715="","","Q"&amp;ROUNDUP(MONTH(C715)/3,0))</f>
        <v/>
      </c>
      <c r="F715" s="16"/>
      <c r="G715" s="16"/>
      <c r="H715" s="17" t="str">
        <f aca="false">IF(A715="","",IF(OR(B715="",C715=""),"Item ID and date needed",IF(COUNTIF(Sample_Log!$A$5:$A$204,A715)=0,"SMP-ID not in log",IF(COUNTIFS($A$5:$A$1004,A715,$B$5:$B$1004,B715)&gt;1,"Duplicate item in sample","OK"))))</f>
        <v/>
      </c>
    </row>
    <row r="716" customFormat="false" ht="15" hidden="false" customHeight="false" outlineLevel="0" collapsed="false">
      <c r="A716" s="16"/>
      <c r="B716" s="16"/>
      <c r="C716" s="18"/>
      <c r="D716" s="16"/>
      <c r="E716" s="17" t="str">
        <f aca="false">IF(C716="","","Q"&amp;ROUNDUP(MONTH(C716)/3,0))</f>
        <v/>
      </c>
      <c r="F716" s="16"/>
      <c r="G716" s="16"/>
      <c r="H716" s="17" t="str">
        <f aca="false">IF(A716="","",IF(OR(B716="",C716=""),"Item ID and date needed",IF(COUNTIF(Sample_Log!$A$5:$A$204,A716)=0,"SMP-ID not in log",IF(COUNTIFS($A$5:$A$1004,A716,$B$5:$B$1004,B716)&gt;1,"Duplicate item in sample","OK"))))</f>
        <v/>
      </c>
    </row>
    <row r="717" customFormat="false" ht="15" hidden="false" customHeight="false" outlineLevel="0" collapsed="false">
      <c r="A717" s="16"/>
      <c r="B717" s="16"/>
      <c r="C717" s="18"/>
      <c r="D717" s="16"/>
      <c r="E717" s="17" t="str">
        <f aca="false">IF(C717="","","Q"&amp;ROUNDUP(MONTH(C717)/3,0))</f>
        <v/>
      </c>
      <c r="F717" s="16"/>
      <c r="G717" s="16"/>
      <c r="H717" s="17" t="str">
        <f aca="false">IF(A717="","",IF(OR(B717="",C717=""),"Item ID and date needed",IF(COUNTIF(Sample_Log!$A$5:$A$204,A717)=0,"SMP-ID not in log",IF(COUNTIFS($A$5:$A$1004,A717,$B$5:$B$1004,B717)&gt;1,"Duplicate item in sample","OK"))))</f>
        <v/>
      </c>
    </row>
    <row r="718" customFormat="false" ht="15" hidden="false" customHeight="false" outlineLevel="0" collapsed="false">
      <c r="A718" s="16"/>
      <c r="B718" s="16"/>
      <c r="C718" s="18"/>
      <c r="D718" s="16"/>
      <c r="E718" s="17" t="str">
        <f aca="false">IF(C718="","","Q"&amp;ROUNDUP(MONTH(C718)/3,0))</f>
        <v/>
      </c>
      <c r="F718" s="16"/>
      <c r="G718" s="16"/>
      <c r="H718" s="17" t="str">
        <f aca="false">IF(A718="","",IF(OR(B718="",C718=""),"Item ID and date needed",IF(COUNTIF(Sample_Log!$A$5:$A$204,A718)=0,"SMP-ID not in log",IF(COUNTIFS($A$5:$A$1004,A718,$B$5:$B$1004,B718)&gt;1,"Duplicate item in sample","OK"))))</f>
        <v/>
      </c>
    </row>
    <row r="719" customFormat="false" ht="15" hidden="false" customHeight="false" outlineLevel="0" collapsed="false">
      <c r="A719" s="16"/>
      <c r="B719" s="16"/>
      <c r="C719" s="18"/>
      <c r="D719" s="16"/>
      <c r="E719" s="17" t="str">
        <f aca="false">IF(C719="","","Q"&amp;ROUNDUP(MONTH(C719)/3,0))</f>
        <v/>
      </c>
      <c r="F719" s="16"/>
      <c r="G719" s="16"/>
      <c r="H719" s="17" t="str">
        <f aca="false">IF(A719="","",IF(OR(B719="",C719=""),"Item ID and date needed",IF(COUNTIF(Sample_Log!$A$5:$A$204,A719)=0,"SMP-ID not in log",IF(COUNTIFS($A$5:$A$1004,A719,$B$5:$B$1004,B719)&gt;1,"Duplicate item in sample","OK"))))</f>
        <v/>
      </c>
    </row>
    <row r="720" customFormat="false" ht="15" hidden="false" customHeight="false" outlineLevel="0" collapsed="false">
      <c r="A720" s="16"/>
      <c r="B720" s="16"/>
      <c r="C720" s="18"/>
      <c r="D720" s="16"/>
      <c r="E720" s="17" t="str">
        <f aca="false">IF(C720="","","Q"&amp;ROUNDUP(MONTH(C720)/3,0))</f>
        <v/>
      </c>
      <c r="F720" s="16"/>
      <c r="G720" s="16"/>
      <c r="H720" s="17" t="str">
        <f aca="false">IF(A720="","",IF(OR(B720="",C720=""),"Item ID and date needed",IF(COUNTIF(Sample_Log!$A$5:$A$204,A720)=0,"SMP-ID not in log",IF(COUNTIFS($A$5:$A$1004,A720,$B$5:$B$1004,B720)&gt;1,"Duplicate item in sample","OK"))))</f>
        <v/>
      </c>
    </row>
    <row r="721" customFormat="false" ht="15" hidden="false" customHeight="false" outlineLevel="0" collapsed="false">
      <c r="A721" s="16"/>
      <c r="B721" s="16"/>
      <c r="C721" s="18"/>
      <c r="D721" s="16"/>
      <c r="E721" s="17" t="str">
        <f aca="false">IF(C721="","","Q"&amp;ROUNDUP(MONTH(C721)/3,0))</f>
        <v/>
      </c>
      <c r="F721" s="16"/>
      <c r="G721" s="16"/>
      <c r="H721" s="17" t="str">
        <f aca="false">IF(A721="","",IF(OR(B721="",C721=""),"Item ID and date needed",IF(COUNTIF(Sample_Log!$A$5:$A$204,A721)=0,"SMP-ID not in log",IF(COUNTIFS($A$5:$A$1004,A721,$B$5:$B$1004,B721)&gt;1,"Duplicate item in sample","OK"))))</f>
        <v/>
      </c>
    </row>
    <row r="722" customFormat="false" ht="15" hidden="false" customHeight="false" outlineLevel="0" collapsed="false">
      <c r="A722" s="16"/>
      <c r="B722" s="16"/>
      <c r="C722" s="18"/>
      <c r="D722" s="16"/>
      <c r="E722" s="17" t="str">
        <f aca="false">IF(C722="","","Q"&amp;ROUNDUP(MONTH(C722)/3,0))</f>
        <v/>
      </c>
      <c r="F722" s="16"/>
      <c r="G722" s="16"/>
      <c r="H722" s="17" t="str">
        <f aca="false">IF(A722="","",IF(OR(B722="",C722=""),"Item ID and date needed",IF(COUNTIF(Sample_Log!$A$5:$A$204,A722)=0,"SMP-ID not in log",IF(COUNTIFS($A$5:$A$1004,A722,$B$5:$B$1004,B722)&gt;1,"Duplicate item in sample","OK"))))</f>
        <v/>
      </c>
    </row>
    <row r="723" customFormat="false" ht="15" hidden="false" customHeight="false" outlineLevel="0" collapsed="false">
      <c r="A723" s="16"/>
      <c r="B723" s="16"/>
      <c r="C723" s="18"/>
      <c r="D723" s="16"/>
      <c r="E723" s="17" t="str">
        <f aca="false">IF(C723="","","Q"&amp;ROUNDUP(MONTH(C723)/3,0))</f>
        <v/>
      </c>
      <c r="F723" s="16"/>
      <c r="G723" s="16"/>
      <c r="H723" s="17" t="str">
        <f aca="false">IF(A723="","",IF(OR(B723="",C723=""),"Item ID and date needed",IF(COUNTIF(Sample_Log!$A$5:$A$204,A723)=0,"SMP-ID not in log",IF(COUNTIFS($A$5:$A$1004,A723,$B$5:$B$1004,B723)&gt;1,"Duplicate item in sample","OK"))))</f>
        <v/>
      </c>
    </row>
    <row r="724" customFormat="false" ht="15" hidden="false" customHeight="false" outlineLevel="0" collapsed="false">
      <c r="A724" s="16"/>
      <c r="B724" s="16"/>
      <c r="C724" s="18"/>
      <c r="D724" s="16"/>
      <c r="E724" s="17" t="str">
        <f aca="false">IF(C724="","","Q"&amp;ROUNDUP(MONTH(C724)/3,0))</f>
        <v/>
      </c>
      <c r="F724" s="16"/>
      <c r="G724" s="16"/>
      <c r="H724" s="17" t="str">
        <f aca="false">IF(A724="","",IF(OR(B724="",C724=""),"Item ID and date needed",IF(COUNTIF(Sample_Log!$A$5:$A$204,A724)=0,"SMP-ID not in log",IF(COUNTIFS($A$5:$A$1004,A724,$B$5:$B$1004,B724)&gt;1,"Duplicate item in sample","OK"))))</f>
        <v/>
      </c>
    </row>
    <row r="725" customFormat="false" ht="15" hidden="false" customHeight="false" outlineLevel="0" collapsed="false">
      <c r="A725" s="16"/>
      <c r="B725" s="16"/>
      <c r="C725" s="18"/>
      <c r="D725" s="16"/>
      <c r="E725" s="17" t="str">
        <f aca="false">IF(C725="","","Q"&amp;ROUNDUP(MONTH(C725)/3,0))</f>
        <v/>
      </c>
      <c r="F725" s="16"/>
      <c r="G725" s="16"/>
      <c r="H725" s="17" t="str">
        <f aca="false">IF(A725="","",IF(OR(B725="",C725=""),"Item ID and date needed",IF(COUNTIF(Sample_Log!$A$5:$A$204,A725)=0,"SMP-ID not in log",IF(COUNTIFS($A$5:$A$1004,A725,$B$5:$B$1004,B725)&gt;1,"Duplicate item in sample","OK"))))</f>
        <v/>
      </c>
    </row>
    <row r="726" customFormat="false" ht="15" hidden="false" customHeight="false" outlineLevel="0" collapsed="false">
      <c r="A726" s="16"/>
      <c r="B726" s="16"/>
      <c r="C726" s="18"/>
      <c r="D726" s="16"/>
      <c r="E726" s="17" t="str">
        <f aca="false">IF(C726="","","Q"&amp;ROUNDUP(MONTH(C726)/3,0))</f>
        <v/>
      </c>
      <c r="F726" s="16"/>
      <c r="G726" s="16"/>
      <c r="H726" s="17" t="str">
        <f aca="false">IF(A726="","",IF(OR(B726="",C726=""),"Item ID and date needed",IF(COUNTIF(Sample_Log!$A$5:$A$204,A726)=0,"SMP-ID not in log",IF(COUNTIFS($A$5:$A$1004,A726,$B$5:$B$1004,B726)&gt;1,"Duplicate item in sample","OK"))))</f>
        <v/>
      </c>
    </row>
    <row r="727" customFormat="false" ht="15" hidden="false" customHeight="false" outlineLevel="0" collapsed="false">
      <c r="A727" s="16"/>
      <c r="B727" s="16"/>
      <c r="C727" s="18"/>
      <c r="D727" s="16"/>
      <c r="E727" s="17" t="str">
        <f aca="false">IF(C727="","","Q"&amp;ROUNDUP(MONTH(C727)/3,0))</f>
        <v/>
      </c>
      <c r="F727" s="16"/>
      <c r="G727" s="16"/>
      <c r="H727" s="17" t="str">
        <f aca="false">IF(A727="","",IF(OR(B727="",C727=""),"Item ID and date needed",IF(COUNTIF(Sample_Log!$A$5:$A$204,A727)=0,"SMP-ID not in log",IF(COUNTIFS($A$5:$A$1004,A727,$B$5:$B$1004,B727)&gt;1,"Duplicate item in sample","OK"))))</f>
        <v/>
      </c>
    </row>
    <row r="728" customFormat="false" ht="15" hidden="false" customHeight="false" outlineLevel="0" collapsed="false">
      <c r="A728" s="16"/>
      <c r="B728" s="16"/>
      <c r="C728" s="18"/>
      <c r="D728" s="16"/>
      <c r="E728" s="17" t="str">
        <f aca="false">IF(C728="","","Q"&amp;ROUNDUP(MONTH(C728)/3,0))</f>
        <v/>
      </c>
      <c r="F728" s="16"/>
      <c r="G728" s="16"/>
      <c r="H728" s="17" t="str">
        <f aca="false">IF(A728="","",IF(OR(B728="",C728=""),"Item ID and date needed",IF(COUNTIF(Sample_Log!$A$5:$A$204,A728)=0,"SMP-ID not in log",IF(COUNTIFS($A$5:$A$1004,A728,$B$5:$B$1004,B728)&gt;1,"Duplicate item in sample","OK"))))</f>
        <v/>
      </c>
    </row>
    <row r="729" customFormat="false" ht="15" hidden="false" customHeight="false" outlineLevel="0" collapsed="false">
      <c r="A729" s="16"/>
      <c r="B729" s="16"/>
      <c r="C729" s="18"/>
      <c r="D729" s="16"/>
      <c r="E729" s="17" t="str">
        <f aca="false">IF(C729="","","Q"&amp;ROUNDUP(MONTH(C729)/3,0))</f>
        <v/>
      </c>
      <c r="F729" s="16"/>
      <c r="G729" s="16"/>
      <c r="H729" s="17" t="str">
        <f aca="false">IF(A729="","",IF(OR(B729="",C729=""),"Item ID and date needed",IF(COUNTIF(Sample_Log!$A$5:$A$204,A729)=0,"SMP-ID not in log",IF(COUNTIFS($A$5:$A$1004,A729,$B$5:$B$1004,B729)&gt;1,"Duplicate item in sample","OK"))))</f>
        <v/>
      </c>
    </row>
    <row r="730" customFormat="false" ht="15" hidden="false" customHeight="false" outlineLevel="0" collapsed="false">
      <c r="A730" s="16"/>
      <c r="B730" s="16"/>
      <c r="C730" s="18"/>
      <c r="D730" s="16"/>
      <c r="E730" s="17" t="str">
        <f aca="false">IF(C730="","","Q"&amp;ROUNDUP(MONTH(C730)/3,0))</f>
        <v/>
      </c>
      <c r="F730" s="16"/>
      <c r="G730" s="16"/>
      <c r="H730" s="17" t="str">
        <f aca="false">IF(A730="","",IF(OR(B730="",C730=""),"Item ID and date needed",IF(COUNTIF(Sample_Log!$A$5:$A$204,A730)=0,"SMP-ID not in log",IF(COUNTIFS($A$5:$A$1004,A730,$B$5:$B$1004,B730)&gt;1,"Duplicate item in sample","OK"))))</f>
        <v/>
      </c>
    </row>
    <row r="731" customFormat="false" ht="15" hidden="false" customHeight="false" outlineLevel="0" collapsed="false">
      <c r="A731" s="16"/>
      <c r="B731" s="16"/>
      <c r="C731" s="18"/>
      <c r="D731" s="16"/>
      <c r="E731" s="17" t="str">
        <f aca="false">IF(C731="","","Q"&amp;ROUNDUP(MONTH(C731)/3,0))</f>
        <v/>
      </c>
      <c r="F731" s="16"/>
      <c r="G731" s="16"/>
      <c r="H731" s="17" t="str">
        <f aca="false">IF(A731="","",IF(OR(B731="",C731=""),"Item ID and date needed",IF(COUNTIF(Sample_Log!$A$5:$A$204,A731)=0,"SMP-ID not in log",IF(COUNTIFS($A$5:$A$1004,A731,$B$5:$B$1004,B731)&gt;1,"Duplicate item in sample","OK"))))</f>
        <v/>
      </c>
    </row>
    <row r="732" customFormat="false" ht="15" hidden="false" customHeight="false" outlineLevel="0" collapsed="false">
      <c r="A732" s="16"/>
      <c r="B732" s="16"/>
      <c r="C732" s="18"/>
      <c r="D732" s="16"/>
      <c r="E732" s="17" t="str">
        <f aca="false">IF(C732="","","Q"&amp;ROUNDUP(MONTH(C732)/3,0))</f>
        <v/>
      </c>
      <c r="F732" s="16"/>
      <c r="G732" s="16"/>
      <c r="H732" s="17" t="str">
        <f aca="false">IF(A732="","",IF(OR(B732="",C732=""),"Item ID and date needed",IF(COUNTIF(Sample_Log!$A$5:$A$204,A732)=0,"SMP-ID not in log",IF(COUNTIFS($A$5:$A$1004,A732,$B$5:$B$1004,B732)&gt;1,"Duplicate item in sample","OK"))))</f>
        <v/>
      </c>
    </row>
    <row r="733" customFormat="false" ht="15" hidden="false" customHeight="false" outlineLevel="0" collapsed="false">
      <c r="A733" s="16"/>
      <c r="B733" s="16"/>
      <c r="C733" s="18"/>
      <c r="D733" s="16"/>
      <c r="E733" s="17" t="str">
        <f aca="false">IF(C733="","","Q"&amp;ROUNDUP(MONTH(C733)/3,0))</f>
        <v/>
      </c>
      <c r="F733" s="16"/>
      <c r="G733" s="16"/>
      <c r="H733" s="17" t="str">
        <f aca="false">IF(A733="","",IF(OR(B733="",C733=""),"Item ID and date needed",IF(COUNTIF(Sample_Log!$A$5:$A$204,A733)=0,"SMP-ID not in log",IF(COUNTIFS($A$5:$A$1004,A733,$B$5:$B$1004,B733)&gt;1,"Duplicate item in sample","OK"))))</f>
        <v/>
      </c>
    </row>
    <row r="734" customFormat="false" ht="15" hidden="false" customHeight="false" outlineLevel="0" collapsed="false">
      <c r="A734" s="16"/>
      <c r="B734" s="16"/>
      <c r="C734" s="18"/>
      <c r="D734" s="16"/>
      <c r="E734" s="17" t="str">
        <f aca="false">IF(C734="","","Q"&amp;ROUNDUP(MONTH(C734)/3,0))</f>
        <v/>
      </c>
      <c r="F734" s="16"/>
      <c r="G734" s="16"/>
      <c r="H734" s="17" t="str">
        <f aca="false">IF(A734="","",IF(OR(B734="",C734=""),"Item ID and date needed",IF(COUNTIF(Sample_Log!$A$5:$A$204,A734)=0,"SMP-ID not in log",IF(COUNTIFS($A$5:$A$1004,A734,$B$5:$B$1004,B734)&gt;1,"Duplicate item in sample","OK"))))</f>
        <v/>
      </c>
    </row>
    <row r="735" customFormat="false" ht="15" hidden="false" customHeight="false" outlineLevel="0" collapsed="false">
      <c r="A735" s="16"/>
      <c r="B735" s="16"/>
      <c r="C735" s="18"/>
      <c r="D735" s="16"/>
      <c r="E735" s="17" t="str">
        <f aca="false">IF(C735="","","Q"&amp;ROUNDUP(MONTH(C735)/3,0))</f>
        <v/>
      </c>
      <c r="F735" s="16"/>
      <c r="G735" s="16"/>
      <c r="H735" s="17" t="str">
        <f aca="false">IF(A735="","",IF(OR(B735="",C735=""),"Item ID and date needed",IF(COUNTIF(Sample_Log!$A$5:$A$204,A735)=0,"SMP-ID not in log",IF(COUNTIFS($A$5:$A$1004,A735,$B$5:$B$1004,B735)&gt;1,"Duplicate item in sample","OK"))))</f>
        <v/>
      </c>
    </row>
    <row r="736" customFormat="false" ht="15" hidden="false" customHeight="false" outlineLevel="0" collapsed="false">
      <c r="A736" s="16"/>
      <c r="B736" s="16"/>
      <c r="C736" s="18"/>
      <c r="D736" s="16"/>
      <c r="E736" s="17" t="str">
        <f aca="false">IF(C736="","","Q"&amp;ROUNDUP(MONTH(C736)/3,0))</f>
        <v/>
      </c>
      <c r="F736" s="16"/>
      <c r="G736" s="16"/>
      <c r="H736" s="17" t="str">
        <f aca="false">IF(A736="","",IF(OR(B736="",C736=""),"Item ID and date needed",IF(COUNTIF(Sample_Log!$A$5:$A$204,A736)=0,"SMP-ID not in log",IF(COUNTIFS($A$5:$A$1004,A736,$B$5:$B$1004,B736)&gt;1,"Duplicate item in sample","OK"))))</f>
        <v/>
      </c>
    </row>
    <row r="737" customFormat="false" ht="15" hidden="false" customHeight="false" outlineLevel="0" collapsed="false">
      <c r="A737" s="16"/>
      <c r="B737" s="16"/>
      <c r="C737" s="18"/>
      <c r="D737" s="16"/>
      <c r="E737" s="17" t="str">
        <f aca="false">IF(C737="","","Q"&amp;ROUNDUP(MONTH(C737)/3,0))</f>
        <v/>
      </c>
      <c r="F737" s="16"/>
      <c r="G737" s="16"/>
      <c r="H737" s="17" t="str">
        <f aca="false">IF(A737="","",IF(OR(B737="",C737=""),"Item ID and date needed",IF(COUNTIF(Sample_Log!$A$5:$A$204,A737)=0,"SMP-ID not in log",IF(COUNTIFS($A$5:$A$1004,A737,$B$5:$B$1004,B737)&gt;1,"Duplicate item in sample","OK"))))</f>
        <v/>
      </c>
    </row>
    <row r="738" customFormat="false" ht="15" hidden="false" customHeight="false" outlineLevel="0" collapsed="false">
      <c r="A738" s="16"/>
      <c r="B738" s="16"/>
      <c r="C738" s="18"/>
      <c r="D738" s="16"/>
      <c r="E738" s="17" t="str">
        <f aca="false">IF(C738="","","Q"&amp;ROUNDUP(MONTH(C738)/3,0))</f>
        <v/>
      </c>
      <c r="F738" s="16"/>
      <c r="G738" s="16"/>
      <c r="H738" s="17" t="str">
        <f aca="false">IF(A738="","",IF(OR(B738="",C738=""),"Item ID and date needed",IF(COUNTIF(Sample_Log!$A$5:$A$204,A738)=0,"SMP-ID not in log",IF(COUNTIFS($A$5:$A$1004,A738,$B$5:$B$1004,B738)&gt;1,"Duplicate item in sample","OK"))))</f>
        <v/>
      </c>
    </row>
    <row r="739" customFormat="false" ht="15" hidden="false" customHeight="false" outlineLevel="0" collapsed="false">
      <c r="A739" s="16"/>
      <c r="B739" s="16"/>
      <c r="C739" s="18"/>
      <c r="D739" s="16"/>
      <c r="E739" s="17" t="str">
        <f aca="false">IF(C739="","","Q"&amp;ROUNDUP(MONTH(C739)/3,0))</f>
        <v/>
      </c>
      <c r="F739" s="16"/>
      <c r="G739" s="16"/>
      <c r="H739" s="17" t="str">
        <f aca="false">IF(A739="","",IF(OR(B739="",C739=""),"Item ID and date needed",IF(COUNTIF(Sample_Log!$A$5:$A$204,A739)=0,"SMP-ID not in log",IF(COUNTIFS($A$5:$A$1004,A739,$B$5:$B$1004,B739)&gt;1,"Duplicate item in sample","OK"))))</f>
        <v/>
      </c>
    </row>
    <row r="740" customFormat="false" ht="15" hidden="false" customHeight="false" outlineLevel="0" collapsed="false">
      <c r="A740" s="16"/>
      <c r="B740" s="16"/>
      <c r="C740" s="18"/>
      <c r="D740" s="16"/>
      <c r="E740" s="17" t="str">
        <f aca="false">IF(C740="","","Q"&amp;ROUNDUP(MONTH(C740)/3,0))</f>
        <v/>
      </c>
      <c r="F740" s="16"/>
      <c r="G740" s="16"/>
      <c r="H740" s="17" t="str">
        <f aca="false">IF(A740="","",IF(OR(B740="",C740=""),"Item ID and date needed",IF(COUNTIF(Sample_Log!$A$5:$A$204,A740)=0,"SMP-ID not in log",IF(COUNTIFS($A$5:$A$1004,A740,$B$5:$B$1004,B740)&gt;1,"Duplicate item in sample","OK"))))</f>
        <v/>
      </c>
    </row>
    <row r="741" customFormat="false" ht="15" hidden="false" customHeight="false" outlineLevel="0" collapsed="false">
      <c r="A741" s="16"/>
      <c r="B741" s="16"/>
      <c r="C741" s="18"/>
      <c r="D741" s="16"/>
      <c r="E741" s="17" t="str">
        <f aca="false">IF(C741="","","Q"&amp;ROUNDUP(MONTH(C741)/3,0))</f>
        <v/>
      </c>
      <c r="F741" s="16"/>
      <c r="G741" s="16"/>
      <c r="H741" s="17" t="str">
        <f aca="false">IF(A741="","",IF(OR(B741="",C741=""),"Item ID and date needed",IF(COUNTIF(Sample_Log!$A$5:$A$204,A741)=0,"SMP-ID not in log",IF(COUNTIFS($A$5:$A$1004,A741,$B$5:$B$1004,B741)&gt;1,"Duplicate item in sample","OK"))))</f>
        <v/>
      </c>
    </row>
    <row r="742" customFormat="false" ht="15" hidden="false" customHeight="false" outlineLevel="0" collapsed="false">
      <c r="A742" s="16"/>
      <c r="B742" s="16"/>
      <c r="C742" s="18"/>
      <c r="D742" s="16"/>
      <c r="E742" s="17" t="str">
        <f aca="false">IF(C742="","","Q"&amp;ROUNDUP(MONTH(C742)/3,0))</f>
        <v/>
      </c>
      <c r="F742" s="16"/>
      <c r="G742" s="16"/>
      <c r="H742" s="17" t="str">
        <f aca="false">IF(A742="","",IF(OR(B742="",C742=""),"Item ID and date needed",IF(COUNTIF(Sample_Log!$A$5:$A$204,A742)=0,"SMP-ID not in log",IF(COUNTIFS($A$5:$A$1004,A742,$B$5:$B$1004,B742)&gt;1,"Duplicate item in sample","OK"))))</f>
        <v/>
      </c>
    </row>
    <row r="743" customFormat="false" ht="15" hidden="false" customHeight="false" outlineLevel="0" collapsed="false">
      <c r="A743" s="16"/>
      <c r="B743" s="16"/>
      <c r="C743" s="18"/>
      <c r="D743" s="16"/>
      <c r="E743" s="17" t="str">
        <f aca="false">IF(C743="","","Q"&amp;ROUNDUP(MONTH(C743)/3,0))</f>
        <v/>
      </c>
      <c r="F743" s="16"/>
      <c r="G743" s="16"/>
      <c r="H743" s="17" t="str">
        <f aca="false">IF(A743="","",IF(OR(B743="",C743=""),"Item ID and date needed",IF(COUNTIF(Sample_Log!$A$5:$A$204,A743)=0,"SMP-ID not in log",IF(COUNTIFS($A$5:$A$1004,A743,$B$5:$B$1004,B743)&gt;1,"Duplicate item in sample","OK"))))</f>
        <v/>
      </c>
    </row>
    <row r="744" customFormat="false" ht="15" hidden="false" customHeight="false" outlineLevel="0" collapsed="false">
      <c r="A744" s="16"/>
      <c r="B744" s="16"/>
      <c r="C744" s="18"/>
      <c r="D744" s="16"/>
      <c r="E744" s="17" t="str">
        <f aca="false">IF(C744="","","Q"&amp;ROUNDUP(MONTH(C744)/3,0))</f>
        <v/>
      </c>
      <c r="F744" s="16"/>
      <c r="G744" s="16"/>
      <c r="H744" s="17" t="str">
        <f aca="false">IF(A744="","",IF(OR(B744="",C744=""),"Item ID and date needed",IF(COUNTIF(Sample_Log!$A$5:$A$204,A744)=0,"SMP-ID not in log",IF(COUNTIFS($A$5:$A$1004,A744,$B$5:$B$1004,B744)&gt;1,"Duplicate item in sample","OK"))))</f>
        <v/>
      </c>
    </row>
    <row r="745" customFormat="false" ht="15" hidden="false" customHeight="false" outlineLevel="0" collapsed="false">
      <c r="A745" s="16"/>
      <c r="B745" s="16"/>
      <c r="C745" s="18"/>
      <c r="D745" s="16"/>
      <c r="E745" s="17" t="str">
        <f aca="false">IF(C745="","","Q"&amp;ROUNDUP(MONTH(C745)/3,0))</f>
        <v/>
      </c>
      <c r="F745" s="16"/>
      <c r="G745" s="16"/>
      <c r="H745" s="17" t="str">
        <f aca="false">IF(A745="","",IF(OR(B745="",C745=""),"Item ID and date needed",IF(COUNTIF(Sample_Log!$A$5:$A$204,A745)=0,"SMP-ID not in log",IF(COUNTIFS($A$5:$A$1004,A745,$B$5:$B$1004,B745)&gt;1,"Duplicate item in sample","OK"))))</f>
        <v/>
      </c>
    </row>
    <row r="746" customFormat="false" ht="15" hidden="false" customHeight="false" outlineLevel="0" collapsed="false">
      <c r="A746" s="16"/>
      <c r="B746" s="16"/>
      <c r="C746" s="18"/>
      <c r="D746" s="16"/>
      <c r="E746" s="17" t="str">
        <f aca="false">IF(C746="","","Q"&amp;ROUNDUP(MONTH(C746)/3,0))</f>
        <v/>
      </c>
      <c r="F746" s="16"/>
      <c r="G746" s="16"/>
      <c r="H746" s="17" t="str">
        <f aca="false">IF(A746="","",IF(OR(B746="",C746=""),"Item ID and date needed",IF(COUNTIF(Sample_Log!$A$5:$A$204,A746)=0,"SMP-ID not in log",IF(COUNTIFS($A$5:$A$1004,A746,$B$5:$B$1004,B746)&gt;1,"Duplicate item in sample","OK"))))</f>
        <v/>
      </c>
    </row>
    <row r="747" customFormat="false" ht="15" hidden="false" customHeight="false" outlineLevel="0" collapsed="false">
      <c r="A747" s="16"/>
      <c r="B747" s="16"/>
      <c r="C747" s="18"/>
      <c r="D747" s="16"/>
      <c r="E747" s="17" t="str">
        <f aca="false">IF(C747="","","Q"&amp;ROUNDUP(MONTH(C747)/3,0))</f>
        <v/>
      </c>
      <c r="F747" s="16"/>
      <c r="G747" s="16"/>
      <c r="H747" s="17" t="str">
        <f aca="false">IF(A747="","",IF(OR(B747="",C747=""),"Item ID and date needed",IF(COUNTIF(Sample_Log!$A$5:$A$204,A747)=0,"SMP-ID not in log",IF(COUNTIFS($A$5:$A$1004,A747,$B$5:$B$1004,B747)&gt;1,"Duplicate item in sample","OK"))))</f>
        <v/>
      </c>
    </row>
    <row r="748" customFormat="false" ht="15" hidden="false" customHeight="false" outlineLevel="0" collapsed="false">
      <c r="A748" s="16"/>
      <c r="B748" s="16"/>
      <c r="C748" s="18"/>
      <c r="D748" s="16"/>
      <c r="E748" s="17" t="str">
        <f aca="false">IF(C748="","","Q"&amp;ROUNDUP(MONTH(C748)/3,0))</f>
        <v/>
      </c>
      <c r="F748" s="16"/>
      <c r="G748" s="16"/>
      <c r="H748" s="17" t="str">
        <f aca="false">IF(A748="","",IF(OR(B748="",C748=""),"Item ID and date needed",IF(COUNTIF(Sample_Log!$A$5:$A$204,A748)=0,"SMP-ID not in log",IF(COUNTIFS($A$5:$A$1004,A748,$B$5:$B$1004,B748)&gt;1,"Duplicate item in sample","OK"))))</f>
        <v/>
      </c>
    </row>
    <row r="749" customFormat="false" ht="15" hidden="false" customHeight="false" outlineLevel="0" collapsed="false">
      <c r="A749" s="16"/>
      <c r="B749" s="16"/>
      <c r="C749" s="18"/>
      <c r="D749" s="16"/>
      <c r="E749" s="17" t="str">
        <f aca="false">IF(C749="","","Q"&amp;ROUNDUP(MONTH(C749)/3,0))</f>
        <v/>
      </c>
      <c r="F749" s="16"/>
      <c r="G749" s="16"/>
      <c r="H749" s="17" t="str">
        <f aca="false">IF(A749="","",IF(OR(B749="",C749=""),"Item ID and date needed",IF(COUNTIF(Sample_Log!$A$5:$A$204,A749)=0,"SMP-ID not in log",IF(COUNTIFS($A$5:$A$1004,A749,$B$5:$B$1004,B749)&gt;1,"Duplicate item in sample","OK"))))</f>
        <v/>
      </c>
    </row>
    <row r="750" customFormat="false" ht="15" hidden="false" customHeight="false" outlineLevel="0" collapsed="false">
      <c r="A750" s="16"/>
      <c r="B750" s="16"/>
      <c r="C750" s="18"/>
      <c r="D750" s="16"/>
      <c r="E750" s="17" t="str">
        <f aca="false">IF(C750="","","Q"&amp;ROUNDUP(MONTH(C750)/3,0))</f>
        <v/>
      </c>
      <c r="F750" s="16"/>
      <c r="G750" s="16"/>
      <c r="H750" s="17" t="str">
        <f aca="false">IF(A750="","",IF(OR(B750="",C750=""),"Item ID and date needed",IF(COUNTIF(Sample_Log!$A$5:$A$204,A750)=0,"SMP-ID not in log",IF(COUNTIFS($A$5:$A$1004,A750,$B$5:$B$1004,B750)&gt;1,"Duplicate item in sample","OK"))))</f>
        <v/>
      </c>
    </row>
    <row r="751" customFormat="false" ht="15" hidden="false" customHeight="false" outlineLevel="0" collapsed="false">
      <c r="A751" s="16"/>
      <c r="B751" s="16"/>
      <c r="C751" s="18"/>
      <c r="D751" s="16"/>
      <c r="E751" s="17" t="str">
        <f aca="false">IF(C751="","","Q"&amp;ROUNDUP(MONTH(C751)/3,0))</f>
        <v/>
      </c>
      <c r="F751" s="16"/>
      <c r="G751" s="16"/>
      <c r="H751" s="17" t="str">
        <f aca="false">IF(A751="","",IF(OR(B751="",C751=""),"Item ID and date needed",IF(COUNTIF(Sample_Log!$A$5:$A$204,A751)=0,"SMP-ID not in log",IF(COUNTIFS($A$5:$A$1004,A751,$B$5:$B$1004,B751)&gt;1,"Duplicate item in sample","OK"))))</f>
        <v/>
      </c>
    </row>
    <row r="752" customFormat="false" ht="15" hidden="false" customHeight="false" outlineLevel="0" collapsed="false">
      <c r="A752" s="16"/>
      <c r="B752" s="16"/>
      <c r="C752" s="18"/>
      <c r="D752" s="16"/>
      <c r="E752" s="17" t="str">
        <f aca="false">IF(C752="","","Q"&amp;ROUNDUP(MONTH(C752)/3,0))</f>
        <v/>
      </c>
      <c r="F752" s="16"/>
      <c r="G752" s="16"/>
      <c r="H752" s="17" t="str">
        <f aca="false">IF(A752="","",IF(OR(B752="",C752=""),"Item ID and date needed",IF(COUNTIF(Sample_Log!$A$5:$A$204,A752)=0,"SMP-ID not in log",IF(COUNTIFS($A$5:$A$1004,A752,$B$5:$B$1004,B752)&gt;1,"Duplicate item in sample","OK"))))</f>
        <v/>
      </c>
    </row>
    <row r="753" customFormat="false" ht="15" hidden="false" customHeight="false" outlineLevel="0" collapsed="false">
      <c r="A753" s="16"/>
      <c r="B753" s="16"/>
      <c r="C753" s="18"/>
      <c r="D753" s="16"/>
      <c r="E753" s="17" t="str">
        <f aca="false">IF(C753="","","Q"&amp;ROUNDUP(MONTH(C753)/3,0))</f>
        <v/>
      </c>
      <c r="F753" s="16"/>
      <c r="G753" s="16"/>
      <c r="H753" s="17" t="str">
        <f aca="false">IF(A753="","",IF(OR(B753="",C753=""),"Item ID and date needed",IF(COUNTIF(Sample_Log!$A$5:$A$204,A753)=0,"SMP-ID not in log",IF(COUNTIFS($A$5:$A$1004,A753,$B$5:$B$1004,B753)&gt;1,"Duplicate item in sample","OK"))))</f>
        <v/>
      </c>
    </row>
    <row r="754" customFormat="false" ht="15" hidden="false" customHeight="false" outlineLevel="0" collapsed="false">
      <c r="A754" s="16"/>
      <c r="B754" s="16"/>
      <c r="C754" s="18"/>
      <c r="D754" s="16"/>
      <c r="E754" s="17" t="str">
        <f aca="false">IF(C754="","","Q"&amp;ROUNDUP(MONTH(C754)/3,0))</f>
        <v/>
      </c>
      <c r="F754" s="16"/>
      <c r="G754" s="16"/>
      <c r="H754" s="17" t="str">
        <f aca="false">IF(A754="","",IF(OR(B754="",C754=""),"Item ID and date needed",IF(COUNTIF(Sample_Log!$A$5:$A$204,A754)=0,"SMP-ID not in log",IF(COUNTIFS($A$5:$A$1004,A754,$B$5:$B$1004,B754)&gt;1,"Duplicate item in sample","OK"))))</f>
        <v/>
      </c>
    </row>
    <row r="755" customFormat="false" ht="15" hidden="false" customHeight="false" outlineLevel="0" collapsed="false">
      <c r="A755" s="16"/>
      <c r="B755" s="16"/>
      <c r="C755" s="18"/>
      <c r="D755" s="16"/>
      <c r="E755" s="17" t="str">
        <f aca="false">IF(C755="","","Q"&amp;ROUNDUP(MONTH(C755)/3,0))</f>
        <v/>
      </c>
      <c r="F755" s="16"/>
      <c r="G755" s="16"/>
      <c r="H755" s="17" t="str">
        <f aca="false">IF(A755="","",IF(OR(B755="",C755=""),"Item ID and date needed",IF(COUNTIF(Sample_Log!$A$5:$A$204,A755)=0,"SMP-ID not in log",IF(COUNTIFS($A$5:$A$1004,A755,$B$5:$B$1004,B755)&gt;1,"Duplicate item in sample","OK"))))</f>
        <v/>
      </c>
    </row>
    <row r="756" customFormat="false" ht="15" hidden="false" customHeight="false" outlineLevel="0" collapsed="false">
      <c r="A756" s="16"/>
      <c r="B756" s="16"/>
      <c r="C756" s="18"/>
      <c r="D756" s="16"/>
      <c r="E756" s="17" t="str">
        <f aca="false">IF(C756="","","Q"&amp;ROUNDUP(MONTH(C756)/3,0))</f>
        <v/>
      </c>
      <c r="F756" s="16"/>
      <c r="G756" s="16"/>
      <c r="H756" s="17" t="str">
        <f aca="false">IF(A756="","",IF(OR(B756="",C756=""),"Item ID and date needed",IF(COUNTIF(Sample_Log!$A$5:$A$204,A756)=0,"SMP-ID not in log",IF(COUNTIFS($A$5:$A$1004,A756,$B$5:$B$1004,B756)&gt;1,"Duplicate item in sample","OK"))))</f>
        <v/>
      </c>
    </row>
    <row r="757" customFormat="false" ht="15" hidden="false" customHeight="false" outlineLevel="0" collapsed="false">
      <c r="A757" s="16"/>
      <c r="B757" s="16"/>
      <c r="C757" s="18"/>
      <c r="D757" s="16"/>
      <c r="E757" s="17" t="str">
        <f aca="false">IF(C757="","","Q"&amp;ROUNDUP(MONTH(C757)/3,0))</f>
        <v/>
      </c>
      <c r="F757" s="16"/>
      <c r="G757" s="16"/>
      <c r="H757" s="17" t="str">
        <f aca="false">IF(A757="","",IF(OR(B757="",C757=""),"Item ID and date needed",IF(COUNTIF(Sample_Log!$A$5:$A$204,A757)=0,"SMP-ID not in log",IF(COUNTIFS($A$5:$A$1004,A757,$B$5:$B$1004,B757)&gt;1,"Duplicate item in sample","OK"))))</f>
        <v/>
      </c>
    </row>
    <row r="758" customFormat="false" ht="15" hidden="false" customHeight="false" outlineLevel="0" collapsed="false">
      <c r="A758" s="16"/>
      <c r="B758" s="16"/>
      <c r="C758" s="18"/>
      <c r="D758" s="16"/>
      <c r="E758" s="17" t="str">
        <f aca="false">IF(C758="","","Q"&amp;ROUNDUP(MONTH(C758)/3,0))</f>
        <v/>
      </c>
      <c r="F758" s="16"/>
      <c r="G758" s="16"/>
      <c r="H758" s="17" t="str">
        <f aca="false">IF(A758="","",IF(OR(B758="",C758=""),"Item ID and date needed",IF(COUNTIF(Sample_Log!$A$5:$A$204,A758)=0,"SMP-ID not in log",IF(COUNTIFS($A$5:$A$1004,A758,$B$5:$B$1004,B758)&gt;1,"Duplicate item in sample","OK"))))</f>
        <v/>
      </c>
    </row>
    <row r="759" customFormat="false" ht="15" hidden="false" customHeight="false" outlineLevel="0" collapsed="false">
      <c r="A759" s="16"/>
      <c r="B759" s="16"/>
      <c r="C759" s="18"/>
      <c r="D759" s="16"/>
      <c r="E759" s="17" t="str">
        <f aca="false">IF(C759="","","Q"&amp;ROUNDUP(MONTH(C759)/3,0))</f>
        <v/>
      </c>
      <c r="F759" s="16"/>
      <c r="G759" s="16"/>
      <c r="H759" s="17" t="str">
        <f aca="false">IF(A759="","",IF(OR(B759="",C759=""),"Item ID and date needed",IF(COUNTIF(Sample_Log!$A$5:$A$204,A759)=0,"SMP-ID not in log",IF(COUNTIFS($A$5:$A$1004,A759,$B$5:$B$1004,B759)&gt;1,"Duplicate item in sample","OK"))))</f>
        <v/>
      </c>
    </row>
    <row r="760" customFormat="false" ht="15" hidden="false" customHeight="false" outlineLevel="0" collapsed="false">
      <c r="A760" s="16"/>
      <c r="B760" s="16"/>
      <c r="C760" s="18"/>
      <c r="D760" s="16"/>
      <c r="E760" s="17" t="str">
        <f aca="false">IF(C760="","","Q"&amp;ROUNDUP(MONTH(C760)/3,0))</f>
        <v/>
      </c>
      <c r="F760" s="16"/>
      <c r="G760" s="16"/>
      <c r="H760" s="17" t="str">
        <f aca="false">IF(A760="","",IF(OR(B760="",C760=""),"Item ID and date needed",IF(COUNTIF(Sample_Log!$A$5:$A$204,A760)=0,"SMP-ID not in log",IF(COUNTIFS($A$5:$A$1004,A760,$B$5:$B$1004,B760)&gt;1,"Duplicate item in sample","OK"))))</f>
        <v/>
      </c>
    </row>
    <row r="761" customFormat="false" ht="15" hidden="false" customHeight="false" outlineLevel="0" collapsed="false">
      <c r="A761" s="16"/>
      <c r="B761" s="16"/>
      <c r="C761" s="18"/>
      <c r="D761" s="16"/>
      <c r="E761" s="17" t="str">
        <f aca="false">IF(C761="","","Q"&amp;ROUNDUP(MONTH(C761)/3,0))</f>
        <v/>
      </c>
      <c r="F761" s="16"/>
      <c r="G761" s="16"/>
      <c r="H761" s="17" t="str">
        <f aca="false">IF(A761="","",IF(OR(B761="",C761=""),"Item ID and date needed",IF(COUNTIF(Sample_Log!$A$5:$A$204,A761)=0,"SMP-ID not in log",IF(COUNTIFS($A$5:$A$1004,A761,$B$5:$B$1004,B761)&gt;1,"Duplicate item in sample","OK"))))</f>
        <v/>
      </c>
    </row>
    <row r="762" customFormat="false" ht="15" hidden="false" customHeight="false" outlineLevel="0" collapsed="false">
      <c r="A762" s="16"/>
      <c r="B762" s="16"/>
      <c r="C762" s="18"/>
      <c r="D762" s="16"/>
      <c r="E762" s="17" t="str">
        <f aca="false">IF(C762="","","Q"&amp;ROUNDUP(MONTH(C762)/3,0))</f>
        <v/>
      </c>
      <c r="F762" s="16"/>
      <c r="G762" s="16"/>
      <c r="H762" s="17" t="str">
        <f aca="false">IF(A762="","",IF(OR(B762="",C762=""),"Item ID and date needed",IF(COUNTIF(Sample_Log!$A$5:$A$204,A762)=0,"SMP-ID not in log",IF(COUNTIFS($A$5:$A$1004,A762,$B$5:$B$1004,B762)&gt;1,"Duplicate item in sample","OK"))))</f>
        <v/>
      </c>
    </row>
    <row r="763" customFormat="false" ht="15" hidden="false" customHeight="false" outlineLevel="0" collapsed="false">
      <c r="A763" s="16"/>
      <c r="B763" s="16"/>
      <c r="C763" s="18"/>
      <c r="D763" s="16"/>
      <c r="E763" s="17" t="str">
        <f aca="false">IF(C763="","","Q"&amp;ROUNDUP(MONTH(C763)/3,0))</f>
        <v/>
      </c>
      <c r="F763" s="16"/>
      <c r="G763" s="16"/>
      <c r="H763" s="17" t="str">
        <f aca="false">IF(A763="","",IF(OR(B763="",C763=""),"Item ID and date needed",IF(COUNTIF(Sample_Log!$A$5:$A$204,A763)=0,"SMP-ID not in log",IF(COUNTIFS($A$5:$A$1004,A763,$B$5:$B$1004,B763)&gt;1,"Duplicate item in sample","OK"))))</f>
        <v/>
      </c>
    </row>
    <row r="764" customFormat="false" ht="15" hidden="false" customHeight="false" outlineLevel="0" collapsed="false">
      <c r="A764" s="16"/>
      <c r="B764" s="16"/>
      <c r="C764" s="18"/>
      <c r="D764" s="16"/>
      <c r="E764" s="17" t="str">
        <f aca="false">IF(C764="","","Q"&amp;ROUNDUP(MONTH(C764)/3,0))</f>
        <v/>
      </c>
      <c r="F764" s="16"/>
      <c r="G764" s="16"/>
      <c r="H764" s="17" t="str">
        <f aca="false">IF(A764="","",IF(OR(B764="",C764=""),"Item ID and date needed",IF(COUNTIF(Sample_Log!$A$5:$A$204,A764)=0,"SMP-ID not in log",IF(COUNTIFS($A$5:$A$1004,A764,$B$5:$B$1004,B764)&gt;1,"Duplicate item in sample","OK"))))</f>
        <v/>
      </c>
    </row>
    <row r="765" customFormat="false" ht="15" hidden="false" customHeight="false" outlineLevel="0" collapsed="false">
      <c r="A765" s="16"/>
      <c r="B765" s="16"/>
      <c r="C765" s="18"/>
      <c r="D765" s="16"/>
      <c r="E765" s="17" t="str">
        <f aca="false">IF(C765="","","Q"&amp;ROUNDUP(MONTH(C765)/3,0))</f>
        <v/>
      </c>
      <c r="F765" s="16"/>
      <c r="G765" s="16"/>
      <c r="H765" s="17" t="str">
        <f aca="false">IF(A765="","",IF(OR(B765="",C765=""),"Item ID and date needed",IF(COUNTIF(Sample_Log!$A$5:$A$204,A765)=0,"SMP-ID not in log",IF(COUNTIFS($A$5:$A$1004,A765,$B$5:$B$1004,B765)&gt;1,"Duplicate item in sample","OK"))))</f>
        <v/>
      </c>
    </row>
    <row r="766" customFormat="false" ht="15" hidden="false" customHeight="false" outlineLevel="0" collapsed="false">
      <c r="A766" s="16"/>
      <c r="B766" s="16"/>
      <c r="C766" s="18"/>
      <c r="D766" s="16"/>
      <c r="E766" s="17" t="str">
        <f aca="false">IF(C766="","","Q"&amp;ROUNDUP(MONTH(C766)/3,0))</f>
        <v/>
      </c>
      <c r="F766" s="16"/>
      <c r="G766" s="16"/>
      <c r="H766" s="17" t="str">
        <f aca="false">IF(A766="","",IF(OR(B766="",C766=""),"Item ID and date needed",IF(COUNTIF(Sample_Log!$A$5:$A$204,A766)=0,"SMP-ID not in log",IF(COUNTIFS($A$5:$A$1004,A766,$B$5:$B$1004,B766)&gt;1,"Duplicate item in sample","OK"))))</f>
        <v/>
      </c>
    </row>
    <row r="767" customFormat="false" ht="15" hidden="false" customHeight="false" outlineLevel="0" collapsed="false">
      <c r="A767" s="16"/>
      <c r="B767" s="16"/>
      <c r="C767" s="18"/>
      <c r="D767" s="16"/>
      <c r="E767" s="17" t="str">
        <f aca="false">IF(C767="","","Q"&amp;ROUNDUP(MONTH(C767)/3,0))</f>
        <v/>
      </c>
      <c r="F767" s="16"/>
      <c r="G767" s="16"/>
      <c r="H767" s="17" t="str">
        <f aca="false">IF(A767="","",IF(OR(B767="",C767=""),"Item ID and date needed",IF(COUNTIF(Sample_Log!$A$5:$A$204,A767)=0,"SMP-ID not in log",IF(COUNTIFS($A$5:$A$1004,A767,$B$5:$B$1004,B767)&gt;1,"Duplicate item in sample","OK"))))</f>
        <v/>
      </c>
    </row>
    <row r="768" customFormat="false" ht="15" hidden="false" customHeight="false" outlineLevel="0" collapsed="false">
      <c r="A768" s="16"/>
      <c r="B768" s="16"/>
      <c r="C768" s="18"/>
      <c r="D768" s="16"/>
      <c r="E768" s="17" t="str">
        <f aca="false">IF(C768="","","Q"&amp;ROUNDUP(MONTH(C768)/3,0))</f>
        <v/>
      </c>
      <c r="F768" s="16"/>
      <c r="G768" s="16"/>
      <c r="H768" s="17" t="str">
        <f aca="false">IF(A768="","",IF(OR(B768="",C768=""),"Item ID and date needed",IF(COUNTIF(Sample_Log!$A$5:$A$204,A768)=0,"SMP-ID not in log",IF(COUNTIFS($A$5:$A$1004,A768,$B$5:$B$1004,B768)&gt;1,"Duplicate item in sample","OK"))))</f>
        <v/>
      </c>
    </row>
    <row r="769" customFormat="false" ht="15" hidden="false" customHeight="false" outlineLevel="0" collapsed="false">
      <c r="A769" s="16"/>
      <c r="B769" s="16"/>
      <c r="C769" s="18"/>
      <c r="D769" s="16"/>
      <c r="E769" s="17" t="str">
        <f aca="false">IF(C769="","","Q"&amp;ROUNDUP(MONTH(C769)/3,0))</f>
        <v/>
      </c>
      <c r="F769" s="16"/>
      <c r="G769" s="16"/>
      <c r="H769" s="17" t="str">
        <f aca="false">IF(A769="","",IF(OR(B769="",C769=""),"Item ID and date needed",IF(COUNTIF(Sample_Log!$A$5:$A$204,A769)=0,"SMP-ID not in log",IF(COUNTIFS($A$5:$A$1004,A769,$B$5:$B$1004,B769)&gt;1,"Duplicate item in sample","OK"))))</f>
        <v/>
      </c>
    </row>
    <row r="770" customFormat="false" ht="15" hidden="false" customHeight="false" outlineLevel="0" collapsed="false">
      <c r="A770" s="16"/>
      <c r="B770" s="16"/>
      <c r="C770" s="18"/>
      <c r="D770" s="16"/>
      <c r="E770" s="17" t="str">
        <f aca="false">IF(C770="","","Q"&amp;ROUNDUP(MONTH(C770)/3,0))</f>
        <v/>
      </c>
      <c r="F770" s="16"/>
      <c r="G770" s="16"/>
      <c r="H770" s="17" t="str">
        <f aca="false">IF(A770="","",IF(OR(B770="",C770=""),"Item ID and date needed",IF(COUNTIF(Sample_Log!$A$5:$A$204,A770)=0,"SMP-ID not in log",IF(COUNTIFS($A$5:$A$1004,A770,$B$5:$B$1004,B770)&gt;1,"Duplicate item in sample","OK"))))</f>
        <v/>
      </c>
    </row>
    <row r="771" customFormat="false" ht="15" hidden="false" customHeight="false" outlineLevel="0" collapsed="false">
      <c r="A771" s="16"/>
      <c r="B771" s="16"/>
      <c r="C771" s="18"/>
      <c r="D771" s="16"/>
      <c r="E771" s="17" t="str">
        <f aca="false">IF(C771="","","Q"&amp;ROUNDUP(MONTH(C771)/3,0))</f>
        <v/>
      </c>
      <c r="F771" s="16"/>
      <c r="G771" s="16"/>
      <c r="H771" s="17" t="str">
        <f aca="false">IF(A771="","",IF(OR(B771="",C771=""),"Item ID and date needed",IF(COUNTIF(Sample_Log!$A$5:$A$204,A771)=0,"SMP-ID not in log",IF(COUNTIFS($A$5:$A$1004,A771,$B$5:$B$1004,B771)&gt;1,"Duplicate item in sample","OK"))))</f>
        <v/>
      </c>
    </row>
    <row r="772" customFormat="false" ht="15" hidden="false" customHeight="false" outlineLevel="0" collapsed="false">
      <c r="A772" s="16"/>
      <c r="B772" s="16"/>
      <c r="C772" s="18"/>
      <c r="D772" s="16"/>
      <c r="E772" s="17" t="str">
        <f aca="false">IF(C772="","","Q"&amp;ROUNDUP(MONTH(C772)/3,0))</f>
        <v/>
      </c>
      <c r="F772" s="16"/>
      <c r="G772" s="16"/>
      <c r="H772" s="17" t="str">
        <f aca="false">IF(A772="","",IF(OR(B772="",C772=""),"Item ID and date needed",IF(COUNTIF(Sample_Log!$A$5:$A$204,A772)=0,"SMP-ID not in log",IF(COUNTIFS($A$5:$A$1004,A772,$B$5:$B$1004,B772)&gt;1,"Duplicate item in sample","OK"))))</f>
        <v/>
      </c>
    </row>
    <row r="773" customFormat="false" ht="15" hidden="false" customHeight="false" outlineLevel="0" collapsed="false">
      <c r="A773" s="16"/>
      <c r="B773" s="16"/>
      <c r="C773" s="18"/>
      <c r="D773" s="16"/>
      <c r="E773" s="17" t="str">
        <f aca="false">IF(C773="","","Q"&amp;ROUNDUP(MONTH(C773)/3,0))</f>
        <v/>
      </c>
      <c r="F773" s="16"/>
      <c r="G773" s="16"/>
      <c r="H773" s="17" t="str">
        <f aca="false">IF(A773="","",IF(OR(B773="",C773=""),"Item ID and date needed",IF(COUNTIF(Sample_Log!$A$5:$A$204,A773)=0,"SMP-ID not in log",IF(COUNTIFS($A$5:$A$1004,A773,$B$5:$B$1004,B773)&gt;1,"Duplicate item in sample","OK"))))</f>
        <v/>
      </c>
    </row>
    <row r="774" customFormat="false" ht="15" hidden="false" customHeight="false" outlineLevel="0" collapsed="false">
      <c r="A774" s="16"/>
      <c r="B774" s="16"/>
      <c r="C774" s="18"/>
      <c r="D774" s="16"/>
      <c r="E774" s="17" t="str">
        <f aca="false">IF(C774="","","Q"&amp;ROUNDUP(MONTH(C774)/3,0))</f>
        <v/>
      </c>
      <c r="F774" s="16"/>
      <c r="G774" s="16"/>
      <c r="H774" s="17" t="str">
        <f aca="false">IF(A774="","",IF(OR(B774="",C774=""),"Item ID and date needed",IF(COUNTIF(Sample_Log!$A$5:$A$204,A774)=0,"SMP-ID not in log",IF(COUNTIFS($A$5:$A$1004,A774,$B$5:$B$1004,B774)&gt;1,"Duplicate item in sample","OK"))))</f>
        <v/>
      </c>
    </row>
    <row r="775" customFormat="false" ht="15" hidden="false" customHeight="false" outlineLevel="0" collapsed="false">
      <c r="A775" s="16"/>
      <c r="B775" s="16"/>
      <c r="C775" s="18"/>
      <c r="D775" s="16"/>
      <c r="E775" s="17" t="str">
        <f aca="false">IF(C775="","","Q"&amp;ROUNDUP(MONTH(C775)/3,0))</f>
        <v/>
      </c>
      <c r="F775" s="16"/>
      <c r="G775" s="16"/>
      <c r="H775" s="17" t="str">
        <f aca="false">IF(A775="","",IF(OR(B775="",C775=""),"Item ID and date needed",IF(COUNTIF(Sample_Log!$A$5:$A$204,A775)=0,"SMP-ID not in log",IF(COUNTIFS($A$5:$A$1004,A775,$B$5:$B$1004,B775)&gt;1,"Duplicate item in sample","OK"))))</f>
        <v/>
      </c>
    </row>
    <row r="776" customFormat="false" ht="15" hidden="false" customHeight="false" outlineLevel="0" collapsed="false">
      <c r="A776" s="16"/>
      <c r="B776" s="16"/>
      <c r="C776" s="18"/>
      <c r="D776" s="16"/>
      <c r="E776" s="17" t="str">
        <f aca="false">IF(C776="","","Q"&amp;ROUNDUP(MONTH(C776)/3,0))</f>
        <v/>
      </c>
      <c r="F776" s="16"/>
      <c r="G776" s="16"/>
      <c r="H776" s="17" t="str">
        <f aca="false">IF(A776="","",IF(OR(B776="",C776=""),"Item ID and date needed",IF(COUNTIF(Sample_Log!$A$5:$A$204,A776)=0,"SMP-ID not in log",IF(COUNTIFS($A$5:$A$1004,A776,$B$5:$B$1004,B776)&gt;1,"Duplicate item in sample","OK"))))</f>
        <v/>
      </c>
    </row>
    <row r="777" customFormat="false" ht="15" hidden="false" customHeight="false" outlineLevel="0" collapsed="false">
      <c r="A777" s="16"/>
      <c r="B777" s="16"/>
      <c r="C777" s="18"/>
      <c r="D777" s="16"/>
      <c r="E777" s="17" t="str">
        <f aca="false">IF(C777="","","Q"&amp;ROUNDUP(MONTH(C777)/3,0))</f>
        <v/>
      </c>
      <c r="F777" s="16"/>
      <c r="G777" s="16"/>
      <c r="H777" s="17" t="str">
        <f aca="false">IF(A777="","",IF(OR(B777="",C777=""),"Item ID and date needed",IF(COUNTIF(Sample_Log!$A$5:$A$204,A777)=0,"SMP-ID not in log",IF(COUNTIFS($A$5:$A$1004,A777,$B$5:$B$1004,B777)&gt;1,"Duplicate item in sample","OK"))))</f>
        <v/>
      </c>
    </row>
    <row r="778" customFormat="false" ht="15" hidden="false" customHeight="false" outlineLevel="0" collapsed="false">
      <c r="A778" s="16"/>
      <c r="B778" s="16"/>
      <c r="C778" s="18"/>
      <c r="D778" s="16"/>
      <c r="E778" s="17" t="str">
        <f aca="false">IF(C778="","","Q"&amp;ROUNDUP(MONTH(C778)/3,0))</f>
        <v/>
      </c>
      <c r="F778" s="16"/>
      <c r="G778" s="16"/>
      <c r="H778" s="17" t="str">
        <f aca="false">IF(A778="","",IF(OR(B778="",C778=""),"Item ID and date needed",IF(COUNTIF(Sample_Log!$A$5:$A$204,A778)=0,"SMP-ID not in log",IF(COUNTIFS($A$5:$A$1004,A778,$B$5:$B$1004,B778)&gt;1,"Duplicate item in sample","OK"))))</f>
        <v/>
      </c>
    </row>
    <row r="779" customFormat="false" ht="15" hidden="false" customHeight="false" outlineLevel="0" collapsed="false">
      <c r="A779" s="16"/>
      <c r="B779" s="16"/>
      <c r="C779" s="18"/>
      <c r="D779" s="16"/>
      <c r="E779" s="17" t="str">
        <f aca="false">IF(C779="","","Q"&amp;ROUNDUP(MONTH(C779)/3,0))</f>
        <v/>
      </c>
      <c r="F779" s="16"/>
      <c r="G779" s="16"/>
      <c r="H779" s="17" t="str">
        <f aca="false">IF(A779="","",IF(OR(B779="",C779=""),"Item ID and date needed",IF(COUNTIF(Sample_Log!$A$5:$A$204,A779)=0,"SMP-ID not in log",IF(COUNTIFS($A$5:$A$1004,A779,$B$5:$B$1004,B779)&gt;1,"Duplicate item in sample","OK"))))</f>
        <v/>
      </c>
    </row>
    <row r="780" customFormat="false" ht="15" hidden="false" customHeight="false" outlineLevel="0" collapsed="false">
      <c r="A780" s="16"/>
      <c r="B780" s="16"/>
      <c r="C780" s="18"/>
      <c r="D780" s="16"/>
      <c r="E780" s="17" t="str">
        <f aca="false">IF(C780="","","Q"&amp;ROUNDUP(MONTH(C780)/3,0))</f>
        <v/>
      </c>
      <c r="F780" s="16"/>
      <c r="G780" s="16"/>
      <c r="H780" s="17" t="str">
        <f aca="false">IF(A780="","",IF(OR(B780="",C780=""),"Item ID and date needed",IF(COUNTIF(Sample_Log!$A$5:$A$204,A780)=0,"SMP-ID not in log",IF(COUNTIFS($A$5:$A$1004,A780,$B$5:$B$1004,B780)&gt;1,"Duplicate item in sample","OK"))))</f>
        <v/>
      </c>
    </row>
    <row r="781" customFormat="false" ht="15" hidden="false" customHeight="false" outlineLevel="0" collapsed="false">
      <c r="A781" s="16"/>
      <c r="B781" s="16"/>
      <c r="C781" s="18"/>
      <c r="D781" s="16"/>
      <c r="E781" s="17" t="str">
        <f aca="false">IF(C781="","","Q"&amp;ROUNDUP(MONTH(C781)/3,0))</f>
        <v/>
      </c>
      <c r="F781" s="16"/>
      <c r="G781" s="16"/>
      <c r="H781" s="17" t="str">
        <f aca="false">IF(A781="","",IF(OR(B781="",C781=""),"Item ID and date needed",IF(COUNTIF(Sample_Log!$A$5:$A$204,A781)=0,"SMP-ID not in log",IF(COUNTIFS($A$5:$A$1004,A781,$B$5:$B$1004,B781)&gt;1,"Duplicate item in sample","OK"))))</f>
        <v/>
      </c>
    </row>
    <row r="782" customFormat="false" ht="15" hidden="false" customHeight="false" outlineLevel="0" collapsed="false">
      <c r="A782" s="16"/>
      <c r="B782" s="16"/>
      <c r="C782" s="18"/>
      <c r="D782" s="16"/>
      <c r="E782" s="17" t="str">
        <f aca="false">IF(C782="","","Q"&amp;ROUNDUP(MONTH(C782)/3,0))</f>
        <v/>
      </c>
      <c r="F782" s="16"/>
      <c r="G782" s="16"/>
      <c r="H782" s="17" t="str">
        <f aca="false">IF(A782="","",IF(OR(B782="",C782=""),"Item ID and date needed",IF(COUNTIF(Sample_Log!$A$5:$A$204,A782)=0,"SMP-ID not in log",IF(COUNTIFS($A$5:$A$1004,A782,$B$5:$B$1004,B782)&gt;1,"Duplicate item in sample","OK"))))</f>
        <v/>
      </c>
    </row>
    <row r="783" customFormat="false" ht="15" hidden="false" customHeight="false" outlineLevel="0" collapsed="false">
      <c r="A783" s="16"/>
      <c r="B783" s="16"/>
      <c r="C783" s="18"/>
      <c r="D783" s="16"/>
      <c r="E783" s="17" t="str">
        <f aca="false">IF(C783="","","Q"&amp;ROUNDUP(MONTH(C783)/3,0))</f>
        <v/>
      </c>
      <c r="F783" s="16"/>
      <c r="G783" s="16"/>
      <c r="H783" s="17" t="str">
        <f aca="false">IF(A783="","",IF(OR(B783="",C783=""),"Item ID and date needed",IF(COUNTIF(Sample_Log!$A$5:$A$204,A783)=0,"SMP-ID not in log",IF(COUNTIFS($A$5:$A$1004,A783,$B$5:$B$1004,B783)&gt;1,"Duplicate item in sample","OK"))))</f>
        <v/>
      </c>
    </row>
    <row r="784" customFormat="false" ht="15" hidden="false" customHeight="false" outlineLevel="0" collapsed="false">
      <c r="A784" s="16"/>
      <c r="B784" s="16"/>
      <c r="C784" s="18"/>
      <c r="D784" s="16"/>
      <c r="E784" s="17" t="str">
        <f aca="false">IF(C784="","","Q"&amp;ROUNDUP(MONTH(C784)/3,0))</f>
        <v/>
      </c>
      <c r="F784" s="16"/>
      <c r="G784" s="16"/>
      <c r="H784" s="17" t="str">
        <f aca="false">IF(A784="","",IF(OR(B784="",C784=""),"Item ID and date needed",IF(COUNTIF(Sample_Log!$A$5:$A$204,A784)=0,"SMP-ID not in log",IF(COUNTIFS($A$5:$A$1004,A784,$B$5:$B$1004,B784)&gt;1,"Duplicate item in sample","OK"))))</f>
        <v/>
      </c>
    </row>
    <row r="785" customFormat="false" ht="15" hidden="false" customHeight="false" outlineLevel="0" collapsed="false">
      <c r="A785" s="16"/>
      <c r="B785" s="16"/>
      <c r="C785" s="18"/>
      <c r="D785" s="16"/>
      <c r="E785" s="17" t="str">
        <f aca="false">IF(C785="","","Q"&amp;ROUNDUP(MONTH(C785)/3,0))</f>
        <v/>
      </c>
      <c r="F785" s="16"/>
      <c r="G785" s="16"/>
      <c r="H785" s="17" t="str">
        <f aca="false">IF(A785="","",IF(OR(B785="",C785=""),"Item ID and date needed",IF(COUNTIF(Sample_Log!$A$5:$A$204,A785)=0,"SMP-ID not in log",IF(COUNTIFS($A$5:$A$1004,A785,$B$5:$B$1004,B785)&gt;1,"Duplicate item in sample","OK"))))</f>
        <v/>
      </c>
    </row>
    <row r="786" customFormat="false" ht="15" hidden="false" customHeight="false" outlineLevel="0" collapsed="false">
      <c r="A786" s="16"/>
      <c r="B786" s="16"/>
      <c r="C786" s="18"/>
      <c r="D786" s="16"/>
      <c r="E786" s="17" t="str">
        <f aca="false">IF(C786="","","Q"&amp;ROUNDUP(MONTH(C786)/3,0))</f>
        <v/>
      </c>
      <c r="F786" s="16"/>
      <c r="G786" s="16"/>
      <c r="H786" s="17" t="str">
        <f aca="false">IF(A786="","",IF(OR(B786="",C786=""),"Item ID and date needed",IF(COUNTIF(Sample_Log!$A$5:$A$204,A786)=0,"SMP-ID not in log",IF(COUNTIFS($A$5:$A$1004,A786,$B$5:$B$1004,B786)&gt;1,"Duplicate item in sample","OK"))))</f>
        <v/>
      </c>
    </row>
    <row r="787" customFormat="false" ht="15" hidden="false" customHeight="false" outlineLevel="0" collapsed="false">
      <c r="A787" s="16"/>
      <c r="B787" s="16"/>
      <c r="C787" s="18"/>
      <c r="D787" s="16"/>
      <c r="E787" s="17" t="str">
        <f aca="false">IF(C787="","","Q"&amp;ROUNDUP(MONTH(C787)/3,0))</f>
        <v/>
      </c>
      <c r="F787" s="16"/>
      <c r="G787" s="16"/>
      <c r="H787" s="17" t="str">
        <f aca="false">IF(A787="","",IF(OR(B787="",C787=""),"Item ID and date needed",IF(COUNTIF(Sample_Log!$A$5:$A$204,A787)=0,"SMP-ID not in log",IF(COUNTIFS($A$5:$A$1004,A787,$B$5:$B$1004,B787)&gt;1,"Duplicate item in sample","OK"))))</f>
        <v/>
      </c>
    </row>
    <row r="788" customFormat="false" ht="15" hidden="false" customHeight="false" outlineLevel="0" collapsed="false">
      <c r="A788" s="16"/>
      <c r="B788" s="16"/>
      <c r="C788" s="18"/>
      <c r="D788" s="16"/>
      <c r="E788" s="17" t="str">
        <f aca="false">IF(C788="","","Q"&amp;ROUNDUP(MONTH(C788)/3,0))</f>
        <v/>
      </c>
      <c r="F788" s="16"/>
      <c r="G788" s="16"/>
      <c r="H788" s="17" t="str">
        <f aca="false">IF(A788="","",IF(OR(B788="",C788=""),"Item ID and date needed",IF(COUNTIF(Sample_Log!$A$5:$A$204,A788)=0,"SMP-ID not in log",IF(COUNTIFS($A$5:$A$1004,A788,$B$5:$B$1004,B788)&gt;1,"Duplicate item in sample","OK"))))</f>
        <v/>
      </c>
    </row>
    <row r="789" customFormat="false" ht="15" hidden="false" customHeight="false" outlineLevel="0" collapsed="false">
      <c r="A789" s="16"/>
      <c r="B789" s="16"/>
      <c r="C789" s="18"/>
      <c r="D789" s="16"/>
      <c r="E789" s="17" t="str">
        <f aca="false">IF(C789="","","Q"&amp;ROUNDUP(MONTH(C789)/3,0))</f>
        <v/>
      </c>
      <c r="F789" s="16"/>
      <c r="G789" s="16"/>
      <c r="H789" s="17" t="str">
        <f aca="false">IF(A789="","",IF(OR(B789="",C789=""),"Item ID and date needed",IF(COUNTIF(Sample_Log!$A$5:$A$204,A789)=0,"SMP-ID not in log",IF(COUNTIFS($A$5:$A$1004,A789,$B$5:$B$1004,B789)&gt;1,"Duplicate item in sample","OK"))))</f>
        <v/>
      </c>
    </row>
    <row r="790" customFormat="false" ht="15" hidden="false" customHeight="false" outlineLevel="0" collapsed="false">
      <c r="A790" s="16"/>
      <c r="B790" s="16"/>
      <c r="C790" s="18"/>
      <c r="D790" s="16"/>
      <c r="E790" s="17" t="str">
        <f aca="false">IF(C790="","","Q"&amp;ROUNDUP(MONTH(C790)/3,0))</f>
        <v/>
      </c>
      <c r="F790" s="16"/>
      <c r="G790" s="16"/>
      <c r="H790" s="17" t="str">
        <f aca="false">IF(A790="","",IF(OR(B790="",C790=""),"Item ID and date needed",IF(COUNTIF(Sample_Log!$A$5:$A$204,A790)=0,"SMP-ID not in log",IF(COUNTIFS($A$5:$A$1004,A790,$B$5:$B$1004,B790)&gt;1,"Duplicate item in sample","OK"))))</f>
        <v/>
      </c>
    </row>
    <row r="791" customFormat="false" ht="15" hidden="false" customHeight="false" outlineLevel="0" collapsed="false">
      <c r="A791" s="16"/>
      <c r="B791" s="16"/>
      <c r="C791" s="18"/>
      <c r="D791" s="16"/>
      <c r="E791" s="17" t="str">
        <f aca="false">IF(C791="","","Q"&amp;ROUNDUP(MONTH(C791)/3,0))</f>
        <v/>
      </c>
      <c r="F791" s="16"/>
      <c r="G791" s="16"/>
      <c r="H791" s="17" t="str">
        <f aca="false">IF(A791="","",IF(OR(B791="",C791=""),"Item ID and date needed",IF(COUNTIF(Sample_Log!$A$5:$A$204,A791)=0,"SMP-ID not in log",IF(COUNTIFS($A$5:$A$1004,A791,$B$5:$B$1004,B791)&gt;1,"Duplicate item in sample","OK"))))</f>
        <v/>
      </c>
    </row>
    <row r="792" customFormat="false" ht="15" hidden="false" customHeight="false" outlineLevel="0" collapsed="false">
      <c r="A792" s="16"/>
      <c r="B792" s="16"/>
      <c r="C792" s="18"/>
      <c r="D792" s="16"/>
      <c r="E792" s="17" t="str">
        <f aca="false">IF(C792="","","Q"&amp;ROUNDUP(MONTH(C792)/3,0))</f>
        <v/>
      </c>
      <c r="F792" s="16"/>
      <c r="G792" s="16"/>
      <c r="H792" s="17" t="str">
        <f aca="false">IF(A792="","",IF(OR(B792="",C792=""),"Item ID and date needed",IF(COUNTIF(Sample_Log!$A$5:$A$204,A792)=0,"SMP-ID not in log",IF(COUNTIFS($A$5:$A$1004,A792,$B$5:$B$1004,B792)&gt;1,"Duplicate item in sample","OK"))))</f>
        <v/>
      </c>
    </row>
    <row r="793" customFormat="false" ht="15" hidden="false" customHeight="false" outlineLevel="0" collapsed="false">
      <c r="A793" s="16"/>
      <c r="B793" s="16"/>
      <c r="C793" s="18"/>
      <c r="D793" s="16"/>
      <c r="E793" s="17" t="str">
        <f aca="false">IF(C793="","","Q"&amp;ROUNDUP(MONTH(C793)/3,0))</f>
        <v/>
      </c>
      <c r="F793" s="16"/>
      <c r="G793" s="16"/>
      <c r="H793" s="17" t="str">
        <f aca="false">IF(A793="","",IF(OR(B793="",C793=""),"Item ID and date needed",IF(COUNTIF(Sample_Log!$A$5:$A$204,A793)=0,"SMP-ID not in log",IF(COUNTIFS($A$5:$A$1004,A793,$B$5:$B$1004,B793)&gt;1,"Duplicate item in sample","OK"))))</f>
        <v/>
      </c>
    </row>
    <row r="794" customFormat="false" ht="15" hidden="false" customHeight="false" outlineLevel="0" collapsed="false">
      <c r="A794" s="16"/>
      <c r="B794" s="16"/>
      <c r="C794" s="18"/>
      <c r="D794" s="16"/>
      <c r="E794" s="17" t="str">
        <f aca="false">IF(C794="","","Q"&amp;ROUNDUP(MONTH(C794)/3,0))</f>
        <v/>
      </c>
      <c r="F794" s="16"/>
      <c r="G794" s="16"/>
      <c r="H794" s="17" t="str">
        <f aca="false">IF(A794="","",IF(OR(B794="",C794=""),"Item ID and date needed",IF(COUNTIF(Sample_Log!$A$5:$A$204,A794)=0,"SMP-ID not in log",IF(COUNTIFS($A$5:$A$1004,A794,$B$5:$B$1004,B794)&gt;1,"Duplicate item in sample","OK"))))</f>
        <v/>
      </c>
    </row>
    <row r="795" customFormat="false" ht="15" hidden="false" customHeight="false" outlineLevel="0" collapsed="false">
      <c r="A795" s="16"/>
      <c r="B795" s="16"/>
      <c r="C795" s="18"/>
      <c r="D795" s="16"/>
      <c r="E795" s="17" t="str">
        <f aca="false">IF(C795="","","Q"&amp;ROUNDUP(MONTH(C795)/3,0))</f>
        <v/>
      </c>
      <c r="F795" s="16"/>
      <c r="G795" s="16"/>
      <c r="H795" s="17" t="str">
        <f aca="false">IF(A795="","",IF(OR(B795="",C795=""),"Item ID and date needed",IF(COUNTIF(Sample_Log!$A$5:$A$204,A795)=0,"SMP-ID not in log",IF(COUNTIFS($A$5:$A$1004,A795,$B$5:$B$1004,B795)&gt;1,"Duplicate item in sample","OK"))))</f>
        <v/>
      </c>
    </row>
    <row r="796" customFormat="false" ht="15" hidden="false" customHeight="false" outlineLevel="0" collapsed="false">
      <c r="A796" s="16"/>
      <c r="B796" s="16"/>
      <c r="C796" s="18"/>
      <c r="D796" s="16"/>
      <c r="E796" s="17" t="str">
        <f aca="false">IF(C796="","","Q"&amp;ROUNDUP(MONTH(C796)/3,0))</f>
        <v/>
      </c>
      <c r="F796" s="16"/>
      <c r="G796" s="16"/>
      <c r="H796" s="17" t="str">
        <f aca="false">IF(A796="","",IF(OR(B796="",C796=""),"Item ID and date needed",IF(COUNTIF(Sample_Log!$A$5:$A$204,A796)=0,"SMP-ID not in log",IF(COUNTIFS($A$5:$A$1004,A796,$B$5:$B$1004,B796)&gt;1,"Duplicate item in sample","OK"))))</f>
        <v/>
      </c>
    </row>
    <row r="797" customFormat="false" ht="15" hidden="false" customHeight="false" outlineLevel="0" collapsed="false">
      <c r="A797" s="16"/>
      <c r="B797" s="16"/>
      <c r="C797" s="18"/>
      <c r="D797" s="16"/>
      <c r="E797" s="17" t="str">
        <f aca="false">IF(C797="","","Q"&amp;ROUNDUP(MONTH(C797)/3,0))</f>
        <v/>
      </c>
      <c r="F797" s="16"/>
      <c r="G797" s="16"/>
      <c r="H797" s="17" t="str">
        <f aca="false">IF(A797="","",IF(OR(B797="",C797=""),"Item ID and date needed",IF(COUNTIF(Sample_Log!$A$5:$A$204,A797)=0,"SMP-ID not in log",IF(COUNTIFS($A$5:$A$1004,A797,$B$5:$B$1004,B797)&gt;1,"Duplicate item in sample","OK"))))</f>
        <v/>
      </c>
    </row>
    <row r="798" customFormat="false" ht="15" hidden="false" customHeight="false" outlineLevel="0" collapsed="false">
      <c r="A798" s="16"/>
      <c r="B798" s="16"/>
      <c r="C798" s="18"/>
      <c r="D798" s="16"/>
      <c r="E798" s="17" t="str">
        <f aca="false">IF(C798="","","Q"&amp;ROUNDUP(MONTH(C798)/3,0))</f>
        <v/>
      </c>
      <c r="F798" s="16"/>
      <c r="G798" s="16"/>
      <c r="H798" s="17" t="str">
        <f aca="false">IF(A798="","",IF(OR(B798="",C798=""),"Item ID and date needed",IF(COUNTIF(Sample_Log!$A$5:$A$204,A798)=0,"SMP-ID not in log",IF(COUNTIFS($A$5:$A$1004,A798,$B$5:$B$1004,B798)&gt;1,"Duplicate item in sample","OK"))))</f>
        <v/>
      </c>
    </row>
    <row r="799" customFormat="false" ht="15" hidden="false" customHeight="false" outlineLevel="0" collapsed="false">
      <c r="A799" s="16"/>
      <c r="B799" s="16"/>
      <c r="C799" s="18"/>
      <c r="D799" s="16"/>
      <c r="E799" s="17" t="str">
        <f aca="false">IF(C799="","","Q"&amp;ROUNDUP(MONTH(C799)/3,0))</f>
        <v/>
      </c>
      <c r="F799" s="16"/>
      <c r="G799" s="16"/>
      <c r="H799" s="17" t="str">
        <f aca="false">IF(A799="","",IF(OR(B799="",C799=""),"Item ID and date needed",IF(COUNTIF(Sample_Log!$A$5:$A$204,A799)=0,"SMP-ID not in log",IF(COUNTIFS($A$5:$A$1004,A799,$B$5:$B$1004,B799)&gt;1,"Duplicate item in sample","OK"))))</f>
        <v/>
      </c>
    </row>
    <row r="800" customFormat="false" ht="15" hidden="false" customHeight="false" outlineLevel="0" collapsed="false">
      <c r="A800" s="16"/>
      <c r="B800" s="16"/>
      <c r="C800" s="18"/>
      <c r="D800" s="16"/>
      <c r="E800" s="17" t="str">
        <f aca="false">IF(C800="","","Q"&amp;ROUNDUP(MONTH(C800)/3,0))</f>
        <v/>
      </c>
      <c r="F800" s="16"/>
      <c r="G800" s="16"/>
      <c r="H800" s="17" t="str">
        <f aca="false">IF(A800="","",IF(OR(B800="",C800=""),"Item ID and date needed",IF(COUNTIF(Sample_Log!$A$5:$A$204,A800)=0,"SMP-ID not in log",IF(COUNTIFS($A$5:$A$1004,A800,$B$5:$B$1004,B800)&gt;1,"Duplicate item in sample","OK"))))</f>
        <v/>
      </c>
    </row>
    <row r="801" customFormat="false" ht="15" hidden="false" customHeight="false" outlineLevel="0" collapsed="false">
      <c r="A801" s="16"/>
      <c r="B801" s="16"/>
      <c r="C801" s="18"/>
      <c r="D801" s="16"/>
      <c r="E801" s="17" t="str">
        <f aca="false">IF(C801="","","Q"&amp;ROUNDUP(MONTH(C801)/3,0))</f>
        <v/>
      </c>
      <c r="F801" s="16"/>
      <c r="G801" s="16"/>
      <c r="H801" s="17" t="str">
        <f aca="false">IF(A801="","",IF(OR(B801="",C801=""),"Item ID and date needed",IF(COUNTIF(Sample_Log!$A$5:$A$204,A801)=0,"SMP-ID not in log",IF(COUNTIFS($A$5:$A$1004,A801,$B$5:$B$1004,B801)&gt;1,"Duplicate item in sample","OK"))))</f>
        <v/>
      </c>
    </row>
    <row r="802" customFormat="false" ht="15" hidden="false" customHeight="false" outlineLevel="0" collapsed="false">
      <c r="A802" s="16"/>
      <c r="B802" s="16"/>
      <c r="C802" s="18"/>
      <c r="D802" s="16"/>
      <c r="E802" s="17" t="str">
        <f aca="false">IF(C802="","","Q"&amp;ROUNDUP(MONTH(C802)/3,0))</f>
        <v/>
      </c>
      <c r="F802" s="16"/>
      <c r="G802" s="16"/>
      <c r="H802" s="17" t="str">
        <f aca="false">IF(A802="","",IF(OR(B802="",C802=""),"Item ID and date needed",IF(COUNTIF(Sample_Log!$A$5:$A$204,A802)=0,"SMP-ID not in log",IF(COUNTIFS($A$5:$A$1004,A802,$B$5:$B$1004,B802)&gt;1,"Duplicate item in sample","OK"))))</f>
        <v/>
      </c>
    </row>
    <row r="803" customFormat="false" ht="15" hidden="false" customHeight="false" outlineLevel="0" collapsed="false">
      <c r="A803" s="16"/>
      <c r="B803" s="16"/>
      <c r="C803" s="18"/>
      <c r="D803" s="16"/>
      <c r="E803" s="17" t="str">
        <f aca="false">IF(C803="","","Q"&amp;ROUNDUP(MONTH(C803)/3,0))</f>
        <v/>
      </c>
      <c r="F803" s="16"/>
      <c r="G803" s="16"/>
      <c r="H803" s="17" t="str">
        <f aca="false">IF(A803="","",IF(OR(B803="",C803=""),"Item ID and date needed",IF(COUNTIF(Sample_Log!$A$5:$A$204,A803)=0,"SMP-ID not in log",IF(COUNTIFS($A$5:$A$1004,A803,$B$5:$B$1004,B803)&gt;1,"Duplicate item in sample","OK"))))</f>
        <v/>
      </c>
    </row>
    <row r="804" customFormat="false" ht="15" hidden="false" customHeight="false" outlineLevel="0" collapsed="false">
      <c r="A804" s="16"/>
      <c r="B804" s="16"/>
      <c r="C804" s="18"/>
      <c r="D804" s="16"/>
      <c r="E804" s="17" t="str">
        <f aca="false">IF(C804="","","Q"&amp;ROUNDUP(MONTH(C804)/3,0))</f>
        <v/>
      </c>
      <c r="F804" s="16"/>
      <c r="G804" s="16"/>
      <c r="H804" s="17" t="str">
        <f aca="false">IF(A804="","",IF(OR(B804="",C804=""),"Item ID and date needed",IF(COUNTIF(Sample_Log!$A$5:$A$204,A804)=0,"SMP-ID not in log",IF(COUNTIFS($A$5:$A$1004,A804,$B$5:$B$1004,B804)&gt;1,"Duplicate item in sample","OK"))))</f>
        <v/>
      </c>
    </row>
    <row r="805" customFormat="false" ht="15" hidden="false" customHeight="false" outlineLevel="0" collapsed="false">
      <c r="A805" s="16"/>
      <c r="B805" s="16"/>
      <c r="C805" s="18"/>
      <c r="D805" s="16"/>
      <c r="E805" s="17" t="str">
        <f aca="false">IF(C805="","","Q"&amp;ROUNDUP(MONTH(C805)/3,0))</f>
        <v/>
      </c>
      <c r="F805" s="16"/>
      <c r="G805" s="16"/>
      <c r="H805" s="17" t="str">
        <f aca="false">IF(A805="","",IF(OR(B805="",C805=""),"Item ID and date needed",IF(COUNTIF(Sample_Log!$A$5:$A$204,A805)=0,"SMP-ID not in log",IF(COUNTIFS($A$5:$A$1004,A805,$B$5:$B$1004,B805)&gt;1,"Duplicate item in sample","OK"))))</f>
        <v/>
      </c>
    </row>
    <row r="806" customFormat="false" ht="15" hidden="false" customHeight="false" outlineLevel="0" collapsed="false">
      <c r="A806" s="16"/>
      <c r="B806" s="16"/>
      <c r="C806" s="18"/>
      <c r="D806" s="16"/>
      <c r="E806" s="17" t="str">
        <f aca="false">IF(C806="","","Q"&amp;ROUNDUP(MONTH(C806)/3,0))</f>
        <v/>
      </c>
      <c r="F806" s="16"/>
      <c r="G806" s="16"/>
      <c r="H806" s="17" t="str">
        <f aca="false">IF(A806="","",IF(OR(B806="",C806=""),"Item ID and date needed",IF(COUNTIF(Sample_Log!$A$5:$A$204,A806)=0,"SMP-ID not in log",IF(COUNTIFS($A$5:$A$1004,A806,$B$5:$B$1004,B806)&gt;1,"Duplicate item in sample","OK"))))</f>
        <v/>
      </c>
    </row>
    <row r="807" customFormat="false" ht="15" hidden="false" customHeight="false" outlineLevel="0" collapsed="false">
      <c r="A807" s="16"/>
      <c r="B807" s="16"/>
      <c r="C807" s="18"/>
      <c r="D807" s="16"/>
      <c r="E807" s="17" t="str">
        <f aca="false">IF(C807="","","Q"&amp;ROUNDUP(MONTH(C807)/3,0))</f>
        <v/>
      </c>
      <c r="F807" s="16"/>
      <c r="G807" s="16"/>
      <c r="H807" s="17" t="str">
        <f aca="false">IF(A807="","",IF(OR(B807="",C807=""),"Item ID and date needed",IF(COUNTIF(Sample_Log!$A$5:$A$204,A807)=0,"SMP-ID not in log",IF(COUNTIFS($A$5:$A$1004,A807,$B$5:$B$1004,B807)&gt;1,"Duplicate item in sample","OK"))))</f>
        <v/>
      </c>
    </row>
    <row r="808" customFormat="false" ht="15" hidden="false" customHeight="false" outlineLevel="0" collapsed="false">
      <c r="A808" s="16"/>
      <c r="B808" s="16"/>
      <c r="C808" s="18"/>
      <c r="D808" s="16"/>
      <c r="E808" s="17" t="str">
        <f aca="false">IF(C808="","","Q"&amp;ROUNDUP(MONTH(C808)/3,0))</f>
        <v/>
      </c>
      <c r="F808" s="16"/>
      <c r="G808" s="16"/>
      <c r="H808" s="17" t="str">
        <f aca="false">IF(A808="","",IF(OR(B808="",C808=""),"Item ID and date needed",IF(COUNTIF(Sample_Log!$A$5:$A$204,A808)=0,"SMP-ID not in log",IF(COUNTIFS($A$5:$A$1004,A808,$B$5:$B$1004,B808)&gt;1,"Duplicate item in sample","OK"))))</f>
        <v/>
      </c>
    </row>
    <row r="809" customFormat="false" ht="15" hidden="false" customHeight="false" outlineLevel="0" collapsed="false">
      <c r="A809" s="16"/>
      <c r="B809" s="16"/>
      <c r="C809" s="18"/>
      <c r="D809" s="16"/>
      <c r="E809" s="17" t="str">
        <f aca="false">IF(C809="","","Q"&amp;ROUNDUP(MONTH(C809)/3,0))</f>
        <v/>
      </c>
      <c r="F809" s="16"/>
      <c r="G809" s="16"/>
      <c r="H809" s="17" t="str">
        <f aca="false">IF(A809="","",IF(OR(B809="",C809=""),"Item ID and date needed",IF(COUNTIF(Sample_Log!$A$5:$A$204,A809)=0,"SMP-ID not in log",IF(COUNTIFS($A$5:$A$1004,A809,$B$5:$B$1004,B809)&gt;1,"Duplicate item in sample","OK"))))</f>
        <v/>
      </c>
    </row>
    <row r="810" customFormat="false" ht="15" hidden="false" customHeight="false" outlineLevel="0" collapsed="false">
      <c r="A810" s="16"/>
      <c r="B810" s="16"/>
      <c r="C810" s="18"/>
      <c r="D810" s="16"/>
      <c r="E810" s="17" t="str">
        <f aca="false">IF(C810="","","Q"&amp;ROUNDUP(MONTH(C810)/3,0))</f>
        <v/>
      </c>
      <c r="F810" s="16"/>
      <c r="G810" s="16"/>
      <c r="H810" s="17" t="str">
        <f aca="false">IF(A810="","",IF(OR(B810="",C810=""),"Item ID and date needed",IF(COUNTIF(Sample_Log!$A$5:$A$204,A810)=0,"SMP-ID not in log",IF(COUNTIFS($A$5:$A$1004,A810,$B$5:$B$1004,B810)&gt;1,"Duplicate item in sample","OK"))))</f>
        <v/>
      </c>
    </row>
    <row r="811" customFormat="false" ht="15" hidden="false" customHeight="false" outlineLevel="0" collapsed="false">
      <c r="A811" s="16"/>
      <c r="B811" s="16"/>
      <c r="C811" s="18"/>
      <c r="D811" s="16"/>
      <c r="E811" s="17" t="str">
        <f aca="false">IF(C811="","","Q"&amp;ROUNDUP(MONTH(C811)/3,0))</f>
        <v/>
      </c>
      <c r="F811" s="16"/>
      <c r="G811" s="16"/>
      <c r="H811" s="17" t="str">
        <f aca="false">IF(A811="","",IF(OR(B811="",C811=""),"Item ID and date needed",IF(COUNTIF(Sample_Log!$A$5:$A$204,A811)=0,"SMP-ID not in log",IF(COUNTIFS($A$5:$A$1004,A811,$B$5:$B$1004,B811)&gt;1,"Duplicate item in sample","OK"))))</f>
        <v/>
      </c>
    </row>
    <row r="812" customFormat="false" ht="15" hidden="false" customHeight="false" outlineLevel="0" collapsed="false">
      <c r="A812" s="16"/>
      <c r="B812" s="16"/>
      <c r="C812" s="18"/>
      <c r="D812" s="16"/>
      <c r="E812" s="17" t="str">
        <f aca="false">IF(C812="","","Q"&amp;ROUNDUP(MONTH(C812)/3,0))</f>
        <v/>
      </c>
      <c r="F812" s="16"/>
      <c r="G812" s="16"/>
      <c r="H812" s="17" t="str">
        <f aca="false">IF(A812="","",IF(OR(B812="",C812=""),"Item ID and date needed",IF(COUNTIF(Sample_Log!$A$5:$A$204,A812)=0,"SMP-ID not in log",IF(COUNTIFS($A$5:$A$1004,A812,$B$5:$B$1004,B812)&gt;1,"Duplicate item in sample","OK"))))</f>
        <v/>
      </c>
    </row>
    <row r="813" customFormat="false" ht="15" hidden="false" customHeight="false" outlineLevel="0" collapsed="false">
      <c r="A813" s="16"/>
      <c r="B813" s="16"/>
      <c r="C813" s="18"/>
      <c r="D813" s="16"/>
      <c r="E813" s="17" t="str">
        <f aca="false">IF(C813="","","Q"&amp;ROUNDUP(MONTH(C813)/3,0))</f>
        <v/>
      </c>
      <c r="F813" s="16"/>
      <c r="G813" s="16"/>
      <c r="H813" s="17" t="str">
        <f aca="false">IF(A813="","",IF(OR(B813="",C813=""),"Item ID and date needed",IF(COUNTIF(Sample_Log!$A$5:$A$204,A813)=0,"SMP-ID not in log",IF(COUNTIFS($A$5:$A$1004,A813,$B$5:$B$1004,B813)&gt;1,"Duplicate item in sample","OK"))))</f>
        <v/>
      </c>
    </row>
    <row r="814" customFormat="false" ht="15" hidden="false" customHeight="false" outlineLevel="0" collapsed="false">
      <c r="A814" s="16"/>
      <c r="B814" s="16"/>
      <c r="C814" s="18"/>
      <c r="D814" s="16"/>
      <c r="E814" s="17" t="str">
        <f aca="false">IF(C814="","","Q"&amp;ROUNDUP(MONTH(C814)/3,0))</f>
        <v/>
      </c>
      <c r="F814" s="16"/>
      <c r="G814" s="16"/>
      <c r="H814" s="17" t="str">
        <f aca="false">IF(A814="","",IF(OR(B814="",C814=""),"Item ID and date needed",IF(COUNTIF(Sample_Log!$A$5:$A$204,A814)=0,"SMP-ID not in log",IF(COUNTIFS($A$5:$A$1004,A814,$B$5:$B$1004,B814)&gt;1,"Duplicate item in sample","OK"))))</f>
        <v/>
      </c>
    </row>
    <row r="815" customFormat="false" ht="15" hidden="false" customHeight="false" outlineLevel="0" collapsed="false">
      <c r="A815" s="16"/>
      <c r="B815" s="16"/>
      <c r="C815" s="18"/>
      <c r="D815" s="16"/>
      <c r="E815" s="17" t="str">
        <f aca="false">IF(C815="","","Q"&amp;ROUNDUP(MONTH(C815)/3,0))</f>
        <v/>
      </c>
      <c r="F815" s="16"/>
      <c r="G815" s="16"/>
      <c r="H815" s="17" t="str">
        <f aca="false">IF(A815="","",IF(OR(B815="",C815=""),"Item ID and date needed",IF(COUNTIF(Sample_Log!$A$5:$A$204,A815)=0,"SMP-ID not in log",IF(COUNTIFS($A$5:$A$1004,A815,$B$5:$B$1004,B815)&gt;1,"Duplicate item in sample","OK"))))</f>
        <v/>
      </c>
    </row>
    <row r="816" customFormat="false" ht="15" hidden="false" customHeight="false" outlineLevel="0" collapsed="false">
      <c r="A816" s="16"/>
      <c r="B816" s="16"/>
      <c r="C816" s="18"/>
      <c r="D816" s="16"/>
      <c r="E816" s="17" t="str">
        <f aca="false">IF(C816="","","Q"&amp;ROUNDUP(MONTH(C816)/3,0))</f>
        <v/>
      </c>
      <c r="F816" s="16"/>
      <c r="G816" s="16"/>
      <c r="H816" s="17" t="str">
        <f aca="false">IF(A816="","",IF(OR(B816="",C816=""),"Item ID and date needed",IF(COUNTIF(Sample_Log!$A$5:$A$204,A816)=0,"SMP-ID not in log",IF(COUNTIFS($A$5:$A$1004,A816,$B$5:$B$1004,B816)&gt;1,"Duplicate item in sample","OK"))))</f>
        <v/>
      </c>
    </row>
    <row r="817" customFormat="false" ht="15" hidden="false" customHeight="false" outlineLevel="0" collapsed="false">
      <c r="A817" s="16"/>
      <c r="B817" s="16"/>
      <c r="C817" s="18"/>
      <c r="D817" s="16"/>
      <c r="E817" s="17" t="str">
        <f aca="false">IF(C817="","","Q"&amp;ROUNDUP(MONTH(C817)/3,0))</f>
        <v/>
      </c>
      <c r="F817" s="16"/>
      <c r="G817" s="16"/>
      <c r="H817" s="17" t="str">
        <f aca="false">IF(A817="","",IF(OR(B817="",C817=""),"Item ID and date needed",IF(COUNTIF(Sample_Log!$A$5:$A$204,A817)=0,"SMP-ID not in log",IF(COUNTIFS($A$5:$A$1004,A817,$B$5:$B$1004,B817)&gt;1,"Duplicate item in sample","OK"))))</f>
        <v/>
      </c>
    </row>
    <row r="818" customFormat="false" ht="15" hidden="false" customHeight="false" outlineLevel="0" collapsed="false">
      <c r="A818" s="16"/>
      <c r="B818" s="16"/>
      <c r="C818" s="18"/>
      <c r="D818" s="16"/>
      <c r="E818" s="17" t="str">
        <f aca="false">IF(C818="","","Q"&amp;ROUNDUP(MONTH(C818)/3,0))</f>
        <v/>
      </c>
      <c r="F818" s="16"/>
      <c r="G818" s="16"/>
      <c r="H818" s="17" t="str">
        <f aca="false">IF(A818="","",IF(OR(B818="",C818=""),"Item ID and date needed",IF(COUNTIF(Sample_Log!$A$5:$A$204,A818)=0,"SMP-ID not in log",IF(COUNTIFS($A$5:$A$1004,A818,$B$5:$B$1004,B818)&gt;1,"Duplicate item in sample","OK"))))</f>
        <v/>
      </c>
    </row>
    <row r="819" customFormat="false" ht="15" hidden="false" customHeight="false" outlineLevel="0" collapsed="false">
      <c r="A819" s="16"/>
      <c r="B819" s="16"/>
      <c r="C819" s="18"/>
      <c r="D819" s="16"/>
      <c r="E819" s="17" t="str">
        <f aca="false">IF(C819="","","Q"&amp;ROUNDUP(MONTH(C819)/3,0))</f>
        <v/>
      </c>
      <c r="F819" s="16"/>
      <c r="G819" s="16"/>
      <c r="H819" s="17" t="str">
        <f aca="false">IF(A819="","",IF(OR(B819="",C819=""),"Item ID and date needed",IF(COUNTIF(Sample_Log!$A$5:$A$204,A819)=0,"SMP-ID not in log",IF(COUNTIFS($A$5:$A$1004,A819,$B$5:$B$1004,B819)&gt;1,"Duplicate item in sample","OK"))))</f>
        <v/>
      </c>
    </row>
    <row r="820" customFormat="false" ht="15" hidden="false" customHeight="false" outlineLevel="0" collapsed="false">
      <c r="A820" s="16"/>
      <c r="B820" s="16"/>
      <c r="C820" s="18"/>
      <c r="D820" s="16"/>
      <c r="E820" s="17" t="str">
        <f aca="false">IF(C820="","","Q"&amp;ROUNDUP(MONTH(C820)/3,0))</f>
        <v/>
      </c>
      <c r="F820" s="16"/>
      <c r="G820" s="16"/>
      <c r="H820" s="17" t="str">
        <f aca="false">IF(A820="","",IF(OR(B820="",C820=""),"Item ID and date needed",IF(COUNTIF(Sample_Log!$A$5:$A$204,A820)=0,"SMP-ID not in log",IF(COUNTIFS($A$5:$A$1004,A820,$B$5:$B$1004,B820)&gt;1,"Duplicate item in sample","OK"))))</f>
        <v/>
      </c>
    </row>
    <row r="821" customFormat="false" ht="15" hidden="false" customHeight="false" outlineLevel="0" collapsed="false">
      <c r="A821" s="16"/>
      <c r="B821" s="16"/>
      <c r="C821" s="18"/>
      <c r="D821" s="16"/>
      <c r="E821" s="17" t="str">
        <f aca="false">IF(C821="","","Q"&amp;ROUNDUP(MONTH(C821)/3,0))</f>
        <v/>
      </c>
      <c r="F821" s="16"/>
      <c r="G821" s="16"/>
      <c r="H821" s="17" t="str">
        <f aca="false">IF(A821="","",IF(OR(B821="",C821=""),"Item ID and date needed",IF(COUNTIF(Sample_Log!$A$5:$A$204,A821)=0,"SMP-ID not in log",IF(COUNTIFS($A$5:$A$1004,A821,$B$5:$B$1004,B821)&gt;1,"Duplicate item in sample","OK"))))</f>
        <v/>
      </c>
    </row>
    <row r="822" customFormat="false" ht="15" hidden="false" customHeight="false" outlineLevel="0" collapsed="false">
      <c r="A822" s="16"/>
      <c r="B822" s="16"/>
      <c r="C822" s="18"/>
      <c r="D822" s="16"/>
      <c r="E822" s="17" t="str">
        <f aca="false">IF(C822="","","Q"&amp;ROUNDUP(MONTH(C822)/3,0))</f>
        <v/>
      </c>
      <c r="F822" s="16"/>
      <c r="G822" s="16"/>
      <c r="H822" s="17" t="str">
        <f aca="false">IF(A822="","",IF(OR(B822="",C822=""),"Item ID and date needed",IF(COUNTIF(Sample_Log!$A$5:$A$204,A822)=0,"SMP-ID not in log",IF(COUNTIFS($A$5:$A$1004,A822,$B$5:$B$1004,B822)&gt;1,"Duplicate item in sample","OK"))))</f>
        <v/>
      </c>
    </row>
    <row r="823" customFormat="false" ht="15" hidden="false" customHeight="false" outlineLevel="0" collapsed="false">
      <c r="A823" s="16"/>
      <c r="B823" s="16"/>
      <c r="C823" s="18"/>
      <c r="D823" s="16"/>
      <c r="E823" s="17" t="str">
        <f aca="false">IF(C823="","","Q"&amp;ROUNDUP(MONTH(C823)/3,0))</f>
        <v/>
      </c>
      <c r="F823" s="16"/>
      <c r="G823" s="16"/>
      <c r="H823" s="17" t="str">
        <f aca="false">IF(A823="","",IF(OR(B823="",C823=""),"Item ID and date needed",IF(COUNTIF(Sample_Log!$A$5:$A$204,A823)=0,"SMP-ID not in log",IF(COUNTIFS($A$5:$A$1004,A823,$B$5:$B$1004,B823)&gt;1,"Duplicate item in sample","OK"))))</f>
        <v/>
      </c>
    </row>
    <row r="824" customFormat="false" ht="15" hidden="false" customHeight="false" outlineLevel="0" collapsed="false">
      <c r="A824" s="16"/>
      <c r="B824" s="16"/>
      <c r="C824" s="18"/>
      <c r="D824" s="16"/>
      <c r="E824" s="17" t="str">
        <f aca="false">IF(C824="","","Q"&amp;ROUNDUP(MONTH(C824)/3,0))</f>
        <v/>
      </c>
      <c r="F824" s="16"/>
      <c r="G824" s="16"/>
      <c r="H824" s="17" t="str">
        <f aca="false">IF(A824="","",IF(OR(B824="",C824=""),"Item ID and date needed",IF(COUNTIF(Sample_Log!$A$5:$A$204,A824)=0,"SMP-ID not in log",IF(COUNTIFS($A$5:$A$1004,A824,$B$5:$B$1004,B824)&gt;1,"Duplicate item in sample","OK"))))</f>
        <v/>
      </c>
    </row>
    <row r="825" customFormat="false" ht="15" hidden="false" customHeight="false" outlineLevel="0" collapsed="false">
      <c r="A825" s="16"/>
      <c r="B825" s="16"/>
      <c r="C825" s="18"/>
      <c r="D825" s="16"/>
      <c r="E825" s="17" t="str">
        <f aca="false">IF(C825="","","Q"&amp;ROUNDUP(MONTH(C825)/3,0))</f>
        <v/>
      </c>
      <c r="F825" s="16"/>
      <c r="G825" s="16"/>
      <c r="H825" s="17" t="str">
        <f aca="false">IF(A825="","",IF(OR(B825="",C825=""),"Item ID and date needed",IF(COUNTIF(Sample_Log!$A$5:$A$204,A825)=0,"SMP-ID not in log",IF(COUNTIFS($A$5:$A$1004,A825,$B$5:$B$1004,B825)&gt;1,"Duplicate item in sample","OK"))))</f>
        <v/>
      </c>
    </row>
    <row r="826" customFormat="false" ht="15" hidden="false" customHeight="false" outlineLevel="0" collapsed="false">
      <c r="A826" s="16"/>
      <c r="B826" s="16"/>
      <c r="C826" s="18"/>
      <c r="D826" s="16"/>
      <c r="E826" s="17" t="str">
        <f aca="false">IF(C826="","","Q"&amp;ROUNDUP(MONTH(C826)/3,0))</f>
        <v/>
      </c>
      <c r="F826" s="16"/>
      <c r="G826" s="16"/>
      <c r="H826" s="17" t="str">
        <f aca="false">IF(A826="","",IF(OR(B826="",C826=""),"Item ID and date needed",IF(COUNTIF(Sample_Log!$A$5:$A$204,A826)=0,"SMP-ID not in log",IF(COUNTIFS($A$5:$A$1004,A826,$B$5:$B$1004,B826)&gt;1,"Duplicate item in sample","OK"))))</f>
        <v/>
      </c>
    </row>
    <row r="827" customFormat="false" ht="15" hidden="false" customHeight="false" outlineLevel="0" collapsed="false">
      <c r="A827" s="16"/>
      <c r="B827" s="16"/>
      <c r="C827" s="18"/>
      <c r="D827" s="16"/>
      <c r="E827" s="17" t="str">
        <f aca="false">IF(C827="","","Q"&amp;ROUNDUP(MONTH(C827)/3,0))</f>
        <v/>
      </c>
      <c r="F827" s="16"/>
      <c r="G827" s="16"/>
      <c r="H827" s="17" t="str">
        <f aca="false">IF(A827="","",IF(OR(B827="",C827=""),"Item ID and date needed",IF(COUNTIF(Sample_Log!$A$5:$A$204,A827)=0,"SMP-ID not in log",IF(COUNTIFS($A$5:$A$1004,A827,$B$5:$B$1004,B827)&gt;1,"Duplicate item in sample","OK"))))</f>
        <v/>
      </c>
    </row>
    <row r="828" customFormat="false" ht="15" hidden="false" customHeight="false" outlineLevel="0" collapsed="false">
      <c r="A828" s="16"/>
      <c r="B828" s="16"/>
      <c r="C828" s="18"/>
      <c r="D828" s="16"/>
      <c r="E828" s="17" t="str">
        <f aca="false">IF(C828="","","Q"&amp;ROUNDUP(MONTH(C828)/3,0))</f>
        <v/>
      </c>
      <c r="F828" s="16"/>
      <c r="G828" s="16"/>
      <c r="H828" s="17" t="str">
        <f aca="false">IF(A828="","",IF(OR(B828="",C828=""),"Item ID and date needed",IF(COUNTIF(Sample_Log!$A$5:$A$204,A828)=0,"SMP-ID not in log",IF(COUNTIFS($A$5:$A$1004,A828,$B$5:$B$1004,B828)&gt;1,"Duplicate item in sample","OK"))))</f>
        <v/>
      </c>
    </row>
    <row r="829" customFormat="false" ht="15" hidden="false" customHeight="false" outlineLevel="0" collapsed="false">
      <c r="A829" s="16"/>
      <c r="B829" s="16"/>
      <c r="C829" s="18"/>
      <c r="D829" s="16"/>
      <c r="E829" s="17" t="str">
        <f aca="false">IF(C829="","","Q"&amp;ROUNDUP(MONTH(C829)/3,0))</f>
        <v/>
      </c>
      <c r="F829" s="16"/>
      <c r="G829" s="16"/>
      <c r="H829" s="17" t="str">
        <f aca="false">IF(A829="","",IF(OR(B829="",C829=""),"Item ID and date needed",IF(COUNTIF(Sample_Log!$A$5:$A$204,A829)=0,"SMP-ID not in log",IF(COUNTIFS($A$5:$A$1004,A829,$B$5:$B$1004,B829)&gt;1,"Duplicate item in sample","OK"))))</f>
        <v/>
      </c>
    </row>
    <row r="830" customFormat="false" ht="15" hidden="false" customHeight="false" outlineLevel="0" collapsed="false">
      <c r="A830" s="16"/>
      <c r="B830" s="16"/>
      <c r="C830" s="18"/>
      <c r="D830" s="16"/>
      <c r="E830" s="17" t="str">
        <f aca="false">IF(C830="","","Q"&amp;ROUNDUP(MONTH(C830)/3,0))</f>
        <v/>
      </c>
      <c r="F830" s="16"/>
      <c r="G830" s="16"/>
      <c r="H830" s="17" t="str">
        <f aca="false">IF(A830="","",IF(OR(B830="",C830=""),"Item ID and date needed",IF(COUNTIF(Sample_Log!$A$5:$A$204,A830)=0,"SMP-ID not in log",IF(COUNTIFS($A$5:$A$1004,A830,$B$5:$B$1004,B830)&gt;1,"Duplicate item in sample","OK"))))</f>
        <v/>
      </c>
    </row>
    <row r="831" customFormat="false" ht="15" hidden="false" customHeight="false" outlineLevel="0" collapsed="false">
      <c r="A831" s="16"/>
      <c r="B831" s="16"/>
      <c r="C831" s="18"/>
      <c r="D831" s="16"/>
      <c r="E831" s="17" t="str">
        <f aca="false">IF(C831="","","Q"&amp;ROUNDUP(MONTH(C831)/3,0))</f>
        <v/>
      </c>
      <c r="F831" s="16"/>
      <c r="G831" s="16"/>
      <c r="H831" s="17" t="str">
        <f aca="false">IF(A831="","",IF(OR(B831="",C831=""),"Item ID and date needed",IF(COUNTIF(Sample_Log!$A$5:$A$204,A831)=0,"SMP-ID not in log",IF(COUNTIFS($A$5:$A$1004,A831,$B$5:$B$1004,B831)&gt;1,"Duplicate item in sample","OK"))))</f>
        <v/>
      </c>
    </row>
    <row r="832" customFormat="false" ht="15" hidden="false" customHeight="false" outlineLevel="0" collapsed="false">
      <c r="A832" s="16"/>
      <c r="B832" s="16"/>
      <c r="C832" s="18"/>
      <c r="D832" s="16"/>
      <c r="E832" s="17" t="str">
        <f aca="false">IF(C832="","","Q"&amp;ROUNDUP(MONTH(C832)/3,0))</f>
        <v/>
      </c>
      <c r="F832" s="16"/>
      <c r="G832" s="16"/>
      <c r="H832" s="17" t="str">
        <f aca="false">IF(A832="","",IF(OR(B832="",C832=""),"Item ID and date needed",IF(COUNTIF(Sample_Log!$A$5:$A$204,A832)=0,"SMP-ID not in log",IF(COUNTIFS($A$5:$A$1004,A832,$B$5:$B$1004,B832)&gt;1,"Duplicate item in sample","OK"))))</f>
        <v/>
      </c>
    </row>
    <row r="833" customFormat="false" ht="15" hidden="false" customHeight="false" outlineLevel="0" collapsed="false">
      <c r="A833" s="16"/>
      <c r="B833" s="16"/>
      <c r="C833" s="18"/>
      <c r="D833" s="16"/>
      <c r="E833" s="17" t="str">
        <f aca="false">IF(C833="","","Q"&amp;ROUNDUP(MONTH(C833)/3,0))</f>
        <v/>
      </c>
      <c r="F833" s="16"/>
      <c r="G833" s="16"/>
      <c r="H833" s="17" t="str">
        <f aca="false">IF(A833="","",IF(OR(B833="",C833=""),"Item ID and date needed",IF(COUNTIF(Sample_Log!$A$5:$A$204,A833)=0,"SMP-ID not in log",IF(COUNTIFS($A$5:$A$1004,A833,$B$5:$B$1004,B833)&gt;1,"Duplicate item in sample","OK"))))</f>
        <v/>
      </c>
    </row>
    <row r="834" customFormat="false" ht="15" hidden="false" customHeight="false" outlineLevel="0" collapsed="false">
      <c r="A834" s="16"/>
      <c r="B834" s="16"/>
      <c r="C834" s="18"/>
      <c r="D834" s="16"/>
      <c r="E834" s="17" t="str">
        <f aca="false">IF(C834="","","Q"&amp;ROUNDUP(MONTH(C834)/3,0))</f>
        <v/>
      </c>
      <c r="F834" s="16"/>
      <c r="G834" s="16"/>
      <c r="H834" s="17" t="str">
        <f aca="false">IF(A834="","",IF(OR(B834="",C834=""),"Item ID and date needed",IF(COUNTIF(Sample_Log!$A$5:$A$204,A834)=0,"SMP-ID not in log",IF(COUNTIFS($A$5:$A$1004,A834,$B$5:$B$1004,B834)&gt;1,"Duplicate item in sample","OK"))))</f>
        <v/>
      </c>
    </row>
    <row r="835" customFormat="false" ht="15" hidden="false" customHeight="false" outlineLevel="0" collapsed="false">
      <c r="A835" s="16"/>
      <c r="B835" s="16"/>
      <c r="C835" s="18"/>
      <c r="D835" s="16"/>
      <c r="E835" s="17" t="str">
        <f aca="false">IF(C835="","","Q"&amp;ROUNDUP(MONTH(C835)/3,0))</f>
        <v/>
      </c>
      <c r="F835" s="16"/>
      <c r="G835" s="16"/>
      <c r="H835" s="17" t="str">
        <f aca="false">IF(A835="","",IF(OR(B835="",C835=""),"Item ID and date needed",IF(COUNTIF(Sample_Log!$A$5:$A$204,A835)=0,"SMP-ID not in log",IF(COUNTIFS($A$5:$A$1004,A835,$B$5:$B$1004,B835)&gt;1,"Duplicate item in sample","OK"))))</f>
        <v/>
      </c>
    </row>
    <row r="836" customFormat="false" ht="15" hidden="false" customHeight="false" outlineLevel="0" collapsed="false">
      <c r="A836" s="16"/>
      <c r="B836" s="16"/>
      <c r="C836" s="18"/>
      <c r="D836" s="16"/>
      <c r="E836" s="17" t="str">
        <f aca="false">IF(C836="","","Q"&amp;ROUNDUP(MONTH(C836)/3,0))</f>
        <v/>
      </c>
      <c r="F836" s="16"/>
      <c r="G836" s="16"/>
      <c r="H836" s="17" t="str">
        <f aca="false">IF(A836="","",IF(OR(B836="",C836=""),"Item ID and date needed",IF(COUNTIF(Sample_Log!$A$5:$A$204,A836)=0,"SMP-ID not in log",IF(COUNTIFS($A$5:$A$1004,A836,$B$5:$B$1004,B836)&gt;1,"Duplicate item in sample","OK"))))</f>
        <v/>
      </c>
    </row>
    <row r="837" customFormat="false" ht="15" hidden="false" customHeight="false" outlineLevel="0" collapsed="false">
      <c r="A837" s="16"/>
      <c r="B837" s="16"/>
      <c r="C837" s="18"/>
      <c r="D837" s="16"/>
      <c r="E837" s="17" t="str">
        <f aca="false">IF(C837="","","Q"&amp;ROUNDUP(MONTH(C837)/3,0))</f>
        <v/>
      </c>
      <c r="F837" s="16"/>
      <c r="G837" s="16"/>
      <c r="H837" s="17" t="str">
        <f aca="false">IF(A837="","",IF(OR(B837="",C837=""),"Item ID and date needed",IF(COUNTIF(Sample_Log!$A$5:$A$204,A837)=0,"SMP-ID not in log",IF(COUNTIFS($A$5:$A$1004,A837,$B$5:$B$1004,B837)&gt;1,"Duplicate item in sample","OK"))))</f>
        <v/>
      </c>
    </row>
    <row r="838" customFormat="false" ht="15" hidden="false" customHeight="false" outlineLevel="0" collapsed="false">
      <c r="A838" s="16"/>
      <c r="B838" s="16"/>
      <c r="C838" s="18"/>
      <c r="D838" s="16"/>
      <c r="E838" s="17" t="str">
        <f aca="false">IF(C838="","","Q"&amp;ROUNDUP(MONTH(C838)/3,0))</f>
        <v/>
      </c>
      <c r="F838" s="16"/>
      <c r="G838" s="16"/>
      <c r="H838" s="17" t="str">
        <f aca="false">IF(A838="","",IF(OR(B838="",C838=""),"Item ID and date needed",IF(COUNTIF(Sample_Log!$A$5:$A$204,A838)=0,"SMP-ID not in log",IF(COUNTIFS($A$5:$A$1004,A838,$B$5:$B$1004,B838)&gt;1,"Duplicate item in sample","OK"))))</f>
        <v/>
      </c>
    </row>
    <row r="839" customFormat="false" ht="15" hidden="false" customHeight="false" outlineLevel="0" collapsed="false">
      <c r="A839" s="16"/>
      <c r="B839" s="16"/>
      <c r="C839" s="18"/>
      <c r="D839" s="16"/>
      <c r="E839" s="17" t="str">
        <f aca="false">IF(C839="","","Q"&amp;ROUNDUP(MONTH(C839)/3,0))</f>
        <v/>
      </c>
      <c r="F839" s="16"/>
      <c r="G839" s="16"/>
      <c r="H839" s="17" t="str">
        <f aca="false">IF(A839="","",IF(OR(B839="",C839=""),"Item ID and date needed",IF(COUNTIF(Sample_Log!$A$5:$A$204,A839)=0,"SMP-ID not in log",IF(COUNTIFS($A$5:$A$1004,A839,$B$5:$B$1004,B839)&gt;1,"Duplicate item in sample","OK"))))</f>
        <v/>
      </c>
    </row>
    <row r="840" customFormat="false" ht="15" hidden="false" customHeight="false" outlineLevel="0" collapsed="false">
      <c r="A840" s="16"/>
      <c r="B840" s="16"/>
      <c r="C840" s="18"/>
      <c r="D840" s="16"/>
      <c r="E840" s="17" t="str">
        <f aca="false">IF(C840="","","Q"&amp;ROUNDUP(MONTH(C840)/3,0))</f>
        <v/>
      </c>
      <c r="F840" s="16"/>
      <c r="G840" s="16"/>
      <c r="H840" s="17" t="str">
        <f aca="false">IF(A840="","",IF(OR(B840="",C840=""),"Item ID and date needed",IF(COUNTIF(Sample_Log!$A$5:$A$204,A840)=0,"SMP-ID not in log",IF(COUNTIFS($A$5:$A$1004,A840,$B$5:$B$1004,B840)&gt;1,"Duplicate item in sample","OK"))))</f>
        <v/>
      </c>
    </row>
    <row r="841" customFormat="false" ht="15" hidden="false" customHeight="false" outlineLevel="0" collapsed="false">
      <c r="A841" s="16"/>
      <c r="B841" s="16"/>
      <c r="C841" s="18"/>
      <c r="D841" s="16"/>
      <c r="E841" s="17" t="str">
        <f aca="false">IF(C841="","","Q"&amp;ROUNDUP(MONTH(C841)/3,0))</f>
        <v/>
      </c>
      <c r="F841" s="16"/>
      <c r="G841" s="16"/>
      <c r="H841" s="17" t="str">
        <f aca="false">IF(A841="","",IF(OR(B841="",C841=""),"Item ID and date needed",IF(COUNTIF(Sample_Log!$A$5:$A$204,A841)=0,"SMP-ID not in log",IF(COUNTIFS($A$5:$A$1004,A841,$B$5:$B$1004,B841)&gt;1,"Duplicate item in sample","OK"))))</f>
        <v/>
      </c>
    </row>
    <row r="842" customFormat="false" ht="15" hidden="false" customHeight="false" outlineLevel="0" collapsed="false">
      <c r="A842" s="16"/>
      <c r="B842" s="16"/>
      <c r="C842" s="18"/>
      <c r="D842" s="16"/>
      <c r="E842" s="17" t="str">
        <f aca="false">IF(C842="","","Q"&amp;ROUNDUP(MONTH(C842)/3,0))</f>
        <v/>
      </c>
      <c r="F842" s="16"/>
      <c r="G842" s="16"/>
      <c r="H842" s="17" t="str">
        <f aca="false">IF(A842="","",IF(OR(B842="",C842=""),"Item ID and date needed",IF(COUNTIF(Sample_Log!$A$5:$A$204,A842)=0,"SMP-ID not in log",IF(COUNTIFS($A$5:$A$1004,A842,$B$5:$B$1004,B842)&gt;1,"Duplicate item in sample","OK"))))</f>
        <v/>
      </c>
    </row>
    <row r="843" customFormat="false" ht="15" hidden="false" customHeight="false" outlineLevel="0" collapsed="false">
      <c r="A843" s="16"/>
      <c r="B843" s="16"/>
      <c r="C843" s="18"/>
      <c r="D843" s="16"/>
      <c r="E843" s="17" t="str">
        <f aca="false">IF(C843="","","Q"&amp;ROUNDUP(MONTH(C843)/3,0))</f>
        <v/>
      </c>
      <c r="F843" s="16"/>
      <c r="G843" s="16"/>
      <c r="H843" s="17" t="str">
        <f aca="false">IF(A843="","",IF(OR(B843="",C843=""),"Item ID and date needed",IF(COUNTIF(Sample_Log!$A$5:$A$204,A843)=0,"SMP-ID not in log",IF(COUNTIFS($A$5:$A$1004,A843,$B$5:$B$1004,B843)&gt;1,"Duplicate item in sample","OK"))))</f>
        <v/>
      </c>
    </row>
    <row r="844" customFormat="false" ht="15" hidden="false" customHeight="false" outlineLevel="0" collapsed="false">
      <c r="A844" s="16"/>
      <c r="B844" s="16"/>
      <c r="C844" s="18"/>
      <c r="D844" s="16"/>
      <c r="E844" s="17" t="str">
        <f aca="false">IF(C844="","","Q"&amp;ROUNDUP(MONTH(C844)/3,0))</f>
        <v/>
      </c>
      <c r="F844" s="16"/>
      <c r="G844" s="16"/>
      <c r="H844" s="17" t="str">
        <f aca="false">IF(A844="","",IF(OR(B844="",C844=""),"Item ID and date needed",IF(COUNTIF(Sample_Log!$A$5:$A$204,A844)=0,"SMP-ID not in log",IF(COUNTIFS($A$5:$A$1004,A844,$B$5:$B$1004,B844)&gt;1,"Duplicate item in sample","OK"))))</f>
        <v/>
      </c>
    </row>
    <row r="845" customFormat="false" ht="15" hidden="false" customHeight="false" outlineLevel="0" collapsed="false">
      <c r="A845" s="16"/>
      <c r="B845" s="16"/>
      <c r="C845" s="18"/>
      <c r="D845" s="16"/>
      <c r="E845" s="17" t="str">
        <f aca="false">IF(C845="","","Q"&amp;ROUNDUP(MONTH(C845)/3,0))</f>
        <v/>
      </c>
      <c r="F845" s="16"/>
      <c r="G845" s="16"/>
      <c r="H845" s="17" t="str">
        <f aca="false">IF(A845="","",IF(OR(B845="",C845=""),"Item ID and date needed",IF(COUNTIF(Sample_Log!$A$5:$A$204,A845)=0,"SMP-ID not in log",IF(COUNTIFS($A$5:$A$1004,A845,$B$5:$B$1004,B845)&gt;1,"Duplicate item in sample","OK"))))</f>
        <v/>
      </c>
    </row>
    <row r="846" customFormat="false" ht="15" hidden="false" customHeight="false" outlineLevel="0" collapsed="false">
      <c r="A846" s="16"/>
      <c r="B846" s="16"/>
      <c r="C846" s="18"/>
      <c r="D846" s="16"/>
      <c r="E846" s="17" t="str">
        <f aca="false">IF(C846="","","Q"&amp;ROUNDUP(MONTH(C846)/3,0))</f>
        <v/>
      </c>
      <c r="F846" s="16"/>
      <c r="G846" s="16"/>
      <c r="H846" s="17" t="str">
        <f aca="false">IF(A846="","",IF(OR(B846="",C846=""),"Item ID and date needed",IF(COUNTIF(Sample_Log!$A$5:$A$204,A846)=0,"SMP-ID not in log",IF(COUNTIFS($A$5:$A$1004,A846,$B$5:$B$1004,B846)&gt;1,"Duplicate item in sample","OK"))))</f>
        <v/>
      </c>
    </row>
    <row r="847" customFormat="false" ht="15" hidden="false" customHeight="false" outlineLevel="0" collapsed="false">
      <c r="A847" s="16"/>
      <c r="B847" s="16"/>
      <c r="C847" s="18"/>
      <c r="D847" s="16"/>
      <c r="E847" s="17" t="str">
        <f aca="false">IF(C847="","","Q"&amp;ROUNDUP(MONTH(C847)/3,0))</f>
        <v/>
      </c>
      <c r="F847" s="16"/>
      <c r="G847" s="16"/>
      <c r="H847" s="17" t="str">
        <f aca="false">IF(A847="","",IF(OR(B847="",C847=""),"Item ID and date needed",IF(COUNTIF(Sample_Log!$A$5:$A$204,A847)=0,"SMP-ID not in log",IF(COUNTIFS($A$5:$A$1004,A847,$B$5:$B$1004,B847)&gt;1,"Duplicate item in sample","OK"))))</f>
        <v/>
      </c>
    </row>
    <row r="848" customFormat="false" ht="15" hidden="false" customHeight="false" outlineLevel="0" collapsed="false">
      <c r="A848" s="16"/>
      <c r="B848" s="16"/>
      <c r="C848" s="18"/>
      <c r="D848" s="16"/>
      <c r="E848" s="17" t="str">
        <f aca="false">IF(C848="","","Q"&amp;ROUNDUP(MONTH(C848)/3,0))</f>
        <v/>
      </c>
      <c r="F848" s="16"/>
      <c r="G848" s="16"/>
      <c r="H848" s="17" t="str">
        <f aca="false">IF(A848="","",IF(OR(B848="",C848=""),"Item ID and date needed",IF(COUNTIF(Sample_Log!$A$5:$A$204,A848)=0,"SMP-ID not in log",IF(COUNTIFS($A$5:$A$1004,A848,$B$5:$B$1004,B848)&gt;1,"Duplicate item in sample","OK"))))</f>
        <v/>
      </c>
    </row>
    <row r="849" customFormat="false" ht="15" hidden="false" customHeight="false" outlineLevel="0" collapsed="false">
      <c r="A849" s="16"/>
      <c r="B849" s="16"/>
      <c r="C849" s="18"/>
      <c r="D849" s="16"/>
      <c r="E849" s="17" t="str">
        <f aca="false">IF(C849="","","Q"&amp;ROUNDUP(MONTH(C849)/3,0))</f>
        <v/>
      </c>
      <c r="F849" s="16"/>
      <c r="G849" s="16"/>
      <c r="H849" s="17" t="str">
        <f aca="false">IF(A849="","",IF(OR(B849="",C849=""),"Item ID and date needed",IF(COUNTIF(Sample_Log!$A$5:$A$204,A849)=0,"SMP-ID not in log",IF(COUNTIFS($A$5:$A$1004,A849,$B$5:$B$1004,B849)&gt;1,"Duplicate item in sample","OK"))))</f>
        <v/>
      </c>
    </row>
    <row r="850" customFormat="false" ht="15" hidden="false" customHeight="false" outlineLevel="0" collapsed="false">
      <c r="A850" s="16"/>
      <c r="B850" s="16"/>
      <c r="C850" s="18"/>
      <c r="D850" s="16"/>
      <c r="E850" s="17" t="str">
        <f aca="false">IF(C850="","","Q"&amp;ROUNDUP(MONTH(C850)/3,0))</f>
        <v/>
      </c>
      <c r="F850" s="16"/>
      <c r="G850" s="16"/>
      <c r="H850" s="17" t="str">
        <f aca="false">IF(A850="","",IF(OR(B850="",C850=""),"Item ID and date needed",IF(COUNTIF(Sample_Log!$A$5:$A$204,A850)=0,"SMP-ID not in log",IF(COUNTIFS($A$5:$A$1004,A850,$B$5:$B$1004,B850)&gt;1,"Duplicate item in sample","OK"))))</f>
        <v/>
      </c>
    </row>
    <row r="851" customFormat="false" ht="15" hidden="false" customHeight="false" outlineLevel="0" collapsed="false">
      <c r="A851" s="16"/>
      <c r="B851" s="16"/>
      <c r="C851" s="18"/>
      <c r="D851" s="16"/>
      <c r="E851" s="17" t="str">
        <f aca="false">IF(C851="","","Q"&amp;ROUNDUP(MONTH(C851)/3,0))</f>
        <v/>
      </c>
      <c r="F851" s="16"/>
      <c r="G851" s="16"/>
      <c r="H851" s="17" t="str">
        <f aca="false">IF(A851="","",IF(OR(B851="",C851=""),"Item ID and date needed",IF(COUNTIF(Sample_Log!$A$5:$A$204,A851)=0,"SMP-ID not in log",IF(COUNTIFS($A$5:$A$1004,A851,$B$5:$B$1004,B851)&gt;1,"Duplicate item in sample","OK"))))</f>
        <v/>
      </c>
    </row>
    <row r="852" customFormat="false" ht="15" hidden="false" customHeight="false" outlineLevel="0" collapsed="false">
      <c r="A852" s="16"/>
      <c r="B852" s="16"/>
      <c r="C852" s="18"/>
      <c r="D852" s="16"/>
      <c r="E852" s="17" t="str">
        <f aca="false">IF(C852="","","Q"&amp;ROUNDUP(MONTH(C852)/3,0))</f>
        <v/>
      </c>
      <c r="F852" s="16"/>
      <c r="G852" s="16"/>
      <c r="H852" s="17" t="str">
        <f aca="false">IF(A852="","",IF(OR(B852="",C852=""),"Item ID and date needed",IF(COUNTIF(Sample_Log!$A$5:$A$204,A852)=0,"SMP-ID not in log",IF(COUNTIFS($A$5:$A$1004,A852,$B$5:$B$1004,B852)&gt;1,"Duplicate item in sample","OK"))))</f>
        <v/>
      </c>
    </row>
    <row r="853" customFormat="false" ht="15" hidden="false" customHeight="false" outlineLevel="0" collapsed="false">
      <c r="A853" s="16"/>
      <c r="B853" s="16"/>
      <c r="C853" s="18"/>
      <c r="D853" s="16"/>
      <c r="E853" s="17" t="str">
        <f aca="false">IF(C853="","","Q"&amp;ROUNDUP(MONTH(C853)/3,0))</f>
        <v/>
      </c>
      <c r="F853" s="16"/>
      <c r="G853" s="16"/>
      <c r="H853" s="17" t="str">
        <f aca="false">IF(A853="","",IF(OR(B853="",C853=""),"Item ID and date needed",IF(COUNTIF(Sample_Log!$A$5:$A$204,A853)=0,"SMP-ID not in log",IF(COUNTIFS($A$5:$A$1004,A853,$B$5:$B$1004,B853)&gt;1,"Duplicate item in sample","OK"))))</f>
        <v/>
      </c>
    </row>
    <row r="854" customFormat="false" ht="15" hidden="false" customHeight="false" outlineLevel="0" collapsed="false">
      <c r="A854" s="16"/>
      <c r="B854" s="16"/>
      <c r="C854" s="18"/>
      <c r="D854" s="16"/>
      <c r="E854" s="17" t="str">
        <f aca="false">IF(C854="","","Q"&amp;ROUNDUP(MONTH(C854)/3,0))</f>
        <v/>
      </c>
      <c r="F854" s="16"/>
      <c r="G854" s="16"/>
      <c r="H854" s="17" t="str">
        <f aca="false">IF(A854="","",IF(OR(B854="",C854=""),"Item ID and date needed",IF(COUNTIF(Sample_Log!$A$5:$A$204,A854)=0,"SMP-ID not in log",IF(COUNTIFS($A$5:$A$1004,A854,$B$5:$B$1004,B854)&gt;1,"Duplicate item in sample","OK"))))</f>
        <v/>
      </c>
    </row>
    <row r="855" customFormat="false" ht="15" hidden="false" customHeight="false" outlineLevel="0" collapsed="false">
      <c r="A855" s="16"/>
      <c r="B855" s="16"/>
      <c r="C855" s="18"/>
      <c r="D855" s="16"/>
      <c r="E855" s="17" t="str">
        <f aca="false">IF(C855="","","Q"&amp;ROUNDUP(MONTH(C855)/3,0))</f>
        <v/>
      </c>
      <c r="F855" s="16"/>
      <c r="G855" s="16"/>
      <c r="H855" s="17" t="str">
        <f aca="false">IF(A855="","",IF(OR(B855="",C855=""),"Item ID and date needed",IF(COUNTIF(Sample_Log!$A$5:$A$204,A855)=0,"SMP-ID not in log",IF(COUNTIFS($A$5:$A$1004,A855,$B$5:$B$1004,B855)&gt;1,"Duplicate item in sample","OK"))))</f>
        <v/>
      </c>
    </row>
    <row r="856" customFormat="false" ht="15" hidden="false" customHeight="false" outlineLevel="0" collapsed="false">
      <c r="A856" s="16"/>
      <c r="B856" s="16"/>
      <c r="C856" s="18"/>
      <c r="D856" s="16"/>
      <c r="E856" s="17" t="str">
        <f aca="false">IF(C856="","","Q"&amp;ROUNDUP(MONTH(C856)/3,0))</f>
        <v/>
      </c>
      <c r="F856" s="16"/>
      <c r="G856" s="16"/>
      <c r="H856" s="17" t="str">
        <f aca="false">IF(A856="","",IF(OR(B856="",C856=""),"Item ID and date needed",IF(COUNTIF(Sample_Log!$A$5:$A$204,A856)=0,"SMP-ID not in log",IF(COUNTIFS($A$5:$A$1004,A856,$B$5:$B$1004,B856)&gt;1,"Duplicate item in sample","OK"))))</f>
        <v/>
      </c>
    </row>
    <row r="857" customFormat="false" ht="15" hidden="false" customHeight="false" outlineLevel="0" collapsed="false">
      <c r="A857" s="16"/>
      <c r="B857" s="16"/>
      <c r="C857" s="18"/>
      <c r="D857" s="16"/>
      <c r="E857" s="17" t="str">
        <f aca="false">IF(C857="","","Q"&amp;ROUNDUP(MONTH(C857)/3,0))</f>
        <v/>
      </c>
      <c r="F857" s="16"/>
      <c r="G857" s="16"/>
      <c r="H857" s="17" t="str">
        <f aca="false">IF(A857="","",IF(OR(B857="",C857=""),"Item ID and date needed",IF(COUNTIF(Sample_Log!$A$5:$A$204,A857)=0,"SMP-ID not in log",IF(COUNTIFS($A$5:$A$1004,A857,$B$5:$B$1004,B857)&gt;1,"Duplicate item in sample","OK"))))</f>
        <v/>
      </c>
    </row>
    <row r="858" customFormat="false" ht="15" hidden="false" customHeight="false" outlineLevel="0" collapsed="false">
      <c r="A858" s="16"/>
      <c r="B858" s="16"/>
      <c r="C858" s="18"/>
      <c r="D858" s="16"/>
      <c r="E858" s="17" t="str">
        <f aca="false">IF(C858="","","Q"&amp;ROUNDUP(MONTH(C858)/3,0))</f>
        <v/>
      </c>
      <c r="F858" s="16"/>
      <c r="G858" s="16"/>
      <c r="H858" s="17" t="str">
        <f aca="false">IF(A858="","",IF(OR(B858="",C858=""),"Item ID and date needed",IF(COUNTIF(Sample_Log!$A$5:$A$204,A858)=0,"SMP-ID not in log",IF(COUNTIFS($A$5:$A$1004,A858,$B$5:$B$1004,B858)&gt;1,"Duplicate item in sample","OK"))))</f>
        <v/>
      </c>
    </row>
    <row r="859" customFormat="false" ht="15" hidden="false" customHeight="false" outlineLevel="0" collapsed="false">
      <c r="A859" s="16"/>
      <c r="B859" s="16"/>
      <c r="C859" s="18"/>
      <c r="D859" s="16"/>
      <c r="E859" s="17" t="str">
        <f aca="false">IF(C859="","","Q"&amp;ROUNDUP(MONTH(C859)/3,0))</f>
        <v/>
      </c>
      <c r="F859" s="16"/>
      <c r="G859" s="16"/>
      <c r="H859" s="17" t="str">
        <f aca="false">IF(A859="","",IF(OR(B859="",C859=""),"Item ID and date needed",IF(COUNTIF(Sample_Log!$A$5:$A$204,A859)=0,"SMP-ID not in log",IF(COUNTIFS($A$5:$A$1004,A859,$B$5:$B$1004,B859)&gt;1,"Duplicate item in sample","OK"))))</f>
        <v/>
      </c>
    </row>
    <row r="860" customFormat="false" ht="15" hidden="false" customHeight="false" outlineLevel="0" collapsed="false">
      <c r="A860" s="16"/>
      <c r="B860" s="16"/>
      <c r="C860" s="18"/>
      <c r="D860" s="16"/>
      <c r="E860" s="17" t="str">
        <f aca="false">IF(C860="","","Q"&amp;ROUNDUP(MONTH(C860)/3,0))</f>
        <v/>
      </c>
      <c r="F860" s="16"/>
      <c r="G860" s="16"/>
      <c r="H860" s="17" t="str">
        <f aca="false">IF(A860="","",IF(OR(B860="",C860=""),"Item ID and date needed",IF(COUNTIF(Sample_Log!$A$5:$A$204,A860)=0,"SMP-ID not in log",IF(COUNTIFS($A$5:$A$1004,A860,$B$5:$B$1004,B860)&gt;1,"Duplicate item in sample","OK"))))</f>
        <v/>
      </c>
    </row>
    <row r="861" customFormat="false" ht="15" hidden="false" customHeight="false" outlineLevel="0" collapsed="false">
      <c r="A861" s="16"/>
      <c r="B861" s="16"/>
      <c r="C861" s="18"/>
      <c r="D861" s="16"/>
      <c r="E861" s="17" t="str">
        <f aca="false">IF(C861="","","Q"&amp;ROUNDUP(MONTH(C861)/3,0))</f>
        <v/>
      </c>
      <c r="F861" s="16"/>
      <c r="G861" s="16"/>
      <c r="H861" s="17" t="str">
        <f aca="false">IF(A861="","",IF(OR(B861="",C861=""),"Item ID and date needed",IF(COUNTIF(Sample_Log!$A$5:$A$204,A861)=0,"SMP-ID not in log",IF(COUNTIFS($A$5:$A$1004,A861,$B$5:$B$1004,B861)&gt;1,"Duplicate item in sample","OK"))))</f>
        <v/>
      </c>
    </row>
    <row r="862" customFormat="false" ht="15" hidden="false" customHeight="false" outlineLevel="0" collapsed="false">
      <c r="A862" s="16"/>
      <c r="B862" s="16"/>
      <c r="C862" s="18"/>
      <c r="D862" s="16"/>
      <c r="E862" s="17" t="str">
        <f aca="false">IF(C862="","","Q"&amp;ROUNDUP(MONTH(C862)/3,0))</f>
        <v/>
      </c>
      <c r="F862" s="16"/>
      <c r="G862" s="16"/>
      <c r="H862" s="17" t="str">
        <f aca="false">IF(A862="","",IF(OR(B862="",C862=""),"Item ID and date needed",IF(COUNTIF(Sample_Log!$A$5:$A$204,A862)=0,"SMP-ID not in log",IF(COUNTIFS($A$5:$A$1004,A862,$B$5:$B$1004,B862)&gt;1,"Duplicate item in sample","OK"))))</f>
        <v/>
      </c>
    </row>
    <row r="863" customFormat="false" ht="15" hidden="false" customHeight="false" outlineLevel="0" collapsed="false">
      <c r="A863" s="16"/>
      <c r="B863" s="16"/>
      <c r="C863" s="18"/>
      <c r="D863" s="16"/>
      <c r="E863" s="17" t="str">
        <f aca="false">IF(C863="","","Q"&amp;ROUNDUP(MONTH(C863)/3,0))</f>
        <v/>
      </c>
      <c r="F863" s="16"/>
      <c r="G863" s="16"/>
      <c r="H863" s="17" t="str">
        <f aca="false">IF(A863="","",IF(OR(B863="",C863=""),"Item ID and date needed",IF(COUNTIF(Sample_Log!$A$5:$A$204,A863)=0,"SMP-ID not in log",IF(COUNTIFS($A$5:$A$1004,A863,$B$5:$B$1004,B863)&gt;1,"Duplicate item in sample","OK"))))</f>
        <v/>
      </c>
    </row>
    <row r="864" customFormat="false" ht="15" hidden="false" customHeight="false" outlineLevel="0" collapsed="false">
      <c r="A864" s="16"/>
      <c r="B864" s="16"/>
      <c r="C864" s="18"/>
      <c r="D864" s="16"/>
      <c r="E864" s="17" t="str">
        <f aca="false">IF(C864="","","Q"&amp;ROUNDUP(MONTH(C864)/3,0))</f>
        <v/>
      </c>
      <c r="F864" s="16"/>
      <c r="G864" s="16"/>
      <c r="H864" s="17" t="str">
        <f aca="false">IF(A864="","",IF(OR(B864="",C864=""),"Item ID and date needed",IF(COUNTIF(Sample_Log!$A$5:$A$204,A864)=0,"SMP-ID not in log",IF(COUNTIFS($A$5:$A$1004,A864,$B$5:$B$1004,B864)&gt;1,"Duplicate item in sample","OK"))))</f>
        <v/>
      </c>
    </row>
    <row r="865" customFormat="false" ht="15" hidden="false" customHeight="false" outlineLevel="0" collapsed="false">
      <c r="A865" s="16"/>
      <c r="B865" s="16"/>
      <c r="C865" s="18"/>
      <c r="D865" s="16"/>
      <c r="E865" s="17" t="str">
        <f aca="false">IF(C865="","","Q"&amp;ROUNDUP(MONTH(C865)/3,0))</f>
        <v/>
      </c>
      <c r="F865" s="16"/>
      <c r="G865" s="16"/>
      <c r="H865" s="17" t="str">
        <f aca="false">IF(A865="","",IF(OR(B865="",C865=""),"Item ID and date needed",IF(COUNTIF(Sample_Log!$A$5:$A$204,A865)=0,"SMP-ID not in log",IF(COUNTIFS($A$5:$A$1004,A865,$B$5:$B$1004,B865)&gt;1,"Duplicate item in sample","OK"))))</f>
        <v/>
      </c>
    </row>
    <row r="866" customFormat="false" ht="15" hidden="false" customHeight="false" outlineLevel="0" collapsed="false">
      <c r="A866" s="16"/>
      <c r="B866" s="16"/>
      <c r="C866" s="18"/>
      <c r="D866" s="16"/>
      <c r="E866" s="17" t="str">
        <f aca="false">IF(C866="","","Q"&amp;ROUNDUP(MONTH(C866)/3,0))</f>
        <v/>
      </c>
      <c r="F866" s="16"/>
      <c r="G866" s="16"/>
      <c r="H866" s="17" t="str">
        <f aca="false">IF(A866="","",IF(OR(B866="",C866=""),"Item ID and date needed",IF(COUNTIF(Sample_Log!$A$5:$A$204,A866)=0,"SMP-ID not in log",IF(COUNTIFS($A$5:$A$1004,A866,$B$5:$B$1004,B866)&gt;1,"Duplicate item in sample","OK"))))</f>
        <v/>
      </c>
    </row>
    <row r="867" customFormat="false" ht="15" hidden="false" customHeight="false" outlineLevel="0" collapsed="false">
      <c r="A867" s="16"/>
      <c r="B867" s="16"/>
      <c r="C867" s="18"/>
      <c r="D867" s="16"/>
      <c r="E867" s="17" t="str">
        <f aca="false">IF(C867="","","Q"&amp;ROUNDUP(MONTH(C867)/3,0))</f>
        <v/>
      </c>
      <c r="F867" s="16"/>
      <c r="G867" s="16"/>
      <c r="H867" s="17" t="str">
        <f aca="false">IF(A867="","",IF(OR(B867="",C867=""),"Item ID and date needed",IF(COUNTIF(Sample_Log!$A$5:$A$204,A867)=0,"SMP-ID not in log",IF(COUNTIFS($A$5:$A$1004,A867,$B$5:$B$1004,B867)&gt;1,"Duplicate item in sample","OK"))))</f>
        <v/>
      </c>
    </row>
    <row r="868" customFormat="false" ht="15" hidden="false" customHeight="false" outlineLevel="0" collapsed="false">
      <c r="A868" s="16"/>
      <c r="B868" s="16"/>
      <c r="C868" s="18"/>
      <c r="D868" s="16"/>
      <c r="E868" s="17" t="str">
        <f aca="false">IF(C868="","","Q"&amp;ROUNDUP(MONTH(C868)/3,0))</f>
        <v/>
      </c>
      <c r="F868" s="16"/>
      <c r="G868" s="16"/>
      <c r="H868" s="17" t="str">
        <f aca="false">IF(A868="","",IF(OR(B868="",C868=""),"Item ID and date needed",IF(COUNTIF(Sample_Log!$A$5:$A$204,A868)=0,"SMP-ID not in log",IF(COUNTIFS($A$5:$A$1004,A868,$B$5:$B$1004,B868)&gt;1,"Duplicate item in sample","OK"))))</f>
        <v/>
      </c>
    </row>
    <row r="869" customFormat="false" ht="15" hidden="false" customHeight="false" outlineLevel="0" collapsed="false">
      <c r="A869" s="16"/>
      <c r="B869" s="16"/>
      <c r="C869" s="18"/>
      <c r="D869" s="16"/>
      <c r="E869" s="17" t="str">
        <f aca="false">IF(C869="","","Q"&amp;ROUNDUP(MONTH(C869)/3,0))</f>
        <v/>
      </c>
      <c r="F869" s="16"/>
      <c r="G869" s="16"/>
      <c r="H869" s="17" t="str">
        <f aca="false">IF(A869="","",IF(OR(B869="",C869=""),"Item ID and date needed",IF(COUNTIF(Sample_Log!$A$5:$A$204,A869)=0,"SMP-ID not in log",IF(COUNTIFS($A$5:$A$1004,A869,$B$5:$B$1004,B869)&gt;1,"Duplicate item in sample","OK"))))</f>
        <v/>
      </c>
    </row>
    <row r="870" customFormat="false" ht="15" hidden="false" customHeight="false" outlineLevel="0" collapsed="false">
      <c r="A870" s="16"/>
      <c r="B870" s="16"/>
      <c r="C870" s="18"/>
      <c r="D870" s="16"/>
      <c r="E870" s="17" t="str">
        <f aca="false">IF(C870="","","Q"&amp;ROUNDUP(MONTH(C870)/3,0))</f>
        <v/>
      </c>
      <c r="F870" s="16"/>
      <c r="G870" s="16"/>
      <c r="H870" s="17" t="str">
        <f aca="false">IF(A870="","",IF(OR(B870="",C870=""),"Item ID and date needed",IF(COUNTIF(Sample_Log!$A$5:$A$204,A870)=0,"SMP-ID not in log",IF(COUNTIFS($A$5:$A$1004,A870,$B$5:$B$1004,B870)&gt;1,"Duplicate item in sample","OK"))))</f>
        <v/>
      </c>
    </row>
    <row r="871" customFormat="false" ht="15" hidden="false" customHeight="false" outlineLevel="0" collapsed="false">
      <c r="A871" s="16"/>
      <c r="B871" s="16"/>
      <c r="C871" s="18"/>
      <c r="D871" s="16"/>
      <c r="E871" s="17" t="str">
        <f aca="false">IF(C871="","","Q"&amp;ROUNDUP(MONTH(C871)/3,0))</f>
        <v/>
      </c>
      <c r="F871" s="16"/>
      <c r="G871" s="16"/>
      <c r="H871" s="17" t="str">
        <f aca="false">IF(A871="","",IF(OR(B871="",C871=""),"Item ID and date needed",IF(COUNTIF(Sample_Log!$A$5:$A$204,A871)=0,"SMP-ID not in log",IF(COUNTIFS($A$5:$A$1004,A871,$B$5:$B$1004,B871)&gt;1,"Duplicate item in sample","OK"))))</f>
        <v/>
      </c>
    </row>
    <row r="872" customFormat="false" ht="15" hidden="false" customHeight="false" outlineLevel="0" collapsed="false">
      <c r="A872" s="16"/>
      <c r="B872" s="16"/>
      <c r="C872" s="18"/>
      <c r="D872" s="16"/>
      <c r="E872" s="17" t="str">
        <f aca="false">IF(C872="","","Q"&amp;ROUNDUP(MONTH(C872)/3,0))</f>
        <v/>
      </c>
      <c r="F872" s="16"/>
      <c r="G872" s="16"/>
      <c r="H872" s="17" t="str">
        <f aca="false">IF(A872="","",IF(OR(B872="",C872=""),"Item ID and date needed",IF(COUNTIF(Sample_Log!$A$5:$A$204,A872)=0,"SMP-ID not in log",IF(COUNTIFS($A$5:$A$1004,A872,$B$5:$B$1004,B872)&gt;1,"Duplicate item in sample","OK"))))</f>
        <v/>
      </c>
    </row>
    <row r="873" customFormat="false" ht="15" hidden="false" customHeight="false" outlineLevel="0" collapsed="false">
      <c r="A873" s="16"/>
      <c r="B873" s="16"/>
      <c r="C873" s="18"/>
      <c r="D873" s="16"/>
      <c r="E873" s="17" t="str">
        <f aca="false">IF(C873="","","Q"&amp;ROUNDUP(MONTH(C873)/3,0))</f>
        <v/>
      </c>
      <c r="F873" s="16"/>
      <c r="G873" s="16"/>
      <c r="H873" s="17" t="str">
        <f aca="false">IF(A873="","",IF(OR(B873="",C873=""),"Item ID and date needed",IF(COUNTIF(Sample_Log!$A$5:$A$204,A873)=0,"SMP-ID not in log",IF(COUNTIFS($A$5:$A$1004,A873,$B$5:$B$1004,B873)&gt;1,"Duplicate item in sample","OK"))))</f>
        <v/>
      </c>
    </row>
    <row r="874" customFormat="false" ht="15" hidden="false" customHeight="false" outlineLevel="0" collapsed="false">
      <c r="A874" s="16"/>
      <c r="B874" s="16"/>
      <c r="C874" s="18"/>
      <c r="D874" s="16"/>
      <c r="E874" s="17" t="str">
        <f aca="false">IF(C874="","","Q"&amp;ROUNDUP(MONTH(C874)/3,0))</f>
        <v/>
      </c>
      <c r="F874" s="16"/>
      <c r="G874" s="16"/>
      <c r="H874" s="17" t="str">
        <f aca="false">IF(A874="","",IF(OR(B874="",C874=""),"Item ID and date needed",IF(COUNTIF(Sample_Log!$A$5:$A$204,A874)=0,"SMP-ID not in log",IF(COUNTIFS($A$5:$A$1004,A874,$B$5:$B$1004,B874)&gt;1,"Duplicate item in sample","OK"))))</f>
        <v/>
      </c>
    </row>
    <row r="875" customFormat="false" ht="15" hidden="false" customHeight="false" outlineLevel="0" collapsed="false">
      <c r="A875" s="16"/>
      <c r="B875" s="16"/>
      <c r="C875" s="18"/>
      <c r="D875" s="16"/>
      <c r="E875" s="17" t="str">
        <f aca="false">IF(C875="","","Q"&amp;ROUNDUP(MONTH(C875)/3,0))</f>
        <v/>
      </c>
      <c r="F875" s="16"/>
      <c r="G875" s="16"/>
      <c r="H875" s="17" t="str">
        <f aca="false">IF(A875="","",IF(OR(B875="",C875=""),"Item ID and date needed",IF(COUNTIF(Sample_Log!$A$5:$A$204,A875)=0,"SMP-ID not in log",IF(COUNTIFS($A$5:$A$1004,A875,$B$5:$B$1004,B875)&gt;1,"Duplicate item in sample","OK"))))</f>
        <v/>
      </c>
    </row>
    <row r="876" customFormat="false" ht="15" hidden="false" customHeight="false" outlineLevel="0" collapsed="false">
      <c r="A876" s="16"/>
      <c r="B876" s="16"/>
      <c r="C876" s="18"/>
      <c r="D876" s="16"/>
      <c r="E876" s="17" t="str">
        <f aca="false">IF(C876="","","Q"&amp;ROUNDUP(MONTH(C876)/3,0))</f>
        <v/>
      </c>
      <c r="F876" s="16"/>
      <c r="G876" s="16"/>
      <c r="H876" s="17" t="str">
        <f aca="false">IF(A876="","",IF(OR(B876="",C876=""),"Item ID and date needed",IF(COUNTIF(Sample_Log!$A$5:$A$204,A876)=0,"SMP-ID not in log",IF(COUNTIFS($A$5:$A$1004,A876,$B$5:$B$1004,B876)&gt;1,"Duplicate item in sample","OK"))))</f>
        <v/>
      </c>
    </row>
    <row r="877" customFormat="false" ht="15" hidden="false" customHeight="false" outlineLevel="0" collapsed="false">
      <c r="A877" s="16"/>
      <c r="B877" s="16"/>
      <c r="C877" s="18"/>
      <c r="D877" s="16"/>
      <c r="E877" s="17" t="str">
        <f aca="false">IF(C877="","","Q"&amp;ROUNDUP(MONTH(C877)/3,0))</f>
        <v/>
      </c>
      <c r="F877" s="16"/>
      <c r="G877" s="16"/>
      <c r="H877" s="17" t="str">
        <f aca="false">IF(A877="","",IF(OR(B877="",C877=""),"Item ID and date needed",IF(COUNTIF(Sample_Log!$A$5:$A$204,A877)=0,"SMP-ID not in log",IF(COUNTIFS($A$5:$A$1004,A877,$B$5:$B$1004,B877)&gt;1,"Duplicate item in sample","OK"))))</f>
        <v/>
      </c>
    </row>
    <row r="878" customFormat="false" ht="15" hidden="false" customHeight="false" outlineLevel="0" collapsed="false">
      <c r="A878" s="16"/>
      <c r="B878" s="16"/>
      <c r="C878" s="18"/>
      <c r="D878" s="16"/>
      <c r="E878" s="17" t="str">
        <f aca="false">IF(C878="","","Q"&amp;ROUNDUP(MONTH(C878)/3,0))</f>
        <v/>
      </c>
      <c r="F878" s="16"/>
      <c r="G878" s="16"/>
      <c r="H878" s="17" t="str">
        <f aca="false">IF(A878="","",IF(OR(B878="",C878=""),"Item ID and date needed",IF(COUNTIF(Sample_Log!$A$5:$A$204,A878)=0,"SMP-ID not in log",IF(COUNTIFS($A$5:$A$1004,A878,$B$5:$B$1004,B878)&gt;1,"Duplicate item in sample","OK"))))</f>
        <v/>
      </c>
    </row>
    <row r="879" customFormat="false" ht="15" hidden="false" customHeight="false" outlineLevel="0" collapsed="false">
      <c r="A879" s="16"/>
      <c r="B879" s="16"/>
      <c r="C879" s="18"/>
      <c r="D879" s="16"/>
      <c r="E879" s="17" t="str">
        <f aca="false">IF(C879="","","Q"&amp;ROUNDUP(MONTH(C879)/3,0))</f>
        <v/>
      </c>
      <c r="F879" s="16"/>
      <c r="G879" s="16"/>
      <c r="H879" s="17" t="str">
        <f aca="false">IF(A879="","",IF(OR(B879="",C879=""),"Item ID and date needed",IF(COUNTIF(Sample_Log!$A$5:$A$204,A879)=0,"SMP-ID not in log",IF(COUNTIFS($A$5:$A$1004,A879,$B$5:$B$1004,B879)&gt;1,"Duplicate item in sample","OK"))))</f>
        <v/>
      </c>
    </row>
    <row r="880" customFormat="false" ht="15" hidden="false" customHeight="false" outlineLevel="0" collapsed="false">
      <c r="A880" s="16"/>
      <c r="B880" s="16"/>
      <c r="C880" s="18"/>
      <c r="D880" s="16"/>
      <c r="E880" s="17" t="str">
        <f aca="false">IF(C880="","","Q"&amp;ROUNDUP(MONTH(C880)/3,0))</f>
        <v/>
      </c>
      <c r="F880" s="16"/>
      <c r="G880" s="16"/>
      <c r="H880" s="17" t="str">
        <f aca="false">IF(A880="","",IF(OR(B880="",C880=""),"Item ID and date needed",IF(COUNTIF(Sample_Log!$A$5:$A$204,A880)=0,"SMP-ID not in log",IF(COUNTIFS($A$5:$A$1004,A880,$B$5:$B$1004,B880)&gt;1,"Duplicate item in sample","OK"))))</f>
        <v/>
      </c>
    </row>
    <row r="881" customFormat="false" ht="15" hidden="false" customHeight="false" outlineLevel="0" collapsed="false">
      <c r="A881" s="16"/>
      <c r="B881" s="16"/>
      <c r="C881" s="18"/>
      <c r="D881" s="16"/>
      <c r="E881" s="17" t="str">
        <f aca="false">IF(C881="","","Q"&amp;ROUNDUP(MONTH(C881)/3,0))</f>
        <v/>
      </c>
      <c r="F881" s="16"/>
      <c r="G881" s="16"/>
      <c r="H881" s="17" t="str">
        <f aca="false">IF(A881="","",IF(OR(B881="",C881=""),"Item ID and date needed",IF(COUNTIF(Sample_Log!$A$5:$A$204,A881)=0,"SMP-ID not in log",IF(COUNTIFS($A$5:$A$1004,A881,$B$5:$B$1004,B881)&gt;1,"Duplicate item in sample","OK"))))</f>
        <v/>
      </c>
    </row>
    <row r="882" customFormat="false" ht="15" hidden="false" customHeight="false" outlineLevel="0" collapsed="false">
      <c r="A882" s="16"/>
      <c r="B882" s="16"/>
      <c r="C882" s="18"/>
      <c r="D882" s="16"/>
      <c r="E882" s="17" t="str">
        <f aca="false">IF(C882="","","Q"&amp;ROUNDUP(MONTH(C882)/3,0))</f>
        <v/>
      </c>
      <c r="F882" s="16"/>
      <c r="G882" s="16"/>
      <c r="H882" s="17" t="str">
        <f aca="false">IF(A882="","",IF(OR(B882="",C882=""),"Item ID and date needed",IF(COUNTIF(Sample_Log!$A$5:$A$204,A882)=0,"SMP-ID not in log",IF(COUNTIFS($A$5:$A$1004,A882,$B$5:$B$1004,B882)&gt;1,"Duplicate item in sample","OK"))))</f>
        <v/>
      </c>
    </row>
    <row r="883" customFormat="false" ht="15" hidden="false" customHeight="false" outlineLevel="0" collapsed="false">
      <c r="A883" s="16"/>
      <c r="B883" s="16"/>
      <c r="C883" s="18"/>
      <c r="D883" s="16"/>
      <c r="E883" s="17" t="str">
        <f aca="false">IF(C883="","","Q"&amp;ROUNDUP(MONTH(C883)/3,0))</f>
        <v/>
      </c>
      <c r="F883" s="16"/>
      <c r="G883" s="16"/>
      <c r="H883" s="17" t="str">
        <f aca="false">IF(A883="","",IF(OR(B883="",C883=""),"Item ID and date needed",IF(COUNTIF(Sample_Log!$A$5:$A$204,A883)=0,"SMP-ID not in log",IF(COUNTIFS($A$5:$A$1004,A883,$B$5:$B$1004,B883)&gt;1,"Duplicate item in sample","OK"))))</f>
        <v/>
      </c>
    </row>
    <row r="884" customFormat="false" ht="15" hidden="false" customHeight="false" outlineLevel="0" collapsed="false">
      <c r="A884" s="16"/>
      <c r="B884" s="16"/>
      <c r="C884" s="18"/>
      <c r="D884" s="16"/>
      <c r="E884" s="17" t="str">
        <f aca="false">IF(C884="","","Q"&amp;ROUNDUP(MONTH(C884)/3,0))</f>
        <v/>
      </c>
      <c r="F884" s="16"/>
      <c r="G884" s="16"/>
      <c r="H884" s="17" t="str">
        <f aca="false">IF(A884="","",IF(OR(B884="",C884=""),"Item ID and date needed",IF(COUNTIF(Sample_Log!$A$5:$A$204,A884)=0,"SMP-ID not in log",IF(COUNTIFS($A$5:$A$1004,A884,$B$5:$B$1004,B884)&gt;1,"Duplicate item in sample","OK"))))</f>
        <v/>
      </c>
    </row>
    <row r="885" customFormat="false" ht="15" hidden="false" customHeight="false" outlineLevel="0" collapsed="false">
      <c r="A885" s="16"/>
      <c r="B885" s="16"/>
      <c r="C885" s="18"/>
      <c r="D885" s="16"/>
      <c r="E885" s="17" t="str">
        <f aca="false">IF(C885="","","Q"&amp;ROUNDUP(MONTH(C885)/3,0))</f>
        <v/>
      </c>
      <c r="F885" s="16"/>
      <c r="G885" s="16"/>
      <c r="H885" s="17" t="str">
        <f aca="false">IF(A885="","",IF(OR(B885="",C885=""),"Item ID and date needed",IF(COUNTIF(Sample_Log!$A$5:$A$204,A885)=0,"SMP-ID not in log",IF(COUNTIFS($A$5:$A$1004,A885,$B$5:$B$1004,B885)&gt;1,"Duplicate item in sample","OK"))))</f>
        <v/>
      </c>
    </row>
    <row r="886" customFormat="false" ht="15" hidden="false" customHeight="false" outlineLevel="0" collapsed="false">
      <c r="A886" s="16"/>
      <c r="B886" s="16"/>
      <c r="C886" s="18"/>
      <c r="D886" s="16"/>
      <c r="E886" s="17" t="str">
        <f aca="false">IF(C886="","","Q"&amp;ROUNDUP(MONTH(C886)/3,0))</f>
        <v/>
      </c>
      <c r="F886" s="16"/>
      <c r="G886" s="16"/>
      <c r="H886" s="17" t="str">
        <f aca="false">IF(A886="","",IF(OR(B886="",C886=""),"Item ID and date needed",IF(COUNTIF(Sample_Log!$A$5:$A$204,A886)=0,"SMP-ID not in log",IF(COUNTIFS($A$5:$A$1004,A886,$B$5:$B$1004,B886)&gt;1,"Duplicate item in sample","OK"))))</f>
        <v/>
      </c>
    </row>
    <row r="887" customFormat="false" ht="15" hidden="false" customHeight="false" outlineLevel="0" collapsed="false">
      <c r="A887" s="16"/>
      <c r="B887" s="16"/>
      <c r="C887" s="18"/>
      <c r="D887" s="16"/>
      <c r="E887" s="17" t="str">
        <f aca="false">IF(C887="","","Q"&amp;ROUNDUP(MONTH(C887)/3,0))</f>
        <v/>
      </c>
      <c r="F887" s="16"/>
      <c r="G887" s="16"/>
      <c r="H887" s="17" t="str">
        <f aca="false">IF(A887="","",IF(OR(B887="",C887=""),"Item ID and date needed",IF(COUNTIF(Sample_Log!$A$5:$A$204,A887)=0,"SMP-ID not in log",IF(COUNTIFS($A$5:$A$1004,A887,$B$5:$B$1004,B887)&gt;1,"Duplicate item in sample","OK"))))</f>
        <v/>
      </c>
    </row>
    <row r="888" customFormat="false" ht="15" hidden="false" customHeight="false" outlineLevel="0" collapsed="false">
      <c r="A888" s="16"/>
      <c r="B888" s="16"/>
      <c r="C888" s="18"/>
      <c r="D888" s="16"/>
      <c r="E888" s="17" t="str">
        <f aca="false">IF(C888="","","Q"&amp;ROUNDUP(MONTH(C888)/3,0))</f>
        <v/>
      </c>
      <c r="F888" s="16"/>
      <c r="G888" s="16"/>
      <c r="H888" s="17" t="str">
        <f aca="false">IF(A888="","",IF(OR(B888="",C888=""),"Item ID and date needed",IF(COUNTIF(Sample_Log!$A$5:$A$204,A888)=0,"SMP-ID not in log",IF(COUNTIFS($A$5:$A$1004,A888,$B$5:$B$1004,B888)&gt;1,"Duplicate item in sample","OK"))))</f>
        <v/>
      </c>
    </row>
    <row r="889" customFormat="false" ht="15" hidden="false" customHeight="false" outlineLevel="0" collapsed="false">
      <c r="A889" s="16"/>
      <c r="B889" s="16"/>
      <c r="C889" s="18"/>
      <c r="D889" s="16"/>
      <c r="E889" s="17" t="str">
        <f aca="false">IF(C889="","","Q"&amp;ROUNDUP(MONTH(C889)/3,0))</f>
        <v/>
      </c>
      <c r="F889" s="16"/>
      <c r="G889" s="16"/>
      <c r="H889" s="17" t="str">
        <f aca="false">IF(A889="","",IF(OR(B889="",C889=""),"Item ID and date needed",IF(COUNTIF(Sample_Log!$A$5:$A$204,A889)=0,"SMP-ID not in log",IF(COUNTIFS($A$5:$A$1004,A889,$B$5:$B$1004,B889)&gt;1,"Duplicate item in sample","OK"))))</f>
        <v/>
      </c>
    </row>
    <row r="890" customFormat="false" ht="15" hidden="false" customHeight="false" outlineLevel="0" collapsed="false">
      <c r="A890" s="16"/>
      <c r="B890" s="16"/>
      <c r="C890" s="18"/>
      <c r="D890" s="16"/>
      <c r="E890" s="17" t="str">
        <f aca="false">IF(C890="","","Q"&amp;ROUNDUP(MONTH(C890)/3,0))</f>
        <v/>
      </c>
      <c r="F890" s="16"/>
      <c r="G890" s="16"/>
      <c r="H890" s="17" t="str">
        <f aca="false">IF(A890="","",IF(OR(B890="",C890=""),"Item ID and date needed",IF(COUNTIF(Sample_Log!$A$5:$A$204,A890)=0,"SMP-ID not in log",IF(COUNTIFS($A$5:$A$1004,A890,$B$5:$B$1004,B890)&gt;1,"Duplicate item in sample","OK"))))</f>
        <v/>
      </c>
    </row>
    <row r="891" customFormat="false" ht="15" hidden="false" customHeight="false" outlineLevel="0" collapsed="false">
      <c r="A891" s="16"/>
      <c r="B891" s="16"/>
      <c r="C891" s="18"/>
      <c r="D891" s="16"/>
      <c r="E891" s="17" t="str">
        <f aca="false">IF(C891="","","Q"&amp;ROUNDUP(MONTH(C891)/3,0))</f>
        <v/>
      </c>
      <c r="F891" s="16"/>
      <c r="G891" s="16"/>
      <c r="H891" s="17" t="str">
        <f aca="false">IF(A891="","",IF(OR(B891="",C891=""),"Item ID and date needed",IF(COUNTIF(Sample_Log!$A$5:$A$204,A891)=0,"SMP-ID not in log",IF(COUNTIFS($A$5:$A$1004,A891,$B$5:$B$1004,B891)&gt;1,"Duplicate item in sample","OK"))))</f>
        <v/>
      </c>
    </row>
    <row r="892" customFormat="false" ht="15" hidden="false" customHeight="false" outlineLevel="0" collapsed="false">
      <c r="A892" s="16"/>
      <c r="B892" s="16"/>
      <c r="C892" s="18"/>
      <c r="D892" s="16"/>
      <c r="E892" s="17" t="str">
        <f aca="false">IF(C892="","","Q"&amp;ROUNDUP(MONTH(C892)/3,0))</f>
        <v/>
      </c>
      <c r="F892" s="16"/>
      <c r="G892" s="16"/>
      <c r="H892" s="17" t="str">
        <f aca="false">IF(A892="","",IF(OR(B892="",C892=""),"Item ID and date needed",IF(COUNTIF(Sample_Log!$A$5:$A$204,A892)=0,"SMP-ID not in log",IF(COUNTIFS($A$5:$A$1004,A892,$B$5:$B$1004,B892)&gt;1,"Duplicate item in sample","OK"))))</f>
        <v/>
      </c>
    </row>
    <row r="893" customFormat="false" ht="15" hidden="false" customHeight="false" outlineLevel="0" collapsed="false">
      <c r="A893" s="16"/>
      <c r="B893" s="16"/>
      <c r="C893" s="18"/>
      <c r="D893" s="16"/>
      <c r="E893" s="17" t="str">
        <f aca="false">IF(C893="","","Q"&amp;ROUNDUP(MONTH(C893)/3,0))</f>
        <v/>
      </c>
      <c r="F893" s="16"/>
      <c r="G893" s="16"/>
      <c r="H893" s="17" t="str">
        <f aca="false">IF(A893="","",IF(OR(B893="",C893=""),"Item ID and date needed",IF(COUNTIF(Sample_Log!$A$5:$A$204,A893)=0,"SMP-ID not in log",IF(COUNTIFS($A$5:$A$1004,A893,$B$5:$B$1004,B893)&gt;1,"Duplicate item in sample","OK"))))</f>
        <v/>
      </c>
    </row>
    <row r="894" customFormat="false" ht="15" hidden="false" customHeight="false" outlineLevel="0" collapsed="false">
      <c r="A894" s="16"/>
      <c r="B894" s="16"/>
      <c r="C894" s="18"/>
      <c r="D894" s="16"/>
      <c r="E894" s="17" t="str">
        <f aca="false">IF(C894="","","Q"&amp;ROUNDUP(MONTH(C894)/3,0))</f>
        <v/>
      </c>
      <c r="F894" s="16"/>
      <c r="G894" s="16"/>
      <c r="H894" s="17" t="str">
        <f aca="false">IF(A894="","",IF(OR(B894="",C894=""),"Item ID and date needed",IF(COUNTIF(Sample_Log!$A$5:$A$204,A894)=0,"SMP-ID not in log",IF(COUNTIFS($A$5:$A$1004,A894,$B$5:$B$1004,B894)&gt;1,"Duplicate item in sample","OK"))))</f>
        <v/>
      </c>
    </row>
    <row r="895" customFormat="false" ht="15" hidden="false" customHeight="false" outlineLevel="0" collapsed="false">
      <c r="A895" s="16"/>
      <c r="B895" s="16"/>
      <c r="C895" s="18"/>
      <c r="D895" s="16"/>
      <c r="E895" s="17" t="str">
        <f aca="false">IF(C895="","","Q"&amp;ROUNDUP(MONTH(C895)/3,0))</f>
        <v/>
      </c>
      <c r="F895" s="16"/>
      <c r="G895" s="16"/>
      <c r="H895" s="17" t="str">
        <f aca="false">IF(A895="","",IF(OR(B895="",C895=""),"Item ID and date needed",IF(COUNTIF(Sample_Log!$A$5:$A$204,A895)=0,"SMP-ID not in log",IF(COUNTIFS($A$5:$A$1004,A895,$B$5:$B$1004,B895)&gt;1,"Duplicate item in sample","OK"))))</f>
        <v/>
      </c>
    </row>
    <row r="896" customFormat="false" ht="15" hidden="false" customHeight="false" outlineLevel="0" collapsed="false">
      <c r="A896" s="16"/>
      <c r="B896" s="16"/>
      <c r="C896" s="18"/>
      <c r="D896" s="16"/>
      <c r="E896" s="17" t="str">
        <f aca="false">IF(C896="","","Q"&amp;ROUNDUP(MONTH(C896)/3,0))</f>
        <v/>
      </c>
      <c r="F896" s="16"/>
      <c r="G896" s="16"/>
      <c r="H896" s="17" t="str">
        <f aca="false">IF(A896="","",IF(OR(B896="",C896=""),"Item ID and date needed",IF(COUNTIF(Sample_Log!$A$5:$A$204,A896)=0,"SMP-ID not in log",IF(COUNTIFS($A$5:$A$1004,A896,$B$5:$B$1004,B896)&gt;1,"Duplicate item in sample","OK"))))</f>
        <v/>
      </c>
    </row>
    <row r="897" customFormat="false" ht="15" hidden="false" customHeight="false" outlineLevel="0" collapsed="false">
      <c r="A897" s="16"/>
      <c r="B897" s="16"/>
      <c r="C897" s="18"/>
      <c r="D897" s="16"/>
      <c r="E897" s="17" t="str">
        <f aca="false">IF(C897="","","Q"&amp;ROUNDUP(MONTH(C897)/3,0))</f>
        <v/>
      </c>
      <c r="F897" s="16"/>
      <c r="G897" s="16"/>
      <c r="H897" s="17" t="str">
        <f aca="false">IF(A897="","",IF(OR(B897="",C897=""),"Item ID and date needed",IF(COUNTIF(Sample_Log!$A$5:$A$204,A897)=0,"SMP-ID not in log",IF(COUNTIFS($A$5:$A$1004,A897,$B$5:$B$1004,B897)&gt;1,"Duplicate item in sample","OK"))))</f>
        <v/>
      </c>
    </row>
    <row r="898" customFormat="false" ht="15" hidden="false" customHeight="false" outlineLevel="0" collapsed="false">
      <c r="A898" s="16"/>
      <c r="B898" s="16"/>
      <c r="C898" s="18"/>
      <c r="D898" s="16"/>
      <c r="E898" s="17" t="str">
        <f aca="false">IF(C898="","","Q"&amp;ROUNDUP(MONTH(C898)/3,0))</f>
        <v/>
      </c>
      <c r="F898" s="16"/>
      <c r="G898" s="16"/>
      <c r="H898" s="17" t="str">
        <f aca="false">IF(A898="","",IF(OR(B898="",C898=""),"Item ID and date needed",IF(COUNTIF(Sample_Log!$A$5:$A$204,A898)=0,"SMP-ID not in log",IF(COUNTIFS($A$5:$A$1004,A898,$B$5:$B$1004,B898)&gt;1,"Duplicate item in sample","OK"))))</f>
        <v/>
      </c>
    </row>
    <row r="899" customFormat="false" ht="15" hidden="false" customHeight="false" outlineLevel="0" collapsed="false">
      <c r="A899" s="16"/>
      <c r="B899" s="16"/>
      <c r="C899" s="18"/>
      <c r="D899" s="16"/>
      <c r="E899" s="17" t="str">
        <f aca="false">IF(C899="","","Q"&amp;ROUNDUP(MONTH(C899)/3,0))</f>
        <v/>
      </c>
      <c r="F899" s="16"/>
      <c r="G899" s="16"/>
      <c r="H899" s="17" t="str">
        <f aca="false">IF(A899="","",IF(OR(B899="",C899=""),"Item ID and date needed",IF(COUNTIF(Sample_Log!$A$5:$A$204,A899)=0,"SMP-ID not in log",IF(COUNTIFS($A$5:$A$1004,A899,$B$5:$B$1004,B899)&gt;1,"Duplicate item in sample","OK"))))</f>
        <v/>
      </c>
    </row>
    <row r="900" customFormat="false" ht="15" hidden="false" customHeight="false" outlineLevel="0" collapsed="false">
      <c r="A900" s="16"/>
      <c r="B900" s="16"/>
      <c r="C900" s="18"/>
      <c r="D900" s="16"/>
      <c r="E900" s="17" t="str">
        <f aca="false">IF(C900="","","Q"&amp;ROUNDUP(MONTH(C900)/3,0))</f>
        <v/>
      </c>
      <c r="F900" s="16"/>
      <c r="G900" s="16"/>
      <c r="H900" s="17" t="str">
        <f aca="false">IF(A900="","",IF(OR(B900="",C900=""),"Item ID and date needed",IF(COUNTIF(Sample_Log!$A$5:$A$204,A900)=0,"SMP-ID not in log",IF(COUNTIFS($A$5:$A$1004,A900,$B$5:$B$1004,B900)&gt;1,"Duplicate item in sample","OK"))))</f>
        <v/>
      </c>
    </row>
    <row r="901" customFormat="false" ht="15" hidden="false" customHeight="false" outlineLevel="0" collapsed="false">
      <c r="A901" s="16"/>
      <c r="B901" s="16"/>
      <c r="C901" s="18"/>
      <c r="D901" s="16"/>
      <c r="E901" s="17" t="str">
        <f aca="false">IF(C901="","","Q"&amp;ROUNDUP(MONTH(C901)/3,0))</f>
        <v/>
      </c>
      <c r="F901" s="16"/>
      <c r="G901" s="16"/>
      <c r="H901" s="17" t="str">
        <f aca="false">IF(A901="","",IF(OR(B901="",C901=""),"Item ID and date needed",IF(COUNTIF(Sample_Log!$A$5:$A$204,A901)=0,"SMP-ID not in log",IF(COUNTIFS($A$5:$A$1004,A901,$B$5:$B$1004,B901)&gt;1,"Duplicate item in sample","OK"))))</f>
        <v/>
      </c>
    </row>
    <row r="902" customFormat="false" ht="15" hidden="false" customHeight="false" outlineLevel="0" collapsed="false">
      <c r="A902" s="16"/>
      <c r="B902" s="16"/>
      <c r="C902" s="18"/>
      <c r="D902" s="16"/>
      <c r="E902" s="17" t="str">
        <f aca="false">IF(C902="","","Q"&amp;ROUNDUP(MONTH(C902)/3,0))</f>
        <v/>
      </c>
      <c r="F902" s="16"/>
      <c r="G902" s="16"/>
      <c r="H902" s="17" t="str">
        <f aca="false">IF(A902="","",IF(OR(B902="",C902=""),"Item ID and date needed",IF(COUNTIF(Sample_Log!$A$5:$A$204,A902)=0,"SMP-ID not in log",IF(COUNTIFS($A$5:$A$1004,A902,$B$5:$B$1004,B902)&gt;1,"Duplicate item in sample","OK"))))</f>
        <v/>
      </c>
    </row>
    <row r="903" customFormat="false" ht="15" hidden="false" customHeight="false" outlineLevel="0" collapsed="false">
      <c r="A903" s="16"/>
      <c r="B903" s="16"/>
      <c r="C903" s="18"/>
      <c r="D903" s="16"/>
      <c r="E903" s="17" t="str">
        <f aca="false">IF(C903="","","Q"&amp;ROUNDUP(MONTH(C903)/3,0))</f>
        <v/>
      </c>
      <c r="F903" s="16"/>
      <c r="G903" s="16"/>
      <c r="H903" s="17" t="str">
        <f aca="false">IF(A903="","",IF(OR(B903="",C903=""),"Item ID and date needed",IF(COUNTIF(Sample_Log!$A$5:$A$204,A903)=0,"SMP-ID not in log",IF(COUNTIFS($A$5:$A$1004,A903,$B$5:$B$1004,B903)&gt;1,"Duplicate item in sample","OK"))))</f>
        <v/>
      </c>
    </row>
    <row r="904" customFormat="false" ht="15" hidden="false" customHeight="false" outlineLevel="0" collapsed="false">
      <c r="A904" s="16"/>
      <c r="B904" s="16"/>
      <c r="C904" s="18"/>
      <c r="D904" s="16"/>
      <c r="E904" s="17" t="str">
        <f aca="false">IF(C904="","","Q"&amp;ROUNDUP(MONTH(C904)/3,0))</f>
        <v/>
      </c>
      <c r="F904" s="16"/>
      <c r="G904" s="16"/>
      <c r="H904" s="17" t="str">
        <f aca="false">IF(A904="","",IF(OR(B904="",C904=""),"Item ID and date needed",IF(COUNTIF(Sample_Log!$A$5:$A$204,A904)=0,"SMP-ID not in log",IF(COUNTIFS($A$5:$A$1004,A904,$B$5:$B$1004,B904)&gt;1,"Duplicate item in sample","OK"))))</f>
        <v/>
      </c>
    </row>
    <row r="905" customFormat="false" ht="15" hidden="false" customHeight="false" outlineLevel="0" collapsed="false">
      <c r="A905" s="16"/>
      <c r="B905" s="16"/>
      <c r="C905" s="18"/>
      <c r="D905" s="16"/>
      <c r="E905" s="17" t="str">
        <f aca="false">IF(C905="","","Q"&amp;ROUNDUP(MONTH(C905)/3,0))</f>
        <v/>
      </c>
      <c r="F905" s="16"/>
      <c r="G905" s="16"/>
      <c r="H905" s="17" t="str">
        <f aca="false">IF(A905="","",IF(OR(B905="",C905=""),"Item ID and date needed",IF(COUNTIF(Sample_Log!$A$5:$A$204,A905)=0,"SMP-ID not in log",IF(COUNTIFS($A$5:$A$1004,A905,$B$5:$B$1004,B905)&gt;1,"Duplicate item in sample","OK"))))</f>
        <v/>
      </c>
    </row>
    <row r="906" customFormat="false" ht="15" hidden="false" customHeight="false" outlineLevel="0" collapsed="false">
      <c r="A906" s="16"/>
      <c r="B906" s="16"/>
      <c r="C906" s="18"/>
      <c r="D906" s="16"/>
      <c r="E906" s="17" t="str">
        <f aca="false">IF(C906="","","Q"&amp;ROUNDUP(MONTH(C906)/3,0))</f>
        <v/>
      </c>
      <c r="F906" s="16"/>
      <c r="G906" s="16"/>
      <c r="H906" s="17" t="str">
        <f aca="false">IF(A906="","",IF(OR(B906="",C906=""),"Item ID and date needed",IF(COUNTIF(Sample_Log!$A$5:$A$204,A906)=0,"SMP-ID not in log",IF(COUNTIFS($A$5:$A$1004,A906,$B$5:$B$1004,B906)&gt;1,"Duplicate item in sample","OK"))))</f>
        <v/>
      </c>
    </row>
    <row r="907" customFormat="false" ht="15" hidden="false" customHeight="false" outlineLevel="0" collapsed="false">
      <c r="A907" s="16"/>
      <c r="B907" s="16"/>
      <c r="C907" s="18"/>
      <c r="D907" s="16"/>
      <c r="E907" s="17" t="str">
        <f aca="false">IF(C907="","","Q"&amp;ROUNDUP(MONTH(C907)/3,0))</f>
        <v/>
      </c>
      <c r="F907" s="16"/>
      <c r="G907" s="16"/>
      <c r="H907" s="17" t="str">
        <f aca="false">IF(A907="","",IF(OR(B907="",C907=""),"Item ID and date needed",IF(COUNTIF(Sample_Log!$A$5:$A$204,A907)=0,"SMP-ID not in log",IF(COUNTIFS($A$5:$A$1004,A907,$B$5:$B$1004,B907)&gt;1,"Duplicate item in sample","OK"))))</f>
        <v/>
      </c>
    </row>
    <row r="908" customFormat="false" ht="15" hidden="false" customHeight="false" outlineLevel="0" collapsed="false">
      <c r="A908" s="16"/>
      <c r="B908" s="16"/>
      <c r="C908" s="18"/>
      <c r="D908" s="16"/>
      <c r="E908" s="17" t="str">
        <f aca="false">IF(C908="","","Q"&amp;ROUNDUP(MONTH(C908)/3,0))</f>
        <v/>
      </c>
      <c r="F908" s="16"/>
      <c r="G908" s="16"/>
      <c r="H908" s="17" t="str">
        <f aca="false">IF(A908="","",IF(OR(B908="",C908=""),"Item ID and date needed",IF(COUNTIF(Sample_Log!$A$5:$A$204,A908)=0,"SMP-ID not in log",IF(COUNTIFS($A$5:$A$1004,A908,$B$5:$B$1004,B908)&gt;1,"Duplicate item in sample","OK"))))</f>
        <v/>
      </c>
    </row>
    <row r="909" customFormat="false" ht="15" hidden="false" customHeight="false" outlineLevel="0" collapsed="false">
      <c r="A909" s="16"/>
      <c r="B909" s="16"/>
      <c r="C909" s="18"/>
      <c r="D909" s="16"/>
      <c r="E909" s="17" t="str">
        <f aca="false">IF(C909="","","Q"&amp;ROUNDUP(MONTH(C909)/3,0))</f>
        <v/>
      </c>
      <c r="F909" s="16"/>
      <c r="G909" s="16"/>
      <c r="H909" s="17" t="str">
        <f aca="false">IF(A909="","",IF(OR(B909="",C909=""),"Item ID and date needed",IF(COUNTIF(Sample_Log!$A$5:$A$204,A909)=0,"SMP-ID not in log",IF(COUNTIFS($A$5:$A$1004,A909,$B$5:$B$1004,B909)&gt;1,"Duplicate item in sample","OK"))))</f>
        <v/>
      </c>
    </row>
    <row r="910" customFormat="false" ht="15" hidden="false" customHeight="false" outlineLevel="0" collapsed="false">
      <c r="A910" s="16"/>
      <c r="B910" s="16"/>
      <c r="C910" s="18"/>
      <c r="D910" s="16"/>
      <c r="E910" s="17" t="str">
        <f aca="false">IF(C910="","","Q"&amp;ROUNDUP(MONTH(C910)/3,0))</f>
        <v/>
      </c>
      <c r="F910" s="16"/>
      <c r="G910" s="16"/>
      <c r="H910" s="17" t="str">
        <f aca="false">IF(A910="","",IF(OR(B910="",C910=""),"Item ID and date needed",IF(COUNTIF(Sample_Log!$A$5:$A$204,A910)=0,"SMP-ID not in log",IF(COUNTIFS($A$5:$A$1004,A910,$B$5:$B$1004,B910)&gt;1,"Duplicate item in sample","OK"))))</f>
        <v/>
      </c>
    </row>
    <row r="911" customFormat="false" ht="15" hidden="false" customHeight="false" outlineLevel="0" collapsed="false">
      <c r="A911" s="16"/>
      <c r="B911" s="16"/>
      <c r="C911" s="18"/>
      <c r="D911" s="16"/>
      <c r="E911" s="17" t="str">
        <f aca="false">IF(C911="","","Q"&amp;ROUNDUP(MONTH(C911)/3,0))</f>
        <v/>
      </c>
      <c r="F911" s="16"/>
      <c r="G911" s="16"/>
      <c r="H911" s="17" t="str">
        <f aca="false">IF(A911="","",IF(OR(B911="",C911=""),"Item ID and date needed",IF(COUNTIF(Sample_Log!$A$5:$A$204,A911)=0,"SMP-ID not in log",IF(COUNTIFS($A$5:$A$1004,A911,$B$5:$B$1004,B911)&gt;1,"Duplicate item in sample","OK"))))</f>
        <v/>
      </c>
    </row>
    <row r="912" customFormat="false" ht="15" hidden="false" customHeight="false" outlineLevel="0" collapsed="false">
      <c r="A912" s="16"/>
      <c r="B912" s="16"/>
      <c r="C912" s="18"/>
      <c r="D912" s="16"/>
      <c r="E912" s="17" t="str">
        <f aca="false">IF(C912="","","Q"&amp;ROUNDUP(MONTH(C912)/3,0))</f>
        <v/>
      </c>
      <c r="F912" s="16"/>
      <c r="G912" s="16"/>
      <c r="H912" s="17" t="str">
        <f aca="false">IF(A912="","",IF(OR(B912="",C912=""),"Item ID and date needed",IF(COUNTIF(Sample_Log!$A$5:$A$204,A912)=0,"SMP-ID not in log",IF(COUNTIFS($A$5:$A$1004,A912,$B$5:$B$1004,B912)&gt;1,"Duplicate item in sample","OK"))))</f>
        <v/>
      </c>
    </row>
    <row r="913" customFormat="false" ht="15" hidden="false" customHeight="false" outlineLevel="0" collapsed="false">
      <c r="A913" s="16"/>
      <c r="B913" s="16"/>
      <c r="C913" s="18"/>
      <c r="D913" s="16"/>
      <c r="E913" s="17" t="str">
        <f aca="false">IF(C913="","","Q"&amp;ROUNDUP(MONTH(C913)/3,0))</f>
        <v/>
      </c>
      <c r="F913" s="16"/>
      <c r="G913" s="16"/>
      <c r="H913" s="17" t="str">
        <f aca="false">IF(A913="","",IF(OR(B913="",C913=""),"Item ID and date needed",IF(COUNTIF(Sample_Log!$A$5:$A$204,A913)=0,"SMP-ID not in log",IF(COUNTIFS($A$5:$A$1004,A913,$B$5:$B$1004,B913)&gt;1,"Duplicate item in sample","OK"))))</f>
        <v/>
      </c>
    </row>
    <row r="914" customFormat="false" ht="15" hidden="false" customHeight="false" outlineLevel="0" collapsed="false">
      <c r="A914" s="16"/>
      <c r="B914" s="16"/>
      <c r="C914" s="18"/>
      <c r="D914" s="16"/>
      <c r="E914" s="17" t="str">
        <f aca="false">IF(C914="","","Q"&amp;ROUNDUP(MONTH(C914)/3,0))</f>
        <v/>
      </c>
      <c r="F914" s="16"/>
      <c r="G914" s="16"/>
      <c r="H914" s="17" t="str">
        <f aca="false">IF(A914="","",IF(OR(B914="",C914=""),"Item ID and date needed",IF(COUNTIF(Sample_Log!$A$5:$A$204,A914)=0,"SMP-ID not in log",IF(COUNTIFS($A$5:$A$1004,A914,$B$5:$B$1004,B914)&gt;1,"Duplicate item in sample","OK"))))</f>
        <v/>
      </c>
    </row>
    <row r="915" customFormat="false" ht="15" hidden="false" customHeight="false" outlineLevel="0" collapsed="false">
      <c r="A915" s="16"/>
      <c r="B915" s="16"/>
      <c r="C915" s="18"/>
      <c r="D915" s="16"/>
      <c r="E915" s="17" t="str">
        <f aca="false">IF(C915="","","Q"&amp;ROUNDUP(MONTH(C915)/3,0))</f>
        <v/>
      </c>
      <c r="F915" s="16"/>
      <c r="G915" s="16"/>
      <c r="H915" s="17" t="str">
        <f aca="false">IF(A915="","",IF(OR(B915="",C915=""),"Item ID and date needed",IF(COUNTIF(Sample_Log!$A$5:$A$204,A915)=0,"SMP-ID not in log",IF(COUNTIFS($A$5:$A$1004,A915,$B$5:$B$1004,B915)&gt;1,"Duplicate item in sample","OK"))))</f>
        <v/>
      </c>
    </row>
    <row r="916" customFormat="false" ht="15" hidden="false" customHeight="false" outlineLevel="0" collapsed="false">
      <c r="A916" s="16"/>
      <c r="B916" s="16"/>
      <c r="C916" s="18"/>
      <c r="D916" s="16"/>
      <c r="E916" s="17" t="str">
        <f aca="false">IF(C916="","","Q"&amp;ROUNDUP(MONTH(C916)/3,0))</f>
        <v/>
      </c>
      <c r="F916" s="16"/>
      <c r="G916" s="16"/>
      <c r="H916" s="17" t="str">
        <f aca="false">IF(A916="","",IF(OR(B916="",C916=""),"Item ID and date needed",IF(COUNTIF(Sample_Log!$A$5:$A$204,A916)=0,"SMP-ID not in log",IF(COUNTIFS($A$5:$A$1004,A916,$B$5:$B$1004,B916)&gt;1,"Duplicate item in sample","OK"))))</f>
        <v/>
      </c>
    </row>
    <row r="917" customFormat="false" ht="15" hidden="false" customHeight="false" outlineLevel="0" collapsed="false">
      <c r="A917" s="16"/>
      <c r="B917" s="16"/>
      <c r="C917" s="18"/>
      <c r="D917" s="16"/>
      <c r="E917" s="17" t="str">
        <f aca="false">IF(C917="","","Q"&amp;ROUNDUP(MONTH(C917)/3,0))</f>
        <v/>
      </c>
      <c r="F917" s="16"/>
      <c r="G917" s="16"/>
      <c r="H917" s="17" t="str">
        <f aca="false">IF(A917="","",IF(OR(B917="",C917=""),"Item ID and date needed",IF(COUNTIF(Sample_Log!$A$5:$A$204,A917)=0,"SMP-ID not in log",IF(COUNTIFS($A$5:$A$1004,A917,$B$5:$B$1004,B917)&gt;1,"Duplicate item in sample","OK"))))</f>
        <v/>
      </c>
    </row>
    <row r="918" customFormat="false" ht="15" hidden="false" customHeight="false" outlineLevel="0" collapsed="false">
      <c r="A918" s="16"/>
      <c r="B918" s="16"/>
      <c r="C918" s="18"/>
      <c r="D918" s="16"/>
      <c r="E918" s="17" t="str">
        <f aca="false">IF(C918="","","Q"&amp;ROUNDUP(MONTH(C918)/3,0))</f>
        <v/>
      </c>
      <c r="F918" s="16"/>
      <c r="G918" s="16"/>
      <c r="H918" s="17" t="str">
        <f aca="false">IF(A918="","",IF(OR(B918="",C918=""),"Item ID and date needed",IF(COUNTIF(Sample_Log!$A$5:$A$204,A918)=0,"SMP-ID not in log",IF(COUNTIFS($A$5:$A$1004,A918,$B$5:$B$1004,B918)&gt;1,"Duplicate item in sample","OK"))))</f>
        <v/>
      </c>
    </row>
    <row r="919" customFormat="false" ht="15" hidden="false" customHeight="false" outlineLevel="0" collapsed="false">
      <c r="A919" s="16"/>
      <c r="B919" s="16"/>
      <c r="C919" s="18"/>
      <c r="D919" s="16"/>
      <c r="E919" s="17" t="str">
        <f aca="false">IF(C919="","","Q"&amp;ROUNDUP(MONTH(C919)/3,0))</f>
        <v/>
      </c>
      <c r="F919" s="16"/>
      <c r="G919" s="16"/>
      <c r="H919" s="17" t="str">
        <f aca="false">IF(A919="","",IF(OR(B919="",C919=""),"Item ID and date needed",IF(COUNTIF(Sample_Log!$A$5:$A$204,A919)=0,"SMP-ID not in log",IF(COUNTIFS($A$5:$A$1004,A919,$B$5:$B$1004,B919)&gt;1,"Duplicate item in sample","OK"))))</f>
        <v/>
      </c>
    </row>
    <row r="920" customFormat="false" ht="15" hidden="false" customHeight="false" outlineLevel="0" collapsed="false">
      <c r="A920" s="16"/>
      <c r="B920" s="16"/>
      <c r="C920" s="18"/>
      <c r="D920" s="16"/>
      <c r="E920" s="17" t="str">
        <f aca="false">IF(C920="","","Q"&amp;ROUNDUP(MONTH(C920)/3,0))</f>
        <v/>
      </c>
      <c r="F920" s="16"/>
      <c r="G920" s="16"/>
      <c r="H920" s="17" t="str">
        <f aca="false">IF(A920="","",IF(OR(B920="",C920=""),"Item ID and date needed",IF(COUNTIF(Sample_Log!$A$5:$A$204,A920)=0,"SMP-ID not in log",IF(COUNTIFS($A$5:$A$1004,A920,$B$5:$B$1004,B920)&gt;1,"Duplicate item in sample","OK"))))</f>
        <v/>
      </c>
    </row>
    <row r="921" customFormat="false" ht="15" hidden="false" customHeight="false" outlineLevel="0" collapsed="false">
      <c r="A921" s="16"/>
      <c r="B921" s="16"/>
      <c r="C921" s="18"/>
      <c r="D921" s="16"/>
      <c r="E921" s="17" t="str">
        <f aca="false">IF(C921="","","Q"&amp;ROUNDUP(MONTH(C921)/3,0))</f>
        <v/>
      </c>
      <c r="F921" s="16"/>
      <c r="G921" s="16"/>
      <c r="H921" s="17" t="str">
        <f aca="false">IF(A921="","",IF(OR(B921="",C921=""),"Item ID and date needed",IF(COUNTIF(Sample_Log!$A$5:$A$204,A921)=0,"SMP-ID not in log",IF(COUNTIFS($A$5:$A$1004,A921,$B$5:$B$1004,B921)&gt;1,"Duplicate item in sample","OK"))))</f>
        <v/>
      </c>
    </row>
    <row r="922" customFormat="false" ht="15" hidden="false" customHeight="false" outlineLevel="0" collapsed="false">
      <c r="A922" s="16"/>
      <c r="B922" s="16"/>
      <c r="C922" s="18"/>
      <c r="D922" s="16"/>
      <c r="E922" s="17" t="str">
        <f aca="false">IF(C922="","","Q"&amp;ROUNDUP(MONTH(C922)/3,0))</f>
        <v/>
      </c>
      <c r="F922" s="16"/>
      <c r="G922" s="16"/>
      <c r="H922" s="17" t="str">
        <f aca="false">IF(A922="","",IF(OR(B922="",C922=""),"Item ID and date needed",IF(COUNTIF(Sample_Log!$A$5:$A$204,A922)=0,"SMP-ID not in log",IF(COUNTIFS($A$5:$A$1004,A922,$B$5:$B$1004,B922)&gt;1,"Duplicate item in sample","OK"))))</f>
        <v/>
      </c>
    </row>
    <row r="923" customFormat="false" ht="15" hidden="false" customHeight="false" outlineLevel="0" collapsed="false">
      <c r="A923" s="16"/>
      <c r="B923" s="16"/>
      <c r="C923" s="18"/>
      <c r="D923" s="16"/>
      <c r="E923" s="17" t="str">
        <f aca="false">IF(C923="","","Q"&amp;ROUNDUP(MONTH(C923)/3,0))</f>
        <v/>
      </c>
      <c r="F923" s="16"/>
      <c r="G923" s="16"/>
      <c r="H923" s="17" t="str">
        <f aca="false">IF(A923="","",IF(OR(B923="",C923=""),"Item ID and date needed",IF(COUNTIF(Sample_Log!$A$5:$A$204,A923)=0,"SMP-ID not in log",IF(COUNTIFS($A$5:$A$1004,A923,$B$5:$B$1004,B923)&gt;1,"Duplicate item in sample","OK"))))</f>
        <v/>
      </c>
    </row>
    <row r="924" customFormat="false" ht="15" hidden="false" customHeight="false" outlineLevel="0" collapsed="false">
      <c r="A924" s="16"/>
      <c r="B924" s="16"/>
      <c r="C924" s="18"/>
      <c r="D924" s="16"/>
      <c r="E924" s="17" t="str">
        <f aca="false">IF(C924="","","Q"&amp;ROUNDUP(MONTH(C924)/3,0))</f>
        <v/>
      </c>
      <c r="F924" s="16"/>
      <c r="G924" s="16"/>
      <c r="H924" s="17" t="str">
        <f aca="false">IF(A924="","",IF(OR(B924="",C924=""),"Item ID and date needed",IF(COUNTIF(Sample_Log!$A$5:$A$204,A924)=0,"SMP-ID not in log",IF(COUNTIFS($A$5:$A$1004,A924,$B$5:$B$1004,B924)&gt;1,"Duplicate item in sample","OK"))))</f>
        <v/>
      </c>
    </row>
    <row r="925" customFormat="false" ht="15" hidden="false" customHeight="false" outlineLevel="0" collapsed="false">
      <c r="A925" s="16"/>
      <c r="B925" s="16"/>
      <c r="C925" s="18"/>
      <c r="D925" s="16"/>
      <c r="E925" s="17" t="str">
        <f aca="false">IF(C925="","","Q"&amp;ROUNDUP(MONTH(C925)/3,0))</f>
        <v/>
      </c>
      <c r="F925" s="16"/>
      <c r="G925" s="16"/>
      <c r="H925" s="17" t="str">
        <f aca="false">IF(A925="","",IF(OR(B925="",C925=""),"Item ID and date needed",IF(COUNTIF(Sample_Log!$A$5:$A$204,A925)=0,"SMP-ID not in log",IF(COUNTIFS($A$5:$A$1004,A925,$B$5:$B$1004,B925)&gt;1,"Duplicate item in sample","OK"))))</f>
        <v/>
      </c>
    </row>
    <row r="926" customFormat="false" ht="15" hidden="false" customHeight="false" outlineLevel="0" collapsed="false">
      <c r="A926" s="16"/>
      <c r="B926" s="16"/>
      <c r="C926" s="18"/>
      <c r="D926" s="16"/>
      <c r="E926" s="17" t="str">
        <f aca="false">IF(C926="","","Q"&amp;ROUNDUP(MONTH(C926)/3,0))</f>
        <v/>
      </c>
      <c r="F926" s="16"/>
      <c r="G926" s="16"/>
      <c r="H926" s="17" t="str">
        <f aca="false">IF(A926="","",IF(OR(B926="",C926=""),"Item ID and date needed",IF(COUNTIF(Sample_Log!$A$5:$A$204,A926)=0,"SMP-ID not in log",IF(COUNTIFS($A$5:$A$1004,A926,$B$5:$B$1004,B926)&gt;1,"Duplicate item in sample","OK"))))</f>
        <v/>
      </c>
    </row>
    <row r="927" customFormat="false" ht="15" hidden="false" customHeight="false" outlineLevel="0" collapsed="false">
      <c r="A927" s="16"/>
      <c r="B927" s="16"/>
      <c r="C927" s="18"/>
      <c r="D927" s="16"/>
      <c r="E927" s="17" t="str">
        <f aca="false">IF(C927="","","Q"&amp;ROUNDUP(MONTH(C927)/3,0))</f>
        <v/>
      </c>
      <c r="F927" s="16"/>
      <c r="G927" s="16"/>
      <c r="H927" s="17" t="str">
        <f aca="false">IF(A927="","",IF(OR(B927="",C927=""),"Item ID and date needed",IF(COUNTIF(Sample_Log!$A$5:$A$204,A927)=0,"SMP-ID not in log",IF(COUNTIFS($A$5:$A$1004,A927,$B$5:$B$1004,B927)&gt;1,"Duplicate item in sample","OK"))))</f>
        <v/>
      </c>
    </row>
    <row r="928" customFormat="false" ht="15" hidden="false" customHeight="false" outlineLevel="0" collapsed="false">
      <c r="A928" s="16"/>
      <c r="B928" s="16"/>
      <c r="C928" s="18"/>
      <c r="D928" s="16"/>
      <c r="E928" s="17" t="str">
        <f aca="false">IF(C928="","","Q"&amp;ROUNDUP(MONTH(C928)/3,0))</f>
        <v/>
      </c>
      <c r="F928" s="16"/>
      <c r="G928" s="16"/>
      <c r="H928" s="17" t="str">
        <f aca="false">IF(A928="","",IF(OR(B928="",C928=""),"Item ID and date needed",IF(COUNTIF(Sample_Log!$A$5:$A$204,A928)=0,"SMP-ID not in log",IF(COUNTIFS($A$5:$A$1004,A928,$B$5:$B$1004,B928)&gt;1,"Duplicate item in sample","OK"))))</f>
        <v/>
      </c>
    </row>
    <row r="929" customFormat="false" ht="15" hidden="false" customHeight="false" outlineLevel="0" collapsed="false">
      <c r="A929" s="16"/>
      <c r="B929" s="16"/>
      <c r="C929" s="18"/>
      <c r="D929" s="16"/>
      <c r="E929" s="17" t="str">
        <f aca="false">IF(C929="","","Q"&amp;ROUNDUP(MONTH(C929)/3,0))</f>
        <v/>
      </c>
      <c r="F929" s="16"/>
      <c r="G929" s="16"/>
      <c r="H929" s="17" t="str">
        <f aca="false">IF(A929="","",IF(OR(B929="",C929=""),"Item ID and date needed",IF(COUNTIF(Sample_Log!$A$5:$A$204,A929)=0,"SMP-ID not in log",IF(COUNTIFS($A$5:$A$1004,A929,$B$5:$B$1004,B929)&gt;1,"Duplicate item in sample","OK"))))</f>
        <v/>
      </c>
    </row>
    <row r="930" customFormat="false" ht="15" hidden="false" customHeight="false" outlineLevel="0" collapsed="false">
      <c r="A930" s="16"/>
      <c r="B930" s="16"/>
      <c r="C930" s="18"/>
      <c r="D930" s="16"/>
      <c r="E930" s="17" t="str">
        <f aca="false">IF(C930="","","Q"&amp;ROUNDUP(MONTH(C930)/3,0))</f>
        <v/>
      </c>
      <c r="F930" s="16"/>
      <c r="G930" s="16"/>
      <c r="H930" s="17" t="str">
        <f aca="false">IF(A930="","",IF(OR(B930="",C930=""),"Item ID and date needed",IF(COUNTIF(Sample_Log!$A$5:$A$204,A930)=0,"SMP-ID not in log",IF(COUNTIFS($A$5:$A$1004,A930,$B$5:$B$1004,B930)&gt;1,"Duplicate item in sample","OK"))))</f>
        <v/>
      </c>
    </row>
    <row r="931" customFormat="false" ht="15" hidden="false" customHeight="false" outlineLevel="0" collapsed="false">
      <c r="A931" s="16"/>
      <c r="B931" s="16"/>
      <c r="C931" s="18"/>
      <c r="D931" s="16"/>
      <c r="E931" s="17" t="str">
        <f aca="false">IF(C931="","","Q"&amp;ROUNDUP(MONTH(C931)/3,0))</f>
        <v/>
      </c>
      <c r="F931" s="16"/>
      <c r="G931" s="16"/>
      <c r="H931" s="17" t="str">
        <f aca="false">IF(A931="","",IF(OR(B931="",C931=""),"Item ID and date needed",IF(COUNTIF(Sample_Log!$A$5:$A$204,A931)=0,"SMP-ID not in log",IF(COUNTIFS($A$5:$A$1004,A931,$B$5:$B$1004,B931)&gt;1,"Duplicate item in sample","OK"))))</f>
        <v/>
      </c>
    </row>
    <row r="932" customFormat="false" ht="15" hidden="false" customHeight="false" outlineLevel="0" collapsed="false">
      <c r="A932" s="16"/>
      <c r="B932" s="16"/>
      <c r="C932" s="18"/>
      <c r="D932" s="16"/>
      <c r="E932" s="17" t="str">
        <f aca="false">IF(C932="","","Q"&amp;ROUNDUP(MONTH(C932)/3,0))</f>
        <v/>
      </c>
      <c r="F932" s="16"/>
      <c r="G932" s="16"/>
      <c r="H932" s="17" t="str">
        <f aca="false">IF(A932="","",IF(OR(B932="",C932=""),"Item ID and date needed",IF(COUNTIF(Sample_Log!$A$5:$A$204,A932)=0,"SMP-ID not in log",IF(COUNTIFS($A$5:$A$1004,A932,$B$5:$B$1004,B932)&gt;1,"Duplicate item in sample","OK"))))</f>
        <v/>
      </c>
    </row>
    <row r="933" customFormat="false" ht="15" hidden="false" customHeight="false" outlineLevel="0" collapsed="false">
      <c r="A933" s="16"/>
      <c r="B933" s="16"/>
      <c r="C933" s="18"/>
      <c r="D933" s="16"/>
      <c r="E933" s="17" t="str">
        <f aca="false">IF(C933="","","Q"&amp;ROUNDUP(MONTH(C933)/3,0))</f>
        <v/>
      </c>
      <c r="F933" s="16"/>
      <c r="G933" s="16"/>
      <c r="H933" s="17" t="str">
        <f aca="false">IF(A933="","",IF(OR(B933="",C933=""),"Item ID and date needed",IF(COUNTIF(Sample_Log!$A$5:$A$204,A933)=0,"SMP-ID not in log",IF(COUNTIFS($A$5:$A$1004,A933,$B$5:$B$1004,B933)&gt;1,"Duplicate item in sample","OK"))))</f>
        <v/>
      </c>
    </row>
    <row r="934" customFormat="false" ht="15" hidden="false" customHeight="false" outlineLevel="0" collapsed="false">
      <c r="A934" s="16"/>
      <c r="B934" s="16"/>
      <c r="C934" s="18"/>
      <c r="D934" s="16"/>
      <c r="E934" s="17" t="str">
        <f aca="false">IF(C934="","","Q"&amp;ROUNDUP(MONTH(C934)/3,0))</f>
        <v/>
      </c>
      <c r="F934" s="16"/>
      <c r="G934" s="16"/>
      <c r="H934" s="17" t="str">
        <f aca="false">IF(A934="","",IF(OR(B934="",C934=""),"Item ID and date needed",IF(COUNTIF(Sample_Log!$A$5:$A$204,A934)=0,"SMP-ID not in log",IF(COUNTIFS($A$5:$A$1004,A934,$B$5:$B$1004,B934)&gt;1,"Duplicate item in sample","OK"))))</f>
        <v/>
      </c>
    </row>
    <row r="935" customFormat="false" ht="15" hidden="false" customHeight="false" outlineLevel="0" collapsed="false">
      <c r="A935" s="16"/>
      <c r="B935" s="16"/>
      <c r="C935" s="18"/>
      <c r="D935" s="16"/>
      <c r="E935" s="17" t="str">
        <f aca="false">IF(C935="","","Q"&amp;ROUNDUP(MONTH(C935)/3,0))</f>
        <v/>
      </c>
      <c r="F935" s="16"/>
      <c r="G935" s="16"/>
      <c r="H935" s="17" t="str">
        <f aca="false">IF(A935="","",IF(OR(B935="",C935=""),"Item ID and date needed",IF(COUNTIF(Sample_Log!$A$5:$A$204,A935)=0,"SMP-ID not in log",IF(COUNTIFS($A$5:$A$1004,A935,$B$5:$B$1004,B935)&gt;1,"Duplicate item in sample","OK"))))</f>
        <v/>
      </c>
    </row>
    <row r="936" customFormat="false" ht="15" hidden="false" customHeight="false" outlineLevel="0" collapsed="false">
      <c r="A936" s="16"/>
      <c r="B936" s="16"/>
      <c r="C936" s="18"/>
      <c r="D936" s="16"/>
      <c r="E936" s="17" t="str">
        <f aca="false">IF(C936="","","Q"&amp;ROUNDUP(MONTH(C936)/3,0))</f>
        <v/>
      </c>
      <c r="F936" s="16"/>
      <c r="G936" s="16"/>
      <c r="H936" s="17" t="str">
        <f aca="false">IF(A936="","",IF(OR(B936="",C936=""),"Item ID and date needed",IF(COUNTIF(Sample_Log!$A$5:$A$204,A936)=0,"SMP-ID not in log",IF(COUNTIFS($A$5:$A$1004,A936,$B$5:$B$1004,B936)&gt;1,"Duplicate item in sample","OK"))))</f>
        <v/>
      </c>
    </row>
    <row r="937" customFormat="false" ht="15" hidden="false" customHeight="false" outlineLevel="0" collapsed="false">
      <c r="A937" s="16"/>
      <c r="B937" s="16"/>
      <c r="C937" s="18"/>
      <c r="D937" s="16"/>
      <c r="E937" s="17" t="str">
        <f aca="false">IF(C937="","","Q"&amp;ROUNDUP(MONTH(C937)/3,0))</f>
        <v/>
      </c>
      <c r="F937" s="16"/>
      <c r="G937" s="16"/>
      <c r="H937" s="17" t="str">
        <f aca="false">IF(A937="","",IF(OR(B937="",C937=""),"Item ID and date needed",IF(COUNTIF(Sample_Log!$A$5:$A$204,A937)=0,"SMP-ID not in log",IF(COUNTIFS($A$5:$A$1004,A937,$B$5:$B$1004,B937)&gt;1,"Duplicate item in sample","OK"))))</f>
        <v/>
      </c>
    </row>
    <row r="938" customFormat="false" ht="15" hidden="false" customHeight="false" outlineLevel="0" collapsed="false">
      <c r="A938" s="16"/>
      <c r="B938" s="16"/>
      <c r="C938" s="18"/>
      <c r="D938" s="16"/>
      <c r="E938" s="17" t="str">
        <f aca="false">IF(C938="","","Q"&amp;ROUNDUP(MONTH(C938)/3,0))</f>
        <v/>
      </c>
      <c r="F938" s="16"/>
      <c r="G938" s="16"/>
      <c r="H938" s="17" t="str">
        <f aca="false">IF(A938="","",IF(OR(B938="",C938=""),"Item ID and date needed",IF(COUNTIF(Sample_Log!$A$5:$A$204,A938)=0,"SMP-ID not in log",IF(COUNTIFS($A$5:$A$1004,A938,$B$5:$B$1004,B938)&gt;1,"Duplicate item in sample","OK"))))</f>
        <v/>
      </c>
    </row>
    <row r="939" customFormat="false" ht="15" hidden="false" customHeight="false" outlineLevel="0" collapsed="false">
      <c r="A939" s="16"/>
      <c r="B939" s="16"/>
      <c r="C939" s="18"/>
      <c r="D939" s="16"/>
      <c r="E939" s="17" t="str">
        <f aca="false">IF(C939="","","Q"&amp;ROUNDUP(MONTH(C939)/3,0))</f>
        <v/>
      </c>
      <c r="F939" s="16"/>
      <c r="G939" s="16"/>
      <c r="H939" s="17" t="str">
        <f aca="false">IF(A939="","",IF(OR(B939="",C939=""),"Item ID and date needed",IF(COUNTIF(Sample_Log!$A$5:$A$204,A939)=0,"SMP-ID not in log",IF(COUNTIFS($A$5:$A$1004,A939,$B$5:$B$1004,B939)&gt;1,"Duplicate item in sample","OK"))))</f>
        <v/>
      </c>
    </row>
    <row r="940" customFormat="false" ht="15" hidden="false" customHeight="false" outlineLevel="0" collapsed="false">
      <c r="A940" s="16"/>
      <c r="B940" s="16"/>
      <c r="C940" s="18"/>
      <c r="D940" s="16"/>
      <c r="E940" s="17" t="str">
        <f aca="false">IF(C940="","","Q"&amp;ROUNDUP(MONTH(C940)/3,0))</f>
        <v/>
      </c>
      <c r="F940" s="16"/>
      <c r="G940" s="16"/>
      <c r="H940" s="17" t="str">
        <f aca="false">IF(A940="","",IF(OR(B940="",C940=""),"Item ID and date needed",IF(COUNTIF(Sample_Log!$A$5:$A$204,A940)=0,"SMP-ID not in log",IF(COUNTIFS($A$5:$A$1004,A940,$B$5:$B$1004,B940)&gt;1,"Duplicate item in sample","OK"))))</f>
        <v/>
      </c>
    </row>
    <row r="941" customFormat="false" ht="15" hidden="false" customHeight="false" outlineLevel="0" collapsed="false">
      <c r="A941" s="16"/>
      <c r="B941" s="16"/>
      <c r="C941" s="18"/>
      <c r="D941" s="16"/>
      <c r="E941" s="17" t="str">
        <f aca="false">IF(C941="","","Q"&amp;ROUNDUP(MONTH(C941)/3,0))</f>
        <v/>
      </c>
      <c r="F941" s="16"/>
      <c r="G941" s="16"/>
      <c r="H941" s="17" t="str">
        <f aca="false">IF(A941="","",IF(OR(B941="",C941=""),"Item ID and date needed",IF(COUNTIF(Sample_Log!$A$5:$A$204,A941)=0,"SMP-ID not in log",IF(COUNTIFS($A$5:$A$1004,A941,$B$5:$B$1004,B941)&gt;1,"Duplicate item in sample","OK"))))</f>
        <v/>
      </c>
    </row>
    <row r="942" customFormat="false" ht="15" hidden="false" customHeight="false" outlineLevel="0" collapsed="false">
      <c r="A942" s="16"/>
      <c r="B942" s="16"/>
      <c r="C942" s="18"/>
      <c r="D942" s="16"/>
      <c r="E942" s="17" t="str">
        <f aca="false">IF(C942="","","Q"&amp;ROUNDUP(MONTH(C942)/3,0))</f>
        <v/>
      </c>
      <c r="F942" s="16"/>
      <c r="G942" s="16"/>
      <c r="H942" s="17" t="str">
        <f aca="false">IF(A942="","",IF(OR(B942="",C942=""),"Item ID and date needed",IF(COUNTIF(Sample_Log!$A$5:$A$204,A942)=0,"SMP-ID not in log",IF(COUNTIFS($A$5:$A$1004,A942,$B$5:$B$1004,B942)&gt;1,"Duplicate item in sample","OK"))))</f>
        <v/>
      </c>
    </row>
    <row r="943" customFormat="false" ht="15" hidden="false" customHeight="false" outlineLevel="0" collapsed="false">
      <c r="A943" s="16"/>
      <c r="B943" s="16"/>
      <c r="C943" s="18"/>
      <c r="D943" s="16"/>
      <c r="E943" s="17" t="str">
        <f aca="false">IF(C943="","","Q"&amp;ROUNDUP(MONTH(C943)/3,0))</f>
        <v/>
      </c>
      <c r="F943" s="16"/>
      <c r="G943" s="16"/>
      <c r="H943" s="17" t="str">
        <f aca="false">IF(A943="","",IF(OR(B943="",C943=""),"Item ID and date needed",IF(COUNTIF(Sample_Log!$A$5:$A$204,A943)=0,"SMP-ID not in log",IF(COUNTIFS($A$5:$A$1004,A943,$B$5:$B$1004,B943)&gt;1,"Duplicate item in sample","OK"))))</f>
        <v/>
      </c>
    </row>
    <row r="944" customFormat="false" ht="15" hidden="false" customHeight="false" outlineLevel="0" collapsed="false">
      <c r="A944" s="16"/>
      <c r="B944" s="16"/>
      <c r="C944" s="18"/>
      <c r="D944" s="16"/>
      <c r="E944" s="17" t="str">
        <f aca="false">IF(C944="","","Q"&amp;ROUNDUP(MONTH(C944)/3,0))</f>
        <v/>
      </c>
      <c r="F944" s="16"/>
      <c r="G944" s="16"/>
      <c r="H944" s="17" t="str">
        <f aca="false">IF(A944="","",IF(OR(B944="",C944=""),"Item ID and date needed",IF(COUNTIF(Sample_Log!$A$5:$A$204,A944)=0,"SMP-ID not in log",IF(COUNTIFS($A$5:$A$1004,A944,$B$5:$B$1004,B944)&gt;1,"Duplicate item in sample","OK"))))</f>
        <v/>
      </c>
    </row>
    <row r="945" customFormat="false" ht="15" hidden="false" customHeight="false" outlineLevel="0" collapsed="false">
      <c r="A945" s="16"/>
      <c r="B945" s="16"/>
      <c r="C945" s="18"/>
      <c r="D945" s="16"/>
      <c r="E945" s="17" t="str">
        <f aca="false">IF(C945="","","Q"&amp;ROUNDUP(MONTH(C945)/3,0))</f>
        <v/>
      </c>
      <c r="F945" s="16"/>
      <c r="G945" s="16"/>
      <c r="H945" s="17" t="str">
        <f aca="false">IF(A945="","",IF(OR(B945="",C945=""),"Item ID and date needed",IF(COUNTIF(Sample_Log!$A$5:$A$204,A945)=0,"SMP-ID not in log",IF(COUNTIFS($A$5:$A$1004,A945,$B$5:$B$1004,B945)&gt;1,"Duplicate item in sample","OK"))))</f>
        <v/>
      </c>
    </row>
    <row r="946" customFormat="false" ht="15" hidden="false" customHeight="false" outlineLevel="0" collapsed="false">
      <c r="A946" s="16"/>
      <c r="B946" s="16"/>
      <c r="C946" s="18"/>
      <c r="D946" s="16"/>
      <c r="E946" s="17" t="str">
        <f aca="false">IF(C946="","","Q"&amp;ROUNDUP(MONTH(C946)/3,0))</f>
        <v/>
      </c>
      <c r="F946" s="16"/>
      <c r="G946" s="16"/>
      <c r="H946" s="17" t="str">
        <f aca="false">IF(A946="","",IF(OR(B946="",C946=""),"Item ID and date needed",IF(COUNTIF(Sample_Log!$A$5:$A$204,A946)=0,"SMP-ID not in log",IF(COUNTIFS($A$5:$A$1004,A946,$B$5:$B$1004,B946)&gt;1,"Duplicate item in sample","OK"))))</f>
        <v/>
      </c>
    </row>
    <row r="947" customFormat="false" ht="15" hidden="false" customHeight="false" outlineLevel="0" collapsed="false">
      <c r="A947" s="16"/>
      <c r="B947" s="16"/>
      <c r="C947" s="18"/>
      <c r="D947" s="16"/>
      <c r="E947" s="17" t="str">
        <f aca="false">IF(C947="","","Q"&amp;ROUNDUP(MONTH(C947)/3,0))</f>
        <v/>
      </c>
      <c r="F947" s="16"/>
      <c r="G947" s="16"/>
      <c r="H947" s="17" t="str">
        <f aca="false">IF(A947="","",IF(OR(B947="",C947=""),"Item ID and date needed",IF(COUNTIF(Sample_Log!$A$5:$A$204,A947)=0,"SMP-ID not in log",IF(COUNTIFS($A$5:$A$1004,A947,$B$5:$B$1004,B947)&gt;1,"Duplicate item in sample","OK"))))</f>
        <v/>
      </c>
    </row>
    <row r="948" customFormat="false" ht="15" hidden="false" customHeight="false" outlineLevel="0" collapsed="false">
      <c r="A948" s="16"/>
      <c r="B948" s="16"/>
      <c r="C948" s="18"/>
      <c r="D948" s="16"/>
      <c r="E948" s="17" t="str">
        <f aca="false">IF(C948="","","Q"&amp;ROUNDUP(MONTH(C948)/3,0))</f>
        <v/>
      </c>
      <c r="F948" s="16"/>
      <c r="G948" s="16"/>
      <c r="H948" s="17" t="str">
        <f aca="false">IF(A948="","",IF(OR(B948="",C948=""),"Item ID and date needed",IF(COUNTIF(Sample_Log!$A$5:$A$204,A948)=0,"SMP-ID not in log",IF(COUNTIFS($A$5:$A$1004,A948,$B$5:$B$1004,B948)&gt;1,"Duplicate item in sample","OK"))))</f>
        <v/>
      </c>
    </row>
    <row r="949" customFormat="false" ht="15" hidden="false" customHeight="false" outlineLevel="0" collapsed="false">
      <c r="A949" s="16"/>
      <c r="B949" s="16"/>
      <c r="C949" s="18"/>
      <c r="D949" s="16"/>
      <c r="E949" s="17" t="str">
        <f aca="false">IF(C949="","","Q"&amp;ROUNDUP(MONTH(C949)/3,0))</f>
        <v/>
      </c>
      <c r="F949" s="16"/>
      <c r="G949" s="16"/>
      <c r="H949" s="17" t="str">
        <f aca="false">IF(A949="","",IF(OR(B949="",C949=""),"Item ID and date needed",IF(COUNTIF(Sample_Log!$A$5:$A$204,A949)=0,"SMP-ID not in log",IF(COUNTIFS($A$5:$A$1004,A949,$B$5:$B$1004,B949)&gt;1,"Duplicate item in sample","OK"))))</f>
        <v/>
      </c>
    </row>
    <row r="950" customFormat="false" ht="15" hidden="false" customHeight="false" outlineLevel="0" collapsed="false">
      <c r="A950" s="16"/>
      <c r="B950" s="16"/>
      <c r="C950" s="18"/>
      <c r="D950" s="16"/>
      <c r="E950" s="17" t="str">
        <f aca="false">IF(C950="","","Q"&amp;ROUNDUP(MONTH(C950)/3,0))</f>
        <v/>
      </c>
      <c r="F950" s="16"/>
      <c r="G950" s="16"/>
      <c r="H950" s="17" t="str">
        <f aca="false">IF(A950="","",IF(OR(B950="",C950=""),"Item ID and date needed",IF(COUNTIF(Sample_Log!$A$5:$A$204,A950)=0,"SMP-ID not in log",IF(COUNTIFS($A$5:$A$1004,A950,$B$5:$B$1004,B950)&gt;1,"Duplicate item in sample","OK"))))</f>
        <v/>
      </c>
    </row>
    <row r="951" customFormat="false" ht="15" hidden="false" customHeight="false" outlineLevel="0" collapsed="false">
      <c r="A951" s="16"/>
      <c r="B951" s="16"/>
      <c r="C951" s="18"/>
      <c r="D951" s="16"/>
      <c r="E951" s="17" t="str">
        <f aca="false">IF(C951="","","Q"&amp;ROUNDUP(MONTH(C951)/3,0))</f>
        <v/>
      </c>
      <c r="F951" s="16"/>
      <c r="G951" s="16"/>
      <c r="H951" s="17" t="str">
        <f aca="false">IF(A951="","",IF(OR(B951="",C951=""),"Item ID and date needed",IF(COUNTIF(Sample_Log!$A$5:$A$204,A951)=0,"SMP-ID not in log",IF(COUNTIFS($A$5:$A$1004,A951,$B$5:$B$1004,B951)&gt;1,"Duplicate item in sample","OK"))))</f>
        <v/>
      </c>
    </row>
    <row r="952" customFormat="false" ht="15" hidden="false" customHeight="false" outlineLevel="0" collapsed="false">
      <c r="A952" s="16"/>
      <c r="B952" s="16"/>
      <c r="C952" s="18"/>
      <c r="D952" s="16"/>
      <c r="E952" s="17" t="str">
        <f aca="false">IF(C952="","","Q"&amp;ROUNDUP(MONTH(C952)/3,0))</f>
        <v/>
      </c>
      <c r="F952" s="16"/>
      <c r="G952" s="16"/>
      <c r="H952" s="17" t="str">
        <f aca="false">IF(A952="","",IF(OR(B952="",C952=""),"Item ID and date needed",IF(COUNTIF(Sample_Log!$A$5:$A$204,A952)=0,"SMP-ID not in log",IF(COUNTIFS($A$5:$A$1004,A952,$B$5:$B$1004,B952)&gt;1,"Duplicate item in sample","OK"))))</f>
        <v/>
      </c>
    </row>
    <row r="953" customFormat="false" ht="15" hidden="false" customHeight="false" outlineLevel="0" collapsed="false">
      <c r="A953" s="16"/>
      <c r="B953" s="16"/>
      <c r="C953" s="18"/>
      <c r="D953" s="16"/>
      <c r="E953" s="17" t="str">
        <f aca="false">IF(C953="","","Q"&amp;ROUNDUP(MONTH(C953)/3,0))</f>
        <v/>
      </c>
      <c r="F953" s="16"/>
      <c r="G953" s="16"/>
      <c r="H953" s="17" t="str">
        <f aca="false">IF(A953="","",IF(OR(B953="",C953=""),"Item ID and date needed",IF(COUNTIF(Sample_Log!$A$5:$A$204,A953)=0,"SMP-ID not in log",IF(COUNTIFS($A$5:$A$1004,A953,$B$5:$B$1004,B953)&gt;1,"Duplicate item in sample","OK"))))</f>
        <v/>
      </c>
    </row>
    <row r="954" customFormat="false" ht="15" hidden="false" customHeight="false" outlineLevel="0" collapsed="false">
      <c r="A954" s="16"/>
      <c r="B954" s="16"/>
      <c r="C954" s="18"/>
      <c r="D954" s="16"/>
      <c r="E954" s="17" t="str">
        <f aca="false">IF(C954="","","Q"&amp;ROUNDUP(MONTH(C954)/3,0))</f>
        <v/>
      </c>
      <c r="F954" s="16"/>
      <c r="G954" s="16"/>
      <c r="H954" s="17" t="str">
        <f aca="false">IF(A954="","",IF(OR(B954="",C954=""),"Item ID and date needed",IF(COUNTIF(Sample_Log!$A$5:$A$204,A954)=0,"SMP-ID not in log",IF(COUNTIFS($A$5:$A$1004,A954,$B$5:$B$1004,B954)&gt;1,"Duplicate item in sample","OK"))))</f>
        <v/>
      </c>
    </row>
    <row r="955" customFormat="false" ht="15" hidden="false" customHeight="false" outlineLevel="0" collapsed="false">
      <c r="A955" s="16"/>
      <c r="B955" s="16"/>
      <c r="C955" s="18"/>
      <c r="D955" s="16"/>
      <c r="E955" s="17" t="str">
        <f aca="false">IF(C955="","","Q"&amp;ROUNDUP(MONTH(C955)/3,0))</f>
        <v/>
      </c>
      <c r="F955" s="16"/>
      <c r="G955" s="16"/>
      <c r="H955" s="17" t="str">
        <f aca="false">IF(A955="","",IF(OR(B955="",C955=""),"Item ID and date needed",IF(COUNTIF(Sample_Log!$A$5:$A$204,A955)=0,"SMP-ID not in log",IF(COUNTIFS($A$5:$A$1004,A955,$B$5:$B$1004,B955)&gt;1,"Duplicate item in sample","OK"))))</f>
        <v/>
      </c>
    </row>
    <row r="956" customFormat="false" ht="15" hidden="false" customHeight="false" outlineLevel="0" collapsed="false">
      <c r="A956" s="16"/>
      <c r="B956" s="16"/>
      <c r="C956" s="18"/>
      <c r="D956" s="16"/>
      <c r="E956" s="17" t="str">
        <f aca="false">IF(C956="","","Q"&amp;ROUNDUP(MONTH(C956)/3,0))</f>
        <v/>
      </c>
      <c r="F956" s="16"/>
      <c r="G956" s="16"/>
      <c r="H956" s="17" t="str">
        <f aca="false">IF(A956="","",IF(OR(B956="",C956=""),"Item ID and date needed",IF(COUNTIF(Sample_Log!$A$5:$A$204,A956)=0,"SMP-ID not in log",IF(COUNTIFS($A$5:$A$1004,A956,$B$5:$B$1004,B956)&gt;1,"Duplicate item in sample","OK"))))</f>
        <v/>
      </c>
    </row>
    <row r="957" customFormat="false" ht="15" hidden="false" customHeight="false" outlineLevel="0" collapsed="false">
      <c r="A957" s="16"/>
      <c r="B957" s="16"/>
      <c r="C957" s="18"/>
      <c r="D957" s="16"/>
      <c r="E957" s="17" t="str">
        <f aca="false">IF(C957="","","Q"&amp;ROUNDUP(MONTH(C957)/3,0))</f>
        <v/>
      </c>
      <c r="F957" s="16"/>
      <c r="G957" s="16"/>
      <c r="H957" s="17" t="str">
        <f aca="false">IF(A957="","",IF(OR(B957="",C957=""),"Item ID and date needed",IF(COUNTIF(Sample_Log!$A$5:$A$204,A957)=0,"SMP-ID not in log",IF(COUNTIFS($A$5:$A$1004,A957,$B$5:$B$1004,B957)&gt;1,"Duplicate item in sample","OK"))))</f>
        <v/>
      </c>
    </row>
    <row r="958" customFormat="false" ht="15" hidden="false" customHeight="false" outlineLevel="0" collapsed="false">
      <c r="A958" s="16"/>
      <c r="B958" s="16"/>
      <c r="C958" s="18"/>
      <c r="D958" s="16"/>
      <c r="E958" s="17" t="str">
        <f aca="false">IF(C958="","","Q"&amp;ROUNDUP(MONTH(C958)/3,0))</f>
        <v/>
      </c>
      <c r="F958" s="16"/>
      <c r="G958" s="16"/>
      <c r="H958" s="17" t="str">
        <f aca="false">IF(A958="","",IF(OR(B958="",C958=""),"Item ID and date needed",IF(COUNTIF(Sample_Log!$A$5:$A$204,A958)=0,"SMP-ID not in log",IF(COUNTIFS($A$5:$A$1004,A958,$B$5:$B$1004,B958)&gt;1,"Duplicate item in sample","OK"))))</f>
        <v/>
      </c>
    </row>
    <row r="959" customFormat="false" ht="15" hidden="false" customHeight="false" outlineLevel="0" collapsed="false">
      <c r="A959" s="16"/>
      <c r="B959" s="16"/>
      <c r="C959" s="18"/>
      <c r="D959" s="16"/>
      <c r="E959" s="17" t="str">
        <f aca="false">IF(C959="","","Q"&amp;ROUNDUP(MONTH(C959)/3,0))</f>
        <v/>
      </c>
      <c r="F959" s="16"/>
      <c r="G959" s="16"/>
      <c r="H959" s="17" t="str">
        <f aca="false">IF(A959="","",IF(OR(B959="",C959=""),"Item ID and date needed",IF(COUNTIF(Sample_Log!$A$5:$A$204,A959)=0,"SMP-ID not in log",IF(COUNTIFS($A$5:$A$1004,A959,$B$5:$B$1004,B959)&gt;1,"Duplicate item in sample","OK"))))</f>
        <v/>
      </c>
    </row>
    <row r="960" customFormat="false" ht="15" hidden="false" customHeight="false" outlineLevel="0" collapsed="false">
      <c r="A960" s="16"/>
      <c r="B960" s="16"/>
      <c r="C960" s="18"/>
      <c r="D960" s="16"/>
      <c r="E960" s="17" t="str">
        <f aca="false">IF(C960="","","Q"&amp;ROUNDUP(MONTH(C960)/3,0))</f>
        <v/>
      </c>
      <c r="F960" s="16"/>
      <c r="G960" s="16"/>
      <c r="H960" s="17" t="str">
        <f aca="false">IF(A960="","",IF(OR(B960="",C960=""),"Item ID and date needed",IF(COUNTIF(Sample_Log!$A$5:$A$204,A960)=0,"SMP-ID not in log",IF(COUNTIFS($A$5:$A$1004,A960,$B$5:$B$1004,B960)&gt;1,"Duplicate item in sample","OK"))))</f>
        <v/>
      </c>
    </row>
    <row r="961" customFormat="false" ht="15" hidden="false" customHeight="false" outlineLevel="0" collapsed="false">
      <c r="A961" s="16"/>
      <c r="B961" s="16"/>
      <c r="C961" s="18"/>
      <c r="D961" s="16"/>
      <c r="E961" s="17" t="str">
        <f aca="false">IF(C961="","","Q"&amp;ROUNDUP(MONTH(C961)/3,0))</f>
        <v/>
      </c>
      <c r="F961" s="16"/>
      <c r="G961" s="16"/>
      <c r="H961" s="17" t="str">
        <f aca="false">IF(A961="","",IF(OR(B961="",C961=""),"Item ID and date needed",IF(COUNTIF(Sample_Log!$A$5:$A$204,A961)=0,"SMP-ID not in log",IF(COUNTIFS($A$5:$A$1004,A961,$B$5:$B$1004,B961)&gt;1,"Duplicate item in sample","OK"))))</f>
        <v/>
      </c>
    </row>
    <row r="962" customFormat="false" ht="15" hidden="false" customHeight="false" outlineLevel="0" collapsed="false">
      <c r="A962" s="16"/>
      <c r="B962" s="16"/>
      <c r="C962" s="18"/>
      <c r="D962" s="16"/>
      <c r="E962" s="17" t="str">
        <f aca="false">IF(C962="","","Q"&amp;ROUNDUP(MONTH(C962)/3,0))</f>
        <v/>
      </c>
      <c r="F962" s="16"/>
      <c r="G962" s="16"/>
      <c r="H962" s="17" t="str">
        <f aca="false">IF(A962="","",IF(OR(B962="",C962=""),"Item ID and date needed",IF(COUNTIF(Sample_Log!$A$5:$A$204,A962)=0,"SMP-ID not in log",IF(COUNTIFS($A$5:$A$1004,A962,$B$5:$B$1004,B962)&gt;1,"Duplicate item in sample","OK"))))</f>
        <v/>
      </c>
    </row>
    <row r="963" customFormat="false" ht="15" hidden="false" customHeight="false" outlineLevel="0" collapsed="false">
      <c r="A963" s="16"/>
      <c r="B963" s="16"/>
      <c r="C963" s="18"/>
      <c r="D963" s="16"/>
      <c r="E963" s="17" t="str">
        <f aca="false">IF(C963="","","Q"&amp;ROUNDUP(MONTH(C963)/3,0))</f>
        <v/>
      </c>
      <c r="F963" s="16"/>
      <c r="G963" s="16"/>
      <c r="H963" s="17" t="str">
        <f aca="false">IF(A963="","",IF(OR(B963="",C963=""),"Item ID and date needed",IF(COUNTIF(Sample_Log!$A$5:$A$204,A963)=0,"SMP-ID not in log",IF(COUNTIFS($A$5:$A$1004,A963,$B$5:$B$1004,B963)&gt;1,"Duplicate item in sample","OK"))))</f>
        <v/>
      </c>
    </row>
    <row r="964" customFormat="false" ht="15" hidden="false" customHeight="false" outlineLevel="0" collapsed="false">
      <c r="A964" s="16"/>
      <c r="B964" s="16"/>
      <c r="C964" s="18"/>
      <c r="D964" s="16"/>
      <c r="E964" s="17" t="str">
        <f aca="false">IF(C964="","","Q"&amp;ROUNDUP(MONTH(C964)/3,0))</f>
        <v/>
      </c>
      <c r="F964" s="16"/>
      <c r="G964" s="16"/>
      <c r="H964" s="17" t="str">
        <f aca="false">IF(A964="","",IF(OR(B964="",C964=""),"Item ID and date needed",IF(COUNTIF(Sample_Log!$A$5:$A$204,A964)=0,"SMP-ID not in log",IF(COUNTIFS($A$5:$A$1004,A964,$B$5:$B$1004,B964)&gt;1,"Duplicate item in sample","OK"))))</f>
        <v/>
      </c>
    </row>
    <row r="965" customFormat="false" ht="15" hidden="false" customHeight="false" outlineLevel="0" collapsed="false">
      <c r="A965" s="16"/>
      <c r="B965" s="16"/>
      <c r="C965" s="18"/>
      <c r="D965" s="16"/>
      <c r="E965" s="17" t="str">
        <f aca="false">IF(C965="","","Q"&amp;ROUNDUP(MONTH(C965)/3,0))</f>
        <v/>
      </c>
      <c r="F965" s="16"/>
      <c r="G965" s="16"/>
      <c r="H965" s="17" t="str">
        <f aca="false">IF(A965="","",IF(OR(B965="",C965=""),"Item ID and date needed",IF(COUNTIF(Sample_Log!$A$5:$A$204,A965)=0,"SMP-ID not in log",IF(COUNTIFS($A$5:$A$1004,A965,$B$5:$B$1004,B965)&gt;1,"Duplicate item in sample","OK"))))</f>
        <v/>
      </c>
    </row>
    <row r="966" customFormat="false" ht="15" hidden="false" customHeight="false" outlineLevel="0" collapsed="false">
      <c r="A966" s="16"/>
      <c r="B966" s="16"/>
      <c r="C966" s="18"/>
      <c r="D966" s="16"/>
      <c r="E966" s="17" t="str">
        <f aca="false">IF(C966="","","Q"&amp;ROUNDUP(MONTH(C966)/3,0))</f>
        <v/>
      </c>
      <c r="F966" s="16"/>
      <c r="G966" s="16"/>
      <c r="H966" s="17" t="str">
        <f aca="false">IF(A966="","",IF(OR(B966="",C966=""),"Item ID and date needed",IF(COUNTIF(Sample_Log!$A$5:$A$204,A966)=0,"SMP-ID not in log",IF(COUNTIFS($A$5:$A$1004,A966,$B$5:$B$1004,B966)&gt;1,"Duplicate item in sample","OK"))))</f>
        <v/>
      </c>
    </row>
    <row r="967" customFormat="false" ht="15" hidden="false" customHeight="false" outlineLevel="0" collapsed="false">
      <c r="A967" s="16"/>
      <c r="B967" s="16"/>
      <c r="C967" s="18"/>
      <c r="D967" s="16"/>
      <c r="E967" s="17" t="str">
        <f aca="false">IF(C967="","","Q"&amp;ROUNDUP(MONTH(C967)/3,0))</f>
        <v/>
      </c>
      <c r="F967" s="16"/>
      <c r="G967" s="16"/>
      <c r="H967" s="17" t="str">
        <f aca="false">IF(A967="","",IF(OR(B967="",C967=""),"Item ID and date needed",IF(COUNTIF(Sample_Log!$A$5:$A$204,A967)=0,"SMP-ID not in log",IF(COUNTIFS($A$5:$A$1004,A967,$B$5:$B$1004,B967)&gt;1,"Duplicate item in sample","OK"))))</f>
        <v/>
      </c>
    </row>
    <row r="968" customFormat="false" ht="15" hidden="false" customHeight="false" outlineLevel="0" collapsed="false">
      <c r="A968" s="16"/>
      <c r="B968" s="16"/>
      <c r="C968" s="18"/>
      <c r="D968" s="16"/>
      <c r="E968" s="17" t="str">
        <f aca="false">IF(C968="","","Q"&amp;ROUNDUP(MONTH(C968)/3,0))</f>
        <v/>
      </c>
      <c r="F968" s="16"/>
      <c r="G968" s="16"/>
      <c r="H968" s="17" t="str">
        <f aca="false">IF(A968="","",IF(OR(B968="",C968=""),"Item ID and date needed",IF(COUNTIF(Sample_Log!$A$5:$A$204,A968)=0,"SMP-ID not in log",IF(COUNTIFS($A$5:$A$1004,A968,$B$5:$B$1004,B968)&gt;1,"Duplicate item in sample","OK"))))</f>
        <v/>
      </c>
    </row>
    <row r="969" customFormat="false" ht="15" hidden="false" customHeight="false" outlineLevel="0" collapsed="false">
      <c r="A969" s="16"/>
      <c r="B969" s="16"/>
      <c r="C969" s="18"/>
      <c r="D969" s="16"/>
      <c r="E969" s="17" t="str">
        <f aca="false">IF(C969="","","Q"&amp;ROUNDUP(MONTH(C969)/3,0))</f>
        <v/>
      </c>
      <c r="F969" s="16"/>
      <c r="G969" s="16"/>
      <c r="H969" s="17" t="str">
        <f aca="false">IF(A969="","",IF(OR(B969="",C969=""),"Item ID and date needed",IF(COUNTIF(Sample_Log!$A$5:$A$204,A969)=0,"SMP-ID not in log",IF(COUNTIFS($A$5:$A$1004,A969,$B$5:$B$1004,B969)&gt;1,"Duplicate item in sample","OK"))))</f>
        <v/>
      </c>
    </row>
    <row r="970" customFormat="false" ht="15" hidden="false" customHeight="false" outlineLevel="0" collapsed="false">
      <c r="A970" s="16"/>
      <c r="B970" s="16"/>
      <c r="C970" s="18"/>
      <c r="D970" s="16"/>
      <c r="E970" s="17" t="str">
        <f aca="false">IF(C970="","","Q"&amp;ROUNDUP(MONTH(C970)/3,0))</f>
        <v/>
      </c>
      <c r="F970" s="16"/>
      <c r="G970" s="16"/>
      <c r="H970" s="17" t="str">
        <f aca="false">IF(A970="","",IF(OR(B970="",C970=""),"Item ID and date needed",IF(COUNTIF(Sample_Log!$A$5:$A$204,A970)=0,"SMP-ID not in log",IF(COUNTIFS($A$5:$A$1004,A970,$B$5:$B$1004,B970)&gt;1,"Duplicate item in sample","OK"))))</f>
        <v/>
      </c>
    </row>
    <row r="971" customFormat="false" ht="15" hidden="false" customHeight="false" outlineLevel="0" collapsed="false">
      <c r="A971" s="16"/>
      <c r="B971" s="16"/>
      <c r="C971" s="18"/>
      <c r="D971" s="16"/>
      <c r="E971" s="17" t="str">
        <f aca="false">IF(C971="","","Q"&amp;ROUNDUP(MONTH(C971)/3,0))</f>
        <v/>
      </c>
      <c r="F971" s="16"/>
      <c r="G971" s="16"/>
      <c r="H971" s="17" t="str">
        <f aca="false">IF(A971="","",IF(OR(B971="",C971=""),"Item ID and date needed",IF(COUNTIF(Sample_Log!$A$5:$A$204,A971)=0,"SMP-ID not in log",IF(COUNTIFS($A$5:$A$1004,A971,$B$5:$B$1004,B971)&gt;1,"Duplicate item in sample","OK"))))</f>
        <v/>
      </c>
    </row>
    <row r="972" customFormat="false" ht="15" hidden="false" customHeight="false" outlineLevel="0" collapsed="false">
      <c r="A972" s="16"/>
      <c r="B972" s="16"/>
      <c r="C972" s="18"/>
      <c r="D972" s="16"/>
      <c r="E972" s="17" t="str">
        <f aca="false">IF(C972="","","Q"&amp;ROUNDUP(MONTH(C972)/3,0))</f>
        <v/>
      </c>
      <c r="F972" s="16"/>
      <c r="G972" s="16"/>
      <c r="H972" s="17" t="str">
        <f aca="false">IF(A972="","",IF(OR(B972="",C972=""),"Item ID and date needed",IF(COUNTIF(Sample_Log!$A$5:$A$204,A972)=0,"SMP-ID not in log",IF(COUNTIFS($A$5:$A$1004,A972,$B$5:$B$1004,B972)&gt;1,"Duplicate item in sample","OK"))))</f>
        <v/>
      </c>
    </row>
    <row r="973" customFormat="false" ht="15" hidden="false" customHeight="false" outlineLevel="0" collapsed="false">
      <c r="A973" s="16"/>
      <c r="B973" s="16"/>
      <c r="C973" s="18"/>
      <c r="D973" s="16"/>
      <c r="E973" s="17" t="str">
        <f aca="false">IF(C973="","","Q"&amp;ROUNDUP(MONTH(C973)/3,0))</f>
        <v/>
      </c>
      <c r="F973" s="16"/>
      <c r="G973" s="16"/>
      <c r="H973" s="17" t="str">
        <f aca="false">IF(A973="","",IF(OR(B973="",C973=""),"Item ID and date needed",IF(COUNTIF(Sample_Log!$A$5:$A$204,A973)=0,"SMP-ID not in log",IF(COUNTIFS($A$5:$A$1004,A973,$B$5:$B$1004,B973)&gt;1,"Duplicate item in sample","OK"))))</f>
        <v/>
      </c>
    </row>
    <row r="974" customFormat="false" ht="15" hidden="false" customHeight="false" outlineLevel="0" collapsed="false">
      <c r="A974" s="16"/>
      <c r="B974" s="16"/>
      <c r="C974" s="18"/>
      <c r="D974" s="16"/>
      <c r="E974" s="17" t="str">
        <f aca="false">IF(C974="","","Q"&amp;ROUNDUP(MONTH(C974)/3,0))</f>
        <v/>
      </c>
      <c r="F974" s="16"/>
      <c r="G974" s="16"/>
      <c r="H974" s="17" t="str">
        <f aca="false">IF(A974="","",IF(OR(B974="",C974=""),"Item ID and date needed",IF(COUNTIF(Sample_Log!$A$5:$A$204,A974)=0,"SMP-ID not in log",IF(COUNTIFS($A$5:$A$1004,A974,$B$5:$B$1004,B974)&gt;1,"Duplicate item in sample","OK"))))</f>
        <v/>
      </c>
    </row>
    <row r="975" customFormat="false" ht="15" hidden="false" customHeight="false" outlineLevel="0" collapsed="false">
      <c r="A975" s="16"/>
      <c r="B975" s="16"/>
      <c r="C975" s="18"/>
      <c r="D975" s="16"/>
      <c r="E975" s="17" t="str">
        <f aca="false">IF(C975="","","Q"&amp;ROUNDUP(MONTH(C975)/3,0))</f>
        <v/>
      </c>
      <c r="F975" s="16"/>
      <c r="G975" s="16"/>
      <c r="H975" s="17" t="str">
        <f aca="false">IF(A975="","",IF(OR(B975="",C975=""),"Item ID and date needed",IF(COUNTIF(Sample_Log!$A$5:$A$204,A975)=0,"SMP-ID not in log",IF(COUNTIFS($A$5:$A$1004,A975,$B$5:$B$1004,B975)&gt;1,"Duplicate item in sample","OK"))))</f>
        <v/>
      </c>
    </row>
    <row r="976" customFormat="false" ht="15" hidden="false" customHeight="false" outlineLevel="0" collapsed="false">
      <c r="A976" s="16"/>
      <c r="B976" s="16"/>
      <c r="C976" s="18"/>
      <c r="D976" s="16"/>
      <c r="E976" s="17" t="str">
        <f aca="false">IF(C976="","","Q"&amp;ROUNDUP(MONTH(C976)/3,0))</f>
        <v/>
      </c>
      <c r="F976" s="16"/>
      <c r="G976" s="16"/>
      <c r="H976" s="17" t="str">
        <f aca="false">IF(A976="","",IF(OR(B976="",C976=""),"Item ID and date needed",IF(COUNTIF(Sample_Log!$A$5:$A$204,A976)=0,"SMP-ID not in log",IF(COUNTIFS($A$5:$A$1004,A976,$B$5:$B$1004,B976)&gt;1,"Duplicate item in sample","OK"))))</f>
        <v/>
      </c>
    </row>
    <row r="977" customFormat="false" ht="15" hidden="false" customHeight="false" outlineLevel="0" collapsed="false">
      <c r="A977" s="16"/>
      <c r="B977" s="16"/>
      <c r="C977" s="18"/>
      <c r="D977" s="16"/>
      <c r="E977" s="17" t="str">
        <f aca="false">IF(C977="","","Q"&amp;ROUNDUP(MONTH(C977)/3,0))</f>
        <v/>
      </c>
      <c r="F977" s="16"/>
      <c r="G977" s="16"/>
      <c r="H977" s="17" t="str">
        <f aca="false">IF(A977="","",IF(OR(B977="",C977=""),"Item ID and date needed",IF(COUNTIF(Sample_Log!$A$5:$A$204,A977)=0,"SMP-ID not in log",IF(COUNTIFS($A$5:$A$1004,A977,$B$5:$B$1004,B977)&gt;1,"Duplicate item in sample","OK"))))</f>
        <v/>
      </c>
    </row>
    <row r="978" customFormat="false" ht="15" hidden="false" customHeight="false" outlineLevel="0" collapsed="false">
      <c r="A978" s="16"/>
      <c r="B978" s="16"/>
      <c r="C978" s="18"/>
      <c r="D978" s="16"/>
      <c r="E978" s="17" t="str">
        <f aca="false">IF(C978="","","Q"&amp;ROUNDUP(MONTH(C978)/3,0))</f>
        <v/>
      </c>
      <c r="F978" s="16"/>
      <c r="G978" s="16"/>
      <c r="H978" s="17" t="str">
        <f aca="false">IF(A978="","",IF(OR(B978="",C978=""),"Item ID and date needed",IF(COUNTIF(Sample_Log!$A$5:$A$204,A978)=0,"SMP-ID not in log",IF(COUNTIFS($A$5:$A$1004,A978,$B$5:$B$1004,B978)&gt;1,"Duplicate item in sample","OK"))))</f>
        <v/>
      </c>
    </row>
    <row r="979" customFormat="false" ht="15" hidden="false" customHeight="false" outlineLevel="0" collapsed="false">
      <c r="A979" s="16"/>
      <c r="B979" s="16"/>
      <c r="C979" s="18"/>
      <c r="D979" s="16"/>
      <c r="E979" s="17" t="str">
        <f aca="false">IF(C979="","","Q"&amp;ROUNDUP(MONTH(C979)/3,0))</f>
        <v/>
      </c>
      <c r="F979" s="16"/>
      <c r="G979" s="16"/>
      <c r="H979" s="17" t="str">
        <f aca="false">IF(A979="","",IF(OR(B979="",C979=""),"Item ID and date needed",IF(COUNTIF(Sample_Log!$A$5:$A$204,A979)=0,"SMP-ID not in log",IF(COUNTIFS($A$5:$A$1004,A979,$B$5:$B$1004,B979)&gt;1,"Duplicate item in sample","OK"))))</f>
        <v/>
      </c>
    </row>
    <row r="980" customFormat="false" ht="15" hidden="false" customHeight="false" outlineLevel="0" collapsed="false">
      <c r="A980" s="16"/>
      <c r="B980" s="16"/>
      <c r="C980" s="18"/>
      <c r="D980" s="16"/>
      <c r="E980" s="17" t="str">
        <f aca="false">IF(C980="","","Q"&amp;ROUNDUP(MONTH(C980)/3,0))</f>
        <v/>
      </c>
      <c r="F980" s="16"/>
      <c r="G980" s="16"/>
      <c r="H980" s="17" t="str">
        <f aca="false">IF(A980="","",IF(OR(B980="",C980=""),"Item ID and date needed",IF(COUNTIF(Sample_Log!$A$5:$A$204,A980)=0,"SMP-ID not in log",IF(COUNTIFS($A$5:$A$1004,A980,$B$5:$B$1004,B980)&gt;1,"Duplicate item in sample","OK"))))</f>
        <v/>
      </c>
    </row>
    <row r="981" customFormat="false" ht="15" hidden="false" customHeight="false" outlineLevel="0" collapsed="false">
      <c r="A981" s="16"/>
      <c r="B981" s="16"/>
      <c r="C981" s="18"/>
      <c r="D981" s="16"/>
      <c r="E981" s="17" t="str">
        <f aca="false">IF(C981="","","Q"&amp;ROUNDUP(MONTH(C981)/3,0))</f>
        <v/>
      </c>
      <c r="F981" s="16"/>
      <c r="G981" s="16"/>
      <c r="H981" s="17" t="str">
        <f aca="false">IF(A981="","",IF(OR(B981="",C981=""),"Item ID and date needed",IF(COUNTIF(Sample_Log!$A$5:$A$204,A981)=0,"SMP-ID not in log",IF(COUNTIFS($A$5:$A$1004,A981,$B$5:$B$1004,B981)&gt;1,"Duplicate item in sample","OK"))))</f>
        <v/>
      </c>
    </row>
    <row r="982" customFormat="false" ht="15" hidden="false" customHeight="false" outlineLevel="0" collapsed="false">
      <c r="A982" s="16"/>
      <c r="B982" s="16"/>
      <c r="C982" s="18"/>
      <c r="D982" s="16"/>
      <c r="E982" s="17" t="str">
        <f aca="false">IF(C982="","","Q"&amp;ROUNDUP(MONTH(C982)/3,0))</f>
        <v/>
      </c>
      <c r="F982" s="16"/>
      <c r="G982" s="16"/>
      <c r="H982" s="17" t="str">
        <f aca="false">IF(A982="","",IF(OR(B982="",C982=""),"Item ID and date needed",IF(COUNTIF(Sample_Log!$A$5:$A$204,A982)=0,"SMP-ID not in log",IF(COUNTIFS($A$5:$A$1004,A982,$B$5:$B$1004,B982)&gt;1,"Duplicate item in sample","OK"))))</f>
        <v/>
      </c>
    </row>
    <row r="983" customFormat="false" ht="15" hidden="false" customHeight="false" outlineLevel="0" collapsed="false">
      <c r="A983" s="16"/>
      <c r="B983" s="16"/>
      <c r="C983" s="18"/>
      <c r="D983" s="16"/>
      <c r="E983" s="17" t="str">
        <f aca="false">IF(C983="","","Q"&amp;ROUNDUP(MONTH(C983)/3,0))</f>
        <v/>
      </c>
      <c r="F983" s="16"/>
      <c r="G983" s="16"/>
      <c r="H983" s="17" t="str">
        <f aca="false">IF(A983="","",IF(OR(B983="",C983=""),"Item ID and date needed",IF(COUNTIF(Sample_Log!$A$5:$A$204,A983)=0,"SMP-ID not in log",IF(COUNTIFS($A$5:$A$1004,A983,$B$5:$B$1004,B983)&gt;1,"Duplicate item in sample","OK"))))</f>
        <v/>
      </c>
    </row>
    <row r="984" customFormat="false" ht="15" hidden="false" customHeight="false" outlineLevel="0" collapsed="false">
      <c r="A984" s="16"/>
      <c r="B984" s="16"/>
      <c r="C984" s="18"/>
      <c r="D984" s="16"/>
      <c r="E984" s="17" t="str">
        <f aca="false">IF(C984="","","Q"&amp;ROUNDUP(MONTH(C984)/3,0))</f>
        <v/>
      </c>
      <c r="F984" s="16"/>
      <c r="G984" s="16"/>
      <c r="H984" s="17" t="str">
        <f aca="false">IF(A984="","",IF(OR(B984="",C984=""),"Item ID and date needed",IF(COUNTIF(Sample_Log!$A$5:$A$204,A984)=0,"SMP-ID not in log",IF(COUNTIFS($A$5:$A$1004,A984,$B$5:$B$1004,B984)&gt;1,"Duplicate item in sample","OK"))))</f>
        <v/>
      </c>
    </row>
    <row r="985" customFormat="false" ht="15" hidden="false" customHeight="false" outlineLevel="0" collapsed="false">
      <c r="A985" s="16"/>
      <c r="B985" s="16"/>
      <c r="C985" s="18"/>
      <c r="D985" s="16"/>
      <c r="E985" s="17" t="str">
        <f aca="false">IF(C985="","","Q"&amp;ROUNDUP(MONTH(C985)/3,0))</f>
        <v/>
      </c>
      <c r="F985" s="16"/>
      <c r="G985" s="16"/>
      <c r="H985" s="17" t="str">
        <f aca="false">IF(A985="","",IF(OR(B985="",C985=""),"Item ID and date needed",IF(COUNTIF(Sample_Log!$A$5:$A$204,A985)=0,"SMP-ID not in log",IF(COUNTIFS($A$5:$A$1004,A985,$B$5:$B$1004,B985)&gt;1,"Duplicate item in sample","OK"))))</f>
        <v/>
      </c>
    </row>
    <row r="986" customFormat="false" ht="15" hidden="false" customHeight="false" outlineLevel="0" collapsed="false">
      <c r="A986" s="16"/>
      <c r="B986" s="16"/>
      <c r="C986" s="18"/>
      <c r="D986" s="16"/>
      <c r="E986" s="17" t="str">
        <f aca="false">IF(C986="","","Q"&amp;ROUNDUP(MONTH(C986)/3,0))</f>
        <v/>
      </c>
      <c r="F986" s="16"/>
      <c r="G986" s="16"/>
      <c r="H986" s="17" t="str">
        <f aca="false">IF(A986="","",IF(OR(B986="",C986=""),"Item ID and date needed",IF(COUNTIF(Sample_Log!$A$5:$A$204,A986)=0,"SMP-ID not in log",IF(COUNTIFS($A$5:$A$1004,A986,$B$5:$B$1004,B986)&gt;1,"Duplicate item in sample","OK"))))</f>
        <v/>
      </c>
    </row>
    <row r="987" customFormat="false" ht="15" hidden="false" customHeight="false" outlineLevel="0" collapsed="false">
      <c r="A987" s="16"/>
      <c r="B987" s="16"/>
      <c r="C987" s="18"/>
      <c r="D987" s="16"/>
      <c r="E987" s="17" t="str">
        <f aca="false">IF(C987="","","Q"&amp;ROUNDUP(MONTH(C987)/3,0))</f>
        <v/>
      </c>
      <c r="F987" s="16"/>
      <c r="G987" s="16"/>
      <c r="H987" s="17" t="str">
        <f aca="false">IF(A987="","",IF(OR(B987="",C987=""),"Item ID and date needed",IF(COUNTIF(Sample_Log!$A$5:$A$204,A987)=0,"SMP-ID not in log",IF(COUNTIFS($A$5:$A$1004,A987,$B$5:$B$1004,B987)&gt;1,"Duplicate item in sample","OK"))))</f>
        <v/>
      </c>
    </row>
    <row r="988" customFormat="false" ht="15" hidden="false" customHeight="false" outlineLevel="0" collapsed="false">
      <c r="A988" s="16"/>
      <c r="B988" s="16"/>
      <c r="C988" s="18"/>
      <c r="D988" s="16"/>
      <c r="E988" s="17" t="str">
        <f aca="false">IF(C988="","","Q"&amp;ROUNDUP(MONTH(C988)/3,0))</f>
        <v/>
      </c>
      <c r="F988" s="16"/>
      <c r="G988" s="16"/>
      <c r="H988" s="17" t="str">
        <f aca="false">IF(A988="","",IF(OR(B988="",C988=""),"Item ID and date needed",IF(COUNTIF(Sample_Log!$A$5:$A$204,A988)=0,"SMP-ID not in log",IF(COUNTIFS($A$5:$A$1004,A988,$B$5:$B$1004,B988)&gt;1,"Duplicate item in sample","OK"))))</f>
        <v/>
      </c>
    </row>
    <row r="989" customFormat="false" ht="15" hidden="false" customHeight="false" outlineLevel="0" collapsed="false">
      <c r="A989" s="16"/>
      <c r="B989" s="16"/>
      <c r="C989" s="18"/>
      <c r="D989" s="16"/>
      <c r="E989" s="17" t="str">
        <f aca="false">IF(C989="","","Q"&amp;ROUNDUP(MONTH(C989)/3,0))</f>
        <v/>
      </c>
      <c r="F989" s="16"/>
      <c r="G989" s="16"/>
      <c r="H989" s="17" t="str">
        <f aca="false">IF(A989="","",IF(OR(B989="",C989=""),"Item ID and date needed",IF(COUNTIF(Sample_Log!$A$5:$A$204,A989)=0,"SMP-ID not in log",IF(COUNTIFS($A$5:$A$1004,A989,$B$5:$B$1004,B989)&gt;1,"Duplicate item in sample","OK"))))</f>
        <v/>
      </c>
    </row>
    <row r="990" customFormat="false" ht="15" hidden="false" customHeight="false" outlineLevel="0" collapsed="false">
      <c r="A990" s="16"/>
      <c r="B990" s="16"/>
      <c r="C990" s="18"/>
      <c r="D990" s="16"/>
      <c r="E990" s="17" t="str">
        <f aca="false">IF(C990="","","Q"&amp;ROUNDUP(MONTH(C990)/3,0))</f>
        <v/>
      </c>
      <c r="F990" s="16"/>
      <c r="G990" s="16"/>
      <c r="H990" s="17" t="str">
        <f aca="false">IF(A990="","",IF(OR(B990="",C990=""),"Item ID and date needed",IF(COUNTIF(Sample_Log!$A$5:$A$204,A990)=0,"SMP-ID not in log",IF(COUNTIFS($A$5:$A$1004,A990,$B$5:$B$1004,B990)&gt;1,"Duplicate item in sample","OK"))))</f>
        <v/>
      </c>
    </row>
    <row r="991" customFormat="false" ht="15" hidden="false" customHeight="false" outlineLevel="0" collapsed="false">
      <c r="A991" s="16"/>
      <c r="B991" s="16"/>
      <c r="C991" s="18"/>
      <c r="D991" s="16"/>
      <c r="E991" s="17" t="str">
        <f aca="false">IF(C991="","","Q"&amp;ROUNDUP(MONTH(C991)/3,0))</f>
        <v/>
      </c>
      <c r="F991" s="16"/>
      <c r="G991" s="16"/>
      <c r="H991" s="17" t="str">
        <f aca="false">IF(A991="","",IF(OR(B991="",C991=""),"Item ID and date needed",IF(COUNTIF(Sample_Log!$A$5:$A$204,A991)=0,"SMP-ID not in log",IF(COUNTIFS($A$5:$A$1004,A991,$B$5:$B$1004,B991)&gt;1,"Duplicate item in sample","OK"))))</f>
        <v/>
      </c>
    </row>
    <row r="992" customFormat="false" ht="15" hidden="false" customHeight="false" outlineLevel="0" collapsed="false">
      <c r="A992" s="16"/>
      <c r="B992" s="16"/>
      <c r="C992" s="18"/>
      <c r="D992" s="16"/>
      <c r="E992" s="17" t="str">
        <f aca="false">IF(C992="","","Q"&amp;ROUNDUP(MONTH(C992)/3,0))</f>
        <v/>
      </c>
      <c r="F992" s="16"/>
      <c r="G992" s="16"/>
      <c r="H992" s="17" t="str">
        <f aca="false">IF(A992="","",IF(OR(B992="",C992=""),"Item ID and date needed",IF(COUNTIF(Sample_Log!$A$5:$A$204,A992)=0,"SMP-ID not in log",IF(COUNTIFS($A$5:$A$1004,A992,$B$5:$B$1004,B992)&gt;1,"Duplicate item in sample","OK"))))</f>
        <v/>
      </c>
    </row>
    <row r="993" customFormat="false" ht="15" hidden="false" customHeight="false" outlineLevel="0" collapsed="false">
      <c r="A993" s="16"/>
      <c r="B993" s="16"/>
      <c r="C993" s="18"/>
      <c r="D993" s="16"/>
      <c r="E993" s="17" t="str">
        <f aca="false">IF(C993="","","Q"&amp;ROUNDUP(MONTH(C993)/3,0))</f>
        <v/>
      </c>
      <c r="F993" s="16"/>
      <c r="G993" s="16"/>
      <c r="H993" s="17" t="str">
        <f aca="false">IF(A993="","",IF(OR(B993="",C993=""),"Item ID and date needed",IF(COUNTIF(Sample_Log!$A$5:$A$204,A993)=0,"SMP-ID not in log",IF(COUNTIFS($A$5:$A$1004,A993,$B$5:$B$1004,B993)&gt;1,"Duplicate item in sample","OK"))))</f>
        <v/>
      </c>
    </row>
    <row r="994" customFormat="false" ht="15" hidden="false" customHeight="false" outlineLevel="0" collapsed="false">
      <c r="A994" s="16"/>
      <c r="B994" s="16"/>
      <c r="C994" s="18"/>
      <c r="D994" s="16"/>
      <c r="E994" s="17" t="str">
        <f aca="false">IF(C994="","","Q"&amp;ROUNDUP(MONTH(C994)/3,0))</f>
        <v/>
      </c>
      <c r="F994" s="16"/>
      <c r="G994" s="16"/>
      <c r="H994" s="17" t="str">
        <f aca="false">IF(A994="","",IF(OR(B994="",C994=""),"Item ID and date needed",IF(COUNTIF(Sample_Log!$A$5:$A$204,A994)=0,"SMP-ID not in log",IF(COUNTIFS($A$5:$A$1004,A994,$B$5:$B$1004,B994)&gt;1,"Duplicate item in sample","OK"))))</f>
        <v/>
      </c>
    </row>
    <row r="995" customFormat="false" ht="15" hidden="false" customHeight="false" outlineLevel="0" collapsed="false">
      <c r="A995" s="16"/>
      <c r="B995" s="16"/>
      <c r="C995" s="18"/>
      <c r="D995" s="16"/>
      <c r="E995" s="17" t="str">
        <f aca="false">IF(C995="","","Q"&amp;ROUNDUP(MONTH(C995)/3,0))</f>
        <v/>
      </c>
      <c r="F995" s="16"/>
      <c r="G995" s="16"/>
      <c r="H995" s="17" t="str">
        <f aca="false">IF(A995="","",IF(OR(B995="",C995=""),"Item ID and date needed",IF(COUNTIF(Sample_Log!$A$5:$A$204,A995)=0,"SMP-ID not in log",IF(COUNTIFS($A$5:$A$1004,A995,$B$5:$B$1004,B995)&gt;1,"Duplicate item in sample","OK"))))</f>
        <v/>
      </c>
    </row>
    <row r="996" customFormat="false" ht="15" hidden="false" customHeight="false" outlineLevel="0" collapsed="false">
      <c r="A996" s="16"/>
      <c r="B996" s="16"/>
      <c r="C996" s="18"/>
      <c r="D996" s="16"/>
      <c r="E996" s="17" t="str">
        <f aca="false">IF(C996="","","Q"&amp;ROUNDUP(MONTH(C996)/3,0))</f>
        <v/>
      </c>
      <c r="F996" s="16"/>
      <c r="G996" s="16"/>
      <c r="H996" s="17" t="str">
        <f aca="false">IF(A996="","",IF(OR(B996="",C996=""),"Item ID and date needed",IF(COUNTIF(Sample_Log!$A$5:$A$204,A996)=0,"SMP-ID not in log",IF(COUNTIFS($A$5:$A$1004,A996,$B$5:$B$1004,B996)&gt;1,"Duplicate item in sample","OK"))))</f>
        <v/>
      </c>
    </row>
    <row r="997" customFormat="false" ht="15" hidden="false" customHeight="false" outlineLevel="0" collapsed="false">
      <c r="A997" s="16"/>
      <c r="B997" s="16"/>
      <c r="C997" s="18"/>
      <c r="D997" s="16"/>
      <c r="E997" s="17" t="str">
        <f aca="false">IF(C997="","","Q"&amp;ROUNDUP(MONTH(C997)/3,0))</f>
        <v/>
      </c>
      <c r="F997" s="16"/>
      <c r="G997" s="16"/>
      <c r="H997" s="17" t="str">
        <f aca="false">IF(A997="","",IF(OR(B997="",C997=""),"Item ID and date needed",IF(COUNTIF(Sample_Log!$A$5:$A$204,A997)=0,"SMP-ID not in log",IF(COUNTIFS($A$5:$A$1004,A997,$B$5:$B$1004,B997)&gt;1,"Duplicate item in sample","OK"))))</f>
        <v/>
      </c>
    </row>
    <row r="998" customFormat="false" ht="15" hidden="false" customHeight="false" outlineLevel="0" collapsed="false">
      <c r="A998" s="16"/>
      <c r="B998" s="16"/>
      <c r="C998" s="18"/>
      <c r="D998" s="16"/>
      <c r="E998" s="17" t="str">
        <f aca="false">IF(C998="","","Q"&amp;ROUNDUP(MONTH(C998)/3,0))</f>
        <v/>
      </c>
      <c r="F998" s="16"/>
      <c r="G998" s="16"/>
      <c r="H998" s="17" t="str">
        <f aca="false">IF(A998="","",IF(OR(B998="",C998=""),"Item ID and date needed",IF(COUNTIF(Sample_Log!$A$5:$A$204,A998)=0,"SMP-ID not in log",IF(COUNTIFS($A$5:$A$1004,A998,$B$5:$B$1004,B998)&gt;1,"Duplicate item in sample","OK"))))</f>
        <v/>
      </c>
    </row>
    <row r="999" customFormat="false" ht="15" hidden="false" customHeight="false" outlineLevel="0" collapsed="false">
      <c r="A999" s="16"/>
      <c r="B999" s="16"/>
      <c r="C999" s="18"/>
      <c r="D999" s="16"/>
      <c r="E999" s="17" t="str">
        <f aca="false">IF(C999="","","Q"&amp;ROUNDUP(MONTH(C999)/3,0))</f>
        <v/>
      </c>
      <c r="F999" s="16"/>
      <c r="G999" s="16"/>
      <c r="H999" s="17" t="str">
        <f aca="false">IF(A999="","",IF(OR(B999="",C999=""),"Item ID and date needed",IF(COUNTIF(Sample_Log!$A$5:$A$204,A999)=0,"SMP-ID not in log",IF(COUNTIFS($A$5:$A$1004,A999,$B$5:$B$1004,B999)&gt;1,"Duplicate item in sample","OK"))))</f>
        <v/>
      </c>
    </row>
    <row r="1000" customFormat="false" ht="15" hidden="false" customHeight="false" outlineLevel="0" collapsed="false">
      <c r="A1000" s="16"/>
      <c r="B1000" s="16"/>
      <c r="C1000" s="18"/>
      <c r="D1000" s="16"/>
      <c r="E1000" s="17" t="str">
        <f aca="false">IF(C1000="","","Q"&amp;ROUNDUP(MONTH(C1000)/3,0))</f>
        <v/>
      </c>
      <c r="F1000" s="16"/>
      <c r="G1000" s="16"/>
      <c r="H1000" s="17" t="str">
        <f aca="false">IF(A1000="","",IF(OR(B1000="",C1000=""),"Item ID and date needed",IF(COUNTIF(Sample_Log!$A$5:$A$204,A1000)=0,"SMP-ID not in log",IF(COUNTIFS($A$5:$A$1004,A1000,$B$5:$B$1004,B1000)&gt;1,"Duplicate item in sample","OK"))))</f>
        <v/>
      </c>
    </row>
    <row r="1001" customFormat="false" ht="15" hidden="false" customHeight="false" outlineLevel="0" collapsed="false">
      <c r="A1001" s="16"/>
      <c r="B1001" s="16"/>
      <c r="C1001" s="18"/>
      <c r="D1001" s="16"/>
      <c r="E1001" s="17" t="str">
        <f aca="false">IF(C1001="","","Q"&amp;ROUNDUP(MONTH(C1001)/3,0))</f>
        <v/>
      </c>
      <c r="F1001" s="16"/>
      <c r="G1001" s="16"/>
      <c r="H1001" s="17" t="str">
        <f aca="false">IF(A1001="","",IF(OR(B1001="",C1001=""),"Item ID and date needed",IF(COUNTIF(Sample_Log!$A$5:$A$204,A1001)=0,"SMP-ID not in log",IF(COUNTIFS($A$5:$A$1004,A1001,$B$5:$B$1004,B1001)&gt;1,"Duplicate item in sample","OK"))))</f>
        <v/>
      </c>
    </row>
    <row r="1002" customFormat="false" ht="15" hidden="false" customHeight="false" outlineLevel="0" collapsed="false">
      <c r="A1002" s="16"/>
      <c r="B1002" s="16"/>
      <c r="C1002" s="18"/>
      <c r="D1002" s="16"/>
      <c r="E1002" s="17" t="str">
        <f aca="false">IF(C1002="","","Q"&amp;ROUNDUP(MONTH(C1002)/3,0))</f>
        <v/>
      </c>
      <c r="F1002" s="16"/>
      <c r="G1002" s="16"/>
      <c r="H1002" s="17" t="str">
        <f aca="false">IF(A1002="","",IF(OR(B1002="",C1002=""),"Item ID and date needed",IF(COUNTIF(Sample_Log!$A$5:$A$204,A1002)=0,"SMP-ID not in log",IF(COUNTIFS($A$5:$A$1004,A1002,$B$5:$B$1004,B1002)&gt;1,"Duplicate item in sample","OK"))))</f>
        <v/>
      </c>
    </row>
    <row r="1003" customFormat="false" ht="15" hidden="false" customHeight="false" outlineLevel="0" collapsed="false">
      <c r="A1003" s="16"/>
      <c r="B1003" s="16"/>
      <c r="C1003" s="18"/>
      <c r="D1003" s="16"/>
      <c r="E1003" s="17" t="str">
        <f aca="false">IF(C1003="","","Q"&amp;ROUNDUP(MONTH(C1003)/3,0))</f>
        <v/>
      </c>
      <c r="F1003" s="16"/>
      <c r="G1003" s="16"/>
      <c r="H1003" s="17" t="str">
        <f aca="false">IF(A1003="","",IF(OR(B1003="",C1003=""),"Item ID and date needed",IF(COUNTIF(Sample_Log!$A$5:$A$204,A1003)=0,"SMP-ID not in log",IF(COUNTIFS($A$5:$A$1004,A1003,$B$5:$B$1004,B1003)&gt;1,"Duplicate item in sample","OK"))))</f>
        <v/>
      </c>
    </row>
    <row r="1004" customFormat="false" ht="15" hidden="false" customHeight="false" outlineLevel="0" collapsed="false">
      <c r="A1004" s="16"/>
      <c r="B1004" s="16"/>
      <c r="C1004" s="18"/>
      <c r="D1004" s="16"/>
      <c r="E1004" s="17" t="str">
        <f aca="false">IF(C1004="","","Q"&amp;ROUNDUP(MONTH(C1004)/3,0))</f>
        <v/>
      </c>
      <c r="F1004" s="16"/>
      <c r="G1004" s="16"/>
      <c r="H1004" s="17" t="str">
        <f aca="false">IF(A1004="","",IF(OR(B1004="",C1004=""),"Item ID and date needed",IF(COUNTIF(Sample_Log!$A$5:$A$204,A1004)=0,"SMP-ID not in log",IF(COUNTIFS($A$5:$A$1004,A1004,$B$5:$B$1004,B1004)&gt;1,"Duplicate item in sample","OK"))))</f>
        <v/>
      </c>
    </row>
  </sheetData>
  <autoFilter ref="A4:H1004"/>
  <dataValidations count="3">
    <dataValidation allowBlank="true" error="Pick a value from the list." errorStyle="warning" operator="between" showDropDown="false" showErrorMessage="true" showInputMessage="false" sqref="A5:A1004" type="list">
      <formula1>Sample_Log!$A$5:$A$204</formula1>
      <formula2>0</formula2>
    </dataValidation>
    <dataValidation allowBlank="true" error="Pick a value from the list." errorStyle="stop" operator="between" showDropDown="false" showErrorMessage="true" showInputMessage="false" sqref="D5:D1004" type="list">
      <formula1>Lists!$B$2:$B$5</formula1>
      <formula2>0</formula2>
    </dataValidation>
    <dataValidation allowBlank="true" error="Pick a value from the list." errorStyle="stop" operator="between" showDropDown="false" showErrorMessage="true" showInputMessage="false" sqref="F5:F1004" type="list">
      <formula1>Lists!$C$2:$C$3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44"/>
  </cols>
  <sheetData>
    <row r="1" customFormat="false" ht="31.5" hidden="false" customHeight="true" outlineLevel="0" collapsed="false">
      <c r="A1" s="19" t="s">
        <v>143</v>
      </c>
      <c r="B1" s="19" t="s">
        <v>144</v>
      </c>
      <c r="C1" s="19" t="s">
        <v>145</v>
      </c>
      <c r="D1" s="19" t="s">
        <v>146</v>
      </c>
      <c r="E1" s="19" t="s">
        <v>147</v>
      </c>
    </row>
    <row r="2" customFormat="false" ht="15" hidden="false" customHeight="false" outlineLevel="0" collapsed="false">
      <c r="A2" s="20" t="s">
        <v>102</v>
      </c>
      <c r="B2" s="20" t="s">
        <v>148</v>
      </c>
      <c r="C2" s="20" t="s">
        <v>149</v>
      </c>
      <c r="D2" s="20" t="n">
        <v>312</v>
      </c>
      <c r="E2" s="20" t="n">
        <v>25</v>
      </c>
    </row>
    <row r="3" customFormat="false" ht="15" hidden="false" customHeight="false" outlineLevel="0" collapsed="false">
      <c r="A3" s="20" t="s">
        <v>150</v>
      </c>
      <c r="B3" s="20" t="s">
        <v>151</v>
      </c>
      <c r="C3" s="20" t="s">
        <v>152</v>
      </c>
      <c r="D3" s="20" t="n">
        <v>48</v>
      </c>
      <c r="E3" s="20" t="n">
        <v>25</v>
      </c>
    </row>
    <row r="4" customFormat="false" ht="15" hidden="false" customHeight="false" outlineLevel="0" collapsed="false">
      <c r="A4" s="20"/>
      <c r="B4" s="20"/>
      <c r="C4" s="20"/>
      <c r="D4" s="20"/>
      <c r="E4" s="20"/>
    </row>
    <row r="5" customFormat="false" ht="15" hidden="false" customHeight="false" outlineLevel="0" collapsed="false">
      <c r="A5" s="20"/>
      <c r="B5" s="20"/>
      <c r="C5" s="20"/>
      <c r="D5" s="20"/>
      <c r="E5" s="20"/>
    </row>
    <row r="6" customFormat="false" ht="15" hidden="false" customHeight="false" outlineLevel="0" collapsed="false">
      <c r="A6" s="20"/>
      <c r="B6" s="20"/>
      <c r="C6" s="20"/>
      <c r="D6" s="20"/>
      <c r="E6" s="20"/>
    </row>
    <row r="7" customFormat="false" ht="15" hidden="false" customHeight="false" outlineLevel="0" collapsed="false">
      <c r="A7" s="20"/>
      <c r="B7" s="20"/>
      <c r="C7" s="20"/>
      <c r="D7" s="20"/>
      <c r="E7" s="20"/>
    </row>
    <row r="8" customFormat="false" ht="15" hidden="false" customHeight="false" outlineLevel="0" collapsed="false">
      <c r="A8" s="20"/>
      <c r="B8" s="20"/>
      <c r="C8" s="20"/>
      <c r="D8" s="20"/>
      <c r="E8" s="20"/>
    </row>
    <row r="9" customFormat="false" ht="15" hidden="false" customHeight="false" outlineLevel="0" collapsed="false">
      <c r="A9" s="20"/>
      <c r="B9" s="20"/>
      <c r="C9" s="20"/>
      <c r="D9" s="20"/>
      <c r="E9" s="20"/>
    </row>
    <row r="10" customFormat="false" ht="15" hidden="false" customHeight="false" outlineLevel="0" collapsed="false">
      <c r="A10" s="20"/>
      <c r="B10" s="20"/>
      <c r="C10" s="20"/>
      <c r="D10" s="20"/>
      <c r="E10" s="20"/>
    </row>
    <row r="11" customFormat="false" ht="15" hidden="false" customHeight="false" outlineLevel="0" collapsed="false">
      <c r="A11" s="20"/>
      <c r="B11" s="20"/>
      <c r="C11" s="20"/>
      <c r="D11" s="20"/>
      <c r="E11" s="20"/>
    </row>
    <row r="12" customFormat="false" ht="15" hidden="false" customHeight="false" outlineLevel="0" collapsed="false">
      <c r="A12" s="20"/>
      <c r="B12" s="20"/>
      <c r="C12" s="20"/>
      <c r="D12" s="20"/>
      <c r="E12" s="20"/>
    </row>
    <row r="13" customFormat="false" ht="15" hidden="false" customHeight="false" outlineLevel="0" collapsed="false">
      <c r="A13" s="20"/>
      <c r="B13" s="20"/>
      <c r="C13" s="20"/>
      <c r="D13" s="20"/>
      <c r="E13" s="20"/>
    </row>
    <row r="14" customFormat="false" ht="15" hidden="false" customHeight="false" outlineLevel="0" collapsed="false">
      <c r="A14" s="20"/>
      <c r="B14" s="20"/>
      <c r="C14" s="20"/>
      <c r="D14" s="20"/>
      <c r="E14" s="20"/>
    </row>
    <row r="15" customFormat="false" ht="15" hidden="false" customHeight="false" outlineLevel="0" collapsed="false">
      <c r="A15" s="20"/>
      <c r="B15" s="20"/>
      <c r="C15" s="20"/>
      <c r="D15" s="20"/>
      <c r="E15" s="20"/>
    </row>
    <row r="16" customFormat="false" ht="15" hidden="false" customHeight="false" outlineLevel="0" collapsed="false">
      <c r="A16" s="20"/>
      <c r="B16" s="20"/>
      <c r="C16" s="20"/>
      <c r="D16" s="20"/>
      <c r="E16" s="20"/>
    </row>
    <row r="17" customFormat="false" ht="15" hidden="false" customHeight="false" outlineLevel="0" collapsed="false">
      <c r="A17" s="20"/>
      <c r="B17" s="20"/>
      <c r="C17" s="20"/>
      <c r="D17" s="20"/>
      <c r="E17" s="20"/>
    </row>
    <row r="18" customFormat="false" ht="15" hidden="false" customHeight="false" outlineLevel="0" collapsed="false">
      <c r="A18" s="20"/>
      <c r="B18" s="20"/>
      <c r="C18" s="20"/>
      <c r="D18" s="20"/>
      <c r="E18" s="20"/>
    </row>
    <row r="19" customFormat="false" ht="15" hidden="false" customHeight="false" outlineLevel="0" collapsed="false">
      <c r="A19" s="20"/>
      <c r="B19" s="20"/>
      <c r="C19" s="20"/>
      <c r="D19" s="20"/>
      <c r="E19" s="20"/>
    </row>
    <row r="20" customFormat="false" ht="15" hidden="false" customHeight="false" outlineLevel="0" collapsed="false">
      <c r="A20" s="20"/>
      <c r="B20" s="20"/>
      <c r="C20" s="20"/>
      <c r="D20" s="20"/>
      <c r="E20" s="20"/>
    </row>
    <row r="21" customFormat="false" ht="15" hidden="false" customHeight="false" outlineLevel="0" collapsed="false">
      <c r="A21" s="20"/>
      <c r="B21" s="20"/>
      <c r="C21" s="20"/>
      <c r="D21" s="20"/>
      <c r="E21" s="20"/>
    </row>
    <row r="22" customFormat="false" ht="15" hidden="false" customHeight="false" outlineLevel="0" collapsed="false">
      <c r="A22" s="20"/>
      <c r="B22" s="20"/>
      <c r="C22" s="20"/>
      <c r="D22" s="20"/>
      <c r="E22" s="20"/>
    </row>
    <row r="23" customFormat="false" ht="15" hidden="false" customHeight="false" outlineLevel="0" collapsed="false">
      <c r="A23" s="20"/>
      <c r="B23" s="20"/>
      <c r="C23" s="20"/>
      <c r="D23" s="20"/>
      <c r="E23" s="20"/>
    </row>
    <row r="24" customFormat="false" ht="15" hidden="false" customHeight="false" outlineLevel="0" collapsed="false">
      <c r="A24" s="20"/>
      <c r="B24" s="20"/>
      <c r="C24" s="20"/>
      <c r="D24" s="20"/>
      <c r="E24" s="20"/>
    </row>
    <row r="25" customFormat="false" ht="15" hidden="false" customHeight="false" outlineLevel="0" collapsed="false">
      <c r="A25" s="20"/>
      <c r="B25" s="20"/>
      <c r="C25" s="20"/>
      <c r="D25" s="20"/>
      <c r="E25" s="20"/>
    </row>
    <row r="26" customFormat="false" ht="15" hidden="false" customHeight="false" outlineLevel="0" collapsed="false">
      <c r="A26" s="20"/>
      <c r="B26" s="20"/>
      <c r="C26" s="20"/>
      <c r="D26" s="20"/>
      <c r="E26" s="20"/>
    </row>
    <row r="27" customFormat="false" ht="15" hidden="false" customHeight="false" outlineLevel="0" collapsed="false">
      <c r="A27" s="20"/>
      <c r="B27" s="20"/>
      <c r="C27" s="20"/>
      <c r="D27" s="20"/>
      <c r="E27" s="20"/>
    </row>
    <row r="28" customFormat="false" ht="15" hidden="false" customHeight="false" outlineLevel="0" collapsed="false">
      <c r="A28" s="20"/>
      <c r="B28" s="20"/>
      <c r="C28" s="20"/>
      <c r="D28" s="20"/>
      <c r="E28" s="20"/>
    </row>
    <row r="29" customFormat="false" ht="15" hidden="false" customHeight="false" outlineLevel="0" collapsed="false">
      <c r="A29" s="20"/>
      <c r="B29" s="20"/>
      <c r="C29" s="20"/>
      <c r="D29" s="20"/>
      <c r="E29" s="20"/>
    </row>
    <row r="30" customFormat="false" ht="15" hidden="false" customHeight="false" outlineLevel="0" collapsed="false">
      <c r="A30" s="20"/>
      <c r="B30" s="20"/>
      <c r="C30" s="20"/>
      <c r="D30" s="20"/>
      <c r="E30" s="20"/>
    </row>
    <row r="31" customFormat="false" ht="15" hidden="false" customHeight="false" outlineLevel="0" collapsed="false">
      <c r="A31" s="20"/>
      <c r="B31" s="20"/>
      <c r="C31" s="20"/>
      <c r="D31" s="20"/>
      <c r="E31" s="20"/>
    </row>
    <row r="32" customFormat="false" ht="15" hidden="false" customHeight="false" outlineLevel="0" collapsed="false">
      <c r="A32" s="20"/>
      <c r="B32" s="20"/>
      <c r="C32" s="20"/>
      <c r="D32" s="20"/>
      <c r="E32" s="20"/>
    </row>
    <row r="33" customFormat="false" ht="15" hidden="false" customHeight="false" outlineLevel="0" collapsed="false">
      <c r="A33" s="20"/>
      <c r="B33" s="20"/>
      <c r="C33" s="20"/>
      <c r="D33" s="20"/>
      <c r="E33" s="20"/>
    </row>
    <row r="34" customFormat="false" ht="15" hidden="false" customHeight="false" outlineLevel="0" collapsed="false">
      <c r="A34" s="20"/>
      <c r="B34" s="20"/>
      <c r="C34" s="20"/>
      <c r="D34" s="20"/>
      <c r="E34" s="20"/>
    </row>
    <row r="35" customFormat="false" ht="15" hidden="false" customHeight="false" outlineLevel="0" collapsed="false">
      <c r="A35" s="20"/>
      <c r="B35" s="20"/>
      <c r="C35" s="20"/>
      <c r="D35" s="20"/>
      <c r="E35" s="20"/>
    </row>
    <row r="36" customFormat="false" ht="15" hidden="false" customHeight="false" outlineLevel="0" collapsed="false">
      <c r="A36" s="20"/>
      <c r="B36" s="20"/>
      <c r="C36" s="20"/>
      <c r="D36" s="20"/>
      <c r="E36" s="20"/>
    </row>
    <row r="37" customFormat="false" ht="15" hidden="false" customHeight="false" outlineLevel="0" collapsed="false">
      <c r="A37" s="20"/>
      <c r="B37" s="20"/>
      <c r="C37" s="20"/>
      <c r="D37" s="20"/>
      <c r="E37" s="20"/>
    </row>
    <row r="38" customFormat="false" ht="15" hidden="false" customHeight="false" outlineLevel="0" collapsed="false">
      <c r="A38" s="20"/>
      <c r="B38" s="20"/>
      <c r="C38" s="20"/>
      <c r="D38" s="20"/>
      <c r="E38" s="20"/>
    </row>
    <row r="39" customFormat="false" ht="15" hidden="false" customHeight="false" outlineLevel="0" collapsed="false">
      <c r="A39" s="20"/>
      <c r="B39" s="20"/>
      <c r="C39" s="20"/>
      <c r="D39" s="20"/>
      <c r="E39" s="20"/>
    </row>
    <row r="40" customFormat="false" ht="15" hidden="false" customHeight="false" outlineLevel="0" collapsed="false">
      <c r="A40" s="20"/>
      <c r="B40" s="20"/>
      <c r="C40" s="20"/>
      <c r="D40" s="20"/>
      <c r="E40" s="20"/>
    </row>
    <row r="41" customFormat="false" ht="15" hidden="false" customHeight="false" outlineLevel="0" collapsed="false">
      <c r="A41" s="20"/>
      <c r="B41" s="20"/>
      <c r="C41" s="20"/>
      <c r="D41" s="20"/>
      <c r="E41" s="20"/>
    </row>
    <row r="42" customFormat="false" ht="15" hidden="false" customHeight="false" outlineLevel="0" collapsed="false">
      <c r="A42" s="20"/>
      <c r="B42" s="20"/>
      <c r="C42" s="20"/>
      <c r="D42" s="20"/>
      <c r="E42" s="20"/>
    </row>
    <row r="43" customFormat="false" ht="15" hidden="false" customHeight="false" outlineLevel="0" collapsed="false">
      <c r="A43" s="20"/>
      <c r="B43" s="20"/>
      <c r="C43" s="20"/>
      <c r="D43" s="20"/>
      <c r="E43" s="20"/>
    </row>
    <row r="44" customFormat="false" ht="15" hidden="false" customHeight="false" outlineLevel="0" collapsed="false">
      <c r="A44" s="20"/>
      <c r="B44" s="20"/>
      <c r="C44" s="20"/>
      <c r="D44" s="20"/>
      <c r="E44" s="20"/>
    </row>
    <row r="45" customFormat="false" ht="15" hidden="false" customHeight="false" outlineLevel="0" collapsed="false">
      <c r="A45" s="20"/>
      <c r="B45" s="20"/>
      <c r="C45" s="20"/>
      <c r="D45" s="20"/>
      <c r="E45" s="20"/>
    </row>
    <row r="46" customFormat="false" ht="15" hidden="false" customHeight="false" outlineLevel="0" collapsed="false">
      <c r="A46" s="20"/>
      <c r="B46" s="20"/>
      <c r="C46" s="20"/>
      <c r="D46" s="20"/>
      <c r="E46" s="20"/>
    </row>
    <row r="47" customFormat="false" ht="15" hidden="false" customHeight="false" outlineLevel="0" collapsed="false">
      <c r="A47" s="20"/>
      <c r="B47" s="20"/>
      <c r="C47" s="20"/>
      <c r="D47" s="20"/>
      <c r="E47" s="20"/>
    </row>
    <row r="48" customFormat="false" ht="15" hidden="false" customHeight="false" outlineLevel="0" collapsed="false">
      <c r="A48" s="20"/>
      <c r="B48" s="20"/>
      <c r="C48" s="20"/>
      <c r="D48" s="20"/>
      <c r="E48" s="20"/>
    </row>
    <row r="49" customFormat="false" ht="15" hidden="false" customHeight="false" outlineLevel="0" collapsed="false">
      <c r="A49" s="20"/>
      <c r="B49" s="20"/>
      <c r="C49" s="20"/>
      <c r="D49" s="20"/>
      <c r="E49" s="20"/>
    </row>
    <row r="50" customFormat="false" ht="15" hidden="false" customHeight="false" outlineLevel="0" collapsed="false">
      <c r="A50" s="20"/>
      <c r="B50" s="20"/>
      <c r="C50" s="20"/>
      <c r="D50" s="20"/>
      <c r="E50" s="20"/>
    </row>
    <row r="51" customFormat="false" ht="15" hidden="false" customHeight="false" outlineLevel="0" collapsed="false">
      <c r="A51" s="20"/>
      <c r="B51" s="20"/>
      <c r="C51" s="20"/>
      <c r="D51" s="20"/>
      <c r="E51" s="20"/>
    </row>
    <row r="52" customFormat="false" ht="15" hidden="false" customHeight="false" outlineLevel="0" collapsed="false">
      <c r="A52" s="20"/>
      <c r="B52" s="20"/>
      <c r="C52" s="20"/>
      <c r="D52" s="20"/>
      <c r="E52" s="20"/>
    </row>
    <row r="53" customFormat="false" ht="15" hidden="false" customHeight="false" outlineLevel="0" collapsed="false">
      <c r="A53" s="20"/>
      <c r="B53" s="20"/>
      <c r="C53" s="20"/>
      <c r="D53" s="20"/>
      <c r="E53" s="20"/>
    </row>
    <row r="54" customFormat="false" ht="15" hidden="false" customHeight="false" outlineLevel="0" collapsed="false">
      <c r="A54" s="20"/>
      <c r="B54" s="20"/>
      <c r="C54" s="20"/>
      <c r="D54" s="20"/>
      <c r="E54" s="20"/>
    </row>
    <row r="55" customFormat="false" ht="15" hidden="false" customHeight="false" outlineLevel="0" collapsed="false">
      <c r="A55" s="20"/>
      <c r="B55" s="20"/>
      <c r="C55" s="20"/>
      <c r="D55" s="20"/>
      <c r="E55" s="20"/>
    </row>
    <row r="56" customFormat="false" ht="15" hidden="false" customHeight="false" outlineLevel="0" collapsed="false">
      <c r="A56" s="20"/>
      <c r="B56" s="20"/>
      <c r="C56" s="20"/>
      <c r="D56" s="20"/>
      <c r="E56" s="20"/>
    </row>
    <row r="57" customFormat="false" ht="15" hidden="false" customHeight="false" outlineLevel="0" collapsed="false">
      <c r="A57" s="20"/>
      <c r="B57" s="20"/>
      <c r="C57" s="20"/>
      <c r="D57" s="20"/>
      <c r="E57" s="20"/>
    </row>
    <row r="58" customFormat="false" ht="15" hidden="false" customHeight="false" outlineLevel="0" collapsed="false">
      <c r="A58" s="20"/>
      <c r="B58" s="20"/>
      <c r="C58" s="20"/>
      <c r="D58" s="20"/>
      <c r="E58" s="20"/>
    </row>
    <row r="59" customFormat="false" ht="15" hidden="false" customHeight="false" outlineLevel="0" collapsed="false">
      <c r="A59" s="20"/>
      <c r="B59" s="20"/>
      <c r="C59" s="20"/>
      <c r="D59" s="20"/>
      <c r="E59" s="20"/>
    </row>
    <row r="60" customFormat="false" ht="15" hidden="false" customHeight="false" outlineLevel="0" collapsed="false">
      <c r="A60" s="20"/>
      <c r="B60" s="20"/>
      <c r="C60" s="20"/>
      <c r="D60" s="20"/>
      <c r="E60" s="20"/>
    </row>
    <row r="61" customFormat="false" ht="15" hidden="false" customHeight="false" outlineLevel="0" collapsed="false">
      <c r="A61" s="20"/>
      <c r="B61" s="20"/>
      <c r="C61" s="20"/>
      <c r="D61" s="20"/>
      <c r="E61" s="20"/>
    </row>
    <row r="62" customFormat="false" ht="15" hidden="false" customHeight="false" outlineLevel="0" collapsed="false">
      <c r="A62" s="20"/>
      <c r="B62" s="20"/>
      <c r="C62" s="20"/>
      <c r="D62" s="20"/>
      <c r="E62" s="20"/>
    </row>
    <row r="63" customFormat="false" ht="15" hidden="false" customHeight="false" outlineLevel="0" collapsed="false">
      <c r="A63" s="20"/>
      <c r="B63" s="20"/>
      <c r="C63" s="20"/>
      <c r="D63" s="20"/>
      <c r="E63" s="20"/>
    </row>
    <row r="64" customFormat="false" ht="15" hidden="false" customHeight="false" outlineLevel="0" collapsed="false">
      <c r="A64" s="20"/>
      <c r="B64" s="20"/>
      <c r="C64" s="20"/>
      <c r="D64" s="20"/>
      <c r="E64" s="20"/>
    </row>
    <row r="65" customFormat="false" ht="15" hidden="false" customHeight="false" outlineLevel="0" collapsed="false">
      <c r="A65" s="20"/>
      <c r="B65" s="20"/>
      <c r="C65" s="20"/>
      <c r="D65" s="20"/>
      <c r="E65" s="20"/>
    </row>
    <row r="66" customFormat="false" ht="15" hidden="false" customHeight="false" outlineLevel="0" collapsed="false">
      <c r="A66" s="20"/>
      <c r="B66" s="20"/>
      <c r="C66" s="20"/>
      <c r="D66" s="20"/>
      <c r="E66" s="20"/>
    </row>
    <row r="67" customFormat="false" ht="15" hidden="false" customHeight="false" outlineLevel="0" collapsed="false">
      <c r="A67" s="20"/>
      <c r="B67" s="20"/>
      <c r="C67" s="20"/>
      <c r="D67" s="20"/>
      <c r="E67" s="20"/>
    </row>
    <row r="68" customFormat="false" ht="15" hidden="false" customHeight="false" outlineLevel="0" collapsed="false">
      <c r="A68" s="20"/>
      <c r="B68" s="20"/>
      <c r="C68" s="20"/>
      <c r="D68" s="20"/>
      <c r="E68" s="20"/>
    </row>
    <row r="69" customFormat="false" ht="15" hidden="false" customHeight="false" outlineLevel="0" collapsed="false">
      <c r="A69" s="20"/>
      <c r="B69" s="20"/>
      <c r="C69" s="20"/>
      <c r="D69" s="20"/>
      <c r="E69" s="20"/>
    </row>
    <row r="70" customFormat="false" ht="15" hidden="false" customHeight="false" outlineLevel="0" collapsed="false">
      <c r="A70" s="20"/>
      <c r="B70" s="20"/>
      <c r="C70" s="20"/>
      <c r="D70" s="20"/>
      <c r="E70" s="20"/>
    </row>
    <row r="71" customFormat="false" ht="15" hidden="false" customHeight="false" outlineLevel="0" collapsed="false">
      <c r="A71" s="20"/>
      <c r="B71" s="20"/>
      <c r="C71" s="20"/>
      <c r="D71" s="20"/>
      <c r="E71" s="20"/>
    </row>
    <row r="72" customFormat="false" ht="15" hidden="false" customHeight="false" outlineLevel="0" collapsed="false">
      <c r="A72" s="20"/>
      <c r="B72" s="20"/>
      <c r="C72" s="20"/>
      <c r="D72" s="20"/>
      <c r="E72" s="20"/>
    </row>
    <row r="73" customFormat="false" ht="15" hidden="false" customHeight="false" outlineLevel="0" collapsed="false">
      <c r="A73" s="20"/>
      <c r="B73" s="20"/>
      <c r="C73" s="20"/>
      <c r="D73" s="20"/>
      <c r="E73" s="20"/>
    </row>
    <row r="74" customFormat="false" ht="15" hidden="false" customHeight="false" outlineLevel="0" collapsed="false">
      <c r="A74" s="20"/>
      <c r="B74" s="20"/>
      <c r="C74" s="20"/>
      <c r="D74" s="20"/>
      <c r="E74" s="20"/>
    </row>
    <row r="75" customFormat="false" ht="15" hidden="false" customHeight="false" outlineLevel="0" collapsed="false">
      <c r="A75" s="20"/>
      <c r="B75" s="20"/>
      <c r="C75" s="20"/>
      <c r="D75" s="20"/>
      <c r="E75" s="20"/>
    </row>
    <row r="76" customFormat="false" ht="15" hidden="false" customHeight="false" outlineLevel="0" collapsed="false">
      <c r="A76" s="20"/>
      <c r="B76" s="20"/>
      <c r="C76" s="20"/>
      <c r="D76" s="20"/>
      <c r="E76" s="20"/>
    </row>
    <row r="77" customFormat="false" ht="15" hidden="false" customHeight="false" outlineLevel="0" collapsed="false">
      <c r="A77" s="20"/>
      <c r="B77" s="20"/>
      <c r="C77" s="20"/>
      <c r="D77" s="20"/>
      <c r="E77" s="20"/>
    </row>
    <row r="78" customFormat="false" ht="15" hidden="false" customHeight="false" outlineLevel="0" collapsed="false">
      <c r="A78" s="20"/>
      <c r="B78" s="20"/>
      <c r="C78" s="20"/>
      <c r="D78" s="20"/>
      <c r="E78" s="20"/>
    </row>
    <row r="79" customFormat="false" ht="15" hidden="false" customHeight="false" outlineLevel="0" collapsed="false">
      <c r="A79" s="20"/>
      <c r="B79" s="20"/>
      <c r="C79" s="20"/>
      <c r="D79" s="20"/>
      <c r="E79" s="20"/>
    </row>
    <row r="80" customFormat="false" ht="15" hidden="false" customHeight="false" outlineLevel="0" collapsed="false">
      <c r="A80" s="20"/>
      <c r="B80" s="20"/>
      <c r="C80" s="20"/>
      <c r="D80" s="20"/>
      <c r="E80" s="20"/>
    </row>
    <row r="81" customFormat="false" ht="15" hidden="false" customHeight="false" outlineLevel="0" collapsed="false">
      <c r="A81" s="20"/>
      <c r="B81" s="20"/>
      <c r="C81" s="20"/>
      <c r="D81" s="20"/>
      <c r="E81" s="20"/>
    </row>
    <row r="82" customFormat="false" ht="15" hidden="false" customHeight="false" outlineLevel="0" collapsed="false">
      <c r="A82" s="20"/>
      <c r="B82" s="20"/>
      <c r="C82" s="20"/>
      <c r="D82" s="20"/>
      <c r="E82" s="20"/>
    </row>
    <row r="83" customFormat="false" ht="15" hidden="false" customHeight="false" outlineLevel="0" collapsed="false">
      <c r="A83" s="20"/>
      <c r="B83" s="20"/>
      <c r="C83" s="20"/>
      <c r="D83" s="20"/>
      <c r="E83" s="20"/>
    </row>
    <row r="84" customFormat="false" ht="15" hidden="false" customHeight="false" outlineLevel="0" collapsed="false">
      <c r="A84" s="20"/>
      <c r="B84" s="20"/>
      <c r="C84" s="20"/>
      <c r="D84" s="20"/>
      <c r="E84" s="20"/>
    </row>
    <row r="85" customFormat="false" ht="15" hidden="false" customHeight="false" outlineLevel="0" collapsed="false">
      <c r="A85" s="20"/>
      <c r="B85" s="20"/>
      <c r="C85" s="20"/>
      <c r="D85" s="20"/>
      <c r="E85" s="20"/>
    </row>
    <row r="86" customFormat="false" ht="15" hidden="false" customHeight="false" outlineLevel="0" collapsed="false">
      <c r="A86" s="20"/>
      <c r="B86" s="20"/>
      <c r="C86" s="20"/>
      <c r="D86" s="20"/>
      <c r="E86" s="20"/>
    </row>
    <row r="87" customFormat="false" ht="15" hidden="false" customHeight="false" outlineLevel="0" collapsed="false">
      <c r="A87" s="20"/>
      <c r="B87" s="20"/>
      <c r="C87" s="20"/>
      <c r="D87" s="20"/>
      <c r="E87" s="20"/>
    </row>
    <row r="88" customFormat="false" ht="15" hidden="false" customHeight="false" outlineLevel="0" collapsed="false">
      <c r="A88" s="20"/>
      <c r="B88" s="20"/>
      <c r="C88" s="20"/>
      <c r="D88" s="20"/>
      <c r="E88" s="20"/>
    </row>
    <row r="89" customFormat="false" ht="15" hidden="false" customHeight="false" outlineLevel="0" collapsed="false">
      <c r="A89" s="20"/>
      <c r="B89" s="20"/>
      <c r="C89" s="20"/>
      <c r="D89" s="20"/>
      <c r="E89" s="20"/>
    </row>
    <row r="90" customFormat="false" ht="15" hidden="false" customHeight="false" outlineLevel="0" collapsed="false">
      <c r="A90" s="20"/>
      <c r="B90" s="20"/>
      <c r="C90" s="20"/>
      <c r="D90" s="20"/>
      <c r="E90" s="20"/>
    </row>
    <row r="91" customFormat="false" ht="15" hidden="false" customHeight="false" outlineLevel="0" collapsed="false">
      <c r="A91" s="20"/>
      <c r="B91" s="20"/>
      <c r="C91" s="20"/>
      <c r="D91" s="20"/>
      <c r="E91" s="20"/>
    </row>
    <row r="92" customFormat="false" ht="15" hidden="false" customHeight="false" outlineLevel="0" collapsed="false">
      <c r="A92" s="20"/>
      <c r="B92" s="20"/>
      <c r="C92" s="20"/>
      <c r="D92" s="20"/>
      <c r="E92" s="20"/>
    </row>
    <row r="93" customFormat="false" ht="15" hidden="false" customHeight="false" outlineLevel="0" collapsed="false">
      <c r="A93" s="20"/>
      <c r="B93" s="20"/>
      <c r="C93" s="20"/>
      <c r="D93" s="20"/>
      <c r="E93" s="20"/>
    </row>
    <row r="94" customFormat="false" ht="15" hidden="false" customHeight="false" outlineLevel="0" collapsed="false">
      <c r="A94" s="20"/>
      <c r="B94" s="20"/>
      <c r="C94" s="20"/>
      <c r="D94" s="20"/>
      <c r="E94" s="20"/>
    </row>
    <row r="95" customFormat="false" ht="15" hidden="false" customHeight="false" outlineLevel="0" collapsed="false">
      <c r="A95" s="20"/>
      <c r="B95" s="20"/>
      <c r="C95" s="20"/>
      <c r="D95" s="20"/>
      <c r="E95" s="20"/>
    </row>
    <row r="96" customFormat="false" ht="15" hidden="false" customHeight="false" outlineLevel="0" collapsed="false">
      <c r="A96" s="20"/>
      <c r="B96" s="20"/>
      <c r="C96" s="20"/>
      <c r="D96" s="20"/>
      <c r="E96" s="20"/>
    </row>
    <row r="97" customFormat="false" ht="15" hidden="false" customHeight="false" outlineLevel="0" collapsed="false">
      <c r="A97" s="20"/>
      <c r="B97" s="20"/>
      <c r="C97" s="20"/>
      <c r="D97" s="20"/>
      <c r="E97" s="20"/>
    </row>
    <row r="98" customFormat="false" ht="15" hidden="false" customHeight="false" outlineLevel="0" collapsed="false">
      <c r="A98" s="20"/>
      <c r="B98" s="20"/>
      <c r="C98" s="20"/>
      <c r="D98" s="20"/>
      <c r="E98" s="20"/>
    </row>
    <row r="99" customFormat="false" ht="15" hidden="false" customHeight="false" outlineLevel="0" collapsed="false">
      <c r="A99" s="20"/>
      <c r="B99" s="20"/>
      <c r="C99" s="20"/>
      <c r="D99" s="20"/>
      <c r="E99" s="20"/>
    </row>
    <row r="100" customFormat="false" ht="15" hidden="false" customHeight="false" outlineLevel="0" collapsed="false">
      <c r="A100" s="20"/>
      <c r="B100" s="20"/>
      <c r="C100" s="20"/>
      <c r="D100" s="20"/>
      <c r="E100" s="20"/>
    </row>
    <row r="101" customFormat="false" ht="15" hidden="false" customHeight="false" outlineLevel="0" collapsed="false">
      <c r="A101" s="20"/>
      <c r="B101" s="20"/>
      <c r="C101" s="20"/>
      <c r="D101" s="20"/>
      <c r="E101" s="20"/>
    </row>
    <row r="102" customFormat="false" ht="15" hidden="false" customHeight="false" outlineLevel="0" collapsed="false">
      <c r="A102" s="20"/>
      <c r="B102" s="20"/>
      <c r="C102" s="20"/>
      <c r="D102" s="20"/>
      <c r="E102" s="20"/>
    </row>
    <row r="103" customFormat="false" ht="15" hidden="false" customHeight="false" outlineLevel="0" collapsed="false">
      <c r="A103" s="20"/>
      <c r="B103" s="20"/>
      <c r="C103" s="20"/>
      <c r="D103" s="20"/>
      <c r="E103" s="20"/>
    </row>
    <row r="104" customFormat="false" ht="15" hidden="false" customHeight="false" outlineLevel="0" collapsed="false">
      <c r="A104" s="20"/>
      <c r="B104" s="20"/>
      <c r="C104" s="20"/>
      <c r="D104" s="20"/>
      <c r="E104" s="20"/>
    </row>
    <row r="105" customFormat="false" ht="15" hidden="false" customHeight="false" outlineLevel="0" collapsed="false">
      <c r="A105" s="20"/>
      <c r="B105" s="20"/>
      <c r="C105" s="20"/>
      <c r="D105" s="20"/>
      <c r="E105" s="20"/>
    </row>
    <row r="106" customFormat="false" ht="15" hidden="false" customHeight="false" outlineLevel="0" collapsed="false">
      <c r="A106" s="20"/>
      <c r="B106" s="20"/>
      <c r="C106" s="20"/>
      <c r="D106" s="20"/>
      <c r="E106" s="20"/>
    </row>
    <row r="107" customFormat="false" ht="15" hidden="false" customHeight="false" outlineLevel="0" collapsed="false">
      <c r="A107" s="20"/>
      <c r="B107" s="20"/>
      <c r="C107" s="20"/>
      <c r="D107" s="20"/>
      <c r="E107" s="20"/>
    </row>
    <row r="108" customFormat="false" ht="15" hidden="false" customHeight="false" outlineLevel="0" collapsed="false">
      <c r="A108" s="20"/>
      <c r="B108" s="20"/>
      <c r="C108" s="20"/>
      <c r="D108" s="20"/>
      <c r="E108" s="20"/>
    </row>
    <row r="109" customFormat="false" ht="15" hidden="false" customHeight="false" outlineLevel="0" collapsed="false">
      <c r="A109" s="20"/>
      <c r="B109" s="20"/>
      <c r="C109" s="20"/>
      <c r="D109" s="20"/>
      <c r="E109" s="20"/>
    </row>
    <row r="110" customFormat="false" ht="15" hidden="false" customHeight="false" outlineLevel="0" collapsed="false">
      <c r="A110" s="20"/>
      <c r="B110" s="20"/>
      <c r="C110" s="20"/>
      <c r="D110" s="20"/>
      <c r="E110" s="20"/>
    </row>
    <row r="111" customFormat="false" ht="15" hidden="false" customHeight="false" outlineLevel="0" collapsed="false">
      <c r="A111" s="20"/>
      <c r="B111" s="20"/>
      <c r="C111" s="20"/>
      <c r="D111" s="20"/>
      <c r="E111" s="20"/>
    </row>
    <row r="112" customFormat="false" ht="15" hidden="false" customHeight="false" outlineLevel="0" collapsed="false">
      <c r="A112" s="20"/>
      <c r="B112" s="20"/>
      <c r="C112" s="20"/>
      <c r="D112" s="20"/>
      <c r="E112" s="20"/>
    </row>
    <row r="113" customFormat="false" ht="15" hidden="false" customHeight="false" outlineLevel="0" collapsed="false">
      <c r="A113" s="20"/>
      <c r="B113" s="20"/>
      <c r="C113" s="20"/>
      <c r="D113" s="20"/>
      <c r="E113" s="20"/>
    </row>
    <row r="114" customFormat="false" ht="15" hidden="false" customHeight="false" outlineLevel="0" collapsed="false">
      <c r="A114" s="20"/>
      <c r="B114" s="20"/>
      <c r="C114" s="20"/>
      <c r="D114" s="20"/>
      <c r="E114" s="20"/>
    </row>
    <row r="115" customFormat="false" ht="15" hidden="false" customHeight="false" outlineLevel="0" collapsed="false">
      <c r="A115" s="20"/>
      <c r="B115" s="20"/>
      <c r="C115" s="20"/>
      <c r="D115" s="20"/>
      <c r="E115" s="20"/>
    </row>
    <row r="116" customFormat="false" ht="15" hidden="false" customHeight="false" outlineLevel="0" collapsed="false">
      <c r="A116" s="20"/>
      <c r="B116" s="20"/>
      <c r="C116" s="20"/>
      <c r="D116" s="20"/>
      <c r="E116" s="20"/>
    </row>
    <row r="117" customFormat="false" ht="15" hidden="false" customHeight="false" outlineLevel="0" collapsed="false">
      <c r="A117" s="20"/>
      <c r="B117" s="20"/>
      <c r="C117" s="20"/>
      <c r="D117" s="20"/>
      <c r="E117" s="20"/>
    </row>
    <row r="118" customFormat="false" ht="15" hidden="false" customHeight="false" outlineLevel="0" collapsed="false">
      <c r="A118" s="20"/>
      <c r="B118" s="20"/>
      <c r="C118" s="20"/>
      <c r="D118" s="20"/>
      <c r="E118" s="20"/>
    </row>
    <row r="119" customFormat="false" ht="15" hidden="false" customHeight="false" outlineLevel="0" collapsed="false">
      <c r="A119" s="20"/>
      <c r="B119" s="20"/>
      <c r="C119" s="20"/>
      <c r="D119" s="20"/>
      <c r="E119" s="20"/>
    </row>
    <row r="120" customFormat="false" ht="15" hidden="false" customHeight="false" outlineLevel="0" collapsed="false">
      <c r="A120" s="20"/>
      <c r="B120" s="20"/>
      <c r="C120" s="20"/>
      <c r="D120" s="20"/>
      <c r="E120" s="20"/>
    </row>
    <row r="121" customFormat="false" ht="15" hidden="false" customHeight="false" outlineLevel="0" collapsed="false">
      <c r="A121" s="20"/>
      <c r="B121" s="20"/>
      <c r="C121" s="20"/>
      <c r="D121" s="20"/>
      <c r="E121" s="20"/>
    </row>
    <row r="122" customFormat="false" ht="15" hidden="false" customHeight="false" outlineLevel="0" collapsed="false">
      <c r="A122" s="20"/>
      <c r="B122" s="20"/>
      <c r="C122" s="20"/>
      <c r="D122" s="20"/>
      <c r="E122" s="20"/>
    </row>
    <row r="123" customFormat="false" ht="15" hidden="false" customHeight="false" outlineLevel="0" collapsed="false">
      <c r="A123" s="20"/>
      <c r="B123" s="20"/>
      <c r="C123" s="20"/>
      <c r="D123" s="20"/>
      <c r="E123" s="20"/>
    </row>
    <row r="124" customFormat="false" ht="15" hidden="false" customHeight="false" outlineLevel="0" collapsed="false">
      <c r="A124" s="20"/>
      <c r="B124" s="20"/>
      <c r="C124" s="20"/>
      <c r="D124" s="20"/>
      <c r="E124" s="20"/>
    </row>
    <row r="125" customFormat="false" ht="15" hidden="false" customHeight="false" outlineLevel="0" collapsed="false">
      <c r="A125" s="20"/>
      <c r="B125" s="20"/>
      <c r="C125" s="20"/>
      <c r="D125" s="20"/>
      <c r="E125" s="20"/>
    </row>
    <row r="126" customFormat="false" ht="15" hidden="false" customHeight="false" outlineLevel="0" collapsed="false">
      <c r="A126" s="20"/>
      <c r="B126" s="20"/>
      <c r="C126" s="20"/>
      <c r="D126" s="20"/>
      <c r="E126" s="20"/>
    </row>
    <row r="127" customFormat="false" ht="15" hidden="false" customHeight="false" outlineLevel="0" collapsed="false">
      <c r="A127" s="20"/>
      <c r="B127" s="20"/>
      <c r="C127" s="20"/>
      <c r="D127" s="20"/>
      <c r="E127" s="20"/>
    </row>
    <row r="128" customFormat="false" ht="15" hidden="false" customHeight="false" outlineLevel="0" collapsed="false">
      <c r="A128" s="20"/>
      <c r="B128" s="20"/>
      <c r="C128" s="20"/>
      <c r="D128" s="20"/>
      <c r="E128" s="20"/>
    </row>
    <row r="129" customFormat="false" ht="15" hidden="false" customHeight="false" outlineLevel="0" collapsed="false">
      <c r="A129" s="20"/>
      <c r="B129" s="20"/>
      <c r="C129" s="20"/>
      <c r="D129" s="20"/>
      <c r="E129" s="20"/>
    </row>
    <row r="130" customFormat="false" ht="15" hidden="false" customHeight="false" outlineLevel="0" collapsed="false">
      <c r="A130" s="20"/>
      <c r="B130" s="20"/>
      <c r="C130" s="20"/>
      <c r="D130" s="20"/>
      <c r="E130" s="20"/>
    </row>
    <row r="131" customFormat="false" ht="15" hidden="false" customHeight="false" outlineLevel="0" collapsed="false">
      <c r="A131" s="20"/>
      <c r="B131" s="20"/>
      <c r="C131" s="20"/>
      <c r="D131" s="20"/>
      <c r="E131" s="20"/>
    </row>
    <row r="132" customFormat="false" ht="15" hidden="false" customHeight="false" outlineLevel="0" collapsed="false">
      <c r="A132" s="20"/>
      <c r="B132" s="20"/>
      <c r="C132" s="20"/>
      <c r="D132" s="20"/>
      <c r="E132" s="20"/>
    </row>
    <row r="133" customFormat="false" ht="15" hidden="false" customHeight="false" outlineLevel="0" collapsed="false">
      <c r="A133" s="20"/>
      <c r="B133" s="20"/>
      <c r="C133" s="20"/>
      <c r="D133" s="20"/>
      <c r="E133" s="20"/>
    </row>
    <row r="134" customFormat="false" ht="15" hidden="false" customHeight="false" outlineLevel="0" collapsed="false">
      <c r="A134" s="20"/>
      <c r="B134" s="20"/>
      <c r="C134" s="20"/>
      <c r="D134" s="20"/>
      <c r="E134" s="20"/>
    </row>
    <row r="135" customFormat="false" ht="15" hidden="false" customHeight="false" outlineLevel="0" collapsed="false">
      <c r="A135" s="20"/>
      <c r="B135" s="20"/>
      <c r="C135" s="20"/>
      <c r="D135" s="20"/>
      <c r="E135" s="20"/>
    </row>
    <row r="136" customFormat="false" ht="15" hidden="false" customHeight="false" outlineLevel="0" collapsed="false">
      <c r="A136" s="20"/>
      <c r="B136" s="20"/>
      <c r="C136" s="20"/>
      <c r="D136" s="20"/>
      <c r="E136" s="20"/>
    </row>
    <row r="137" customFormat="false" ht="15" hidden="false" customHeight="false" outlineLevel="0" collapsed="false">
      <c r="A137" s="20"/>
      <c r="B137" s="20"/>
      <c r="C137" s="20"/>
      <c r="D137" s="20"/>
      <c r="E137" s="20"/>
    </row>
    <row r="138" customFormat="false" ht="15" hidden="false" customHeight="false" outlineLevel="0" collapsed="false">
      <c r="A138" s="20"/>
      <c r="B138" s="20"/>
      <c r="C138" s="20"/>
      <c r="D138" s="20"/>
      <c r="E138" s="20"/>
    </row>
    <row r="139" customFormat="false" ht="15" hidden="false" customHeight="false" outlineLevel="0" collapsed="false">
      <c r="A139" s="20"/>
      <c r="B139" s="20"/>
      <c r="C139" s="20"/>
      <c r="D139" s="20"/>
      <c r="E139" s="20"/>
    </row>
    <row r="140" customFormat="false" ht="15" hidden="false" customHeight="false" outlineLevel="0" collapsed="false">
      <c r="A140" s="20"/>
      <c r="B140" s="20"/>
      <c r="C140" s="20"/>
      <c r="D140" s="20"/>
      <c r="E140" s="20"/>
    </row>
    <row r="141" customFormat="false" ht="15" hidden="false" customHeight="false" outlineLevel="0" collapsed="false">
      <c r="A141" s="20"/>
      <c r="B141" s="20"/>
      <c r="C141" s="20"/>
      <c r="D141" s="20"/>
      <c r="E141" s="20"/>
    </row>
    <row r="142" customFormat="false" ht="15" hidden="false" customHeight="false" outlineLevel="0" collapsed="false">
      <c r="A142" s="20"/>
      <c r="B142" s="20"/>
      <c r="C142" s="20"/>
      <c r="D142" s="20"/>
      <c r="E142" s="20"/>
    </row>
    <row r="143" customFormat="false" ht="15" hidden="false" customHeight="false" outlineLevel="0" collapsed="false">
      <c r="A143" s="20"/>
      <c r="B143" s="20"/>
      <c r="C143" s="20"/>
      <c r="D143" s="20"/>
      <c r="E143" s="20"/>
    </row>
    <row r="144" customFormat="false" ht="15" hidden="false" customHeight="false" outlineLevel="0" collapsed="false">
      <c r="A144" s="20"/>
      <c r="B144" s="20"/>
      <c r="C144" s="20"/>
      <c r="D144" s="20"/>
      <c r="E144" s="20"/>
    </row>
    <row r="145" customFormat="false" ht="15" hidden="false" customHeight="false" outlineLevel="0" collapsed="false">
      <c r="A145" s="20"/>
      <c r="B145" s="20"/>
      <c r="C145" s="20"/>
      <c r="D145" s="20"/>
      <c r="E145" s="20"/>
    </row>
    <row r="146" customFormat="false" ht="15" hidden="false" customHeight="false" outlineLevel="0" collapsed="false">
      <c r="A146" s="20"/>
      <c r="B146" s="20"/>
      <c r="C146" s="20"/>
      <c r="D146" s="20"/>
      <c r="E146" s="20"/>
    </row>
    <row r="147" customFormat="false" ht="15" hidden="false" customHeight="false" outlineLevel="0" collapsed="false">
      <c r="A147" s="20"/>
      <c r="B147" s="20"/>
      <c r="C147" s="20"/>
      <c r="D147" s="20"/>
      <c r="E147" s="20"/>
    </row>
    <row r="148" customFormat="false" ht="15" hidden="false" customHeight="false" outlineLevel="0" collapsed="false">
      <c r="A148" s="20"/>
      <c r="B148" s="20"/>
      <c r="C148" s="20"/>
      <c r="D148" s="20"/>
      <c r="E148" s="20"/>
    </row>
    <row r="149" customFormat="false" ht="15" hidden="false" customHeight="false" outlineLevel="0" collapsed="false">
      <c r="A149" s="20"/>
      <c r="B149" s="20"/>
      <c r="C149" s="20"/>
      <c r="D149" s="20"/>
      <c r="E149" s="20"/>
    </row>
    <row r="150" customFormat="false" ht="15" hidden="false" customHeight="false" outlineLevel="0" collapsed="false">
      <c r="A150" s="20"/>
      <c r="B150" s="20"/>
      <c r="C150" s="20"/>
      <c r="D150" s="20"/>
      <c r="E150" s="20"/>
    </row>
    <row r="151" customFormat="false" ht="15" hidden="false" customHeight="false" outlineLevel="0" collapsed="false">
      <c r="A151" s="20"/>
      <c r="B151" s="20"/>
      <c r="C151" s="20"/>
      <c r="D151" s="20"/>
      <c r="E151" s="20"/>
    </row>
    <row r="152" customFormat="false" ht="15" hidden="false" customHeight="false" outlineLevel="0" collapsed="false">
      <c r="A152" s="20"/>
      <c r="B152" s="20"/>
      <c r="C152" s="20"/>
      <c r="D152" s="20"/>
      <c r="E152" s="20"/>
    </row>
    <row r="153" customFormat="false" ht="15" hidden="false" customHeight="false" outlineLevel="0" collapsed="false">
      <c r="A153" s="20"/>
      <c r="B153" s="20"/>
      <c r="C153" s="20"/>
      <c r="D153" s="20"/>
      <c r="E153" s="20"/>
    </row>
    <row r="154" customFormat="false" ht="15" hidden="false" customHeight="false" outlineLevel="0" collapsed="false">
      <c r="A154" s="20"/>
      <c r="B154" s="20"/>
      <c r="C154" s="20"/>
      <c r="D154" s="20"/>
      <c r="E154" s="20"/>
    </row>
    <row r="155" customFormat="false" ht="15" hidden="false" customHeight="false" outlineLevel="0" collapsed="false">
      <c r="A155" s="20"/>
      <c r="B155" s="20"/>
      <c r="C155" s="20"/>
      <c r="D155" s="20"/>
      <c r="E155" s="20"/>
    </row>
    <row r="156" customFormat="false" ht="15" hidden="false" customHeight="false" outlineLevel="0" collapsed="false">
      <c r="A156" s="20"/>
      <c r="B156" s="20"/>
      <c r="C156" s="20"/>
      <c r="D156" s="20"/>
      <c r="E156" s="20"/>
    </row>
    <row r="157" customFormat="false" ht="15" hidden="false" customHeight="false" outlineLevel="0" collapsed="false">
      <c r="A157" s="20"/>
      <c r="B157" s="20"/>
      <c r="C157" s="20"/>
      <c r="D157" s="20"/>
      <c r="E157" s="20"/>
    </row>
    <row r="158" customFormat="false" ht="15" hidden="false" customHeight="false" outlineLevel="0" collapsed="false">
      <c r="A158" s="20"/>
      <c r="B158" s="20"/>
      <c r="C158" s="20"/>
      <c r="D158" s="20"/>
      <c r="E158" s="20"/>
    </row>
    <row r="159" customFormat="false" ht="15" hidden="false" customHeight="false" outlineLevel="0" collapsed="false">
      <c r="A159" s="20"/>
      <c r="B159" s="20"/>
      <c r="C159" s="20"/>
      <c r="D159" s="20"/>
      <c r="E159" s="20"/>
    </row>
    <row r="160" customFormat="false" ht="15" hidden="false" customHeight="false" outlineLevel="0" collapsed="false">
      <c r="A160" s="20"/>
      <c r="B160" s="20"/>
      <c r="C160" s="20"/>
      <c r="D160" s="20"/>
      <c r="E160" s="20"/>
    </row>
    <row r="161" customFormat="false" ht="15" hidden="false" customHeight="false" outlineLevel="0" collapsed="false">
      <c r="A161" s="20"/>
      <c r="B161" s="20"/>
      <c r="C161" s="20"/>
      <c r="D161" s="20"/>
      <c r="E161" s="20"/>
    </row>
    <row r="162" customFormat="false" ht="15" hidden="false" customHeight="false" outlineLevel="0" collapsed="false">
      <c r="A162" s="20"/>
      <c r="B162" s="20"/>
      <c r="C162" s="20"/>
      <c r="D162" s="20"/>
      <c r="E162" s="20"/>
    </row>
    <row r="163" customFormat="false" ht="15" hidden="false" customHeight="false" outlineLevel="0" collapsed="false">
      <c r="A163" s="20"/>
      <c r="B163" s="20"/>
      <c r="C163" s="20"/>
      <c r="D163" s="20"/>
      <c r="E163" s="20"/>
    </row>
    <row r="164" customFormat="false" ht="15" hidden="false" customHeight="false" outlineLevel="0" collapsed="false">
      <c r="A164" s="20"/>
      <c r="B164" s="20"/>
      <c r="C164" s="20"/>
      <c r="D164" s="20"/>
      <c r="E164" s="20"/>
    </row>
    <row r="165" customFormat="false" ht="15" hidden="false" customHeight="false" outlineLevel="0" collapsed="false">
      <c r="A165" s="20"/>
      <c r="B165" s="20"/>
      <c r="C165" s="20"/>
      <c r="D165" s="20"/>
      <c r="E165" s="20"/>
    </row>
    <row r="166" customFormat="false" ht="15" hidden="false" customHeight="false" outlineLevel="0" collapsed="false">
      <c r="A166" s="20"/>
      <c r="B166" s="20"/>
      <c r="C166" s="20"/>
      <c r="D166" s="20"/>
      <c r="E166" s="20"/>
    </row>
    <row r="167" customFormat="false" ht="15" hidden="false" customHeight="false" outlineLevel="0" collapsed="false">
      <c r="A167" s="20"/>
      <c r="B167" s="20"/>
      <c r="C167" s="20"/>
      <c r="D167" s="20"/>
      <c r="E167" s="20"/>
    </row>
    <row r="168" customFormat="false" ht="15" hidden="false" customHeight="false" outlineLevel="0" collapsed="false">
      <c r="A168" s="20"/>
      <c r="B168" s="20"/>
      <c r="C168" s="20"/>
      <c r="D168" s="20"/>
      <c r="E168" s="20"/>
    </row>
    <row r="169" customFormat="false" ht="15" hidden="false" customHeight="false" outlineLevel="0" collapsed="false">
      <c r="A169" s="20"/>
      <c r="B169" s="20"/>
      <c r="C169" s="20"/>
      <c r="D169" s="20"/>
      <c r="E169" s="20"/>
    </row>
    <row r="170" customFormat="false" ht="15" hidden="false" customHeight="false" outlineLevel="0" collapsed="false">
      <c r="A170" s="20"/>
      <c r="B170" s="20"/>
      <c r="C170" s="20"/>
      <c r="D170" s="20"/>
      <c r="E170" s="20"/>
    </row>
    <row r="171" customFormat="false" ht="15" hidden="false" customHeight="false" outlineLevel="0" collapsed="false">
      <c r="A171" s="20"/>
      <c r="B171" s="20"/>
      <c r="C171" s="20"/>
      <c r="D171" s="20"/>
      <c r="E171" s="20"/>
    </row>
    <row r="172" customFormat="false" ht="15" hidden="false" customHeight="false" outlineLevel="0" collapsed="false">
      <c r="A172" s="20"/>
      <c r="B172" s="20"/>
      <c r="C172" s="20"/>
      <c r="D172" s="20"/>
      <c r="E172" s="20"/>
    </row>
    <row r="173" customFormat="false" ht="15" hidden="false" customHeight="false" outlineLevel="0" collapsed="false">
      <c r="A173" s="20"/>
      <c r="B173" s="20"/>
      <c r="C173" s="20"/>
      <c r="D173" s="20"/>
      <c r="E173" s="20"/>
    </row>
    <row r="174" customFormat="false" ht="15" hidden="false" customHeight="false" outlineLevel="0" collapsed="false">
      <c r="A174" s="20"/>
      <c r="B174" s="20"/>
      <c r="C174" s="20"/>
      <c r="D174" s="20"/>
      <c r="E174" s="20"/>
    </row>
    <row r="175" customFormat="false" ht="15" hidden="false" customHeight="false" outlineLevel="0" collapsed="false">
      <c r="A175" s="20"/>
      <c r="B175" s="20"/>
      <c r="C175" s="20"/>
      <c r="D175" s="20"/>
      <c r="E175" s="20"/>
    </row>
    <row r="176" customFormat="false" ht="15" hidden="false" customHeight="false" outlineLevel="0" collapsed="false">
      <c r="A176" s="20"/>
      <c r="B176" s="20"/>
      <c r="C176" s="20"/>
      <c r="D176" s="20"/>
      <c r="E176" s="20"/>
    </row>
    <row r="177" customFormat="false" ht="15" hidden="false" customHeight="false" outlineLevel="0" collapsed="false">
      <c r="A177" s="20"/>
      <c r="B177" s="20"/>
      <c r="C177" s="20"/>
      <c r="D177" s="20"/>
      <c r="E177" s="20"/>
    </row>
    <row r="178" customFormat="false" ht="15" hidden="false" customHeight="false" outlineLevel="0" collapsed="false">
      <c r="A178" s="20"/>
      <c r="B178" s="20"/>
      <c r="C178" s="20"/>
      <c r="D178" s="20"/>
      <c r="E178" s="20"/>
    </row>
    <row r="179" customFormat="false" ht="15" hidden="false" customHeight="false" outlineLevel="0" collapsed="false">
      <c r="A179" s="20"/>
      <c r="B179" s="20"/>
      <c r="C179" s="20"/>
      <c r="D179" s="20"/>
      <c r="E179" s="20"/>
    </row>
    <row r="180" customFormat="false" ht="15" hidden="false" customHeight="false" outlineLevel="0" collapsed="false">
      <c r="A180" s="20"/>
      <c r="B180" s="20"/>
      <c r="C180" s="20"/>
      <c r="D180" s="20"/>
      <c r="E180" s="20"/>
    </row>
    <row r="181" customFormat="false" ht="15" hidden="false" customHeight="false" outlineLevel="0" collapsed="false">
      <c r="A181" s="20"/>
      <c r="B181" s="20"/>
      <c r="C181" s="20"/>
      <c r="D181" s="20"/>
      <c r="E181" s="20"/>
    </row>
    <row r="182" customFormat="false" ht="15" hidden="false" customHeight="false" outlineLevel="0" collapsed="false">
      <c r="A182" s="20"/>
      <c r="B182" s="20"/>
      <c r="C182" s="20"/>
      <c r="D182" s="20"/>
      <c r="E182" s="20"/>
    </row>
    <row r="183" customFormat="false" ht="15" hidden="false" customHeight="false" outlineLevel="0" collapsed="false">
      <c r="A183" s="20"/>
      <c r="B183" s="20"/>
      <c r="C183" s="20"/>
      <c r="D183" s="20"/>
      <c r="E183" s="20"/>
    </row>
    <row r="184" customFormat="false" ht="15" hidden="false" customHeight="false" outlineLevel="0" collapsed="false">
      <c r="A184" s="20"/>
      <c r="B184" s="20"/>
      <c r="C184" s="20"/>
      <c r="D184" s="20"/>
      <c r="E184" s="20"/>
    </row>
    <row r="185" customFormat="false" ht="15" hidden="false" customHeight="false" outlineLevel="0" collapsed="false">
      <c r="A185" s="20"/>
      <c r="B185" s="20"/>
      <c r="C185" s="20"/>
      <c r="D185" s="20"/>
      <c r="E185" s="20"/>
    </row>
    <row r="186" customFormat="false" ht="15" hidden="false" customHeight="false" outlineLevel="0" collapsed="false">
      <c r="A186" s="20"/>
      <c r="B186" s="20"/>
      <c r="C186" s="20"/>
      <c r="D186" s="20"/>
      <c r="E186" s="20"/>
    </row>
    <row r="187" customFormat="false" ht="15" hidden="false" customHeight="false" outlineLevel="0" collapsed="false">
      <c r="A187" s="20"/>
      <c r="B187" s="20"/>
      <c r="C187" s="20"/>
      <c r="D187" s="20"/>
      <c r="E187" s="20"/>
    </row>
    <row r="188" customFormat="false" ht="15" hidden="false" customHeight="false" outlineLevel="0" collapsed="false">
      <c r="A188" s="20"/>
      <c r="B188" s="20"/>
      <c r="C188" s="20"/>
      <c r="D188" s="20"/>
      <c r="E188" s="20"/>
    </row>
    <row r="189" customFormat="false" ht="15" hidden="false" customHeight="false" outlineLevel="0" collapsed="false">
      <c r="A189" s="20"/>
      <c r="B189" s="20"/>
      <c r="C189" s="20"/>
      <c r="D189" s="20"/>
      <c r="E189" s="20"/>
    </row>
    <row r="190" customFormat="false" ht="15" hidden="false" customHeight="false" outlineLevel="0" collapsed="false">
      <c r="A190" s="20"/>
      <c r="B190" s="20"/>
      <c r="C190" s="20"/>
      <c r="D190" s="20"/>
      <c r="E190" s="20"/>
    </row>
    <row r="191" customFormat="false" ht="15" hidden="false" customHeight="false" outlineLevel="0" collapsed="false">
      <c r="A191" s="20"/>
      <c r="B191" s="20"/>
      <c r="C191" s="20"/>
      <c r="D191" s="20"/>
      <c r="E191" s="20"/>
    </row>
    <row r="192" customFormat="false" ht="15" hidden="false" customHeight="false" outlineLevel="0" collapsed="false">
      <c r="A192" s="20"/>
      <c r="B192" s="20"/>
      <c r="C192" s="20"/>
      <c r="D192" s="20"/>
      <c r="E192" s="20"/>
    </row>
    <row r="193" customFormat="false" ht="15" hidden="false" customHeight="false" outlineLevel="0" collapsed="false">
      <c r="A193" s="20"/>
      <c r="B193" s="20"/>
      <c r="C193" s="20"/>
      <c r="D193" s="20"/>
      <c r="E193" s="20"/>
    </row>
    <row r="194" customFormat="false" ht="15" hidden="false" customHeight="false" outlineLevel="0" collapsed="false">
      <c r="A194" s="20"/>
      <c r="B194" s="20"/>
      <c r="C194" s="20"/>
      <c r="D194" s="20"/>
      <c r="E194" s="20"/>
    </row>
    <row r="195" customFormat="false" ht="15" hidden="false" customHeight="false" outlineLevel="0" collapsed="false">
      <c r="A195" s="20"/>
      <c r="B195" s="20"/>
      <c r="C195" s="20"/>
      <c r="D195" s="20"/>
      <c r="E195" s="20"/>
    </row>
    <row r="196" customFormat="false" ht="15" hidden="false" customHeight="false" outlineLevel="0" collapsed="false">
      <c r="A196" s="20"/>
      <c r="B196" s="20"/>
      <c r="C196" s="20"/>
      <c r="D196" s="20"/>
      <c r="E196" s="20"/>
    </row>
    <row r="197" customFormat="false" ht="15" hidden="false" customHeight="false" outlineLevel="0" collapsed="false">
      <c r="A197" s="20"/>
      <c r="B197" s="20"/>
      <c r="C197" s="20"/>
      <c r="D197" s="20"/>
      <c r="E197" s="20"/>
    </row>
    <row r="198" customFormat="false" ht="15" hidden="false" customHeight="false" outlineLevel="0" collapsed="false">
      <c r="A198" s="20"/>
      <c r="B198" s="20"/>
      <c r="C198" s="20"/>
      <c r="D198" s="20"/>
      <c r="E198" s="20"/>
    </row>
    <row r="199" customFormat="false" ht="15" hidden="false" customHeight="false" outlineLevel="0" collapsed="false">
      <c r="A199" s="20"/>
      <c r="B199" s="20"/>
      <c r="C199" s="20"/>
      <c r="D199" s="20"/>
      <c r="E199" s="20"/>
    </row>
    <row r="200" customFormat="false" ht="15" hidden="false" customHeight="false" outlineLevel="0" collapsed="false">
      <c r="A200" s="20"/>
      <c r="B200" s="20"/>
      <c r="C200" s="20"/>
      <c r="D200" s="20"/>
      <c r="E200" s="20"/>
    </row>
    <row r="201" customFormat="false" ht="15" hidden="false" customHeight="false" outlineLevel="0" collapsed="false">
      <c r="A201" s="20"/>
      <c r="B201" s="20"/>
      <c r="C201" s="20"/>
      <c r="D201" s="20"/>
      <c r="E20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6"/>
  </cols>
  <sheetData>
    <row r="1" customFormat="false" ht="15" hidden="false" customHeight="false" outlineLevel="0" collapsed="false">
      <c r="A1" s="21" t="s">
        <v>153</v>
      </c>
      <c r="B1" s="21" t="s">
        <v>154</v>
      </c>
      <c r="C1" s="21" t="s">
        <v>155</v>
      </c>
    </row>
    <row r="2" customFormat="false" ht="15" hidden="false" customHeight="false" outlineLevel="0" collapsed="false">
      <c r="A2" s="22" t="s">
        <v>103</v>
      </c>
      <c r="B2" s="22" t="s">
        <v>112</v>
      </c>
      <c r="C2" s="22" t="s">
        <v>105</v>
      </c>
    </row>
    <row r="3" customFormat="false" ht="15" hidden="false" customHeight="false" outlineLevel="0" collapsed="false">
      <c r="A3" s="22" t="s">
        <v>156</v>
      </c>
      <c r="B3" s="22" t="s">
        <v>156</v>
      </c>
      <c r="C3" s="22" t="s">
        <v>113</v>
      </c>
    </row>
    <row r="4" customFormat="false" ht="15" hidden="false" customHeight="false" outlineLevel="0" collapsed="false">
      <c r="A4" s="22" t="s">
        <v>157</v>
      </c>
      <c r="B4" s="22" t="s">
        <v>139</v>
      </c>
    </row>
    <row r="5" customFormat="false" ht="15" hidden="false" customHeight="false" outlineLevel="0" collapsed="false">
      <c r="A5" s="22" t="s">
        <v>158</v>
      </c>
      <c r="B5" s="22" t="s">
        <v>159</v>
      </c>
    </row>
    <row r="6" customFormat="false" ht="15" hidden="false" customHeight="false" outlineLevel="0" collapsed="false">
      <c r="A6" s="22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9" t="s">
        <v>160</v>
      </c>
    </row>
    <row r="2" customFormat="false" ht="15" hidden="false" customHeight="false" outlineLevel="0" collapsed="false">
      <c r="A2" s="10" t="s">
        <v>161</v>
      </c>
    </row>
    <row r="3" customFormat="false" ht="15" hidden="false" customHeight="false" outlineLevel="0" collapsed="false">
      <c r="A3" s="21" t="s">
        <v>162</v>
      </c>
      <c r="B3" s="23" t="str">
        <f aca="false">IF(COUNTIF(C6:C14,"REVIEW")=0,"ALL CHECKS PASS","REVIEW ITEMS: "&amp;COUNTIF(C6:C14,"REVIEW"))</f>
        <v>REVIEW ITEMS: 1</v>
      </c>
    </row>
    <row r="5" customFormat="false" ht="15" hidden="false" customHeight="false" outlineLevel="0" collapsed="false">
      <c r="A5" s="5" t="s">
        <v>94</v>
      </c>
      <c r="B5" s="5" t="s">
        <v>163</v>
      </c>
      <c r="C5" s="5" t="s">
        <v>164</v>
      </c>
      <c r="D5" s="5" t="s">
        <v>165</v>
      </c>
    </row>
    <row r="6" customFormat="false" ht="15" hidden="false" customHeight="false" outlineLevel="0" collapsed="false">
      <c r="A6" s="24" t="s">
        <v>166</v>
      </c>
      <c r="B6" s="24" t="n">
        <f aca="false">COUNTA(Sample_Log!A5:A204)</f>
        <v>1</v>
      </c>
      <c r="C6" s="24" t="s">
        <v>167</v>
      </c>
      <c r="D6" s="24" t="s">
        <v>168</v>
      </c>
    </row>
    <row r="7" customFormat="false" ht="15" hidden="false" customHeight="false" outlineLevel="0" collapsed="false">
      <c r="A7" s="24" t="s">
        <v>169</v>
      </c>
      <c r="B7" s="24" t="n">
        <f aca="false">SUMPRODUCT((Sample_Log!A5:A204&lt;&gt;"")*(COUNTIF(Sample_Log!A5:A204,Sample_Log!A5:A204)&gt;1))</f>
        <v>0</v>
      </c>
      <c r="C7" s="24" t="str">
        <f aca="false">IF(B7=0,"PASS","REVIEW")</f>
        <v>PASS</v>
      </c>
      <c r="D7" s="24" t="s">
        <v>170</v>
      </c>
    </row>
    <row r="8" customFormat="false" ht="15" hidden="false" customHeight="false" outlineLevel="0" collapsed="false">
      <c r="A8" s="24" t="s">
        <v>171</v>
      </c>
      <c r="B8" s="24" t="n">
        <f aca="false">SUMPRODUCT((Sample_Log!U5:U204&lt;&gt;"")*(Sample_Log!U5:U204&lt;&gt;"OK")*(LEFT(Sample_Log!U5:U204,2)&lt;&gt;"OK"))</f>
        <v>0</v>
      </c>
      <c r="C8" s="24" t="str">
        <f aca="false">IF(B8=0,"PASS","REVIEW")</f>
        <v>PASS</v>
      </c>
      <c r="D8" s="24" t="s">
        <v>172</v>
      </c>
    </row>
    <row r="9" customFormat="false" ht="15" hidden="false" customHeight="false" outlineLevel="0" collapsed="false">
      <c r="A9" s="24" t="s">
        <v>173</v>
      </c>
      <c r="B9" s="24" t="n">
        <f aca="false">SUMPRODUCT((Items!A5:A1004&lt;&gt;"")*(Items!H5:H1004&lt;&gt;"OK"))</f>
        <v>0</v>
      </c>
      <c r="C9" s="24" t="str">
        <f aca="false">IF(B9=0,"PASS","REVIEW")</f>
        <v>PASS</v>
      </c>
      <c r="D9" s="24" t="s">
        <v>174</v>
      </c>
    </row>
    <row r="10" customFormat="false" ht="15" hidden="false" customHeight="false" outlineLevel="0" collapsed="false">
      <c r="A10" s="24" t="s">
        <v>175</v>
      </c>
      <c r="B10" s="24" t="n">
        <f aca="false">SUMPRODUCT((Ref_TEST!A2:A201&lt;&gt;"")*(COUNTIF(Sample_Log!B5:B204,Ref_TEST!A2:A201)=0))</f>
        <v>1</v>
      </c>
      <c r="C10" s="24" t="str">
        <f aca="false">IF(B10=0,"PASS","REVIEW")</f>
        <v>REVIEW</v>
      </c>
      <c r="D10" s="24" t="s">
        <v>176</v>
      </c>
    </row>
    <row r="11" customFormat="false" ht="15" hidden="false" customHeight="false" outlineLevel="0" collapsed="false">
      <c r="A11" s="24" t="s">
        <v>177</v>
      </c>
      <c r="B11" s="24" t="n">
        <f aca="false">COUNTA(Items!B5:B1004)</f>
        <v>27</v>
      </c>
      <c r="C11" s="24" t="s">
        <v>167</v>
      </c>
      <c r="D11" s="24" t="s">
        <v>168</v>
      </c>
    </row>
    <row r="12" customFormat="false" ht="15" hidden="false" customHeight="false" outlineLevel="0" collapsed="false">
      <c r="A12" s="24" t="s">
        <v>178</v>
      </c>
      <c r="B12" s="24" t="n">
        <f aca="false">COUNTIF(Items!D5:D1004,"Targeted")</f>
        <v>2</v>
      </c>
      <c r="C12" s="24" t="s">
        <v>167</v>
      </c>
      <c r="D12" s="24" t="s">
        <v>179</v>
      </c>
    </row>
    <row r="13" customFormat="false" ht="23.85" hidden="false" customHeight="false" outlineLevel="0" collapsed="false">
      <c r="A13" s="24" t="s">
        <v>180</v>
      </c>
      <c r="B13" s="24" t="n">
        <f aca="false">SUMPRODUCT((Sample_Log!O5:O204&lt;&gt;"")*(Sample_Log!O5:O204&lt;3))</f>
        <v>0</v>
      </c>
      <c r="C13" s="24" t="s">
        <v>167</v>
      </c>
      <c r="D13" s="24" t="s">
        <v>181</v>
      </c>
    </row>
    <row r="14" customFormat="false" ht="15" hidden="false" customHeight="false" outlineLevel="0" collapsed="false">
      <c r="A14" s="24" t="s">
        <v>182</v>
      </c>
      <c r="B14" s="24" t="n">
        <f aca="false">COUNTIF(Items!F5:F1004,"N")</f>
        <v>27</v>
      </c>
      <c r="C14" s="24" t="s">
        <v>167</v>
      </c>
      <c r="D14" s="24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2026-10-03T01:47:43Z</dcterms:created>
  <dc:creator>openpyxl</dc:creator>
  <dc:description/>
  <dc:language>en-US</dc:language>
  <cp:lastModifiedBy/>
  <dcterms:modified xsi:type="dcterms:W3CDTF">2026-10-03T01:47:44Z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