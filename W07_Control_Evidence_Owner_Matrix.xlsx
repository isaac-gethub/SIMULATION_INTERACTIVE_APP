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Owner_Matrix" sheetId="2" state="visible" r:id="rId4"/>
    <sheet name="Open_Items" sheetId="3" state="visible" r:id="rId5"/>
    <sheet name="Ref_CTRL" sheetId="4" state="visible" r:id="rId6"/>
    <sheet name="Lists" sheetId="5" state="hidden" r:id="rId7"/>
    <sheet name="Checks" sheetId="6" state="visible" r:id="rId8"/>
  </sheets>
  <definedNames>
    <definedName function="false" hidden="true" localSheetId="2" name="_xlnm._FilterDatabase" vbProcedure="false">Open_Items!$A$4:$H$204</definedName>
    <definedName function="false" hidden="true" localSheetId="1" name="_xlnm._FilterDatabase" vbProcedure="false">Owner_Matrix!$A$4:$O$204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<sst xmlns="http://schemas.openxmlformats.org/spreadsheetml/2006/main" count="260" uniqueCount="160">
  <si>
    <t xml:space="preserve">TIB SYSTEMS LLC  |  SAP Controls Project Foundation Workbook Set</t>
  </si>
  <si>
    <t xml:space="preserve">W07 — Control &amp; Evidence Owner Matrix</t>
  </si>
  <si>
    <t xml:space="preserve">Purpose</t>
  </si>
  <si>
    <t xml:space="preserve">Records, for every control in the RCM, who is accountable for it, who performs it, who can provide the evidence and who the backup is. These are often different people. Keyed by CTRL-ID so it lines up one-to-one with W05.</t>
  </si>
  <si>
    <t xml:space="preserve">How to use this workbook</t>
  </si>
  <si>
    <t xml:space="preserve">1. Paste CTRL-ID, title, evidence expectation, key flag and risk owner from W05/W04 into Ref_CTRL.</t>
  </si>
  <si>
    <t xml:space="preserve">2. Add one Owner_Matrix row per CTRL-ID. Pre-fill the control owner from W05.</t>
  </si>
  <si>
    <t xml:space="preserve">3. Meet each owner. Ask two questions: who makes sure this happens, and who can give us the evidence?</t>
  </si>
  <si>
    <t xml:space="preserve">4. Record walkthrough contacts for key controls.</t>
  </si>
  <si>
    <t xml:space="preserve">5. Mark unresolved items Outstanding with a follow-up, never as a control failure.</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</si>
  <si>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</si>
  <si>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</si>
  <si>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</si>
  <si>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Every in-scope CTRL-ID has a row.</t>
  </si>
  <si>
    <t xml:space="preserve">Control owner and evidence owner are identified or marked Outstanding.</t>
  </si>
  <si>
    <t xml:space="preserve">Walkthrough contacts are known for every key control.</t>
  </si>
  <si>
    <t xml:space="preserve">Outstanding owners are escalated in the W14 dependency list.</t>
  </si>
  <si>
    <t xml:space="preserve">Manual reference</t>
  </si>
  <si>
    <t xml:space="preserve">Part 2, Session 8 (W07).</t>
  </si>
  <si>
    <t xml:space="preserve">Column dictionary</t>
  </si>
  <si>
    <t xml:space="preserve">Tab</t>
  </si>
  <si>
    <t xml:space="preserve">Field</t>
  </si>
  <si>
    <t xml:space="preserve">Definition</t>
  </si>
  <si>
    <t xml:space="preserve">Allowed values / rule</t>
  </si>
  <si>
    <t xml:space="preserve">Type</t>
  </si>
  <si>
    <t xml:space="preserve">Owner_Matrix</t>
  </si>
  <si>
    <t xml:space="preserve">CTRL-ID</t>
  </si>
  <si>
    <t xml:space="preserve">Control from the RCM</t>
  </si>
  <si>
    <t xml:space="preserve">Must exist in W05 (Ref_CTRL)</t>
  </si>
  <si>
    <t xml:space="preserve">Input</t>
  </si>
  <si>
    <t xml:space="preserve">Control title</t>
  </si>
  <si>
    <t xml:space="preserve">Lookup from W05</t>
  </si>
  <si>
    <t xml:space="preserve">Formula</t>
  </si>
  <si>
    <t xml:space="preserve">Key control?</t>
  </si>
  <si>
    <t xml:space="preserve">Risk owner</t>
  </si>
  <si>
    <t xml:space="preserve">Lookup from W04 via Ref_CTRL</t>
  </si>
  <si>
    <t xml:space="preserve">Control owner</t>
  </si>
  <si>
    <t xml:space="preserve">Accountable for the control operating</t>
  </si>
  <si>
    <t xml:space="preserve">Required, or mark Outstanding</t>
  </si>
  <si>
    <t xml:space="preserve">Control performer</t>
  </si>
  <si>
    <t xml:space="preserve">Person who executes it day to day</t>
  </si>
  <si>
    <t xml:space="preserve">May equal owner</t>
  </si>
  <si>
    <t xml:space="preserve">Evidence owner</t>
  </si>
  <si>
    <t xml:space="preserve">Person or team who can produce the evidence</t>
  </si>
  <si>
    <t xml:space="preserve">Backup contact</t>
  </si>
  <si>
    <t xml:space="preserve">Alternate for leave or turnover</t>
  </si>
  <si>
    <t xml:space="preserve">Recommended</t>
  </si>
  <si>
    <t xml:space="preserve">Primary SYS-ID</t>
  </si>
  <si>
    <t xml:space="preserve">Where evidence resides</t>
  </si>
  <si>
    <t xml:space="preserve">From W01</t>
  </si>
  <si>
    <t xml:space="preserve">Expected evidence</t>
  </si>
  <si>
    <t xml:space="preserve">Walkthrough contact</t>
  </si>
  <si>
    <t xml:space="preserve">Person who will demonstrate the control in TOD</t>
  </si>
  <si>
    <t xml:space="preserve">Usually the performer</t>
  </si>
  <si>
    <t xml:space="preserve">Owner status</t>
  </si>
  <si>
    <t xml:space="preserve">Confirmation state; Outstanding is not a failure</t>
  </si>
  <si>
    <t xml:space="preserve">Confirmed / Outstanding</t>
  </si>
  <si>
    <t xml:space="preserve">Date confirmed</t>
  </si>
  <si>
    <t xml:space="preserve">When the owner agreed</t>
  </si>
  <si>
    <t xml:space="preserve">Date; required if Confirmed</t>
  </si>
  <si>
    <t xml:space="preserve">Follow-up</t>
  </si>
  <si>
    <t xml:space="preserve">What still needs resolving</t>
  </si>
  <si>
    <t xml:space="preserve">Required if Outstanding</t>
  </si>
  <si>
    <t xml:space="preserve">Row check</t>
  </si>
  <si>
    <t xml:space="preserve">Automatic completeness test</t>
  </si>
  <si>
    <t xml:space="preserve">Open_Items</t>
  </si>
  <si>
    <t xml:space="preserve">Item ID</t>
  </si>
  <si>
    <t xml:space="preserve">Unique open-item reference</t>
  </si>
  <si>
    <t xml:space="preserve">OI-nn</t>
  </si>
  <si>
    <t xml:space="preserve">Source</t>
  </si>
  <si>
    <t xml:space="preserve">Workbook and key the question comes from</t>
  </si>
  <si>
    <t xml:space="preserve">e.g. SYS-05</t>
  </si>
  <si>
    <t xml:space="preserve">Question / dependency</t>
  </si>
  <si>
    <t xml:space="preserve">What must still be confirmed</t>
  </si>
  <si>
    <t xml:space="preserve">Free text</t>
  </si>
  <si>
    <t xml:space="preserve">Owner</t>
  </si>
  <si>
    <t xml:space="preserve">Person who can answer</t>
  </si>
  <si>
    <t xml:space="preserve">Name / role</t>
  </si>
  <si>
    <t xml:space="preserve">Raised</t>
  </si>
  <si>
    <t xml:space="preserve">Date raised</t>
  </si>
  <si>
    <t xml:space="preserve">Date</t>
  </si>
  <si>
    <t xml:space="preserve">Target date</t>
  </si>
  <si>
    <t xml:space="preserve">Date needed by</t>
  </si>
  <si>
    <t xml:space="preserve">Status</t>
  </si>
  <si>
    <t xml:space="preserve">Progress</t>
  </si>
  <si>
    <t xml:space="preserve">Open / In progress / Closed</t>
  </si>
  <si>
    <t xml:space="preserve">Resolution</t>
  </si>
  <si>
    <t xml:space="preserve">How it was resolved</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</si>
  <si>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</si>
  <si>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</si>
  <si>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</si>
  <si>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W07 — Owner Matrix</t>
  </si>
  <si>
    <t xml:space="preserve">One row per control. Row 5 is a worked example. Overwrite it.</t>
  </si>
  <si>
    <t xml:space="preserve">C-ITAC-004</t>
  </si>
  <si>
    <t xml:space="preserve">Head of AP</t>
  </si>
  <si>
    <t xml:space="preserve">System (automated)</t>
  </si>
  <si>
    <t xml:space="preserve">SAP functional support</t>
  </si>
  <si>
    <t xml:space="preserve">SAP functional lead</t>
  </si>
  <si>
    <t xml:space="preserve">SYS-03</t>
  </si>
  <si>
    <t xml:space="preserve">Confirmed</t>
  </si>
  <si>
    <t xml:space="preserve">W07 — Open Items</t>
  </si>
  <si>
    <t xml:space="preserve">Ownership or evidence questions still to resolve.</t>
  </si>
  <si>
    <t xml:space="preserve">OI-01</t>
  </si>
  <si>
    <t xml:space="preserve">C-ITGC-AC-004</t>
  </si>
  <si>
    <t xml:space="preserve">Controller list for Firefighter IDs not yet provided</t>
  </si>
  <si>
    <t xml:space="preserve">IT Security Manager</t>
  </si>
  <si>
    <t xml:space="preserve">Open</t>
  </si>
  <si>
    <t xml:space="preserve">CTRL-ID (from W05)</t>
  </si>
  <si>
    <t xml:space="preserve">Control title (from W05)</t>
  </si>
  <si>
    <t xml:space="preserve">Control owner (from W05)</t>
  </si>
  <si>
    <t xml:space="preserve">Expected evidence (from W05)</t>
  </si>
  <si>
    <t xml:space="preserve">Key control? Y/N (from W05)</t>
  </si>
  <si>
    <t xml:space="preserve">Risk owner (from W04)</t>
  </si>
  <si>
    <t xml:space="preserve">Three-way match blocks out-of-tolerance invoices</t>
  </si>
  <si>
    <t xml:space="preserve">OMR6 screenshot, table change log, blocked invoice sample</t>
  </si>
  <si>
    <t xml:space="preserve">Y</t>
  </si>
  <si>
    <t xml:space="preserve">C-ITGC-AC-002</t>
  </si>
  <si>
    <t xml:space="preserve">Timely removal of leavers</t>
  </si>
  <si>
    <t xml:space="preserve">HR leavers report; SU01 change documents</t>
  </si>
  <si>
    <t xml:space="preserve">C-ITGC-AC-003</t>
  </si>
  <si>
    <t xml:space="preserve">Quarterly user access review</t>
  </si>
  <si>
    <t xml:space="preserve">UAR campaign export, sign-offs, removal evidence</t>
  </si>
  <si>
    <t xml:space="preserve">Firefighter use approved and reviewed</t>
  </si>
  <si>
    <t xml:space="preserve">EAM session logs, approvals, controller review</t>
  </si>
  <si>
    <t xml:space="preserve">C-ITGC-PC-001</t>
  </si>
  <si>
    <t xml:space="preserve">Transports approved, tested, imported by Basis</t>
  </si>
  <si>
    <t xml:space="preserve">Basis Lead</t>
  </si>
  <si>
    <t xml:space="preserve">STMS import history; change tickets</t>
  </si>
  <si>
    <t xml:space="preserve">C-BPC-P2P-003</t>
  </si>
  <si>
    <t xml:space="preserve">Payment file reconciliation</t>
  </si>
  <si>
    <t xml:space="preserve">Treasury Manager</t>
  </si>
  <si>
    <t xml:space="preserve">Bank confirmations, F110 logs</t>
  </si>
  <si>
    <t xml:space="preserve">OStat</t>
  </si>
  <si>
    <t xml:space="preserve">OpenStatus</t>
  </si>
  <si>
    <t xml:space="preserve">Outstanding</t>
  </si>
  <si>
    <t xml:space="preserve">In progress</t>
  </si>
  <si>
    <t xml:space="preserve">Closed</t>
  </si>
  <si>
    <t xml:space="preserve">W07 — Completion checks</t>
  </si>
  <si>
    <t xml:space="preserve">All checks are formulas. A workbook passes its gate when every status reads PASS (INFO rows are counts for your information).</t>
  </si>
  <si>
    <t xml:space="preserve">Overall</t>
  </si>
  <si>
    <t xml:space="preserve">Check</t>
  </si>
  <si>
    <t xml:space="preserve">Count</t>
  </si>
  <si>
    <t xml:space="preserve">What to do if REVIEW</t>
  </si>
  <si>
    <t xml:space="preserve">Controls with an owner row</t>
  </si>
  <si>
    <t xml:space="preserve">INFO</t>
  </si>
  <si>
    <t xml:space="preserve">—</t>
  </si>
  <si>
    <t xml:space="preserve">Duplicate CTRL-IDs</t>
  </si>
  <si>
    <t xml:space="preserve">One row per control.</t>
  </si>
  <si>
    <t xml:space="preserve">Rows needing attention</t>
  </si>
  <si>
    <t xml:space="preserve">Read the Row check column.</t>
  </si>
  <si>
    <t xml:space="preserve">W05 controls with no owner-matrix row</t>
  </si>
  <si>
    <t xml:space="preserve">Every in-scope CTRL-ID needs a row.</t>
  </si>
  <si>
    <t xml:space="preserve">Owners still Outstanding</t>
  </si>
  <si>
    <t xml:space="preserve">Escalate in the W14 dependency list. Not a control failure.</t>
  </si>
  <si>
    <t xml:space="preserve">Key controls with owner not yet confirmed</t>
  </si>
  <si>
    <t xml:space="preserve">Prioritise before gate G5.</t>
  </si>
  <si>
    <t xml:space="preserve">Rows with no backup contact</t>
  </si>
  <si>
    <t xml:space="preserve">Recommended: identify an alternate.</t>
  </si>
  <si>
    <t xml:space="preserve">Open items still open</t>
  </si>
  <si>
    <t xml:space="preserve">Track to closure.</t>
  </si>
</sst>
</file>

<file path=xl/styles.xml><?xml version="1.0" encoding="utf-8"?>
<styleSheet xmlns="http://schemas.openxmlformats.org/spreadsheetml/2006/main">
  <numFmts count="2">
    <numFmt numFmtId="164" formatCode="General"/>
    <numFmt numFmtId="165" formatCode="dd\-mmm\-yyyy"/>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FFFFFF"/>
      </patternFill>
    </fill>
    <fill>
      <patternFill patternType="solid">
        <fgColor rgb="FF0E7C86"/>
        <bgColor rgb="FF008080"/>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ED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15" hidden="false" customHeight="true" outlineLevel="0" collapsed="false">
      <c r="A9" s="4" t="s">
        <v>6</v>
      </c>
      <c r="B9" s="4"/>
      <c r="C9" s="4"/>
      <c r="D9" s="4"/>
    </row>
    <row r="10" customFormat="false" ht="1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15"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15"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1" customFormat="false" ht="15" hidden="false" customHeight="true" outlineLevel="0" collapsed="false">
      <c r="A21" s="4" t="s">
        <v>16</v>
      </c>
      <c r="B21" s="4"/>
      <c r="C21" s="4"/>
      <c r="D21" s="4"/>
    </row>
    <row r="23" customFormat="false" ht="15" hidden="false" customHeight="false" outlineLevel="0" collapsed="false">
      <c r="A23" s="3" t="s">
        <v>17</v>
      </c>
    </row>
    <row r="24" customFormat="false" ht="15" hidden="false" customHeight="true" outlineLevel="0" collapsed="false">
      <c r="A24" s="4" t="s">
        <v>18</v>
      </c>
      <c r="B24" s="4"/>
      <c r="C24" s="4"/>
      <c r="D24" s="4"/>
    </row>
    <row r="26" customFormat="false" ht="15" hidden="false" customHeight="false" outlineLevel="0" collapsed="false">
      <c r="A26" s="3" t="s">
        <v>19</v>
      </c>
    </row>
    <row r="27" customFormat="false" ht="15" hidden="false" customHeight="false" outlineLevel="0" collapsed="false">
      <c r="A27" s="5" t="s">
        <v>20</v>
      </c>
      <c r="B27" s="5" t="s">
        <v>21</v>
      </c>
      <c r="C27" s="5" t="s">
        <v>22</v>
      </c>
      <c r="D27" s="5" t="s">
        <v>23</v>
      </c>
      <c r="E27" s="5" t="s">
        <v>24</v>
      </c>
    </row>
    <row r="28" customFormat="false" ht="15" hidden="false" customHeight="false" outlineLevel="0" collapsed="false">
      <c r="A28" s="6" t="s">
        <v>25</v>
      </c>
      <c r="B28" s="6" t="s">
        <v>26</v>
      </c>
      <c r="C28" s="6" t="s">
        <v>27</v>
      </c>
      <c r="D28" s="6" t="s">
        <v>28</v>
      </c>
      <c r="E28" s="6" t="s">
        <v>29</v>
      </c>
    </row>
    <row r="29" customFormat="false" ht="15" hidden="false" customHeight="false" outlineLevel="0" collapsed="false">
      <c r="A29" s="6" t="s">
        <v>25</v>
      </c>
      <c r="B29" s="6" t="s">
        <v>30</v>
      </c>
      <c r="C29" s="6" t="s">
        <v>31</v>
      </c>
      <c r="D29" s="6" t="s">
        <v>32</v>
      </c>
      <c r="E29" s="6" t="s">
        <v>32</v>
      </c>
    </row>
    <row r="30" customFormat="false" ht="15" hidden="false" customHeight="false" outlineLevel="0" collapsed="false">
      <c r="A30" s="6" t="s">
        <v>25</v>
      </c>
      <c r="B30" s="6" t="s">
        <v>33</v>
      </c>
      <c r="C30" s="6" t="s">
        <v>31</v>
      </c>
      <c r="D30" s="6" t="s">
        <v>32</v>
      </c>
      <c r="E30" s="6" t="s">
        <v>32</v>
      </c>
    </row>
    <row r="31" customFormat="false" ht="15" hidden="false" customHeight="false" outlineLevel="0" collapsed="false">
      <c r="A31" s="6" t="s">
        <v>25</v>
      </c>
      <c r="B31" s="6" t="s">
        <v>34</v>
      </c>
      <c r="C31" s="6" t="s">
        <v>35</v>
      </c>
      <c r="D31" s="6" t="s">
        <v>32</v>
      </c>
      <c r="E31" s="6" t="s">
        <v>32</v>
      </c>
    </row>
    <row r="32" customFormat="false" ht="15" hidden="false" customHeight="false" outlineLevel="0" collapsed="false">
      <c r="A32" s="6" t="s">
        <v>25</v>
      </c>
      <c r="B32" s="6" t="s">
        <v>36</v>
      </c>
      <c r="C32" s="6" t="s">
        <v>37</v>
      </c>
      <c r="D32" s="6" t="s">
        <v>38</v>
      </c>
      <c r="E32" s="6" t="s">
        <v>29</v>
      </c>
    </row>
    <row r="33" customFormat="false" ht="15" hidden="false" customHeight="false" outlineLevel="0" collapsed="false">
      <c r="A33" s="6" t="s">
        <v>25</v>
      </c>
      <c r="B33" s="6" t="s">
        <v>39</v>
      </c>
      <c r="C33" s="6" t="s">
        <v>40</v>
      </c>
      <c r="D33" s="6" t="s">
        <v>41</v>
      </c>
      <c r="E33" s="6" t="s">
        <v>29</v>
      </c>
    </row>
    <row r="34" customFormat="false" ht="15" hidden="false" customHeight="false" outlineLevel="0" collapsed="false">
      <c r="A34" s="6" t="s">
        <v>25</v>
      </c>
      <c r="B34" s="6" t="s">
        <v>42</v>
      </c>
      <c r="C34" s="6" t="s">
        <v>43</v>
      </c>
      <c r="D34" s="6" t="s">
        <v>38</v>
      </c>
      <c r="E34" s="6" t="s">
        <v>29</v>
      </c>
    </row>
    <row r="35" customFormat="false" ht="15" hidden="false" customHeight="false" outlineLevel="0" collapsed="false">
      <c r="A35" s="6" t="s">
        <v>25</v>
      </c>
      <c r="B35" s="6" t="s">
        <v>44</v>
      </c>
      <c r="C35" s="6" t="s">
        <v>45</v>
      </c>
      <c r="D35" s="6" t="s">
        <v>46</v>
      </c>
      <c r="E35" s="6" t="s">
        <v>29</v>
      </c>
    </row>
    <row r="36" customFormat="false" ht="15" hidden="false" customHeight="false" outlineLevel="0" collapsed="false">
      <c r="A36" s="6" t="s">
        <v>25</v>
      </c>
      <c r="B36" s="6" t="s">
        <v>47</v>
      </c>
      <c r="C36" s="6" t="s">
        <v>48</v>
      </c>
      <c r="D36" s="6" t="s">
        <v>49</v>
      </c>
      <c r="E36" s="6" t="s">
        <v>29</v>
      </c>
    </row>
    <row r="37" customFormat="false" ht="15" hidden="false" customHeight="false" outlineLevel="0" collapsed="false">
      <c r="A37" s="6" t="s">
        <v>25</v>
      </c>
      <c r="B37" s="6" t="s">
        <v>50</v>
      </c>
      <c r="C37" s="6" t="s">
        <v>31</v>
      </c>
      <c r="D37" s="6" t="s">
        <v>32</v>
      </c>
      <c r="E37" s="6" t="s">
        <v>32</v>
      </c>
    </row>
    <row r="38" customFormat="false" ht="15" hidden="false" customHeight="false" outlineLevel="0" collapsed="false">
      <c r="A38" s="6" t="s">
        <v>25</v>
      </c>
      <c r="B38" s="6" t="s">
        <v>51</v>
      </c>
      <c r="C38" s="6" t="s">
        <v>52</v>
      </c>
      <c r="D38" s="6" t="s">
        <v>53</v>
      </c>
      <c r="E38" s="6" t="s">
        <v>29</v>
      </c>
    </row>
    <row r="39" customFormat="false" ht="15" hidden="false" customHeight="false" outlineLevel="0" collapsed="false">
      <c r="A39" s="6" t="s">
        <v>25</v>
      </c>
      <c r="B39" s="6" t="s">
        <v>54</v>
      </c>
      <c r="C39" s="6" t="s">
        <v>55</v>
      </c>
      <c r="D39" s="6" t="s">
        <v>56</v>
      </c>
      <c r="E39" s="6" t="s">
        <v>29</v>
      </c>
    </row>
    <row r="40" customFormat="false" ht="15" hidden="false" customHeight="false" outlineLevel="0" collapsed="false">
      <c r="A40" s="6" t="s">
        <v>25</v>
      </c>
      <c r="B40" s="6" t="s">
        <v>57</v>
      </c>
      <c r="C40" s="6" t="s">
        <v>58</v>
      </c>
      <c r="D40" s="6" t="s">
        <v>59</v>
      </c>
      <c r="E40" s="6" t="s">
        <v>29</v>
      </c>
    </row>
    <row r="41" customFormat="false" ht="15" hidden="false" customHeight="false" outlineLevel="0" collapsed="false">
      <c r="A41" s="6" t="s">
        <v>25</v>
      </c>
      <c r="B41" s="6" t="s">
        <v>60</v>
      </c>
      <c r="C41" s="6" t="s">
        <v>61</v>
      </c>
      <c r="D41" s="6" t="s">
        <v>62</v>
      </c>
      <c r="E41" s="6" t="s">
        <v>29</v>
      </c>
    </row>
    <row r="42" customFormat="false" ht="15" hidden="false" customHeight="false" outlineLevel="0" collapsed="false">
      <c r="A42" s="6" t="s">
        <v>25</v>
      </c>
      <c r="B42" s="6" t="s">
        <v>63</v>
      </c>
      <c r="C42" s="6" t="s">
        <v>64</v>
      </c>
      <c r="D42" s="6" t="s">
        <v>32</v>
      </c>
      <c r="E42" s="6" t="s">
        <v>32</v>
      </c>
    </row>
    <row r="43" customFormat="false" ht="15" hidden="false" customHeight="false" outlineLevel="0" collapsed="false">
      <c r="A43" s="6" t="s">
        <v>65</v>
      </c>
      <c r="B43" s="6" t="s">
        <v>66</v>
      </c>
      <c r="C43" s="6" t="s">
        <v>67</v>
      </c>
      <c r="D43" s="6" t="s">
        <v>68</v>
      </c>
      <c r="E43" s="6" t="s">
        <v>29</v>
      </c>
    </row>
    <row r="44" customFormat="false" ht="15" hidden="false" customHeight="false" outlineLevel="0" collapsed="false">
      <c r="A44" s="6" t="s">
        <v>65</v>
      </c>
      <c r="B44" s="6" t="s">
        <v>69</v>
      </c>
      <c r="C44" s="6" t="s">
        <v>70</v>
      </c>
      <c r="D44" s="6" t="s">
        <v>71</v>
      </c>
      <c r="E44" s="6" t="s">
        <v>29</v>
      </c>
    </row>
    <row r="45" customFormat="false" ht="15" hidden="false" customHeight="false" outlineLevel="0" collapsed="false">
      <c r="A45" s="6" t="s">
        <v>65</v>
      </c>
      <c r="B45" s="6" t="s">
        <v>72</v>
      </c>
      <c r="C45" s="6" t="s">
        <v>73</v>
      </c>
      <c r="D45" s="6" t="s">
        <v>74</v>
      </c>
      <c r="E45" s="6" t="s">
        <v>29</v>
      </c>
    </row>
    <row r="46" customFormat="false" ht="15" hidden="false" customHeight="false" outlineLevel="0" collapsed="false">
      <c r="A46" s="6" t="s">
        <v>65</v>
      </c>
      <c r="B46" s="6" t="s">
        <v>75</v>
      </c>
      <c r="C46" s="6" t="s">
        <v>76</v>
      </c>
      <c r="D46" s="6" t="s">
        <v>77</v>
      </c>
      <c r="E46" s="6" t="s">
        <v>29</v>
      </c>
    </row>
    <row r="47" customFormat="false" ht="15" hidden="false" customHeight="false" outlineLevel="0" collapsed="false">
      <c r="A47" s="6" t="s">
        <v>65</v>
      </c>
      <c r="B47" s="6" t="s">
        <v>78</v>
      </c>
      <c r="C47" s="6" t="s">
        <v>79</v>
      </c>
      <c r="D47" s="6" t="s">
        <v>80</v>
      </c>
      <c r="E47" s="6" t="s">
        <v>29</v>
      </c>
    </row>
    <row r="48" customFormat="false" ht="15" hidden="false" customHeight="false" outlineLevel="0" collapsed="false">
      <c r="A48" s="6" t="s">
        <v>65</v>
      </c>
      <c r="B48" s="6" t="s">
        <v>81</v>
      </c>
      <c r="C48" s="6" t="s">
        <v>82</v>
      </c>
      <c r="D48" s="6" t="s">
        <v>80</v>
      </c>
      <c r="E48" s="6" t="s">
        <v>29</v>
      </c>
    </row>
    <row r="49" customFormat="false" ht="15" hidden="false" customHeight="false" outlineLevel="0" collapsed="false">
      <c r="A49" s="6" t="s">
        <v>65</v>
      </c>
      <c r="B49" s="6" t="s">
        <v>83</v>
      </c>
      <c r="C49" s="6" t="s">
        <v>84</v>
      </c>
      <c r="D49" s="6" t="s">
        <v>85</v>
      </c>
      <c r="E49" s="6" t="s">
        <v>29</v>
      </c>
    </row>
    <row r="50" customFormat="false" ht="15" hidden="false" customHeight="false" outlineLevel="0" collapsed="false">
      <c r="A50" s="6" t="s">
        <v>65</v>
      </c>
      <c r="B50" s="6" t="s">
        <v>86</v>
      </c>
      <c r="C50" s="6" t="s">
        <v>87</v>
      </c>
      <c r="D50" s="6" t="s">
        <v>74</v>
      </c>
      <c r="E50" s="6" t="s">
        <v>29</v>
      </c>
    </row>
    <row r="52" customFormat="false" ht="15" hidden="false" customHeight="false" outlineLevel="0" collapsed="false">
      <c r="A52" s="3" t="s">
        <v>88</v>
      </c>
    </row>
    <row r="53" customFormat="false" ht="15" hidden="false" customHeight="false" outlineLevel="0" collapsed="false">
      <c r="A53" s="7" t="s">
        <v>89</v>
      </c>
    </row>
    <row r="54" customFormat="false" ht="15" hidden="false" customHeight="false" outlineLevel="0" collapsed="false">
      <c r="A54" s="8" t="s">
        <v>90</v>
      </c>
    </row>
  </sheetData>
  <mergeCells count="12">
    <mergeCell ref="A5:D5"/>
    <mergeCell ref="A8:D8"/>
    <mergeCell ref="A9:D9"/>
    <mergeCell ref="A10:D10"/>
    <mergeCell ref="A11:D11"/>
    <mergeCell ref="A12:D12"/>
    <mergeCell ref="A15:D15"/>
    <mergeCell ref="A18:D18"/>
    <mergeCell ref="A19:D19"/>
    <mergeCell ref="A20:D20"/>
    <mergeCell ref="A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9"/>
    <col collapsed="false" customWidth="true" hidden="false" outlineLevel="0" max="6" min="4" style="0" width="18"/>
    <col collapsed="false" customWidth="true" hidden="false" outlineLevel="0" max="7" min="7" style="0" width="22"/>
    <col collapsed="false" customWidth="true" hidden="false" outlineLevel="0" max="8" min="8" style="0" width="16"/>
    <col collapsed="false" customWidth="true" hidden="false" outlineLevel="0" max="9" min="9" style="0" width="10"/>
    <col collapsed="false" customWidth="true" hidden="false" outlineLevel="0" max="10" min="10" style="0" width="30"/>
    <col collapsed="false" customWidth="true" hidden="false" outlineLevel="0" max="11" min="11" style="0" width="18"/>
    <col collapsed="false" customWidth="true" hidden="false" outlineLevel="0" max="13" min="12" style="0" width="12"/>
    <col collapsed="false" customWidth="true" hidden="false" outlineLevel="0" max="14" min="14" style="0" width="28"/>
    <col collapsed="false" customWidth="true" hidden="false" outlineLevel="0" max="15" min="15" style="0" width="30"/>
  </cols>
  <sheetData>
    <row r="1" customFormat="false" ht="17.35" hidden="false" customHeight="false" outlineLevel="0" collapsed="false">
      <c r="A1" s="9" t="s">
        <v>91</v>
      </c>
    </row>
    <row r="2" customFormat="false" ht="15" hidden="false" customHeight="false" outlineLevel="0" collapsed="false">
      <c r="A2" s="10" t="s">
        <v>92</v>
      </c>
    </row>
    <row r="4" customFormat="false" ht="31.5" hidden="false" customHeight="true" outlineLevel="0" collapsed="false">
      <c r="A4" s="11" t="s">
        <v>26</v>
      </c>
      <c r="B4" s="12" t="s">
        <v>30</v>
      </c>
      <c r="C4" s="12" t="s">
        <v>33</v>
      </c>
      <c r="D4" s="12" t="s">
        <v>34</v>
      </c>
      <c r="E4" s="11" t="s">
        <v>36</v>
      </c>
      <c r="F4" s="11" t="s">
        <v>39</v>
      </c>
      <c r="G4" s="11" t="s">
        <v>42</v>
      </c>
      <c r="H4" s="11" t="s">
        <v>44</v>
      </c>
      <c r="I4" s="11" t="s">
        <v>47</v>
      </c>
      <c r="J4" s="12" t="s">
        <v>50</v>
      </c>
      <c r="K4" s="11" t="s">
        <v>51</v>
      </c>
      <c r="L4" s="11" t="s">
        <v>54</v>
      </c>
      <c r="M4" s="11" t="s">
        <v>57</v>
      </c>
      <c r="N4" s="11" t="s">
        <v>60</v>
      </c>
      <c r="O4" s="12" t="s">
        <v>63</v>
      </c>
    </row>
    <row r="5" customFormat="false" ht="23.85" hidden="false" customHeight="false" outlineLevel="0" collapsed="false">
      <c r="A5" s="13" t="s">
        <v>93</v>
      </c>
      <c r="B5" s="14" t="str">
        <f aca="false">IFERROR(INDEX(Ref_CTRL!$B$2:$B$201,MATCH(A5,Ref_CTRL!$A$2:$A$201,0)),"")</f>
        <v>Three-way match blocks out-of-tolerance invoices</v>
      </c>
      <c r="C5" s="14" t="str">
        <f aca="false">IFERROR(INDEX(Ref_CTRL!$E$2:$E$201,MATCH(A5,Ref_CTRL!$A$2:$A$201,0)),"")</f>
        <v>Y</v>
      </c>
      <c r="D5" s="14" t="str">
        <f aca="false">IFERROR(INDEX(Ref_CTRL!$F$2:$F$201,MATCH(A5,Ref_CTRL!$A$2:$A$201,0)),"")</f>
        <v>Head of AP</v>
      </c>
      <c r="E5" s="13" t="s">
        <v>94</v>
      </c>
      <c r="F5" s="13" t="s">
        <v>95</v>
      </c>
      <c r="G5" s="13" t="s">
        <v>96</v>
      </c>
      <c r="H5" s="13" t="s">
        <v>97</v>
      </c>
      <c r="I5" s="13" t="s">
        <v>98</v>
      </c>
      <c r="J5" s="14" t="str">
        <f aca="false">IFERROR(INDEX(Ref_CTRL!$D$2:$D$201,MATCH(A5,Ref_CTRL!$A$2:$A$201,0)),"")</f>
        <v>OMR6 screenshot, table change log, blocked invoice sample</v>
      </c>
      <c r="K5" s="13" t="s">
        <v>97</v>
      </c>
      <c r="L5" s="13" t="s">
        <v>99</v>
      </c>
      <c r="M5" s="15" t="n">
        <v>46296</v>
      </c>
      <c r="N5" s="13"/>
      <c r="O5" s="14" t="str">
        <f aca="false">IF(A5="","",IF(COUNTIF(Ref_CTRL!$A$2:$A$201,A5)=0,"CTRL-ID not in W05",IF(L5="","Owner status needed",IF(AND(L5="Confirmed",OR(E5="",G5="")),"Confirmed needs control and evidence owner",IF(AND(L5="Confirmed",M5=""),"Date confirmed needed",IF(AND(L5="Outstanding",N5=""),"Follow-up needed",IF(AND(C5="Y",K5=""),"Walkthrough contact needed (key control)","OK")))))))</f>
        <v>OK</v>
      </c>
    </row>
    <row r="6" customFormat="false" ht="15" hidden="false" customHeight="false" outlineLevel="0" collapsed="false">
      <c r="A6" s="16"/>
      <c r="B6" s="17" t="str">
        <f aca="false">IFERROR(INDEX(Ref_CTRL!$B$2:$B$201,MATCH(A6,Ref_CTRL!$A$2:$A$201,0)),"")</f>
        <v/>
      </c>
      <c r="C6" s="17" t="str">
        <f aca="false">IFERROR(INDEX(Ref_CTRL!$E$2:$E$201,MATCH(A6,Ref_CTRL!$A$2:$A$201,0)),"")</f>
        <v/>
      </c>
      <c r="D6" s="17" t="str">
        <f aca="false">IFERROR(INDEX(Ref_CTRL!$F$2:$F$201,MATCH(A6,Ref_CTRL!$A$2:$A$201,0)),"")</f>
        <v/>
      </c>
      <c r="E6" s="16"/>
      <c r="F6" s="16"/>
      <c r="G6" s="16"/>
      <c r="H6" s="16"/>
      <c r="I6" s="16"/>
      <c r="J6" s="17" t="str">
        <f aca="false">IFERROR(INDEX(Ref_CTRL!$D$2:$D$201,MATCH(A6,Ref_CTRL!$A$2:$A$201,0)),"")</f>
        <v/>
      </c>
      <c r="K6" s="16"/>
      <c r="L6" s="16"/>
      <c r="M6" s="18"/>
      <c r="N6" s="16"/>
      <c r="O6" s="17" t="str">
        <f aca="false">IF(A6="","",IF(COUNTIF(Ref_CTRL!$A$2:$A$201,A6)=0,"CTRL-ID not in W05",IF(L6="","Owner status needed",IF(AND(L6="Confirmed",OR(E6="",G6="")),"Confirmed needs control and evidence owner",IF(AND(L6="Confirmed",M6=""),"Date confirmed needed",IF(AND(L6="Outstanding",N6=""),"Follow-up needed",IF(AND(C6="Y",K6=""),"Walkthrough contact needed (key control)","OK")))))))</f>
        <v/>
      </c>
    </row>
    <row r="7" customFormat="false" ht="15" hidden="false" customHeight="false" outlineLevel="0" collapsed="false">
      <c r="A7" s="16"/>
      <c r="B7" s="17" t="str">
        <f aca="false">IFERROR(INDEX(Ref_CTRL!$B$2:$B$201,MATCH(A7,Ref_CTRL!$A$2:$A$201,0)),"")</f>
        <v/>
      </c>
      <c r="C7" s="17" t="str">
        <f aca="false">IFERROR(INDEX(Ref_CTRL!$E$2:$E$201,MATCH(A7,Ref_CTRL!$A$2:$A$201,0)),"")</f>
        <v/>
      </c>
      <c r="D7" s="17" t="str">
        <f aca="false">IFERROR(INDEX(Ref_CTRL!$F$2:$F$201,MATCH(A7,Ref_CTRL!$A$2:$A$201,0)),"")</f>
        <v/>
      </c>
      <c r="E7" s="16"/>
      <c r="F7" s="16"/>
      <c r="G7" s="16"/>
      <c r="H7" s="16"/>
      <c r="I7" s="16"/>
      <c r="J7" s="17" t="str">
        <f aca="false">IFERROR(INDEX(Ref_CTRL!$D$2:$D$201,MATCH(A7,Ref_CTRL!$A$2:$A$201,0)),"")</f>
        <v/>
      </c>
      <c r="K7" s="16"/>
      <c r="L7" s="16"/>
      <c r="M7" s="18"/>
      <c r="N7" s="16"/>
      <c r="O7" s="17" t="str">
        <f aca="false">IF(A7="","",IF(COUNTIF(Ref_CTRL!$A$2:$A$201,A7)=0,"CTRL-ID not in W05",IF(L7="","Owner status needed",IF(AND(L7="Confirmed",OR(E7="",G7="")),"Confirmed needs control and evidence owner",IF(AND(L7="Confirmed",M7=""),"Date confirmed needed",IF(AND(L7="Outstanding",N7=""),"Follow-up needed",IF(AND(C7="Y",K7=""),"Walkthrough contact needed (key control)","OK")))))))</f>
        <v/>
      </c>
    </row>
    <row r="8" customFormat="false" ht="15" hidden="false" customHeight="false" outlineLevel="0" collapsed="false">
      <c r="A8" s="16"/>
      <c r="B8" s="17" t="str">
        <f aca="false">IFERROR(INDEX(Ref_CTRL!$B$2:$B$201,MATCH(A8,Ref_CTRL!$A$2:$A$201,0)),"")</f>
        <v/>
      </c>
      <c r="C8" s="17" t="str">
        <f aca="false">IFERROR(INDEX(Ref_CTRL!$E$2:$E$201,MATCH(A8,Ref_CTRL!$A$2:$A$201,0)),"")</f>
        <v/>
      </c>
      <c r="D8" s="17" t="str">
        <f aca="false">IFERROR(INDEX(Ref_CTRL!$F$2:$F$201,MATCH(A8,Ref_CTRL!$A$2:$A$201,0)),"")</f>
        <v/>
      </c>
      <c r="E8" s="16"/>
      <c r="F8" s="16"/>
      <c r="G8" s="16"/>
      <c r="H8" s="16"/>
      <c r="I8" s="16"/>
      <c r="J8" s="17" t="str">
        <f aca="false">IFERROR(INDEX(Ref_CTRL!$D$2:$D$201,MATCH(A8,Ref_CTRL!$A$2:$A$201,0)),"")</f>
        <v/>
      </c>
      <c r="K8" s="16"/>
      <c r="L8" s="16"/>
      <c r="M8" s="18"/>
      <c r="N8" s="16"/>
      <c r="O8" s="17" t="str">
        <f aca="false">IF(A8="","",IF(COUNTIF(Ref_CTRL!$A$2:$A$201,A8)=0,"CTRL-ID not in W05",IF(L8="","Owner status needed",IF(AND(L8="Confirmed",OR(E8="",G8="")),"Confirmed needs control and evidence owner",IF(AND(L8="Confirmed",M8=""),"Date confirmed needed",IF(AND(L8="Outstanding",N8=""),"Follow-up needed",IF(AND(C8="Y",K8=""),"Walkthrough contact needed (key control)","OK")))))))</f>
        <v/>
      </c>
    </row>
    <row r="9" customFormat="false" ht="15" hidden="false" customHeight="false" outlineLevel="0" collapsed="false">
      <c r="A9" s="16"/>
      <c r="B9" s="17" t="str">
        <f aca="false">IFERROR(INDEX(Ref_CTRL!$B$2:$B$201,MATCH(A9,Ref_CTRL!$A$2:$A$201,0)),"")</f>
        <v/>
      </c>
      <c r="C9" s="17" t="str">
        <f aca="false">IFERROR(INDEX(Ref_CTRL!$E$2:$E$201,MATCH(A9,Ref_CTRL!$A$2:$A$201,0)),"")</f>
        <v/>
      </c>
      <c r="D9" s="17" t="str">
        <f aca="false">IFERROR(INDEX(Ref_CTRL!$F$2:$F$201,MATCH(A9,Ref_CTRL!$A$2:$A$201,0)),"")</f>
        <v/>
      </c>
      <c r="E9" s="16"/>
      <c r="F9" s="16"/>
      <c r="G9" s="16"/>
      <c r="H9" s="16"/>
      <c r="I9" s="16"/>
      <c r="J9" s="17" t="str">
        <f aca="false">IFERROR(INDEX(Ref_CTRL!$D$2:$D$201,MATCH(A9,Ref_CTRL!$A$2:$A$201,0)),"")</f>
        <v/>
      </c>
      <c r="K9" s="16"/>
      <c r="L9" s="16"/>
      <c r="M9" s="18"/>
      <c r="N9" s="16"/>
      <c r="O9" s="17" t="str">
        <f aca="false">IF(A9="","",IF(COUNTIF(Ref_CTRL!$A$2:$A$201,A9)=0,"CTRL-ID not in W05",IF(L9="","Owner status needed",IF(AND(L9="Confirmed",OR(E9="",G9="")),"Confirmed needs control and evidence owner",IF(AND(L9="Confirmed",M9=""),"Date confirmed needed",IF(AND(L9="Outstanding",N9=""),"Follow-up needed",IF(AND(C9="Y",K9=""),"Walkthrough contact needed (key control)","OK")))))))</f>
        <v/>
      </c>
    </row>
    <row r="10" customFormat="false" ht="15" hidden="false" customHeight="false" outlineLevel="0" collapsed="false">
      <c r="A10" s="16"/>
      <c r="B10" s="17" t="str">
        <f aca="false">IFERROR(INDEX(Ref_CTRL!$B$2:$B$201,MATCH(A10,Ref_CTRL!$A$2:$A$201,0)),"")</f>
        <v/>
      </c>
      <c r="C10" s="17" t="str">
        <f aca="false">IFERROR(INDEX(Ref_CTRL!$E$2:$E$201,MATCH(A10,Ref_CTRL!$A$2:$A$201,0)),"")</f>
        <v/>
      </c>
      <c r="D10" s="17" t="str">
        <f aca="false">IFERROR(INDEX(Ref_CTRL!$F$2:$F$201,MATCH(A10,Ref_CTRL!$A$2:$A$201,0)),"")</f>
        <v/>
      </c>
      <c r="E10" s="16"/>
      <c r="F10" s="16"/>
      <c r="G10" s="16"/>
      <c r="H10" s="16"/>
      <c r="I10" s="16"/>
      <c r="J10" s="17" t="str">
        <f aca="false">IFERROR(INDEX(Ref_CTRL!$D$2:$D$201,MATCH(A10,Ref_CTRL!$A$2:$A$201,0)),"")</f>
        <v/>
      </c>
      <c r="K10" s="16"/>
      <c r="L10" s="16"/>
      <c r="M10" s="18"/>
      <c r="N10" s="16"/>
      <c r="O10" s="17" t="str">
        <f aca="false">IF(A10="","",IF(COUNTIF(Ref_CTRL!$A$2:$A$201,A10)=0,"CTRL-ID not in W05",IF(L10="","Owner status needed",IF(AND(L10="Confirmed",OR(E10="",G10="")),"Confirmed needs control and evidence owner",IF(AND(L10="Confirmed",M10=""),"Date confirmed needed",IF(AND(L10="Outstanding",N10=""),"Follow-up needed",IF(AND(C10="Y",K10=""),"Walkthrough contact needed (key control)","OK")))))))</f>
        <v/>
      </c>
    </row>
    <row r="11" customFormat="false" ht="15" hidden="false" customHeight="false" outlineLevel="0" collapsed="false">
      <c r="A11" s="16"/>
      <c r="B11" s="17" t="str">
        <f aca="false">IFERROR(INDEX(Ref_CTRL!$B$2:$B$201,MATCH(A11,Ref_CTRL!$A$2:$A$201,0)),"")</f>
        <v/>
      </c>
      <c r="C11" s="17" t="str">
        <f aca="false">IFERROR(INDEX(Ref_CTRL!$E$2:$E$201,MATCH(A11,Ref_CTRL!$A$2:$A$201,0)),"")</f>
        <v/>
      </c>
      <c r="D11" s="17" t="str">
        <f aca="false">IFERROR(INDEX(Ref_CTRL!$F$2:$F$201,MATCH(A11,Ref_CTRL!$A$2:$A$201,0)),"")</f>
        <v/>
      </c>
      <c r="E11" s="16"/>
      <c r="F11" s="16"/>
      <c r="G11" s="16"/>
      <c r="H11" s="16"/>
      <c r="I11" s="16"/>
      <c r="J11" s="17" t="str">
        <f aca="false">IFERROR(INDEX(Ref_CTRL!$D$2:$D$201,MATCH(A11,Ref_CTRL!$A$2:$A$201,0)),"")</f>
        <v/>
      </c>
      <c r="K11" s="16"/>
      <c r="L11" s="16"/>
      <c r="M11" s="18"/>
      <c r="N11" s="16"/>
      <c r="O11" s="17" t="str">
        <f aca="false">IF(A11="","",IF(COUNTIF(Ref_CTRL!$A$2:$A$201,A11)=0,"CTRL-ID not in W05",IF(L11="","Owner status needed",IF(AND(L11="Confirmed",OR(E11="",G11="")),"Confirmed needs control and evidence owner",IF(AND(L11="Confirmed",M11=""),"Date confirmed needed",IF(AND(L11="Outstanding",N11=""),"Follow-up needed",IF(AND(C11="Y",K11=""),"Walkthrough contact needed (key control)","OK")))))))</f>
        <v/>
      </c>
    </row>
    <row r="12" customFormat="false" ht="15" hidden="false" customHeight="false" outlineLevel="0" collapsed="false">
      <c r="A12" s="16"/>
      <c r="B12" s="17" t="str">
        <f aca="false">IFERROR(INDEX(Ref_CTRL!$B$2:$B$201,MATCH(A12,Ref_CTRL!$A$2:$A$201,0)),"")</f>
        <v/>
      </c>
      <c r="C12" s="17" t="str">
        <f aca="false">IFERROR(INDEX(Ref_CTRL!$E$2:$E$201,MATCH(A12,Ref_CTRL!$A$2:$A$201,0)),"")</f>
        <v/>
      </c>
      <c r="D12" s="17" t="str">
        <f aca="false">IFERROR(INDEX(Ref_CTRL!$F$2:$F$201,MATCH(A12,Ref_CTRL!$A$2:$A$201,0)),"")</f>
        <v/>
      </c>
      <c r="E12" s="16"/>
      <c r="F12" s="16"/>
      <c r="G12" s="16"/>
      <c r="H12" s="16"/>
      <c r="I12" s="16"/>
      <c r="J12" s="17" t="str">
        <f aca="false">IFERROR(INDEX(Ref_CTRL!$D$2:$D$201,MATCH(A12,Ref_CTRL!$A$2:$A$201,0)),"")</f>
        <v/>
      </c>
      <c r="K12" s="16"/>
      <c r="L12" s="16"/>
      <c r="M12" s="18"/>
      <c r="N12" s="16"/>
      <c r="O12" s="17" t="str">
        <f aca="false">IF(A12="","",IF(COUNTIF(Ref_CTRL!$A$2:$A$201,A12)=0,"CTRL-ID not in W05",IF(L12="","Owner status needed",IF(AND(L12="Confirmed",OR(E12="",G12="")),"Confirmed needs control and evidence owner",IF(AND(L12="Confirmed",M12=""),"Date confirmed needed",IF(AND(L12="Outstanding",N12=""),"Follow-up needed",IF(AND(C12="Y",K12=""),"Walkthrough contact needed (key control)","OK")))))))</f>
        <v/>
      </c>
    </row>
    <row r="13" customFormat="false" ht="15" hidden="false" customHeight="false" outlineLevel="0" collapsed="false">
      <c r="A13" s="16"/>
      <c r="B13" s="17" t="str">
        <f aca="false">IFERROR(INDEX(Ref_CTRL!$B$2:$B$201,MATCH(A13,Ref_CTRL!$A$2:$A$201,0)),"")</f>
        <v/>
      </c>
      <c r="C13" s="17" t="str">
        <f aca="false">IFERROR(INDEX(Ref_CTRL!$E$2:$E$201,MATCH(A13,Ref_CTRL!$A$2:$A$201,0)),"")</f>
        <v/>
      </c>
      <c r="D13" s="17" t="str">
        <f aca="false">IFERROR(INDEX(Ref_CTRL!$F$2:$F$201,MATCH(A13,Ref_CTRL!$A$2:$A$201,0)),"")</f>
        <v/>
      </c>
      <c r="E13" s="16"/>
      <c r="F13" s="16"/>
      <c r="G13" s="16"/>
      <c r="H13" s="16"/>
      <c r="I13" s="16"/>
      <c r="J13" s="17" t="str">
        <f aca="false">IFERROR(INDEX(Ref_CTRL!$D$2:$D$201,MATCH(A13,Ref_CTRL!$A$2:$A$201,0)),"")</f>
        <v/>
      </c>
      <c r="K13" s="16"/>
      <c r="L13" s="16"/>
      <c r="M13" s="18"/>
      <c r="N13" s="16"/>
      <c r="O13" s="17" t="str">
        <f aca="false">IF(A13="","",IF(COUNTIF(Ref_CTRL!$A$2:$A$201,A13)=0,"CTRL-ID not in W05",IF(L13="","Owner status needed",IF(AND(L13="Confirmed",OR(E13="",G13="")),"Confirmed needs control and evidence owner",IF(AND(L13="Confirmed",M13=""),"Date confirmed needed",IF(AND(L13="Outstanding",N13=""),"Follow-up needed",IF(AND(C13="Y",K13=""),"Walkthrough contact needed (key control)","OK")))))))</f>
        <v/>
      </c>
    </row>
    <row r="14" customFormat="false" ht="15" hidden="false" customHeight="false" outlineLevel="0" collapsed="false">
      <c r="A14" s="16"/>
      <c r="B14" s="17" t="str">
        <f aca="false">IFERROR(INDEX(Ref_CTRL!$B$2:$B$201,MATCH(A14,Ref_CTRL!$A$2:$A$201,0)),"")</f>
        <v/>
      </c>
      <c r="C14" s="17" t="str">
        <f aca="false">IFERROR(INDEX(Ref_CTRL!$E$2:$E$201,MATCH(A14,Ref_CTRL!$A$2:$A$201,0)),"")</f>
        <v/>
      </c>
      <c r="D14" s="17" t="str">
        <f aca="false">IFERROR(INDEX(Ref_CTRL!$F$2:$F$201,MATCH(A14,Ref_CTRL!$A$2:$A$201,0)),"")</f>
        <v/>
      </c>
      <c r="E14" s="16"/>
      <c r="F14" s="16"/>
      <c r="G14" s="16"/>
      <c r="H14" s="16"/>
      <c r="I14" s="16"/>
      <c r="J14" s="17" t="str">
        <f aca="false">IFERROR(INDEX(Ref_CTRL!$D$2:$D$201,MATCH(A14,Ref_CTRL!$A$2:$A$201,0)),"")</f>
        <v/>
      </c>
      <c r="K14" s="16"/>
      <c r="L14" s="16"/>
      <c r="M14" s="18"/>
      <c r="N14" s="16"/>
      <c r="O14" s="17" t="str">
        <f aca="false">IF(A14="","",IF(COUNTIF(Ref_CTRL!$A$2:$A$201,A14)=0,"CTRL-ID not in W05",IF(L14="","Owner status needed",IF(AND(L14="Confirmed",OR(E14="",G14="")),"Confirmed needs control and evidence owner",IF(AND(L14="Confirmed",M14=""),"Date confirmed needed",IF(AND(L14="Outstanding",N14=""),"Follow-up needed",IF(AND(C14="Y",K14=""),"Walkthrough contact needed (key control)","OK")))))))</f>
        <v/>
      </c>
    </row>
    <row r="15" customFormat="false" ht="15" hidden="false" customHeight="false" outlineLevel="0" collapsed="false">
      <c r="A15" s="16"/>
      <c r="B15" s="17" t="str">
        <f aca="false">IFERROR(INDEX(Ref_CTRL!$B$2:$B$201,MATCH(A15,Ref_CTRL!$A$2:$A$201,0)),"")</f>
        <v/>
      </c>
      <c r="C15" s="17" t="str">
        <f aca="false">IFERROR(INDEX(Ref_CTRL!$E$2:$E$201,MATCH(A15,Ref_CTRL!$A$2:$A$201,0)),"")</f>
        <v/>
      </c>
      <c r="D15" s="17" t="str">
        <f aca="false">IFERROR(INDEX(Ref_CTRL!$F$2:$F$201,MATCH(A15,Ref_CTRL!$A$2:$A$201,0)),"")</f>
        <v/>
      </c>
      <c r="E15" s="16"/>
      <c r="F15" s="16"/>
      <c r="G15" s="16"/>
      <c r="H15" s="16"/>
      <c r="I15" s="16"/>
      <c r="J15" s="17" t="str">
        <f aca="false">IFERROR(INDEX(Ref_CTRL!$D$2:$D$201,MATCH(A15,Ref_CTRL!$A$2:$A$201,0)),"")</f>
        <v/>
      </c>
      <c r="K15" s="16"/>
      <c r="L15" s="16"/>
      <c r="M15" s="18"/>
      <c r="N15" s="16"/>
      <c r="O15" s="17" t="str">
        <f aca="false">IF(A15="","",IF(COUNTIF(Ref_CTRL!$A$2:$A$201,A15)=0,"CTRL-ID not in W05",IF(L15="","Owner status needed",IF(AND(L15="Confirmed",OR(E15="",G15="")),"Confirmed needs control and evidence owner",IF(AND(L15="Confirmed",M15=""),"Date confirmed needed",IF(AND(L15="Outstanding",N15=""),"Follow-up needed",IF(AND(C15="Y",K15=""),"Walkthrough contact needed (key control)","OK")))))))</f>
        <v/>
      </c>
    </row>
    <row r="16" customFormat="false" ht="15" hidden="false" customHeight="false" outlineLevel="0" collapsed="false">
      <c r="A16" s="16"/>
      <c r="B16" s="17" t="str">
        <f aca="false">IFERROR(INDEX(Ref_CTRL!$B$2:$B$201,MATCH(A16,Ref_CTRL!$A$2:$A$201,0)),"")</f>
        <v/>
      </c>
      <c r="C16" s="17" t="str">
        <f aca="false">IFERROR(INDEX(Ref_CTRL!$E$2:$E$201,MATCH(A16,Ref_CTRL!$A$2:$A$201,0)),"")</f>
        <v/>
      </c>
      <c r="D16" s="17" t="str">
        <f aca="false">IFERROR(INDEX(Ref_CTRL!$F$2:$F$201,MATCH(A16,Ref_CTRL!$A$2:$A$201,0)),"")</f>
        <v/>
      </c>
      <c r="E16" s="16"/>
      <c r="F16" s="16"/>
      <c r="G16" s="16"/>
      <c r="H16" s="16"/>
      <c r="I16" s="16"/>
      <c r="J16" s="17" t="str">
        <f aca="false">IFERROR(INDEX(Ref_CTRL!$D$2:$D$201,MATCH(A16,Ref_CTRL!$A$2:$A$201,0)),"")</f>
        <v/>
      </c>
      <c r="K16" s="16"/>
      <c r="L16" s="16"/>
      <c r="M16" s="18"/>
      <c r="N16" s="16"/>
      <c r="O16" s="17" t="str">
        <f aca="false">IF(A16="","",IF(COUNTIF(Ref_CTRL!$A$2:$A$201,A16)=0,"CTRL-ID not in W05",IF(L16="","Owner status needed",IF(AND(L16="Confirmed",OR(E16="",G16="")),"Confirmed needs control and evidence owner",IF(AND(L16="Confirmed",M16=""),"Date confirmed needed",IF(AND(L16="Outstanding",N16=""),"Follow-up needed",IF(AND(C16="Y",K16=""),"Walkthrough contact needed (key control)","OK")))))))</f>
        <v/>
      </c>
    </row>
    <row r="17" customFormat="false" ht="15" hidden="false" customHeight="false" outlineLevel="0" collapsed="false">
      <c r="A17" s="16"/>
      <c r="B17" s="17" t="str">
        <f aca="false">IFERROR(INDEX(Ref_CTRL!$B$2:$B$201,MATCH(A17,Ref_CTRL!$A$2:$A$201,0)),"")</f>
        <v/>
      </c>
      <c r="C17" s="17" t="str">
        <f aca="false">IFERROR(INDEX(Ref_CTRL!$E$2:$E$201,MATCH(A17,Ref_CTRL!$A$2:$A$201,0)),"")</f>
        <v/>
      </c>
      <c r="D17" s="17" t="str">
        <f aca="false">IFERROR(INDEX(Ref_CTRL!$F$2:$F$201,MATCH(A17,Ref_CTRL!$A$2:$A$201,0)),"")</f>
        <v/>
      </c>
      <c r="E17" s="16"/>
      <c r="F17" s="16"/>
      <c r="G17" s="16"/>
      <c r="H17" s="16"/>
      <c r="I17" s="16"/>
      <c r="J17" s="17" t="str">
        <f aca="false">IFERROR(INDEX(Ref_CTRL!$D$2:$D$201,MATCH(A17,Ref_CTRL!$A$2:$A$201,0)),"")</f>
        <v/>
      </c>
      <c r="K17" s="16"/>
      <c r="L17" s="16"/>
      <c r="M17" s="18"/>
      <c r="N17" s="16"/>
      <c r="O17" s="17" t="str">
        <f aca="false">IF(A17="","",IF(COUNTIF(Ref_CTRL!$A$2:$A$201,A17)=0,"CTRL-ID not in W05",IF(L17="","Owner status needed",IF(AND(L17="Confirmed",OR(E17="",G17="")),"Confirmed needs control and evidence owner",IF(AND(L17="Confirmed",M17=""),"Date confirmed needed",IF(AND(L17="Outstanding",N17=""),"Follow-up needed",IF(AND(C17="Y",K17=""),"Walkthrough contact needed (key control)","OK")))))))</f>
        <v/>
      </c>
    </row>
    <row r="18" customFormat="false" ht="15" hidden="false" customHeight="false" outlineLevel="0" collapsed="false">
      <c r="A18" s="16"/>
      <c r="B18" s="17" t="str">
        <f aca="false">IFERROR(INDEX(Ref_CTRL!$B$2:$B$201,MATCH(A18,Ref_CTRL!$A$2:$A$201,0)),"")</f>
        <v/>
      </c>
      <c r="C18" s="17" t="str">
        <f aca="false">IFERROR(INDEX(Ref_CTRL!$E$2:$E$201,MATCH(A18,Ref_CTRL!$A$2:$A$201,0)),"")</f>
        <v/>
      </c>
      <c r="D18" s="17" t="str">
        <f aca="false">IFERROR(INDEX(Ref_CTRL!$F$2:$F$201,MATCH(A18,Ref_CTRL!$A$2:$A$201,0)),"")</f>
        <v/>
      </c>
      <c r="E18" s="16"/>
      <c r="F18" s="16"/>
      <c r="G18" s="16"/>
      <c r="H18" s="16"/>
      <c r="I18" s="16"/>
      <c r="J18" s="17" t="str">
        <f aca="false">IFERROR(INDEX(Ref_CTRL!$D$2:$D$201,MATCH(A18,Ref_CTRL!$A$2:$A$201,0)),"")</f>
        <v/>
      </c>
      <c r="K18" s="16"/>
      <c r="L18" s="16"/>
      <c r="M18" s="18"/>
      <c r="N18" s="16"/>
      <c r="O18" s="17" t="str">
        <f aca="false">IF(A18="","",IF(COUNTIF(Ref_CTRL!$A$2:$A$201,A18)=0,"CTRL-ID not in W05",IF(L18="","Owner status needed",IF(AND(L18="Confirmed",OR(E18="",G18="")),"Confirmed needs control and evidence owner",IF(AND(L18="Confirmed",M18=""),"Date confirmed needed",IF(AND(L18="Outstanding",N18=""),"Follow-up needed",IF(AND(C18="Y",K18=""),"Walkthrough contact needed (key control)","OK")))))))</f>
        <v/>
      </c>
    </row>
    <row r="19" customFormat="false" ht="15" hidden="false" customHeight="false" outlineLevel="0" collapsed="false">
      <c r="A19" s="16"/>
      <c r="B19" s="17" t="str">
        <f aca="false">IFERROR(INDEX(Ref_CTRL!$B$2:$B$201,MATCH(A19,Ref_CTRL!$A$2:$A$201,0)),"")</f>
        <v/>
      </c>
      <c r="C19" s="17" t="str">
        <f aca="false">IFERROR(INDEX(Ref_CTRL!$E$2:$E$201,MATCH(A19,Ref_CTRL!$A$2:$A$201,0)),"")</f>
        <v/>
      </c>
      <c r="D19" s="17" t="str">
        <f aca="false">IFERROR(INDEX(Ref_CTRL!$F$2:$F$201,MATCH(A19,Ref_CTRL!$A$2:$A$201,0)),"")</f>
        <v/>
      </c>
      <c r="E19" s="16"/>
      <c r="F19" s="16"/>
      <c r="G19" s="16"/>
      <c r="H19" s="16"/>
      <c r="I19" s="16"/>
      <c r="J19" s="17" t="str">
        <f aca="false">IFERROR(INDEX(Ref_CTRL!$D$2:$D$201,MATCH(A19,Ref_CTRL!$A$2:$A$201,0)),"")</f>
        <v/>
      </c>
      <c r="K19" s="16"/>
      <c r="L19" s="16"/>
      <c r="M19" s="18"/>
      <c r="N19" s="16"/>
      <c r="O19" s="17" t="str">
        <f aca="false">IF(A19="","",IF(COUNTIF(Ref_CTRL!$A$2:$A$201,A19)=0,"CTRL-ID not in W05",IF(L19="","Owner status needed",IF(AND(L19="Confirmed",OR(E19="",G19="")),"Confirmed needs control and evidence owner",IF(AND(L19="Confirmed",M19=""),"Date confirmed needed",IF(AND(L19="Outstanding",N19=""),"Follow-up needed",IF(AND(C19="Y",K19=""),"Walkthrough contact needed (key control)","OK")))))))</f>
        <v/>
      </c>
    </row>
    <row r="20" customFormat="false" ht="15" hidden="false" customHeight="false" outlineLevel="0" collapsed="false">
      <c r="A20" s="16"/>
      <c r="B20" s="17" t="str">
        <f aca="false">IFERROR(INDEX(Ref_CTRL!$B$2:$B$201,MATCH(A20,Ref_CTRL!$A$2:$A$201,0)),"")</f>
        <v/>
      </c>
      <c r="C20" s="17" t="str">
        <f aca="false">IFERROR(INDEX(Ref_CTRL!$E$2:$E$201,MATCH(A20,Ref_CTRL!$A$2:$A$201,0)),"")</f>
        <v/>
      </c>
      <c r="D20" s="17" t="str">
        <f aca="false">IFERROR(INDEX(Ref_CTRL!$F$2:$F$201,MATCH(A20,Ref_CTRL!$A$2:$A$201,0)),"")</f>
        <v/>
      </c>
      <c r="E20" s="16"/>
      <c r="F20" s="16"/>
      <c r="G20" s="16"/>
      <c r="H20" s="16"/>
      <c r="I20" s="16"/>
      <c r="J20" s="17" t="str">
        <f aca="false">IFERROR(INDEX(Ref_CTRL!$D$2:$D$201,MATCH(A20,Ref_CTRL!$A$2:$A$201,0)),"")</f>
        <v/>
      </c>
      <c r="K20" s="16"/>
      <c r="L20" s="16"/>
      <c r="M20" s="18"/>
      <c r="N20" s="16"/>
      <c r="O20" s="17" t="str">
        <f aca="false">IF(A20="","",IF(COUNTIF(Ref_CTRL!$A$2:$A$201,A20)=0,"CTRL-ID not in W05",IF(L20="","Owner status needed",IF(AND(L20="Confirmed",OR(E20="",G20="")),"Confirmed needs control and evidence owner",IF(AND(L20="Confirmed",M20=""),"Date confirmed needed",IF(AND(L20="Outstanding",N20=""),"Follow-up needed",IF(AND(C20="Y",K20=""),"Walkthrough contact needed (key control)","OK")))))))</f>
        <v/>
      </c>
    </row>
    <row r="21" customFormat="false" ht="15" hidden="false" customHeight="false" outlineLevel="0" collapsed="false">
      <c r="A21" s="16"/>
      <c r="B21" s="17" t="str">
        <f aca="false">IFERROR(INDEX(Ref_CTRL!$B$2:$B$201,MATCH(A21,Ref_CTRL!$A$2:$A$201,0)),"")</f>
        <v/>
      </c>
      <c r="C21" s="17" t="str">
        <f aca="false">IFERROR(INDEX(Ref_CTRL!$E$2:$E$201,MATCH(A21,Ref_CTRL!$A$2:$A$201,0)),"")</f>
        <v/>
      </c>
      <c r="D21" s="17" t="str">
        <f aca="false">IFERROR(INDEX(Ref_CTRL!$F$2:$F$201,MATCH(A21,Ref_CTRL!$A$2:$A$201,0)),"")</f>
        <v/>
      </c>
      <c r="E21" s="16"/>
      <c r="F21" s="16"/>
      <c r="G21" s="16"/>
      <c r="H21" s="16"/>
      <c r="I21" s="16"/>
      <c r="J21" s="17" t="str">
        <f aca="false">IFERROR(INDEX(Ref_CTRL!$D$2:$D$201,MATCH(A21,Ref_CTRL!$A$2:$A$201,0)),"")</f>
        <v/>
      </c>
      <c r="K21" s="16"/>
      <c r="L21" s="16"/>
      <c r="M21" s="18"/>
      <c r="N21" s="16"/>
      <c r="O21" s="17" t="str">
        <f aca="false">IF(A21="","",IF(COUNTIF(Ref_CTRL!$A$2:$A$201,A21)=0,"CTRL-ID not in W05",IF(L21="","Owner status needed",IF(AND(L21="Confirmed",OR(E21="",G21="")),"Confirmed needs control and evidence owner",IF(AND(L21="Confirmed",M21=""),"Date confirmed needed",IF(AND(L21="Outstanding",N21=""),"Follow-up needed",IF(AND(C21="Y",K21=""),"Walkthrough contact needed (key control)","OK")))))))</f>
        <v/>
      </c>
    </row>
    <row r="22" customFormat="false" ht="15" hidden="false" customHeight="false" outlineLevel="0" collapsed="false">
      <c r="A22" s="16"/>
      <c r="B22" s="17" t="str">
        <f aca="false">IFERROR(INDEX(Ref_CTRL!$B$2:$B$201,MATCH(A22,Ref_CTRL!$A$2:$A$201,0)),"")</f>
        <v/>
      </c>
      <c r="C22" s="17" t="str">
        <f aca="false">IFERROR(INDEX(Ref_CTRL!$E$2:$E$201,MATCH(A22,Ref_CTRL!$A$2:$A$201,0)),"")</f>
        <v/>
      </c>
      <c r="D22" s="17" t="str">
        <f aca="false">IFERROR(INDEX(Ref_CTRL!$F$2:$F$201,MATCH(A22,Ref_CTRL!$A$2:$A$201,0)),"")</f>
        <v/>
      </c>
      <c r="E22" s="16"/>
      <c r="F22" s="16"/>
      <c r="G22" s="16"/>
      <c r="H22" s="16"/>
      <c r="I22" s="16"/>
      <c r="J22" s="17" t="str">
        <f aca="false">IFERROR(INDEX(Ref_CTRL!$D$2:$D$201,MATCH(A22,Ref_CTRL!$A$2:$A$201,0)),"")</f>
        <v/>
      </c>
      <c r="K22" s="16"/>
      <c r="L22" s="16"/>
      <c r="M22" s="18"/>
      <c r="N22" s="16"/>
      <c r="O22" s="17" t="str">
        <f aca="false">IF(A22="","",IF(COUNTIF(Ref_CTRL!$A$2:$A$201,A22)=0,"CTRL-ID not in W05",IF(L22="","Owner status needed",IF(AND(L22="Confirmed",OR(E22="",G22="")),"Confirmed needs control and evidence owner",IF(AND(L22="Confirmed",M22=""),"Date confirmed needed",IF(AND(L22="Outstanding",N22=""),"Follow-up needed",IF(AND(C22="Y",K22=""),"Walkthrough contact needed (key control)","OK")))))))</f>
        <v/>
      </c>
    </row>
    <row r="23" customFormat="false" ht="15" hidden="false" customHeight="false" outlineLevel="0" collapsed="false">
      <c r="A23" s="16"/>
      <c r="B23" s="17" t="str">
        <f aca="false">IFERROR(INDEX(Ref_CTRL!$B$2:$B$201,MATCH(A23,Ref_CTRL!$A$2:$A$201,0)),"")</f>
        <v/>
      </c>
      <c r="C23" s="17" t="str">
        <f aca="false">IFERROR(INDEX(Ref_CTRL!$E$2:$E$201,MATCH(A23,Ref_CTRL!$A$2:$A$201,0)),"")</f>
        <v/>
      </c>
      <c r="D23" s="17" t="str">
        <f aca="false">IFERROR(INDEX(Ref_CTRL!$F$2:$F$201,MATCH(A23,Ref_CTRL!$A$2:$A$201,0)),"")</f>
        <v/>
      </c>
      <c r="E23" s="16"/>
      <c r="F23" s="16"/>
      <c r="G23" s="16"/>
      <c r="H23" s="16"/>
      <c r="I23" s="16"/>
      <c r="J23" s="17" t="str">
        <f aca="false">IFERROR(INDEX(Ref_CTRL!$D$2:$D$201,MATCH(A23,Ref_CTRL!$A$2:$A$201,0)),"")</f>
        <v/>
      </c>
      <c r="K23" s="16"/>
      <c r="L23" s="16"/>
      <c r="M23" s="18"/>
      <c r="N23" s="16"/>
      <c r="O23" s="17" t="str">
        <f aca="false">IF(A23="","",IF(COUNTIF(Ref_CTRL!$A$2:$A$201,A23)=0,"CTRL-ID not in W05",IF(L23="","Owner status needed",IF(AND(L23="Confirmed",OR(E23="",G23="")),"Confirmed needs control and evidence owner",IF(AND(L23="Confirmed",M23=""),"Date confirmed needed",IF(AND(L23="Outstanding",N23=""),"Follow-up needed",IF(AND(C23="Y",K23=""),"Walkthrough contact needed (key control)","OK")))))))</f>
        <v/>
      </c>
    </row>
    <row r="24" customFormat="false" ht="15" hidden="false" customHeight="false" outlineLevel="0" collapsed="false">
      <c r="A24" s="16"/>
      <c r="B24" s="17" t="str">
        <f aca="false">IFERROR(INDEX(Ref_CTRL!$B$2:$B$201,MATCH(A24,Ref_CTRL!$A$2:$A$201,0)),"")</f>
        <v/>
      </c>
      <c r="C24" s="17" t="str">
        <f aca="false">IFERROR(INDEX(Ref_CTRL!$E$2:$E$201,MATCH(A24,Ref_CTRL!$A$2:$A$201,0)),"")</f>
        <v/>
      </c>
      <c r="D24" s="17" t="str">
        <f aca="false">IFERROR(INDEX(Ref_CTRL!$F$2:$F$201,MATCH(A24,Ref_CTRL!$A$2:$A$201,0)),"")</f>
        <v/>
      </c>
      <c r="E24" s="16"/>
      <c r="F24" s="16"/>
      <c r="G24" s="16"/>
      <c r="H24" s="16"/>
      <c r="I24" s="16"/>
      <c r="J24" s="17" t="str">
        <f aca="false">IFERROR(INDEX(Ref_CTRL!$D$2:$D$201,MATCH(A24,Ref_CTRL!$A$2:$A$201,0)),"")</f>
        <v/>
      </c>
      <c r="K24" s="16"/>
      <c r="L24" s="16"/>
      <c r="M24" s="18"/>
      <c r="N24" s="16"/>
      <c r="O24" s="17" t="str">
        <f aca="false">IF(A24="","",IF(COUNTIF(Ref_CTRL!$A$2:$A$201,A24)=0,"CTRL-ID not in W05",IF(L24="","Owner status needed",IF(AND(L24="Confirmed",OR(E24="",G24="")),"Confirmed needs control and evidence owner",IF(AND(L24="Confirmed",M24=""),"Date confirmed needed",IF(AND(L24="Outstanding",N24=""),"Follow-up needed",IF(AND(C24="Y",K24=""),"Walkthrough contact needed (key control)","OK")))))))</f>
        <v/>
      </c>
    </row>
    <row r="25" customFormat="false" ht="15" hidden="false" customHeight="false" outlineLevel="0" collapsed="false">
      <c r="A25" s="16"/>
      <c r="B25" s="17" t="str">
        <f aca="false">IFERROR(INDEX(Ref_CTRL!$B$2:$B$201,MATCH(A25,Ref_CTRL!$A$2:$A$201,0)),"")</f>
        <v/>
      </c>
      <c r="C25" s="17" t="str">
        <f aca="false">IFERROR(INDEX(Ref_CTRL!$E$2:$E$201,MATCH(A25,Ref_CTRL!$A$2:$A$201,0)),"")</f>
        <v/>
      </c>
      <c r="D25" s="17" t="str">
        <f aca="false">IFERROR(INDEX(Ref_CTRL!$F$2:$F$201,MATCH(A25,Ref_CTRL!$A$2:$A$201,0)),"")</f>
        <v/>
      </c>
      <c r="E25" s="16"/>
      <c r="F25" s="16"/>
      <c r="G25" s="16"/>
      <c r="H25" s="16"/>
      <c r="I25" s="16"/>
      <c r="J25" s="17" t="str">
        <f aca="false">IFERROR(INDEX(Ref_CTRL!$D$2:$D$201,MATCH(A25,Ref_CTRL!$A$2:$A$201,0)),"")</f>
        <v/>
      </c>
      <c r="K25" s="16"/>
      <c r="L25" s="16"/>
      <c r="M25" s="18"/>
      <c r="N25" s="16"/>
      <c r="O25" s="17" t="str">
        <f aca="false">IF(A25="","",IF(COUNTIF(Ref_CTRL!$A$2:$A$201,A25)=0,"CTRL-ID not in W05",IF(L25="","Owner status needed",IF(AND(L25="Confirmed",OR(E25="",G25="")),"Confirmed needs control and evidence owner",IF(AND(L25="Confirmed",M25=""),"Date confirmed needed",IF(AND(L25="Outstanding",N25=""),"Follow-up needed",IF(AND(C25="Y",K25=""),"Walkthrough contact needed (key control)","OK")))))))</f>
        <v/>
      </c>
    </row>
    <row r="26" customFormat="false" ht="15" hidden="false" customHeight="false" outlineLevel="0" collapsed="false">
      <c r="A26" s="16"/>
      <c r="B26" s="17" t="str">
        <f aca="false">IFERROR(INDEX(Ref_CTRL!$B$2:$B$201,MATCH(A26,Ref_CTRL!$A$2:$A$201,0)),"")</f>
        <v/>
      </c>
      <c r="C26" s="17" t="str">
        <f aca="false">IFERROR(INDEX(Ref_CTRL!$E$2:$E$201,MATCH(A26,Ref_CTRL!$A$2:$A$201,0)),"")</f>
        <v/>
      </c>
      <c r="D26" s="17" t="str">
        <f aca="false">IFERROR(INDEX(Ref_CTRL!$F$2:$F$201,MATCH(A26,Ref_CTRL!$A$2:$A$201,0)),"")</f>
        <v/>
      </c>
      <c r="E26" s="16"/>
      <c r="F26" s="16"/>
      <c r="G26" s="16"/>
      <c r="H26" s="16"/>
      <c r="I26" s="16"/>
      <c r="J26" s="17" t="str">
        <f aca="false">IFERROR(INDEX(Ref_CTRL!$D$2:$D$201,MATCH(A26,Ref_CTRL!$A$2:$A$201,0)),"")</f>
        <v/>
      </c>
      <c r="K26" s="16"/>
      <c r="L26" s="16"/>
      <c r="M26" s="18"/>
      <c r="N26" s="16"/>
      <c r="O26" s="17" t="str">
        <f aca="false">IF(A26="","",IF(COUNTIF(Ref_CTRL!$A$2:$A$201,A26)=0,"CTRL-ID not in W05",IF(L26="","Owner status needed",IF(AND(L26="Confirmed",OR(E26="",G26="")),"Confirmed needs control and evidence owner",IF(AND(L26="Confirmed",M26=""),"Date confirmed needed",IF(AND(L26="Outstanding",N26=""),"Follow-up needed",IF(AND(C26="Y",K26=""),"Walkthrough contact needed (key control)","OK")))))))</f>
        <v/>
      </c>
    </row>
    <row r="27" customFormat="false" ht="15" hidden="false" customHeight="false" outlineLevel="0" collapsed="false">
      <c r="A27" s="16"/>
      <c r="B27" s="17" t="str">
        <f aca="false">IFERROR(INDEX(Ref_CTRL!$B$2:$B$201,MATCH(A27,Ref_CTRL!$A$2:$A$201,0)),"")</f>
        <v/>
      </c>
      <c r="C27" s="17" t="str">
        <f aca="false">IFERROR(INDEX(Ref_CTRL!$E$2:$E$201,MATCH(A27,Ref_CTRL!$A$2:$A$201,0)),"")</f>
        <v/>
      </c>
      <c r="D27" s="17" t="str">
        <f aca="false">IFERROR(INDEX(Ref_CTRL!$F$2:$F$201,MATCH(A27,Ref_CTRL!$A$2:$A$201,0)),"")</f>
        <v/>
      </c>
      <c r="E27" s="16"/>
      <c r="F27" s="16"/>
      <c r="G27" s="16"/>
      <c r="H27" s="16"/>
      <c r="I27" s="16"/>
      <c r="J27" s="17" t="str">
        <f aca="false">IFERROR(INDEX(Ref_CTRL!$D$2:$D$201,MATCH(A27,Ref_CTRL!$A$2:$A$201,0)),"")</f>
        <v/>
      </c>
      <c r="K27" s="16"/>
      <c r="L27" s="16"/>
      <c r="M27" s="18"/>
      <c r="N27" s="16"/>
      <c r="O27" s="17" t="str">
        <f aca="false">IF(A27="","",IF(COUNTIF(Ref_CTRL!$A$2:$A$201,A27)=0,"CTRL-ID not in W05",IF(L27="","Owner status needed",IF(AND(L27="Confirmed",OR(E27="",G27="")),"Confirmed needs control and evidence owner",IF(AND(L27="Confirmed",M27=""),"Date confirmed needed",IF(AND(L27="Outstanding",N27=""),"Follow-up needed",IF(AND(C27="Y",K27=""),"Walkthrough contact needed (key control)","OK")))))))</f>
        <v/>
      </c>
    </row>
    <row r="28" customFormat="false" ht="15" hidden="false" customHeight="false" outlineLevel="0" collapsed="false">
      <c r="A28" s="16"/>
      <c r="B28" s="17" t="str">
        <f aca="false">IFERROR(INDEX(Ref_CTRL!$B$2:$B$201,MATCH(A28,Ref_CTRL!$A$2:$A$201,0)),"")</f>
        <v/>
      </c>
      <c r="C28" s="17" t="str">
        <f aca="false">IFERROR(INDEX(Ref_CTRL!$E$2:$E$201,MATCH(A28,Ref_CTRL!$A$2:$A$201,0)),"")</f>
        <v/>
      </c>
      <c r="D28" s="17" t="str">
        <f aca="false">IFERROR(INDEX(Ref_CTRL!$F$2:$F$201,MATCH(A28,Ref_CTRL!$A$2:$A$201,0)),"")</f>
        <v/>
      </c>
      <c r="E28" s="16"/>
      <c r="F28" s="16"/>
      <c r="G28" s="16"/>
      <c r="H28" s="16"/>
      <c r="I28" s="16"/>
      <c r="J28" s="17" t="str">
        <f aca="false">IFERROR(INDEX(Ref_CTRL!$D$2:$D$201,MATCH(A28,Ref_CTRL!$A$2:$A$201,0)),"")</f>
        <v/>
      </c>
      <c r="K28" s="16"/>
      <c r="L28" s="16"/>
      <c r="M28" s="18"/>
      <c r="N28" s="16"/>
      <c r="O28" s="17" t="str">
        <f aca="false">IF(A28="","",IF(COUNTIF(Ref_CTRL!$A$2:$A$201,A28)=0,"CTRL-ID not in W05",IF(L28="","Owner status needed",IF(AND(L28="Confirmed",OR(E28="",G28="")),"Confirmed needs control and evidence owner",IF(AND(L28="Confirmed",M28=""),"Date confirmed needed",IF(AND(L28="Outstanding",N28=""),"Follow-up needed",IF(AND(C28="Y",K28=""),"Walkthrough contact needed (key control)","OK")))))))</f>
        <v/>
      </c>
    </row>
    <row r="29" customFormat="false" ht="15" hidden="false" customHeight="false" outlineLevel="0" collapsed="false">
      <c r="A29" s="16"/>
      <c r="B29" s="17" t="str">
        <f aca="false">IFERROR(INDEX(Ref_CTRL!$B$2:$B$201,MATCH(A29,Ref_CTRL!$A$2:$A$201,0)),"")</f>
        <v/>
      </c>
      <c r="C29" s="17" t="str">
        <f aca="false">IFERROR(INDEX(Ref_CTRL!$E$2:$E$201,MATCH(A29,Ref_CTRL!$A$2:$A$201,0)),"")</f>
        <v/>
      </c>
      <c r="D29" s="17" t="str">
        <f aca="false">IFERROR(INDEX(Ref_CTRL!$F$2:$F$201,MATCH(A29,Ref_CTRL!$A$2:$A$201,0)),"")</f>
        <v/>
      </c>
      <c r="E29" s="16"/>
      <c r="F29" s="16"/>
      <c r="G29" s="16"/>
      <c r="H29" s="16"/>
      <c r="I29" s="16"/>
      <c r="J29" s="17" t="str">
        <f aca="false">IFERROR(INDEX(Ref_CTRL!$D$2:$D$201,MATCH(A29,Ref_CTRL!$A$2:$A$201,0)),"")</f>
        <v/>
      </c>
      <c r="K29" s="16"/>
      <c r="L29" s="16"/>
      <c r="M29" s="18"/>
      <c r="N29" s="16"/>
      <c r="O29" s="17" t="str">
        <f aca="false">IF(A29="","",IF(COUNTIF(Ref_CTRL!$A$2:$A$201,A29)=0,"CTRL-ID not in W05",IF(L29="","Owner status needed",IF(AND(L29="Confirmed",OR(E29="",G29="")),"Confirmed needs control and evidence owner",IF(AND(L29="Confirmed",M29=""),"Date confirmed needed",IF(AND(L29="Outstanding",N29=""),"Follow-up needed",IF(AND(C29="Y",K29=""),"Walkthrough contact needed (key control)","OK")))))))</f>
        <v/>
      </c>
    </row>
    <row r="30" customFormat="false" ht="15" hidden="false" customHeight="false" outlineLevel="0" collapsed="false">
      <c r="A30" s="16"/>
      <c r="B30" s="17" t="str">
        <f aca="false">IFERROR(INDEX(Ref_CTRL!$B$2:$B$201,MATCH(A30,Ref_CTRL!$A$2:$A$201,0)),"")</f>
        <v/>
      </c>
      <c r="C30" s="17" t="str">
        <f aca="false">IFERROR(INDEX(Ref_CTRL!$E$2:$E$201,MATCH(A30,Ref_CTRL!$A$2:$A$201,0)),"")</f>
        <v/>
      </c>
      <c r="D30" s="17" t="str">
        <f aca="false">IFERROR(INDEX(Ref_CTRL!$F$2:$F$201,MATCH(A30,Ref_CTRL!$A$2:$A$201,0)),"")</f>
        <v/>
      </c>
      <c r="E30" s="16"/>
      <c r="F30" s="16"/>
      <c r="G30" s="16"/>
      <c r="H30" s="16"/>
      <c r="I30" s="16"/>
      <c r="J30" s="17" t="str">
        <f aca="false">IFERROR(INDEX(Ref_CTRL!$D$2:$D$201,MATCH(A30,Ref_CTRL!$A$2:$A$201,0)),"")</f>
        <v/>
      </c>
      <c r="K30" s="16"/>
      <c r="L30" s="16"/>
      <c r="M30" s="18"/>
      <c r="N30" s="16"/>
      <c r="O30" s="17" t="str">
        <f aca="false">IF(A30="","",IF(COUNTIF(Ref_CTRL!$A$2:$A$201,A30)=0,"CTRL-ID not in W05",IF(L30="","Owner status needed",IF(AND(L30="Confirmed",OR(E30="",G30="")),"Confirmed needs control and evidence owner",IF(AND(L30="Confirmed",M30=""),"Date confirmed needed",IF(AND(L30="Outstanding",N30=""),"Follow-up needed",IF(AND(C30="Y",K30=""),"Walkthrough contact needed (key control)","OK")))))))</f>
        <v/>
      </c>
    </row>
    <row r="31" customFormat="false" ht="15" hidden="false" customHeight="false" outlineLevel="0" collapsed="false">
      <c r="A31" s="16"/>
      <c r="B31" s="17" t="str">
        <f aca="false">IFERROR(INDEX(Ref_CTRL!$B$2:$B$201,MATCH(A31,Ref_CTRL!$A$2:$A$201,0)),"")</f>
        <v/>
      </c>
      <c r="C31" s="17" t="str">
        <f aca="false">IFERROR(INDEX(Ref_CTRL!$E$2:$E$201,MATCH(A31,Ref_CTRL!$A$2:$A$201,0)),"")</f>
        <v/>
      </c>
      <c r="D31" s="17" t="str">
        <f aca="false">IFERROR(INDEX(Ref_CTRL!$F$2:$F$201,MATCH(A31,Ref_CTRL!$A$2:$A$201,0)),"")</f>
        <v/>
      </c>
      <c r="E31" s="16"/>
      <c r="F31" s="16"/>
      <c r="G31" s="16"/>
      <c r="H31" s="16"/>
      <c r="I31" s="16"/>
      <c r="J31" s="17" t="str">
        <f aca="false">IFERROR(INDEX(Ref_CTRL!$D$2:$D$201,MATCH(A31,Ref_CTRL!$A$2:$A$201,0)),"")</f>
        <v/>
      </c>
      <c r="K31" s="16"/>
      <c r="L31" s="16"/>
      <c r="M31" s="18"/>
      <c r="N31" s="16"/>
      <c r="O31" s="17" t="str">
        <f aca="false">IF(A31="","",IF(COUNTIF(Ref_CTRL!$A$2:$A$201,A31)=0,"CTRL-ID not in W05",IF(L31="","Owner status needed",IF(AND(L31="Confirmed",OR(E31="",G31="")),"Confirmed needs control and evidence owner",IF(AND(L31="Confirmed",M31=""),"Date confirmed needed",IF(AND(L31="Outstanding",N31=""),"Follow-up needed",IF(AND(C31="Y",K31=""),"Walkthrough contact needed (key control)","OK")))))))</f>
        <v/>
      </c>
    </row>
    <row r="32" customFormat="false" ht="15" hidden="false" customHeight="false" outlineLevel="0" collapsed="false">
      <c r="A32" s="16"/>
      <c r="B32" s="17" t="str">
        <f aca="false">IFERROR(INDEX(Ref_CTRL!$B$2:$B$201,MATCH(A32,Ref_CTRL!$A$2:$A$201,0)),"")</f>
        <v/>
      </c>
      <c r="C32" s="17" t="str">
        <f aca="false">IFERROR(INDEX(Ref_CTRL!$E$2:$E$201,MATCH(A32,Ref_CTRL!$A$2:$A$201,0)),"")</f>
        <v/>
      </c>
      <c r="D32" s="17" t="str">
        <f aca="false">IFERROR(INDEX(Ref_CTRL!$F$2:$F$201,MATCH(A32,Ref_CTRL!$A$2:$A$201,0)),"")</f>
        <v/>
      </c>
      <c r="E32" s="16"/>
      <c r="F32" s="16"/>
      <c r="G32" s="16"/>
      <c r="H32" s="16"/>
      <c r="I32" s="16"/>
      <c r="J32" s="17" t="str">
        <f aca="false">IFERROR(INDEX(Ref_CTRL!$D$2:$D$201,MATCH(A32,Ref_CTRL!$A$2:$A$201,0)),"")</f>
        <v/>
      </c>
      <c r="K32" s="16"/>
      <c r="L32" s="16"/>
      <c r="M32" s="18"/>
      <c r="N32" s="16"/>
      <c r="O32" s="17" t="str">
        <f aca="false">IF(A32="","",IF(COUNTIF(Ref_CTRL!$A$2:$A$201,A32)=0,"CTRL-ID not in W05",IF(L32="","Owner status needed",IF(AND(L32="Confirmed",OR(E32="",G32="")),"Confirmed needs control and evidence owner",IF(AND(L32="Confirmed",M32=""),"Date confirmed needed",IF(AND(L32="Outstanding",N32=""),"Follow-up needed",IF(AND(C32="Y",K32=""),"Walkthrough contact needed (key control)","OK")))))))</f>
        <v/>
      </c>
    </row>
    <row r="33" customFormat="false" ht="15" hidden="false" customHeight="false" outlineLevel="0" collapsed="false">
      <c r="A33" s="16"/>
      <c r="B33" s="17" t="str">
        <f aca="false">IFERROR(INDEX(Ref_CTRL!$B$2:$B$201,MATCH(A33,Ref_CTRL!$A$2:$A$201,0)),"")</f>
        <v/>
      </c>
      <c r="C33" s="17" t="str">
        <f aca="false">IFERROR(INDEX(Ref_CTRL!$E$2:$E$201,MATCH(A33,Ref_CTRL!$A$2:$A$201,0)),"")</f>
        <v/>
      </c>
      <c r="D33" s="17" t="str">
        <f aca="false">IFERROR(INDEX(Ref_CTRL!$F$2:$F$201,MATCH(A33,Ref_CTRL!$A$2:$A$201,0)),"")</f>
        <v/>
      </c>
      <c r="E33" s="16"/>
      <c r="F33" s="16"/>
      <c r="G33" s="16"/>
      <c r="H33" s="16"/>
      <c r="I33" s="16"/>
      <c r="J33" s="17" t="str">
        <f aca="false">IFERROR(INDEX(Ref_CTRL!$D$2:$D$201,MATCH(A33,Ref_CTRL!$A$2:$A$201,0)),"")</f>
        <v/>
      </c>
      <c r="K33" s="16"/>
      <c r="L33" s="16"/>
      <c r="M33" s="18"/>
      <c r="N33" s="16"/>
      <c r="O33" s="17" t="str">
        <f aca="false">IF(A33="","",IF(COUNTIF(Ref_CTRL!$A$2:$A$201,A33)=0,"CTRL-ID not in W05",IF(L33="","Owner status needed",IF(AND(L33="Confirmed",OR(E33="",G33="")),"Confirmed needs control and evidence owner",IF(AND(L33="Confirmed",M33=""),"Date confirmed needed",IF(AND(L33="Outstanding",N33=""),"Follow-up needed",IF(AND(C33="Y",K33=""),"Walkthrough contact needed (key control)","OK")))))))</f>
        <v/>
      </c>
    </row>
    <row r="34" customFormat="false" ht="15" hidden="false" customHeight="false" outlineLevel="0" collapsed="false">
      <c r="A34" s="16"/>
      <c r="B34" s="17" t="str">
        <f aca="false">IFERROR(INDEX(Ref_CTRL!$B$2:$B$201,MATCH(A34,Ref_CTRL!$A$2:$A$201,0)),"")</f>
        <v/>
      </c>
      <c r="C34" s="17" t="str">
        <f aca="false">IFERROR(INDEX(Ref_CTRL!$E$2:$E$201,MATCH(A34,Ref_CTRL!$A$2:$A$201,0)),"")</f>
        <v/>
      </c>
      <c r="D34" s="17" t="str">
        <f aca="false">IFERROR(INDEX(Ref_CTRL!$F$2:$F$201,MATCH(A34,Ref_CTRL!$A$2:$A$201,0)),"")</f>
        <v/>
      </c>
      <c r="E34" s="16"/>
      <c r="F34" s="16"/>
      <c r="G34" s="16"/>
      <c r="H34" s="16"/>
      <c r="I34" s="16"/>
      <c r="J34" s="17" t="str">
        <f aca="false">IFERROR(INDEX(Ref_CTRL!$D$2:$D$201,MATCH(A34,Ref_CTRL!$A$2:$A$201,0)),"")</f>
        <v/>
      </c>
      <c r="K34" s="16"/>
      <c r="L34" s="16"/>
      <c r="M34" s="18"/>
      <c r="N34" s="16"/>
      <c r="O34" s="17" t="str">
        <f aca="false">IF(A34="","",IF(COUNTIF(Ref_CTRL!$A$2:$A$201,A34)=0,"CTRL-ID not in W05",IF(L34="","Owner status needed",IF(AND(L34="Confirmed",OR(E34="",G34="")),"Confirmed needs control and evidence owner",IF(AND(L34="Confirmed",M34=""),"Date confirmed needed",IF(AND(L34="Outstanding",N34=""),"Follow-up needed",IF(AND(C34="Y",K34=""),"Walkthrough contact needed (key control)","OK")))))))</f>
        <v/>
      </c>
    </row>
    <row r="35" customFormat="false" ht="15" hidden="false" customHeight="false" outlineLevel="0" collapsed="false">
      <c r="A35" s="16"/>
      <c r="B35" s="17" t="str">
        <f aca="false">IFERROR(INDEX(Ref_CTRL!$B$2:$B$201,MATCH(A35,Ref_CTRL!$A$2:$A$201,0)),"")</f>
        <v/>
      </c>
      <c r="C35" s="17" t="str">
        <f aca="false">IFERROR(INDEX(Ref_CTRL!$E$2:$E$201,MATCH(A35,Ref_CTRL!$A$2:$A$201,0)),"")</f>
        <v/>
      </c>
      <c r="D35" s="17" t="str">
        <f aca="false">IFERROR(INDEX(Ref_CTRL!$F$2:$F$201,MATCH(A35,Ref_CTRL!$A$2:$A$201,0)),"")</f>
        <v/>
      </c>
      <c r="E35" s="16"/>
      <c r="F35" s="16"/>
      <c r="G35" s="16"/>
      <c r="H35" s="16"/>
      <c r="I35" s="16"/>
      <c r="J35" s="17" t="str">
        <f aca="false">IFERROR(INDEX(Ref_CTRL!$D$2:$D$201,MATCH(A35,Ref_CTRL!$A$2:$A$201,0)),"")</f>
        <v/>
      </c>
      <c r="K35" s="16"/>
      <c r="L35" s="16"/>
      <c r="M35" s="18"/>
      <c r="N35" s="16"/>
      <c r="O35" s="17" t="str">
        <f aca="false">IF(A35="","",IF(COUNTIF(Ref_CTRL!$A$2:$A$201,A35)=0,"CTRL-ID not in W05",IF(L35="","Owner status needed",IF(AND(L35="Confirmed",OR(E35="",G35="")),"Confirmed needs control and evidence owner",IF(AND(L35="Confirmed",M35=""),"Date confirmed needed",IF(AND(L35="Outstanding",N35=""),"Follow-up needed",IF(AND(C35="Y",K35=""),"Walkthrough contact needed (key control)","OK")))))))</f>
        <v/>
      </c>
    </row>
    <row r="36" customFormat="false" ht="15" hidden="false" customHeight="false" outlineLevel="0" collapsed="false">
      <c r="A36" s="16"/>
      <c r="B36" s="17" t="str">
        <f aca="false">IFERROR(INDEX(Ref_CTRL!$B$2:$B$201,MATCH(A36,Ref_CTRL!$A$2:$A$201,0)),"")</f>
        <v/>
      </c>
      <c r="C36" s="17" t="str">
        <f aca="false">IFERROR(INDEX(Ref_CTRL!$E$2:$E$201,MATCH(A36,Ref_CTRL!$A$2:$A$201,0)),"")</f>
        <v/>
      </c>
      <c r="D36" s="17" t="str">
        <f aca="false">IFERROR(INDEX(Ref_CTRL!$F$2:$F$201,MATCH(A36,Ref_CTRL!$A$2:$A$201,0)),"")</f>
        <v/>
      </c>
      <c r="E36" s="16"/>
      <c r="F36" s="16"/>
      <c r="G36" s="16"/>
      <c r="H36" s="16"/>
      <c r="I36" s="16"/>
      <c r="J36" s="17" t="str">
        <f aca="false">IFERROR(INDEX(Ref_CTRL!$D$2:$D$201,MATCH(A36,Ref_CTRL!$A$2:$A$201,0)),"")</f>
        <v/>
      </c>
      <c r="K36" s="16"/>
      <c r="L36" s="16"/>
      <c r="M36" s="18"/>
      <c r="N36" s="16"/>
      <c r="O36" s="17" t="str">
        <f aca="false">IF(A36="","",IF(COUNTIF(Ref_CTRL!$A$2:$A$201,A36)=0,"CTRL-ID not in W05",IF(L36="","Owner status needed",IF(AND(L36="Confirmed",OR(E36="",G36="")),"Confirmed needs control and evidence owner",IF(AND(L36="Confirmed",M36=""),"Date confirmed needed",IF(AND(L36="Outstanding",N36=""),"Follow-up needed",IF(AND(C36="Y",K36=""),"Walkthrough contact needed (key control)","OK")))))))</f>
        <v/>
      </c>
    </row>
    <row r="37" customFormat="false" ht="15" hidden="false" customHeight="false" outlineLevel="0" collapsed="false">
      <c r="A37" s="16"/>
      <c r="B37" s="17" t="str">
        <f aca="false">IFERROR(INDEX(Ref_CTRL!$B$2:$B$201,MATCH(A37,Ref_CTRL!$A$2:$A$201,0)),"")</f>
        <v/>
      </c>
      <c r="C37" s="17" t="str">
        <f aca="false">IFERROR(INDEX(Ref_CTRL!$E$2:$E$201,MATCH(A37,Ref_CTRL!$A$2:$A$201,0)),"")</f>
        <v/>
      </c>
      <c r="D37" s="17" t="str">
        <f aca="false">IFERROR(INDEX(Ref_CTRL!$F$2:$F$201,MATCH(A37,Ref_CTRL!$A$2:$A$201,0)),"")</f>
        <v/>
      </c>
      <c r="E37" s="16"/>
      <c r="F37" s="16"/>
      <c r="G37" s="16"/>
      <c r="H37" s="16"/>
      <c r="I37" s="16"/>
      <c r="J37" s="17" t="str">
        <f aca="false">IFERROR(INDEX(Ref_CTRL!$D$2:$D$201,MATCH(A37,Ref_CTRL!$A$2:$A$201,0)),"")</f>
        <v/>
      </c>
      <c r="K37" s="16"/>
      <c r="L37" s="16"/>
      <c r="M37" s="18"/>
      <c r="N37" s="16"/>
      <c r="O37" s="17" t="str">
        <f aca="false">IF(A37="","",IF(COUNTIF(Ref_CTRL!$A$2:$A$201,A37)=0,"CTRL-ID not in W05",IF(L37="","Owner status needed",IF(AND(L37="Confirmed",OR(E37="",G37="")),"Confirmed needs control and evidence owner",IF(AND(L37="Confirmed",M37=""),"Date confirmed needed",IF(AND(L37="Outstanding",N37=""),"Follow-up needed",IF(AND(C37="Y",K37=""),"Walkthrough contact needed (key control)","OK")))))))</f>
        <v/>
      </c>
    </row>
    <row r="38" customFormat="false" ht="15" hidden="false" customHeight="false" outlineLevel="0" collapsed="false">
      <c r="A38" s="16"/>
      <c r="B38" s="17" t="str">
        <f aca="false">IFERROR(INDEX(Ref_CTRL!$B$2:$B$201,MATCH(A38,Ref_CTRL!$A$2:$A$201,0)),"")</f>
        <v/>
      </c>
      <c r="C38" s="17" t="str">
        <f aca="false">IFERROR(INDEX(Ref_CTRL!$E$2:$E$201,MATCH(A38,Ref_CTRL!$A$2:$A$201,0)),"")</f>
        <v/>
      </c>
      <c r="D38" s="17" t="str">
        <f aca="false">IFERROR(INDEX(Ref_CTRL!$F$2:$F$201,MATCH(A38,Ref_CTRL!$A$2:$A$201,0)),"")</f>
        <v/>
      </c>
      <c r="E38" s="16"/>
      <c r="F38" s="16"/>
      <c r="G38" s="16"/>
      <c r="H38" s="16"/>
      <c r="I38" s="16"/>
      <c r="J38" s="17" t="str">
        <f aca="false">IFERROR(INDEX(Ref_CTRL!$D$2:$D$201,MATCH(A38,Ref_CTRL!$A$2:$A$201,0)),"")</f>
        <v/>
      </c>
      <c r="K38" s="16"/>
      <c r="L38" s="16"/>
      <c r="M38" s="18"/>
      <c r="N38" s="16"/>
      <c r="O38" s="17" t="str">
        <f aca="false">IF(A38="","",IF(COUNTIF(Ref_CTRL!$A$2:$A$201,A38)=0,"CTRL-ID not in W05",IF(L38="","Owner status needed",IF(AND(L38="Confirmed",OR(E38="",G38="")),"Confirmed needs control and evidence owner",IF(AND(L38="Confirmed",M38=""),"Date confirmed needed",IF(AND(L38="Outstanding",N38=""),"Follow-up needed",IF(AND(C38="Y",K38=""),"Walkthrough contact needed (key control)","OK")))))))</f>
        <v/>
      </c>
    </row>
    <row r="39" customFormat="false" ht="15" hidden="false" customHeight="false" outlineLevel="0" collapsed="false">
      <c r="A39" s="16"/>
      <c r="B39" s="17" t="str">
        <f aca="false">IFERROR(INDEX(Ref_CTRL!$B$2:$B$201,MATCH(A39,Ref_CTRL!$A$2:$A$201,0)),"")</f>
        <v/>
      </c>
      <c r="C39" s="17" t="str">
        <f aca="false">IFERROR(INDEX(Ref_CTRL!$E$2:$E$201,MATCH(A39,Ref_CTRL!$A$2:$A$201,0)),"")</f>
        <v/>
      </c>
      <c r="D39" s="17" t="str">
        <f aca="false">IFERROR(INDEX(Ref_CTRL!$F$2:$F$201,MATCH(A39,Ref_CTRL!$A$2:$A$201,0)),"")</f>
        <v/>
      </c>
      <c r="E39" s="16"/>
      <c r="F39" s="16"/>
      <c r="G39" s="16"/>
      <c r="H39" s="16"/>
      <c r="I39" s="16"/>
      <c r="J39" s="17" t="str">
        <f aca="false">IFERROR(INDEX(Ref_CTRL!$D$2:$D$201,MATCH(A39,Ref_CTRL!$A$2:$A$201,0)),"")</f>
        <v/>
      </c>
      <c r="K39" s="16"/>
      <c r="L39" s="16"/>
      <c r="M39" s="18"/>
      <c r="N39" s="16"/>
      <c r="O39" s="17" t="str">
        <f aca="false">IF(A39="","",IF(COUNTIF(Ref_CTRL!$A$2:$A$201,A39)=0,"CTRL-ID not in W05",IF(L39="","Owner status needed",IF(AND(L39="Confirmed",OR(E39="",G39="")),"Confirmed needs control and evidence owner",IF(AND(L39="Confirmed",M39=""),"Date confirmed needed",IF(AND(L39="Outstanding",N39=""),"Follow-up needed",IF(AND(C39="Y",K39=""),"Walkthrough contact needed (key control)","OK")))))))</f>
        <v/>
      </c>
    </row>
    <row r="40" customFormat="false" ht="15" hidden="false" customHeight="false" outlineLevel="0" collapsed="false">
      <c r="A40" s="16"/>
      <c r="B40" s="17" t="str">
        <f aca="false">IFERROR(INDEX(Ref_CTRL!$B$2:$B$201,MATCH(A40,Ref_CTRL!$A$2:$A$201,0)),"")</f>
        <v/>
      </c>
      <c r="C40" s="17" t="str">
        <f aca="false">IFERROR(INDEX(Ref_CTRL!$E$2:$E$201,MATCH(A40,Ref_CTRL!$A$2:$A$201,0)),"")</f>
        <v/>
      </c>
      <c r="D40" s="17" t="str">
        <f aca="false">IFERROR(INDEX(Ref_CTRL!$F$2:$F$201,MATCH(A40,Ref_CTRL!$A$2:$A$201,0)),"")</f>
        <v/>
      </c>
      <c r="E40" s="16"/>
      <c r="F40" s="16"/>
      <c r="G40" s="16"/>
      <c r="H40" s="16"/>
      <c r="I40" s="16"/>
      <c r="J40" s="17" t="str">
        <f aca="false">IFERROR(INDEX(Ref_CTRL!$D$2:$D$201,MATCH(A40,Ref_CTRL!$A$2:$A$201,0)),"")</f>
        <v/>
      </c>
      <c r="K40" s="16"/>
      <c r="L40" s="16"/>
      <c r="M40" s="18"/>
      <c r="N40" s="16"/>
      <c r="O40" s="17" t="str">
        <f aca="false">IF(A40="","",IF(COUNTIF(Ref_CTRL!$A$2:$A$201,A40)=0,"CTRL-ID not in W05",IF(L40="","Owner status needed",IF(AND(L40="Confirmed",OR(E40="",G40="")),"Confirmed needs control and evidence owner",IF(AND(L40="Confirmed",M40=""),"Date confirmed needed",IF(AND(L40="Outstanding",N40=""),"Follow-up needed",IF(AND(C40="Y",K40=""),"Walkthrough contact needed (key control)","OK")))))))</f>
        <v/>
      </c>
    </row>
    <row r="41" customFormat="false" ht="15" hidden="false" customHeight="false" outlineLevel="0" collapsed="false">
      <c r="A41" s="16"/>
      <c r="B41" s="17" t="str">
        <f aca="false">IFERROR(INDEX(Ref_CTRL!$B$2:$B$201,MATCH(A41,Ref_CTRL!$A$2:$A$201,0)),"")</f>
        <v/>
      </c>
      <c r="C41" s="17" t="str">
        <f aca="false">IFERROR(INDEX(Ref_CTRL!$E$2:$E$201,MATCH(A41,Ref_CTRL!$A$2:$A$201,0)),"")</f>
        <v/>
      </c>
      <c r="D41" s="17" t="str">
        <f aca="false">IFERROR(INDEX(Ref_CTRL!$F$2:$F$201,MATCH(A41,Ref_CTRL!$A$2:$A$201,0)),"")</f>
        <v/>
      </c>
      <c r="E41" s="16"/>
      <c r="F41" s="16"/>
      <c r="G41" s="16"/>
      <c r="H41" s="16"/>
      <c r="I41" s="16"/>
      <c r="J41" s="17" t="str">
        <f aca="false">IFERROR(INDEX(Ref_CTRL!$D$2:$D$201,MATCH(A41,Ref_CTRL!$A$2:$A$201,0)),"")</f>
        <v/>
      </c>
      <c r="K41" s="16"/>
      <c r="L41" s="16"/>
      <c r="M41" s="18"/>
      <c r="N41" s="16"/>
      <c r="O41" s="17" t="str">
        <f aca="false">IF(A41="","",IF(COUNTIF(Ref_CTRL!$A$2:$A$201,A41)=0,"CTRL-ID not in W05",IF(L41="","Owner status needed",IF(AND(L41="Confirmed",OR(E41="",G41="")),"Confirmed needs control and evidence owner",IF(AND(L41="Confirmed",M41=""),"Date confirmed needed",IF(AND(L41="Outstanding",N41=""),"Follow-up needed",IF(AND(C41="Y",K41=""),"Walkthrough contact needed (key control)","OK")))))))</f>
        <v/>
      </c>
    </row>
    <row r="42" customFormat="false" ht="15" hidden="false" customHeight="false" outlineLevel="0" collapsed="false">
      <c r="A42" s="16"/>
      <c r="B42" s="17" t="str">
        <f aca="false">IFERROR(INDEX(Ref_CTRL!$B$2:$B$201,MATCH(A42,Ref_CTRL!$A$2:$A$201,0)),"")</f>
        <v/>
      </c>
      <c r="C42" s="17" t="str">
        <f aca="false">IFERROR(INDEX(Ref_CTRL!$E$2:$E$201,MATCH(A42,Ref_CTRL!$A$2:$A$201,0)),"")</f>
        <v/>
      </c>
      <c r="D42" s="17" t="str">
        <f aca="false">IFERROR(INDEX(Ref_CTRL!$F$2:$F$201,MATCH(A42,Ref_CTRL!$A$2:$A$201,0)),"")</f>
        <v/>
      </c>
      <c r="E42" s="16"/>
      <c r="F42" s="16"/>
      <c r="G42" s="16"/>
      <c r="H42" s="16"/>
      <c r="I42" s="16"/>
      <c r="J42" s="17" t="str">
        <f aca="false">IFERROR(INDEX(Ref_CTRL!$D$2:$D$201,MATCH(A42,Ref_CTRL!$A$2:$A$201,0)),"")</f>
        <v/>
      </c>
      <c r="K42" s="16"/>
      <c r="L42" s="16"/>
      <c r="M42" s="18"/>
      <c r="N42" s="16"/>
      <c r="O42" s="17" t="str">
        <f aca="false">IF(A42="","",IF(COUNTIF(Ref_CTRL!$A$2:$A$201,A42)=0,"CTRL-ID not in W05",IF(L42="","Owner status needed",IF(AND(L42="Confirmed",OR(E42="",G42="")),"Confirmed needs control and evidence owner",IF(AND(L42="Confirmed",M42=""),"Date confirmed needed",IF(AND(L42="Outstanding",N42=""),"Follow-up needed",IF(AND(C42="Y",K42=""),"Walkthrough contact needed (key control)","OK")))))))</f>
        <v/>
      </c>
    </row>
    <row r="43" customFormat="false" ht="15" hidden="false" customHeight="false" outlineLevel="0" collapsed="false">
      <c r="A43" s="16"/>
      <c r="B43" s="17" t="str">
        <f aca="false">IFERROR(INDEX(Ref_CTRL!$B$2:$B$201,MATCH(A43,Ref_CTRL!$A$2:$A$201,0)),"")</f>
        <v/>
      </c>
      <c r="C43" s="17" t="str">
        <f aca="false">IFERROR(INDEX(Ref_CTRL!$E$2:$E$201,MATCH(A43,Ref_CTRL!$A$2:$A$201,0)),"")</f>
        <v/>
      </c>
      <c r="D43" s="17" t="str">
        <f aca="false">IFERROR(INDEX(Ref_CTRL!$F$2:$F$201,MATCH(A43,Ref_CTRL!$A$2:$A$201,0)),"")</f>
        <v/>
      </c>
      <c r="E43" s="16"/>
      <c r="F43" s="16"/>
      <c r="G43" s="16"/>
      <c r="H43" s="16"/>
      <c r="I43" s="16"/>
      <c r="J43" s="17" t="str">
        <f aca="false">IFERROR(INDEX(Ref_CTRL!$D$2:$D$201,MATCH(A43,Ref_CTRL!$A$2:$A$201,0)),"")</f>
        <v/>
      </c>
      <c r="K43" s="16"/>
      <c r="L43" s="16"/>
      <c r="M43" s="18"/>
      <c r="N43" s="16"/>
      <c r="O43" s="17" t="str">
        <f aca="false">IF(A43="","",IF(COUNTIF(Ref_CTRL!$A$2:$A$201,A43)=0,"CTRL-ID not in W05",IF(L43="","Owner status needed",IF(AND(L43="Confirmed",OR(E43="",G43="")),"Confirmed needs control and evidence owner",IF(AND(L43="Confirmed",M43=""),"Date confirmed needed",IF(AND(L43="Outstanding",N43=""),"Follow-up needed",IF(AND(C43="Y",K43=""),"Walkthrough contact needed (key control)","OK")))))))</f>
        <v/>
      </c>
    </row>
    <row r="44" customFormat="false" ht="15" hidden="false" customHeight="false" outlineLevel="0" collapsed="false">
      <c r="A44" s="16"/>
      <c r="B44" s="17" t="str">
        <f aca="false">IFERROR(INDEX(Ref_CTRL!$B$2:$B$201,MATCH(A44,Ref_CTRL!$A$2:$A$201,0)),"")</f>
        <v/>
      </c>
      <c r="C44" s="17" t="str">
        <f aca="false">IFERROR(INDEX(Ref_CTRL!$E$2:$E$201,MATCH(A44,Ref_CTRL!$A$2:$A$201,0)),"")</f>
        <v/>
      </c>
      <c r="D44" s="17" t="str">
        <f aca="false">IFERROR(INDEX(Ref_CTRL!$F$2:$F$201,MATCH(A44,Ref_CTRL!$A$2:$A$201,0)),"")</f>
        <v/>
      </c>
      <c r="E44" s="16"/>
      <c r="F44" s="16"/>
      <c r="G44" s="16"/>
      <c r="H44" s="16"/>
      <c r="I44" s="16"/>
      <c r="J44" s="17" t="str">
        <f aca="false">IFERROR(INDEX(Ref_CTRL!$D$2:$D$201,MATCH(A44,Ref_CTRL!$A$2:$A$201,0)),"")</f>
        <v/>
      </c>
      <c r="K44" s="16"/>
      <c r="L44" s="16"/>
      <c r="M44" s="18"/>
      <c r="N44" s="16"/>
      <c r="O44" s="17" t="str">
        <f aca="false">IF(A44="","",IF(COUNTIF(Ref_CTRL!$A$2:$A$201,A44)=0,"CTRL-ID not in W05",IF(L44="","Owner status needed",IF(AND(L44="Confirmed",OR(E44="",G44="")),"Confirmed needs control and evidence owner",IF(AND(L44="Confirmed",M44=""),"Date confirmed needed",IF(AND(L44="Outstanding",N44=""),"Follow-up needed",IF(AND(C44="Y",K44=""),"Walkthrough contact needed (key control)","OK")))))))</f>
        <v/>
      </c>
    </row>
    <row r="45" customFormat="false" ht="15" hidden="false" customHeight="false" outlineLevel="0" collapsed="false">
      <c r="A45" s="16"/>
      <c r="B45" s="17" t="str">
        <f aca="false">IFERROR(INDEX(Ref_CTRL!$B$2:$B$201,MATCH(A45,Ref_CTRL!$A$2:$A$201,0)),"")</f>
        <v/>
      </c>
      <c r="C45" s="17" t="str">
        <f aca="false">IFERROR(INDEX(Ref_CTRL!$E$2:$E$201,MATCH(A45,Ref_CTRL!$A$2:$A$201,0)),"")</f>
        <v/>
      </c>
      <c r="D45" s="17" t="str">
        <f aca="false">IFERROR(INDEX(Ref_CTRL!$F$2:$F$201,MATCH(A45,Ref_CTRL!$A$2:$A$201,0)),"")</f>
        <v/>
      </c>
      <c r="E45" s="16"/>
      <c r="F45" s="16"/>
      <c r="G45" s="16"/>
      <c r="H45" s="16"/>
      <c r="I45" s="16"/>
      <c r="J45" s="17" t="str">
        <f aca="false">IFERROR(INDEX(Ref_CTRL!$D$2:$D$201,MATCH(A45,Ref_CTRL!$A$2:$A$201,0)),"")</f>
        <v/>
      </c>
      <c r="K45" s="16"/>
      <c r="L45" s="16"/>
      <c r="M45" s="18"/>
      <c r="N45" s="16"/>
      <c r="O45" s="17" t="str">
        <f aca="false">IF(A45="","",IF(COUNTIF(Ref_CTRL!$A$2:$A$201,A45)=0,"CTRL-ID not in W05",IF(L45="","Owner status needed",IF(AND(L45="Confirmed",OR(E45="",G45="")),"Confirmed needs control and evidence owner",IF(AND(L45="Confirmed",M45=""),"Date confirmed needed",IF(AND(L45="Outstanding",N45=""),"Follow-up needed",IF(AND(C45="Y",K45=""),"Walkthrough contact needed (key control)","OK")))))))</f>
        <v/>
      </c>
    </row>
    <row r="46" customFormat="false" ht="15" hidden="false" customHeight="false" outlineLevel="0" collapsed="false">
      <c r="A46" s="16"/>
      <c r="B46" s="17" t="str">
        <f aca="false">IFERROR(INDEX(Ref_CTRL!$B$2:$B$201,MATCH(A46,Ref_CTRL!$A$2:$A$201,0)),"")</f>
        <v/>
      </c>
      <c r="C46" s="17" t="str">
        <f aca="false">IFERROR(INDEX(Ref_CTRL!$E$2:$E$201,MATCH(A46,Ref_CTRL!$A$2:$A$201,0)),"")</f>
        <v/>
      </c>
      <c r="D46" s="17" t="str">
        <f aca="false">IFERROR(INDEX(Ref_CTRL!$F$2:$F$201,MATCH(A46,Ref_CTRL!$A$2:$A$201,0)),"")</f>
        <v/>
      </c>
      <c r="E46" s="16"/>
      <c r="F46" s="16"/>
      <c r="G46" s="16"/>
      <c r="H46" s="16"/>
      <c r="I46" s="16"/>
      <c r="J46" s="17" t="str">
        <f aca="false">IFERROR(INDEX(Ref_CTRL!$D$2:$D$201,MATCH(A46,Ref_CTRL!$A$2:$A$201,0)),"")</f>
        <v/>
      </c>
      <c r="K46" s="16"/>
      <c r="L46" s="16"/>
      <c r="M46" s="18"/>
      <c r="N46" s="16"/>
      <c r="O46" s="17" t="str">
        <f aca="false">IF(A46="","",IF(COUNTIF(Ref_CTRL!$A$2:$A$201,A46)=0,"CTRL-ID not in W05",IF(L46="","Owner status needed",IF(AND(L46="Confirmed",OR(E46="",G46="")),"Confirmed needs control and evidence owner",IF(AND(L46="Confirmed",M46=""),"Date confirmed needed",IF(AND(L46="Outstanding",N46=""),"Follow-up needed",IF(AND(C46="Y",K46=""),"Walkthrough contact needed (key control)","OK")))))))</f>
        <v/>
      </c>
    </row>
    <row r="47" customFormat="false" ht="15" hidden="false" customHeight="false" outlineLevel="0" collapsed="false">
      <c r="A47" s="16"/>
      <c r="B47" s="17" t="str">
        <f aca="false">IFERROR(INDEX(Ref_CTRL!$B$2:$B$201,MATCH(A47,Ref_CTRL!$A$2:$A$201,0)),"")</f>
        <v/>
      </c>
      <c r="C47" s="17" t="str">
        <f aca="false">IFERROR(INDEX(Ref_CTRL!$E$2:$E$201,MATCH(A47,Ref_CTRL!$A$2:$A$201,0)),"")</f>
        <v/>
      </c>
      <c r="D47" s="17" t="str">
        <f aca="false">IFERROR(INDEX(Ref_CTRL!$F$2:$F$201,MATCH(A47,Ref_CTRL!$A$2:$A$201,0)),"")</f>
        <v/>
      </c>
      <c r="E47" s="16"/>
      <c r="F47" s="16"/>
      <c r="G47" s="16"/>
      <c r="H47" s="16"/>
      <c r="I47" s="16"/>
      <c r="J47" s="17" t="str">
        <f aca="false">IFERROR(INDEX(Ref_CTRL!$D$2:$D$201,MATCH(A47,Ref_CTRL!$A$2:$A$201,0)),"")</f>
        <v/>
      </c>
      <c r="K47" s="16"/>
      <c r="L47" s="16"/>
      <c r="M47" s="18"/>
      <c r="N47" s="16"/>
      <c r="O47" s="17" t="str">
        <f aca="false">IF(A47="","",IF(COUNTIF(Ref_CTRL!$A$2:$A$201,A47)=0,"CTRL-ID not in W05",IF(L47="","Owner status needed",IF(AND(L47="Confirmed",OR(E47="",G47="")),"Confirmed needs control and evidence owner",IF(AND(L47="Confirmed",M47=""),"Date confirmed needed",IF(AND(L47="Outstanding",N47=""),"Follow-up needed",IF(AND(C47="Y",K47=""),"Walkthrough contact needed (key control)","OK")))))))</f>
        <v/>
      </c>
    </row>
    <row r="48" customFormat="false" ht="15" hidden="false" customHeight="false" outlineLevel="0" collapsed="false">
      <c r="A48" s="16"/>
      <c r="B48" s="17" t="str">
        <f aca="false">IFERROR(INDEX(Ref_CTRL!$B$2:$B$201,MATCH(A48,Ref_CTRL!$A$2:$A$201,0)),"")</f>
        <v/>
      </c>
      <c r="C48" s="17" t="str">
        <f aca="false">IFERROR(INDEX(Ref_CTRL!$E$2:$E$201,MATCH(A48,Ref_CTRL!$A$2:$A$201,0)),"")</f>
        <v/>
      </c>
      <c r="D48" s="17" t="str">
        <f aca="false">IFERROR(INDEX(Ref_CTRL!$F$2:$F$201,MATCH(A48,Ref_CTRL!$A$2:$A$201,0)),"")</f>
        <v/>
      </c>
      <c r="E48" s="16"/>
      <c r="F48" s="16"/>
      <c r="G48" s="16"/>
      <c r="H48" s="16"/>
      <c r="I48" s="16"/>
      <c r="J48" s="17" t="str">
        <f aca="false">IFERROR(INDEX(Ref_CTRL!$D$2:$D$201,MATCH(A48,Ref_CTRL!$A$2:$A$201,0)),"")</f>
        <v/>
      </c>
      <c r="K48" s="16"/>
      <c r="L48" s="16"/>
      <c r="M48" s="18"/>
      <c r="N48" s="16"/>
      <c r="O48" s="17" t="str">
        <f aca="false">IF(A48="","",IF(COUNTIF(Ref_CTRL!$A$2:$A$201,A48)=0,"CTRL-ID not in W05",IF(L48="","Owner status needed",IF(AND(L48="Confirmed",OR(E48="",G48="")),"Confirmed needs control and evidence owner",IF(AND(L48="Confirmed",M48=""),"Date confirmed needed",IF(AND(L48="Outstanding",N48=""),"Follow-up needed",IF(AND(C48="Y",K48=""),"Walkthrough contact needed (key control)","OK")))))))</f>
        <v/>
      </c>
    </row>
    <row r="49" customFormat="false" ht="15" hidden="false" customHeight="false" outlineLevel="0" collapsed="false">
      <c r="A49" s="16"/>
      <c r="B49" s="17" t="str">
        <f aca="false">IFERROR(INDEX(Ref_CTRL!$B$2:$B$201,MATCH(A49,Ref_CTRL!$A$2:$A$201,0)),"")</f>
        <v/>
      </c>
      <c r="C49" s="17" t="str">
        <f aca="false">IFERROR(INDEX(Ref_CTRL!$E$2:$E$201,MATCH(A49,Ref_CTRL!$A$2:$A$201,0)),"")</f>
        <v/>
      </c>
      <c r="D49" s="17" t="str">
        <f aca="false">IFERROR(INDEX(Ref_CTRL!$F$2:$F$201,MATCH(A49,Ref_CTRL!$A$2:$A$201,0)),"")</f>
        <v/>
      </c>
      <c r="E49" s="16"/>
      <c r="F49" s="16"/>
      <c r="G49" s="16"/>
      <c r="H49" s="16"/>
      <c r="I49" s="16"/>
      <c r="J49" s="17" t="str">
        <f aca="false">IFERROR(INDEX(Ref_CTRL!$D$2:$D$201,MATCH(A49,Ref_CTRL!$A$2:$A$201,0)),"")</f>
        <v/>
      </c>
      <c r="K49" s="16"/>
      <c r="L49" s="16"/>
      <c r="M49" s="18"/>
      <c r="N49" s="16"/>
      <c r="O49" s="17" t="str">
        <f aca="false">IF(A49="","",IF(COUNTIF(Ref_CTRL!$A$2:$A$201,A49)=0,"CTRL-ID not in W05",IF(L49="","Owner status needed",IF(AND(L49="Confirmed",OR(E49="",G49="")),"Confirmed needs control and evidence owner",IF(AND(L49="Confirmed",M49=""),"Date confirmed needed",IF(AND(L49="Outstanding",N49=""),"Follow-up needed",IF(AND(C49="Y",K49=""),"Walkthrough contact needed (key control)","OK")))))))</f>
        <v/>
      </c>
    </row>
    <row r="50" customFormat="false" ht="15" hidden="false" customHeight="false" outlineLevel="0" collapsed="false">
      <c r="A50" s="16"/>
      <c r="B50" s="17" t="str">
        <f aca="false">IFERROR(INDEX(Ref_CTRL!$B$2:$B$201,MATCH(A50,Ref_CTRL!$A$2:$A$201,0)),"")</f>
        <v/>
      </c>
      <c r="C50" s="17" t="str">
        <f aca="false">IFERROR(INDEX(Ref_CTRL!$E$2:$E$201,MATCH(A50,Ref_CTRL!$A$2:$A$201,0)),"")</f>
        <v/>
      </c>
      <c r="D50" s="17" t="str">
        <f aca="false">IFERROR(INDEX(Ref_CTRL!$F$2:$F$201,MATCH(A50,Ref_CTRL!$A$2:$A$201,0)),"")</f>
        <v/>
      </c>
      <c r="E50" s="16"/>
      <c r="F50" s="16"/>
      <c r="G50" s="16"/>
      <c r="H50" s="16"/>
      <c r="I50" s="16"/>
      <c r="J50" s="17" t="str">
        <f aca="false">IFERROR(INDEX(Ref_CTRL!$D$2:$D$201,MATCH(A50,Ref_CTRL!$A$2:$A$201,0)),"")</f>
        <v/>
      </c>
      <c r="K50" s="16"/>
      <c r="L50" s="16"/>
      <c r="M50" s="18"/>
      <c r="N50" s="16"/>
      <c r="O50" s="17" t="str">
        <f aca="false">IF(A50="","",IF(COUNTIF(Ref_CTRL!$A$2:$A$201,A50)=0,"CTRL-ID not in W05",IF(L50="","Owner status needed",IF(AND(L50="Confirmed",OR(E50="",G50="")),"Confirmed needs control and evidence owner",IF(AND(L50="Confirmed",M50=""),"Date confirmed needed",IF(AND(L50="Outstanding",N50=""),"Follow-up needed",IF(AND(C50="Y",K50=""),"Walkthrough contact needed (key control)","OK")))))))</f>
        <v/>
      </c>
    </row>
    <row r="51" customFormat="false" ht="15" hidden="false" customHeight="false" outlineLevel="0" collapsed="false">
      <c r="A51" s="16"/>
      <c r="B51" s="17" t="str">
        <f aca="false">IFERROR(INDEX(Ref_CTRL!$B$2:$B$201,MATCH(A51,Ref_CTRL!$A$2:$A$201,0)),"")</f>
        <v/>
      </c>
      <c r="C51" s="17" t="str">
        <f aca="false">IFERROR(INDEX(Ref_CTRL!$E$2:$E$201,MATCH(A51,Ref_CTRL!$A$2:$A$201,0)),"")</f>
        <v/>
      </c>
      <c r="D51" s="17" t="str">
        <f aca="false">IFERROR(INDEX(Ref_CTRL!$F$2:$F$201,MATCH(A51,Ref_CTRL!$A$2:$A$201,0)),"")</f>
        <v/>
      </c>
      <c r="E51" s="16"/>
      <c r="F51" s="16"/>
      <c r="G51" s="16"/>
      <c r="H51" s="16"/>
      <c r="I51" s="16"/>
      <c r="J51" s="17" t="str">
        <f aca="false">IFERROR(INDEX(Ref_CTRL!$D$2:$D$201,MATCH(A51,Ref_CTRL!$A$2:$A$201,0)),"")</f>
        <v/>
      </c>
      <c r="K51" s="16"/>
      <c r="L51" s="16"/>
      <c r="M51" s="18"/>
      <c r="N51" s="16"/>
      <c r="O51" s="17" t="str">
        <f aca="false">IF(A51="","",IF(COUNTIF(Ref_CTRL!$A$2:$A$201,A51)=0,"CTRL-ID not in W05",IF(L51="","Owner status needed",IF(AND(L51="Confirmed",OR(E51="",G51="")),"Confirmed needs control and evidence owner",IF(AND(L51="Confirmed",M51=""),"Date confirmed needed",IF(AND(L51="Outstanding",N51=""),"Follow-up needed",IF(AND(C51="Y",K51=""),"Walkthrough contact needed (key control)","OK")))))))</f>
        <v/>
      </c>
    </row>
    <row r="52" customFormat="false" ht="15" hidden="false" customHeight="false" outlineLevel="0" collapsed="false">
      <c r="A52" s="16"/>
      <c r="B52" s="17" t="str">
        <f aca="false">IFERROR(INDEX(Ref_CTRL!$B$2:$B$201,MATCH(A52,Ref_CTRL!$A$2:$A$201,0)),"")</f>
        <v/>
      </c>
      <c r="C52" s="17" t="str">
        <f aca="false">IFERROR(INDEX(Ref_CTRL!$E$2:$E$201,MATCH(A52,Ref_CTRL!$A$2:$A$201,0)),"")</f>
        <v/>
      </c>
      <c r="D52" s="17" t="str">
        <f aca="false">IFERROR(INDEX(Ref_CTRL!$F$2:$F$201,MATCH(A52,Ref_CTRL!$A$2:$A$201,0)),"")</f>
        <v/>
      </c>
      <c r="E52" s="16"/>
      <c r="F52" s="16"/>
      <c r="G52" s="16"/>
      <c r="H52" s="16"/>
      <c r="I52" s="16"/>
      <c r="J52" s="17" t="str">
        <f aca="false">IFERROR(INDEX(Ref_CTRL!$D$2:$D$201,MATCH(A52,Ref_CTRL!$A$2:$A$201,0)),"")</f>
        <v/>
      </c>
      <c r="K52" s="16"/>
      <c r="L52" s="16"/>
      <c r="M52" s="18"/>
      <c r="N52" s="16"/>
      <c r="O52" s="17" t="str">
        <f aca="false">IF(A52="","",IF(COUNTIF(Ref_CTRL!$A$2:$A$201,A52)=0,"CTRL-ID not in W05",IF(L52="","Owner status needed",IF(AND(L52="Confirmed",OR(E52="",G52="")),"Confirmed needs control and evidence owner",IF(AND(L52="Confirmed",M52=""),"Date confirmed needed",IF(AND(L52="Outstanding",N52=""),"Follow-up needed",IF(AND(C52="Y",K52=""),"Walkthrough contact needed (key control)","OK")))))))</f>
        <v/>
      </c>
    </row>
    <row r="53" customFormat="false" ht="15" hidden="false" customHeight="false" outlineLevel="0" collapsed="false">
      <c r="A53" s="16"/>
      <c r="B53" s="17" t="str">
        <f aca="false">IFERROR(INDEX(Ref_CTRL!$B$2:$B$201,MATCH(A53,Ref_CTRL!$A$2:$A$201,0)),"")</f>
        <v/>
      </c>
      <c r="C53" s="17" t="str">
        <f aca="false">IFERROR(INDEX(Ref_CTRL!$E$2:$E$201,MATCH(A53,Ref_CTRL!$A$2:$A$201,0)),"")</f>
        <v/>
      </c>
      <c r="D53" s="17" t="str">
        <f aca="false">IFERROR(INDEX(Ref_CTRL!$F$2:$F$201,MATCH(A53,Ref_CTRL!$A$2:$A$201,0)),"")</f>
        <v/>
      </c>
      <c r="E53" s="16"/>
      <c r="F53" s="16"/>
      <c r="G53" s="16"/>
      <c r="H53" s="16"/>
      <c r="I53" s="16"/>
      <c r="J53" s="17" t="str">
        <f aca="false">IFERROR(INDEX(Ref_CTRL!$D$2:$D$201,MATCH(A53,Ref_CTRL!$A$2:$A$201,0)),"")</f>
        <v/>
      </c>
      <c r="K53" s="16"/>
      <c r="L53" s="16"/>
      <c r="M53" s="18"/>
      <c r="N53" s="16"/>
      <c r="O53" s="17" t="str">
        <f aca="false">IF(A53="","",IF(COUNTIF(Ref_CTRL!$A$2:$A$201,A53)=0,"CTRL-ID not in W05",IF(L53="","Owner status needed",IF(AND(L53="Confirmed",OR(E53="",G53="")),"Confirmed needs control and evidence owner",IF(AND(L53="Confirmed",M53=""),"Date confirmed needed",IF(AND(L53="Outstanding",N53=""),"Follow-up needed",IF(AND(C53="Y",K53=""),"Walkthrough contact needed (key control)","OK")))))))</f>
        <v/>
      </c>
    </row>
    <row r="54" customFormat="false" ht="15" hidden="false" customHeight="false" outlineLevel="0" collapsed="false">
      <c r="A54" s="16"/>
      <c r="B54" s="17" t="str">
        <f aca="false">IFERROR(INDEX(Ref_CTRL!$B$2:$B$201,MATCH(A54,Ref_CTRL!$A$2:$A$201,0)),"")</f>
        <v/>
      </c>
      <c r="C54" s="17" t="str">
        <f aca="false">IFERROR(INDEX(Ref_CTRL!$E$2:$E$201,MATCH(A54,Ref_CTRL!$A$2:$A$201,0)),"")</f>
        <v/>
      </c>
      <c r="D54" s="17" t="str">
        <f aca="false">IFERROR(INDEX(Ref_CTRL!$F$2:$F$201,MATCH(A54,Ref_CTRL!$A$2:$A$201,0)),"")</f>
        <v/>
      </c>
      <c r="E54" s="16"/>
      <c r="F54" s="16"/>
      <c r="G54" s="16"/>
      <c r="H54" s="16"/>
      <c r="I54" s="16"/>
      <c r="J54" s="17" t="str">
        <f aca="false">IFERROR(INDEX(Ref_CTRL!$D$2:$D$201,MATCH(A54,Ref_CTRL!$A$2:$A$201,0)),"")</f>
        <v/>
      </c>
      <c r="K54" s="16"/>
      <c r="L54" s="16"/>
      <c r="M54" s="18"/>
      <c r="N54" s="16"/>
      <c r="O54" s="17" t="str">
        <f aca="false">IF(A54="","",IF(COUNTIF(Ref_CTRL!$A$2:$A$201,A54)=0,"CTRL-ID not in W05",IF(L54="","Owner status needed",IF(AND(L54="Confirmed",OR(E54="",G54="")),"Confirmed needs control and evidence owner",IF(AND(L54="Confirmed",M54=""),"Date confirmed needed",IF(AND(L54="Outstanding",N54=""),"Follow-up needed",IF(AND(C54="Y",K54=""),"Walkthrough contact needed (key control)","OK")))))))</f>
        <v/>
      </c>
    </row>
    <row r="55" customFormat="false" ht="15" hidden="false" customHeight="false" outlineLevel="0" collapsed="false">
      <c r="A55" s="16"/>
      <c r="B55" s="17" t="str">
        <f aca="false">IFERROR(INDEX(Ref_CTRL!$B$2:$B$201,MATCH(A55,Ref_CTRL!$A$2:$A$201,0)),"")</f>
        <v/>
      </c>
      <c r="C55" s="17" t="str">
        <f aca="false">IFERROR(INDEX(Ref_CTRL!$E$2:$E$201,MATCH(A55,Ref_CTRL!$A$2:$A$201,0)),"")</f>
        <v/>
      </c>
      <c r="D55" s="17" t="str">
        <f aca="false">IFERROR(INDEX(Ref_CTRL!$F$2:$F$201,MATCH(A55,Ref_CTRL!$A$2:$A$201,0)),"")</f>
        <v/>
      </c>
      <c r="E55" s="16"/>
      <c r="F55" s="16"/>
      <c r="G55" s="16"/>
      <c r="H55" s="16"/>
      <c r="I55" s="16"/>
      <c r="J55" s="17" t="str">
        <f aca="false">IFERROR(INDEX(Ref_CTRL!$D$2:$D$201,MATCH(A55,Ref_CTRL!$A$2:$A$201,0)),"")</f>
        <v/>
      </c>
      <c r="K55" s="16"/>
      <c r="L55" s="16"/>
      <c r="M55" s="18"/>
      <c r="N55" s="16"/>
      <c r="O55" s="17" t="str">
        <f aca="false">IF(A55="","",IF(COUNTIF(Ref_CTRL!$A$2:$A$201,A55)=0,"CTRL-ID not in W05",IF(L55="","Owner status needed",IF(AND(L55="Confirmed",OR(E55="",G55="")),"Confirmed needs control and evidence owner",IF(AND(L55="Confirmed",M55=""),"Date confirmed needed",IF(AND(L55="Outstanding",N55=""),"Follow-up needed",IF(AND(C55="Y",K55=""),"Walkthrough contact needed (key control)","OK")))))))</f>
        <v/>
      </c>
    </row>
    <row r="56" customFormat="false" ht="15" hidden="false" customHeight="false" outlineLevel="0" collapsed="false">
      <c r="A56" s="16"/>
      <c r="B56" s="17" t="str">
        <f aca="false">IFERROR(INDEX(Ref_CTRL!$B$2:$B$201,MATCH(A56,Ref_CTRL!$A$2:$A$201,0)),"")</f>
        <v/>
      </c>
      <c r="C56" s="17" t="str">
        <f aca="false">IFERROR(INDEX(Ref_CTRL!$E$2:$E$201,MATCH(A56,Ref_CTRL!$A$2:$A$201,0)),"")</f>
        <v/>
      </c>
      <c r="D56" s="17" t="str">
        <f aca="false">IFERROR(INDEX(Ref_CTRL!$F$2:$F$201,MATCH(A56,Ref_CTRL!$A$2:$A$201,0)),"")</f>
        <v/>
      </c>
      <c r="E56" s="16"/>
      <c r="F56" s="16"/>
      <c r="G56" s="16"/>
      <c r="H56" s="16"/>
      <c r="I56" s="16"/>
      <c r="J56" s="17" t="str">
        <f aca="false">IFERROR(INDEX(Ref_CTRL!$D$2:$D$201,MATCH(A56,Ref_CTRL!$A$2:$A$201,0)),"")</f>
        <v/>
      </c>
      <c r="K56" s="16"/>
      <c r="L56" s="16"/>
      <c r="M56" s="18"/>
      <c r="N56" s="16"/>
      <c r="O56" s="17" t="str">
        <f aca="false">IF(A56="","",IF(COUNTIF(Ref_CTRL!$A$2:$A$201,A56)=0,"CTRL-ID not in W05",IF(L56="","Owner status needed",IF(AND(L56="Confirmed",OR(E56="",G56="")),"Confirmed needs control and evidence owner",IF(AND(L56="Confirmed",M56=""),"Date confirmed needed",IF(AND(L56="Outstanding",N56=""),"Follow-up needed",IF(AND(C56="Y",K56=""),"Walkthrough contact needed (key control)","OK")))))))</f>
        <v/>
      </c>
    </row>
    <row r="57" customFormat="false" ht="15" hidden="false" customHeight="false" outlineLevel="0" collapsed="false">
      <c r="A57" s="16"/>
      <c r="B57" s="17" t="str">
        <f aca="false">IFERROR(INDEX(Ref_CTRL!$B$2:$B$201,MATCH(A57,Ref_CTRL!$A$2:$A$201,0)),"")</f>
        <v/>
      </c>
      <c r="C57" s="17" t="str">
        <f aca="false">IFERROR(INDEX(Ref_CTRL!$E$2:$E$201,MATCH(A57,Ref_CTRL!$A$2:$A$201,0)),"")</f>
        <v/>
      </c>
      <c r="D57" s="17" t="str">
        <f aca="false">IFERROR(INDEX(Ref_CTRL!$F$2:$F$201,MATCH(A57,Ref_CTRL!$A$2:$A$201,0)),"")</f>
        <v/>
      </c>
      <c r="E57" s="16"/>
      <c r="F57" s="16"/>
      <c r="G57" s="16"/>
      <c r="H57" s="16"/>
      <c r="I57" s="16"/>
      <c r="J57" s="17" t="str">
        <f aca="false">IFERROR(INDEX(Ref_CTRL!$D$2:$D$201,MATCH(A57,Ref_CTRL!$A$2:$A$201,0)),"")</f>
        <v/>
      </c>
      <c r="K57" s="16"/>
      <c r="L57" s="16"/>
      <c r="M57" s="18"/>
      <c r="N57" s="16"/>
      <c r="O57" s="17" t="str">
        <f aca="false">IF(A57="","",IF(COUNTIF(Ref_CTRL!$A$2:$A$201,A57)=0,"CTRL-ID not in W05",IF(L57="","Owner status needed",IF(AND(L57="Confirmed",OR(E57="",G57="")),"Confirmed needs control and evidence owner",IF(AND(L57="Confirmed",M57=""),"Date confirmed needed",IF(AND(L57="Outstanding",N57=""),"Follow-up needed",IF(AND(C57="Y",K57=""),"Walkthrough contact needed (key control)","OK")))))))</f>
        <v/>
      </c>
    </row>
    <row r="58" customFormat="false" ht="15" hidden="false" customHeight="false" outlineLevel="0" collapsed="false">
      <c r="A58" s="16"/>
      <c r="B58" s="17" t="str">
        <f aca="false">IFERROR(INDEX(Ref_CTRL!$B$2:$B$201,MATCH(A58,Ref_CTRL!$A$2:$A$201,0)),"")</f>
        <v/>
      </c>
      <c r="C58" s="17" t="str">
        <f aca="false">IFERROR(INDEX(Ref_CTRL!$E$2:$E$201,MATCH(A58,Ref_CTRL!$A$2:$A$201,0)),"")</f>
        <v/>
      </c>
      <c r="D58" s="17" t="str">
        <f aca="false">IFERROR(INDEX(Ref_CTRL!$F$2:$F$201,MATCH(A58,Ref_CTRL!$A$2:$A$201,0)),"")</f>
        <v/>
      </c>
      <c r="E58" s="16"/>
      <c r="F58" s="16"/>
      <c r="G58" s="16"/>
      <c r="H58" s="16"/>
      <c r="I58" s="16"/>
      <c r="J58" s="17" t="str">
        <f aca="false">IFERROR(INDEX(Ref_CTRL!$D$2:$D$201,MATCH(A58,Ref_CTRL!$A$2:$A$201,0)),"")</f>
        <v/>
      </c>
      <c r="K58" s="16"/>
      <c r="L58" s="16"/>
      <c r="M58" s="18"/>
      <c r="N58" s="16"/>
      <c r="O58" s="17" t="str">
        <f aca="false">IF(A58="","",IF(COUNTIF(Ref_CTRL!$A$2:$A$201,A58)=0,"CTRL-ID not in W05",IF(L58="","Owner status needed",IF(AND(L58="Confirmed",OR(E58="",G58="")),"Confirmed needs control and evidence owner",IF(AND(L58="Confirmed",M58=""),"Date confirmed needed",IF(AND(L58="Outstanding",N58=""),"Follow-up needed",IF(AND(C58="Y",K58=""),"Walkthrough contact needed (key control)","OK")))))))</f>
        <v/>
      </c>
    </row>
    <row r="59" customFormat="false" ht="15" hidden="false" customHeight="false" outlineLevel="0" collapsed="false">
      <c r="A59" s="16"/>
      <c r="B59" s="17" t="str">
        <f aca="false">IFERROR(INDEX(Ref_CTRL!$B$2:$B$201,MATCH(A59,Ref_CTRL!$A$2:$A$201,0)),"")</f>
        <v/>
      </c>
      <c r="C59" s="17" t="str">
        <f aca="false">IFERROR(INDEX(Ref_CTRL!$E$2:$E$201,MATCH(A59,Ref_CTRL!$A$2:$A$201,0)),"")</f>
        <v/>
      </c>
      <c r="D59" s="17" t="str">
        <f aca="false">IFERROR(INDEX(Ref_CTRL!$F$2:$F$201,MATCH(A59,Ref_CTRL!$A$2:$A$201,0)),"")</f>
        <v/>
      </c>
      <c r="E59" s="16"/>
      <c r="F59" s="16"/>
      <c r="G59" s="16"/>
      <c r="H59" s="16"/>
      <c r="I59" s="16"/>
      <c r="J59" s="17" t="str">
        <f aca="false">IFERROR(INDEX(Ref_CTRL!$D$2:$D$201,MATCH(A59,Ref_CTRL!$A$2:$A$201,0)),"")</f>
        <v/>
      </c>
      <c r="K59" s="16"/>
      <c r="L59" s="16"/>
      <c r="M59" s="18"/>
      <c r="N59" s="16"/>
      <c r="O59" s="17" t="str">
        <f aca="false">IF(A59="","",IF(COUNTIF(Ref_CTRL!$A$2:$A$201,A59)=0,"CTRL-ID not in W05",IF(L59="","Owner status needed",IF(AND(L59="Confirmed",OR(E59="",G59="")),"Confirmed needs control and evidence owner",IF(AND(L59="Confirmed",M59=""),"Date confirmed needed",IF(AND(L59="Outstanding",N59=""),"Follow-up needed",IF(AND(C59="Y",K59=""),"Walkthrough contact needed (key control)","OK")))))))</f>
        <v/>
      </c>
    </row>
    <row r="60" customFormat="false" ht="15" hidden="false" customHeight="false" outlineLevel="0" collapsed="false">
      <c r="A60" s="16"/>
      <c r="B60" s="17" t="str">
        <f aca="false">IFERROR(INDEX(Ref_CTRL!$B$2:$B$201,MATCH(A60,Ref_CTRL!$A$2:$A$201,0)),"")</f>
        <v/>
      </c>
      <c r="C60" s="17" t="str">
        <f aca="false">IFERROR(INDEX(Ref_CTRL!$E$2:$E$201,MATCH(A60,Ref_CTRL!$A$2:$A$201,0)),"")</f>
        <v/>
      </c>
      <c r="D60" s="17" t="str">
        <f aca="false">IFERROR(INDEX(Ref_CTRL!$F$2:$F$201,MATCH(A60,Ref_CTRL!$A$2:$A$201,0)),"")</f>
        <v/>
      </c>
      <c r="E60" s="16"/>
      <c r="F60" s="16"/>
      <c r="G60" s="16"/>
      <c r="H60" s="16"/>
      <c r="I60" s="16"/>
      <c r="J60" s="17" t="str">
        <f aca="false">IFERROR(INDEX(Ref_CTRL!$D$2:$D$201,MATCH(A60,Ref_CTRL!$A$2:$A$201,0)),"")</f>
        <v/>
      </c>
      <c r="K60" s="16"/>
      <c r="L60" s="16"/>
      <c r="M60" s="18"/>
      <c r="N60" s="16"/>
      <c r="O60" s="17" t="str">
        <f aca="false">IF(A60="","",IF(COUNTIF(Ref_CTRL!$A$2:$A$201,A60)=0,"CTRL-ID not in W05",IF(L60="","Owner status needed",IF(AND(L60="Confirmed",OR(E60="",G60="")),"Confirmed needs control and evidence owner",IF(AND(L60="Confirmed",M60=""),"Date confirmed needed",IF(AND(L60="Outstanding",N60=""),"Follow-up needed",IF(AND(C60="Y",K60=""),"Walkthrough contact needed (key control)","OK")))))))</f>
        <v/>
      </c>
    </row>
    <row r="61" customFormat="false" ht="15" hidden="false" customHeight="false" outlineLevel="0" collapsed="false">
      <c r="A61" s="16"/>
      <c r="B61" s="17" t="str">
        <f aca="false">IFERROR(INDEX(Ref_CTRL!$B$2:$B$201,MATCH(A61,Ref_CTRL!$A$2:$A$201,0)),"")</f>
        <v/>
      </c>
      <c r="C61" s="17" t="str">
        <f aca="false">IFERROR(INDEX(Ref_CTRL!$E$2:$E$201,MATCH(A61,Ref_CTRL!$A$2:$A$201,0)),"")</f>
        <v/>
      </c>
      <c r="D61" s="17" t="str">
        <f aca="false">IFERROR(INDEX(Ref_CTRL!$F$2:$F$201,MATCH(A61,Ref_CTRL!$A$2:$A$201,0)),"")</f>
        <v/>
      </c>
      <c r="E61" s="16"/>
      <c r="F61" s="16"/>
      <c r="G61" s="16"/>
      <c r="H61" s="16"/>
      <c r="I61" s="16"/>
      <c r="J61" s="17" t="str">
        <f aca="false">IFERROR(INDEX(Ref_CTRL!$D$2:$D$201,MATCH(A61,Ref_CTRL!$A$2:$A$201,0)),"")</f>
        <v/>
      </c>
      <c r="K61" s="16"/>
      <c r="L61" s="16"/>
      <c r="M61" s="18"/>
      <c r="N61" s="16"/>
      <c r="O61" s="17" t="str">
        <f aca="false">IF(A61="","",IF(COUNTIF(Ref_CTRL!$A$2:$A$201,A61)=0,"CTRL-ID not in W05",IF(L61="","Owner status needed",IF(AND(L61="Confirmed",OR(E61="",G61="")),"Confirmed needs control and evidence owner",IF(AND(L61="Confirmed",M61=""),"Date confirmed needed",IF(AND(L61="Outstanding",N61=""),"Follow-up needed",IF(AND(C61="Y",K61=""),"Walkthrough contact needed (key control)","OK")))))))</f>
        <v/>
      </c>
    </row>
    <row r="62" customFormat="false" ht="15" hidden="false" customHeight="false" outlineLevel="0" collapsed="false">
      <c r="A62" s="16"/>
      <c r="B62" s="17" t="str">
        <f aca="false">IFERROR(INDEX(Ref_CTRL!$B$2:$B$201,MATCH(A62,Ref_CTRL!$A$2:$A$201,0)),"")</f>
        <v/>
      </c>
      <c r="C62" s="17" t="str">
        <f aca="false">IFERROR(INDEX(Ref_CTRL!$E$2:$E$201,MATCH(A62,Ref_CTRL!$A$2:$A$201,0)),"")</f>
        <v/>
      </c>
      <c r="D62" s="17" t="str">
        <f aca="false">IFERROR(INDEX(Ref_CTRL!$F$2:$F$201,MATCH(A62,Ref_CTRL!$A$2:$A$201,0)),"")</f>
        <v/>
      </c>
      <c r="E62" s="16"/>
      <c r="F62" s="16"/>
      <c r="G62" s="16"/>
      <c r="H62" s="16"/>
      <c r="I62" s="16"/>
      <c r="J62" s="17" t="str">
        <f aca="false">IFERROR(INDEX(Ref_CTRL!$D$2:$D$201,MATCH(A62,Ref_CTRL!$A$2:$A$201,0)),"")</f>
        <v/>
      </c>
      <c r="K62" s="16"/>
      <c r="L62" s="16"/>
      <c r="M62" s="18"/>
      <c r="N62" s="16"/>
      <c r="O62" s="17" t="str">
        <f aca="false">IF(A62="","",IF(COUNTIF(Ref_CTRL!$A$2:$A$201,A62)=0,"CTRL-ID not in W05",IF(L62="","Owner status needed",IF(AND(L62="Confirmed",OR(E62="",G62="")),"Confirmed needs control and evidence owner",IF(AND(L62="Confirmed",M62=""),"Date confirmed needed",IF(AND(L62="Outstanding",N62=""),"Follow-up needed",IF(AND(C62="Y",K62=""),"Walkthrough contact needed (key control)","OK")))))))</f>
        <v/>
      </c>
    </row>
    <row r="63" customFormat="false" ht="15" hidden="false" customHeight="false" outlineLevel="0" collapsed="false">
      <c r="A63" s="16"/>
      <c r="B63" s="17" t="str">
        <f aca="false">IFERROR(INDEX(Ref_CTRL!$B$2:$B$201,MATCH(A63,Ref_CTRL!$A$2:$A$201,0)),"")</f>
        <v/>
      </c>
      <c r="C63" s="17" t="str">
        <f aca="false">IFERROR(INDEX(Ref_CTRL!$E$2:$E$201,MATCH(A63,Ref_CTRL!$A$2:$A$201,0)),"")</f>
        <v/>
      </c>
      <c r="D63" s="17" t="str">
        <f aca="false">IFERROR(INDEX(Ref_CTRL!$F$2:$F$201,MATCH(A63,Ref_CTRL!$A$2:$A$201,0)),"")</f>
        <v/>
      </c>
      <c r="E63" s="16"/>
      <c r="F63" s="16"/>
      <c r="G63" s="16"/>
      <c r="H63" s="16"/>
      <c r="I63" s="16"/>
      <c r="J63" s="17" t="str">
        <f aca="false">IFERROR(INDEX(Ref_CTRL!$D$2:$D$201,MATCH(A63,Ref_CTRL!$A$2:$A$201,0)),"")</f>
        <v/>
      </c>
      <c r="K63" s="16"/>
      <c r="L63" s="16"/>
      <c r="M63" s="18"/>
      <c r="N63" s="16"/>
      <c r="O63" s="17" t="str">
        <f aca="false">IF(A63="","",IF(COUNTIF(Ref_CTRL!$A$2:$A$201,A63)=0,"CTRL-ID not in W05",IF(L63="","Owner status needed",IF(AND(L63="Confirmed",OR(E63="",G63="")),"Confirmed needs control and evidence owner",IF(AND(L63="Confirmed",M63=""),"Date confirmed needed",IF(AND(L63="Outstanding",N63=""),"Follow-up needed",IF(AND(C63="Y",K63=""),"Walkthrough contact needed (key control)","OK")))))))</f>
        <v/>
      </c>
    </row>
    <row r="64" customFormat="false" ht="15" hidden="false" customHeight="false" outlineLevel="0" collapsed="false">
      <c r="A64" s="16"/>
      <c r="B64" s="17" t="str">
        <f aca="false">IFERROR(INDEX(Ref_CTRL!$B$2:$B$201,MATCH(A64,Ref_CTRL!$A$2:$A$201,0)),"")</f>
        <v/>
      </c>
      <c r="C64" s="17" t="str">
        <f aca="false">IFERROR(INDEX(Ref_CTRL!$E$2:$E$201,MATCH(A64,Ref_CTRL!$A$2:$A$201,0)),"")</f>
        <v/>
      </c>
      <c r="D64" s="17" t="str">
        <f aca="false">IFERROR(INDEX(Ref_CTRL!$F$2:$F$201,MATCH(A64,Ref_CTRL!$A$2:$A$201,0)),"")</f>
        <v/>
      </c>
      <c r="E64" s="16"/>
      <c r="F64" s="16"/>
      <c r="G64" s="16"/>
      <c r="H64" s="16"/>
      <c r="I64" s="16"/>
      <c r="J64" s="17" t="str">
        <f aca="false">IFERROR(INDEX(Ref_CTRL!$D$2:$D$201,MATCH(A64,Ref_CTRL!$A$2:$A$201,0)),"")</f>
        <v/>
      </c>
      <c r="K64" s="16"/>
      <c r="L64" s="16"/>
      <c r="M64" s="18"/>
      <c r="N64" s="16"/>
      <c r="O64" s="17" t="str">
        <f aca="false">IF(A64="","",IF(COUNTIF(Ref_CTRL!$A$2:$A$201,A64)=0,"CTRL-ID not in W05",IF(L64="","Owner status needed",IF(AND(L64="Confirmed",OR(E64="",G64="")),"Confirmed needs control and evidence owner",IF(AND(L64="Confirmed",M64=""),"Date confirmed needed",IF(AND(L64="Outstanding",N64=""),"Follow-up needed",IF(AND(C64="Y",K64=""),"Walkthrough contact needed (key control)","OK")))))))</f>
        <v/>
      </c>
    </row>
    <row r="65" customFormat="false" ht="15" hidden="false" customHeight="false" outlineLevel="0" collapsed="false">
      <c r="A65" s="16"/>
      <c r="B65" s="17" t="str">
        <f aca="false">IFERROR(INDEX(Ref_CTRL!$B$2:$B$201,MATCH(A65,Ref_CTRL!$A$2:$A$201,0)),"")</f>
        <v/>
      </c>
      <c r="C65" s="17" t="str">
        <f aca="false">IFERROR(INDEX(Ref_CTRL!$E$2:$E$201,MATCH(A65,Ref_CTRL!$A$2:$A$201,0)),"")</f>
        <v/>
      </c>
      <c r="D65" s="17" t="str">
        <f aca="false">IFERROR(INDEX(Ref_CTRL!$F$2:$F$201,MATCH(A65,Ref_CTRL!$A$2:$A$201,0)),"")</f>
        <v/>
      </c>
      <c r="E65" s="16"/>
      <c r="F65" s="16"/>
      <c r="G65" s="16"/>
      <c r="H65" s="16"/>
      <c r="I65" s="16"/>
      <c r="J65" s="17" t="str">
        <f aca="false">IFERROR(INDEX(Ref_CTRL!$D$2:$D$201,MATCH(A65,Ref_CTRL!$A$2:$A$201,0)),"")</f>
        <v/>
      </c>
      <c r="K65" s="16"/>
      <c r="L65" s="16"/>
      <c r="M65" s="18"/>
      <c r="N65" s="16"/>
      <c r="O65" s="17" t="str">
        <f aca="false">IF(A65="","",IF(COUNTIF(Ref_CTRL!$A$2:$A$201,A65)=0,"CTRL-ID not in W05",IF(L65="","Owner status needed",IF(AND(L65="Confirmed",OR(E65="",G65="")),"Confirmed needs control and evidence owner",IF(AND(L65="Confirmed",M65=""),"Date confirmed needed",IF(AND(L65="Outstanding",N65=""),"Follow-up needed",IF(AND(C65="Y",K65=""),"Walkthrough contact needed (key control)","OK")))))))</f>
        <v/>
      </c>
    </row>
    <row r="66" customFormat="false" ht="15" hidden="false" customHeight="false" outlineLevel="0" collapsed="false">
      <c r="A66" s="16"/>
      <c r="B66" s="17" t="str">
        <f aca="false">IFERROR(INDEX(Ref_CTRL!$B$2:$B$201,MATCH(A66,Ref_CTRL!$A$2:$A$201,0)),"")</f>
        <v/>
      </c>
      <c r="C66" s="17" t="str">
        <f aca="false">IFERROR(INDEX(Ref_CTRL!$E$2:$E$201,MATCH(A66,Ref_CTRL!$A$2:$A$201,0)),"")</f>
        <v/>
      </c>
      <c r="D66" s="17" t="str">
        <f aca="false">IFERROR(INDEX(Ref_CTRL!$F$2:$F$201,MATCH(A66,Ref_CTRL!$A$2:$A$201,0)),"")</f>
        <v/>
      </c>
      <c r="E66" s="16"/>
      <c r="F66" s="16"/>
      <c r="G66" s="16"/>
      <c r="H66" s="16"/>
      <c r="I66" s="16"/>
      <c r="J66" s="17" t="str">
        <f aca="false">IFERROR(INDEX(Ref_CTRL!$D$2:$D$201,MATCH(A66,Ref_CTRL!$A$2:$A$201,0)),"")</f>
        <v/>
      </c>
      <c r="K66" s="16"/>
      <c r="L66" s="16"/>
      <c r="M66" s="18"/>
      <c r="N66" s="16"/>
      <c r="O66" s="17" t="str">
        <f aca="false">IF(A66="","",IF(COUNTIF(Ref_CTRL!$A$2:$A$201,A66)=0,"CTRL-ID not in W05",IF(L66="","Owner status needed",IF(AND(L66="Confirmed",OR(E66="",G66="")),"Confirmed needs control and evidence owner",IF(AND(L66="Confirmed",M66=""),"Date confirmed needed",IF(AND(L66="Outstanding",N66=""),"Follow-up needed",IF(AND(C66="Y",K66=""),"Walkthrough contact needed (key control)","OK")))))))</f>
        <v/>
      </c>
    </row>
    <row r="67" customFormat="false" ht="15" hidden="false" customHeight="false" outlineLevel="0" collapsed="false">
      <c r="A67" s="16"/>
      <c r="B67" s="17" t="str">
        <f aca="false">IFERROR(INDEX(Ref_CTRL!$B$2:$B$201,MATCH(A67,Ref_CTRL!$A$2:$A$201,0)),"")</f>
        <v/>
      </c>
      <c r="C67" s="17" t="str">
        <f aca="false">IFERROR(INDEX(Ref_CTRL!$E$2:$E$201,MATCH(A67,Ref_CTRL!$A$2:$A$201,0)),"")</f>
        <v/>
      </c>
      <c r="D67" s="17" t="str">
        <f aca="false">IFERROR(INDEX(Ref_CTRL!$F$2:$F$201,MATCH(A67,Ref_CTRL!$A$2:$A$201,0)),"")</f>
        <v/>
      </c>
      <c r="E67" s="16"/>
      <c r="F67" s="16"/>
      <c r="G67" s="16"/>
      <c r="H67" s="16"/>
      <c r="I67" s="16"/>
      <c r="J67" s="17" t="str">
        <f aca="false">IFERROR(INDEX(Ref_CTRL!$D$2:$D$201,MATCH(A67,Ref_CTRL!$A$2:$A$201,0)),"")</f>
        <v/>
      </c>
      <c r="K67" s="16"/>
      <c r="L67" s="16"/>
      <c r="M67" s="18"/>
      <c r="N67" s="16"/>
      <c r="O67" s="17" t="str">
        <f aca="false">IF(A67="","",IF(COUNTIF(Ref_CTRL!$A$2:$A$201,A67)=0,"CTRL-ID not in W05",IF(L67="","Owner status needed",IF(AND(L67="Confirmed",OR(E67="",G67="")),"Confirmed needs control and evidence owner",IF(AND(L67="Confirmed",M67=""),"Date confirmed needed",IF(AND(L67="Outstanding",N67=""),"Follow-up needed",IF(AND(C67="Y",K67=""),"Walkthrough contact needed (key control)","OK")))))))</f>
        <v/>
      </c>
    </row>
    <row r="68" customFormat="false" ht="15" hidden="false" customHeight="false" outlineLevel="0" collapsed="false">
      <c r="A68" s="16"/>
      <c r="B68" s="17" t="str">
        <f aca="false">IFERROR(INDEX(Ref_CTRL!$B$2:$B$201,MATCH(A68,Ref_CTRL!$A$2:$A$201,0)),"")</f>
        <v/>
      </c>
      <c r="C68" s="17" t="str">
        <f aca="false">IFERROR(INDEX(Ref_CTRL!$E$2:$E$201,MATCH(A68,Ref_CTRL!$A$2:$A$201,0)),"")</f>
        <v/>
      </c>
      <c r="D68" s="17" t="str">
        <f aca="false">IFERROR(INDEX(Ref_CTRL!$F$2:$F$201,MATCH(A68,Ref_CTRL!$A$2:$A$201,0)),"")</f>
        <v/>
      </c>
      <c r="E68" s="16"/>
      <c r="F68" s="16"/>
      <c r="G68" s="16"/>
      <c r="H68" s="16"/>
      <c r="I68" s="16"/>
      <c r="J68" s="17" t="str">
        <f aca="false">IFERROR(INDEX(Ref_CTRL!$D$2:$D$201,MATCH(A68,Ref_CTRL!$A$2:$A$201,0)),"")</f>
        <v/>
      </c>
      <c r="K68" s="16"/>
      <c r="L68" s="16"/>
      <c r="M68" s="18"/>
      <c r="N68" s="16"/>
      <c r="O68" s="17" t="str">
        <f aca="false">IF(A68="","",IF(COUNTIF(Ref_CTRL!$A$2:$A$201,A68)=0,"CTRL-ID not in W05",IF(L68="","Owner status needed",IF(AND(L68="Confirmed",OR(E68="",G68="")),"Confirmed needs control and evidence owner",IF(AND(L68="Confirmed",M68=""),"Date confirmed needed",IF(AND(L68="Outstanding",N68=""),"Follow-up needed",IF(AND(C68="Y",K68=""),"Walkthrough contact needed (key control)","OK")))))))</f>
        <v/>
      </c>
    </row>
    <row r="69" customFormat="false" ht="15" hidden="false" customHeight="false" outlineLevel="0" collapsed="false">
      <c r="A69" s="16"/>
      <c r="B69" s="17" t="str">
        <f aca="false">IFERROR(INDEX(Ref_CTRL!$B$2:$B$201,MATCH(A69,Ref_CTRL!$A$2:$A$201,0)),"")</f>
        <v/>
      </c>
      <c r="C69" s="17" t="str">
        <f aca="false">IFERROR(INDEX(Ref_CTRL!$E$2:$E$201,MATCH(A69,Ref_CTRL!$A$2:$A$201,0)),"")</f>
        <v/>
      </c>
      <c r="D69" s="17" t="str">
        <f aca="false">IFERROR(INDEX(Ref_CTRL!$F$2:$F$201,MATCH(A69,Ref_CTRL!$A$2:$A$201,0)),"")</f>
        <v/>
      </c>
      <c r="E69" s="16"/>
      <c r="F69" s="16"/>
      <c r="G69" s="16"/>
      <c r="H69" s="16"/>
      <c r="I69" s="16"/>
      <c r="J69" s="17" t="str">
        <f aca="false">IFERROR(INDEX(Ref_CTRL!$D$2:$D$201,MATCH(A69,Ref_CTRL!$A$2:$A$201,0)),"")</f>
        <v/>
      </c>
      <c r="K69" s="16"/>
      <c r="L69" s="16"/>
      <c r="M69" s="18"/>
      <c r="N69" s="16"/>
      <c r="O69" s="17" t="str">
        <f aca="false">IF(A69="","",IF(COUNTIF(Ref_CTRL!$A$2:$A$201,A69)=0,"CTRL-ID not in W05",IF(L69="","Owner status needed",IF(AND(L69="Confirmed",OR(E69="",G69="")),"Confirmed needs control and evidence owner",IF(AND(L69="Confirmed",M69=""),"Date confirmed needed",IF(AND(L69="Outstanding",N69=""),"Follow-up needed",IF(AND(C69="Y",K69=""),"Walkthrough contact needed (key control)","OK")))))))</f>
        <v/>
      </c>
    </row>
    <row r="70" customFormat="false" ht="15" hidden="false" customHeight="false" outlineLevel="0" collapsed="false">
      <c r="A70" s="16"/>
      <c r="B70" s="17" t="str">
        <f aca="false">IFERROR(INDEX(Ref_CTRL!$B$2:$B$201,MATCH(A70,Ref_CTRL!$A$2:$A$201,0)),"")</f>
        <v/>
      </c>
      <c r="C70" s="17" t="str">
        <f aca="false">IFERROR(INDEX(Ref_CTRL!$E$2:$E$201,MATCH(A70,Ref_CTRL!$A$2:$A$201,0)),"")</f>
        <v/>
      </c>
      <c r="D70" s="17" t="str">
        <f aca="false">IFERROR(INDEX(Ref_CTRL!$F$2:$F$201,MATCH(A70,Ref_CTRL!$A$2:$A$201,0)),"")</f>
        <v/>
      </c>
      <c r="E70" s="16"/>
      <c r="F70" s="16"/>
      <c r="G70" s="16"/>
      <c r="H70" s="16"/>
      <c r="I70" s="16"/>
      <c r="J70" s="17" t="str">
        <f aca="false">IFERROR(INDEX(Ref_CTRL!$D$2:$D$201,MATCH(A70,Ref_CTRL!$A$2:$A$201,0)),"")</f>
        <v/>
      </c>
      <c r="K70" s="16"/>
      <c r="L70" s="16"/>
      <c r="M70" s="18"/>
      <c r="N70" s="16"/>
      <c r="O70" s="17" t="str">
        <f aca="false">IF(A70="","",IF(COUNTIF(Ref_CTRL!$A$2:$A$201,A70)=0,"CTRL-ID not in W05",IF(L70="","Owner status needed",IF(AND(L70="Confirmed",OR(E70="",G70="")),"Confirmed needs control and evidence owner",IF(AND(L70="Confirmed",M70=""),"Date confirmed needed",IF(AND(L70="Outstanding",N70=""),"Follow-up needed",IF(AND(C70="Y",K70=""),"Walkthrough contact needed (key control)","OK")))))))</f>
        <v/>
      </c>
    </row>
    <row r="71" customFormat="false" ht="15" hidden="false" customHeight="false" outlineLevel="0" collapsed="false">
      <c r="A71" s="16"/>
      <c r="B71" s="17" t="str">
        <f aca="false">IFERROR(INDEX(Ref_CTRL!$B$2:$B$201,MATCH(A71,Ref_CTRL!$A$2:$A$201,0)),"")</f>
        <v/>
      </c>
      <c r="C71" s="17" t="str">
        <f aca="false">IFERROR(INDEX(Ref_CTRL!$E$2:$E$201,MATCH(A71,Ref_CTRL!$A$2:$A$201,0)),"")</f>
        <v/>
      </c>
      <c r="D71" s="17" t="str">
        <f aca="false">IFERROR(INDEX(Ref_CTRL!$F$2:$F$201,MATCH(A71,Ref_CTRL!$A$2:$A$201,0)),"")</f>
        <v/>
      </c>
      <c r="E71" s="16"/>
      <c r="F71" s="16"/>
      <c r="G71" s="16"/>
      <c r="H71" s="16"/>
      <c r="I71" s="16"/>
      <c r="J71" s="17" t="str">
        <f aca="false">IFERROR(INDEX(Ref_CTRL!$D$2:$D$201,MATCH(A71,Ref_CTRL!$A$2:$A$201,0)),"")</f>
        <v/>
      </c>
      <c r="K71" s="16"/>
      <c r="L71" s="16"/>
      <c r="M71" s="18"/>
      <c r="N71" s="16"/>
      <c r="O71" s="17" t="str">
        <f aca="false">IF(A71="","",IF(COUNTIF(Ref_CTRL!$A$2:$A$201,A71)=0,"CTRL-ID not in W05",IF(L71="","Owner status needed",IF(AND(L71="Confirmed",OR(E71="",G71="")),"Confirmed needs control and evidence owner",IF(AND(L71="Confirmed",M71=""),"Date confirmed needed",IF(AND(L71="Outstanding",N71=""),"Follow-up needed",IF(AND(C71="Y",K71=""),"Walkthrough contact needed (key control)","OK")))))))</f>
        <v/>
      </c>
    </row>
    <row r="72" customFormat="false" ht="15" hidden="false" customHeight="false" outlineLevel="0" collapsed="false">
      <c r="A72" s="16"/>
      <c r="B72" s="17" t="str">
        <f aca="false">IFERROR(INDEX(Ref_CTRL!$B$2:$B$201,MATCH(A72,Ref_CTRL!$A$2:$A$201,0)),"")</f>
        <v/>
      </c>
      <c r="C72" s="17" t="str">
        <f aca="false">IFERROR(INDEX(Ref_CTRL!$E$2:$E$201,MATCH(A72,Ref_CTRL!$A$2:$A$201,0)),"")</f>
        <v/>
      </c>
      <c r="D72" s="17" t="str">
        <f aca="false">IFERROR(INDEX(Ref_CTRL!$F$2:$F$201,MATCH(A72,Ref_CTRL!$A$2:$A$201,0)),"")</f>
        <v/>
      </c>
      <c r="E72" s="16"/>
      <c r="F72" s="16"/>
      <c r="G72" s="16"/>
      <c r="H72" s="16"/>
      <c r="I72" s="16"/>
      <c r="J72" s="17" t="str">
        <f aca="false">IFERROR(INDEX(Ref_CTRL!$D$2:$D$201,MATCH(A72,Ref_CTRL!$A$2:$A$201,0)),"")</f>
        <v/>
      </c>
      <c r="K72" s="16"/>
      <c r="L72" s="16"/>
      <c r="M72" s="18"/>
      <c r="N72" s="16"/>
      <c r="O72" s="17" t="str">
        <f aca="false">IF(A72="","",IF(COUNTIF(Ref_CTRL!$A$2:$A$201,A72)=0,"CTRL-ID not in W05",IF(L72="","Owner status needed",IF(AND(L72="Confirmed",OR(E72="",G72="")),"Confirmed needs control and evidence owner",IF(AND(L72="Confirmed",M72=""),"Date confirmed needed",IF(AND(L72="Outstanding",N72=""),"Follow-up needed",IF(AND(C72="Y",K72=""),"Walkthrough contact needed (key control)","OK")))))))</f>
        <v/>
      </c>
    </row>
    <row r="73" customFormat="false" ht="15" hidden="false" customHeight="false" outlineLevel="0" collapsed="false">
      <c r="A73" s="16"/>
      <c r="B73" s="17" t="str">
        <f aca="false">IFERROR(INDEX(Ref_CTRL!$B$2:$B$201,MATCH(A73,Ref_CTRL!$A$2:$A$201,0)),"")</f>
        <v/>
      </c>
      <c r="C73" s="17" t="str">
        <f aca="false">IFERROR(INDEX(Ref_CTRL!$E$2:$E$201,MATCH(A73,Ref_CTRL!$A$2:$A$201,0)),"")</f>
        <v/>
      </c>
      <c r="D73" s="17" t="str">
        <f aca="false">IFERROR(INDEX(Ref_CTRL!$F$2:$F$201,MATCH(A73,Ref_CTRL!$A$2:$A$201,0)),"")</f>
        <v/>
      </c>
      <c r="E73" s="16"/>
      <c r="F73" s="16"/>
      <c r="G73" s="16"/>
      <c r="H73" s="16"/>
      <c r="I73" s="16"/>
      <c r="J73" s="17" t="str">
        <f aca="false">IFERROR(INDEX(Ref_CTRL!$D$2:$D$201,MATCH(A73,Ref_CTRL!$A$2:$A$201,0)),"")</f>
        <v/>
      </c>
      <c r="K73" s="16"/>
      <c r="L73" s="16"/>
      <c r="M73" s="18"/>
      <c r="N73" s="16"/>
      <c r="O73" s="17" t="str">
        <f aca="false">IF(A73="","",IF(COUNTIF(Ref_CTRL!$A$2:$A$201,A73)=0,"CTRL-ID not in W05",IF(L73="","Owner status needed",IF(AND(L73="Confirmed",OR(E73="",G73="")),"Confirmed needs control and evidence owner",IF(AND(L73="Confirmed",M73=""),"Date confirmed needed",IF(AND(L73="Outstanding",N73=""),"Follow-up needed",IF(AND(C73="Y",K73=""),"Walkthrough contact needed (key control)","OK")))))))</f>
        <v/>
      </c>
    </row>
    <row r="74" customFormat="false" ht="15" hidden="false" customHeight="false" outlineLevel="0" collapsed="false">
      <c r="A74" s="16"/>
      <c r="B74" s="17" t="str">
        <f aca="false">IFERROR(INDEX(Ref_CTRL!$B$2:$B$201,MATCH(A74,Ref_CTRL!$A$2:$A$201,0)),"")</f>
        <v/>
      </c>
      <c r="C74" s="17" t="str">
        <f aca="false">IFERROR(INDEX(Ref_CTRL!$E$2:$E$201,MATCH(A74,Ref_CTRL!$A$2:$A$201,0)),"")</f>
        <v/>
      </c>
      <c r="D74" s="17" t="str">
        <f aca="false">IFERROR(INDEX(Ref_CTRL!$F$2:$F$201,MATCH(A74,Ref_CTRL!$A$2:$A$201,0)),"")</f>
        <v/>
      </c>
      <c r="E74" s="16"/>
      <c r="F74" s="16"/>
      <c r="G74" s="16"/>
      <c r="H74" s="16"/>
      <c r="I74" s="16"/>
      <c r="J74" s="17" t="str">
        <f aca="false">IFERROR(INDEX(Ref_CTRL!$D$2:$D$201,MATCH(A74,Ref_CTRL!$A$2:$A$201,0)),"")</f>
        <v/>
      </c>
      <c r="K74" s="16"/>
      <c r="L74" s="16"/>
      <c r="M74" s="18"/>
      <c r="N74" s="16"/>
      <c r="O74" s="17" t="str">
        <f aca="false">IF(A74="","",IF(COUNTIF(Ref_CTRL!$A$2:$A$201,A74)=0,"CTRL-ID not in W05",IF(L74="","Owner status needed",IF(AND(L74="Confirmed",OR(E74="",G74="")),"Confirmed needs control and evidence owner",IF(AND(L74="Confirmed",M74=""),"Date confirmed needed",IF(AND(L74="Outstanding",N74=""),"Follow-up needed",IF(AND(C74="Y",K74=""),"Walkthrough contact needed (key control)","OK")))))))</f>
        <v/>
      </c>
    </row>
    <row r="75" customFormat="false" ht="15" hidden="false" customHeight="false" outlineLevel="0" collapsed="false">
      <c r="A75" s="16"/>
      <c r="B75" s="17" t="str">
        <f aca="false">IFERROR(INDEX(Ref_CTRL!$B$2:$B$201,MATCH(A75,Ref_CTRL!$A$2:$A$201,0)),"")</f>
        <v/>
      </c>
      <c r="C75" s="17" t="str">
        <f aca="false">IFERROR(INDEX(Ref_CTRL!$E$2:$E$201,MATCH(A75,Ref_CTRL!$A$2:$A$201,0)),"")</f>
        <v/>
      </c>
      <c r="D75" s="17" t="str">
        <f aca="false">IFERROR(INDEX(Ref_CTRL!$F$2:$F$201,MATCH(A75,Ref_CTRL!$A$2:$A$201,0)),"")</f>
        <v/>
      </c>
      <c r="E75" s="16"/>
      <c r="F75" s="16"/>
      <c r="G75" s="16"/>
      <c r="H75" s="16"/>
      <c r="I75" s="16"/>
      <c r="J75" s="17" t="str">
        <f aca="false">IFERROR(INDEX(Ref_CTRL!$D$2:$D$201,MATCH(A75,Ref_CTRL!$A$2:$A$201,0)),"")</f>
        <v/>
      </c>
      <c r="K75" s="16"/>
      <c r="L75" s="16"/>
      <c r="M75" s="18"/>
      <c r="N75" s="16"/>
      <c r="O75" s="17" t="str">
        <f aca="false">IF(A75="","",IF(COUNTIF(Ref_CTRL!$A$2:$A$201,A75)=0,"CTRL-ID not in W05",IF(L75="","Owner status needed",IF(AND(L75="Confirmed",OR(E75="",G75="")),"Confirmed needs control and evidence owner",IF(AND(L75="Confirmed",M75=""),"Date confirmed needed",IF(AND(L75="Outstanding",N75=""),"Follow-up needed",IF(AND(C75="Y",K75=""),"Walkthrough contact needed (key control)","OK")))))))</f>
        <v/>
      </c>
    </row>
    <row r="76" customFormat="false" ht="15" hidden="false" customHeight="false" outlineLevel="0" collapsed="false">
      <c r="A76" s="16"/>
      <c r="B76" s="17" t="str">
        <f aca="false">IFERROR(INDEX(Ref_CTRL!$B$2:$B$201,MATCH(A76,Ref_CTRL!$A$2:$A$201,0)),"")</f>
        <v/>
      </c>
      <c r="C76" s="17" t="str">
        <f aca="false">IFERROR(INDEX(Ref_CTRL!$E$2:$E$201,MATCH(A76,Ref_CTRL!$A$2:$A$201,0)),"")</f>
        <v/>
      </c>
      <c r="D76" s="17" t="str">
        <f aca="false">IFERROR(INDEX(Ref_CTRL!$F$2:$F$201,MATCH(A76,Ref_CTRL!$A$2:$A$201,0)),"")</f>
        <v/>
      </c>
      <c r="E76" s="16"/>
      <c r="F76" s="16"/>
      <c r="G76" s="16"/>
      <c r="H76" s="16"/>
      <c r="I76" s="16"/>
      <c r="J76" s="17" t="str">
        <f aca="false">IFERROR(INDEX(Ref_CTRL!$D$2:$D$201,MATCH(A76,Ref_CTRL!$A$2:$A$201,0)),"")</f>
        <v/>
      </c>
      <c r="K76" s="16"/>
      <c r="L76" s="16"/>
      <c r="M76" s="18"/>
      <c r="N76" s="16"/>
      <c r="O76" s="17" t="str">
        <f aca="false">IF(A76="","",IF(COUNTIF(Ref_CTRL!$A$2:$A$201,A76)=0,"CTRL-ID not in W05",IF(L76="","Owner status needed",IF(AND(L76="Confirmed",OR(E76="",G76="")),"Confirmed needs control and evidence owner",IF(AND(L76="Confirmed",M76=""),"Date confirmed needed",IF(AND(L76="Outstanding",N76=""),"Follow-up needed",IF(AND(C76="Y",K76=""),"Walkthrough contact needed (key control)","OK")))))))</f>
        <v/>
      </c>
    </row>
    <row r="77" customFormat="false" ht="15" hidden="false" customHeight="false" outlineLevel="0" collapsed="false">
      <c r="A77" s="16"/>
      <c r="B77" s="17" t="str">
        <f aca="false">IFERROR(INDEX(Ref_CTRL!$B$2:$B$201,MATCH(A77,Ref_CTRL!$A$2:$A$201,0)),"")</f>
        <v/>
      </c>
      <c r="C77" s="17" t="str">
        <f aca="false">IFERROR(INDEX(Ref_CTRL!$E$2:$E$201,MATCH(A77,Ref_CTRL!$A$2:$A$201,0)),"")</f>
        <v/>
      </c>
      <c r="D77" s="17" t="str">
        <f aca="false">IFERROR(INDEX(Ref_CTRL!$F$2:$F$201,MATCH(A77,Ref_CTRL!$A$2:$A$201,0)),"")</f>
        <v/>
      </c>
      <c r="E77" s="16"/>
      <c r="F77" s="16"/>
      <c r="G77" s="16"/>
      <c r="H77" s="16"/>
      <c r="I77" s="16"/>
      <c r="J77" s="17" t="str">
        <f aca="false">IFERROR(INDEX(Ref_CTRL!$D$2:$D$201,MATCH(A77,Ref_CTRL!$A$2:$A$201,0)),"")</f>
        <v/>
      </c>
      <c r="K77" s="16"/>
      <c r="L77" s="16"/>
      <c r="M77" s="18"/>
      <c r="N77" s="16"/>
      <c r="O77" s="17" t="str">
        <f aca="false">IF(A77="","",IF(COUNTIF(Ref_CTRL!$A$2:$A$201,A77)=0,"CTRL-ID not in W05",IF(L77="","Owner status needed",IF(AND(L77="Confirmed",OR(E77="",G77="")),"Confirmed needs control and evidence owner",IF(AND(L77="Confirmed",M77=""),"Date confirmed needed",IF(AND(L77="Outstanding",N77=""),"Follow-up needed",IF(AND(C77="Y",K77=""),"Walkthrough contact needed (key control)","OK")))))))</f>
        <v/>
      </c>
    </row>
    <row r="78" customFormat="false" ht="15" hidden="false" customHeight="false" outlineLevel="0" collapsed="false">
      <c r="A78" s="16"/>
      <c r="B78" s="17" t="str">
        <f aca="false">IFERROR(INDEX(Ref_CTRL!$B$2:$B$201,MATCH(A78,Ref_CTRL!$A$2:$A$201,0)),"")</f>
        <v/>
      </c>
      <c r="C78" s="17" t="str">
        <f aca="false">IFERROR(INDEX(Ref_CTRL!$E$2:$E$201,MATCH(A78,Ref_CTRL!$A$2:$A$201,0)),"")</f>
        <v/>
      </c>
      <c r="D78" s="17" t="str">
        <f aca="false">IFERROR(INDEX(Ref_CTRL!$F$2:$F$201,MATCH(A78,Ref_CTRL!$A$2:$A$201,0)),"")</f>
        <v/>
      </c>
      <c r="E78" s="16"/>
      <c r="F78" s="16"/>
      <c r="G78" s="16"/>
      <c r="H78" s="16"/>
      <c r="I78" s="16"/>
      <c r="J78" s="17" t="str">
        <f aca="false">IFERROR(INDEX(Ref_CTRL!$D$2:$D$201,MATCH(A78,Ref_CTRL!$A$2:$A$201,0)),"")</f>
        <v/>
      </c>
      <c r="K78" s="16"/>
      <c r="L78" s="16"/>
      <c r="M78" s="18"/>
      <c r="N78" s="16"/>
      <c r="O78" s="17" t="str">
        <f aca="false">IF(A78="","",IF(COUNTIF(Ref_CTRL!$A$2:$A$201,A78)=0,"CTRL-ID not in W05",IF(L78="","Owner status needed",IF(AND(L78="Confirmed",OR(E78="",G78="")),"Confirmed needs control and evidence owner",IF(AND(L78="Confirmed",M78=""),"Date confirmed needed",IF(AND(L78="Outstanding",N78=""),"Follow-up needed",IF(AND(C78="Y",K78=""),"Walkthrough contact needed (key control)","OK")))))))</f>
        <v/>
      </c>
    </row>
    <row r="79" customFormat="false" ht="15" hidden="false" customHeight="false" outlineLevel="0" collapsed="false">
      <c r="A79" s="16"/>
      <c r="B79" s="17" t="str">
        <f aca="false">IFERROR(INDEX(Ref_CTRL!$B$2:$B$201,MATCH(A79,Ref_CTRL!$A$2:$A$201,0)),"")</f>
        <v/>
      </c>
      <c r="C79" s="17" t="str">
        <f aca="false">IFERROR(INDEX(Ref_CTRL!$E$2:$E$201,MATCH(A79,Ref_CTRL!$A$2:$A$201,0)),"")</f>
        <v/>
      </c>
      <c r="D79" s="17" t="str">
        <f aca="false">IFERROR(INDEX(Ref_CTRL!$F$2:$F$201,MATCH(A79,Ref_CTRL!$A$2:$A$201,0)),"")</f>
        <v/>
      </c>
      <c r="E79" s="16"/>
      <c r="F79" s="16"/>
      <c r="G79" s="16"/>
      <c r="H79" s="16"/>
      <c r="I79" s="16"/>
      <c r="J79" s="17" t="str">
        <f aca="false">IFERROR(INDEX(Ref_CTRL!$D$2:$D$201,MATCH(A79,Ref_CTRL!$A$2:$A$201,0)),"")</f>
        <v/>
      </c>
      <c r="K79" s="16"/>
      <c r="L79" s="16"/>
      <c r="M79" s="18"/>
      <c r="N79" s="16"/>
      <c r="O79" s="17" t="str">
        <f aca="false">IF(A79="","",IF(COUNTIF(Ref_CTRL!$A$2:$A$201,A79)=0,"CTRL-ID not in W05",IF(L79="","Owner status needed",IF(AND(L79="Confirmed",OR(E79="",G79="")),"Confirmed needs control and evidence owner",IF(AND(L79="Confirmed",M79=""),"Date confirmed needed",IF(AND(L79="Outstanding",N79=""),"Follow-up needed",IF(AND(C79="Y",K79=""),"Walkthrough contact needed (key control)","OK")))))))</f>
        <v/>
      </c>
    </row>
    <row r="80" customFormat="false" ht="15" hidden="false" customHeight="false" outlineLevel="0" collapsed="false">
      <c r="A80" s="16"/>
      <c r="B80" s="17" t="str">
        <f aca="false">IFERROR(INDEX(Ref_CTRL!$B$2:$B$201,MATCH(A80,Ref_CTRL!$A$2:$A$201,0)),"")</f>
        <v/>
      </c>
      <c r="C80" s="17" t="str">
        <f aca="false">IFERROR(INDEX(Ref_CTRL!$E$2:$E$201,MATCH(A80,Ref_CTRL!$A$2:$A$201,0)),"")</f>
        <v/>
      </c>
      <c r="D80" s="17" t="str">
        <f aca="false">IFERROR(INDEX(Ref_CTRL!$F$2:$F$201,MATCH(A80,Ref_CTRL!$A$2:$A$201,0)),"")</f>
        <v/>
      </c>
      <c r="E80" s="16"/>
      <c r="F80" s="16"/>
      <c r="G80" s="16"/>
      <c r="H80" s="16"/>
      <c r="I80" s="16"/>
      <c r="J80" s="17" t="str">
        <f aca="false">IFERROR(INDEX(Ref_CTRL!$D$2:$D$201,MATCH(A80,Ref_CTRL!$A$2:$A$201,0)),"")</f>
        <v/>
      </c>
      <c r="K80" s="16"/>
      <c r="L80" s="16"/>
      <c r="M80" s="18"/>
      <c r="N80" s="16"/>
      <c r="O80" s="17" t="str">
        <f aca="false">IF(A80="","",IF(COUNTIF(Ref_CTRL!$A$2:$A$201,A80)=0,"CTRL-ID not in W05",IF(L80="","Owner status needed",IF(AND(L80="Confirmed",OR(E80="",G80="")),"Confirmed needs control and evidence owner",IF(AND(L80="Confirmed",M80=""),"Date confirmed needed",IF(AND(L80="Outstanding",N80=""),"Follow-up needed",IF(AND(C80="Y",K80=""),"Walkthrough contact needed (key control)","OK")))))))</f>
        <v/>
      </c>
    </row>
    <row r="81" customFormat="false" ht="15" hidden="false" customHeight="false" outlineLevel="0" collapsed="false">
      <c r="A81" s="16"/>
      <c r="B81" s="17" t="str">
        <f aca="false">IFERROR(INDEX(Ref_CTRL!$B$2:$B$201,MATCH(A81,Ref_CTRL!$A$2:$A$201,0)),"")</f>
        <v/>
      </c>
      <c r="C81" s="17" t="str">
        <f aca="false">IFERROR(INDEX(Ref_CTRL!$E$2:$E$201,MATCH(A81,Ref_CTRL!$A$2:$A$201,0)),"")</f>
        <v/>
      </c>
      <c r="D81" s="17" t="str">
        <f aca="false">IFERROR(INDEX(Ref_CTRL!$F$2:$F$201,MATCH(A81,Ref_CTRL!$A$2:$A$201,0)),"")</f>
        <v/>
      </c>
      <c r="E81" s="16"/>
      <c r="F81" s="16"/>
      <c r="G81" s="16"/>
      <c r="H81" s="16"/>
      <c r="I81" s="16"/>
      <c r="J81" s="17" t="str">
        <f aca="false">IFERROR(INDEX(Ref_CTRL!$D$2:$D$201,MATCH(A81,Ref_CTRL!$A$2:$A$201,0)),"")</f>
        <v/>
      </c>
      <c r="K81" s="16"/>
      <c r="L81" s="16"/>
      <c r="M81" s="18"/>
      <c r="N81" s="16"/>
      <c r="O81" s="17" t="str">
        <f aca="false">IF(A81="","",IF(COUNTIF(Ref_CTRL!$A$2:$A$201,A81)=0,"CTRL-ID not in W05",IF(L81="","Owner status needed",IF(AND(L81="Confirmed",OR(E81="",G81="")),"Confirmed needs control and evidence owner",IF(AND(L81="Confirmed",M81=""),"Date confirmed needed",IF(AND(L81="Outstanding",N81=""),"Follow-up needed",IF(AND(C81="Y",K81=""),"Walkthrough contact needed (key control)","OK")))))))</f>
        <v/>
      </c>
    </row>
    <row r="82" customFormat="false" ht="15" hidden="false" customHeight="false" outlineLevel="0" collapsed="false">
      <c r="A82" s="16"/>
      <c r="B82" s="17" t="str">
        <f aca="false">IFERROR(INDEX(Ref_CTRL!$B$2:$B$201,MATCH(A82,Ref_CTRL!$A$2:$A$201,0)),"")</f>
        <v/>
      </c>
      <c r="C82" s="17" t="str">
        <f aca="false">IFERROR(INDEX(Ref_CTRL!$E$2:$E$201,MATCH(A82,Ref_CTRL!$A$2:$A$201,0)),"")</f>
        <v/>
      </c>
      <c r="D82" s="17" t="str">
        <f aca="false">IFERROR(INDEX(Ref_CTRL!$F$2:$F$201,MATCH(A82,Ref_CTRL!$A$2:$A$201,0)),"")</f>
        <v/>
      </c>
      <c r="E82" s="16"/>
      <c r="F82" s="16"/>
      <c r="G82" s="16"/>
      <c r="H82" s="16"/>
      <c r="I82" s="16"/>
      <c r="J82" s="17" t="str">
        <f aca="false">IFERROR(INDEX(Ref_CTRL!$D$2:$D$201,MATCH(A82,Ref_CTRL!$A$2:$A$201,0)),"")</f>
        <v/>
      </c>
      <c r="K82" s="16"/>
      <c r="L82" s="16"/>
      <c r="M82" s="18"/>
      <c r="N82" s="16"/>
      <c r="O82" s="17" t="str">
        <f aca="false">IF(A82="","",IF(COUNTIF(Ref_CTRL!$A$2:$A$201,A82)=0,"CTRL-ID not in W05",IF(L82="","Owner status needed",IF(AND(L82="Confirmed",OR(E82="",G82="")),"Confirmed needs control and evidence owner",IF(AND(L82="Confirmed",M82=""),"Date confirmed needed",IF(AND(L82="Outstanding",N82=""),"Follow-up needed",IF(AND(C82="Y",K82=""),"Walkthrough contact needed (key control)","OK")))))))</f>
        <v/>
      </c>
    </row>
    <row r="83" customFormat="false" ht="15" hidden="false" customHeight="false" outlineLevel="0" collapsed="false">
      <c r="A83" s="16"/>
      <c r="B83" s="17" t="str">
        <f aca="false">IFERROR(INDEX(Ref_CTRL!$B$2:$B$201,MATCH(A83,Ref_CTRL!$A$2:$A$201,0)),"")</f>
        <v/>
      </c>
      <c r="C83" s="17" t="str">
        <f aca="false">IFERROR(INDEX(Ref_CTRL!$E$2:$E$201,MATCH(A83,Ref_CTRL!$A$2:$A$201,0)),"")</f>
        <v/>
      </c>
      <c r="D83" s="17" t="str">
        <f aca="false">IFERROR(INDEX(Ref_CTRL!$F$2:$F$201,MATCH(A83,Ref_CTRL!$A$2:$A$201,0)),"")</f>
        <v/>
      </c>
      <c r="E83" s="16"/>
      <c r="F83" s="16"/>
      <c r="G83" s="16"/>
      <c r="H83" s="16"/>
      <c r="I83" s="16"/>
      <c r="J83" s="17" t="str">
        <f aca="false">IFERROR(INDEX(Ref_CTRL!$D$2:$D$201,MATCH(A83,Ref_CTRL!$A$2:$A$201,0)),"")</f>
        <v/>
      </c>
      <c r="K83" s="16"/>
      <c r="L83" s="16"/>
      <c r="M83" s="18"/>
      <c r="N83" s="16"/>
      <c r="O83" s="17" t="str">
        <f aca="false">IF(A83="","",IF(COUNTIF(Ref_CTRL!$A$2:$A$201,A83)=0,"CTRL-ID not in W05",IF(L83="","Owner status needed",IF(AND(L83="Confirmed",OR(E83="",G83="")),"Confirmed needs control and evidence owner",IF(AND(L83="Confirmed",M83=""),"Date confirmed needed",IF(AND(L83="Outstanding",N83=""),"Follow-up needed",IF(AND(C83="Y",K83=""),"Walkthrough contact needed (key control)","OK")))))))</f>
        <v/>
      </c>
    </row>
    <row r="84" customFormat="false" ht="15" hidden="false" customHeight="false" outlineLevel="0" collapsed="false">
      <c r="A84" s="16"/>
      <c r="B84" s="17" t="str">
        <f aca="false">IFERROR(INDEX(Ref_CTRL!$B$2:$B$201,MATCH(A84,Ref_CTRL!$A$2:$A$201,0)),"")</f>
        <v/>
      </c>
      <c r="C84" s="17" t="str">
        <f aca="false">IFERROR(INDEX(Ref_CTRL!$E$2:$E$201,MATCH(A84,Ref_CTRL!$A$2:$A$201,0)),"")</f>
        <v/>
      </c>
      <c r="D84" s="17" t="str">
        <f aca="false">IFERROR(INDEX(Ref_CTRL!$F$2:$F$201,MATCH(A84,Ref_CTRL!$A$2:$A$201,0)),"")</f>
        <v/>
      </c>
      <c r="E84" s="16"/>
      <c r="F84" s="16"/>
      <c r="G84" s="16"/>
      <c r="H84" s="16"/>
      <c r="I84" s="16"/>
      <c r="J84" s="17" t="str">
        <f aca="false">IFERROR(INDEX(Ref_CTRL!$D$2:$D$201,MATCH(A84,Ref_CTRL!$A$2:$A$201,0)),"")</f>
        <v/>
      </c>
      <c r="K84" s="16"/>
      <c r="L84" s="16"/>
      <c r="M84" s="18"/>
      <c r="N84" s="16"/>
      <c r="O84" s="17" t="str">
        <f aca="false">IF(A84="","",IF(COUNTIF(Ref_CTRL!$A$2:$A$201,A84)=0,"CTRL-ID not in W05",IF(L84="","Owner status needed",IF(AND(L84="Confirmed",OR(E84="",G84="")),"Confirmed needs control and evidence owner",IF(AND(L84="Confirmed",M84=""),"Date confirmed needed",IF(AND(L84="Outstanding",N84=""),"Follow-up needed",IF(AND(C84="Y",K84=""),"Walkthrough contact needed (key control)","OK")))))))</f>
        <v/>
      </c>
    </row>
    <row r="85" customFormat="false" ht="15" hidden="false" customHeight="false" outlineLevel="0" collapsed="false">
      <c r="A85" s="16"/>
      <c r="B85" s="17" t="str">
        <f aca="false">IFERROR(INDEX(Ref_CTRL!$B$2:$B$201,MATCH(A85,Ref_CTRL!$A$2:$A$201,0)),"")</f>
        <v/>
      </c>
      <c r="C85" s="17" t="str">
        <f aca="false">IFERROR(INDEX(Ref_CTRL!$E$2:$E$201,MATCH(A85,Ref_CTRL!$A$2:$A$201,0)),"")</f>
        <v/>
      </c>
      <c r="D85" s="17" t="str">
        <f aca="false">IFERROR(INDEX(Ref_CTRL!$F$2:$F$201,MATCH(A85,Ref_CTRL!$A$2:$A$201,0)),"")</f>
        <v/>
      </c>
      <c r="E85" s="16"/>
      <c r="F85" s="16"/>
      <c r="G85" s="16"/>
      <c r="H85" s="16"/>
      <c r="I85" s="16"/>
      <c r="J85" s="17" t="str">
        <f aca="false">IFERROR(INDEX(Ref_CTRL!$D$2:$D$201,MATCH(A85,Ref_CTRL!$A$2:$A$201,0)),"")</f>
        <v/>
      </c>
      <c r="K85" s="16"/>
      <c r="L85" s="16"/>
      <c r="M85" s="18"/>
      <c r="N85" s="16"/>
      <c r="O85" s="17" t="str">
        <f aca="false">IF(A85="","",IF(COUNTIF(Ref_CTRL!$A$2:$A$201,A85)=0,"CTRL-ID not in W05",IF(L85="","Owner status needed",IF(AND(L85="Confirmed",OR(E85="",G85="")),"Confirmed needs control and evidence owner",IF(AND(L85="Confirmed",M85=""),"Date confirmed needed",IF(AND(L85="Outstanding",N85=""),"Follow-up needed",IF(AND(C85="Y",K85=""),"Walkthrough contact needed (key control)","OK")))))))</f>
        <v/>
      </c>
    </row>
    <row r="86" customFormat="false" ht="15" hidden="false" customHeight="false" outlineLevel="0" collapsed="false">
      <c r="A86" s="16"/>
      <c r="B86" s="17" t="str">
        <f aca="false">IFERROR(INDEX(Ref_CTRL!$B$2:$B$201,MATCH(A86,Ref_CTRL!$A$2:$A$201,0)),"")</f>
        <v/>
      </c>
      <c r="C86" s="17" t="str">
        <f aca="false">IFERROR(INDEX(Ref_CTRL!$E$2:$E$201,MATCH(A86,Ref_CTRL!$A$2:$A$201,0)),"")</f>
        <v/>
      </c>
      <c r="D86" s="17" t="str">
        <f aca="false">IFERROR(INDEX(Ref_CTRL!$F$2:$F$201,MATCH(A86,Ref_CTRL!$A$2:$A$201,0)),"")</f>
        <v/>
      </c>
      <c r="E86" s="16"/>
      <c r="F86" s="16"/>
      <c r="G86" s="16"/>
      <c r="H86" s="16"/>
      <c r="I86" s="16"/>
      <c r="J86" s="17" t="str">
        <f aca="false">IFERROR(INDEX(Ref_CTRL!$D$2:$D$201,MATCH(A86,Ref_CTRL!$A$2:$A$201,0)),"")</f>
        <v/>
      </c>
      <c r="K86" s="16"/>
      <c r="L86" s="16"/>
      <c r="M86" s="18"/>
      <c r="N86" s="16"/>
      <c r="O86" s="17" t="str">
        <f aca="false">IF(A86="","",IF(COUNTIF(Ref_CTRL!$A$2:$A$201,A86)=0,"CTRL-ID not in W05",IF(L86="","Owner status needed",IF(AND(L86="Confirmed",OR(E86="",G86="")),"Confirmed needs control and evidence owner",IF(AND(L86="Confirmed",M86=""),"Date confirmed needed",IF(AND(L86="Outstanding",N86=""),"Follow-up needed",IF(AND(C86="Y",K86=""),"Walkthrough contact needed (key control)","OK")))))))</f>
        <v/>
      </c>
    </row>
    <row r="87" customFormat="false" ht="15" hidden="false" customHeight="false" outlineLevel="0" collapsed="false">
      <c r="A87" s="16"/>
      <c r="B87" s="17" t="str">
        <f aca="false">IFERROR(INDEX(Ref_CTRL!$B$2:$B$201,MATCH(A87,Ref_CTRL!$A$2:$A$201,0)),"")</f>
        <v/>
      </c>
      <c r="C87" s="17" t="str">
        <f aca="false">IFERROR(INDEX(Ref_CTRL!$E$2:$E$201,MATCH(A87,Ref_CTRL!$A$2:$A$201,0)),"")</f>
        <v/>
      </c>
      <c r="D87" s="17" t="str">
        <f aca="false">IFERROR(INDEX(Ref_CTRL!$F$2:$F$201,MATCH(A87,Ref_CTRL!$A$2:$A$201,0)),"")</f>
        <v/>
      </c>
      <c r="E87" s="16"/>
      <c r="F87" s="16"/>
      <c r="G87" s="16"/>
      <c r="H87" s="16"/>
      <c r="I87" s="16"/>
      <c r="J87" s="17" t="str">
        <f aca="false">IFERROR(INDEX(Ref_CTRL!$D$2:$D$201,MATCH(A87,Ref_CTRL!$A$2:$A$201,0)),"")</f>
        <v/>
      </c>
      <c r="K87" s="16"/>
      <c r="L87" s="16"/>
      <c r="M87" s="18"/>
      <c r="N87" s="16"/>
      <c r="O87" s="17" t="str">
        <f aca="false">IF(A87="","",IF(COUNTIF(Ref_CTRL!$A$2:$A$201,A87)=0,"CTRL-ID not in W05",IF(L87="","Owner status needed",IF(AND(L87="Confirmed",OR(E87="",G87="")),"Confirmed needs control and evidence owner",IF(AND(L87="Confirmed",M87=""),"Date confirmed needed",IF(AND(L87="Outstanding",N87=""),"Follow-up needed",IF(AND(C87="Y",K87=""),"Walkthrough contact needed (key control)","OK")))))))</f>
        <v/>
      </c>
    </row>
    <row r="88" customFormat="false" ht="15" hidden="false" customHeight="false" outlineLevel="0" collapsed="false">
      <c r="A88" s="16"/>
      <c r="B88" s="17" t="str">
        <f aca="false">IFERROR(INDEX(Ref_CTRL!$B$2:$B$201,MATCH(A88,Ref_CTRL!$A$2:$A$201,0)),"")</f>
        <v/>
      </c>
      <c r="C88" s="17" t="str">
        <f aca="false">IFERROR(INDEX(Ref_CTRL!$E$2:$E$201,MATCH(A88,Ref_CTRL!$A$2:$A$201,0)),"")</f>
        <v/>
      </c>
      <c r="D88" s="17" t="str">
        <f aca="false">IFERROR(INDEX(Ref_CTRL!$F$2:$F$201,MATCH(A88,Ref_CTRL!$A$2:$A$201,0)),"")</f>
        <v/>
      </c>
      <c r="E88" s="16"/>
      <c r="F88" s="16"/>
      <c r="G88" s="16"/>
      <c r="H88" s="16"/>
      <c r="I88" s="16"/>
      <c r="J88" s="17" t="str">
        <f aca="false">IFERROR(INDEX(Ref_CTRL!$D$2:$D$201,MATCH(A88,Ref_CTRL!$A$2:$A$201,0)),"")</f>
        <v/>
      </c>
      <c r="K88" s="16"/>
      <c r="L88" s="16"/>
      <c r="M88" s="18"/>
      <c r="N88" s="16"/>
      <c r="O88" s="17" t="str">
        <f aca="false">IF(A88="","",IF(COUNTIF(Ref_CTRL!$A$2:$A$201,A88)=0,"CTRL-ID not in W05",IF(L88="","Owner status needed",IF(AND(L88="Confirmed",OR(E88="",G88="")),"Confirmed needs control and evidence owner",IF(AND(L88="Confirmed",M88=""),"Date confirmed needed",IF(AND(L88="Outstanding",N88=""),"Follow-up needed",IF(AND(C88="Y",K88=""),"Walkthrough contact needed (key control)","OK")))))))</f>
        <v/>
      </c>
    </row>
    <row r="89" customFormat="false" ht="15" hidden="false" customHeight="false" outlineLevel="0" collapsed="false">
      <c r="A89" s="16"/>
      <c r="B89" s="17" t="str">
        <f aca="false">IFERROR(INDEX(Ref_CTRL!$B$2:$B$201,MATCH(A89,Ref_CTRL!$A$2:$A$201,0)),"")</f>
        <v/>
      </c>
      <c r="C89" s="17" t="str">
        <f aca="false">IFERROR(INDEX(Ref_CTRL!$E$2:$E$201,MATCH(A89,Ref_CTRL!$A$2:$A$201,0)),"")</f>
        <v/>
      </c>
      <c r="D89" s="17" t="str">
        <f aca="false">IFERROR(INDEX(Ref_CTRL!$F$2:$F$201,MATCH(A89,Ref_CTRL!$A$2:$A$201,0)),"")</f>
        <v/>
      </c>
      <c r="E89" s="16"/>
      <c r="F89" s="16"/>
      <c r="G89" s="16"/>
      <c r="H89" s="16"/>
      <c r="I89" s="16"/>
      <c r="J89" s="17" t="str">
        <f aca="false">IFERROR(INDEX(Ref_CTRL!$D$2:$D$201,MATCH(A89,Ref_CTRL!$A$2:$A$201,0)),"")</f>
        <v/>
      </c>
      <c r="K89" s="16"/>
      <c r="L89" s="16"/>
      <c r="M89" s="18"/>
      <c r="N89" s="16"/>
      <c r="O89" s="17" t="str">
        <f aca="false">IF(A89="","",IF(COUNTIF(Ref_CTRL!$A$2:$A$201,A89)=0,"CTRL-ID not in W05",IF(L89="","Owner status needed",IF(AND(L89="Confirmed",OR(E89="",G89="")),"Confirmed needs control and evidence owner",IF(AND(L89="Confirmed",M89=""),"Date confirmed needed",IF(AND(L89="Outstanding",N89=""),"Follow-up needed",IF(AND(C89="Y",K89=""),"Walkthrough contact needed (key control)","OK")))))))</f>
        <v/>
      </c>
    </row>
    <row r="90" customFormat="false" ht="15" hidden="false" customHeight="false" outlineLevel="0" collapsed="false">
      <c r="A90" s="16"/>
      <c r="B90" s="17" t="str">
        <f aca="false">IFERROR(INDEX(Ref_CTRL!$B$2:$B$201,MATCH(A90,Ref_CTRL!$A$2:$A$201,0)),"")</f>
        <v/>
      </c>
      <c r="C90" s="17" t="str">
        <f aca="false">IFERROR(INDEX(Ref_CTRL!$E$2:$E$201,MATCH(A90,Ref_CTRL!$A$2:$A$201,0)),"")</f>
        <v/>
      </c>
      <c r="D90" s="17" t="str">
        <f aca="false">IFERROR(INDEX(Ref_CTRL!$F$2:$F$201,MATCH(A90,Ref_CTRL!$A$2:$A$201,0)),"")</f>
        <v/>
      </c>
      <c r="E90" s="16"/>
      <c r="F90" s="16"/>
      <c r="G90" s="16"/>
      <c r="H90" s="16"/>
      <c r="I90" s="16"/>
      <c r="J90" s="17" t="str">
        <f aca="false">IFERROR(INDEX(Ref_CTRL!$D$2:$D$201,MATCH(A90,Ref_CTRL!$A$2:$A$201,0)),"")</f>
        <v/>
      </c>
      <c r="K90" s="16"/>
      <c r="L90" s="16"/>
      <c r="M90" s="18"/>
      <c r="N90" s="16"/>
      <c r="O90" s="17" t="str">
        <f aca="false">IF(A90="","",IF(COUNTIF(Ref_CTRL!$A$2:$A$201,A90)=0,"CTRL-ID not in W05",IF(L90="","Owner status needed",IF(AND(L90="Confirmed",OR(E90="",G90="")),"Confirmed needs control and evidence owner",IF(AND(L90="Confirmed",M90=""),"Date confirmed needed",IF(AND(L90="Outstanding",N90=""),"Follow-up needed",IF(AND(C90="Y",K90=""),"Walkthrough contact needed (key control)","OK")))))))</f>
        <v/>
      </c>
    </row>
    <row r="91" customFormat="false" ht="15" hidden="false" customHeight="false" outlineLevel="0" collapsed="false">
      <c r="A91" s="16"/>
      <c r="B91" s="17" t="str">
        <f aca="false">IFERROR(INDEX(Ref_CTRL!$B$2:$B$201,MATCH(A91,Ref_CTRL!$A$2:$A$201,0)),"")</f>
        <v/>
      </c>
      <c r="C91" s="17" t="str">
        <f aca="false">IFERROR(INDEX(Ref_CTRL!$E$2:$E$201,MATCH(A91,Ref_CTRL!$A$2:$A$201,0)),"")</f>
        <v/>
      </c>
      <c r="D91" s="17" t="str">
        <f aca="false">IFERROR(INDEX(Ref_CTRL!$F$2:$F$201,MATCH(A91,Ref_CTRL!$A$2:$A$201,0)),"")</f>
        <v/>
      </c>
      <c r="E91" s="16"/>
      <c r="F91" s="16"/>
      <c r="G91" s="16"/>
      <c r="H91" s="16"/>
      <c r="I91" s="16"/>
      <c r="J91" s="17" t="str">
        <f aca="false">IFERROR(INDEX(Ref_CTRL!$D$2:$D$201,MATCH(A91,Ref_CTRL!$A$2:$A$201,0)),"")</f>
        <v/>
      </c>
      <c r="K91" s="16"/>
      <c r="L91" s="16"/>
      <c r="M91" s="18"/>
      <c r="N91" s="16"/>
      <c r="O91" s="17" t="str">
        <f aca="false">IF(A91="","",IF(COUNTIF(Ref_CTRL!$A$2:$A$201,A91)=0,"CTRL-ID not in W05",IF(L91="","Owner status needed",IF(AND(L91="Confirmed",OR(E91="",G91="")),"Confirmed needs control and evidence owner",IF(AND(L91="Confirmed",M91=""),"Date confirmed needed",IF(AND(L91="Outstanding",N91=""),"Follow-up needed",IF(AND(C91="Y",K91=""),"Walkthrough contact needed (key control)","OK")))))))</f>
        <v/>
      </c>
    </row>
    <row r="92" customFormat="false" ht="15" hidden="false" customHeight="false" outlineLevel="0" collapsed="false">
      <c r="A92" s="16"/>
      <c r="B92" s="17" t="str">
        <f aca="false">IFERROR(INDEX(Ref_CTRL!$B$2:$B$201,MATCH(A92,Ref_CTRL!$A$2:$A$201,0)),"")</f>
        <v/>
      </c>
      <c r="C92" s="17" t="str">
        <f aca="false">IFERROR(INDEX(Ref_CTRL!$E$2:$E$201,MATCH(A92,Ref_CTRL!$A$2:$A$201,0)),"")</f>
        <v/>
      </c>
      <c r="D92" s="17" t="str">
        <f aca="false">IFERROR(INDEX(Ref_CTRL!$F$2:$F$201,MATCH(A92,Ref_CTRL!$A$2:$A$201,0)),"")</f>
        <v/>
      </c>
      <c r="E92" s="16"/>
      <c r="F92" s="16"/>
      <c r="G92" s="16"/>
      <c r="H92" s="16"/>
      <c r="I92" s="16"/>
      <c r="J92" s="17" t="str">
        <f aca="false">IFERROR(INDEX(Ref_CTRL!$D$2:$D$201,MATCH(A92,Ref_CTRL!$A$2:$A$201,0)),"")</f>
        <v/>
      </c>
      <c r="K92" s="16"/>
      <c r="L92" s="16"/>
      <c r="M92" s="18"/>
      <c r="N92" s="16"/>
      <c r="O92" s="17" t="str">
        <f aca="false">IF(A92="","",IF(COUNTIF(Ref_CTRL!$A$2:$A$201,A92)=0,"CTRL-ID not in W05",IF(L92="","Owner status needed",IF(AND(L92="Confirmed",OR(E92="",G92="")),"Confirmed needs control and evidence owner",IF(AND(L92="Confirmed",M92=""),"Date confirmed needed",IF(AND(L92="Outstanding",N92=""),"Follow-up needed",IF(AND(C92="Y",K92=""),"Walkthrough contact needed (key control)","OK")))))))</f>
        <v/>
      </c>
    </row>
    <row r="93" customFormat="false" ht="15" hidden="false" customHeight="false" outlineLevel="0" collapsed="false">
      <c r="A93" s="16"/>
      <c r="B93" s="17" t="str">
        <f aca="false">IFERROR(INDEX(Ref_CTRL!$B$2:$B$201,MATCH(A93,Ref_CTRL!$A$2:$A$201,0)),"")</f>
        <v/>
      </c>
      <c r="C93" s="17" t="str">
        <f aca="false">IFERROR(INDEX(Ref_CTRL!$E$2:$E$201,MATCH(A93,Ref_CTRL!$A$2:$A$201,0)),"")</f>
        <v/>
      </c>
      <c r="D93" s="17" t="str">
        <f aca="false">IFERROR(INDEX(Ref_CTRL!$F$2:$F$201,MATCH(A93,Ref_CTRL!$A$2:$A$201,0)),"")</f>
        <v/>
      </c>
      <c r="E93" s="16"/>
      <c r="F93" s="16"/>
      <c r="G93" s="16"/>
      <c r="H93" s="16"/>
      <c r="I93" s="16"/>
      <c r="J93" s="17" t="str">
        <f aca="false">IFERROR(INDEX(Ref_CTRL!$D$2:$D$201,MATCH(A93,Ref_CTRL!$A$2:$A$201,0)),"")</f>
        <v/>
      </c>
      <c r="K93" s="16"/>
      <c r="L93" s="16"/>
      <c r="M93" s="18"/>
      <c r="N93" s="16"/>
      <c r="O93" s="17" t="str">
        <f aca="false">IF(A93="","",IF(COUNTIF(Ref_CTRL!$A$2:$A$201,A93)=0,"CTRL-ID not in W05",IF(L93="","Owner status needed",IF(AND(L93="Confirmed",OR(E93="",G93="")),"Confirmed needs control and evidence owner",IF(AND(L93="Confirmed",M93=""),"Date confirmed needed",IF(AND(L93="Outstanding",N93=""),"Follow-up needed",IF(AND(C93="Y",K93=""),"Walkthrough contact needed (key control)","OK")))))))</f>
        <v/>
      </c>
    </row>
    <row r="94" customFormat="false" ht="15" hidden="false" customHeight="false" outlineLevel="0" collapsed="false">
      <c r="A94" s="16"/>
      <c r="B94" s="17" t="str">
        <f aca="false">IFERROR(INDEX(Ref_CTRL!$B$2:$B$201,MATCH(A94,Ref_CTRL!$A$2:$A$201,0)),"")</f>
        <v/>
      </c>
      <c r="C94" s="17" t="str">
        <f aca="false">IFERROR(INDEX(Ref_CTRL!$E$2:$E$201,MATCH(A94,Ref_CTRL!$A$2:$A$201,0)),"")</f>
        <v/>
      </c>
      <c r="D94" s="17" t="str">
        <f aca="false">IFERROR(INDEX(Ref_CTRL!$F$2:$F$201,MATCH(A94,Ref_CTRL!$A$2:$A$201,0)),"")</f>
        <v/>
      </c>
      <c r="E94" s="16"/>
      <c r="F94" s="16"/>
      <c r="G94" s="16"/>
      <c r="H94" s="16"/>
      <c r="I94" s="16"/>
      <c r="J94" s="17" t="str">
        <f aca="false">IFERROR(INDEX(Ref_CTRL!$D$2:$D$201,MATCH(A94,Ref_CTRL!$A$2:$A$201,0)),"")</f>
        <v/>
      </c>
      <c r="K94" s="16"/>
      <c r="L94" s="16"/>
      <c r="M94" s="18"/>
      <c r="N94" s="16"/>
      <c r="O94" s="17" t="str">
        <f aca="false">IF(A94="","",IF(COUNTIF(Ref_CTRL!$A$2:$A$201,A94)=0,"CTRL-ID not in W05",IF(L94="","Owner status needed",IF(AND(L94="Confirmed",OR(E94="",G94="")),"Confirmed needs control and evidence owner",IF(AND(L94="Confirmed",M94=""),"Date confirmed needed",IF(AND(L94="Outstanding",N94=""),"Follow-up needed",IF(AND(C94="Y",K94=""),"Walkthrough contact needed (key control)","OK")))))))</f>
        <v/>
      </c>
    </row>
    <row r="95" customFormat="false" ht="15" hidden="false" customHeight="false" outlineLevel="0" collapsed="false">
      <c r="A95" s="16"/>
      <c r="B95" s="17" t="str">
        <f aca="false">IFERROR(INDEX(Ref_CTRL!$B$2:$B$201,MATCH(A95,Ref_CTRL!$A$2:$A$201,0)),"")</f>
        <v/>
      </c>
      <c r="C95" s="17" t="str">
        <f aca="false">IFERROR(INDEX(Ref_CTRL!$E$2:$E$201,MATCH(A95,Ref_CTRL!$A$2:$A$201,0)),"")</f>
        <v/>
      </c>
      <c r="D95" s="17" t="str">
        <f aca="false">IFERROR(INDEX(Ref_CTRL!$F$2:$F$201,MATCH(A95,Ref_CTRL!$A$2:$A$201,0)),"")</f>
        <v/>
      </c>
      <c r="E95" s="16"/>
      <c r="F95" s="16"/>
      <c r="G95" s="16"/>
      <c r="H95" s="16"/>
      <c r="I95" s="16"/>
      <c r="J95" s="17" t="str">
        <f aca="false">IFERROR(INDEX(Ref_CTRL!$D$2:$D$201,MATCH(A95,Ref_CTRL!$A$2:$A$201,0)),"")</f>
        <v/>
      </c>
      <c r="K95" s="16"/>
      <c r="L95" s="16"/>
      <c r="M95" s="18"/>
      <c r="N95" s="16"/>
      <c r="O95" s="17" t="str">
        <f aca="false">IF(A95="","",IF(COUNTIF(Ref_CTRL!$A$2:$A$201,A95)=0,"CTRL-ID not in W05",IF(L95="","Owner status needed",IF(AND(L95="Confirmed",OR(E95="",G95="")),"Confirmed needs control and evidence owner",IF(AND(L95="Confirmed",M95=""),"Date confirmed needed",IF(AND(L95="Outstanding",N95=""),"Follow-up needed",IF(AND(C95="Y",K95=""),"Walkthrough contact needed (key control)","OK")))))))</f>
        <v/>
      </c>
    </row>
    <row r="96" customFormat="false" ht="15" hidden="false" customHeight="false" outlineLevel="0" collapsed="false">
      <c r="A96" s="16"/>
      <c r="B96" s="17" t="str">
        <f aca="false">IFERROR(INDEX(Ref_CTRL!$B$2:$B$201,MATCH(A96,Ref_CTRL!$A$2:$A$201,0)),"")</f>
        <v/>
      </c>
      <c r="C96" s="17" t="str">
        <f aca="false">IFERROR(INDEX(Ref_CTRL!$E$2:$E$201,MATCH(A96,Ref_CTRL!$A$2:$A$201,0)),"")</f>
        <v/>
      </c>
      <c r="D96" s="17" t="str">
        <f aca="false">IFERROR(INDEX(Ref_CTRL!$F$2:$F$201,MATCH(A96,Ref_CTRL!$A$2:$A$201,0)),"")</f>
        <v/>
      </c>
      <c r="E96" s="16"/>
      <c r="F96" s="16"/>
      <c r="G96" s="16"/>
      <c r="H96" s="16"/>
      <c r="I96" s="16"/>
      <c r="J96" s="17" t="str">
        <f aca="false">IFERROR(INDEX(Ref_CTRL!$D$2:$D$201,MATCH(A96,Ref_CTRL!$A$2:$A$201,0)),"")</f>
        <v/>
      </c>
      <c r="K96" s="16"/>
      <c r="L96" s="16"/>
      <c r="M96" s="18"/>
      <c r="N96" s="16"/>
      <c r="O96" s="17" t="str">
        <f aca="false">IF(A96="","",IF(COUNTIF(Ref_CTRL!$A$2:$A$201,A96)=0,"CTRL-ID not in W05",IF(L96="","Owner status needed",IF(AND(L96="Confirmed",OR(E96="",G96="")),"Confirmed needs control and evidence owner",IF(AND(L96="Confirmed",M96=""),"Date confirmed needed",IF(AND(L96="Outstanding",N96=""),"Follow-up needed",IF(AND(C96="Y",K96=""),"Walkthrough contact needed (key control)","OK")))))))</f>
        <v/>
      </c>
    </row>
    <row r="97" customFormat="false" ht="15" hidden="false" customHeight="false" outlineLevel="0" collapsed="false">
      <c r="A97" s="16"/>
      <c r="B97" s="17" t="str">
        <f aca="false">IFERROR(INDEX(Ref_CTRL!$B$2:$B$201,MATCH(A97,Ref_CTRL!$A$2:$A$201,0)),"")</f>
        <v/>
      </c>
      <c r="C97" s="17" t="str">
        <f aca="false">IFERROR(INDEX(Ref_CTRL!$E$2:$E$201,MATCH(A97,Ref_CTRL!$A$2:$A$201,0)),"")</f>
        <v/>
      </c>
      <c r="D97" s="17" t="str">
        <f aca="false">IFERROR(INDEX(Ref_CTRL!$F$2:$F$201,MATCH(A97,Ref_CTRL!$A$2:$A$201,0)),"")</f>
        <v/>
      </c>
      <c r="E97" s="16"/>
      <c r="F97" s="16"/>
      <c r="G97" s="16"/>
      <c r="H97" s="16"/>
      <c r="I97" s="16"/>
      <c r="J97" s="17" t="str">
        <f aca="false">IFERROR(INDEX(Ref_CTRL!$D$2:$D$201,MATCH(A97,Ref_CTRL!$A$2:$A$201,0)),"")</f>
        <v/>
      </c>
      <c r="K97" s="16"/>
      <c r="L97" s="16"/>
      <c r="M97" s="18"/>
      <c r="N97" s="16"/>
      <c r="O97" s="17" t="str">
        <f aca="false">IF(A97="","",IF(COUNTIF(Ref_CTRL!$A$2:$A$201,A97)=0,"CTRL-ID not in W05",IF(L97="","Owner status needed",IF(AND(L97="Confirmed",OR(E97="",G97="")),"Confirmed needs control and evidence owner",IF(AND(L97="Confirmed",M97=""),"Date confirmed needed",IF(AND(L97="Outstanding",N97=""),"Follow-up needed",IF(AND(C97="Y",K97=""),"Walkthrough contact needed (key control)","OK")))))))</f>
        <v/>
      </c>
    </row>
    <row r="98" customFormat="false" ht="15" hidden="false" customHeight="false" outlineLevel="0" collapsed="false">
      <c r="A98" s="16"/>
      <c r="B98" s="17" t="str">
        <f aca="false">IFERROR(INDEX(Ref_CTRL!$B$2:$B$201,MATCH(A98,Ref_CTRL!$A$2:$A$201,0)),"")</f>
        <v/>
      </c>
      <c r="C98" s="17" t="str">
        <f aca="false">IFERROR(INDEX(Ref_CTRL!$E$2:$E$201,MATCH(A98,Ref_CTRL!$A$2:$A$201,0)),"")</f>
        <v/>
      </c>
      <c r="D98" s="17" t="str">
        <f aca="false">IFERROR(INDEX(Ref_CTRL!$F$2:$F$201,MATCH(A98,Ref_CTRL!$A$2:$A$201,0)),"")</f>
        <v/>
      </c>
      <c r="E98" s="16"/>
      <c r="F98" s="16"/>
      <c r="G98" s="16"/>
      <c r="H98" s="16"/>
      <c r="I98" s="16"/>
      <c r="J98" s="17" t="str">
        <f aca="false">IFERROR(INDEX(Ref_CTRL!$D$2:$D$201,MATCH(A98,Ref_CTRL!$A$2:$A$201,0)),"")</f>
        <v/>
      </c>
      <c r="K98" s="16"/>
      <c r="L98" s="16"/>
      <c r="M98" s="18"/>
      <c r="N98" s="16"/>
      <c r="O98" s="17" t="str">
        <f aca="false">IF(A98="","",IF(COUNTIF(Ref_CTRL!$A$2:$A$201,A98)=0,"CTRL-ID not in W05",IF(L98="","Owner status needed",IF(AND(L98="Confirmed",OR(E98="",G98="")),"Confirmed needs control and evidence owner",IF(AND(L98="Confirmed",M98=""),"Date confirmed needed",IF(AND(L98="Outstanding",N98=""),"Follow-up needed",IF(AND(C98="Y",K98=""),"Walkthrough contact needed (key control)","OK")))))))</f>
        <v/>
      </c>
    </row>
    <row r="99" customFormat="false" ht="15" hidden="false" customHeight="false" outlineLevel="0" collapsed="false">
      <c r="A99" s="16"/>
      <c r="B99" s="17" t="str">
        <f aca="false">IFERROR(INDEX(Ref_CTRL!$B$2:$B$201,MATCH(A99,Ref_CTRL!$A$2:$A$201,0)),"")</f>
        <v/>
      </c>
      <c r="C99" s="17" t="str">
        <f aca="false">IFERROR(INDEX(Ref_CTRL!$E$2:$E$201,MATCH(A99,Ref_CTRL!$A$2:$A$201,0)),"")</f>
        <v/>
      </c>
      <c r="D99" s="17" t="str">
        <f aca="false">IFERROR(INDEX(Ref_CTRL!$F$2:$F$201,MATCH(A99,Ref_CTRL!$A$2:$A$201,0)),"")</f>
        <v/>
      </c>
      <c r="E99" s="16"/>
      <c r="F99" s="16"/>
      <c r="G99" s="16"/>
      <c r="H99" s="16"/>
      <c r="I99" s="16"/>
      <c r="J99" s="17" t="str">
        <f aca="false">IFERROR(INDEX(Ref_CTRL!$D$2:$D$201,MATCH(A99,Ref_CTRL!$A$2:$A$201,0)),"")</f>
        <v/>
      </c>
      <c r="K99" s="16"/>
      <c r="L99" s="16"/>
      <c r="M99" s="18"/>
      <c r="N99" s="16"/>
      <c r="O99" s="17" t="str">
        <f aca="false">IF(A99="","",IF(COUNTIF(Ref_CTRL!$A$2:$A$201,A99)=0,"CTRL-ID not in W05",IF(L99="","Owner status needed",IF(AND(L99="Confirmed",OR(E99="",G99="")),"Confirmed needs control and evidence owner",IF(AND(L99="Confirmed",M99=""),"Date confirmed needed",IF(AND(L99="Outstanding",N99=""),"Follow-up needed",IF(AND(C99="Y",K99=""),"Walkthrough contact needed (key control)","OK")))))))</f>
        <v/>
      </c>
    </row>
    <row r="100" customFormat="false" ht="15" hidden="false" customHeight="false" outlineLevel="0" collapsed="false">
      <c r="A100" s="16"/>
      <c r="B100" s="17" t="str">
        <f aca="false">IFERROR(INDEX(Ref_CTRL!$B$2:$B$201,MATCH(A100,Ref_CTRL!$A$2:$A$201,0)),"")</f>
        <v/>
      </c>
      <c r="C100" s="17" t="str">
        <f aca="false">IFERROR(INDEX(Ref_CTRL!$E$2:$E$201,MATCH(A100,Ref_CTRL!$A$2:$A$201,0)),"")</f>
        <v/>
      </c>
      <c r="D100" s="17" t="str">
        <f aca="false">IFERROR(INDEX(Ref_CTRL!$F$2:$F$201,MATCH(A100,Ref_CTRL!$A$2:$A$201,0)),"")</f>
        <v/>
      </c>
      <c r="E100" s="16"/>
      <c r="F100" s="16"/>
      <c r="G100" s="16"/>
      <c r="H100" s="16"/>
      <c r="I100" s="16"/>
      <c r="J100" s="17" t="str">
        <f aca="false">IFERROR(INDEX(Ref_CTRL!$D$2:$D$201,MATCH(A100,Ref_CTRL!$A$2:$A$201,0)),"")</f>
        <v/>
      </c>
      <c r="K100" s="16"/>
      <c r="L100" s="16"/>
      <c r="M100" s="18"/>
      <c r="N100" s="16"/>
      <c r="O100" s="17" t="str">
        <f aca="false">IF(A100="","",IF(COUNTIF(Ref_CTRL!$A$2:$A$201,A100)=0,"CTRL-ID not in W05",IF(L100="","Owner status needed",IF(AND(L100="Confirmed",OR(E100="",G100="")),"Confirmed needs control and evidence owner",IF(AND(L100="Confirmed",M100=""),"Date confirmed needed",IF(AND(L100="Outstanding",N100=""),"Follow-up needed",IF(AND(C100="Y",K100=""),"Walkthrough contact needed (key control)","OK")))))))</f>
        <v/>
      </c>
    </row>
    <row r="101" customFormat="false" ht="15" hidden="false" customHeight="false" outlineLevel="0" collapsed="false">
      <c r="A101" s="16"/>
      <c r="B101" s="17" t="str">
        <f aca="false">IFERROR(INDEX(Ref_CTRL!$B$2:$B$201,MATCH(A101,Ref_CTRL!$A$2:$A$201,0)),"")</f>
        <v/>
      </c>
      <c r="C101" s="17" t="str">
        <f aca="false">IFERROR(INDEX(Ref_CTRL!$E$2:$E$201,MATCH(A101,Ref_CTRL!$A$2:$A$201,0)),"")</f>
        <v/>
      </c>
      <c r="D101" s="17" t="str">
        <f aca="false">IFERROR(INDEX(Ref_CTRL!$F$2:$F$201,MATCH(A101,Ref_CTRL!$A$2:$A$201,0)),"")</f>
        <v/>
      </c>
      <c r="E101" s="16"/>
      <c r="F101" s="16"/>
      <c r="G101" s="16"/>
      <c r="H101" s="16"/>
      <c r="I101" s="16"/>
      <c r="J101" s="17" t="str">
        <f aca="false">IFERROR(INDEX(Ref_CTRL!$D$2:$D$201,MATCH(A101,Ref_CTRL!$A$2:$A$201,0)),"")</f>
        <v/>
      </c>
      <c r="K101" s="16"/>
      <c r="L101" s="16"/>
      <c r="M101" s="18"/>
      <c r="N101" s="16"/>
      <c r="O101" s="17" t="str">
        <f aca="false">IF(A101="","",IF(COUNTIF(Ref_CTRL!$A$2:$A$201,A101)=0,"CTRL-ID not in W05",IF(L101="","Owner status needed",IF(AND(L101="Confirmed",OR(E101="",G101="")),"Confirmed needs control and evidence owner",IF(AND(L101="Confirmed",M101=""),"Date confirmed needed",IF(AND(L101="Outstanding",N101=""),"Follow-up needed",IF(AND(C101="Y",K101=""),"Walkthrough contact needed (key control)","OK")))))))</f>
        <v/>
      </c>
    </row>
    <row r="102" customFormat="false" ht="15" hidden="false" customHeight="false" outlineLevel="0" collapsed="false">
      <c r="A102" s="16"/>
      <c r="B102" s="17" t="str">
        <f aca="false">IFERROR(INDEX(Ref_CTRL!$B$2:$B$201,MATCH(A102,Ref_CTRL!$A$2:$A$201,0)),"")</f>
        <v/>
      </c>
      <c r="C102" s="17" t="str">
        <f aca="false">IFERROR(INDEX(Ref_CTRL!$E$2:$E$201,MATCH(A102,Ref_CTRL!$A$2:$A$201,0)),"")</f>
        <v/>
      </c>
      <c r="D102" s="17" t="str">
        <f aca="false">IFERROR(INDEX(Ref_CTRL!$F$2:$F$201,MATCH(A102,Ref_CTRL!$A$2:$A$201,0)),"")</f>
        <v/>
      </c>
      <c r="E102" s="16"/>
      <c r="F102" s="16"/>
      <c r="G102" s="16"/>
      <c r="H102" s="16"/>
      <c r="I102" s="16"/>
      <c r="J102" s="17" t="str">
        <f aca="false">IFERROR(INDEX(Ref_CTRL!$D$2:$D$201,MATCH(A102,Ref_CTRL!$A$2:$A$201,0)),"")</f>
        <v/>
      </c>
      <c r="K102" s="16"/>
      <c r="L102" s="16"/>
      <c r="M102" s="18"/>
      <c r="N102" s="16"/>
      <c r="O102" s="17" t="str">
        <f aca="false">IF(A102="","",IF(COUNTIF(Ref_CTRL!$A$2:$A$201,A102)=0,"CTRL-ID not in W05",IF(L102="","Owner status needed",IF(AND(L102="Confirmed",OR(E102="",G102="")),"Confirmed needs control and evidence owner",IF(AND(L102="Confirmed",M102=""),"Date confirmed needed",IF(AND(L102="Outstanding",N102=""),"Follow-up needed",IF(AND(C102="Y",K102=""),"Walkthrough contact needed (key control)","OK")))))))</f>
        <v/>
      </c>
    </row>
    <row r="103" customFormat="false" ht="15" hidden="false" customHeight="false" outlineLevel="0" collapsed="false">
      <c r="A103" s="16"/>
      <c r="B103" s="17" t="str">
        <f aca="false">IFERROR(INDEX(Ref_CTRL!$B$2:$B$201,MATCH(A103,Ref_CTRL!$A$2:$A$201,0)),"")</f>
        <v/>
      </c>
      <c r="C103" s="17" t="str">
        <f aca="false">IFERROR(INDEX(Ref_CTRL!$E$2:$E$201,MATCH(A103,Ref_CTRL!$A$2:$A$201,0)),"")</f>
        <v/>
      </c>
      <c r="D103" s="17" t="str">
        <f aca="false">IFERROR(INDEX(Ref_CTRL!$F$2:$F$201,MATCH(A103,Ref_CTRL!$A$2:$A$201,0)),"")</f>
        <v/>
      </c>
      <c r="E103" s="16"/>
      <c r="F103" s="16"/>
      <c r="G103" s="16"/>
      <c r="H103" s="16"/>
      <c r="I103" s="16"/>
      <c r="J103" s="17" t="str">
        <f aca="false">IFERROR(INDEX(Ref_CTRL!$D$2:$D$201,MATCH(A103,Ref_CTRL!$A$2:$A$201,0)),"")</f>
        <v/>
      </c>
      <c r="K103" s="16"/>
      <c r="L103" s="16"/>
      <c r="M103" s="18"/>
      <c r="N103" s="16"/>
      <c r="O103" s="17" t="str">
        <f aca="false">IF(A103="","",IF(COUNTIF(Ref_CTRL!$A$2:$A$201,A103)=0,"CTRL-ID not in W05",IF(L103="","Owner status needed",IF(AND(L103="Confirmed",OR(E103="",G103="")),"Confirmed needs control and evidence owner",IF(AND(L103="Confirmed",M103=""),"Date confirmed needed",IF(AND(L103="Outstanding",N103=""),"Follow-up needed",IF(AND(C103="Y",K103=""),"Walkthrough contact needed (key control)","OK")))))))</f>
        <v/>
      </c>
    </row>
    <row r="104" customFormat="false" ht="15" hidden="false" customHeight="false" outlineLevel="0" collapsed="false">
      <c r="A104" s="16"/>
      <c r="B104" s="17" t="str">
        <f aca="false">IFERROR(INDEX(Ref_CTRL!$B$2:$B$201,MATCH(A104,Ref_CTRL!$A$2:$A$201,0)),"")</f>
        <v/>
      </c>
      <c r="C104" s="17" t="str">
        <f aca="false">IFERROR(INDEX(Ref_CTRL!$E$2:$E$201,MATCH(A104,Ref_CTRL!$A$2:$A$201,0)),"")</f>
        <v/>
      </c>
      <c r="D104" s="17" t="str">
        <f aca="false">IFERROR(INDEX(Ref_CTRL!$F$2:$F$201,MATCH(A104,Ref_CTRL!$A$2:$A$201,0)),"")</f>
        <v/>
      </c>
      <c r="E104" s="16"/>
      <c r="F104" s="16"/>
      <c r="G104" s="16"/>
      <c r="H104" s="16"/>
      <c r="I104" s="16"/>
      <c r="J104" s="17" t="str">
        <f aca="false">IFERROR(INDEX(Ref_CTRL!$D$2:$D$201,MATCH(A104,Ref_CTRL!$A$2:$A$201,0)),"")</f>
        <v/>
      </c>
      <c r="K104" s="16"/>
      <c r="L104" s="16"/>
      <c r="M104" s="18"/>
      <c r="N104" s="16"/>
      <c r="O104" s="17" t="str">
        <f aca="false">IF(A104="","",IF(COUNTIF(Ref_CTRL!$A$2:$A$201,A104)=0,"CTRL-ID not in W05",IF(L104="","Owner status needed",IF(AND(L104="Confirmed",OR(E104="",G104="")),"Confirmed needs control and evidence owner",IF(AND(L104="Confirmed",M104=""),"Date confirmed needed",IF(AND(L104="Outstanding",N104=""),"Follow-up needed",IF(AND(C104="Y",K104=""),"Walkthrough contact needed (key control)","OK")))))))</f>
        <v/>
      </c>
    </row>
    <row r="105" customFormat="false" ht="15" hidden="false" customHeight="false" outlineLevel="0" collapsed="false">
      <c r="A105" s="16"/>
      <c r="B105" s="17" t="str">
        <f aca="false">IFERROR(INDEX(Ref_CTRL!$B$2:$B$201,MATCH(A105,Ref_CTRL!$A$2:$A$201,0)),"")</f>
        <v/>
      </c>
      <c r="C105" s="17" t="str">
        <f aca="false">IFERROR(INDEX(Ref_CTRL!$E$2:$E$201,MATCH(A105,Ref_CTRL!$A$2:$A$201,0)),"")</f>
        <v/>
      </c>
      <c r="D105" s="17" t="str">
        <f aca="false">IFERROR(INDEX(Ref_CTRL!$F$2:$F$201,MATCH(A105,Ref_CTRL!$A$2:$A$201,0)),"")</f>
        <v/>
      </c>
      <c r="E105" s="16"/>
      <c r="F105" s="16"/>
      <c r="G105" s="16"/>
      <c r="H105" s="16"/>
      <c r="I105" s="16"/>
      <c r="J105" s="17" t="str">
        <f aca="false">IFERROR(INDEX(Ref_CTRL!$D$2:$D$201,MATCH(A105,Ref_CTRL!$A$2:$A$201,0)),"")</f>
        <v/>
      </c>
      <c r="K105" s="16"/>
      <c r="L105" s="16"/>
      <c r="M105" s="18"/>
      <c r="N105" s="16"/>
      <c r="O105" s="17" t="str">
        <f aca="false">IF(A105="","",IF(COUNTIF(Ref_CTRL!$A$2:$A$201,A105)=0,"CTRL-ID not in W05",IF(L105="","Owner status needed",IF(AND(L105="Confirmed",OR(E105="",G105="")),"Confirmed needs control and evidence owner",IF(AND(L105="Confirmed",M105=""),"Date confirmed needed",IF(AND(L105="Outstanding",N105=""),"Follow-up needed",IF(AND(C105="Y",K105=""),"Walkthrough contact needed (key control)","OK")))))))</f>
        <v/>
      </c>
    </row>
    <row r="106" customFormat="false" ht="15" hidden="false" customHeight="false" outlineLevel="0" collapsed="false">
      <c r="A106" s="16"/>
      <c r="B106" s="17" t="str">
        <f aca="false">IFERROR(INDEX(Ref_CTRL!$B$2:$B$201,MATCH(A106,Ref_CTRL!$A$2:$A$201,0)),"")</f>
        <v/>
      </c>
      <c r="C106" s="17" t="str">
        <f aca="false">IFERROR(INDEX(Ref_CTRL!$E$2:$E$201,MATCH(A106,Ref_CTRL!$A$2:$A$201,0)),"")</f>
        <v/>
      </c>
      <c r="D106" s="17" t="str">
        <f aca="false">IFERROR(INDEX(Ref_CTRL!$F$2:$F$201,MATCH(A106,Ref_CTRL!$A$2:$A$201,0)),"")</f>
        <v/>
      </c>
      <c r="E106" s="16"/>
      <c r="F106" s="16"/>
      <c r="G106" s="16"/>
      <c r="H106" s="16"/>
      <c r="I106" s="16"/>
      <c r="J106" s="17" t="str">
        <f aca="false">IFERROR(INDEX(Ref_CTRL!$D$2:$D$201,MATCH(A106,Ref_CTRL!$A$2:$A$201,0)),"")</f>
        <v/>
      </c>
      <c r="K106" s="16"/>
      <c r="L106" s="16"/>
      <c r="M106" s="18"/>
      <c r="N106" s="16"/>
      <c r="O106" s="17" t="str">
        <f aca="false">IF(A106="","",IF(COUNTIF(Ref_CTRL!$A$2:$A$201,A106)=0,"CTRL-ID not in W05",IF(L106="","Owner status needed",IF(AND(L106="Confirmed",OR(E106="",G106="")),"Confirmed needs control and evidence owner",IF(AND(L106="Confirmed",M106=""),"Date confirmed needed",IF(AND(L106="Outstanding",N106=""),"Follow-up needed",IF(AND(C106="Y",K106=""),"Walkthrough contact needed (key control)","OK")))))))</f>
        <v/>
      </c>
    </row>
    <row r="107" customFormat="false" ht="15" hidden="false" customHeight="false" outlineLevel="0" collapsed="false">
      <c r="A107" s="16"/>
      <c r="B107" s="17" t="str">
        <f aca="false">IFERROR(INDEX(Ref_CTRL!$B$2:$B$201,MATCH(A107,Ref_CTRL!$A$2:$A$201,0)),"")</f>
        <v/>
      </c>
      <c r="C107" s="17" t="str">
        <f aca="false">IFERROR(INDEX(Ref_CTRL!$E$2:$E$201,MATCH(A107,Ref_CTRL!$A$2:$A$201,0)),"")</f>
        <v/>
      </c>
      <c r="D107" s="17" t="str">
        <f aca="false">IFERROR(INDEX(Ref_CTRL!$F$2:$F$201,MATCH(A107,Ref_CTRL!$A$2:$A$201,0)),"")</f>
        <v/>
      </c>
      <c r="E107" s="16"/>
      <c r="F107" s="16"/>
      <c r="G107" s="16"/>
      <c r="H107" s="16"/>
      <c r="I107" s="16"/>
      <c r="J107" s="17" t="str">
        <f aca="false">IFERROR(INDEX(Ref_CTRL!$D$2:$D$201,MATCH(A107,Ref_CTRL!$A$2:$A$201,0)),"")</f>
        <v/>
      </c>
      <c r="K107" s="16"/>
      <c r="L107" s="16"/>
      <c r="M107" s="18"/>
      <c r="N107" s="16"/>
      <c r="O107" s="17" t="str">
        <f aca="false">IF(A107="","",IF(COUNTIF(Ref_CTRL!$A$2:$A$201,A107)=0,"CTRL-ID not in W05",IF(L107="","Owner status needed",IF(AND(L107="Confirmed",OR(E107="",G107="")),"Confirmed needs control and evidence owner",IF(AND(L107="Confirmed",M107=""),"Date confirmed needed",IF(AND(L107="Outstanding",N107=""),"Follow-up needed",IF(AND(C107="Y",K107=""),"Walkthrough contact needed (key control)","OK")))))))</f>
        <v/>
      </c>
    </row>
    <row r="108" customFormat="false" ht="15" hidden="false" customHeight="false" outlineLevel="0" collapsed="false">
      <c r="A108" s="16"/>
      <c r="B108" s="17" t="str">
        <f aca="false">IFERROR(INDEX(Ref_CTRL!$B$2:$B$201,MATCH(A108,Ref_CTRL!$A$2:$A$201,0)),"")</f>
        <v/>
      </c>
      <c r="C108" s="17" t="str">
        <f aca="false">IFERROR(INDEX(Ref_CTRL!$E$2:$E$201,MATCH(A108,Ref_CTRL!$A$2:$A$201,0)),"")</f>
        <v/>
      </c>
      <c r="D108" s="17" t="str">
        <f aca="false">IFERROR(INDEX(Ref_CTRL!$F$2:$F$201,MATCH(A108,Ref_CTRL!$A$2:$A$201,0)),"")</f>
        <v/>
      </c>
      <c r="E108" s="16"/>
      <c r="F108" s="16"/>
      <c r="G108" s="16"/>
      <c r="H108" s="16"/>
      <c r="I108" s="16"/>
      <c r="J108" s="17" t="str">
        <f aca="false">IFERROR(INDEX(Ref_CTRL!$D$2:$D$201,MATCH(A108,Ref_CTRL!$A$2:$A$201,0)),"")</f>
        <v/>
      </c>
      <c r="K108" s="16"/>
      <c r="L108" s="16"/>
      <c r="M108" s="18"/>
      <c r="N108" s="16"/>
      <c r="O108" s="17" t="str">
        <f aca="false">IF(A108="","",IF(COUNTIF(Ref_CTRL!$A$2:$A$201,A108)=0,"CTRL-ID not in W05",IF(L108="","Owner status needed",IF(AND(L108="Confirmed",OR(E108="",G108="")),"Confirmed needs control and evidence owner",IF(AND(L108="Confirmed",M108=""),"Date confirmed needed",IF(AND(L108="Outstanding",N108=""),"Follow-up needed",IF(AND(C108="Y",K108=""),"Walkthrough contact needed (key control)","OK")))))))</f>
        <v/>
      </c>
    </row>
    <row r="109" customFormat="false" ht="15" hidden="false" customHeight="false" outlineLevel="0" collapsed="false">
      <c r="A109" s="16"/>
      <c r="B109" s="17" t="str">
        <f aca="false">IFERROR(INDEX(Ref_CTRL!$B$2:$B$201,MATCH(A109,Ref_CTRL!$A$2:$A$201,0)),"")</f>
        <v/>
      </c>
      <c r="C109" s="17" t="str">
        <f aca="false">IFERROR(INDEX(Ref_CTRL!$E$2:$E$201,MATCH(A109,Ref_CTRL!$A$2:$A$201,0)),"")</f>
        <v/>
      </c>
      <c r="D109" s="17" t="str">
        <f aca="false">IFERROR(INDEX(Ref_CTRL!$F$2:$F$201,MATCH(A109,Ref_CTRL!$A$2:$A$201,0)),"")</f>
        <v/>
      </c>
      <c r="E109" s="16"/>
      <c r="F109" s="16"/>
      <c r="G109" s="16"/>
      <c r="H109" s="16"/>
      <c r="I109" s="16"/>
      <c r="J109" s="17" t="str">
        <f aca="false">IFERROR(INDEX(Ref_CTRL!$D$2:$D$201,MATCH(A109,Ref_CTRL!$A$2:$A$201,0)),"")</f>
        <v/>
      </c>
      <c r="K109" s="16"/>
      <c r="L109" s="16"/>
      <c r="M109" s="18"/>
      <c r="N109" s="16"/>
      <c r="O109" s="17" t="str">
        <f aca="false">IF(A109="","",IF(COUNTIF(Ref_CTRL!$A$2:$A$201,A109)=0,"CTRL-ID not in W05",IF(L109="","Owner status needed",IF(AND(L109="Confirmed",OR(E109="",G109="")),"Confirmed needs control and evidence owner",IF(AND(L109="Confirmed",M109=""),"Date confirmed needed",IF(AND(L109="Outstanding",N109=""),"Follow-up needed",IF(AND(C109="Y",K109=""),"Walkthrough contact needed (key control)","OK")))))))</f>
        <v/>
      </c>
    </row>
    <row r="110" customFormat="false" ht="15" hidden="false" customHeight="false" outlineLevel="0" collapsed="false">
      <c r="A110" s="16"/>
      <c r="B110" s="17" t="str">
        <f aca="false">IFERROR(INDEX(Ref_CTRL!$B$2:$B$201,MATCH(A110,Ref_CTRL!$A$2:$A$201,0)),"")</f>
        <v/>
      </c>
      <c r="C110" s="17" t="str">
        <f aca="false">IFERROR(INDEX(Ref_CTRL!$E$2:$E$201,MATCH(A110,Ref_CTRL!$A$2:$A$201,0)),"")</f>
        <v/>
      </c>
      <c r="D110" s="17" t="str">
        <f aca="false">IFERROR(INDEX(Ref_CTRL!$F$2:$F$201,MATCH(A110,Ref_CTRL!$A$2:$A$201,0)),"")</f>
        <v/>
      </c>
      <c r="E110" s="16"/>
      <c r="F110" s="16"/>
      <c r="G110" s="16"/>
      <c r="H110" s="16"/>
      <c r="I110" s="16"/>
      <c r="J110" s="17" t="str">
        <f aca="false">IFERROR(INDEX(Ref_CTRL!$D$2:$D$201,MATCH(A110,Ref_CTRL!$A$2:$A$201,0)),"")</f>
        <v/>
      </c>
      <c r="K110" s="16"/>
      <c r="L110" s="16"/>
      <c r="M110" s="18"/>
      <c r="N110" s="16"/>
      <c r="O110" s="17" t="str">
        <f aca="false">IF(A110="","",IF(COUNTIF(Ref_CTRL!$A$2:$A$201,A110)=0,"CTRL-ID not in W05",IF(L110="","Owner status needed",IF(AND(L110="Confirmed",OR(E110="",G110="")),"Confirmed needs control and evidence owner",IF(AND(L110="Confirmed",M110=""),"Date confirmed needed",IF(AND(L110="Outstanding",N110=""),"Follow-up needed",IF(AND(C110="Y",K110=""),"Walkthrough contact needed (key control)","OK")))))))</f>
        <v/>
      </c>
    </row>
    <row r="111" customFormat="false" ht="15" hidden="false" customHeight="false" outlineLevel="0" collapsed="false">
      <c r="A111" s="16"/>
      <c r="B111" s="17" t="str">
        <f aca="false">IFERROR(INDEX(Ref_CTRL!$B$2:$B$201,MATCH(A111,Ref_CTRL!$A$2:$A$201,0)),"")</f>
        <v/>
      </c>
      <c r="C111" s="17" t="str">
        <f aca="false">IFERROR(INDEX(Ref_CTRL!$E$2:$E$201,MATCH(A111,Ref_CTRL!$A$2:$A$201,0)),"")</f>
        <v/>
      </c>
      <c r="D111" s="17" t="str">
        <f aca="false">IFERROR(INDEX(Ref_CTRL!$F$2:$F$201,MATCH(A111,Ref_CTRL!$A$2:$A$201,0)),"")</f>
        <v/>
      </c>
      <c r="E111" s="16"/>
      <c r="F111" s="16"/>
      <c r="G111" s="16"/>
      <c r="H111" s="16"/>
      <c r="I111" s="16"/>
      <c r="J111" s="17" t="str">
        <f aca="false">IFERROR(INDEX(Ref_CTRL!$D$2:$D$201,MATCH(A111,Ref_CTRL!$A$2:$A$201,0)),"")</f>
        <v/>
      </c>
      <c r="K111" s="16"/>
      <c r="L111" s="16"/>
      <c r="M111" s="18"/>
      <c r="N111" s="16"/>
      <c r="O111" s="17" t="str">
        <f aca="false">IF(A111="","",IF(COUNTIF(Ref_CTRL!$A$2:$A$201,A111)=0,"CTRL-ID not in W05",IF(L111="","Owner status needed",IF(AND(L111="Confirmed",OR(E111="",G111="")),"Confirmed needs control and evidence owner",IF(AND(L111="Confirmed",M111=""),"Date confirmed needed",IF(AND(L111="Outstanding",N111=""),"Follow-up needed",IF(AND(C111="Y",K111=""),"Walkthrough contact needed (key control)","OK")))))))</f>
        <v/>
      </c>
    </row>
    <row r="112" customFormat="false" ht="15" hidden="false" customHeight="false" outlineLevel="0" collapsed="false">
      <c r="A112" s="16"/>
      <c r="B112" s="17" t="str">
        <f aca="false">IFERROR(INDEX(Ref_CTRL!$B$2:$B$201,MATCH(A112,Ref_CTRL!$A$2:$A$201,0)),"")</f>
        <v/>
      </c>
      <c r="C112" s="17" t="str">
        <f aca="false">IFERROR(INDEX(Ref_CTRL!$E$2:$E$201,MATCH(A112,Ref_CTRL!$A$2:$A$201,0)),"")</f>
        <v/>
      </c>
      <c r="D112" s="17" t="str">
        <f aca="false">IFERROR(INDEX(Ref_CTRL!$F$2:$F$201,MATCH(A112,Ref_CTRL!$A$2:$A$201,0)),"")</f>
        <v/>
      </c>
      <c r="E112" s="16"/>
      <c r="F112" s="16"/>
      <c r="G112" s="16"/>
      <c r="H112" s="16"/>
      <c r="I112" s="16"/>
      <c r="J112" s="17" t="str">
        <f aca="false">IFERROR(INDEX(Ref_CTRL!$D$2:$D$201,MATCH(A112,Ref_CTRL!$A$2:$A$201,0)),"")</f>
        <v/>
      </c>
      <c r="K112" s="16"/>
      <c r="L112" s="16"/>
      <c r="M112" s="18"/>
      <c r="N112" s="16"/>
      <c r="O112" s="17" t="str">
        <f aca="false">IF(A112="","",IF(COUNTIF(Ref_CTRL!$A$2:$A$201,A112)=0,"CTRL-ID not in W05",IF(L112="","Owner status needed",IF(AND(L112="Confirmed",OR(E112="",G112="")),"Confirmed needs control and evidence owner",IF(AND(L112="Confirmed",M112=""),"Date confirmed needed",IF(AND(L112="Outstanding",N112=""),"Follow-up needed",IF(AND(C112="Y",K112=""),"Walkthrough contact needed (key control)","OK")))))))</f>
        <v/>
      </c>
    </row>
    <row r="113" customFormat="false" ht="15" hidden="false" customHeight="false" outlineLevel="0" collapsed="false">
      <c r="A113" s="16"/>
      <c r="B113" s="17" t="str">
        <f aca="false">IFERROR(INDEX(Ref_CTRL!$B$2:$B$201,MATCH(A113,Ref_CTRL!$A$2:$A$201,0)),"")</f>
        <v/>
      </c>
      <c r="C113" s="17" t="str">
        <f aca="false">IFERROR(INDEX(Ref_CTRL!$E$2:$E$201,MATCH(A113,Ref_CTRL!$A$2:$A$201,0)),"")</f>
        <v/>
      </c>
      <c r="D113" s="17" t="str">
        <f aca="false">IFERROR(INDEX(Ref_CTRL!$F$2:$F$201,MATCH(A113,Ref_CTRL!$A$2:$A$201,0)),"")</f>
        <v/>
      </c>
      <c r="E113" s="16"/>
      <c r="F113" s="16"/>
      <c r="G113" s="16"/>
      <c r="H113" s="16"/>
      <c r="I113" s="16"/>
      <c r="J113" s="17" t="str">
        <f aca="false">IFERROR(INDEX(Ref_CTRL!$D$2:$D$201,MATCH(A113,Ref_CTRL!$A$2:$A$201,0)),"")</f>
        <v/>
      </c>
      <c r="K113" s="16"/>
      <c r="L113" s="16"/>
      <c r="M113" s="18"/>
      <c r="N113" s="16"/>
      <c r="O113" s="17" t="str">
        <f aca="false">IF(A113="","",IF(COUNTIF(Ref_CTRL!$A$2:$A$201,A113)=0,"CTRL-ID not in W05",IF(L113="","Owner status needed",IF(AND(L113="Confirmed",OR(E113="",G113="")),"Confirmed needs control and evidence owner",IF(AND(L113="Confirmed",M113=""),"Date confirmed needed",IF(AND(L113="Outstanding",N113=""),"Follow-up needed",IF(AND(C113="Y",K113=""),"Walkthrough contact needed (key control)","OK")))))))</f>
        <v/>
      </c>
    </row>
    <row r="114" customFormat="false" ht="15" hidden="false" customHeight="false" outlineLevel="0" collapsed="false">
      <c r="A114" s="16"/>
      <c r="B114" s="17" t="str">
        <f aca="false">IFERROR(INDEX(Ref_CTRL!$B$2:$B$201,MATCH(A114,Ref_CTRL!$A$2:$A$201,0)),"")</f>
        <v/>
      </c>
      <c r="C114" s="17" t="str">
        <f aca="false">IFERROR(INDEX(Ref_CTRL!$E$2:$E$201,MATCH(A114,Ref_CTRL!$A$2:$A$201,0)),"")</f>
        <v/>
      </c>
      <c r="D114" s="17" t="str">
        <f aca="false">IFERROR(INDEX(Ref_CTRL!$F$2:$F$201,MATCH(A114,Ref_CTRL!$A$2:$A$201,0)),"")</f>
        <v/>
      </c>
      <c r="E114" s="16"/>
      <c r="F114" s="16"/>
      <c r="G114" s="16"/>
      <c r="H114" s="16"/>
      <c r="I114" s="16"/>
      <c r="J114" s="17" t="str">
        <f aca="false">IFERROR(INDEX(Ref_CTRL!$D$2:$D$201,MATCH(A114,Ref_CTRL!$A$2:$A$201,0)),"")</f>
        <v/>
      </c>
      <c r="K114" s="16"/>
      <c r="L114" s="16"/>
      <c r="M114" s="18"/>
      <c r="N114" s="16"/>
      <c r="O114" s="17" t="str">
        <f aca="false">IF(A114="","",IF(COUNTIF(Ref_CTRL!$A$2:$A$201,A114)=0,"CTRL-ID not in W05",IF(L114="","Owner status needed",IF(AND(L114="Confirmed",OR(E114="",G114="")),"Confirmed needs control and evidence owner",IF(AND(L114="Confirmed",M114=""),"Date confirmed needed",IF(AND(L114="Outstanding",N114=""),"Follow-up needed",IF(AND(C114="Y",K114=""),"Walkthrough contact needed (key control)","OK")))))))</f>
        <v/>
      </c>
    </row>
    <row r="115" customFormat="false" ht="15" hidden="false" customHeight="false" outlineLevel="0" collapsed="false">
      <c r="A115" s="16"/>
      <c r="B115" s="17" t="str">
        <f aca="false">IFERROR(INDEX(Ref_CTRL!$B$2:$B$201,MATCH(A115,Ref_CTRL!$A$2:$A$201,0)),"")</f>
        <v/>
      </c>
      <c r="C115" s="17" t="str">
        <f aca="false">IFERROR(INDEX(Ref_CTRL!$E$2:$E$201,MATCH(A115,Ref_CTRL!$A$2:$A$201,0)),"")</f>
        <v/>
      </c>
      <c r="D115" s="17" t="str">
        <f aca="false">IFERROR(INDEX(Ref_CTRL!$F$2:$F$201,MATCH(A115,Ref_CTRL!$A$2:$A$201,0)),"")</f>
        <v/>
      </c>
      <c r="E115" s="16"/>
      <c r="F115" s="16"/>
      <c r="G115" s="16"/>
      <c r="H115" s="16"/>
      <c r="I115" s="16"/>
      <c r="J115" s="17" t="str">
        <f aca="false">IFERROR(INDEX(Ref_CTRL!$D$2:$D$201,MATCH(A115,Ref_CTRL!$A$2:$A$201,0)),"")</f>
        <v/>
      </c>
      <c r="K115" s="16"/>
      <c r="L115" s="16"/>
      <c r="M115" s="18"/>
      <c r="N115" s="16"/>
      <c r="O115" s="17" t="str">
        <f aca="false">IF(A115="","",IF(COUNTIF(Ref_CTRL!$A$2:$A$201,A115)=0,"CTRL-ID not in W05",IF(L115="","Owner status needed",IF(AND(L115="Confirmed",OR(E115="",G115="")),"Confirmed needs control and evidence owner",IF(AND(L115="Confirmed",M115=""),"Date confirmed needed",IF(AND(L115="Outstanding",N115=""),"Follow-up needed",IF(AND(C115="Y",K115=""),"Walkthrough contact needed (key control)","OK")))))))</f>
        <v/>
      </c>
    </row>
    <row r="116" customFormat="false" ht="15" hidden="false" customHeight="false" outlineLevel="0" collapsed="false">
      <c r="A116" s="16"/>
      <c r="B116" s="17" t="str">
        <f aca="false">IFERROR(INDEX(Ref_CTRL!$B$2:$B$201,MATCH(A116,Ref_CTRL!$A$2:$A$201,0)),"")</f>
        <v/>
      </c>
      <c r="C116" s="17" t="str">
        <f aca="false">IFERROR(INDEX(Ref_CTRL!$E$2:$E$201,MATCH(A116,Ref_CTRL!$A$2:$A$201,0)),"")</f>
        <v/>
      </c>
      <c r="D116" s="17" t="str">
        <f aca="false">IFERROR(INDEX(Ref_CTRL!$F$2:$F$201,MATCH(A116,Ref_CTRL!$A$2:$A$201,0)),"")</f>
        <v/>
      </c>
      <c r="E116" s="16"/>
      <c r="F116" s="16"/>
      <c r="G116" s="16"/>
      <c r="H116" s="16"/>
      <c r="I116" s="16"/>
      <c r="J116" s="17" t="str">
        <f aca="false">IFERROR(INDEX(Ref_CTRL!$D$2:$D$201,MATCH(A116,Ref_CTRL!$A$2:$A$201,0)),"")</f>
        <v/>
      </c>
      <c r="K116" s="16"/>
      <c r="L116" s="16"/>
      <c r="M116" s="18"/>
      <c r="N116" s="16"/>
      <c r="O116" s="17" t="str">
        <f aca="false">IF(A116="","",IF(COUNTIF(Ref_CTRL!$A$2:$A$201,A116)=0,"CTRL-ID not in W05",IF(L116="","Owner status needed",IF(AND(L116="Confirmed",OR(E116="",G116="")),"Confirmed needs control and evidence owner",IF(AND(L116="Confirmed",M116=""),"Date confirmed needed",IF(AND(L116="Outstanding",N116=""),"Follow-up needed",IF(AND(C116="Y",K116=""),"Walkthrough contact needed (key control)","OK")))))))</f>
        <v/>
      </c>
    </row>
    <row r="117" customFormat="false" ht="15" hidden="false" customHeight="false" outlineLevel="0" collapsed="false">
      <c r="A117" s="16"/>
      <c r="B117" s="17" t="str">
        <f aca="false">IFERROR(INDEX(Ref_CTRL!$B$2:$B$201,MATCH(A117,Ref_CTRL!$A$2:$A$201,0)),"")</f>
        <v/>
      </c>
      <c r="C117" s="17" t="str">
        <f aca="false">IFERROR(INDEX(Ref_CTRL!$E$2:$E$201,MATCH(A117,Ref_CTRL!$A$2:$A$201,0)),"")</f>
        <v/>
      </c>
      <c r="D117" s="17" t="str">
        <f aca="false">IFERROR(INDEX(Ref_CTRL!$F$2:$F$201,MATCH(A117,Ref_CTRL!$A$2:$A$201,0)),"")</f>
        <v/>
      </c>
      <c r="E117" s="16"/>
      <c r="F117" s="16"/>
      <c r="G117" s="16"/>
      <c r="H117" s="16"/>
      <c r="I117" s="16"/>
      <c r="J117" s="17" t="str">
        <f aca="false">IFERROR(INDEX(Ref_CTRL!$D$2:$D$201,MATCH(A117,Ref_CTRL!$A$2:$A$201,0)),"")</f>
        <v/>
      </c>
      <c r="K117" s="16"/>
      <c r="L117" s="16"/>
      <c r="M117" s="18"/>
      <c r="N117" s="16"/>
      <c r="O117" s="17" t="str">
        <f aca="false">IF(A117="","",IF(COUNTIF(Ref_CTRL!$A$2:$A$201,A117)=0,"CTRL-ID not in W05",IF(L117="","Owner status needed",IF(AND(L117="Confirmed",OR(E117="",G117="")),"Confirmed needs control and evidence owner",IF(AND(L117="Confirmed",M117=""),"Date confirmed needed",IF(AND(L117="Outstanding",N117=""),"Follow-up needed",IF(AND(C117="Y",K117=""),"Walkthrough contact needed (key control)","OK")))))))</f>
        <v/>
      </c>
    </row>
    <row r="118" customFormat="false" ht="15" hidden="false" customHeight="false" outlineLevel="0" collapsed="false">
      <c r="A118" s="16"/>
      <c r="B118" s="17" t="str">
        <f aca="false">IFERROR(INDEX(Ref_CTRL!$B$2:$B$201,MATCH(A118,Ref_CTRL!$A$2:$A$201,0)),"")</f>
        <v/>
      </c>
      <c r="C118" s="17" t="str">
        <f aca="false">IFERROR(INDEX(Ref_CTRL!$E$2:$E$201,MATCH(A118,Ref_CTRL!$A$2:$A$201,0)),"")</f>
        <v/>
      </c>
      <c r="D118" s="17" t="str">
        <f aca="false">IFERROR(INDEX(Ref_CTRL!$F$2:$F$201,MATCH(A118,Ref_CTRL!$A$2:$A$201,0)),"")</f>
        <v/>
      </c>
      <c r="E118" s="16"/>
      <c r="F118" s="16"/>
      <c r="G118" s="16"/>
      <c r="H118" s="16"/>
      <c r="I118" s="16"/>
      <c r="J118" s="17" t="str">
        <f aca="false">IFERROR(INDEX(Ref_CTRL!$D$2:$D$201,MATCH(A118,Ref_CTRL!$A$2:$A$201,0)),"")</f>
        <v/>
      </c>
      <c r="K118" s="16"/>
      <c r="L118" s="16"/>
      <c r="M118" s="18"/>
      <c r="N118" s="16"/>
      <c r="O118" s="17" t="str">
        <f aca="false">IF(A118="","",IF(COUNTIF(Ref_CTRL!$A$2:$A$201,A118)=0,"CTRL-ID not in W05",IF(L118="","Owner status needed",IF(AND(L118="Confirmed",OR(E118="",G118="")),"Confirmed needs control and evidence owner",IF(AND(L118="Confirmed",M118=""),"Date confirmed needed",IF(AND(L118="Outstanding",N118=""),"Follow-up needed",IF(AND(C118="Y",K118=""),"Walkthrough contact needed (key control)","OK")))))))</f>
        <v/>
      </c>
    </row>
    <row r="119" customFormat="false" ht="15" hidden="false" customHeight="false" outlineLevel="0" collapsed="false">
      <c r="A119" s="16"/>
      <c r="B119" s="17" t="str">
        <f aca="false">IFERROR(INDEX(Ref_CTRL!$B$2:$B$201,MATCH(A119,Ref_CTRL!$A$2:$A$201,0)),"")</f>
        <v/>
      </c>
      <c r="C119" s="17" t="str">
        <f aca="false">IFERROR(INDEX(Ref_CTRL!$E$2:$E$201,MATCH(A119,Ref_CTRL!$A$2:$A$201,0)),"")</f>
        <v/>
      </c>
      <c r="D119" s="17" t="str">
        <f aca="false">IFERROR(INDEX(Ref_CTRL!$F$2:$F$201,MATCH(A119,Ref_CTRL!$A$2:$A$201,0)),"")</f>
        <v/>
      </c>
      <c r="E119" s="16"/>
      <c r="F119" s="16"/>
      <c r="G119" s="16"/>
      <c r="H119" s="16"/>
      <c r="I119" s="16"/>
      <c r="J119" s="17" t="str">
        <f aca="false">IFERROR(INDEX(Ref_CTRL!$D$2:$D$201,MATCH(A119,Ref_CTRL!$A$2:$A$201,0)),"")</f>
        <v/>
      </c>
      <c r="K119" s="16"/>
      <c r="L119" s="16"/>
      <c r="M119" s="18"/>
      <c r="N119" s="16"/>
      <c r="O119" s="17" t="str">
        <f aca="false">IF(A119="","",IF(COUNTIF(Ref_CTRL!$A$2:$A$201,A119)=0,"CTRL-ID not in W05",IF(L119="","Owner status needed",IF(AND(L119="Confirmed",OR(E119="",G119="")),"Confirmed needs control and evidence owner",IF(AND(L119="Confirmed",M119=""),"Date confirmed needed",IF(AND(L119="Outstanding",N119=""),"Follow-up needed",IF(AND(C119="Y",K119=""),"Walkthrough contact needed (key control)","OK")))))))</f>
        <v/>
      </c>
    </row>
    <row r="120" customFormat="false" ht="15" hidden="false" customHeight="false" outlineLevel="0" collapsed="false">
      <c r="A120" s="16"/>
      <c r="B120" s="17" t="str">
        <f aca="false">IFERROR(INDEX(Ref_CTRL!$B$2:$B$201,MATCH(A120,Ref_CTRL!$A$2:$A$201,0)),"")</f>
        <v/>
      </c>
      <c r="C120" s="17" t="str">
        <f aca="false">IFERROR(INDEX(Ref_CTRL!$E$2:$E$201,MATCH(A120,Ref_CTRL!$A$2:$A$201,0)),"")</f>
        <v/>
      </c>
      <c r="D120" s="17" t="str">
        <f aca="false">IFERROR(INDEX(Ref_CTRL!$F$2:$F$201,MATCH(A120,Ref_CTRL!$A$2:$A$201,0)),"")</f>
        <v/>
      </c>
      <c r="E120" s="16"/>
      <c r="F120" s="16"/>
      <c r="G120" s="16"/>
      <c r="H120" s="16"/>
      <c r="I120" s="16"/>
      <c r="J120" s="17" t="str">
        <f aca="false">IFERROR(INDEX(Ref_CTRL!$D$2:$D$201,MATCH(A120,Ref_CTRL!$A$2:$A$201,0)),"")</f>
        <v/>
      </c>
      <c r="K120" s="16"/>
      <c r="L120" s="16"/>
      <c r="M120" s="18"/>
      <c r="N120" s="16"/>
      <c r="O120" s="17" t="str">
        <f aca="false">IF(A120="","",IF(COUNTIF(Ref_CTRL!$A$2:$A$201,A120)=0,"CTRL-ID not in W05",IF(L120="","Owner status needed",IF(AND(L120="Confirmed",OR(E120="",G120="")),"Confirmed needs control and evidence owner",IF(AND(L120="Confirmed",M120=""),"Date confirmed needed",IF(AND(L120="Outstanding",N120=""),"Follow-up needed",IF(AND(C120="Y",K120=""),"Walkthrough contact needed (key control)","OK")))))))</f>
        <v/>
      </c>
    </row>
    <row r="121" customFormat="false" ht="15" hidden="false" customHeight="false" outlineLevel="0" collapsed="false">
      <c r="A121" s="16"/>
      <c r="B121" s="17" t="str">
        <f aca="false">IFERROR(INDEX(Ref_CTRL!$B$2:$B$201,MATCH(A121,Ref_CTRL!$A$2:$A$201,0)),"")</f>
        <v/>
      </c>
      <c r="C121" s="17" t="str">
        <f aca="false">IFERROR(INDEX(Ref_CTRL!$E$2:$E$201,MATCH(A121,Ref_CTRL!$A$2:$A$201,0)),"")</f>
        <v/>
      </c>
      <c r="D121" s="17" t="str">
        <f aca="false">IFERROR(INDEX(Ref_CTRL!$F$2:$F$201,MATCH(A121,Ref_CTRL!$A$2:$A$201,0)),"")</f>
        <v/>
      </c>
      <c r="E121" s="16"/>
      <c r="F121" s="16"/>
      <c r="G121" s="16"/>
      <c r="H121" s="16"/>
      <c r="I121" s="16"/>
      <c r="J121" s="17" t="str">
        <f aca="false">IFERROR(INDEX(Ref_CTRL!$D$2:$D$201,MATCH(A121,Ref_CTRL!$A$2:$A$201,0)),"")</f>
        <v/>
      </c>
      <c r="K121" s="16"/>
      <c r="L121" s="16"/>
      <c r="M121" s="18"/>
      <c r="N121" s="16"/>
      <c r="O121" s="17" t="str">
        <f aca="false">IF(A121="","",IF(COUNTIF(Ref_CTRL!$A$2:$A$201,A121)=0,"CTRL-ID not in W05",IF(L121="","Owner status needed",IF(AND(L121="Confirmed",OR(E121="",G121="")),"Confirmed needs control and evidence owner",IF(AND(L121="Confirmed",M121=""),"Date confirmed needed",IF(AND(L121="Outstanding",N121=""),"Follow-up needed",IF(AND(C121="Y",K121=""),"Walkthrough contact needed (key control)","OK")))))))</f>
        <v/>
      </c>
    </row>
    <row r="122" customFormat="false" ht="15" hidden="false" customHeight="false" outlineLevel="0" collapsed="false">
      <c r="A122" s="16"/>
      <c r="B122" s="17" t="str">
        <f aca="false">IFERROR(INDEX(Ref_CTRL!$B$2:$B$201,MATCH(A122,Ref_CTRL!$A$2:$A$201,0)),"")</f>
        <v/>
      </c>
      <c r="C122" s="17" t="str">
        <f aca="false">IFERROR(INDEX(Ref_CTRL!$E$2:$E$201,MATCH(A122,Ref_CTRL!$A$2:$A$201,0)),"")</f>
        <v/>
      </c>
      <c r="D122" s="17" t="str">
        <f aca="false">IFERROR(INDEX(Ref_CTRL!$F$2:$F$201,MATCH(A122,Ref_CTRL!$A$2:$A$201,0)),"")</f>
        <v/>
      </c>
      <c r="E122" s="16"/>
      <c r="F122" s="16"/>
      <c r="G122" s="16"/>
      <c r="H122" s="16"/>
      <c r="I122" s="16"/>
      <c r="J122" s="17" t="str">
        <f aca="false">IFERROR(INDEX(Ref_CTRL!$D$2:$D$201,MATCH(A122,Ref_CTRL!$A$2:$A$201,0)),"")</f>
        <v/>
      </c>
      <c r="K122" s="16"/>
      <c r="L122" s="16"/>
      <c r="M122" s="18"/>
      <c r="N122" s="16"/>
      <c r="O122" s="17" t="str">
        <f aca="false">IF(A122="","",IF(COUNTIF(Ref_CTRL!$A$2:$A$201,A122)=0,"CTRL-ID not in W05",IF(L122="","Owner status needed",IF(AND(L122="Confirmed",OR(E122="",G122="")),"Confirmed needs control and evidence owner",IF(AND(L122="Confirmed",M122=""),"Date confirmed needed",IF(AND(L122="Outstanding",N122=""),"Follow-up needed",IF(AND(C122="Y",K122=""),"Walkthrough contact needed (key control)","OK")))))))</f>
        <v/>
      </c>
    </row>
    <row r="123" customFormat="false" ht="15" hidden="false" customHeight="false" outlineLevel="0" collapsed="false">
      <c r="A123" s="16"/>
      <c r="B123" s="17" t="str">
        <f aca="false">IFERROR(INDEX(Ref_CTRL!$B$2:$B$201,MATCH(A123,Ref_CTRL!$A$2:$A$201,0)),"")</f>
        <v/>
      </c>
      <c r="C123" s="17" t="str">
        <f aca="false">IFERROR(INDEX(Ref_CTRL!$E$2:$E$201,MATCH(A123,Ref_CTRL!$A$2:$A$201,0)),"")</f>
        <v/>
      </c>
      <c r="D123" s="17" t="str">
        <f aca="false">IFERROR(INDEX(Ref_CTRL!$F$2:$F$201,MATCH(A123,Ref_CTRL!$A$2:$A$201,0)),"")</f>
        <v/>
      </c>
      <c r="E123" s="16"/>
      <c r="F123" s="16"/>
      <c r="G123" s="16"/>
      <c r="H123" s="16"/>
      <c r="I123" s="16"/>
      <c r="J123" s="17" t="str">
        <f aca="false">IFERROR(INDEX(Ref_CTRL!$D$2:$D$201,MATCH(A123,Ref_CTRL!$A$2:$A$201,0)),"")</f>
        <v/>
      </c>
      <c r="K123" s="16"/>
      <c r="L123" s="16"/>
      <c r="M123" s="18"/>
      <c r="N123" s="16"/>
      <c r="O123" s="17" t="str">
        <f aca="false">IF(A123="","",IF(COUNTIF(Ref_CTRL!$A$2:$A$201,A123)=0,"CTRL-ID not in W05",IF(L123="","Owner status needed",IF(AND(L123="Confirmed",OR(E123="",G123="")),"Confirmed needs control and evidence owner",IF(AND(L123="Confirmed",M123=""),"Date confirmed needed",IF(AND(L123="Outstanding",N123=""),"Follow-up needed",IF(AND(C123="Y",K123=""),"Walkthrough contact needed (key control)","OK")))))))</f>
        <v/>
      </c>
    </row>
    <row r="124" customFormat="false" ht="15" hidden="false" customHeight="false" outlineLevel="0" collapsed="false">
      <c r="A124" s="16"/>
      <c r="B124" s="17" t="str">
        <f aca="false">IFERROR(INDEX(Ref_CTRL!$B$2:$B$201,MATCH(A124,Ref_CTRL!$A$2:$A$201,0)),"")</f>
        <v/>
      </c>
      <c r="C124" s="17" t="str">
        <f aca="false">IFERROR(INDEX(Ref_CTRL!$E$2:$E$201,MATCH(A124,Ref_CTRL!$A$2:$A$201,0)),"")</f>
        <v/>
      </c>
      <c r="D124" s="17" t="str">
        <f aca="false">IFERROR(INDEX(Ref_CTRL!$F$2:$F$201,MATCH(A124,Ref_CTRL!$A$2:$A$201,0)),"")</f>
        <v/>
      </c>
      <c r="E124" s="16"/>
      <c r="F124" s="16"/>
      <c r="G124" s="16"/>
      <c r="H124" s="16"/>
      <c r="I124" s="16"/>
      <c r="J124" s="17" t="str">
        <f aca="false">IFERROR(INDEX(Ref_CTRL!$D$2:$D$201,MATCH(A124,Ref_CTRL!$A$2:$A$201,0)),"")</f>
        <v/>
      </c>
      <c r="K124" s="16"/>
      <c r="L124" s="16"/>
      <c r="M124" s="18"/>
      <c r="N124" s="16"/>
      <c r="O124" s="17" t="str">
        <f aca="false">IF(A124="","",IF(COUNTIF(Ref_CTRL!$A$2:$A$201,A124)=0,"CTRL-ID not in W05",IF(L124="","Owner status needed",IF(AND(L124="Confirmed",OR(E124="",G124="")),"Confirmed needs control and evidence owner",IF(AND(L124="Confirmed",M124=""),"Date confirmed needed",IF(AND(L124="Outstanding",N124=""),"Follow-up needed",IF(AND(C124="Y",K124=""),"Walkthrough contact needed (key control)","OK")))))))</f>
        <v/>
      </c>
    </row>
    <row r="125" customFormat="false" ht="15" hidden="false" customHeight="false" outlineLevel="0" collapsed="false">
      <c r="A125" s="16"/>
      <c r="B125" s="17" t="str">
        <f aca="false">IFERROR(INDEX(Ref_CTRL!$B$2:$B$201,MATCH(A125,Ref_CTRL!$A$2:$A$201,0)),"")</f>
        <v/>
      </c>
      <c r="C125" s="17" t="str">
        <f aca="false">IFERROR(INDEX(Ref_CTRL!$E$2:$E$201,MATCH(A125,Ref_CTRL!$A$2:$A$201,0)),"")</f>
        <v/>
      </c>
      <c r="D125" s="17" t="str">
        <f aca="false">IFERROR(INDEX(Ref_CTRL!$F$2:$F$201,MATCH(A125,Ref_CTRL!$A$2:$A$201,0)),"")</f>
        <v/>
      </c>
      <c r="E125" s="16"/>
      <c r="F125" s="16"/>
      <c r="G125" s="16"/>
      <c r="H125" s="16"/>
      <c r="I125" s="16"/>
      <c r="J125" s="17" t="str">
        <f aca="false">IFERROR(INDEX(Ref_CTRL!$D$2:$D$201,MATCH(A125,Ref_CTRL!$A$2:$A$201,0)),"")</f>
        <v/>
      </c>
      <c r="K125" s="16"/>
      <c r="L125" s="16"/>
      <c r="M125" s="18"/>
      <c r="N125" s="16"/>
      <c r="O125" s="17" t="str">
        <f aca="false">IF(A125="","",IF(COUNTIF(Ref_CTRL!$A$2:$A$201,A125)=0,"CTRL-ID not in W05",IF(L125="","Owner status needed",IF(AND(L125="Confirmed",OR(E125="",G125="")),"Confirmed needs control and evidence owner",IF(AND(L125="Confirmed",M125=""),"Date confirmed needed",IF(AND(L125="Outstanding",N125=""),"Follow-up needed",IF(AND(C125="Y",K125=""),"Walkthrough contact needed (key control)","OK")))))))</f>
        <v/>
      </c>
    </row>
    <row r="126" customFormat="false" ht="15" hidden="false" customHeight="false" outlineLevel="0" collapsed="false">
      <c r="A126" s="16"/>
      <c r="B126" s="17" t="str">
        <f aca="false">IFERROR(INDEX(Ref_CTRL!$B$2:$B$201,MATCH(A126,Ref_CTRL!$A$2:$A$201,0)),"")</f>
        <v/>
      </c>
      <c r="C126" s="17" t="str">
        <f aca="false">IFERROR(INDEX(Ref_CTRL!$E$2:$E$201,MATCH(A126,Ref_CTRL!$A$2:$A$201,0)),"")</f>
        <v/>
      </c>
      <c r="D126" s="17" t="str">
        <f aca="false">IFERROR(INDEX(Ref_CTRL!$F$2:$F$201,MATCH(A126,Ref_CTRL!$A$2:$A$201,0)),"")</f>
        <v/>
      </c>
      <c r="E126" s="16"/>
      <c r="F126" s="16"/>
      <c r="G126" s="16"/>
      <c r="H126" s="16"/>
      <c r="I126" s="16"/>
      <c r="J126" s="17" t="str">
        <f aca="false">IFERROR(INDEX(Ref_CTRL!$D$2:$D$201,MATCH(A126,Ref_CTRL!$A$2:$A$201,0)),"")</f>
        <v/>
      </c>
      <c r="K126" s="16"/>
      <c r="L126" s="16"/>
      <c r="M126" s="18"/>
      <c r="N126" s="16"/>
      <c r="O126" s="17" t="str">
        <f aca="false">IF(A126="","",IF(COUNTIF(Ref_CTRL!$A$2:$A$201,A126)=0,"CTRL-ID not in W05",IF(L126="","Owner status needed",IF(AND(L126="Confirmed",OR(E126="",G126="")),"Confirmed needs control and evidence owner",IF(AND(L126="Confirmed",M126=""),"Date confirmed needed",IF(AND(L126="Outstanding",N126=""),"Follow-up needed",IF(AND(C126="Y",K126=""),"Walkthrough contact needed (key control)","OK")))))))</f>
        <v/>
      </c>
    </row>
    <row r="127" customFormat="false" ht="15" hidden="false" customHeight="false" outlineLevel="0" collapsed="false">
      <c r="A127" s="16"/>
      <c r="B127" s="17" t="str">
        <f aca="false">IFERROR(INDEX(Ref_CTRL!$B$2:$B$201,MATCH(A127,Ref_CTRL!$A$2:$A$201,0)),"")</f>
        <v/>
      </c>
      <c r="C127" s="17" t="str">
        <f aca="false">IFERROR(INDEX(Ref_CTRL!$E$2:$E$201,MATCH(A127,Ref_CTRL!$A$2:$A$201,0)),"")</f>
        <v/>
      </c>
      <c r="D127" s="17" t="str">
        <f aca="false">IFERROR(INDEX(Ref_CTRL!$F$2:$F$201,MATCH(A127,Ref_CTRL!$A$2:$A$201,0)),"")</f>
        <v/>
      </c>
      <c r="E127" s="16"/>
      <c r="F127" s="16"/>
      <c r="G127" s="16"/>
      <c r="H127" s="16"/>
      <c r="I127" s="16"/>
      <c r="J127" s="17" t="str">
        <f aca="false">IFERROR(INDEX(Ref_CTRL!$D$2:$D$201,MATCH(A127,Ref_CTRL!$A$2:$A$201,0)),"")</f>
        <v/>
      </c>
      <c r="K127" s="16"/>
      <c r="L127" s="16"/>
      <c r="M127" s="18"/>
      <c r="N127" s="16"/>
      <c r="O127" s="17" t="str">
        <f aca="false">IF(A127="","",IF(COUNTIF(Ref_CTRL!$A$2:$A$201,A127)=0,"CTRL-ID not in W05",IF(L127="","Owner status needed",IF(AND(L127="Confirmed",OR(E127="",G127="")),"Confirmed needs control and evidence owner",IF(AND(L127="Confirmed",M127=""),"Date confirmed needed",IF(AND(L127="Outstanding",N127=""),"Follow-up needed",IF(AND(C127="Y",K127=""),"Walkthrough contact needed (key control)","OK")))))))</f>
        <v/>
      </c>
    </row>
    <row r="128" customFormat="false" ht="15" hidden="false" customHeight="false" outlineLevel="0" collapsed="false">
      <c r="A128" s="16"/>
      <c r="B128" s="17" t="str">
        <f aca="false">IFERROR(INDEX(Ref_CTRL!$B$2:$B$201,MATCH(A128,Ref_CTRL!$A$2:$A$201,0)),"")</f>
        <v/>
      </c>
      <c r="C128" s="17" t="str">
        <f aca="false">IFERROR(INDEX(Ref_CTRL!$E$2:$E$201,MATCH(A128,Ref_CTRL!$A$2:$A$201,0)),"")</f>
        <v/>
      </c>
      <c r="D128" s="17" t="str">
        <f aca="false">IFERROR(INDEX(Ref_CTRL!$F$2:$F$201,MATCH(A128,Ref_CTRL!$A$2:$A$201,0)),"")</f>
        <v/>
      </c>
      <c r="E128" s="16"/>
      <c r="F128" s="16"/>
      <c r="G128" s="16"/>
      <c r="H128" s="16"/>
      <c r="I128" s="16"/>
      <c r="J128" s="17" t="str">
        <f aca="false">IFERROR(INDEX(Ref_CTRL!$D$2:$D$201,MATCH(A128,Ref_CTRL!$A$2:$A$201,0)),"")</f>
        <v/>
      </c>
      <c r="K128" s="16"/>
      <c r="L128" s="16"/>
      <c r="M128" s="18"/>
      <c r="N128" s="16"/>
      <c r="O128" s="17" t="str">
        <f aca="false">IF(A128="","",IF(COUNTIF(Ref_CTRL!$A$2:$A$201,A128)=0,"CTRL-ID not in W05",IF(L128="","Owner status needed",IF(AND(L128="Confirmed",OR(E128="",G128="")),"Confirmed needs control and evidence owner",IF(AND(L128="Confirmed",M128=""),"Date confirmed needed",IF(AND(L128="Outstanding",N128=""),"Follow-up needed",IF(AND(C128="Y",K128=""),"Walkthrough contact needed (key control)","OK")))))))</f>
        <v/>
      </c>
    </row>
    <row r="129" customFormat="false" ht="15" hidden="false" customHeight="false" outlineLevel="0" collapsed="false">
      <c r="A129" s="16"/>
      <c r="B129" s="17" t="str">
        <f aca="false">IFERROR(INDEX(Ref_CTRL!$B$2:$B$201,MATCH(A129,Ref_CTRL!$A$2:$A$201,0)),"")</f>
        <v/>
      </c>
      <c r="C129" s="17" t="str">
        <f aca="false">IFERROR(INDEX(Ref_CTRL!$E$2:$E$201,MATCH(A129,Ref_CTRL!$A$2:$A$201,0)),"")</f>
        <v/>
      </c>
      <c r="D129" s="17" t="str">
        <f aca="false">IFERROR(INDEX(Ref_CTRL!$F$2:$F$201,MATCH(A129,Ref_CTRL!$A$2:$A$201,0)),"")</f>
        <v/>
      </c>
      <c r="E129" s="16"/>
      <c r="F129" s="16"/>
      <c r="G129" s="16"/>
      <c r="H129" s="16"/>
      <c r="I129" s="16"/>
      <c r="J129" s="17" t="str">
        <f aca="false">IFERROR(INDEX(Ref_CTRL!$D$2:$D$201,MATCH(A129,Ref_CTRL!$A$2:$A$201,0)),"")</f>
        <v/>
      </c>
      <c r="K129" s="16"/>
      <c r="L129" s="16"/>
      <c r="M129" s="18"/>
      <c r="N129" s="16"/>
      <c r="O129" s="17" t="str">
        <f aca="false">IF(A129="","",IF(COUNTIF(Ref_CTRL!$A$2:$A$201,A129)=0,"CTRL-ID not in W05",IF(L129="","Owner status needed",IF(AND(L129="Confirmed",OR(E129="",G129="")),"Confirmed needs control and evidence owner",IF(AND(L129="Confirmed",M129=""),"Date confirmed needed",IF(AND(L129="Outstanding",N129=""),"Follow-up needed",IF(AND(C129="Y",K129=""),"Walkthrough contact needed (key control)","OK")))))))</f>
        <v/>
      </c>
    </row>
    <row r="130" customFormat="false" ht="15" hidden="false" customHeight="false" outlineLevel="0" collapsed="false">
      <c r="A130" s="16"/>
      <c r="B130" s="17" t="str">
        <f aca="false">IFERROR(INDEX(Ref_CTRL!$B$2:$B$201,MATCH(A130,Ref_CTRL!$A$2:$A$201,0)),"")</f>
        <v/>
      </c>
      <c r="C130" s="17" t="str">
        <f aca="false">IFERROR(INDEX(Ref_CTRL!$E$2:$E$201,MATCH(A130,Ref_CTRL!$A$2:$A$201,0)),"")</f>
        <v/>
      </c>
      <c r="D130" s="17" t="str">
        <f aca="false">IFERROR(INDEX(Ref_CTRL!$F$2:$F$201,MATCH(A130,Ref_CTRL!$A$2:$A$201,0)),"")</f>
        <v/>
      </c>
      <c r="E130" s="16"/>
      <c r="F130" s="16"/>
      <c r="G130" s="16"/>
      <c r="H130" s="16"/>
      <c r="I130" s="16"/>
      <c r="J130" s="17" t="str">
        <f aca="false">IFERROR(INDEX(Ref_CTRL!$D$2:$D$201,MATCH(A130,Ref_CTRL!$A$2:$A$201,0)),"")</f>
        <v/>
      </c>
      <c r="K130" s="16"/>
      <c r="L130" s="16"/>
      <c r="M130" s="18"/>
      <c r="N130" s="16"/>
      <c r="O130" s="17" t="str">
        <f aca="false">IF(A130="","",IF(COUNTIF(Ref_CTRL!$A$2:$A$201,A130)=0,"CTRL-ID not in W05",IF(L130="","Owner status needed",IF(AND(L130="Confirmed",OR(E130="",G130="")),"Confirmed needs control and evidence owner",IF(AND(L130="Confirmed",M130=""),"Date confirmed needed",IF(AND(L130="Outstanding",N130=""),"Follow-up needed",IF(AND(C130="Y",K130=""),"Walkthrough contact needed (key control)","OK")))))))</f>
        <v/>
      </c>
    </row>
    <row r="131" customFormat="false" ht="15" hidden="false" customHeight="false" outlineLevel="0" collapsed="false">
      <c r="A131" s="16"/>
      <c r="B131" s="17" t="str">
        <f aca="false">IFERROR(INDEX(Ref_CTRL!$B$2:$B$201,MATCH(A131,Ref_CTRL!$A$2:$A$201,0)),"")</f>
        <v/>
      </c>
      <c r="C131" s="17" t="str">
        <f aca="false">IFERROR(INDEX(Ref_CTRL!$E$2:$E$201,MATCH(A131,Ref_CTRL!$A$2:$A$201,0)),"")</f>
        <v/>
      </c>
      <c r="D131" s="17" t="str">
        <f aca="false">IFERROR(INDEX(Ref_CTRL!$F$2:$F$201,MATCH(A131,Ref_CTRL!$A$2:$A$201,0)),"")</f>
        <v/>
      </c>
      <c r="E131" s="16"/>
      <c r="F131" s="16"/>
      <c r="G131" s="16"/>
      <c r="H131" s="16"/>
      <c r="I131" s="16"/>
      <c r="J131" s="17" t="str">
        <f aca="false">IFERROR(INDEX(Ref_CTRL!$D$2:$D$201,MATCH(A131,Ref_CTRL!$A$2:$A$201,0)),"")</f>
        <v/>
      </c>
      <c r="K131" s="16"/>
      <c r="L131" s="16"/>
      <c r="M131" s="18"/>
      <c r="N131" s="16"/>
      <c r="O131" s="17" t="str">
        <f aca="false">IF(A131="","",IF(COUNTIF(Ref_CTRL!$A$2:$A$201,A131)=0,"CTRL-ID not in W05",IF(L131="","Owner status needed",IF(AND(L131="Confirmed",OR(E131="",G131="")),"Confirmed needs control and evidence owner",IF(AND(L131="Confirmed",M131=""),"Date confirmed needed",IF(AND(L131="Outstanding",N131=""),"Follow-up needed",IF(AND(C131="Y",K131=""),"Walkthrough contact needed (key control)","OK")))))))</f>
        <v/>
      </c>
    </row>
    <row r="132" customFormat="false" ht="15" hidden="false" customHeight="false" outlineLevel="0" collapsed="false">
      <c r="A132" s="16"/>
      <c r="B132" s="17" t="str">
        <f aca="false">IFERROR(INDEX(Ref_CTRL!$B$2:$B$201,MATCH(A132,Ref_CTRL!$A$2:$A$201,0)),"")</f>
        <v/>
      </c>
      <c r="C132" s="17" t="str">
        <f aca="false">IFERROR(INDEX(Ref_CTRL!$E$2:$E$201,MATCH(A132,Ref_CTRL!$A$2:$A$201,0)),"")</f>
        <v/>
      </c>
      <c r="D132" s="17" t="str">
        <f aca="false">IFERROR(INDEX(Ref_CTRL!$F$2:$F$201,MATCH(A132,Ref_CTRL!$A$2:$A$201,0)),"")</f>
        <v/>
      </c>
      <c r="E132" s="16"/>
      <c r="F132" s="16"/>
      <c r="G132" s="16"/>
      <c r="H132" s="16"/>
      <c r="I132" s="16"/>
      <c r="J132" s="17" t="str">
        <f aca="false">IFERROR(INDEX(Ref_CTRL!$D$2:$D$201,MATCH(A132,Ref_CTRL!$A$2:$A$201,0)),"")</f>
        <v/>
      </c>
      <c r="K132" s="16"/>
      <c r="L132" s="16"/>
      <c r="M132" s="18"/>
      <c r="N132" s="16"/>
      <c r="O132" s="17" t="str">
        <f aca="false">IF(A132="","",IF(COUNTIF(Ref_CTRL!$A$2:$A$201,A132)=0,"CTRL-ID not in W05",IF(L132="","Owner status needed",IF(AND(L132="Confirmed",OR(E132="",G132="")),"Confirmed needs control and evidence owner",IF(AND(L132="Confirmed",M132=""),"Date confirmed needed",IF(AND(L132="Outstanding",N132=""),"Follow-up needed",IF(AND(C132="Y",K132=""),"Walkthrough contact needed (key control)","OK")))))))</f>
        <v/>
      </c>
    </row>
    <row r="133" customFormat="false" ht="15" hidden="false" customHeight="false" outlineLevel="0" collapsed="false">
      <c r="A133" s="16"/>
      <c r="B133" s="17" t="str">
        <f aca="false">IFERROR(INDEX(Ref_CTRL!$B$2:$B$201,MATCH(A133,Ref_CTRL!$A$2:$A$201,0)),"")</f>
        <v/>
      </c>
      <c r="C133" s="17" t="str">
        <f aca="false">IFERROR(INDEX(Ref_CTRL!$E$2:$E$201,MATCH(A133,Ref_CTRL!$A$2:$A$201,0)),"")</f>
        <v/>
      </c>
      <c r="D133" s="17" t="str">
        <f aca="false">IFERROR(INDEX(Ref_CTRL!$F$2:$F$201,MATCH(A133,Ref_CTRL!$A$2:$A$201,0)),"")</f>
        <v/>
      </c>
      <c r="E133" s="16"/>
      <c r="F133" s="16"/>
      <c r="G133" s="16"/>
      <c r="H133" s="16"/>
      <c r="I133" s="16"/>
      <c r="J133" s="17" t="str">
        <f aca="false">IFERROR(INDEX(Ref_CTRL!$D$2:$D$201,MATCH(A133,Ref_CTRL!$A$2:$A$201,0)),"")</f>
        <v/>
      </c>
      <c r="K133" s="16"/>
      <c r="L133" s="16"/>
      <c r="M133" s="18"/>
      <c r="N133" s="16"/>
      <c r="O133" s="17" t="str">
        <f aca="false">IF(A133="","",IF(COUNTIF(Ref_CTRL!$A$2:$A$201,A133)=0,"CTRL-ID not in W05",IF(L133="","Owner status needed",IF(AND(L133="Confirmed",OR(E133="",G133="")),"Confirmed needs control and evidence owner",IF(AND(L133="Confirmed",M133=""),"Date confirmed needed",IF(AND(L133="Outstanding",N133=""),"Follow-up needed",IF(AND(C133="Y",K133=""),"Walkthrough contact needed (key control)","OK")))))))</f>
        <v/>
      </c>
    </row>
    <row r="134" customFormat="false" ht="15" hidden="false" customHeight="false" outlineLevel="0" collapsed="false">
      <c r="A134" s="16"/>
      <c r="B134" s="17" t="str">
        <f aca="false">IFERROR(INDEX(Ref_CTRL!$B$2:$B$201,MATCH(A134,Ref_CTRL!$A$2:$A$201,0)),"")</f>
        <v/>
      </c>
      <c r="C134" s="17" t="str">
        <f aca="false">IFERROR(INDEX(Ref_CTRL!$E$2:$E$201,MATCH(A134,Ref_CTRL!$A$2:$A$201,0)),"")</f>
        <v/>
      </c>
      <c r="D134" s="17" t="str">
        <f aca="false">IFERROR(INDEX(Ref_CTRL!$F$2:$F$201,MATCH(A134,Ref_CTRL!$A$2:$A$201,0)),"")</f>
        <v/>
      </c>
      <c r="E134" s="16"/>
      <c r="F134" s="16"/>
      <c r="G134" s="16"/>
      <c r="H134" s="16"/>
      <c r="I134" s="16"/>
      <c r="J134" s="17" t="str">
        <f aca="false">IFERROR(INDEX(Ref_CTRL!$D$2:$D$201,MATCH(A134,Ref_CTRL!$A$2:$A$201,0)),"")</f>
        <v/>
      </c>
      <c r="K134" s="16"/>
      <c r="L134" s="16"/>
      <c r="M134" s="18"/>
      <c r="N134" s="16"/>
      <c r="O134" s="17" t="str">
        <f aca="false">IF(A134="","",IF(COUNTIF(Ref_CTRL!$A$2:$A$201,A134)=0,"CTRL-ID not in W05",IF(L134="","Owner status needed",IF(AND(L134="Confirmed",OR(E134="",G134="")),"Confirmed needs control and evidence owner",IF(AND(L134="Confirmed",M134=""),"Date confirmed needed",IF(AND(L134="Outstanding",N134=""),"Follow-up needed",IF(AND(C134="Y",K134=""),"Walkthrough contact needed (key control)","OK")))))))</f>
        <v/>
      </c>
    </row>
    <row r="135" customFormat="false" ht="15" hidden="false" customHeight="false" outlineLevel="0" collapsed="false">
      <c r="A135" s="16"/>
      <c r="B135" s="17" t="str">
        <f aca="false">IFERROR(INDEX(Ref_CTRL!$B$2:$B$201,MATCH(A135,Ref_CTRL!$A$2:$A$201,0)),"")</f>
        <v/>
      </c>
      <c r="C135" s="17" t="str">
        <f aca="false">IFERROR(INDEX(Ref_CTRL!$E$2:$E$201,MATCH(A135,Ref_CTRL!$A$2:$A$201,0)),"")</f>
        <v/>
      </c>
      <c r="D135" s="17" t="str">
        <f aca="false">IFERROR(INDEX(Ref_CTRL!$F$2:$F$201,MATCH(A135,Ref_CTRL!$A$2:$A$201,0)),"")</f>
        <v/>
      </c>
      <c r="E135" s="16"/>
      <c r="F135" s="16"/>
      <c r="G135" s="16"/>
      <c r="H135" s="16"/>
      <c r="I135" s="16"/>
      <c r="J135" s="17" t="str">
        <f aca="false">IFERROR(INDEX(Ref_CTRL!$D$2:$D$201,MATCH(A135,Ref_CTRL!$A$2:$A$201,0)),"")</f>
        <v/>
      </c>
      <c r="K135" s="16"/>
      <c r="L135" s="16"/>
      <c r="M135" s="18"/>
      <c r="N135" s="16"/>
      <c r="O135" s="17" t="str">
        <f aca="false">IF(A135="","",IF(COUNTIF(Ref_CTRL!$A$2:$A$201,A135)=0,"CTRL-ID not in W05",IF(L135="","Owner status needed",IF(AND(L135="Confirmed",OR(E135="",G135="")),"Confirmed needs control and evidence owner",IF(AND(L135="Confirmed",M135=""),"Date confirmed needed",IF(AND(L135="Outstanding",N135=""),"Follow-up needed",IF(AND(C135="Y",K135=""),"Walkthrough contact needed (key control)","OK")))))))</f>
        <v/>
      </c>
    </row>
    <row r="136" customFormat="false" ht="15" hidden="false" customHeight="false" outlineLevel="0" collapsed="false">
      <c r="A136" s="16"/>
      <c r="B136" s="17" t="str">
        <f aca="false">IFERROR(INDEX(Ref_CTRL!$B$2:$B$201,MATCH(A136,Ref_CTRL!$A$2:$A$201,0)),"")</f>
        <v/>
      </c>
      <c r="C136" s="17" t="str">
        <f aca="false">IFERROR(INDEX(Ref_CTRL!$E$2:$E$201,MATCH(A136,Ref_CTRL!$A$2:$A$201,0)),"")</f>
        <v/>
      </c>
      <c r="D136" s="17" t="str">
        <f aca="false">IFERROR(INDEX(Ref_CTRL!$F$2:$F$201,MATCH(A136,Ref_CTRL!$A$2:$A$201,0)),"")</f>
        <v/>
      </c>
      <c r="E136" s="16"/>
      <c r="F136" s="16"/>
      <c r="G136" s="16"/>
      <c r="H136" s="16"/>
      <c r="I136" s="16"/>
      <c r="J136" s="17" t="str">
        <f aca="false">IFERROR(INDEX(Ref_CTRL!$D$2:$D$201,MATCH(A136,Ref_CTRL!$A$2:$A$201,0)),"")</f>
        <v/>
      </c>
      <c r="K136" s="16"/>
      <c r="L136" s="16"/>
      <c r="M136" s="18"/>
      <c r="N136" s="16"/>
      <c r="O136" s="17" t="str">
        <f aca="false">IF(A136="","",IF(COUNTIF(Ref_CTRL!$A$2:$A$201,A136)=0,"CTRL-ID not in W05",IF(L136="","Owner status needed",IF(AND(L136="Confirmed",OR(E136="",G136="")),"Confirmed needs control and evidence owner",IF(AND(L136="Confirmed",M136=""),"Date confirmed needed",IF(AND(L136="Outstanding",N136=""),"Follow-up needed",IF(AND(C136="Y",K136=""),"Walkthrough contact needed (key control)","OK")))))))</f>
        <v/>
      </c>
    </row>
    <row r="137" customFormat="false" ht="15" hidden="false" customHeight="false" outlineLevel="0" collapsed="false">
      <c r="A137" s="16"/>
      <c r="B137" s="17" t="str">
        <f aca="false">IFERROR(INDEX(Ref_CTRL!$B$2:$B$201,MATCH(A137,Ref_CTRL!$A$2:$A$201,0)),"")</f>
        <v/>
      </c>
      <c r="C137" s="17" t="str">
        <f aca="false">IFERROR(INDEX(Ref_CTRL!$E$2:$E$201,MATCH(A137,Ref_CTRL!$A$2:$A$201,0)),"")</f>
        <v/>
      </c>
      <c r="D137" s="17" t="str">
        <f aca="false">IFERROR(INDEX(Ref_CTRL!$F$2:$F$201,MATCH(A137,Ref_CTRL!$A$2:$A$201,0)),"")</f>
        <v/>
      </c>
      <c r="E137" s="16"/>
      <c r="F137" s="16"/>
      <c r="G137" s="16"/>
      <c r="H137" s="16"/>
      <c r="I137" s="16"/>
      <c r="J137" s="17" t="str">
        <f aca="false">IFERROR(INDEX(Ref_CTRL!$D$2:$D$201,MATCH(A137,Ref_CTRL!$A$2:$A$201,0)),"")</f>
        <v/>
      </c>
      <c r="K137" s="16"/>
      <c r="L137" s="16"/>
      <c r="M137" s="18"/>
      <c r="N137" s="16"/>
      <c r="O137" s="17" t="str">
        <f aca="false">IF(A137="","",IF(COUNTIF(Ref_CTRL!$A$2:$A$201,A137)=0,"CTRL-ID not in W05",IF(L137="","Owner status needed",IF(AND(L137="Confirmed",OR(E137="",G137="")),"Confirmed needs control and evidence owner",IF(AND(L137="Confirmed",M137=""),"Date confirmed needed",IF(AND(L137="Outstanding",N137=""),"Follow-up needed",IF(AND(C137="Y",K137=""),"Walkthrough contact needed (key control)","OK")))))))</f>
        <v/>
      </c>
    </row>
    <row r="138" customFormat="false" ht="15" hidden="false" customHeight="false" outlineLevel="0" collapsed="false">
      <c r="A138" s="16"/>
      <c r="B138" s="17" t="str">
        <f aca="false">IFERROR(INDEX(Ref_CTRL!$B$2:$B$201,MATCH(A138,Ref_CTRL!$A$2:$A$201,0)),"")</f>
        <v/>
      </c>
      <c r="C138" s="17" t="str">
        <f aca="false">IFERROR(INDEX(Ref_CTRL!$E$2:$E$201,MATCH(A138,Ref_CTRL!$A$2:$A$201,0)),"")</f>
        <v/>
      </c>
      <c r="D138" s="17" t="str">
        <f aca="false">IFERROR(INDEX(Ref_CTRL!$F$2:$F$201,MATCH(A138,Ref_CTRL!$A$2:$A$201,0)),"")</f>
        <v/>
      </c>
      <c r="E138" s="16"/>
      <c r="F138" s="16"/>
      <c r="G138" s="16"/>
      <c r="H138" s="16"/>
      <c r="I138" s="16"/>
      <c r="J138" s="17" t="str">
        <f aca="false">IFERROR(INDEX(Ref_CTRL!$D$2:$D$201,MATCH(A138,Ref_CTRL!$A$2:$A$201,0)),"")</f>
        <v/>
      </c>
      <c r="K138" s="16"/>
      <c r="L138" s="16"/>
      <c r="M138" s="18"/>
      <c r="N138" s="16"/>
      <c r="O138" s="17" t="str">
        <f aca="false">IF(A138="","",IF(COUNTIF(Ref_CTRL!$A$2:$A$201,A138)=0,"CTRL-ID not in W05",IF(L138="","Owner status needed",IF(AND(L138="Confirmed",OR(E138="",G138="")),"Confirmed needs control and evidence owner",IF(AND(L138="Confirmed",M138=""),"Date confirmed needed",IF(AND(L138="Outstanding",N138=""),"Follow-up needed",IF(AND(C138="Y",K138=""),"Walkthrough contact needed (key control)","OK")))))))</f>
        <v/>
      </c>
    </row>
    <row r="139" customFormat="false" ht="15" hidden="false" customHeight="false" outlineLevel="0" collapsed="false">
      <c r="A139" s="16"/>
      <c r="B139" s="17" t="str">
        <f aca="false">IFERROR(INDEX(Ref_CTRL!$B$2:$B$201,MATCH(A139,Ref_CTRL!$A$2:$A$201,0)),"")</f>
        <v/>
      </c>
      <c r="C139" s="17" t="str">
        <f aca="false">IFERROR(INDEX(Ref_CTRL!$E$2:$E$201,MATCH(A139,Ref_CTRL!$A$2:$A$201,0)),"")</f>
        <v/>
      </c>
      <c r="D139" s="17" t="str">
        <f aca="false">IFERROR(INDEX(Ref_CTRL!$F$2:$F$201,MATCH(A139,Ref_CTRL!$A$2:$A$201,0)),"")</f>
        <v/>
      </c>
      <c r="E139" s="16"/>
      <c r="F139" s="16"/>
      <c r="G139" s="16"/>
      <c r="H139" s="16"/>
      <c r="I139" s="16"/>
      <c r="J139" s="17" t="str">
        <f aca="false">IFERROR(INDEX(Ref_CTRL!$D$2:$D$201,MATCH(A139,Ref_CTRL!$A$2:$A$201,0)),"")</f>
        <v/>
      </c>
      <c r="K139" s="16"/>
      <c r="L139" s="16"/>
      <c r="M139" s="18"/>
      <c r="N139" s="16"/>
      <c r="O139" s="17" t="str">
        <f aca="false">IF(A139="","",IF(COUNTIF(Ref_CTRL!$A$2:$A$201,A139)=0,"CTRL-ID not in W05",IF(L139="","Owner status needed",IF(AND(L139="Confirmed",OR(E139="",G139="")),"Confirmed needs control and evidence owner",IF(AND(L139="Confirmed",M139=""),"Date confirmed needed",IF(AND(L139="Outstanding",N139=""),"Follow-up needed",IF(AND(C139="Y",K139=""),"Walkthrough contact needed (key control)","OK")))))))</f>
        <v/>
      </c>
    </row>
    <row r="140" customFormat="false" ht="15" hidden="false" customHeight="false" outlineLevel="0" collapsed="false">
      <c r="A140" s="16"/>
      <c r="B140" s="17" t="str">
        <f aca="false">IFERROR(INDEX(Ref_CTRL!$B$2:$B$201,MATCH(A140,Ref_CTRL!$A$2:$A$201,0)),"")</f>
        <v/>
      </c>
      <c r="C140" s="17" t="str">
        <f aca="false">IFERROR(INDEX(Ref_CTRL!$E$2:$E$201,MATCH(A140,Ref_CTRL!$A$2:$A$201,0)),"")</f>
        <v/>
      </c>
      <c r="D140" s="17" t="str">
        <f aca="false">IFERROR(INDEX(Ref_CTRL!$F$2:$F$201,MATCH(A140,Ref_CTRL!$A$2:$A$201,0)),"")</f>
        <v/>
      </c>
      <c r="E140" s="16"/>
      <c r="F140" s="16"/>
      <c r="G140" s="16"/>
      <c r="H140" s="16"/>
      <c r="I140" s="16"/>
      <c r="J140" s="17" t="str">
        <f aca="false">IFERROR(INDEX(Ref_CTRL!$D$2:$D$201,MATCH(A140,Ref_CTRL!$A$2:$A$201,0)),"")</f>
        <v/>
      </c>
      <c r="K140" s="16"/>
      <c r="L140" s="16"/>
      <c r="M140" s="18"/>
      <c r="N140" s="16"/>
      <c r="O140" s="17" t="str">
        <f aca="false">IF(A140="","",IF(COUNTIF(Ref_CTRL!$A$2:$A$201,A140)=0,"CTRL-ID not in W05",IF(L140="","Owner status needed",IF(AND(L140="Confirmed",OR(E140="",G140="")),"Confirmed needs control and evidence owner",IF(AND(L140="Confirmed",M140=""),"Date confirmed needed",IF(AND(L140="Outstanding",N140=""),"Follow-up needed",IF(AND(C140="Y",K140=""),"Walkthrough contact needed (key control)","OK")))))))</f>
        <v/>
      </c>
    </row>
    <row r="141" customFormat="false" ht="15" hidden="false" customHeight="false" outlineLevel="0" collapsed="false">
      <c r="A141" s="16"/>
      <c r="B141" s="17" t="str">
        <f aca="false">IFERROR(INDEX(Ref_CTRL!$B$2:$B$201,MATCH(A141,Ref_CTRL!$A$2:$A$201,0)),"")</f>
        <v/>
      </c>
      <c r="C141" s="17" t="str">
        <f aca="false">IFERROR(INDEX(Ref_CTRL!$E$2:$E$201,MATCH(A141,Ref_CTRL!$A$2:$A$201,0)),"")</f>
        <v/>
      </c>
      <c r="D141" s="17" t="str">
        <f aca="false">IFERROR(INDEX(Ref_CTRL!$F$2:$F$201,MATCH(A141,Ref_CTRL!$A$2:$A$201,0)),"")</f>
        <v/>
      </c>
      <c r="E141" s="16"/>
      <c r="F141" s="16"/>
      <c r="G141" s="16"/>
      <c r="H141" s="16"/>
      <c r="I141" s="16"/>
      <c r="J141" s="17" t="str">
        <f aca="false">IFERROR(INDEX(Ref_CTRL!$D$2:$D$201,MATCH(A141,Ref_CTRL!$A$2:$A$201,0)),"")</f>
        <v/>
      </c>
      <c r="K141" s="16"/>
      <c r="L141" s="16"/>
      <c r="M141" s="18"/>
      <c r="N141" s="16"/>
      <c r="O141" s="17" t="str">
        <f aca="false">IF(A141="","",IF(COUNTIF(Ref_CTRL!$A$2:$A$201,A141)=0,"CTRL-ID not in W05",IF(L141="","Owner status needed",IF(AND(L141="Confirmed",OR(E141="",G141="")),"Confirmed needs control and evidence owner",IF(AND(L141="Confirmed",M141=""),"Date confirmed needed",IF(AND(L141="Outstanding",N141=""),"Follow-up needed",IF(AND(C141="Y",K141=""),"Walkthrough contact needed (key control)","OK")))))))</f>
        <v/>
      </c>
    </row>
    <row r="142" customFormat="false" ht="15" hidden="false" customHeight="false" outlineLevel="0" collapsed="false">
      <c r="A142" s="16"/>
      <c r="B142" s="17" t="str">
        <f aca="false">IFERROR(INDEX(Ref_CTRL!$B$2:$B$201,MATCH(A142,Ref_CTRL!$A$2:$A$201,0)),"")</f>
        <v/>
      </c>
      <c r="C142" s="17" t="str">
        <f aca="false">IFERROR(INDEX(Ref_CTRL!$E$2:$E$201,MATCH(A142,Ref_CTRL!$A$2:$A$201,0)),"")</f>
        <v/>
      </c>
      <c r="D142" s="17" t="str">
        <f aca="false">IFERROR(INDEX(Ref_CTRL!$F$2:$F$201,MATCH(A142,Ref_CTRL!$A$2:$A$201,0)),"")</f>
        <v/>
      </c>
      <c r="E142" s="16"/>
      <c r="F142" s="16"/>
      <c r="G142" s="16"/>
      <c r="H142" s="16"/>
      <c r="I142" s="16"/>
      <c r="J142" s="17" t="str">
        <f aca="false">IFERROR(INDEX(Ref_CTRL!$D$2:$D$201,MATCH(A142,Ref_CTRL!$A$2:$A$201,0)),"")</f>
        <v/>
      </c>
      <c r="K142" s="16"/>
      <c r="L142" s="16"/>
      <c r="M142" s="18"/>
      <c r="N142" s="16"/>
      <c r="O142" s="17" t="str">
        <f aca="false">IF(A142="","",IF(COUNTIF(Ref_CTRL!$A$2:$A$201,A142)=0,"CTRL-ID not in W05",IF(L142="","Owner status needed",IF(AND(L142="Confirmed",OR(E142="",G142="")),"Confirmed needs control and evidence owner",IF(AND(L142="Confirmed",M142=""),"Date confirmed needed",IF(AND(L142="Outstanding",N142=""),"Follow-up needed",IF(AND(C142="Y",K142=""),"Walkthrough contact needed (key control)","OK")))))))</f>
        <v/>
      </c>
    </row>
    <row r="143" customFormat="false" ht="15" hidden="false" customHeight="false" outlineLevel="0" collapsed="false">
      <c r="A143" s="16"/>
      <c r="B143" s="17" t="str">
        <f aca="false">IFERROR(INDEX(Ref_CTRL!$B$2:$B$201,MATCH(A143,Ref_CTRL!$A$2:$A$201,0)),"")</f>
        <v/>
      </c>
      <c r="C143" s="17" t="str">
        <f aca="false">IFERROR(INDEX(Ref_CTRL!$E$2:$E$201,MATCH(A143,Ref_CTRL!$A$2:$A$201,0)),"")</f>
        <v/>
      </c>
      <c r="D143" s="17" t="str">
        <f aca="false">IFERROR(INDEX(Ref_CTRL!$F$2:$F$201,MATCH(A143,Ref_CTRL!$A$2:$A$201,0)),"")</f>
        <v/>
      </c>
      <c r="E143" s="16"/>
      <c r="F143" s="16"/>
      <c r="G143" s="16"/>
      <c r="H143" s="16"/>
      <c r="I143" s="16"/>
      <c r="J143" s="17" t="str">
        <f aca="false">IFERROR(INDEX(Ref_CTRL!$D$2:$D$201,MATCH(A143,Ref_CTRL!$A$2:$A$201,0)),"")</f>
        <v/>
      </c>
      <c r="K143" s="16"/>
      <c r="L143" s="16"/>
      <c r="M143" s="18"/>
      <c r="N143" s="16"/>
      <c r="O143" s="17" t="str">
        <f aca="false">IF(A143="","",IF(COUNTIF(Ref_CTRL!$A$2:$A$201,A143)=0,"CTRL-ID not in W05",IF(L143="","Owner status needed",IF(AND(L143="Confirmed",OR(E143="",G143="")),"Confirmed needs control and evidence owner",IF(AND(L143="Confirmed",M143=""),"Date confirmed needed",IF(AND(L143="Outstanding",N143=""),"Follow-up needed",IF(AND(C143="Y",K143=""),"Walkthrough contact needed (key control)","OK")))))))</f>
        <v/>
      </c>
    </row>
    <row r="144" customFormat="false" ht="15" hidden="false" customHeight="false" outlineLevel="0" collapsed="false">
      <c r="A144" s="16"/>
      <c r="B144" s="17" t="str">
        <f aca="false">IFERROR(INDEX(Ref_CTRL!$B$2:$B$201,MATCH(A144,Ref_CTRL!$A$2:$A$201,0)),"")</f>
        <v/>
      </c>
      <c r="C144" s="17" t="str">
        <f aca="false">IFERROR(INDEX(Ref_CTRL!$E$2:$E$201,MATCH(A144,Ref_CTRL!$A$2:$A$201,0)),"")</f>
        <v/>
      </c>
      <c r="D144" s="17" t="str">
        <f aca="false">IFERROR(INDEX(Ref_CTRL!$F$2:$F$201,MATCH(A144,Ref_CTRL!$A$2:$A$201,0)),"")</f>
        <v/>
      </c>
      <c r="E144" s="16"/>
      <c r="F144" s="16"/>
      <c r="G144" s="16"/>
      <c r="H144" s="16"/>
      <c r="I144" s="16"/>
      <c r="J144" s="17" t="str">
        <f aca="false">IFERROR(INDEX(Ref_CTRL!$D$2:$D$201,MATCH(A144,Ref_CTRL!$A$2:$A$201,0)),"")</f>
        <v/>
      </c>
      <c r="K144" s="16"/>
      <c r="L144" s="16"/>
      <c r="M144" s="18"/>
      <c r="N144" s="16"/>
      <c r="O144" s="17" t="str">
        <f aca="false">IF(A144="","",IF(COUNTIF(Ref_CTRL!$A$2:$A$201,A144)=0,"CTRL-ID not in W05",IF(L144="","Owner status needed",IF(AND(L144="Confirmed",OR(E144="",G144="")),"Confirmed needs control and evidence owner",IF(AND(L144="Confirmed",M144=""),"Date confirmed needed",IF(AND(L144="Outstanding",N144=""),"Follow-up needed",IF(AND(C144="Y",K144=""),"Walkthrough contact needed (key control)","OK")))))))</f>
        <v/>
      </c>
    </row>
    <row r="145" customFormat="false" ht="15" hidden="false" customHeight="false" outlineLevel="0" collapsed="false">
      <c r="A145" s="16"/>
      <c r="B145" s="17" t="str">
        <f aca="false">IFERROR(INDEX(Ref_CTRL!$B$2:$B$201,MATCH(A145,Ref_CTRL!$A$2:$A$201,0)),"")</f>
        <v/>
      </c>
      <c r="C145" s="17" t="str">
        <f aca="false">IFERROR(INDEX(Ref_CTRL!$E$2:$E$201,MATCH(A145,Ref_CTRL!$A$2:$A$201,0)),"")</f>
        <v/>
      </c>
      <c r="D145" s="17" t="str">
        <f aca="false">IFERROR(INDEX(Ref_CTRL!$F$2:$F$201,MATCH(A145,Ref_CTRL!$A$2:$A$201,0)),"")</f>
        <v/>
      </c>
      <c r="E145" s="16"/>
      <c r="F145" s="16"/>
      <c r="G145" s="16"/>
      <c r="H145" s="16"/>
      <c r="I145" s="16"/>
      <c r="J145" s="17" t="str">
        <f aca="false">IFERROR(INDEX(Ref_CTRL!$D$2:$D$201,MATCH(A145,Ref_CTRL!$A$2:$A$201,0)),"")</f>
        <v/>
      </c>
      <c r="K145" s="16"/>
      <c r="L145" s="16"/>
      <c r="M145" s="18"/>
      <c r="N145" s="16"/>
      <c r="O145" s="17" t="str">
        <f aca="false">IF(A145="","",IF(COUNTIF(Ref_CTRL!$A$2:$A$201,A145)=0,"CTRL-ID not in W05",IF(L145="","Owner status needed",IF(AND(L145="Confirmed",OR(E145="",G145="")),"Confirmed needs control and evidence owner",IF(AND(L145="Confirmed",M145=""),"Date confirmed needed",IF(AND(L145="Outstanding",N145=""),"Follow-up needed",IF(AND(C145="Y",K145=""),"Walkthrough contact needed (key control)","OK")))))))</f>
        <v/>
      </c>
    </row>
    <row r="146" customFormat="false" ht="15" hidden="false" customHeight="false" outlineLevel="0" collapsed="false">
      <c r="A146" s="16"/>
      <c r="B146" s="17" t="str">
        <f aca="false">IFERROR(INDEX(Ref_CTRL!$B$2:$B$201,MATCH(A146,Ref_CTRL!$A$2:$A$201,0)),"")</f>
        <v/>
      </c>
      <c r="C146" s="17" t="str">
        <f aca="false">IFERROR(INDEX(Ref_CTRL!$E$2:$E$201,MATCH(A146,Ref_CTRL!$A$2:$A$201,0)),"")</f>
        <v/>
      </c>
      <c r="D146" s="17" t="str">
        <f aca="false">IFERROR(INDEX(Ref_CTRL!$F$2:$F$201,MATCH(A146,Ref_CTRL!$A$2:$A$201,0)),"")</f>
        <v/>
      </c>
      <c r="E146" s="16"/>
      <c r="F146" s="16"/>
      <c r="G146" s="16"/>
      <c r="H146" s="16"/>
      <c r="I146" s="16"/>
      <c r="J146" s="17" t="str">
        <f aca="false">IFERROR(INDEX(Ref_CTRL!$D$2:$D$201,MATCH(A146,Ref_CTRL!$A$2:$A$201,0)),"")</f>
        <v/>
      </c>
      <c r="K146" s="16"/>
      <c r="L146" s="16"/>
      <c r="M146" s="18"/>
      <c r="N146" s="16"/>
      <c r="O146" s="17" t="str">
        <f aca="false">IF(A146="","",IF(COUNTIF(Ref_CTRL!$A$2:$A$201,A146)=0,"CTRL-ID not in W05",IF(L146="","Owner status needed",IF(AND(L146="Confirmed",OR(E146="",G146="")),"Confirmed needs control and evidence owner",IF(AND(L146="Confirmed",M146=""),"Date confirmed needed",IF(AND(L146="Outstanding",N146=""),"Follow-up needed",IF(AND(C146="Y",K146=""),"Walkthrough contact needed (key control)","OK")))))))</f>
        <v/>
      </c>
    </row>
    <row r="147" customFormat="false" ht="15" hidden="false" customHeight="false" outlineLevel="0" collapsed="false">
      <c r="A147" s="16"/>
      <c r="B147" s="17" t="str">
        <f aca="false">IFERROR(INDEX(Ref_CTRL!$B$2:$B$201,MATCH(A147,Ref_CTRL!$A$2:$A$201,0)),"")</f>
        <v/>
      </c>
      <c r="C147" s="17" t="str">
        <f aca="false">IFERROR(INDEX(Ref_CTRL!$E$2:$E$201,MATCH(A147,Ref_CTRL!$A$2:$A$201,0)),"")</f>
        <v/>
      </c>
      <c r="D147" s="17" t="str">
        <f aca="false">IFERROR(INDEX(Ref_CTRL!$F$2:$F$201,MATCH(A147,Ref_CTRL!$A$2:$A$201,0)),"")</f>
        <v/>
      </c>
      <c r="E147" s="16"/>
      <c r="F147" s="16"/>
      <c r="G147" s="16"/>
      <c r="H147" s="16"/>
      <c r="I147" s="16"/>
      <c r="J147" s="17" t="str">
        <f aca="false">IFERROR(INDEX(Ref_CTRL!$D$2:$D$201,MATCH(A147,Ref_CTRL!$A$2:$A$201,0)),"")</f>
        <v/>
      </c>
      <c r="K147" s="16"/>
      <c r="L147" s="16"/>
      <c r="M147" s="18"/>
      <c r="N147" s="16"/>
      <c r="O147" s="17" t="str">
        <f aca="false">IF(A147="","",IF(COUNTIF(Ref_CTRL!$A$2:$A$201,A147)=0,"CTRL-ID not in W05",IF(L147="","Owner status needed",IF(AND(L147="Confirmed",OR(E147="",G147="")),"Confirmed needs control and evidence owner",IF(AND(L147="Confirmed",M147=""),"Date confirmed needed",IF(AND(L147="Outstanding",N147=""),"Follow-up needed",IF(AND(C147="Y",K147=""),"Walkthrough contact needed (key control)","OK")))))))</f>
        <v/>
      </c>
    </row>
    <row r="148" customFormat="false" ht="15" hidden="false" customHeight="false" outlineLevel="0" collapsed="false">
      <c r="A148" s="16"/>
      <c r="B148" s="17" t="str">
        <f aca="false">IFERROR(INDEX(Ref_CTRL!$B$2:$B$201,MATCH(A148,Ref_CTRL!$A$2:$A$201,0)),"")</f>
        <v/>
      </c>
      <c r="C148" s="17" t="str">
        <f aca="false">IFERROR(INDEX(Ref_CTRL!$E$2:$E$201,MATCH(A148,Ref_CTRL!$A$2:$A$201,0)),"")</f>
        <v/>
      </c>
      <c r="D148" s="17" t="str">
        <f aca="false">IFERROR(INDEX(Ref_CTRL!$F$2:$F$201,MATCH(A148,Ref_CTRL!$A$2:$A$201,0)),"")</f>
        <v/>
      </c>
      <c r="E148" s="16"/>
      <c r="F148" s="16"/>
      <c r="G148" s="16"/>
      <c r="H148" s="16"/>
      <c r="I148" s="16"/>
      <c r="J148" s="17" t="str">
        <f aca="false">IFERROR(INDEX(Ref_CTRL!$D$2:$D$201,MATCH(A148,Ref_CTRL!$A$2:$A$201,0)),"")</f>
        <v/>
      </c>
      <c r="K148" s="16"/>
      <c r="L148" s="16"/>
      <c r="M148" s="18"/>
      <c r="N148" s="16"/>
      <c r="O148" s="17" t="str">
        <f aca="false">IF(A148="","",IF(COUNTIF(Ref_CTRL!$A$2:$A$201,A148)=0,"CTRL-ID not in W05",IF(L148="","Owner status needed",IF(AND(L148="Confirmed",OR(E148="",G148="")),"Confirmed needs control and evidence owner",IF(AND(L148="Confirmed",M148=""),"Date confirmed needed",IF(AND(L148="Outstanding",N148=""),"Follow-up needed",IF(AND(C148="Y",K148=""),"Walkthrough contact needed (key control)","OK")))))))</f>
        <v/>
      </c>
    </row>
    <row r="149" customFormat="false" ht="15" hidden="false" customHeight="false" outlineLevel="0" collapsed="false">
      <c r="A149" s="16"/>
      <c r="B149" s="17" t="str">
        <f aca="false">IFERROR(INDEX(Ref_CTRL!$B$2:$B$201,MATCH(A149,Ref_CTRL!$A$2:$A$201,0)),"")</f>
        <v/>
      </c>
      <c r="C149" s="17" t="str">
        <f aca="false">IFERROR(INDEX(Ref_CTRL!$E$2:$E$201,MATCH(A149,Ref_CTRL!$A$2:$A$201,0)),"")</f>
        <v/>
      </c>
      <c r="D149" s="17" t="str">
        <f aca="false">IFERROR(INDEX(Ref_CTRL!$F$2:$F$201,MATCH(A149,Ref_CTRL!$A$2:$A$201,0)),"")</f>
        <v/>
      </c>
      <c r="E149" s="16"/>
      <c r="F149" s="16"/>
      <c r="G149" s="16"/>
      <c r="H149" s="16"/>
      <c r="I149" s="16"/>
      <c r="J149" s="17" t="str">
        <f aca="false">IFERROR(INDEX(Ref_CTRL!$D$2:$D$201,MATCH(A149,Ref_CTRL!$A$2:$A$201,0)),"")</f>
        <v/>
      </c>
      <c r="K149" s="16"/>
      <c r="L149" s="16"/>
      <c r="M149" s="18"/>
      <c r="N149" s="16"/>
      <c r="O149" s="17" t="str">
        <f aca="false">IF(A149="","",IF(COUNTIF(Ref_CTRL!$A$2:$A$201,A149)=0,"CTRL-ID not in W05",IF(L149="","Owner status needed",IF(AND(L149="Confirmed",OR(E149="",G149="")),"Confirmed needs control and evidence owner",IF(AND(L149="Confirmed",M149=""),"Date confirmed needed",IF(AND(L149="Outstanding",N149=""),"Follow-up needed",IF(AND(C149="Y",K149=""),"Walkthrough contact needed (key control)","OK")))))))</f>
        <v/>
      </c>
    </row>
    <row r="150" customFormat="false" ht="15" hidden="false" customHeight="false" outlineLevel="0" collapsed="false">
      <c r="A150" s="16"/>
      <c r="B150" s="17" t="str">
        <f aca="false">IFERROR(INDEX(Ref_CTRL!$B$2:$B$201,MATCH(A150,Ref_CTRL!$A$2:$A$201,0)),"")</f>
        <v/>
      </c>
      <c r="C150" s="17" t="str">
        <f aca="false">IFERROR(INDEX(Ref_CTRL!$E$2:$E$201,MATCH(A150,Ref_CTRL!$A$2:$A$201,0)),"")</f>
        <v/>
      </c>
      <c r="D150" s="17" t="str">
        <f aca="false">IFERROR(INDEX(Ref_CTRL!$F$2:$F$201,MATCH(A150,Ref_CTRL!$A$2:$A$201,0)),"")</f>
        <v/>
      </c>
      <c r="E150" s="16"/>
      <c r="F150" s="16"/>
      <c r="G150" s="16"/>
      <c r="H150" s="16"/>
      <c r="I150" s="16"/>
      <c r="J150" s="17" t="str">
        <f aca="false">IFERROR(INDEX(Ref_CTRL!$D$2:$D$201,MATCH(A150,Ref_CTRL!$A$2:$A$201,0)),"")</f>
        <v/>
      </c>
      <c r="K150" s="16"/>
      <c r="L150" s="16"/>
      <c r="M150" s="18"/>
      <c r="N150" s="16"/>
      <c r="O150" s="17" t="str">
        <f aca="false">IF(A150="","",IF(COUNTIF(Ref_CTRL!$A$2:$A$201,A150)=0,"CTRL-ID not in W05",IF(L150="","Owner status needed",IF(AND(L150="Confirmed",OR(E150="",G150="")),"Confirmed needs control and evidence owner",IF(AND(L150="Confirmed",M150=""),"Date confirmed needed",IF(AND(L150="Outstanding",N150=""),"Follow-up needed",IF(AND(C150="Y",K150=""),"Walkthrough contact needed (key control)","OK")))))))</f>
        <v/>
      </c>
    </row>
    <row r="151" customFormat="false" ht="15" hidden="false" customHeight="false" outlineLevel="0" collapsed="false">
      <c r="A151" s="16"/>
      <c r="B151" s="17" t="str">
        <f aca="false">IFERROR(INDEX(Ref_CTRL!$B$2:$B$201,MATCH(A151,Ref_CTRL!$A$2:$A$201,0)),"")</f>
        <v/>
      </c>
      <c r="C151" s="17" t="str">
        <f aca="false">IFERROR(INDEX(Ref_CTRL!$E$2:$E$201,MATCH(A151,Ref_CTRL!$A$2:$A$201,0)),"")</f>
        <v/>
      </c>
      <c r="D151" s="17" t="str">
        <f aca="false">IFERROR(INDEX(Ref_CTRL!$F$2:$F$201,MATCH(A151,Ref_CTRL!$A$2:$A$201,0)),"")</f>
        <v/>
      </c>
      <c r="E151" s="16"/>
      <c r="F151" s="16"/>
      <c r="G151" s="16"/>
      <c r="H151" s="16"/>
      <c r="I151" s="16"/>
      <c r="J151" s="17" t="str">
        <f aca="false">IFERROR(INDEX(Ref_CTRL!$D$2:$D$201,MATCH(A151,Ref_CTRL!$A$2:$A$201,0)),"")</f>
        <v/>
      </c>
      <c r="K151" s="16"/>
      <c r="L151" s="16"/>
      <c r="M151" s="18"/>
      <c r="N151" s="16"/>
      <c r="O151" s="17" t="str">
        <f aca="false">IF(A151="","",IF(COUNTIF(Ref_CTRL!$A$2:$A$201,A151)=0,"CTRL-ID not in W05",IF(L151="","Owner status needed",IF(AND(L151="Confirmed",OR(E151="",G151="")),"Confirmed needs control and evidence owner",IF(AND(L151="Confirmed",M151=""),"Date confirmed needed",IF(AND(L151="Outstanding",N151=""),"Follow-up needed",IF(AND(C151="Y",K151=""),"Walkthrough contact needed (key control)","OK")))))))</f>
        <v/>
      </c>
    </row>
    <row r="152" customFormat="false" ht="15" hidden="false" customHeight="false" outlineLevel="0" collapsed="false">
      <c r="A152" s="16"/>
      <c r="B152" s="17" t="str">
        <f aca="false">IFERROR(INDEX(Ref_CTRL!$B$2:$B$201,MATCH(A152,Ref_CTRL!$A$2:$A$201,0)),"")</f>
        <v/>
      </c>
      <c r="C152" s="17" t="str">
        <f aca="false">IFERROR(INDEX(Ref_CTRL!$E$2:$E$201,MATCH(A152,Ref_CTRL!$A$2:$A$201,0)),"")</f>
        <v/>
      </c>
      <c r="D152" s="17" t="str">
        <f aca="false">IFERROR(INDEX(Ref_CTRL!$F$2:$F$201,MATCH(A152,Ref_CTRL!$A$2:$A$201,0)),"")</f>
        <v/>
      </c>
      <c r="E152" s="16"/>
      <c r="F152" s="16"/>
      <c r="G152" s="16"/>
      <c r="H152" s="16"/>
      <c r="I152" s="16"/>
      <c r="J152" s="17" t="str">
        <f aca="false">IFERROR(INDEX(Ref_CTRL!$D$2:$D$201,MATCH(A152,Ref_CTRL!$A$2:$A$201,0)),"")</f>
        <v/>
      </c>
      <c r="K152" s="16"/>
      <c r="L152" s="16"/>
      <c r="M152" s="18"/>
      <c r="N152" s="16"/>
      <c r="O152" s="17" t="str">
        <f aca="false">IF(A152="","",IF(COUNTIF(Ref_CTRL!$A$2:$A$201,A152)=0,"CTRL-ID not in W05",IF(L152="","Owner status needed",IF(AND(L152="Confirmed",OR(E152="",G152="")),"Confirmed needs control and evidence owner",IF(AND(L152="Confirmed",M152=""),"Date confirmed needed",IF(AND(L152="Outstanding",N152=""),"Follow-up needed",IF(AND(C152="Y",K152=""),"Walkthrough contact needed (key control)","OK")))))))</f>
        <v/>
      </c>
    </row>
    <row r="153" customFormat="false" ht="15" hidden="false" customHeight="false" outlineLevel="0" collapsed="false">
      <c r="A153" s="16"/>
      <c r="B153" s="17" t="str">
        <f aca="false">IFERROR(INDEX(Ref_CTRL!$B$2:$B$201,MATCH(A153,Ref_CTRL!$A$2:$A$201,0)),"")</f>
        <v/>
      </c>
      <c r="C153" s="17" t="str">
        <f aca="false">IFERROR(INDEX(Ref_CTRL!$E$2:$E$201,MATCH(A153,Ref_CTRL!$A$2:$A$201,0)),"")</f>
        <v/>
      </c>
      <c r="D153" s="17" t="str">
        <f aca="false">IFERROR(INDEX(Ref_CTRL!$F$2:$F$201,MATCH(A153,Ref_CTRL!$A$2:$A$201,0)),"")</f>
        <v/>
      </c>
      <c r="E153" s="16"/>
      <c r="F153" s="16"/>
      <c r="G153" s="16"/>
      <c r="H153" s="16"/>
      <c r="I153" s="16"/>
      <c r="J153" s="17" t="str">
        <f aca="false">IFERROR(INDEX(Ref_CTRL!$D$2:$D$201,MATCH(A153,Ref_CTRL!$A$2:$A$201,0)),"")</f>
        <v/>
      </c>
      <c r="K153" s="16"/>
      <c r="L153" s="16"/>
      <c r="M153" s="18"/>
      <c r="N153" s="16"/>
      <c r="O153" s="17" t="str">
        <f aca="false">IF(A153="","",IF(COUNTIF(Ref_CTRL!$A$2:$A$201,A153)=0,"CTRL-ID not in W05",IF(L153="","Owner status needed",IF(AND(L153="Confirmed",OR(E153="",G153="")),"Confirmed needs control and evidence owner",IF(AND(L153="Confirmed",M153=""),"Date confirmed needed",IF(AND(L153="Outstanding",N153=""),"Follow-up needed",IF(AND(C153="Y",K153=""),"Walkthrough contact needed (key control)","OK")))))))</f>
        <v/>
      </c>
    </row>
    <row r="154" customFormat="false" ht="15" hidden="false" customHeight="false" outlineLevel="0" collapsed="false">
      <c r="A154" s="16"/>
      <c r="B154" s="17" t="str">
        <f aca="false">IFERROR(INDEX(Ref_CTRL!$B$2:$B$201,MATCH(A154,Ref_CTRL!$A$2:$A$201,0)),"")</f>
        <v/>
      </c>
      <c r="C154" s="17" t="str">
        <f aca="false">IFERROR(INDEX(Ref_CTRL!$E$2:$E$201,MATCH(A154,Ref_CTRL!$A$2:$A$201,0)),"")</f>
        <v/>
      </c>
      <c r="D154" s="17" t="str">
        <f aca="false">IFERROR(INDEX(Ref_CTRL!$F$2:$F$201,MATCH(A154,Ref_CTRL!$A$2:$A$201,0)),"")</f>
        <v/>
      </c>
      <c r="E154" s="16"/>
      <c r="F154" s="16"/>
      <c r="G154" s="16"/>
      <c r="H154" s="16"/>
      <c r="I154" s="16"/>
      <c r="J154" s="17" t="str">
        <f aca="false">IFERROR(INDEX(Ref_CTRL!$D$2:$D$201,MATCH(A154,Ref_CTRL!$A$2:$A$201,0)),"")</f>
        <v/>
      </c>
      <c r="K154" s="16"/>
      <c r="L154" s="16"/>
      <c r="M154" s="18"/>
      <c r="N154" s="16"/>
      <c r="O154" s="17" t="str">
        <f aca="false">IF(A154="","",IF(COUNTIF(Ref_CTRL!$A$2:$A$201,A154)=0,"CTRL-ID not in W05",IF(L154="","Owner status needed",IF(AND(L154="Confirmed",OR(E154="",G154="")),"Confirmed needs control and evidence owner",IF(AND(L154="Confirmed",M154=""),"Date confirmed needed",IF(AND(L154="Outstanding",N154=""),"Follow-up needed",IF(AND(C154="Y",K154=""),"Walkthrough contact needed (key control)","OK")))))))</f>
        <v/>
      </c>
    </row>
    <row r="155" customFormat="false" ht="15" hidden="false" customHeight="false" outlineLevel="0" collapsed="false">
      <c r="A155" s="16"/>
      <c r="B155" s="17" t="str">
        <f aca="false">IFERROR(INDEX(Ref_CTRL!$B$2:$B$201,MATCH(A155,Ref_CTRL!$A$2:$A$201,0)),"")</f>
        <v/>
      </c>
      <c r="C155" s="17" t="str">
        <f aca="false">IFERROR(INDEX(Ref_CTRL!$E$2:$E$201,MATCH(A155,Ref_CTRL!$A$2:$A$201,0)),"")</f>
        <v/>
      </c>
      <c r="D155" s="17" t="str">
        <f aca="false">IFERROR(INDEX(Ref_CTRL!$F$2:$F$201,MATCH(A155,Ref_CTRL!$A$2:$A$201,0)),"")</f>
        <v/>
      </c>
      <c r="E155" s="16"/>
      <c r="F155" s="16"/>
      <c r="G155" s="16"/>
      <c r="H155" s="16"/>
      <c r="I155" s="16"/>
      <c r="J155" s="17" t="str">
        <f aca="false">IFERROR(INDEX(Ref_CTRL!$D$2:$D$201,MATCH(A155,Ref_CTRL!$A$2:$A$201,0)),"")</f>
        <v/>
      </c>
      <c r="K155" s="16"/>
      <c r="L155" s="16"/>
      <c r="M155" s="18"/>
      <c r="N155" s="16"/>
      <c r="O155" s="17" t="str">
        <f aca="false">IF(A155="","",IF(COUNTIF(Ref_CTRL!$A$2:$A$201,A155)=0,"CTRL-ID not in W05",IF(L155="","Owner status needed",IF(AND(L155="Confirmed",OR(E155="",G155="")),"Confirmed needs control and evidence owner",IF(AND(L155="Confirmed",M155=""),"Date confirmed needed",IF(AND(L155="Outstanding",N155=""),"Follow-up needed",IF(AND(C155="Y",K155=""),"Walkthrough contact needed (key control)","OK")))))))</f>
        <v/>
      </c>
    </row>
    <row r="156" customFormat="false" ht="15" hidden="false" customHeight="false" outlineLevel="0" collapsed="false">
      <c r="A156" s="16"/>
      <c r="B156" s="17" t="str">
        <f aca="false">IFERROR(INDEX(Ref_CTRL!$B$2:$B$201,MATCH(A156,Ref_CTRL!$A$2:$A$201,0)),"")</f>
        <v/>
      </c>
      <c r="C156" s="17" t="str">
        <f aca="false">IFERROR(INDEX(Ref_CTRL!$E$2:$E$201,MATCH(A156,Ref_CTRL!$A$2:$A$201,0)),"")</f>
        <v/>
      </c>
      <c r="D156" s="17" t="str">
        <f aca="false">IFERROR(INDEX(Ref_CTRL!$F$2:$F$201,MATCH(A156,Ref_CTRL!$A$2:$A$201,0)),"")</f>
        <v/>
      </c>
      <c r="E156" s="16"/>
      <c r="F156" s="16"/>
      <c r="G156" s="16"/>
      <c r="H156" s="16"/>
      <c r="I156" s="16"/>
      <c r="J156" s="17" t="str">
        <f aca="false">IFERROR(INDEX(Ref_CTRL!$D$2:$D$201,MATCH(A156,Ref_CTRL!$A$2:$A$201,0)),"")</f>
        <v/>
      </c>
      <c r="K156" s="16"/>
      <c r="L156" s="16"/>
      <c r="M156" s="18"/>
      <c r="N156" s="16"/>
      <c r="O156" s="17" t="str">
        <f aca="false">IF(A156="","",IF(COUNTIF(Ref_CTRL!$A$2:$A$201,A156)=0,"CTRL-ID not in W05",IF(L156="","Owner status needed",IF(AND(L156="Confirmed",OR(E156="",G156="")),"Confirmed needs control and evidence owner",IF(AND(L156="Confirmed",M156=""),"Date confirmed needed",IF(AND(L156="Outstanding",N156=""),"Follow-up needed",IF(AND(C156="Y",K156=""),"Walkthrough contact needed (key control)","OK")))))))</f>
        <v/>
      </c>
    </row>
    <row r="157" customFormat="false" ht="15" hidden="false" customHeight="false" outlineLevel="0" collapsed="false">
      <c r="A157" s="16"/>
      <c r="B157" s="17" t="str">
        <f aca="false">IFERROR(INDEX(Ref_CTRL!$B$2:$B$201,MATCH(A157,Ref_CTRL!$A$2:$A$201,0)),"")</f>
        <v/>
      </c>
      <c r="C157" s="17" t="str">
        <f aca="false">IFERROR(INDEX(Ref_CTRL!$E$2:$E$201,MATCH(A157,Ref_CTRL!$A$2:$A$201,0)),"")</f>
        <v/>
      </c>
      <c r="D157" s="17" t="str">
        <f aca="false">IFERROR(INDEX(Ref_CTRL!$F$2:$F$201,MATCH(A157,Ref_CTRL!$A$2:$A$201,0)),"")</f>
        <v/>
      </c>
      <c r="E157" s="16"/>
      <c r="F157" s="16"/>
      <c r="G157" s="16"/>
      <c r="H157" s="16"/>
      <c r="I157" s="16"/>
      <c r="J157" s="17" t="str">
        <f aca="false">IFERROR(INDEX(Ref_CTRL!$D$2:$D$201,MATCH(A157,Ref_CTRL!$A$2:$A$201,0)),"")</f>
        <v/>
      </c>
      <c r="K157" s="16"/>
      <c r="L157" s="16"/>
      <c r="M157" s="18"/>
      <c r="N157" s="16"/>
      <c r="O157" s="17" t="str">
        <f aca="false">IF(A157="","",IF(COUNTIF(Ref_CTRL!$A$2:$A$201,A157)=0,"CTRL-ID not in W05",IF(L157="","Owner status needed",IF(AND(L157="Confirmed",OR(E157="",G157="")),"Confirmed needs control and evidence owner",IF(AND(L157="Confirmed",M157=""),"Date confirmed needed",IF(AND(L157="Outstanding",N157=""),"Follow-up needed",IF(AND(C157="Y",K157=""),"Walkthrough contact needed (key control)","OK")))))))</f>
        <v/>
      </c>
    </row>
    <row r="158" customFormat="false" ht="15" hidden="false" customHeight="false" outlineLevel="0" collapsed="false">
      <c r="A158" s="16"/>
      <c r="B158" s="17" t="str">
        <f aca="false">IFERROR(INDEX(Ref_CTRL!$B$2:$B$201,MATCH(A158,Ref_CTRL!$A$2:$A$201,0)),"")</f>
        <v/>
      </c>
      <c r="C158" s="17" t="str">
        <f aca="false">IFERROR(INDEX(Ref_CTRL!$E$2:$E$201,MATCH(A158,Ref_CTRL!$A$2:$A$201,0)),"")</f>
        <v/>
      </c>
      <c r="D158" s="17" t="str">
        <f aca="false">IFERROR(INDEX(Ref_CTRL!$F$2:$F$201,MATCH(A158,Ref_CTRL!$A$2:$A$201,0)),"")</f>
        <v/>
      </c>
      <c r="E158" s="16"/>
      <c r="F158" s="16"/>
      <c r="G158" s="16"/>
      <c r="H158" s="16"/>
      <c r="I158" s="16"/>
      <c r="J158" s="17" t="str">
        <f aca="false">IFERROR(INDEX(Ref_CTRL!$D$2:$D$201,MATCH(A158,Ref_CTRL!$A$2:$A$201,0)),"")</f>
        <v/>
      </c>
      <c r="K158" s="16"/>
      <c r="L158" s="16"/>
      <c r="M158" s="18"/>
      <c r="N158" s="16"/>
      <c r="O158" s="17" t="str">
        <f aca="false">IF(A158="","",IF(COUNTIF(Ref_CTRL!$A$2:$A$201,A158)=0,"CTRL-ID not in W05",IF(L158="","Owner status needed",IF(AND(L158="Confirmed",OR(E158="",G158="")),"Confirmed needs control and evidence owner",IF(AND(L158="Confirmed",M158=""),"Date confirmed needed",IF(AND(L158="Outstanding",N158=""),"Follow-up needed",IF(AND(C158="Y",K158=""),"Walkthrough contact needed (key control)","OK")))))))</f>
        <v/>
      </c>
    </row>
    <row r="159" customFormat="false" ht="15" hidden="false" customHeight="false" outlineLevel="0" collapsed="false">
      <c r="A159" s="16"/>
      <c r="B159" s="17" t="str">
        <f aca="false">IFERROR(INDEX(Ref_CTRL!$B$2:$B$201,MATCH(A159,Ref_CTRL!$A$2:$A$201,0)),"")</f>
        <v/>
      </c>
      <c r="C159" s="17" t="str">
        <f aca="false">IFERROR(INDEX(Ref_CTRL!$E$2:$E$201,MATCH(A159,Ref_CTRL!$A$2:$A$201,0)),"")</f>
        <v/>
      </c>
      <c r="D159" s="17" t="str">
        <f aca="false">IFERROR(INDEX(Ref_CTRL!$F$2:$F$201,MATCH(A159,Ref_CTRL!$A$2:$A$201,0)),"")</f>
        <v/>
      </c>
      <c r="E159" s="16"/>
      <c r="F159" s="16"/>
      <c r="G159" s="16"/>
      <c r="H159" s="16"/>
      <c r="I159" s="16"/>
      <c r="J159" s="17" t="str">
        <f aca="false">IFERROR(INDEX(Ref_CTRL!$D$2:$D$201,MATCH(A159,Ref_CTRL!$A$2:$A$201,0)),"")</f>
        <v/>
      </c>
      <c r="K159" s="16"/>
      <c r="L159" s="16"/>
      <c r="M159" s="18"/>
      <c r="N159" s="16"/>
      <c r="O159" s="17" t="str">
        <f aca="false">IF(A159="","",IF(COUNTIF(Ref_CTRL!$A$2:$A$201,A159)=0,"CTRL-ID not in W05",IF(L159="","Owner status needed",IF(AND(L159="Confirmed",OR(E159="",G159="")),"Confirmed needs control and evidence owner",IF(AND(L159="Confirmed",M159=""),"Date confirmed needed",IF(AND(L159="Outstanding",N159=""),"Follow-up needed",IF(AND(C159="Y",K159=""),"Walkthrough contact needed (key control)","OK")))))))</f>
        <v/>
      </c>
    </row>
    <row r="160" customFormat="false" ht="15" hidden="false" customHeight="false" outlineLevel="0" collapsed="false">
      <c r="A160" s="16"/>
      <c r="B160" s="17" t="str">
        <f aca="false">IFERROR(INDEX(Ref_CTRL!$B$2:$B$201,MATCH(A160,Ref_CTRL!$A$2:$A$201,0)),"")</f>
        <v/>
      </c>
      <c r="C160" s="17" t="str">
        <f aca="false">IFERROR(INDEX(Ref_CTRL!$E$2:$E$201,MATCH(A160,Ref_CTRL!$A$2:$A$201,0)),"")</f>
        <v/>
      </c>
      <c r="D160" s="17" t="str">
        <f aca="false">IFERROR(INDEX(Ref_CTRL!$F$2:$F$201,MATCH(A160,Ref_CTRL!$A$2:$A$201,0)),"")</f>
        <v/>
      </c>
      <c r="E160" s="16"/>
      <c r="F160" s="16"/>
      <c r="G160" s="16"/>
      <c r="H160" s="16"/>
      <c r="I160" s="16"/>
      <c r="J160" s="17" t="str">
        <f aca="false">IFERROR(INDEX(Ref_CTRL!$D$2:$D$201,MATCH(A160,Ref_CTRL!$A$2:$A$201,0)),"")</f>
        <v/>
      </c>
      <c r="K160" s="16"/>
      <c r="L160" s="16"/>
      <c r="M160" s="18"/>
      <c r="N160" s="16"/>
      <c r="O160" s="17" t="str">
        <f aca="false">IF(A160="","",IF(COUNTIF(Ref_CTRL!$A$2:$A$201,A160)=0,"CTRL-ID not in W05",IF(L160="","Owner status needed",IF(AND(L160="Confirmed",OR(E160="",G160="")),"Confirmed needs control and evidence owner",IF(AND(L160="Confirmed",M160=""),"Date confirmed needed",IF(AND(L160="Outstanding",N160=""),"Follow-up needed",IF(AND(C160="Y",K160=""),"Walkthrough contact needed (key control)","OK")))))))</f>
        <v/>
      </c>
    </row>
    <row r="161" customFormat="false" ht="15" hidden="false" customHeight="false" outlineLevel="0" collapsed="false">
      <c r="A161" s="16"/>
      <c r="B161" s="17" t="str">
        <f aca="false">IFERROR(INDEX(Ref_CTRL!$B$2:$B$201,MATCH(A161,Ref_CTRL!$A$2:$A$201,0)),"")</f>
        <v/>
      </c>
      <c r="C161" s="17" t="str">
        <f aca="false">IFERROR(INDEX(Ref_CTRL!$E$2:$E$201,MATCH(A161,Ref_CTRL!$A$2:$A$201,0)),"")</f>
        <v/>
      </c>
      <c r="D161" s="17" t="str">
        <f aca="false">IFERROR(INDEX(Ref_CTRL!$F$2:$F$201,MATCH(A161,Ref_CTRL!$A$2:$A$201,0)),"")</f>
        <v/>
      </c>
      <c r="E161" s="16"/>
      <c r="F161" s="16"/>
      <c r="G161" s="16"/>
      <c r="H161" s="16"/>
      <c r="I161" s="16"/>
      <c r="J161" s="17" t="str">
        <f aca="false">IFERROR(INDEX(Ref_CTRL!$D$2:$D$201,MATCH(A161,Ref_CTRL!$A$2:$A$201,0)),"")</f>
        <v/>
      </c>
      <c r="K161" s="16"/>
      <c r="L161" s="16"/>
      <c r="M161" s="18"/>
      <c r="N161" s="16"/>
      <c r="O161" s="17" t="str">
        <f aca="false">IF(A161="","",IF(COUNTIF(Ref_CTRL!$A$2:$A$201,A161)=0,"CTRL-ID not in W05",IF(L161="","Owner status needed",IF(AND(L161="Confirmed",OR(E161="",G161="")),"Confirmed needs control and evidence owner",IF(AND(L161="Confirmed",M161=""),"Date confirmed needed",IF(AND(L161="Outstanding",N161=""),"Follow-up needed",IF(AND(C161="Y",K161=""),"Walkthrough contact needed (key control)","OK")))))))</f>
        <v/>
      </c>
    </row>
    <row r="162" customFormat="false" ht="15" hidden="false" customHeight="false" outlineLevel="0" collapsed="false">
      <c r="A162" s="16"/>
      <c r="B162" s="17" t="str">
        <f aca="false">IFERROR(INDEX(Ref_CTRL!$B$2:$B$201,MATCH(A162,Ref_CTRL!$A$2:$A$201,0)),"")</f>
        <v/>
      </c>
      <c r="C162" s="17" t="str">
        <f aca="false">IFERROR(INDEX(Ref_CTRL!$E$2:$E$201,MATCH(A162,Ref_CTRL!$A$2:$A$201,0)),"")</f>
        <v/>
      </c>
      <c r="D162" s="17" t="str">
        <f aca="false">IFERROR(INDEX(Ref_CTRL!$F$2:$F$201,MATCH(A162,Ref_CTRL!$A$2:$A$201,0)),"")</f>
        <v/>
      </c>
      <c r="E162" s="16"/>
      <c r="F162" s="16"/>
      <c r="G162" s="16"/>
      <c r="H162" s="16"/>
      <c r="I162" s="16"/>
      <c r="J162" s="17" t="str">
        <f aca="false">IFERROR(INDEX(Ref_CTRL!$D$2:$D$201,MATCH(A162,Ref_CTRL!$A$2:$A$201,0)),"")</f>
        <v/>
      </c>
      <c r="K162" s="16"/>
      <c r="L162" s="16"/>
      <c r="M162" s="18"/>
      <c r="N162" s="16"/>
      <c r="O162" s="17" t="str">
        <f aca="false">IF(A162="","",IF(COUNTIF(Ref_CTRL!$A$2:$A$201,A162)=0,"CTRL-ID not in W05",IF(L162="","Owner status needed",IF(AND(L162="Confirmed",OR(E162="",G162="")),"Confirmed needs control and evidence owner",IF(AND(L162="Confirmed",M162=""),"Date confirmed needed",IF(AND(L162="Outstanding",N162=""),"Follow-up needed",IF(AND(C162="Y",K162=""),"Walkthrough contact needed (key control)","OK")))))))</f>
        <v/>
      </c>
    </row>
    <row r="163" customFormat="false" ht="15" hidden="false" customHeight="false" outlineLevel="0" collapsed="false">
      <c r="A163" s="16"/>
      <c r="B163" s="17" t="str">
        <f aca="false">IFERROR(INDEX(Ref_CTRL!$B$2:$B$201,MATCH(A163,Ref_CTRL!$A$2:$A$201,0)),"")</f>
        <v/>
      </c>
      <c r="C163" s="17" t="str">
        <f aca="false">IFERROR(INDEX(Ref_CTRL!$E$2:$E$201,MATCH(A163,Ref_CTRL!$A$2:$A$201,0)),"")</f>
        <v/>
      </c>
      <c r="D163" s="17" t="str">
        <f aca="false">IFERROR(INDEX(Ref_CTRL!$F$2:$F$201,MATCH(A163,Ref_CTRL!$A$2:$A$201,0)),"")</f>
        <v/>
      </c>
      <c r="E163" s="16"/>
      <c r="F163" s="16"/>
      <c r="G163" s="16"/>
      <c r="H163" s="16"/>
      <c r="I163" s="16"/>
      <c r="J163" s="17" t="str">
        <f aca="false">IFERROR(INDEX(Ref_CTRL!$D$2:$D$201,MATCH(A163,Ref_CTRL!$A$2:$A$201,0)),"")</f>
        <v/>
      </c>
      <c r="K163" s="16"/>
      <c r="L163" s="16"/>
      <c r="M163" s="18"/>
      <c r="N163" s="16"/>
      <c r="O163" s="17" t="str">
        <f aca="false">IF(A163="","",IF(COUNTIF(Ref_CTRL!$A$2:$A$201,A163)=0,"CTRL-ID not in W05",IF(L163="","Owner status needed",IF(AND(L163="Confirmed",OR(E163="",G163="")),"Confirmed needs control and evidence owner",IF(AND(L163="Confirmed",M163=""),"Date confirmed needed",IF(AND(L163="Outstanding",N163=""),"Follow-up needed",IF(AND(C163="Y",K163=""),"Walkthrough contact needed (key control)","OK")))))))</f>
        <v/>
      </c>
    </row>
    <row r="164" customFormat="false" ht="15" hidden="false" customHeight="false" outlineLevel="0" collapsed="false">
      <c r="A164" s="16"/>
      <c r="B164" s="17" t="str">
        <f aca="false">IFERROR(INDEX(Ref_CTRL!$B$2:$B$201,MATCH(A164,Ref_CTRL!$A$2:$A$201,0)),"")</f>
        <v/>
      </c>
      <c r="C164" s="17" t="str">
        <f aca="false">IFERROR(INDEX(Ref_CTRL!$E$2:$E$201,MATCH(A164,Ref_CTRL!$A$2:$A$201,0)),"")</f>
        <v/>
      </c>
      <c r="D164" s="17" t="str">
        <f aca="false">IFERROR(INDEX(Ref_CTRL!$F$2:$F$201,MATCH(A164,Ref_CTRL!$A$2:$A$201,0)),"")</f>
        <v/>
      </c>
      <c r="E164" s="16"/>
      <c r="F164" s="16"/>
      <c r="G164" s="16"/>
      <c r="H164" s="16"/>
      <c r="I164" s="16"/>
      <c r="J164" s="17" t="str">
        <f aca="false">IFERROR(INDEX(Ref_CTRL!$D$2:$D$201,MATCH(A164,Ref_CTRL!$A$2:$A$201,0)),"")</f>
        <v/>
      </c>
      <c r="K164" s="16"/>
      <c r="L164" s="16"/>
      <c r="M164" s="18"/>
      <c r="N164" s="16"/>
      <c r="O164" s="17" t="str">
        <f aca="false">IF(A164="","",IF(COUNTIF(Ref_CTRL!$A$2:$A$201,A164)=0,"CTRL-ID not in W05",IF(L164="","Owner status needed",IF(AND(L164="Confirmed",OR(E164="",G164="")),"Confirmed needs control and evidence owner",IF(AND(L164="Confirmed",M164=""),"Date confirmed needed",IF(AND(L164="Outstanding",N164=""),"Follow-up needed",IF(AND(C164="Y",K164=""),"Walkthrough contact needed (key control)","OK")))))))</f>
        <v/>
      </c>
    </row>
    <row r="165" customFormat="false" ht="15" hidden="false" customHeight="false" outlineLevel="0" collapsed="false">
      <c r="A165" s="16"/>
      <c r="B165" s="17" t="str">
        <f aca="false">IFERROR(INDEX(Ref_CTRL!$B$2:$B$201,MATCH(A165,Ref_CTRL!$A$2:$A$201,0)),"")</f>
        <v/>
      </c>
      <c r="C165" s="17" t="str">
        <f aca="false">IFERROR(INDEX(Ref_CTRL!$E$2:$E$201,MATCH(A165,Ref_CTRL!$A$2:$A$201,0)),"")</f>
        <v/>
      </c>
      <c r="D165" s="17" t="str">
        <f aca="false">IFERROR(INDEX(Ref_CTRL!$F$2:$F$201,MATCH(A165,Ref_CTRL!$A$2:$A$201,0)),"")</f>
        <v/>
      </c>
      <c r="E165" s="16"/>
      <c r="F165" s="16"/>
      <c r="G165" s="16"/>
      <c r="H165" s="16"/>
      <c r="I165" s="16"/>
      <c r="J165" s="17" t="str">
        <f aca="false">IFERROR(INDEX(Ref_CTRL!$D$2:$D$201,MATCH(A165,Ref_CTRL!$A$2:$A$201,0)),"")</f>
        <v/>
      </c>
      <c r="K165" s="16"/>
      <c r="L165" s="16"/>
      <c r="M165" s="18"/>
      <c r="N165" s="16"/>
      <c r="O165" s="17" t="str">
        <f aca="false">IF(A165="","",IF(COUNTIF(Ref_CTRL!$A$2:$A$201,A165)=0,"CTRL-ID not in W05",IF(L165="","Owner status needed",IF(AND(L165="Confirmed",OR(E165="",G165="")),"Confirmed needs control and evidence owner",IF(AND(L165="Confirmed",M165=""),"Date confirmed needed",IF(AND(L165="Outstanding",N165=""),"Follow-up needed",IF(AND(C165="Y",K165=""),"Walkthrough contact needed (key control)","OK")))))))</f>
        <v/>
      </c>
    </row>
    <row r="166" customFormat="false" ht="15" hidden="false" customHeight="false" outlineLevel="0" collapsed="false">
      <c r="A166" s="16"/>
      <c r="B166" s="17" t="str">
        <f aca="false">IFERROR(INDEX(Ref_CTRL!$B$2:$B$201,MATCH(A166,Ref_CTRL!$A$2:$A$201,0)),"")</f>
        <v/>
      </c>
      <c r="C166" s="17" t="str">
        <f aca="false">IFERROR(INDEX(Ref_CTRL!$E$2:$E$201,MATCH(A166,Ref_CTRL!$A$2:$A$201,0)),"")</f>
        <v/>
      </c>
      <c r="D166" s="17" t="str">
        <f aca="false">IFERROR(INDEX(Ref_CTRL!$F$2:$F$201,MATCH(A166,Ref_CTRL!$A$2:$A$201,0)),"")</f>
        <v/>
      </c>
      <c r="E166" s="16"/>
      <c r="F166" s="16"/>
      <c r="G166" s="16"/>
      <c r="H166" s="16"/>
      <c r="I166" s="16"/>
      <c r="J166" s="17" t="str">
        <f aca="false">IFERROR(INDEX(Ref_CTRL!$D$2:$D$201,MATCH(A166,Ref_CTRL!$A$2:$A$201,0)),"")</f>
        <v/>
      </c>
      <c r="K166" s="16"/>
      <c r="L166" s="16"/>
      <c r="M166" s="18"/>
      <c r="N166" s="16"/>
      <c r="O166" s="17" t="str">
        <f aca="false">IF(A166="","",IF(COUNTIF(Ref_CTRL!$A$2:$A$201,A166)=0,"CTRL-ID not in W05",IF(L166="","Owner status needed",IF(AND(L166="Confirmed",OR(E166="",G166="")),"Confirmed needs control and evidence owner",IF(AND(L166="Confirmed",M166=""),"Date confirmed needed",IF(AND(L166="Outstanding",N166=""),"Follow-up needed",IF(AND(C166="Y",K166=""),"Walkthrough contact needed (key control)","OK")))))))</f>
        <v/>
      </c>
    </row>
    <row r="167" customFormat="false" ht="15" hidden="false" customHeight="false" outlineLevel="0" collapsed="false">
      <c r="A167" s="16"/>
      <c r="B167" s="17" t="str">
        <f aca="false">IFERROR(INDEX(Ref_CTRL!$B$2:$B$201,MATCH(A167,Ref_CTRL!$A$2:$A$201,0)),"")</f>
        <v/>
      </c>
      <c r="C167" s="17" t="str">
        <f aca="false">IFERROR(INDEX(Ref_CTRL!$E$2:$E$201,MATCH(A167,Ref_CTRL!$A$2:$A$201,0)),"")</f>
        <v/>
      </c>
      <c r="D167" s="17" t="str">
        <f aca="false">IFERROR(INDEX(Ref_CTRL!$F$2:$F$201,MATCH(A167,Ref_CTRL!$A$2:$A$201,0)),"")</f>
        <v/>
      </c>
      <c r="E167" s="16"/>
      <c r="F167" s="16"/>
      <c r="G167" s="16"/>
      <c r="H167" s="16"/>
      <c r="I167" s="16"/>
      <c r="J167" s="17" t="str">
        <f aca="false">IFERROR(INDEX(Ref_CTRL!$D$2:$D$201,MATCH(A167,Ref_CTRL!$A$2:$A$201,0)),"")</f>
        <v/>
      </c>
      <c r="K167" s="16"/>
      <c r="L167" s="16"/>
      <c r="M167" s="18"/>
      <c r="N167" s="16"/>
      <c r="O167" s="17" t="str">
        <f aca="false">IF(A167="","",IF(COUNTIF(Ref_CTRL!$A$2:$A$201,A167)=0,"CTRL-ID not in W05",IF(L167="","Owner status needed",IF(AND(L167="Confirmed",OR(E167="",G167="")),"Confirmed needs control and evidence owner",IF(AND(L167="Confirmed",M167=""),"Date confirmed needed",IF(AND(L167="Outstanding",N167=""),"Follow-up needed",IF(AND(C167="Y",K167=""),"Walkthrough contact needed (key control)","OK")))))))</f>
        <v/>
      </c>
    </row>
    <row r="168" customFormat="false" ht="15" hidden="false" customHeight="false" outlineLevel="0" collapsed="false">
      <c r="A168" s="16"/>
      <c r="B168" s="17" t="str">
        <f aca="false">IFERROR(INDEX(Ref_CTRL!$B$2:$B$201,MATCH(A168,Ref_CTRL!$A$2:$A$201,0)),"")</f>
        <v/>
      </c>
      <c r="C168" s="17" t="str">
        <f aca="false">IFERROR(INDEX(Ref_CTRL!$E$2:$E$201,MATCH(A168,Ref_CTRL!$A$2:$A$201,0)),"")</f>
        <v/>
      </c>
      <c r="D168" s="17" t="str">
        <f aca="false">IFERROR(INDEX(Ref_CTRL!$F$2:$F$201,MATCH(A168,Ref_CTRL!$A$2:$A$201,0)),"")</f>
        <v/>
      </c>
      <c r="E168" s="16"/>
      <c r="F168" s="16"/>
      <c r="G168" s="16"/>
      <c r="H168" s="16"/>
      <c r="I168" s="16"/>
      <c r="J168" s="17" t="str">
        <f aca="false">IFERROR(INDEX(Ref_CTRL!$D$2:$D$201,MATCH(A168,Ref_CTRL!$A$2:$A$201,0)),"")</f>
        <v/>
      </c>
      <c r="K168" s="16"/>
      <c r="L168" s="16"/>
      <c r="M168" s="18"/>
      <c r="N168" s="16"/>
      <c r="O168" s="17" t="str">
        <f aca="false">IF(A168="","",IF(COUNTIF(Ref_CTRL!$A$2:$A$201,A168)=0,"CTRL-ID not in W05",IF(L168="","Owner status needed",IF(AND(L168="Confirmed",OR(E168="",G168="")),"Confirmed needs control and evidence owner",IF(AND(L168="Confirmed",M168=""),"Date confirmed needed",IF(AND(L168="Outstanding",N168=""),"Follow-up needed",IF(AND(C168="Y",K168=""),"Walkthrough contact needed (key control)","OK")))))))</f>
        <v/>
      </c>
    </row>
    <row r="169" customFormat="false" ht="15" hidden="false" customHeight="false" outlineLevel="0" collapsed="false">
      <c r="A169" s="16"/>
      <c r="B169" s="17" t="str">
        <f aca="false">IFERROR(INDEX(Ref_CTRL!$B$2:$B$201,MATCH(A169,Ref_CTRL!$A$2:$A$201,0)),"")</f>
        <v/>
      </c>
      <c r="C169" s="17" t="str">
        <f aca="false">IFERROR(INDEX(Ref_CTRL!$E$2:$E$201,MATCH(A169,Ref_CTRL!$A$2:$A$201,0)),"")</f>
        <v/>
      </c>
      <c r="D169" s="17" t="str">
        <f aca="false">IFERROR(INDEX(Ref_CTRL!$F$2:$F$201,MATCH(A169,Ref_CTRL!$A$2:$A$201,0)),"")</f>
        <v/>
      </c>
      <c r="E169" s="16"/>
      <c r="F169" s="16"/>
      <c r="G169" s="16"/>
      <c r="H169" s="16"/>
      <c r="I169" s="16"/>
      <c r="J169" s="17" t="str">
        <f aca="false">IFERROR(INDEX(Ref_CTRL!$D$2:$D$201,MATCH(A169,Ref_CTRL!$A$2:$A$201,0)),"")</f>
        <v/>
      </c>
      <c r="K169" s="16"/>
      <c r="L169" s="16"/>
      <c r="M169" s="18"/>
      <c r="N169" s="16"/>
      <c r="O169" s="17" t="str">
        <f aca="false">IF(A169="","",IF(COUNTIF(Ref_CTRL!$A$2:$A$201,A169)=0,"CTRL-ID not in W05",IF(L169="","Owner status needed",IF(AND(L169="Confirmed",OR(E169="",G169="")),"Confirmed needs control and evidence owner",IF(AND(L169="Confirmed",M169=""),"Date confirmed needed",IF(AND(L169="Outstanding",N169=""),"Follow-up needed",IF(AND(C169="Y",K169=""),"Walkthrough contact needed (key control)","OK")))))))</f>
        <v/>
      </c>
    </row>
    <row r="170" customFormat="false" ht="15" hidden="false" customHeight="false" outlineLevel="0" collapsed="false">
      <c r="A170" s="16"/>
      <c r="B170" s="17" t="str">
        <f aca="false">IFERROR(INDEX(Ref_CTRL!$B$2:$B$201,MATCH(A170,Ref_CTRL!$A$2:$A$201,0)),"")</f>
        <v/>
      </c>
      <c r="C170" s="17" t="str">
        <f aca="false">IFERROR(INDEX(Ref_CTRL!$E$2:$E$201,MATCH(A170,Ref_CTRL!$A$2:$A$201,0)),"")</f>
        <v/>
      </c>
      <c r="D170" s="17" t="str">
        <f aca="false">IFERROR(INDEX(Ref_CTRL!$F$2:$F$201,MATCH(A170,Ref_CTRL!$A$2:$A$201,0)),"")</f>
        <v/>
      </c>
      <c r="E170" s="16"/>
      <c r="F170" s="16"/>
      <c r="G170" s="16"/>
      <c r="H170" s="16"/>
      <c r="I170" s="16"/>
      <c r="J170" s="17" t="str">
        <f aca="false">IFERROR(INDEX(Ref_CTRL!$D$2:$D$201,MATCH(A170,Ref_CTRL!$A$2:$A$201,0)),"")</f>
        <v/>
      </c>
      <c r="K170" s="16"/>
      <c r="L170" s="16"/>
      <c r="M170" s="18"/>
      <c r="N170" s="16"/>
      <c r="O170" s="17" t="str">
        <f aca="false">IF(A170="","",IF(COUNTIF(Ref_CTRL!$A$2:$A$201,A170)=0,"CTRL-ID not in W05",IF(L170="","Owner status needed",IF(AND(L170="Confirmed",OR(E170="",G170="")),"Confirmed needs control and evidence owner",IF(AND(L170="Confirmed",M170=""),"Date confirmed needed",IF(AND(L170="Outstanding",N170=""),"Follow-up needed",IF(AND(C170="Y",K170=""),"Walkthrough contact needed (key control)","OK")))))))</f>
        <v/>
      </c>
    </row>
    <row r="171" customFormat="false" ht="15" hidden="false" customHeight="false" outlineLevel="0" collapsed="false">
      <c r="A171" s="16"/>
      <c r="B171" s="17" t="str">
        <f aca="false">IFERROR(INDEX(Ref_CTRL!$B$2:$B$201,MATCH(A171,Ref_CTRL!$A$2:$A$201,0)),"")</f>
        <v/>
      </c>
      <c r="C171" s="17" t="str">
        <f aca="false">IFERROR(INDEX(Ref_CTRL!$E$2:$E$201,MATCH(A171,Ref_CTRL!$A$2:$A$201,0)),"")</f>
        <v/>
      </c>
      <c r="D171" s="17" t="str">
        <f aca="false">IFERROR(INDEX(Ref_CTRL!$F$2:$F$201,MATCH(A171,Ref_CTRL!$A$2:$A$201,0)),"")</f>
        <v/>
      </c>
      <c r="E171" s="16"/>
      <c r="F171" s="16"/>
      <c r="G171" s="16"/>
      <c r="H171" s="16"/>
      <c r="I171" s="16"/>
      <c r="J171" s="17" t="str">
        <f aca="false">IFERROR(INDEX(Ref_CTRL!$D$2:$D$201,MATCH(A171,Ref_CTRL!$A$2:$A$201,0)),"")</f>
        <v/>
      </c>
      <c r="K171" s="16"/>
      <c r="L171" s="16"/>
      <c r="M171" s="18"/>
      <c r="N171" s="16"/>
      <c r="O171" s="17" t="str">
        <f aca="false">IF(A171="","",IF(COUNTIF(Ref_CTRL!$A$2:$A$201,A171)=0,"CTRL-ID not in W05",IF(L171="","Owner status needed",IF(AND(L171="Confirmed",OR(E171="",G171="")),"Confirmed needs control and evidence owner",IF(AND(L171="Confirmed",M171=""),"Date confirmed needed",IF(AND(L171="Outstanding",N171=""),"Follow-up needed",IF(AND(C171="Y",K171=""),"Walkthrough contact needed (key control)","OK")))))))</f>
        <v/>
      </c>
    </row>
    <row r="172" customFormat="false" ht="15" hidden="false" customHeight="false" outlineLevel="0" collapsed="false">
      <c r="A172" s="16"/>
      <c r="B172" s="17" t="str">
        <f aca="false">IFERROR(INDEX(Ref_CTRL!$B$2:$B$201,MATCH(A172,Ref_CTRL!$A$2:$A$201,0)),"")</f>
        <v/>
      </c>
      <c r="C172" s="17" t="str">
        <f aca="false">IFERROR(INDEX(Ref_CTRL!$E$2:$E$201,MATCH(A172,Ref_CTRL!$A$2:$A$201,0)),"")</f>
        <v/>
      </c>
      <c r="D172" s="17" t="str">
        <f aca="false">IFERROR(INDEX(Ref_CTRL!$F$2:$F$201,MATCH(A172,Ref_CTRL!$A$2:$A$201,0)),"")</f>
        <v/>
      </c>
      <c r="E172" s="16"/>
      <c r="F172" s="16"/>
      <c r="G172" s="16"/>
      <c r="H172" s="16"/>
      <c r="I172" s="16"/>
      <c r="J172" s="17" t="str">
        <f aca="false">IFERROR(INDEX(Ref_CTRL!$D$2:$D$201,MATCH(A172,Ref_CTRL!$A$2:$A$201,0)),"")</f>
        <v/>
      </c>
      <c r="K172" s="16"/>
      <c r="L172" s="16"/>
      <c r="M172" s="18"/>
      <c r="N172" s="16"/>
      <c r="O172" s="17" t="str">
        <f aca="false">IF(A172="","",IF(COUNTIF(Ref_CTRL!$A$2:$A$201,A172)=0,"CTRL-ID not in W05",IF(L172="","Owner status needed",IF(AND(L172="Confirmed",OR(E172="",G172="")),"Confirmed needs control and evidence owner",IF(AND(L172="Confirmed",M172=""),"Date confirmed needed",IF(AND(L172="Outstanding",N172=""),"Follow-up needed",IF(AND(C172="Y",K172=""),"Walkthrough contact needed (key control)","OK")))))))</f>
        <v/>
      </c>
    </row>
    <row r="173" customFormat="false" ht="15" hidden="false" customHeight="false" outlineLevel="0" collapsed="false">
      <c r="A173" s="16"/>
      <c r="B173" s="17" t="str">
        <f aca="false">IFERROR(INDEX(Ref_CTRL!$B$2:$B$201,MATCH(A173,Ref_CTRL!$A$2:$A$201,0)),"")</f>
        <v/>
      </c>
      <c r="C173" s="17" t="str">
        <f aca="false">IFERROR(INDEX(Ref_CTRL!$E$2:$E$201,MATCH(A173,Ref_CTRL!$A$2:$A$201,0)),"")</f>
        <v/>
      </c>
      <c r="D173" s="17" t="str">
        <f aca="false">IFERROR(INDEX(Ref_CTRL!$F$2:$F$201,MATCH(A173,Ref_CTRL!$A$2:$A$201,0)),"")</f>
        <v/>
      </c>
      <c r="E173" s="16"/>
      <c r="F173" s="16"/>
      <c r="G173" s="16"/>
      <c r="H173" s="16"/>
      <c r="I173" s="16"/>
      <c r="J173" s="17" t="str">
        <f aca="false">IFERROR(INDEX(Ref_CTRL!$D$2:$D$201,MATCH(A173,Ref_CTRL!$A$2:$A$201,0)),"")</f>
        <v/>
      </c>
      <c r="K173" s="16"/>
      <c r="L173" s="16"/>
      <c r="M173" s="18"/>
      <c r="N173" s="16"/>
      <c r="O173" s="17" t="str">
        <f aca="false">IF(A173="","",IF(COUNTIF(Ref_CTRL!$A$2:$A$201,A173)=0,"CTRL-ID not in W05",IF(L173="","Owner status needed",IF(AND(L173="Confirmed",OR(E173="",G173="")),"Confirmed needs control and evidence owner",IF(AND(L173="Confirmed",M173=""),"Date confirmed needed",IF(AND(L173="Outstanding",N173=""),"Follow-up needed",IF(AND(C173="Y",K173=""),"Walkthrough contact needed (key control)","OK")))))))</f>
        <v/>
      </c>
    </row>
    <row r="174" customFormat="false" ht="15" hidden="false" customHeight="false" outlineLevel="0" collapsed="false">
      <c r="A174" s="16"/>
      <c r="B174" s="17" t="str">
        <f aca="false">IFERROR(INDEX(Ref_CTRL!$B$2:$B$201,MATCH(A174,Ref_CTRL!$A$2:$A$201,0)),"")</f>
        <v/>
      </c>
      <c r="C174" s="17" t="str">
        <f aca="false">IFERROR(INDEX(Ref_CTRL!$E$2:$E$201,MATCH(A174,Ref_CTRL!$A$2:$A$201,0)),"")</f>
        <v/>
      </c>
      <c r="D174" s="17" t="str">
        <f aca="false">IFERROR(INDEX(Ref_CTRL!$F$2:$F$201,MATCH(A174,Ref_CTRL!$A$2:$A$201,0)),"")</f>
        <v/>
      </c>
      <c r="E174" s="16"/>
      <c r="F174" s="16"/>
      <c r="G174" s="16"/>
      <c r="H174" s="16"/>
      <c r="I174" s="16"/>
      <c r="J174" s="17" t="str">
        <f aca="false">IFERROR(INDEX(Ref_CTRL!$D$2:$D$201,MATCH(A174,Ref_CTRL!$A$2:$A$201,0)),"")</f>
        <v/>
      </c>
      <c r="K174" s="16"/>
      <c r="L174" s="16"/>
      <c r="M174" s="18"/>
      <c r="N174" s="16"/>
      <c r="O174" s="17" t="str">
        <f aca="false">IF(A174="","",IF(COUNTIF(Ref_CTRL!$A$2:$A$201,A174)=0,"CTRL-ID not in W05",IF(L174="","Owner status needed",IF(AND(L174="Confirmed",OR(E174="",G174="")),"Confirmed needs control and evidence owner",IF(AND(L174="Confirmed",M174=""),"Date confirmed needed",IF(AND(L174="Outstanding",N174=""),"Follow-up needed",IF(AND(C174="Y",K174=""),"Walkthrough contact needed (key control)","OK")))))))</f>
        <v/>
      </c>
    </row>
    <row r="175" customFormat="false" ht="15" hidden="false" customHeight="false" outlineLevel="0" collapsed="false">
      <c r="A175" s="16"/>
      <c r="B175" s="17" t="str">
        <f aca="false">IFERROR(INDEX(Ref_CTRL!$B$2:$B$201,MATCH(A175,Ref_CTRL!$A$2:$A$201,0)),"")</f>
        <v/>
      </c>
      <c r="C175" s="17" t="str">
        <f aca="false">IFERROR(INDEX(Ref_CTRL!$E$2:$E$201,MATCH(A175,Ref_CTRL!$A$2:$A$201,0)),"")</f>
        <v/>
      </c>
      <c r="D175" s="17" t="str">
        <f aca="false">IFERROR(INDEX(Ref_CTRL!$F$2:$F$201,MATCH(A175,Ref_CTRL!$A$2:$A$201,0)),"")</f>
        <v/>
      </c>
      <c r="E175" s="16"/>
      <c r="F175" s="16"/>
      <c r="G175" s="16"/>
      <c r="H175" s="16"/>
      <c r="I175" s="16"/>
      <c r="J175" s="17" t="str">
        <f aca="false">IFERROR(INDEX(Ref_CTRL!$D$2:$D$201,MATCH(A175,Ref_CTRL!$A$2:$A$201,0)),"")</f>
        <v/>
      </c>
      <c r="K175" s="16"/>
      <c r="L175" s="16"/>
      <c r="M175" s="18"/>
      <c r="N175" s="16"/>
      <c r="O175" s="17" t="str">
        <f aca="false">IF(A175="","",IF(COUNTIF(Ref_CTRL!$A$2:$A$201,A175)=0,"CTRL-ID not in W05",IF(L175="","Owner status needed",IF(AND(L175="Confirmed",OR(E175="",G175="")),"Confirmed needs control and evidence owner",IF(AND(L175="Confirmed",M175=""),"Date confirmed needed",IF(AND(L175="Outstanding",N175=""),"Follow-up needed",IF(AND(C175="Y",K175=""),"Walkthrough contact needed (key control)","OK")))))))</f>
        <v/>
      </c>
    </row>
    <row r="176" customFormat="false" ht="15" hidden="false" customHeight="false" outlineLevel="0" collapsed="false">
      <c r="A176" s="16"/>
      <c r="B176" s="17" t="str">
        <f aca="false">IFERROR(INDEX(Ref_CTRL!$B$2:$B$201,MATCH(A176,Ref_CTRL!$A$2:$A$201,0)),"")</f>
        <v/>
      </c>
      <c r="C176" s="17" t="str">
        <f aca="false">IFERROR(INDEX(Ref_CTRL!$E$2:$E$201,MATCH(A176,Ref_CTRL!$A$2:$A$201,0)),"")</f>
        <v/>
      </c>
      <c r="D176" s="17" t="str">
        <f aca="false">IFERROR(INDEX(Ref_CTRL!$F$2:$F$201,MATCH(A176,Ref_CTRL!$A$2:$A$201,0)),"")</f>
        <v/>
      </c>
      <c r="E176" s="16"/>
      <c r="F176" s="16"/>
      <c r="G176" s="16"/>
      <c r="H176" s="16"/>
      <c r="I176" s="16"/>
      <c r="J176" s="17" t="str">
        <f aca="false">IFERROR(INDEX(Ref_CTRL!$D$2:$D$201,MATCH(A176,Ref_CTRL!$A$2:$A$201,0)),"")</f>
        <v/>
      </c>
      <c r="K176" s="16"/>
      <c r="L176" s="16"/>
      <c r="M176" s="18"/>
      <c r="N176" s="16"/>
      <c r="O176" s="17" t="str">
        <f aca="false">IF(A176="","",IF(COUNTIF(Ref_CTRL!$A$2:$A$201,A176)=0,"CTRL-ID not in W05",IF(L176="","Owner status needed",IF(AND(L176="Confirmed",OR(E176="",G176="")),"Confirmed needs control and evidence owner",IF(AND(L176="Confirmed",M176=""),"Date confirmed needed",IF(AND(L176="Outstanding",N176=""),"Follow-up needed",IF(AND(C176="Y",K176=""),"Walkthrough contact needed (key control)","OK")))))))</f>
        <v/>
      </c>
    </row>
    <row r="177" customFormat="false" ht="15" hidden="false" customHeight="false" outlineLevel="0" collapsed="false">
      <c r="A177" s="16"/>
      <c r="B177" s="17" t="str">
        <f aca="false">IFERROR(INDEX(Ref_CTRL!$B$2:$B$201,MATCH(A177,Ref_CTRL!$A$2:$A$201,0)),"")</f>
        <v/>
      </c>
      <c r="C177" s="17" t="str">
        <f aca="false">IFERROR(INDEX(Ref_CTRL!$E$2:$E$201,MATCH(A177,Ref_CTRL!$A$2:$A$201,0)),"")</f>
        <v/>
      </c>
      <c r="D177" s="17" t="str">
        <f aca="false">IFERROR(INDEX(Ref_CTRL!$F$2:$F$201,MATCH(A177,Ref_CTRL!$A$2:$A$201,0)),"")</f>
        <v/>
      </c>
      <c r="E177" s="16"/>
      <c r="F177" s="16"/>
      <c r="G177" s="16"/>
      <c r="H177" s="16"/>
      <c r="I177" s="16"/>
      <c r="J177" s="17" t="str">
        <f aca="false">IFERROR(INDEX(Ref_CTRL!$D$2:$D$201,MATCH(A177,Ref_CTRL!$A$2:$A$201,0)),"")</f>
        <v/>
      </c>
      <c r="K177" s="16"/>
      <c r="L177" s="16"/>
      <c r="M177" s="18"/>
      <c r="N177" s="16"/>
      <c r="O177" s="17" t="str">
        <f aca="false">IF(A177="","",IF(COUNTIF(Ref_CTRL!$A$2:$A$201,A177)=0,"CTRL-ID not in W05",IF(L177="","Owner status needed",IF(AND(L177="Confirmed",OR(E177="",G177="")),"Confirmed needs control and evidence owner",IF(AND(L177="Confirmed",M177=""),"Date confirmed needed",IF(AND(L177="Outstanding",N177=""),"Follow-up needed",IF(AND(C177="Y",K177=""),"Walkthrough contact needed (key control)","OK")))))))</f>
        <v/>
      </c>
    </row>
    <row r="178" customFormat="false" ht="15" hidden="false" customHeight="false" outlineLevel="0" collapsed="false">
      <c r="A178" s="16"/>
      <c r="B178" s="17" t="str">
        <f aca="false">IFERROR(INDEX(Ref_CTRL!$B$2:$B$201,MATCH(A178,Ref_CTRL!$A$2:$A$201,0)),"")</f>
        <v/>
      </c>
      <c r="C178" s="17" t="str">
        <f aca="false">IFERROR(INDEX(Ref_CTRL!$E$2:$E$201,MATCH(A178,Ref_CTRL!$A$2:$A$201,0)),"")</f>
        <v/>
      </c>
      <c r="D178" s="17" t="str">
        <f aca="false">IFERROR(INDEX(Ref_CTRL!$F$2:$F$201,MATCH(A178,Ref_CTRL!$A$2:$A$201,0)),"")</f>
        <v/>
      </c>
      <c r="E178" s="16"/>
      <c r="F178" s="16"/>
      <c r="G178" s="16"/>
      <c r="H178" s="16"/>
      <c r="I178" s="16"/>
      <c r="J178" s="17" t="str">
        <f aca="false">IFERROR(INDEX(Ref_CTRL!$D$2:$D$201,MATCH(A178,Ref_CTRL!$A$2:$A$201,0)),"")</f>
        <v/>
      </c>
      <c r="K178" s="16"/>
      <c r="L178" s="16"/>
      <c r="M178" s="18"/>
      <c r="N178" s="16"/>
      <c r="O178" s="17" t="str">
        <f aca="false">IF(A178="","",IF(COUNTIF(Ref_CTRL!$A$2:$A$201,A178)=0,"CTRL-ID not in W05",IF(L178="","Owner status needed",IF(AND(L178="Confirmed",OR(E178="",G178="")),"Confirmed needs control and evidence owner",IF(AND(L178="Confirmed",M178=""),"Date confirmed needed",IF(AND(L178="Outstanding",N178=""),"Follow-up needed",IF(AND(C178="Y",K178=""),"Walkthrough contact needed (key control)","OK")))))))</f>
        <v/>
      </c>
    </row>
    <row r="179" customFormat="false" ht="15" hidden="false" customHeight="false" outlineLevel="0" collapsed="false">
      <c r="A179" s="16"/>
      <c r="B179" s="17" t="str">
        <f aca="false">IFERROR(INDEX(Ref_CTRL!$B$2:$B$201,MATCH(A179,Ref_CTRL!$A$2:$A$201,0)),"")</f>
        <v/>
      </c>
      <c r="C179" s="17" t="str">
        <f aca="false">IFERROR(INDEX(Ref_CTRL!$E$2:$E$201,MATCH(A179,Ref_CTRL!$A$2:$A$201,0)),"")</f>
        <v/>
      </c>
      <c r="D179" s="17" t="str">
        <f aca="false">IFERROR(INDEX(Ref_CTRL!$F$2:$F$201,MATCH(A179,Ref_CTRL!$A$2:$A$201,0)),"")</f>
        <v/>
      </c>
      <c r="E179" s="16"/>
      <c r="F179" s="16"/>
      <c r="G179" s="16"/>
      <c r="H179" s="16"/>
      <c r="I179" s="16"/>
      <c r="J179" s="17" t="str">
        <f aca="false">IFERROR(INDEX(Ref_CTRL!$D$2:$D$201,MATCH(A179,Ref_CTRL!$A$2:$A$201,0)),"")</f>
        <v/>
      </c>
      <c r="K179" s="16"/>
      <c r="L179" s="16"/>
      <c r="M179" s="18"/>
      <c r="N179" s="16"/>
      <c r="O179" s="17" t="str">
        <f aca="false">IF(A179="","",IF(COUNTIF(Ref_CTRL!$A$2:$A$201,A179)=0,"CTRL-ID not in W05",IF(L179="","Owner status needed",IF(AND(L179="Confirmed",OR(E179="",G179="")),"Confirmed needs control and evidence owner",IF(AND(L179="Confirmed",M179=""),"Date confirmed needed",IF(AND(L179="Outstanding",N179=""),"Follow-up needed",IF(AND(C179="Y",K179=""),"Walkthrough contact needed (key control)","OK")))))))</f>
        <v/>
      </c>
    </row>
    <row r="180" customFormat="false" ht="15" hidden="false" customHeight="false" outlineLevel="0" collapsed="false">
      <c r="A180" s="16"/>
      <c r="B180" s="17" t="str">
        <f aca="false">IFERROR(INDEX(Ref_CTRL!$B$2:$B$201,MATCH(A180,Ref_CTRL!$A$2:$A$201,0)),"")</f>
        <v/>
      </c>
      <c r="C180" s="17" t="str">
        <f aca="false">IFERROR(INDEX(Ref_CTRL!$E$2:$E$201,MATCH(A180,Ref_CTRL!$A$2:$A$201,0)),"")</f>
        <v/>
      </c>
      <c r="D180" s="17" t="str">
        <f aca="false">IFERROR(INDEX(Ref_CTRL!$F$2:$F$201,MATCH(A180,Ref_CTRL!$A$2:$A$201,0)),"")</f>
        <v/>
      </c>
      <c r="E180" s="16"/>
      <c r="F180" s="16"/>
      <c r="G180" s="16"/>
      <c r="H180" s="16"/>
      <c r="I180" s="16"/>
      <c r="J180" s="17" t="str">
        <f aca="false">IFERROR(INDEX(Ref_CTRL!$D$2:$D$201,MATCH(A180,Ref_CTRL!$A$2:$A$201,0)),"")</f>
        <v/>
      </c>
      <c r="K180" s="16"/>
      <c r="L180" s="16"/>
      <c r="M180" s="18"/>
      <c r="N180" s="16"/>
      <c r="O180" s="17" t="str">
        <f aca="false">IF(A180="","",IF(COUNTIF(Ref_CTRL!$A$2:$A$201,A180)=0,"CTRL-ID not in W05",IF(L180="","Owner status needed",IF(AND(L180="Confirmed",OR(E180="",G180="")),"Confirmed needs control and evidence owner",IF(AND(L180="Confirmed",M180=""),"Date confirmed needed",IF(AND(L180="Outstanding",N180=""),"Follow-up needed",IF(AND(C180="Y",K180=""),"Walkthrough contact needed (key control)","OK")))))))</f>
        <v/>
      </c>
    </row>
    <row r="181" customFormat="false" ht="15" hidden="false" customHeight="false" outlineLevel="0" collapsed="false">
      <c r="A181" s="16"/>
      <c r="B181" s="17" t="str">
        <f aca="false">IFERROR(INDEX(Ref_CTRL!$B$2:$B$201,MATCH(A181,Ref_CTRL!$A$2:$A$201,0)),"")</f>
        <v/>
      </c>
      <c r="C181" s="17" t="str">
        <f aca="false">IFERROR(INDEX(Ref_CTRL!$E$2:$E$201,MATCH(A181,Ref_CTRL!$A$2:$A$201,0)),"")</f>
        <v/>
      </c>
      <c r="D181" s="17" t="str">
        <f aca="false">IFERROR(INDEX(Ref_CTRL!$F$2:$F$201,MATCH(A181,Ref_CTRL!$A$2:$A$201,0)),"")</f>
        <v/>
      </c>
      <c r="E181" s="16"/>
      <c r="F181" s="16"/>
      <c r="G181" s="16"/>
      <c r="H181" s="16"/>
      <c r="I181" s="16"/>
      <c r="J181" s="17" t="str">
        <f aca="false">IFERROR(INDEX(Ref_CTRL!$D$2:$D$201,MATCH(A181,Ref_CTRL!$A$2:$A$201,0)),"")</f>
        <v/>
      </c>
      <c r="K181" s="16"/>
      <c r="L181" s="16"/>
      <c r="M181" s="18"/>
      <c r="N181" s="16"/>
      <c r="O181" s="17" t="str">
        <f aca="false">IF(A181="","",IF(COUNTIF(Ref_CTRL!$A$2:$A$201,A181)=0,"CTRL-ID not in W05",IF(L181="","Owner status needed",IF(AND(L181="Confirmed",OR(E181="",G181="")),"Confirmed needs control and evidence owner",IF(AND(L181="Confirmed",M181=""),"Date confirmed needed",IF(AND(L181="Outstanding",N181=""),"Follow-up needed",IF(AND(C181="Y",K181=""),"Walkthrough contact needed (key control)","OK")))))))</f>
        <v/>
      </c>
    </row>
    <row r="182" customFormat="false" ht="15" hidden="false" customHeight="false" outlineLevel="0" collapsed="false">
      <c r="A182" s="16"/>
      <c r="B182" s="17" t="str">
        <f aca="false">IFERROR(INDEX(Ref_CTRL!$B$2:$B$201,MATCH(A182,Ref_CTRL!$A$2:$A$201,0)),"")</f>
        <v/>
      </c>
      <c r="C182" s="17" t="str">
        <f aca="false">IFERROR(INDEX(Ref_CTRL!$E$2:$E$201,MATCH(A182,Ref_CTRL!$A$2:$A$201,0)),"")</f>
        <v/>
      </c>
      <c r="D182" s="17" t="str">
        <f aca="false">IFERROR(INDEX(Ref_CTRL!$F$2:$F$201,MATCH(A182,Ref_CTRL!$A$2:$A$201,0)),"")</f>
        <v/>
      </c>
      <c r="E182" s="16"/>
      <c r="F182" s="16"/>
      <c r="G182" s="16"/>
      <c r="H182" s="16"/>
      <c r="I182" s="16"/>
      <c r="J182" s="17" t="str">
        <f aca="false">IFERROR(INDEX(Ref_CTRL!$D$2:$D$201,MATCH(A182,Ref_CTRL!$A$2:$A$201,0)),"")</f>
        <v/>
      </c>
      <c r="K182" s="16"/>
      <c r="L182" s="16"/>
      <c r="M182" s="18"/>
      <c r="N182" s="16"/>
      <c r="O182" s="17" t="str">
        <f aca="false">IF(A182="","",IF(COUNTIF(Ref_CTRL!$A$2:$A$201,A182)=0,"CTRL-ID not in W05",IF(L182="","Owner status needed",IF(AND(L182="Confirmed",OR(E182="",G182="")),"Confirmed needs control and evidence owner",IF(AND(L182="Confirmed",M182=""),"Date confirmed needed",IF(AND(L182="Outstanding",N182=""),"Follow-up needed",IF(AND(C182="Y",K182=""),"Walkthrough contact needed (key control)","OK")))))))</f>
        <v/>
      </c>
    </row>
    <row r="183" customFormat="false" ht="15" hidden="false" customHeight="false" outlineLevel="0" collapsed="false">
      <c r="A183" s="16"/>
      <c r="B183" s="17" t="str">
        <f aca="false">IFERROR(INDEX(Ref_CTRL!$B$2:$B$201,MATCH(A183,Ref_CTRL!$A$2:$A$201,0)),"")</f>
        <v/>
      </c>
      <c r="C183" s="17" t="str">
        <f aca="false">IFERROR(INDEX(Ref_CTRL!$E$2:$E$201,MATCH(A183,Ref_CTRL!$A$2:$A$201,0)),"")</f>
        <v/>
      </c>
      <c r="D183" s="17" t="str">
        <f aca="false">IFERROR(INDEX(Ref_CTRL!$F$2:$F$201,MATCH(A183,Ref_CTRL!$A$2:$A$201,0)),"")</f>
        <v/>
      </c>
      <c r="E183" s="16"/>
      <c r="F183" s="16"/>
      <c r="G183" s="16"/>
      <c r="H183" s="16"/>
      <c r="I183" s="16"/>
      <c r="J183" s="17" t="str">
        <f aca="false">IFERROR(INDEX(Ref_CTRL!$D$2:$D$201,MATCH(A183,Ref_CTRL!$A$2:$A$201,0)),"")</f>
        <v/>
      </c>
      <c r="K183" s="16"/>
      <c r="L183" s="16"/>
      <c r="M183" s="18"/>
      <c r="N183" s="16"/>
      <c r="O183" s="17" t="str">
        <f aca="false">IF(A183="","",IF(COUNTIF(Ref_CTRL!$A$2:$A$201,A183)=0,"CTRL-ID not in W05",IF(L183="","Owner status needed",IF(AND(L183="Confirmed",OR(E183="",G183="")),"Confirmed needs control and evidence owner",IF(AND(L183="Confirmed",M183=""),"Date confirmed needed",IF(AND(L183="Outstanding",N183=""),"Follow-up needed",IF(AND(C183="Y",K183=""),"Walkthrough contact needed (key control)","OK")))))))</f>
        <v/>
      </c>
    </row>
    <row r="184" customFormat="false" ht="15" hidden="false" customHeight="false" outlineLevel="0" collapsed="false">
      <c r="A184" s="16"/>
      <c r="B184" s="17" t="str">
        <f aca="false">IFERROR(INDEX(Ref_CTRL!$B$2:$B$201,MATCH(A184,Ref_CTRL!$A$2:$A$201,0)),"")</f>
        <v/>
      </c>
      <c r="C184" s="17" t="str">
        <f aca="false">IFERROR(INDEX(Ref_CTRL!$E$2:$E$201,MATCH(A184,Ref_CTRL!$A$2:$A$201,0)),"")</f>
        <v/>
      </c>
      <c r="D184" s="17" t="str">
        <f aca="false">IFERROR(INDEX(Ref_CTRL!$F$2:$F$201,MATCH(A184,Ref_CTRL!$A$2:$A$201,0)),"")</f>
        <v/>
      </c>
      <c r="E184" s="16"/>
      <c r="F184" s="16"/>
      <c r="G184" s="16"/>
      <c r="H184" s="16"/>
      <c r="I184" s="16"/>
      <c r="J184" s="17" t="str">
        <f aca="false">IFERROR(INDEX(Ref_CTRL!$D$2:$D$201,MATCH(A184,Ref_CTRL!$A$2:$A$201,0)),"")</f>
        <v/>
      </c>
      <c r="K184" s="16"/>
      <c r="L184" s="16"/>
      <c r="M184" s="18"/>
      <c r="N184" s="16"/>
      <c r="O184" s="17" t="str">
        <f aca="false">IF(A184="","",IF(COUNTIF(Ref_CTRL!$A$2:$A$201,A184)=0,"CTRL-ID not in W05",IF(L184="","Owner status needed",IF(AND(L184="Confirmed",OR(E184="",G184="")),"Confirmed needs control and evidence owner",IF(AND(L184="Confirmed",M184=""),"Date confirmed needed",IF(AND(L184="Outstanding",N184=""),"Follow-up needed",IF(AND(C184="Y",K184=""),"Walkthrough contact needed (key control)","OK")))))))</f>
        <v/>
      </c>
    </row>
    <row r="185" customFormat="false" ht="15" hidden="false" customHeight="false" outlineLevel="0" collapsed="false">
      <c r="A185" s="16"/>
      <c r="B185" s="17" t="str">
        <f aca="false">IFERROR(INDEX(Ref_CTRL!$B$2:$B$201,MATCH(A185,Ref_CTRL!$A$2:$A$201,0)),"")</f>
        <v/>
      </c>
      <c r="C185" s="17" t="str">
        <f aca="false">IFERROR(INDEX(Ref_CTRL!$E$2:$E$201,MATCH(A185,Ref_CTRL!$A$2:$A$201,0)),"")</f>
        <v/>
      </c>
      <c r="D185" s="17" t="str">
        <f aca="false">IFERROR(INDEX(Ref_CTRL!$F$2:$F$201,MATCH(A185,Ref_CTRL!$A$2:$A$201,0)),"")</f>
        <v/>
      </c>
      <c r="E185" s="16"/>
      <c r="F185" s="16"/>
      <c r="G185" s="16"/>
      <c r="H185" s="16"/>
      <c r="I185" s="16"/>
      <c r="J185" s="17" t="str">
        <f aca="false">IFERROR(INDEX(Ref_CTRL!$D$2:$D$201,MATCH(A185,Ref_CTRL!$A$2:$A$201,0)),"")</f>
        <v/>
      </c>
      <c r="K185" s="16"/>
      <c r="L185" s="16"/>
      <c r="M185" s="18"/>
      <c r="N185" s="16"/>
      <c r="O185" s="17" t="str">
        <f aca="false">IF(A185="","",IF(COUNTIF(Ref_CTRL!$A$2:$A$201,A185)=0,"CTRL-ID not in W05",IF(L185="","Owner status needed",IF(AND(L185="Confirmed",OR(E185="",G185="")),"Confirmed needs control and evidence owner",IF(AND(L185="Confirmed",M185=""),"Date confirmed needed",IF(AND(L185="Outstanding",N185=""),"Follow-up needed",IF(AND(C185="Y",K185=""),"Walkthrough contact needed (key control)","OK")))))))</f>
        <v/>
      </c>
    </row>
    <row r="186" customFormat="false" ht="15" hidden="false" customHeight="false" outlineLevel="0" collapsed="false">
      <c r="A186" s="16"/>
      <c r="B186" s="17" t="str">
        <f aca="false">IFERROR(INDEX(Ref_CTRL!$B$2:$B$201,MATCH(A186,Ref_CTRL!$A$2:$A$201,0)),"")</f>
        <v/>
      </c>
      <c r="C186" s="17" t="str">
        <f aca="false">IFERROR(INDEX(Ref_CTRL!$E$2:$E$201,MATCH(A186,Ref_CTRL!$A$2:$A$201,0)),"")</f>
        <v/>
      </c>
      <c r="D186" s="17" t="str">
        <f aca="false">IFERROR(INDEX(Ref_CTRL!$F$2:$F$201,MATCH(A186,Ref_CTRL!$A$2:$A$201,0)),"")</f>
        <v/>
      </c>
      <c r="E186" s="16"/>
      <c r="F186" s="16"/>
      <c r="G186" s="16"/>
      <c r="H186" s="16"/>
      <c r="I186" s="16"/>
      <c r="J186" s="17" t="str">
        <f aca="false">IFERROR(INDEX(Ref_CTRL!$D$2:$D$201,MATCH(A186,Ref_CTRL!$A$2:$A$201,0)),"")</f>
        <v/>
      </c>
      <c r="K186" s="16"/>
      <c r="L186" s="16"/>
      <c r="M186" s="18"/>
      <c r="N186" s="16"/>
      <c r="O186" s="17" t="str">
        <f aca="false">IF(A186="","",IF(COUNTIF(Ref_CTRL!$A$2:$A$201,A186)=0,"CTRL-ID not in W05",IF(L186="","Owner status needed",IF(AND(L186="Confirmed",OR(E186="",G186="")),"Confirmed needs control and evidence owner",IF(AND(L186="Confirmed",M186=""),"Date confirmed needed",IF(AND(L186="Outstanding",N186=""),"Follow-up needed",IF(AND(C186="Y",K186=""),"Walkthrough contact needed (key control)","OK")))))))</f>
        <v/>
      </c>
    </row>
    <row r="187" customFormat="false" ht="15" hidden="false" customHeight="false" outlineLevel="0" collapsed="false">
      <c r="A187" s="16"/>
      <c r="B187" s="17" t="str">
        <f aca="false">IFERROR(INDEX(Ref_CTRL!$B$2:$B$201,MATCH(A187,Ref_CTRL!$A$2:$A$201,0)),"")</f>
        <v/>
      </c>
      <c r="C187" s="17" t="str">
        <f aca="false">IFERROR(INDEX(Ref_CTRL!$E$2:$E$201,MATCH(A187,Ref_CTRL!$A$2:$A$201,0)),"")</f>
        <v/>
      </c>
      <c r="D187" s="17" t="str">
        <f aca="false">IFERROR(INDEX(Ref_CTRL!$F$2:$F$201,MATCH(A187,Ref_CTRL!$A$2:$A$201,0)),"")</f>
        <v/>
      </c>
      <c r="E187" s="16"/>
      <c r="F187" s="16"/>
      <c r="G187" s="16"/>
      <c r="H187" s="16"/>
      <c r="I187" s="16"/>
      <c r="J187" s="17" t="str">
        <f aca="false">IFERROR(INDEX(Ref_CTRL!$D$2:$D$201,MATCH(A187,Ref_CTRL!$A$2:$A$201,0)),"")</f>
        <v/>
      </c>
      <c r="K187" s="16"/>
      <c r="L187" s="16"/>
      <c r="M187" s="18"/>
      <c r="N187" s="16"/>
      <c r="O187" s="17" t="str">
        <f aca="false">IF(A187="","",IF(COUNTIF(Ref_CTRL!$A$2:$A$201,A187)=0,"CTRL-ID not in W05",IF(L187="","Owner status needed",IF(AND(L187="Confirmed",OR(E187="",G187="")),"Confirmed needs control and evidence owner",IF(AND(L187="Confirmed",M187=""),"Date confirmed needed",IF(AND(L187="Outstanding",N187=""),"Follow-up needed",IF(AND(C187="Y",K187=""),"Walkthrough contact needed (key control)","OK")))))))</f>
        <v/>
      </c>
    </row>
    <row r="188" customFormat="false" ht="15" hidden="false" customHeight="false" outlineLevel="0" collapsed="false">
      <c r="A188" s="16"/>
      <c r="B188" s="17" t="str">
        <f aca="false">IFERROR(INDEX(Ref_CTRL!$B$2:$B$201,MATCH(A188,Ref_CTRL!$A$2:$A$201,0)),"")</f>
        <v/>
      </c>
      <c r="C188" s="17" t="str">
        <f aca="false">IFERROR(INDEX(Ref_CTRL!$E$2:$E$201,MATCH(A188,Ref_CTRL!$A$2:$A$201,0)),"")</f>
        <v/>
      </c>
      <c r="D188" s="17" t="str">
        <f aca="false">IFERROR(INDEX(Ref_CTRL!$F$2:$F$201,MATCH(A188,Ref_CTRL!$A$2:$A$201,0)),"")</f>
        <v/>
      </c>
      <c r="E188" s="16"/>
      <c r="F188" s="16"/>
      <c r="G188" s="16"/>
      <c r="H188" s="16"/>
      <c r="I188" s="16"/>
      <c r="J188" s="17" t="str">
        <f aca="false">IFERROR(INDEX(Ref_CTRL!$D$2:$D$201,MATCH(A188,Ref_CTRL!$A$2:$A$201,0)),"")</f>
        <v/>
      </c>
      <c r="K188" s="16"/>
      <c r="L188" s="16"/>
      <c r="M188" s="18"/>
      <c r="N188" s="16"/>
      <c r="O188" s="17" t="str">
        <f aca="false">IF(A188="","",IF(COUNTIF(Ref_CTRL!$A$2:$A$201,A188)=0,"CTRL-ID not in W05",IF(L188="","Owner status needed",IF(AND(L188="Confirmed",OR(E188="",G188="")),"Confirmed needs control and evidence owner",IF(AND(L188="Confirmed",M188=""),"Date confirmed needed",IF(AND(L188="Outstanding",N188=""),"Follow-up needed",IF(AND(C188="Y",K188=""),"Walkthrough contact needed (key control)","OK")))))))</f>
        <v/>
      </c>
    </row>
    <row r="189" customFormat="false" ht="15" hidden="false" customHeight="false" outlineLevel="0" collapsed="false">
      <c r="A189" s="16"/>
      <c r="B189" s="17" t="str">
        <f aca="false">IFERROR(INDEX(Ref_CTRL!$B$2:$B$201,MATCH(A189,Ref_CTRL!$A$2:$A$201,0)),"")</f>
        <v/>
      </c>
      <c r="C189" s="17" t="str">
        <f aca="false">IFERROR(INDEX(Ref_CTRL!$E$2:$E$201,MATCH(A189,Ref_CTRL!$A$2:$A$201,0)),"")</f>
        <v/>
      </c>
      <c r="D189" s="17" t="str">
        <f aca="false">IFERROR(INDEX(Ref_CTRL!$F$2:$F$201,MATCH(A189,Ref_CTRL!$A$2:$A$201,0)),"")</f>
        <v/>
      </c>
      <c r="E189" s="16"/>
      <c r="F189" s="16"/>
      <c r="G189" s="16"/>
      <c r="H189" s="16"/>
      <c r="I189" s="16"/>
      <c r="J189" s="17" t="str">
        <f aca="false">IFERROR(INDEX(Ref_CTRL!$D$2:$D$201,MATCH(A189,Ref_CTRL!$A$2:$A$201,0)),"")</f>
        <v/>
      </c>
      <c r="K189" s="16"/>
      <c r="L189" s="16"/>
      <c r="M189" s="18"/>
      <c r="N189" s="16"/>
      <c r="O189" s="17" t="str">
        <f aca="false">IF(A189="","",IF(COUNTIF(Ref_CTRL!$A$2:$A$201,A189)=0,"CTRL-ID not in W05",IF(L189="","Owner status needed",IF(AND(L189="Confirmed",OR(E189="",G189="")),"Confirmed needs control and evidence owner",IF(AND(L189="Confirmed",M189=""),"Date confirmed needed",IF(AND(L189="Outstanding",N189=""),"Follow-up needed",IF(AND(C189="Y",K189=""),"Walkthrough contact needed (key control)","OK")))))))</f>
        <v/>
      </c>
    </row>
    <row r="190" customFormat="false" ht="15" hidden="false" customHeight="false" outlineLevel="0" collapsed="false">
      <c r="A190" s="16"/>
      <c r="B190" s="17" t="str">
        <f aca="false">IFERROR(INDEX(Ref_CTRL!$B$2:$B$201,MATCH(A190,Ref_CTRL!$A$2:$A$201,0)),"")</f>
        <v/>
      </c>
      <c r="C190" s="17" t="str">
        <f aca="false">IFERROR(INDEX(Ref_CTRL!$E$2:$E$201,MATCH(A190,Ref_CTRL!$A$2:$A$201,0)),"")</f>
        <v/>
      </c>
      <c r="D190" s="17" t="str">
        <f aca="false">IFERROR(INDEX(Ref_CTRL!$F$2:$F$201,MATCH(A190,Ref_CTRL!$A$2:$A$201,0)),"")</f>
        <v/>
      </c>
      <c r="E190" s="16"/>
      <c r="F190" s="16"/>
      <c r="G190" s="16"/>
      <c r="H190" s="16"/>
      <c r="I190" s="16"/>
      <c r="J190" s="17" t="str">
        <f aca="false">IFERROR(INDEX(Ref_CTRL!$D$2:$D$201,MATCH(A190,Ref_CTRL!$A$2:$A$201,0)),"")</f>
        <v/>
      </c>
      <c r="K190" s="16"/>
      <c r="L190" s="16"/>
      <c r="M190" s="18"/>
      <c r="N190" s="16"/>
      <c r="O190" s="17" t="str">
        <f aca="false">IF(A190="","",IF(COUNTIF(Ref_CTRL!$A$2:$A$201,A190)=0,"CTRL-ID not in W05",IF(L190="","Owner status needed",IF(AND(L190="Confirmed",OR(E190="",G190="")),"Confirmed needs control and evidence owner",IF(AND(L190="Confirmed",M190=""),"Date confirmed needed",IF(AND(L190="Outstanding",N190=""),"Follow-up needed",IF(AND(C190="Y",K190=""),"Walkthrough contact needed (key control)","OK")))))))</f>
        <v/>
      </c>
    </row>
    <row r="191" customFormat="false" ht="15" hidden="false" customHeight="false" outlineLevel="0" collapsed="false">
      <c r="A191" s="16"/>
      <c r="B191" s="17" t="str">
        <f aca="false">IFERROR(INDEX(Ref_CTRL!$B$2:$B$201,MATCH(A191,Ref_CTRL!$A$2:$A$201,0)),"")</f>
        <v/>
      </c>
      <c r="C191" s="17" t="str">
        <f aca="false">IFERROR(INDEX(Ref_CTRL!$E$2:$E$201,MATCH(A191,Ref_CTRL!$A$2:$A$201,0)),"")</f>
        <v/>
      </c>
      <c r="D191" s="17" t="str">
        <f aca="false">IFERROR(INDEX(Ref_CTRL!$F$2:$F$201,MATCH(A191,Ref_CTRL!$A$2:$A$201,0)),"")</f>
        <v/>
      </c>
      <c r="E191" s="16"/>
      <c r="F191" s="16"/>
      <c r="G191" s="16"/>
      <c r="H191" s="16"/>
      <c r="I191" s="16"/>
      <c r="J191" s="17" t="str">
        <f aca="false">IFERROR(INDEX(Ref_CTRL!$D$2:$D$201,MATCH(A191,Ref_CTRL!$A$2:$A$201,0)),"")</f>
        <v/>
      </c>
      <c r="K191" s="16"/>
      <c r="L191" s="16"/>
      <c r="M191" s="18"/>
      <c r="N191" s="16"/>
      <c r="O191" s="17" t="str">
        <f aca="false">IF(A191="","",IF(COUNTIF(Ref_CTRL!$A$2:$A$201,A191)=0,"CTRL-ID not in W05",IF(L191="","Owner status needed",IF(AND(L191="Confirmed",OR(E191="",G191="")),"Confirmed needs control and evidence owner",IF(AND(L191="Confirmed",M191=""),"Date confirmed needed",IF(AND(L191="Outstanding",N191=""),"Follow-up needed",IF(AND(C191="Y",K191=""),"Walkthrough contact needed (key control)","OK")))))))</f>
        <v/>
      </c>
    </row>
    <row r="192" customFormat="false" ht="15" hidden="false" customHeight="false" outlineLevel="0" collapsed="false">
      <c r="A192" s="16"/>
      <c r="B192" s="17" t="str">
        <f aca="false">IFERROR(INDEX(Ref_CTRL!$B$2:$B$201,MATCH(A192,Ref_CTRL!$A$2:$A$201,0)),"")</f>
        <v/>
      </c>
      <c r="C192" s="17" t="str">
        <f aca="false">IFERROR(INDEX(Ref_CTRL!$E$2:$E$201,MATCH(A192,Ref_CTRL!$A$2:$A$201,0)),"")</f>
        <v/>
      </c>
      <c r="D192" s="17" t="str">
        <f aca="false">IFERROR(INDEX(Ref_CTRL!$F$2:$F$201,MATCH(A192,Ref_CTRL!$A$2:$A$201,0)),"")</f>
        <v/>
      </c>
      <c r="E192" s="16"/>
      <c r="F192" s="16"/>
      <c r="G192" s="16"/>
      <c r="H192" s="16"/>
      <c r="I192" s="16"/>
      <c r="J192" s="17" t="str">
        <f aca="false">IFERROR(INDEX(Ref_CTRL!$D$2:$D$201,MATCH(A192,Ref_CTRL!$A$2:$A$201,0)),"")</f>
        <v/>
      </c>
      <c r="K192" s="16"/>
      <c r="L192" s="16"/>
      <c r="M192" s="18"/>
      <c r="N192" s="16"/>
      <c r="O192" s="17" t="str">
        <f aca="false">IF(A192="","",IF(COUNTIF(Ref_CTRL!$A$2:$A$201,A192)=0,"CTRL-ID not in W05",IF(L192="","Owner status needed",IF(AND(L192="Confirmed",OR(E192="",G192="")),"Confirmed needs control and evidence owner",IF(AND(L192="Confirmed",M192=""),"Date confirmed needed",IF(AND(L192="Outstanding",N192=""),"Follow-up needed",IF(AND(C192="Y",K192=""),"Walkthrough contact needed (key control)","OK")))))))</f>
        <v/>
      </c>
    </row>
    <row r="193" customFormat="false" ht="15" hidden="false" customHeight="false" outlineLevel="0" collapsed="false">
      <c r="A193" s="16"/>
      <c r="B193" s="17" t="str">
        <f aca="false">IFERROR(INDEX(Ref_CTRL!$B$2:$B$201,MATCH(A193,Ref_CTRL!$A$2:$A$201,0)),"")</f>
        <v/>
      </c>
      <c r="C193" s="17" t="str">
        <f aca="false">IFERROR(INDEX(Ref_CTRL!$E$2:$E$201,MATCH(A193,Ref_CTRL!$A$2:$A$201,0)),"")</f>
        <v/>
      </c>
      <c r="D193" s="17" t="str">
        <f aca="false">IFERROR(INDEX(Ref_CTRL!$F$2:$F$201,MATCH(A193,Ref_CTRL!$A$2:$A$201,0)),"")</f>
        <v/>
      </c>
      <c r="E193" s="16"/>
      <c r="F193" s="16"/>
      <c r="G193" s="16"/>
      <c r="H193" s="16"/>
      <c r="I193" s="16"/>
      <c r="J193" s="17" t="str">
        <f aca="false">IFERROR(INDEX(Ref_CTRL!$D$2:$D$201,MATCH(A193,Ref_CTRL!$A$2:$A$201,0)),"")</f>
        <v/>
      </c>
      <c r="K193" s="16"/>
      <c r="L193" s="16"/>
      <c r="M193" s="18"/>
      <c r="N193" s="16"/>
      <c r="O193" s="17" t="str">
        <f aca="false">IF(A193="","",IF(COUNTIF(Ref_CTRL!$A$2:$A$201,A193)=0,"CTRL-ID not in W05",IF(L193="","Owner status needed",IF(AND(L193="Confirmed",OR(E193="",G193="")),"Confirmed needs control and evidence owner",IF(AND(L193="Confirmed",M193=""),"Date confirmed needed",IF(AND(L193="Outstanding",N193=""),"Follow-up needed",IF(AND(C193="Y",K193=""),"Walkthrough contact needed (key control)","OK")))))))</f>
        <v/>
      </c>
    </row>
    <row r="194" customFormat="false" ht="15" hidden="false" customHeight="false" outlineLevel="0" collapsed="false">
      <c r="A194" s="16"/>
      <c r="B194" s="17" t="str">
        <f aca="false">IFERROR(INDEX(Ref_CTRL!$B$2:$B$201,MATCH(A194,Ref_CTRL!$A$2:$A$201,0)),"")</f>
        <v/>
      </c>
      <c r="C194" s="17" t="str">
        <f aca="false">IFERROR(INDEX(Ref_CTRL!$E$2:$E$201,MATCH(A194,Ref_CTRL!$A$2:$A$201,0)),"")</f>
        <v/>
      </c>
      <c r="D194" s="17" t="str">
        <f aca="false">IFERROR(INDEX(Ref_CTRL!$F$2:$F$201,MATCH(A194,Ref_CTRL!$A$2:$A$201,0)),"")</f>
        <v/>
      </c>
      <c r="E194" s="16"/>
      <c r="F194" s="16"/>
      <c r="G194" s="16"/>
      <c r="H194" s="16"/>
      <c r="I194" s="16"/>
      <c r="J194" s="17" t="str">
        <f aca="false">IFERROR(INDEX(Ref_CTRL!$D$2:$D$201,MATCH(A194,Ref_CTRL!$A$2:$A$201,0)),"")</f>
        <v/>
      </c>
      <c r="K194" s="16"/>
      <c r="L194" s="16"/>
      <c r="M194" s="18"/>
      <c r="N194" s="16"/>
      <c r="O194" s="17" t="str">
        <f aca="false">IF(A194="","",IF(COUNTIF(Ref_CTRL!$A$2:$A$201,A194)=0,"CTRL-ID not in W05",IF(L194="","Owner status needed",IF(AND(L194="Confirmed",OR(E194="",G194="")),"Confirmed needs control and evidence owner",IF(AND(L194="Confirmed",M194=""),"Date confirmed needed",IF(AND(L194="Outstanding",N194=""),"Follow-up needed",IF(AND(C194="Y",K194=""),"Walkthrough contact needed (key control)","OK")))))))</f>
        <v/>
      </c>
    </row>
    <row r="195" customFormat="false" ht="15" hidden="false" customHeight="false" outlineLevel="0" collapsed="false">
      <c r="A195" s="16"/>
      <c r="B195" s="17" t="str">
        <f aca="false">IFERROR(INDEX(Ref_CTRL!$B$2:$B$201,MATCH(A195,Ref_CTRL!$A$2:$A$201,0)),"")</f>
        <v/>
      </c>
      <c r="C195" s="17" t="str">
        <f aca="false">IFERROR(INDEX(Ref_CTRL!$E$2:$E$201,MATCH(A195,Ref_CTRL!$A$2:$A$201,0)),"")</f>
        <v/>
      </c>
      <c r="D195" s="17" t="str">
        <f aca="false">IFERROR(INDEX(Ref_CTRL!$F$2:$F$201,MATCH(A195,Ref_CTRL!$A$2:$A$201,0)),"")</f>
        <v/>
      </c>
      <c r="E195" s="16"/>
      <c r="F195" s="16"/>
      <c r="G195" s="16"/>
      <c r="H195" s="16"/>
      <c r="I195" s="16"/>
      <c r="J195" s="17" t="str">
        <f aca="false">IFERROR(INDEX(Ref_CTRL!$D$2:$D$201,MATCH(A195,Ref_CTRL!$A$2:$A$201,0)),"")</f>
        <v/>
      </c>
      <c r="K195" s="16"/>
      <c r="L195" s="16"/>
      <c r="M195" s="18"/>
      <c r="N195" s="16"/>
      <c r="O195" s="17" t="str">
        <f aca="false">IF(A195="","",IF(COUNTIF(Ref_CTRL!$A$2:$A$201,A195)=0,"CTRL-ID not in W05",IF(L195="","Owner status needed",IF(AND(L195="Confirmed",OR(E195="",G195="")),"Confirmed needs control and evidence owner",IF(AND(L195="Confirmed",M195=""),"Date confirmed needed",IF(AND(L195="Outstanding",N195=""),"Follow-up needed",IF(AND(C195="Y",K195=""),"Walkthrough contact needed (key control)","OK")))))))</f>
        <v/>
      </c>
    </row>
    <row r="196" customFormat="false" ht="15" hidden="false" customHeight="false" outlineLevel="0" collapsed="false">
      <c r="A196" s="16"/>
      <c r="B196" s="17" t="str">
        <f aca="false">IFERROR(INDEX(Ref_CTRL!$B$2:$B$201,MATCH(A196,Ref_CTRL!$A$2:$A$201,0)),"")</f>
        <v/>
      </c>
      <c r="C196" s="17" t="str">
        <f aca="false">IFERROR(INDEX(Ref_CTRL!$E$2:$E$201,MATCH(A196,Ref_CTRL!$A$2:$A$201,0)),"")</f>
        <v/>
      </c>
      <c r="D196" s="17" t="str">
        <f aca="false">IFERROR(INDEX(Ref_CTRL!$F$2:$F$201,MATCH(A196,Ref_CTRL!$A$2:$A$201,0)),"")</f>
        <v/>
      </c>
      <c r="E196" s="16"/>
      <c r="F196" s="16"/>
      <c r="G196" s="16"/>
      <c r="H196" s="16"/>
      <c r="I196" s="16"/>
      <c r="J196" s="17" t="str">
        <f aca="false">IFERROR(INDEX(Ref_CTRL!$D$2:$D$201,MATCH(A196,Ref_CTRL!$A$2:$A$201,0)),"")</f>
        <v/>
      </c>
      <c r="K196" s="16"/>
      <c r="L196" s="16"/>
      <c r="M196" s="18"/>
      <c r="N196" s="16"/>
      <c r="O196" s="17" t="str">
        <f aca="false">IF(A196="","",IF(COUNTIF(Ref_CTRL!$A$2:$A$201,A196)=0,"CTRL-ID not in W05",IF(L196="","Owner status needed",IF(AND(L196="Confirmed",OR(E196="",G196="")),"Confirmed needs control and evidence owner",IF(AND(L196="Confirmed",M196=""),"Date confirmed needed",IF(AND(L196="Outstanding",N196=""),"Follow-up needed",IF(AND(C196="Y",K196=""),"Walkthrough contact needed (key control)","OK")))))))</f>
        <v/>
      </c>
    </row>
    <row r="197" customFormat="false" ht="15" hidden="false" customHeight="false" outlineLevel="0" collapsed="false">
      <c r="A197" s="16"/>
      <c r="B197" s="17" t="str">
        <f aca="false">IFERROR(INDEX(Ref_CTRL!$B$2:$B$201,MATCH(A197,Ref_CTRL!$A$2:$A$201,0)),"")</f>
        <v/>
      </c>
      <c r="C197" s="17" t="str">
        <f aca="false">IFERROR(INDEX(Ref_CTRL!$E$2:$E$201,MATCH(A197,Ref_CTRL!$A$2:$A$201,0)),"")</f>
        <v/>
      </c>
      <c r="D197" s="17" t="str">
        <f aca="false">IFERROR(INDEX(Ref_CTRL!$F$2:$F$201,MATCH(A197,Ref_CTRL!$A$2:$A$201,0)),"")</f>
        <v/>
      </c>
      <c r="E197" s="16"/>
      <c r="F197" s="16"/>
      <c r="G197" s="16"/>
      <c r="H197" s="16"/>
      <c r="I197" s="16"/>
      <c r="J197" s="17" t="str">
        <f aca="false">IFERROR(INDEX(Ref_CTRL!$D$2:$D$201,MATCH(A197,Ref_CTRL!$A$2:$A$201,0)),"")</f>
        <v/>
      </c>
      <c r="K197" s="16"/>
      <c r="L197" s="16"/>
      <c r="M197" s="18"/>
      <c r="N197" s="16"/>
      <c r="O197" s="17" t="str">
        <f aca="false">IF(A197="","",IF(COUNTIF(Ref_CTRL!$A$2:$A$201,A197)=0,"CTRL-ID not in W05",IF(L197="","Owner status needed",IF(AND(L197="Confirmed",OR(E197="",G197="")),"Confirmed needs control and evidence owner",IF(AND(L197="Confirmed",M197=""),"Date confirmed needed",IF(AND(L197="Outstanding",N197=""),"Follow-up needed",IF(AND(C197="Y",K197=""),"Walkthrough contact needed (key control)","OK")))))))</f>
        <v/>
      </c>
    </row>
    <row r="198" customFormat="false" ht="15" hidden="false" customHeight="false" outlineLevel="0" collapsed="false">
      <c r="A198" s="16"/>
      <c r="B198" s="17" t="str">
        <f aca="false">IFERROR(INDEX(Ref_CTRL!$B$2:$B$201,MATCH(A198,Ref_CTRL!$A$2:$A$201,0)),"")</f>
        <v/>
      </c>
      <c r="C198" s="17" t="str">
        <f aca="false">IFERROR(INDEX(Ref_CTRL!$E$2:$E$201,MATCH(A198,Ref_CTRL!$A$2:$A$201,0)),"")</f>
        <v/>
      </c>
      <c r="D198" s="17" t="str">
        <f aca="false">IFERROR(INDEX(Ref_CTRL!$F$2:$F$201,MATCH(A198,Ref_CTRL!$A$2:$A$201,0)),"")</f>
        <v/>
      </c>
      <c r="E198" s="16"/>
      <c r="F198" s="16"/>
      <c r="G198" s="16"/>
      <c r="H198" s="16"/>
      <c r="I198" s="16"/>
      <c r="J198" s="17" t="str">
        <f aca="false">IFERROR(INDEX(Ref_CTRL!$D$2:$D$201,MATCH(A198,Ref_CTRL!$A$2:$A$201,0)),"")</f>
        <v/>
      </c>
      <c r="K198" s="16"/>
      <c r="L198" s="16"/>
      <c r="M198" s="18"/>
      <c r="N198" s="16"/>
      <c r="O198" s="17" t="str">
        <f aca="false">IF(A198="","",IF(COUNTIF(Ref_CTRL!$A$2:$A$201,A198)=0,"CTRL-ID not in W05",IF(L198="","Owner status needed",IF(AND(L198="Confirmed",OR(E198="",G198="")),"Confirmed needs control and evidence owner",IF(AND(L198="Confirmed",M198=""),"Date confirmed needed",IF(AND(L198="Outstanding",N198=""),"Follow-up needed",IF(AND(C198="Y",K198=""),"Walkthrough contact needed (key control)","OK")))))))</f>
        <v/>
      </c>
    </row>
    <row r="199" customFormat="false" ht="15" hidden="false" customHeight="false" outlineLevel="0" collapsed="false">
      <c r="A199" s="16"/>
      <c r="B199" s="17" t="str">
        <f aca="false">IFERROR(INDEX(Ref_CTRL!$B$2:$B$201,MATCH(A199,Ref_CTRL!$A$2:$A$201,0)),"")</f>
        <v/>
      </c>
      <c r="C199" s="17" t="str">
        <f aca="false">IFERROR(INDEX(Ref_CTRL!$E$2:$E$201,MATCH(A199,Ref_CTRL!$A$2:$A$201,0)),"")</f>
        <v/>
      </c>
      <c r="D199" s="17" t="str">
        <f aca="false">IFERROR(INDEX(Ref_CTRL!$F$2:$F$201,MATCH(A199,Ref_CTRL!$A$2:$A$201,0)),"")</f>
        <v/>
      </c>
      <c r="E199" s="16"/>
      <c r="F199" s="16"/>
      <c r="G199" s="16"/>
      <c r="H199" s="16"/>
      <c r="I199" s="16"/>
      <c r="J199" s="17" t="str">
        <f aca="false">IFERROR(INDEX(Ref_CTRL!$D$2:$D$201,MATCH(A199,Ref_CTRL!$A$2:$A$201,0)),"")</f>
        <v/>
      </c>
      <c r="K199" s="16"/>
      <c r="L199" s="16"/>
      <c r="M199" s="18"/>
      <c r="N199" s="16"/>
      <c r="O199" s="17" t="str">
        <f aca="false">IF(A199="","",IF(COUNTIF(Ref_CTRL!$A$2:$A$201,A199)=0,"CTRL-ID not in W05",IF(L199="","Owner status needed",IF(AND(L199="Confirmed",OR(E199="",G199="")),"Confirmed needs control and evidence owner",IF(AND(L199="Confirmed",M199=""),"Date confirmed needed",IF(AND(L199="Outstanding",N199=""),"Follow-up needed",IF(AND(C199="Y",K199=""),"Walkthrough contact needed (key control)","OK")))))))</f>
        <v/>
      </c>
    </row>
    <row r="200" customFormat="false" ht="15" hidden="false" customHeight="false" outlineLevel="0" collapsed="false">
      <c r="A200" s="16"/>
      <c r="B200" s="17" t="str">
        <f aca="false">IFERROR(INDEX(Ref_CTRL!$B$2:$B$201,MATCH(A200,Ref_CTRL!$A$2:$A$201,0)),"")</f>
        <v/>
      </c>
      <c r="C200" s="17" t="str">
        <f aca="false">IFERROR(INDEX(Ref_CTRL!$E$2:$E$201,MATCH(A200,Ref_CTRL!$A$2:$A$201,0)),"")</f>
        <v/>
      </c>
      <c r="D200" s="17" t="str">
        <f aca="false">IFERROR(INDEX(Ref_CTRL!$F$2:$F$201,MATCH(A200,Ref_CTRL!$A$2:$A$201,0)),"")</f>
        <v/>
      </c>
      <c r="E200" s="16"/>
      <c r="F200" s="16"/>
      <c r="G200" s="16"/>
      <c r="H200" s="16"/>
      <c r="I200" s="16"/>
      <c r="J200" s="17" t="str">
        <f aca="false">IFERROR(INDEX(Ref_CTRL!$D$2:$D$201,MATCH(A200,Ref_CTRL!$A$2:$A$201,0)),"")</f>
        <v/>
      </c>
      <c r="K200" s="16"/>
      <c r="L200" s="16"/>
      <c r="M200" s="18"/>
      <c r="N200" s="16"/>
      <c r="O200" s="17" t="str">
        <f aca="false">IF(A200="","",IF(COUNTIF(Ref_CTRL!$A$2:$A$201,A200)=0,"CTRL-ID not in W05",IF(L200="","Owner status needed",IF(AND(L200="Confirmed",OR(E200="",G200="")),"Confirmed needs control and evidence owner",IF(AND(L200="Confirmed",M200=""),"Date confirmed needed",IF(AND(L200="Outstanding",N200=""),"Follow-up needed",IF(AND(C200="Y",K200=""),"Walkthrough contact needed (key control)","OK")))))))</f>
        <v/>
      </c>
    </row>
    <row r="201" customFormat="false" ht="15" hidden="false" customHeight="false" outlineLevel="0" collapsed="false">
      <c r="A201" s="16"/>
      <c r="B201" s="17" t="str">
        <f aca="false">IFERROR(INDEX(Ref_CTRL!$B$2:$B$201,MATCH(A201,Ref_CTRL!$A$2:$A$201,0)),"")</f>
        <v/>
      </c>
      <c r="C201" s="17" t="str">
        <f aca="false">IFERROR(INDEX(Ref_CTRL!$E$2:$E$201,MATCH(A201,Ref_CTRL!$A$2:$A$201,0)),"")</f>
        <v/>
      </c>
      <c r="D201" s="17" t="str">
        <f aca="false">IFERROR(INDEX(Ref_CTRL!$F$2:$F$201,MATCH(A201,Ref_CTRL!$A$2:$A$201,0)),"")</f>
        <v/>
      </c>
      <c r="E201" s="16"/>
      <c r="F201" s="16"/>
      <c r="G201" s="16"/>
      <c r="H201" s="16"/>
      <c r="I201" s="16"/>
      <c r="J201" s="17" t="str">
        <f aca="false">IFERROR(INDEX(Ref_CTRL!$D$2:$D$201,MATCH(A201,Ref_CTRL!$A$2:$A$201,0)),"")</f>
        <v/>
      </c>
      <c r="K201" s="16"/>
      <c r="L201" s="16"/>
      <c r="M201" s="18"/>
      <c r="N201" s="16"/>
      <c r="O201" s="17" t="str">
        <f aca="false">IF(A201="","",IF(COUNTIF(Ref_CTRL!$A$2:$A$201,A201)=0,"CTRL-ID not in W05",IF(L201="","Owner status needed",IF(AND(L201="Confirmed",OR(E201="",G201="")),"Confirmed needs control and evidence owner",IF(AND(L201="Confirmed",M201=""),"Date confirmed needed",IF(AND(L201="Outstanding",N201=""),"Follow-up needed",IF(AND(C201="Y",K201=""),"Walkthrough contact needed (key control)","OK")))))))</f>
        <v/>
      </c>
    </row>
    <row r="202" customFormat="false" ht="15" hidden="false" customHeight="false" outlineLevel="0" collapsed="false">
      <c r="A202" s="16"/>
      <c r="B202" s="17" t="str">
        <f aca="false">IFERROR(INDEX(Ref_CTRL!$B$2:$B$201,MATCH(A202,Ref_CTRL!$A$2:$A$201,0)),"")</f>
        <v/>
      </c>
      <c r="C202" s="17" t="str">
        <f aca="false">IFERROR(INDEX(Ref_CTRL!$E$2:$E$201,MATCH(A202,Ref_CTRL!$A$2:$A$201,0)),"")</f>
        <v/>
      </c>
      <c r="D202" s="17" t="str">
        <f aca="false">IFERROR(INDEX(Ref_CTRL!$F$2:$F$201,MATCH(A202,Ref_CTRL!$A$2:$A$201,0)),"")</f>
        <v/>
      </c>
      <c r="E202" s="16"/>
      <c r="F202" s="16"/>
      <c r="G202" s="16"/>
      <c r="H202" s="16"/>
      <c r="I202" s="16"/>
      <c r="J202" s="17" t="str">
        <f aca="false">IFERROR(INDEX(Ref_CTRL!$D$2:$D$201,MATCH(A202,Ref_CTRL!$A$2:$A$201,0)),"")</f>
        <v/>
      </c>
      <c r="K202" s="16"/>
      <c r="L202" s="16"/>
      <c r="M202" s="18"/>
      <c r="N202" s="16"/>
      <c r="O202" s="17" t="str">
        <f aca="false">IF(A202="","",IF(COUNTIF(Ref_CTRL!$A$2:$A$201,A202)=0,"CTRL-ID not in W05",IF(L202="","Owner status needed",IF(AND(L202="Confirmed",OR(E202="",G202="")),"Confirmed needs control and evidence owner",IF(AND(L202="Confirmed",M202=""),"Date confirmed needed",IF(AND(L202="Outstanding",N202=""),"Follow-up needed",IF(AND(C202="Y",K202=""),"Walkthrough contact needed (key control)","OK")))))))</f>
        <v/>
      </c>
    </row>
    <row r="203" customFormat="false" ht="15" hidden="false" customHeight="false" outlineLevel="0" collapsed="false">
      <c r="A203" s="16"/>
      <c r="B203" s="17" t="str">
        <f aca="false">IFERROR(INDEX(Ref_CTRL!$B$2:$B$201,MATCH(A203,Ref_CTRL!$A$2:$A$201,0)),"")</f>
        <v/>
      </c>
      <c r="C203" s="17" t="str">
        <f aca="false">IFERROR(INDEX(Ref_CTRL!$E$2:$E$201,MATCH(A203,Ref_CTRL!$A$2:$A$201,0)),"")</f>
        <v/>
      </c>
      <c r="D203" s="17" t="str">
        <f aca="false">IFERROR(INDEX(Ref_CTRL!$F$2:$F$201,MATCH(A203,Ref_CTRL!$A$2:$A$201,0)),"")</f>
        <v/>
      </c>
      <c r="E203" s="16"/>
      <c r="F203" s="16"/>
      <c r="G203" s="16"/>
      <c r="H203" s="16"/>
      <c r="I203" s="16"/>
      <c r="J203" s="17" t="str">
        <f aca="false">IFERROR(INDEX(Ref_CTRL!$D$2:$D$201,MATCH(A203,Ref_CTRL!$A$2:$A$201,0)),"")</f>
        <v/>
      </c>
      <c r="K203" s="16"/>
      <c r="L203" s="16"/>
      <c r="M203" s="18"/>
      <c r="N203" s="16"/>
      <c r="O203" s="17" t="str">
        <f aca="false">IF(A203="","",IF(COUNTIF(Ref_CTRL!$A$2:$A$201,A203)=0,"CTRL-ID not in W05",IF(L203="","Owner status needed",IF(AND(L203="Confirmed",OR(E203="",G203="")),"Confirmed needs control and evidence owner",IF(AND(L203="Confirmed",M203=""),"Date confirmed needed",IF(AND(L203="Outstanding",N203=""),"Follow-up needed",IF(AND(C203="Y",K203=""),"Walkthrough contact needed (key control)","OK")))))))</f>
        <v/>
      </c>
    </row>
    <row r="204" customFormat="false" ht="15" hidden="false" customHeight="false" outlineLevel="0" collapsed="false">
      <c r="A204" s="16"/>
      <c r="B204" s="17" t="str">
        <f aca="false">IFERROR(INDEX(Ref_CTRL!$B$2:$B$201,MATCH(A204,Ref_CTRL!$A$2:$A$201,0)),"")</f>
        <v/>
      </c>
      <c r="C204" s="17" t="str">
        <f aca="false">IFERROR(INDEX(Ref_CTRL!$E$2:$E$201,MATCH(A204,Ref_CTRL!$A$2:$A$201,0)),"")</f>
        <v/>
      </c>
      <c r="D204" s="17" t="str">
        <f aca="false">IFERROR(INDEX(Ref_CTRL!$F$2:$F$201,MATCH(A204,Ref_CTRL!$A$2:$A$201,0)),"")</f>
        <v/>
      </c>
      <c r="E204" s="16"/>
      <c r="F204" s="16"/>
      <c r="G204" s="16"/>
      <c r="H204" s="16"/>
      <c r="I204" s="16"/>
      <c r="J204" s="17" t="str">
        <f aca="false">IFERROR(INDEX(Ref_CTRL!$D$2:$D$201,MATCH(A204,Ref_CTRL!$A$2:$A$201,0)),"")</f>
        <v/>
      </c>
      <c r="K204" s="16"/>
      <c r="L204" s="16"/>
      <c r="M204" s="18"/>
      <c r="N204" s="16"/>
      <c r="O204" s="17" t="str">
        <f aca="false">IF(A204="","",IF(COUNTIF(Ref_CTRL!$A$2:$A$201,A204)=0,"CTRL-ID not in W05",IF(L204="","Owner status needed",IF(AND(L204="Confirmed",OR(E204="",G204="")),"Confirmed needs control and evidence owner",IF(AND(L204="Confirmed",M204=""),"Date confirmed needed",IF(AND(L204="Outstanding",N204=""),"Follow-up needed",IF(AND(C204="Y",K204=""),"Walkthrough contact needed (key control)","OK")))))))</f>
        <v/>
      </c>
    </row>
  </sheetData>
  <autoFilter ref="A4:O204"/>
  <dataValidations count="2">
    <dataValidation allowBlank="true" error="Pick a value from the list." errorStyle="warning" operator="between" showDropDown="false" showErrorMessage="true" showInputMessage="false" sqref="A5:A204" type="list">
      <formula1>Ref_CTRL!$A$2:$A$201</formula1>
      <formula2>0</formula2>
    </dataValidation>
    <dataValidation allowBlank="true" error="Pick a value from the list." errorStyle="stop" operator="between" showDropDown="false" showErrorMessage="true" showInputMessage="false" sqref="L5:L204"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50"/>
    <col collapsed="false" customWidth="true" hidden="false" outlineLevel="0" max="4" min="4" style="0" width="18"/>
    <col collapsed="false" customWidth="true" hidden="false" outlineLevel="0" max="6" min="5" style="0" width="12"/>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9" t="s">
        <v>100</v>
      </c>
    </row>
    <row r="2" customFormat="false" ht="15" hidden="false" customHeight="false" outlineLevel="0" collapsed="false">
      <c r="A2" s="10" t="s">
        <v>101</v>
      </c>
    </row>
    <row r="4" customFormat="false" ht="31.5" hidden="false" customHeight="true" outlineLevel="0" collapsed="false">
      <c r="A4" s="11" t="s">
        <v>66</v>
      </c>
      <c r="B4" s="11" t="s">
        <v>69</v>
      </c>
      <c r="C4" s="11" t="s">
        <v>72</v>
      </c>
      <c r="D4" s="11" t="s">
        <v>75</v>
      </c>
      <c r="E4" s="11" t="s">
        <v>78</v>
      </c>
      <c r="F4" s="11" t="s">
        <v>81</v>
      </c>
      <c r="G4" s="11" t="s">
        <v>83</v>
      </c>
      <c r="H4" s="11" t="s">
        <v>86</v>
      </c>
    </row>
    <row r="5" customFormat="false" ht="15" hidden="false" customHeight="false" outlineLevel="0" collapsed="false">
      <c r="A5" s="13" t="s">
        <v>102</v>
      </c>
      <c r="B5" s="13" t="s">
        <v>103</v>
      </c>
      <c r="C5" s="13" t="s">
        <v>104</v>
      </c>
      <c r="D5" s="13" t="s">
        <v>105</v>
      </c>
      <c r="E5" s="15"/>
      <c r="F5" s="15"/>
      <c r="G5" s="13" t="s">
        <v>106</v>
      </c>
      <c r="H5" s="13"/>
    </row>
    <row r="6" customFormat="false" ht="15" hidden="false" customHeight="false" outlineLevel="0" collapsed="false">
      <c r="A6" s="16"/>
      <c r="B6" s="16"/>
      <c r="C6" s="16"/>
      <c r="D6" s="16"/>
      <c r="E6" s="18"/>
      <c r="F6" s="18"/>
      <c r="G6" s="16"/>
      <c r="H6" s="16"/>
    </row>
    <row r="7" customFormat="false" ht="15" hidden="false" customHeight="false" outlineLevel="0" collapsed="false">
      <c r="A7" s="16"/>
      <c r="B7" s="16"/>
      <c r="C7" s="16"/>
      <c r="D7" s="16"/>
      <c r="E7" s="18"/>
      <c r="F7" s="18"/>
      <c r="G7" s="16"/>
      <c r="H7" s="16"/>
    </row>
    <row r="8" customFormat="false" ht="15" hidden="false" customHeight="false" outlineLevel="0" collapsed="false">
      <c r="A8" s="16"/>
      <c r="B8" s="16"/>
      <c r="C8" s="16"/>
      <c r="D8" s="16"/>
      <c r="E8" s="18"/>
      <c r="F8" s="18"/>
      <c r="G8" s="16"/>
      <c r="H8" s="16"/>
    </row>
    <row r="9" customFormat="false" ht="15" hidden="false" customHeight="false" outlineLevel="0" collapsed="false">
      <c r="A9" s="16"/>
      <c r="B9" s="16"/>
      <c r="C9" s="16"/>
      <c r="D9" s="16"/>
      <c r="E9" s="18"/>
      <c r="F9" s="18"/>
      <c r="G9" s="16"/>
      <c r="H9" s="16"/>
    </row>
    <row r="10" customFormat="false" ht="15" hidden="false" customHeight="false" outlineLevel="0" collapsed="false">
      <c r="A10" s="16"/>
      <c r="B10" s="16"/>
      <c r="C10" s="16"/>
      <c r="D10" s="16"/>
      <c r="E10" s="18"/>
      <c r="F10" s="18"/>
      <c r="G10" s="16"/>
      <c r="H10" s="16"/>
    </row>
    <row r="11" customFormat="false" ht="15" hidden="false" customHeight="false" outlineLevel="0" collapsed="false">
      <c r="A11" s="16"/>
      <c r="B11" s="16"/>
      <c r="C11" s="16"/>
      <c r="D11" s="16"/>
      <c r="E11" s="18"/>
      <c r="F11" s="18"/>
      <c r="G11" s="16"/>
      <c r="H11" s="16"/>
    </row>
    <row r="12" customFormat="false" ht="15" hidden="false" customHeight="false" outlineLevel="0" collapsed="false">
      <c r="A12" s="16"/>
      <c r="B12" s="16"/>
      <c r="C12" s="16"/>
      <c r="D12" s="16"/>
      <c r="E12" s="18"/>
      <c r="F12" s="18"/>
      <c r="G12" s="16"/>
      <c r="H12" s="16"/>
    </row>
    <row r="13" customFormat="false" ht="15" hidden="false" customHeight="false" outlineLevel="0" collapsed="false">
      <c r="A13" s="16"/>
      <c r="B13" s="16"/>
      <c r="C13" s="16"/>
      <c r="D13" s="16"/>
      <c r="E13" s="18"/>
      <c r="F13" s="18"/>
      <c r="G13" s="16"/>
      <c r="H13" s="16"/>
    </row>
    <row r="14" customFormat="false" ht="15" hidden="false" customHeight="false" outlineLevel="0" collapsed="false">
      <c r="A14" s="16"/>
      <c r="B14" s="16"/>
      <c r="C14" s="16"/>
      <c r="D14" s="16"/>
      <c r="E14" s="18"/>
      <c r="F14" s="18"/>
      <c r="G14" s="16"/>
      <c r="H14" s="16"/>
    </row>
    <row r="15" customFormat="false" ht="15" hidden="false" customHeight="false" outlineLevel="0" collapsed="false">
      <c r="A15" s="16"/>
      <c r="B15" s="16"/>
      <c r="C15" s="16"/>
      <c r="D15" s="16"/>
      <c r="E15" s="18"/>
      <c r="F15" s="18"/>
      <c r="G15" s="16"/>
      <c r="H15" s="16"/>
    </row>
    <row r="16" customFormat="false" ht="15" hidden="false" customHeight="false" outlineLevel="0" collapsed="false">
      <c r="A16" s="16"/>
      <c r="B16" s="16"/>
      <c r="C16" s="16"/>
      <c r="D16" s="16"/>
      <c r="E16" s="18"/>
      <c r="F16" s="18"/>
      <c r="G16" s="16"/>
      <c r="H16" s="16"/>
    </row>
    <row r="17" customFormat="false" ht="15" hidden="false" customHeight="false" outlineLevel="0" collapsed="false">
      <c r="A17" s="16"/>
      <c r="B17" s="16"/>
      <c r="C17" s="16"/>
      <c r="D17" s="16"/>
      <c r="E17" s="18"/>
      <c r="F17" s="18"/>
      <c r="G17" s="16"/>
      <c r="H17" s="16"/>
    </row>
    <row r="18" customFormat="false" ht="15" hidden="false" customHeight="false" outlineLevel="0" collapsed="false">
      <c r="A18" s="16"/>
      <c r="B18" s="16"/>
      <c r="C18" s="16"/>
      <c r="D18" s="16"/>
      <c r="E18" s="18"/>
      <c r="F18" s="18"/>
      <c r="G18" s="16"/>
      <c r="H18" s="16"/>
    </row>
    <row r="19" customFormat="false" ht="15" hidden="false" customHeight="false" outlineLevel="0" collapsed="false">
      <c r="A19" s="16"/>
      <c r="B19" s="16"/>
      <c r="C19" s="16"/>
      <c r="D19" s="16"/>
      <c r="E19" s="18"/>
      <c r="F19" s="18"/>
      <c r="G19" s="16"/>
      <c r="H19" s="16"/>
    </row>
    <row r="20" customFormat="false" ht="15" hidden="false" customHeight="false" outlineLevel="0" collapsed="false">
      <c r="A20" s="16"/>
      <c r="B20" s="16"/>
      <c r="C20" s="16"/>
      <c r="D20" s="16"/>
      <c r="E20" s="18"/>
      <c r="F20" s="18"/>
      <c r="G20" s="16"/>
      <c r="H20" s="16"/>
    </row>
    <row r="21" customFormat="false" ht="15" hidden="false" customHeight="false" outlineLevel="0" collapsed="false">
      <c r="A21" s="16"/>
      <c r="B21" s="16"/>
      <c r="C21" s="16"/>
      <c r="D21" s="16"/>
      <c r="E21" s="18"/>
      <c r="F21" s="18"/>
      <c r="G21" s="16"/>
      <c r="H21" s="16"/>
    </row>
    <row r="22" customFormat="false" ht="15" hidden="false" customHeight="false" outlineLevel="0" collapsed="false">
      <c r="A22" s="16"/>
      <c r="B22" s="16"/>
      <c r="C22" s="16"/>
      <c r="D22" s="16"/>
      <c r="E22" s="18"/>
      <c r="F22" s="18"/>
      <c r="G22" s="16"/>
      <c r="H22" s="16"/>
    </row>
    <row r="23" customFormat="false" ht="15" hidden="false" customHeight="false" outlineLevel="0" collapsed="false">
      <c r="A23" s="16"/>
      <c r="B23" s="16"/>
      <c r="C23" s="16"/>
      <c r="D23" s="16"/>
      <c r="E23" s="18"/>
      <c r="F23" s="18"/>
      <c r="G23" s="16"/>
      <c r="H23" s="16"/>
    </row>
    <row r="24" customFormat="false" ht="15" hidden="false" customHeight="false" outlineLevel="0" collapsed="false">
      <c r="A24" s="16"/>
      <c r="B24" s="16"/>
      <c r="C24" s="16"/>
      <c r="D24" s="16"/>
      <c r="E24" s="18"/>
      <c r="F24" s="18"/>
      <c r="G24" s="16"/>
      <c r="H24" s="16"/>
    </row>
    <row r="25" customFormat="false" ht="15" hidden="false" customHeight="false" outlineLevel="0" collapsed="false">
      <c r="A25" s="16"/>
      <c r="B25" s="16"/>
      <c r="C25" s="16"/>
      <c r="D25" s="16"/>
      <c r="E25" s="18"/>
      <c r="F25" s="18"/>
      <c r="G25" s="16"/>
      <c r="H25" s="16"/>
    </row>
    <row r="26" customFormat="false" ht="15" hidden="false" customHeight="false" outlineLevel="0" collapsed="false">
      <c r="A26" s="16"/>
      <c r="B26" s="16"/>
      <c r="C26" s="16"/>
      <c r="D26" s="16"/>
      <c r="E26" s="18"/>
      <c r="F26" s="18"/>
      <c r="G26" s="16"/>
      <c r="H26" s="16"/>
    </row>
    <row r="27" customFormat="false" ht="15" hidden="false" customHeight="false" outlineLevel="0" collapsed="false">
      <c r="A27" s="16"/>
      <c r="B27" s="16"/>
      <c r="C27" s="16"/>
      <c r="D27" s="16"/>
      <c r="E27" s="18"/>
      <c r="F27" s="18"/>
      <c r="G27" s="16"/>
      <c r="H27" s="16"/>
    </row>
    <row r="28" customFormat="false" ht="15" hidden="false" customHeight="false" outlineLevel="0" collapsed="false">
      <c r="A28" s="16"/>
      <c r="B28" s="16"/>
      <c r="C28" s="16"/>
      <c r="D28" s="16"/>
      <c r="E28" s="18"/>
      <c r="F28" s="18"/>
      <c r="G28" s="16"/>
      <c r="H28" s="16"/>
    </row>
    <row r="29" customFormat="false" ht="15" hidden="false" customHeight="false" outlineLevel="0" collapsed="false">
      <c r="A29" s="16"/>
      <c r="B29" s="16"/>
      <c r="C29" s="16"/>
      <c r="D29" s="16"/>
      <c r="E29" s="18"/>
      <c r="F29" s="18"/>
      <c r="G29" s="16"/>
      <c r="H29" s="16"/>
    </row>
    <row r="30" customFormat="false" ht="15" hidden="false" customHeight="false" outlineLevel="0" collapsed="false">
      <c r="A30" s="16"/>
      <c r="B30" s="16"/>
      <c r="C30" s="16"/>
      <c r="D30" s="16"/>
      <c r="E30" s="18"/>
      <c r="F30" s="18"/>
      <c r="G30" s="16"/>
      <c r="H30" s="16"/>
    </row>
    <row r="31" customFormat="false" ht="15" hidden="false" customHeight="false" outlineLevel="0" collapsed="false">
      <c r="A31" s="16"/>
      <c r="B31" s="16"/>
      <c r="C31" s="16"/>
      <c r="D31" s="16"/>
      <c r="E31" s="18"/>
      <c r="F31" s="18"/>
      <c r="G31" s="16"/>
      <c r="H31" s="16"/>
    </row>
    <row r="32" customFormat="false" ht="15" hidden="false" customHeight="false" outlineLevel="0" collapsed="false">
      <c r="A32" s="16"/>
      <c r="B32" s="16"/>
      <c r="C32" s="16"/>
      <c r="D32" s="16"/>
      <c r="E32" s="18"/>
      <c r="F32" s="18"/>
      <c r="G32" s="16"/>
      <c r="H32" s="16"/>
    </row>
    <row r="33" customFormat="false" ht="15" hidden="false" customHeight="false" outlineLevel="0" collapsed="false">
      <c r="A33" s="16"/>
      <c r="B33" s="16"/>
      <c r="C33" s="16"/>
      <c r="D33" s="16"/>
      <c r="E33" s="18"/>
      <c r="F33" s="18"/>
      <c r="G33" s="16"/>
      <c r="H33" s="16"/>
    </row>
    <row r="34" customFormat="false" ht="15" hidden="false" customHeight="false" outlineLevel="0" collapsed="false">
      <c r="A34" s="16"/>
      <c r="B34" s="16"/>
      <c r="C34" s="16"/>
      <c r="D34" s="16"/>
      <c r="E34" s="18"/>
      <c r="F34" s="18"/>
      <c r="G34" s="16"/>
      <c r="H34" s="16"/>
    </row>
    <row r="35" customFormat="false" ht="15" hidden="false" customHeight="false" outlineLevel="0" collapsed="false">
      <c r="A35" s="16"/>
      <c r="B35" s="16"/>
      <c r="C35" s="16"/>
      <c r="D35" s="16"/>
      <c r="E35" s="18"/>
      <c r="F35" s="18"/>
      <c r="G35" s="16"/>
      <c r="H35" s="16"/>
    </row>
    <row r="36" customFormat="false" ht="15" hidden="false" customHeight="false" outlineLevel="0" collapsed="false">
      <c r="A36" s="16"/>
      <c r="B36" s="16"/>
      <c r="C36" s="16"/>
      <c r="D36" s="16"/>
      <c r="E36" s="18"/>
      <c r="F36" s="18"/>
      <c r="G36" s="16"/>
      <c r="H36" s="16"/>
    </row>
    <row r="37" customFormat="false" ht="15" hidden="false" customHeight="false" outlineLevel="0" collapsed="false">
      <c r="A37" s="16"/>
      <c r="B37" s="16"/>
      <c r="C37" s="16"/>
      <c r="D37" s="16"/>
      <c r="E37" s="18"/>
      <c r="F37" s="18"/>
      <c r="G37" s="16"/>
      <c r="H37" s="16"/>
    </row>
    <row r="38" customFormat="false" ht="15" hidden="false" customHeight="false" outlineLevel="0" collapsed="false">
      <c r="A38" s="16"/>
      <c r="B38" s="16"/>
      <c r="C38" s="16"/>
      <c r="D38" s="16"/>
      <c r="E38" s="18"/>
      <c r="F38" s="18"/>
      <c r="G38" s="16"/>
      <c r="H38" s="16"/>
    </row>
    <row r="39" customFormat="false" ht="15" hidden="false" customHeight="false" outlineLevel="0" collapsed="false">
      <c r="A39" s="16"/>
      <c r="B39" s="16"/>
      <c r="C39" s="16"/>
      <c r="D39" s="16"/>
      <c r="E39" s="18"/>
      <c r="F39" s="18"/>
      <c r="G39" s="16"/>
      <c r="H39" s="16"/>
    </row>
    <row r="40" customFormat="false" ht="15" hidden="false" customHeight="false" outlineLevel="0" collapsed="false">
      <c r="A40" s="16"/>
      <c r="B40" s="16"/>
      <c r="C40" s="16"/>
      <c r="D40" s="16"/>
      <c r="E40" s="18"/>
      <c r="F40" s="18"/>
      <c r="G40" s="16"/>
      <c r="H40" s="16"/>
    </row>
    <row r="41" customFormat="false" ht="15" hidden="false" customHeight="false" outlineLevel="0" collapsed="false">
      <c r="A41" s="16"/>
      <c r="B41" s="16"/>
      <c r="C41" s="16"/>
      <c r="D41" s="16"/>
      <c r="E41" s="18"/>
      <c r="F41" s="18"/>
      <c r="G41" s="16"/>
      <c r="H41" s="16"/>
    </row>
    <row r="42" customFormat="false" ht="15" hidden="false" customHeight="false" outlineLevel="0" collapsed="false">
      <c r="A42" s="16"/>
      <c r="B42" s="16"/>
      <c r="C42" s="16"/>
      <c r="D42" s="16"/>
      <c r="E42" s="18"/>
      <c r="F42" s="18"/>
      <c r="G42" s="16"/>
      <c r="H42" s="16"/>
    </row>
    <row r="43" customFormat="false" ht="15" hidden="false" customHeight="false" outlineLevel="0" collapsed="false">
      <c r="A43" s="16"/>
      <c r="B43" s="16"/>
      <c r="C43" s="16"/>
      <c r="D43" s="16"/>
      <c r="E43" s="18"/>
      <c r="F43" s="18"/>
      <c r="G43" s="16"/>
      <c r="H43" s="16"/>
    </row>
    <row r="44" customFormat="false" ht="15" hidden="false" customHeight="false" outlineLevel="0" collapsed="false">
      <c r="A44" s="16"/>
      <c r="B44" s="16"/>
      <c r="C44" s="16"/>
      <c r="D44" s="16"/>
      <c r="E44" s="18"/>
      <c r="F44" s="18"/>
      <c r="G44" s="16"/>
      <c r="H44" s="16"/>
    </row>
    <row r="45" customFormat="false" ht="15" hidden="false" customHeight="false" outlineLevel="0" collapsed="false">
      <c r="A45" s="16"/>
      <c r="B45" s="16"/>
      <c r="C45" s="16"/>
      <c r="D45" s="16"/>
      <c r="E45" s="18"/>
      <c r="F45" s="18"/>
      <c r="G45" s="16"/>
      <c r="H45" s="16"/>
    </row>
    <row r="46" customFormat="false" ht="15" hidden="false" customHeight="false" outlineLevel="0" collapsed="false">
      <c r="A46" s="16"/>
      <c r="B46" s="16"/>
      <c r="C46" s="16"/>
      <c r="D46" s="16"/>
      <c r="E46" s="18"/>
      <c r="F46" s="18"/>
      <c r="G46" s="16"/>
      <c r="H46" s="16"/>
    </row>
    <row r="47" customFormat="false" ht="15" hidden="false" customHeight="false" outlineLevel="0" collapsed="false">
      <c r="A47" s="16"/>
      <c r="B47" s="16"/>
      <c r="C47" s="16"/>
      <c r="D47" s="16"/>
      <c r="E47" s="18"/>
      <c r="F47" s="18"/>
      <c r="G47" s="16"/>
      <c r="H47" s="16"/>
    </row>
    <row r="48" customFormat="false" ht="15" hidden="false" customHeight="false" outlineLevel="0" collapsed="false">
      <c r="A48" s="16"/>
      <c r="B48" s="16"/>
      <c r="C48" s="16"/>
      <c r="D48" s="16"/>
      <c r="E48" s="18"/>
      <c r="F48" s="18"/>
      <c r="G48" s="16"/>
      <c r="H48" s="16"/>
    </row>
    <row r="49" customFormat="false" ht="15" hidden="false" customHeight="false" outlineLevel="0" collapsed="false">
      <c r="A49" s="16"/>
      <c r="B49" s="16"/>
      <c r="C49" s="16"/>
      <c r="D49" s="16"/>
      <c r="E49" s="18"/>
      <c r="F49" s="18"/>
      <c r="G49" s="16"/>
      <c r="H49" s="16"/>
    </row>
    <row r="50" customFormat="false" ht="15" hidden="false" customHeight="false" outlineLevel="0" collapsed="false">
      <c r="A50" s="16"/>
      <c r="B50" s="16"/>
      <c r="C50" s="16"/>
      <c r="D50" s="16"/>
      <c r="E50" s="18"/>
      <c r="F50" s="18"/>
      <c r="G50" s="16"/>
      <c r="H50" s="16"/>
    </row>
    <row r="51" customFormat="false" ht="15" hidden="false" customHeight="false" outlineLevel="0" collapsed="false">
      <c r="A51" s="16"/>
      <c r="B51" s="16"/>
      <c r="C51" s="16"/>
      <c r="D51" s="16"/>
      <c r="E51" s="18"/>
      <c r="F51" s="18"/>
      <c r="G51" s="16"/>
      <c r="H51" s="16"/>
    </row>
    <row r="52" customFormat="false" ht="15" hidden="false" customHeight="false" outlineLevel="0" collapsed="false">
      <c r="A52" s="16"/>
      <c r="B52" s="16"/>
      <c r="C52" s="16"/>
      <c r="D52" s="16"/>
      <c r="E52" s="18"/>
      <c r="F52" s="18"/>
      <c r="G52" s="16"/>
      <c r="H52" s="16"/>
    </row>
    <row r="53" customFormat="false" ht="15" hidden="false" customHeight="false" outlineLevel="0" collapsed="false">
      <c r="A53" s="16"/>
      <c r="B53" s="16"/>
      <c r="C53" s="16"/>
      <c r="D53" s="16"/>
      <c r="E53" s="18"/>
      <c r="F53" s="18"/>
      <c r="G53" s="16"/>
      <c r="H53" s="16"/>
    </row>
    <row r="54" customFormat="false" ht="15" hidden="false" customHeight="false" outlineLevel="0" collapsed="false">
      <c r="A54" s="16"/>
      <c r="B54" s="16"/>
      <c r="C54" s="16"/>
      <c r="D54" s="16"/>
      <c r="E54" s="18"/>
      <c r="F54" s="18"/>
      <c r="G54" s="16"/>
      <c r="H54" s="16"/>
    </row>
    <row r="55" customFormat="false" ht="15" hidden="false" customHeight="false" outlineLevel="0" collapsed="false">
      <c r="A55" s="16"/>
      <c r="B55" s="16"/>
      <c r="C55" s="16"/>
      <c r="D55" s="16"/>
      <c r="E55" s="18"/>
      <c r="F55" s="18"/>
      <c r="G55" s="16"/>
      <c r="H55" s="16"/>
    </row>
    <row r="56" customFormat="false" ht="15" hidden="false" customHeight="false" outlineLevel="0" collapsed="false">
      <c r="A56" s="16"/>
      <c r="B56" s="16"/>
      <c r="C56" s="16"/>
      <c r="D56" s="16"/>
      <c r="E56" s="18"/>
      <c r="F56" s="18"/>
      <c r="G56" s="16"/>
      <c r="H56" s="16"/>
    </row>
    <row r="57" customFormat="false" ht="15" hidden="false" customHeight="false" outlineLevel="0" collapsed="false">
      <c r="A57" s="16"/>
      <c r="B57" s="16"/>
      <c r="C57" s="16"/>
      <c r="D57" s="16"/>
      <c r="E57" s="18"/>
      <c r="F57" s="18"/>
      <c r="G57" s="16"/>
      <c r="H57" s="16"/>
    </row>
    <row r="58" customFormat="false" ht="15" hidden="false" customHeight="false" outlineLevel="0" collapsed="false">
      <c r="A58" s="16"/>
      <c r="B58" s="16"/>
      <c r="C58" s="16"/>
      <c r="D58" s="16"/>
      <c r="E58" s="18"/>
      <c r="F58" s="18"/>
      <c r="G58" s="16"/>
      <c r="H58" s="16"/>
    </row>
    <row r="59" customFormat="false" ht="15" hidden="false" customHeight="false" outlineLevel="0" collapsed="false">
      <c r="A59" s="16"/>
      <c r="B59" s="16"/>
      <c r="C59" s="16"/>
      <c r="D59" s="16"/>
      <c r="E59" s="18"/>
      <c r="F59" s="18"/>
      <c r="G59" s="16"/>
      <c r="H59" s="16"/>
    </row>
    <row r="60" customFormat="false" ht="15" hidden="false" customHeight="false" outlineLevel="0" collapsed="false">
      <c r="A60" s="16"/>
      <c r="B60" s="16"/>
      <c r="C60" s="16"/>
      <c r="D60" s="16"/>
      <c r="E60" s="18"/>
      <c r="F60" s="18"/>
      <c r="G60" s="16"/>
      <c r="H60" s="16"/>
    </row>
    <row r="61" customFormat="false" ht="15" hidden="false" customHeight="false" outlineLevel="0" collapsed="false">
      <c r="A61" s="16"/>
      <c r="B61" s="16"/>
      <c r="C61" s="16"/>
      <c r="D61" s="16"/>
      <c r="E61" s="18"/>
      <c r="F61" s="18"/>
      <c r="G61" s="16"/>
      <c r="H61" s="16"/>
    </row>
    <row r="62" customFormat="false" ht="15" hidden="false" customHeight="false" outlineLevel="0" collapsed="false">
      <c r="A62" s="16"/>
      <c r="B62" s="16"/>
      <c r="C62" s="16"/>
      <c r="D62" s="16"/>
      <c r="E62" s="18"/>
      <c r="F62" s="18"/>
      <c r="G62" s="16"/>
      <c r="H62" s="16"/>
    </row>
    <row r="63" customFormat="false" ht="15" hidden="false" customHeight="false" outlineLevel="0" collapsed="false">
      <c r="A63" s="16"/>
      <c r="B63" s="16"/>
      <c r="C63" s="16"/>
      <c r="D63" s="16"/>
      <c r="E63" s="18"/>
      <c r="F63" s="18"/>
      <c r="G63" s="16"/>
      <c r="H63" s="16"/>
    </row>
    <row r="64" customFormat="false" ht="15" hidden="false" customHeight="false" outlineLevel="0" collapsed="false">
      <c r="A64" s="16"/>
      <c r="B64" s="16"/>
      <c r="C64" s="16"/>
      <c r="D64" s="16"/>
      <c r="E64" s="18"/>
      <c r="F64" s="18"/>
      <c r="G64" s="16"/>
      <c r="H64" s="16"/>
    </row>
    <row r="65" customFormat="false" ht="15" hidden="false" customHeight="false" outlineLevel="0" collapsed="false">
      <c r="A65" s="16"/>
      <c r="B65" s="16"/>
      <c r="C65" s="16"/>
      <c r="D65" s="16"/>
      <c r="E65" s="18"/>
      <c r="F65" s="18"/>
      <c r="G65" s="16"/>
      <c r="H65" s="16"/>
    </row>
    <row r="66" customFormat="false" ht="15" hidden="false" customHeight="false" outlineLevel="0" collapsed="false">
      <c r="A66" s="16"/>
      <c r="B66" s="16"/>
      <c r="C66" s="16"/>
      <c r="D66" s="16"/>
      <c r="E66" s="18"/>
      <c r="F66" s="18"/>
      <c r="G66" s="16"/>
      <c r="H66" s="16"/>
    </row>
    <row r="67" customFormat="false" ht="15" hidden="false" customHeight="false" outlineLevel="0" collapsed="false">
      <c r="A67" s="16"/>
      <c r="B67" s="16"/>
      <c r="C67" s="16"/>
      <c r="D67" s="16"/>
      <c r="E67" s="18"/>
      <c r="F67" s="18"/>
      <c r="G67" s="16"/>
      <c r="H67" s="16"/>
    </row>
    <row r="68" customFormat="false" ht="15" hidden="false" customHeight="false" outlineLevel="0" collapsed="false">
      <c r="A68" s="16"/>
      <c r="B68" s="16"/>
      <c r="C68" s="16"/>
      <c r="D68" s="16"/>
      <c r="E68" s="18"/>
      <c r="F68" s="18"/>
      <c r="G68" s="16"/>
      <c r="H68" s="16"/>
    </row>
    <row r="69" customFormat="false" ht="15" hidden="false" customHeight="false" outlineLevel="0" collapsed="false">
      <c r="A69" s="16"/>
      <c r="B69" s="16"/>
      <c r="C69" s="16"/>
      <c r="D69" s="16"/>
      <c r="E69" s="18"/>
      <c r="F69" s="18"/>
      <c r="G69" s="16"/>
      <c r="H69" s="16"/>
    </row>
    <row r="70" customFormat="false" ht="15" hidden="false" customHeight="false" outlineLevel="0" collapsed="false">
      <c r="A70" s="16"/>
      <c r="B70" s="16"/>
      <c r="C70" s="16"/>
      <c r="D70" s="16"/>
      <c r="E70" s="18"/>
      <c r="F70" s="18"/>
      <c r="G70" s="16"/>
      <c r="H70" s="16"/>
    </row>
    <row r="71" customFormat="false" ht="15" hidden="false" customHeight="false" outlineLevel="0" collapsed="false">
      <c r="A71" s="16"/>
      <c r="B71" s="16"/>
      <c r="C71" s="16"/>
      <c r="D71" s="16"/>
      <c r="E71" s="18"/>
      <c r="F71" s="18"/>
      <c r="G71" s="16"/>
      <c r="H71" s="16"/>
    </row>
    <row r="72" customFormat="false" ht="15" hidden="false" customHeight="false" outlineLevel="0" collapsed="false">
      <c r="A72" s="16"/>
      <c r="B72" s="16"/>
      <c r="C72" s="16"/>
      <c r="D72" s="16"/>
      <c r="E72" s="18"/>
      <c r="F72" s="18"/>
      <c r="G72" s="16"/>
      <c r="H72" s="16"/>
    </row>
    <row r="73" customFormat="false" ht="15" hidden="false" customHeight="false" outlineLevel="0" collapsed="false">
      <c r="A73" s="16"/>
      <c r="B73" s="16"/>
      <c r="C73" s="16"/>
      <c r="D73" s="16"/>
      <c r="E73" s="18"/>
      <c r="F73" s="18"/>
      <c r="G73" s="16"/>
      <c r="H73" s="16"/>
    </row>
    <row r="74" customFormat="false" ht="15" hidden="false" customHeight="false" outlineLevel="0" collapsed="false">
      <c r="A74" s="16"/>
      <c r="B74" s="16"/>
      <c r="C74" s="16"/>
      <c r="D74" s="16"/>
      <c r="E74" s="18"/>
      <c r="F74" s="18"/>
      <c r="G74" s="16"/>
      <c r="H74" s="16"/>
    </row>
    <row r="75" customFormat="false" ht="15" hidden="false" customHeight="false" outlineLevel="0" collapsed="false">
      <c r="A75" s="16"/>
      <c r="B75" s="16"/>
      <c r="C75" s="16"/>
      <c r="D75" s="16"/>
      <c r="E75" s="18"/>
      <c r="F75" s="18"/>
      <c r="G75" s="16"/>
      <c r="H75" s="16"/>
    </row>
    <row r="76" customFormat="false" ht="15" hidden="false" customHeight="false" outlineLevel="0" collapsed="false">
      <c r="A76" s="16"/>
      <c r="B76" s="16"/>
      <c r="C76" s="16"/>
      <c r="D76" s="16"/>
      <c r="E76" s="18"/>
      <c r="F76" s="18"/>
      <c r="G76" s="16"/>
      <c r="H76" s="16"/>
    </row>
    <row r="77" customFormat="false" ht="15" hidden="false" customHeight="false" outlineLevel="0" collapsed="false">
      <c r="A77" s="16"/>
      <c r="B77" s="16"/>
      <c r="C77" s="16"/>
      <c r="D77" s="16"/>
      <c r="E77" s="18"/>
      <c r="F77" s="18"/>
      <c r="G77" s="16"/>
      <c r="H77" s="16"/>
    </row>
    <row r="78" customFormat="false" ht="15" hidden="false" customHeight="false" outlineLevel="0" collapsed="false">
      <c r="A78" s="16"/>
      <c r="B78" s="16"/>
      <c r="C78" s="16"/>
      <c r="D78" s="16"/>
      <c r="E78" s="18"/>
      <c r="F78" s="18"/>
      <c r="G78" s="16"/>
      <c r="H78" s="16"/>
    </row>
    <row r="79" customFormat="false" ht="15" hidden="false" customHeight="false" outlineLevel="0" collapsed="false">
      <c r="A79" s="16"/>
      <c r="B79" s="16"/>
      <c r="C79" s="16"/>
      <c r="D79" s="16"/>
      <c r="E79" s="18"/>
      <c r="F79" s="18"/>
      <c r="G79" s="16"/>
      <c r="H79" s="16"/>
    </row>
    <row r="80" customFormat="false" ht="15" hidden="false" customHeight="false" outlineLevel="0" collapsed="false">
      <c r="A80" s="16"/>
      <c r="B80" s="16"/>
      <c r="C80" s="16"/>
      <c r="D80" s="16"/>
      <c r="E80" s="18"/>
      <c r="F80" s="18"/>
      <c r="G80" s="16"/>
      <c r="H80" s="16"/>
    </row>
    <row r="81" customFormat="false" ht="15" hidden="false" customHeight="false" outlineLevel="0" collapsed="false">
      <c r="A81" s="16"/>
      <c r="B81" s="16"/>
      <c r="C81" s="16"/>
      <c r="D81" s="16"/>
      <c r="E81" s="18"/>
      <c r="F81" s="18"/>
      <c r="G81" s="16"/>
      <c r="H81" s="16"/>
    </row>
    <row r="82" customFormat="false" ht="15" hidden="false" customHeight="false" outlineLevel="0" collapsed="false">
      <c r="A82" s="16"/>
      <c r="B82" s="16"/>
      <c r="C82" s="16"/>
      <c r="D82" s="16"/>
      <c r="E82" s="18"/>
      <c r="F82" s="18"/>
      <c r="G82" s="16"/>
      <c r="H82" s="16"/>
    </row>
    <row r="83" customFormat="false" ht="15" hidden="false" customHeight="false" outlineLevel="0" collapsed="false">
      <c r="A83" s="16"/>
      <c r="B83" s="16"/>
      <c r="C83" s="16"/>
      <c r="D83" s="16"/>
      <c r="E83" s="18"/>
      <c r="F83" s="18"/>
      <c r="G83" s="16"/>
      <c r="H83" s="16"/>
    </row>
    <row r="84" customFormat="false" ht="15" hidden="false" customHeight="false" outlineLevel="0" collapsed="false">
      <c r="A84" s="16"/>
      <c r="B84" s="16"/>
      <c r="C84" s="16"/>
      <c r="D84" s="16"/>
      <c r="E84" s="18"/>
      <c r="F84" s="18"/>
      <c r="G84" s="16"/>
      <c r="H84" s="16"/>
    </row>
    <row r="85" customFormat="false" ht="15" hidden="false" customHeight="false" outlineLevel="0" collapsed="false">
      <c r="A85" s="16"/>
      <c r="B85" s="16"/>
      <c r="C85" s="16"/>
      <c r="D85" s="16"/>
      <c r="E85" s="18"/>
      <c r="F85" s="18"/>
      <c r="G85" s="16"/>
      <c r="H85" s="16"/>
    </row>
    <row r="86" customFormat="false" ht="15" hidden="false" customHeight="false" outlineLevel="0" collapsed="false">
      <c r="A86" s="16"/>
      <c r="B86" s="16"/>
      <c r="C86" s="16"/>
      <c r="D86" s="16"/>
      <c r="E86" s="18"/>
      <c r="F86" s="18"/>
      <c r="G86" s="16"/>
      <c r="H86" s="16"/>
    </row>
    <row r="87" customFormat="false" ht="15" hidden="false" customHeight="false" outlineLevel="0" collapsed="false">
      <c r="A87" s="16"/>
      <c r="B87" s="16"/>
      <c r="C87" s="16"/>
      <c r="D87" s="16"/>
      <c r="E87" s="18"/>
      <c r="F87" s="18"/>
      <c r="G87" s="16"/>
      <c r="H87" s="16"/>
    </row>
    <row r="88" customFormat="false" ht="15" hidden="false" customHeight="false" outlineLevel="0" collapsed="false">
      <c r="A88" s="16"/>
      <c r="B88" s="16"/>
      <c r="C88" s="16"/>
      <c r="D88" s="16"/>
      <c r="E88" s="18"/>
      <c r="F88" s="18"/>
      <c r="G88" s="16"/>
      <c r="H88" s="16"/>
    </row>
    <row r="89" customFormat="false" ht="15" hidden="false" customHeight="false" outlineLevel="0" collapsed="false">
      <c r="A89" s="16"/>
      <c r="B89" s="16"/>
      <c r="C89" s="16"/>
      <c r="D89" s="16"/>
      <c r="E89" s="18"/>
      <c r="F89" s="18"/>
      <c r="G89" s="16"/>
      <c r="H89" s="16"/>
    </row>
    <row r="90" customFormat="false" ht="15" hidden="false" customHeight="false" outlineLevel="0" collapsed="false">
      <c r="A90" s="16"/>
      <c r="B90" s="16"/>
      <c r="C90" s="16"/>
      <c r="D90" s="16"/>
      <c r="E90" s="18"/>
      <c r="F90" s="18"/>
      <c r="G90" s="16"/>
      <c r="H90" s="16"/>
    </row>
    <row r="91" customFormat="false" ht="15" hidden="false" customHeight="false" outlineLevel="0" collapsed="false">
      <c r="A91" s="16"/>
      <c r="B91" s="16"/>
      <c r="C91" s="16"/>
      <c r="D91" s="16"/>
      <c r="E91" s="18"/>
      <c r="F91" s="18"/>
      <c r="G91" s="16"/>
      <c r="H91" s="16"/>
    </row>
    <row r="92" customFormat="false" ht="15" hidden="false" customHeight="false" outlineLevel="0" collapsed="false">
      <c r="A92" s="16"/>
      <c r="B92" s="16"/>
      <c r="C92" s="16"/>
      <c r="D92" s="16"/>
      <c r="E92" s="18"/>
      <c r="F92" s="18"/>
      <c r="G92" s="16"/>
      <c r="H92" s="16"/>
    </row>
    <row r="93" customFormat="false" ht="15" hidden="false" customHeight="false" outlineLevel="0" collapsed="false">
      <c r="A93" s="16"/>
      <c r="B93" s="16"/>
      <c r="C93" s="16"/>
      <c r="D93" s="16"/>
      <c r="E93" s="18"/>
      <c r="F93" s="18"/>
      <c r="G93" s="16"/>
      <c r="H93" s="16"/>
    </row>
    <row r="94" customFormat="false" ht="15" hidden="false" customHeight="false" outlineLevel="0" collapsed="false">
      <c r="A94" s="16"/>
      <c r="B94" s="16"/>
      <c r="C94" s="16"/>
      <c r="D94" s="16"/>
      <c r="E94" s="18"/>
      <c r="F94" s="18"/>
      <c r="G94" s="16"/>
      <c r="H94" s="16"/>
    </row>
    <row r="95" customFormat="false" ht="15" hidden="false" customHeight="false" outlineLevel="0" collapsed="false">
      <c r="A95" s="16"/>
      <c r="B95" s="16"/>
      <c r="C95" s="16"/>
      <c r="D95" s="16"/>
      <c r="E95" s="18"/>
      <c r="F95" s="18"/>
      <c r="G95" s="16"/>
      <c r="H95" s="16"/>
    </row>
    <row r="96" customFormat="false" ht="15" hidden="false" customHeight="false" outlineLevel="0" collapsed="false">
      <c r="A96" s="16"/>
      <c r="B96" s="16"/>
      <c r="C96" s="16"/>
      <c r="D96" s="16"/>
      <c r="E96" s="18"/>
      <c r="F96" s="18"/>
      <c r="G96" s="16"/>
      <c r="H96" s="16"/>
    </row>
    <row r="97" customFormat="false" ht="15" hidden="false" customHeight="false" outlineLevel="0" collapsed="false">
      <c r="A97" s="16"/>
      <c r="B97" s="16"/>
      <c r="C97" s="16"/>
      <c r="D97" s="16"/>
      <c r="E97" s="18"/>
      <c r="F97" s="18"/>
      <c r="G97" s="16"/>
      <c r="H97" s="16"/>
    </row>
    <row r="98" customFormat="false" ht="15" hidden="false" customHeight="false" outlineLevel="0" collapsed="false">
      <c r="A98" s="16"/>
      <c r="B98" s="16"/>
      <c r="C98" s="16"/>
      <c r="D98" s="16"/>
      <c r="E98" s="18"/>
      <c r="F98" s="18"/>
      <c r="G98" s="16"/>
      <c r="H98" s="16"/>
    </row>
    <row r="99" customFormat="false" ht="15" hidden="false" customHeight="false" outlineLevel="0" collapsed="false">
      <c r="A99" s="16"/>
      <c r="B99" s="16"/>
      <c r="C99" s="16"/>
      <c r="D99" s="16"/>
      <c r="E99" s="18"/>
      <c r="F99" s="18"/>
      <c r="G99" s="16"/>
      <c r="H99" s="16"/>
    </row>
    <row r="100" customFormat="false" ht="15" hidden="false" customHeight="false" outlineLevel="0" collapsed="false">
      <c r="A100" s="16"/>
      <c r="B100" s="16"/>
      <c r="C100" s="16"/>
      <c r="D100" s="16"/>
      <c r="E100" s="18"/>
      <c r="F100" s="18"/>
      <c r="G100" s="16"/>
      <c r="H100" s="16"/>
    </row>
    <row r="101" customFormat="false" ht="15" hidden="false" customHeight="false" outlineLevel="0" collapsed="false">
      <c r="A101" s="16"/>
      <c r="B101" s="16"/>
      <c r="C101" s="16"/>
      <c r="D101" s="16"/>
      <c r="E101" s="18"/>
      <c r="F101" s="18"/>
      <c r="G101" s="16"/>
      <c r="H101" s="16"/>
    </row>
    <row r="102" customFormat="false" ht="15" hidden="false" customHeight="false" outlineLevel="0" collapsed="false">
      <c r="A102" s="16"/>
      <c r="B102" s="16"/>
      <c r="C102" s="16"/>
      <c r="D102" s="16"/>
      <c r="E102" s="18"/>
      <c r="F102" s="18"/>
      <c r="G102" s="16"/>
      <c r="H102" s="16"/>
    </row>
    <row r="103" customFormat="false" ht="15" hidden="false" customHeight="false" outlineLevel="0" collapsed="false">
      <c r="A103" s="16"/>
      <c r="B103" s="16"/>
      <c r="C103" s="16"/>
      <c r="D103" s="16"/>
      <c r="E103" s="18"/>
      <c r="F103" s="18"/>
      <c r="G103" s="16"/>
      <c r="H103" s="16"/>
    </row>
    <row r="104" customFormat="false" ht="15" hidden="false" customHeight="false" outlineLevel="0" collapsed="false">
      <c r="A104" s="16"/>
      <c r="B104" s="16"/>
      <c r="C104" s="16"/>
      <c r="D104" s="16"/>
      <c r="E104" s="18"/>
      <c r="F104" s="18"/>
      <c r="G104" s="16"/>
      <c r="H104" s="16"/>
    </row>
    <row r="105" customFormat="false" ht="15" hidden="false" customHeight="false" outlineLevel="0" collapsed="false">
      <c r="A105" s="16"/>
      <c r="B105" s="16"/>
      <c r="C105" s="16"/>
      <c r="D105" s="16"/>
      <c r="E105" s="18"/>
      <c r="F105" s="18"/>
      <c r="G105" s="16"/>
      <c r="H105" s="16"/>
    </row>
    <row r="106" customFormat="false" ht="15" hidden="false" customHeight="false" outlineLevel="0" collapsed="false">
      <c r="A106" s="16"/>
      <c r="B106" s="16"/>
      <c r="C106" s="16"/>
      <c r="D106" s="16"/>
      <c r="E106" s="18"/>
      <c r="F106" s="18"/>
      <c r="G106" s="16"/>
      <c r="H106" s="16"/>
    </row>
    <row r="107" customFormat="false" ht="15" hidden="false" customHeight="false" outlineLevel="0" collapsed="false">
      <c r="A107" s="16"/>
      <c r="B107" s="16"/>
      <c r="C107" s="16"/>
      <c r="D107" s="16"/>
      <c r="E107" s="18"/>
      <c r="F107" s="18"/>
      <c r="G107" s="16"/>
      <c r="H107" s="16"/>
    </row>
    <row r="108" customFormat="false" ht="15" hidden="false" customHeight="false" outlineLevel="0" collapsed="false">
      <c r="A108" s="16"/>
      <c r="B108" s="16"/>
      <c r="C108" s="16"/>
      <c r="D108" s="16"/>
      <c r="E108" s="18"/>
      <c r="F108" s="18"/>
      <c r="G108" s="16"/>
      <c r="H108" s="16"/>
    </row>
    <row r="109" customFormat="false" ht="15" hidden="false" customHeight="false" outlineLevel="0" collapsed="false">
      <c r="A109" s="16"/>
      <c r="B109" s="16"/>
      <c r="C109" s="16"/>
      <c r="D109" s="16"/>
      <c r="E109" s="18"/>
      <c r="F109" s="18"/>
      <c r="G109" s="16"/>
      <c r="H109" s="16"/>
    </row>
    <row r="110" customFormat="false" ht="15" hidden="false" customHeight="false" outlineLevel="0" collapsed="false">
      <c r="A110" s="16"/>
      <c r="B110" s="16"/>
      <c r="C110" s="16"/>
      <c r="D110" s="16"/>
      <c r="E110" s="18"/>
      <c r="F110" s="18"/>
      <c r="G110" s="16"/>
      <c r="H110" s="16"/>
    </row>
    <row r="111" customFormat="false" ht="15" hidden="false" customHeight="false" outlineLevel="0" collapsed="false">
      <c r="A111" s="16"/>
      <c r="B111" s="16"/>
      <c r="C111" s="16"/>
      <c r="D111" s="16"/>
      <c r="E111" s="18"/>
      <c r="F111" s="18"/>
      <c r="G111" s="16"/>
      <c r="H111" s="16"/>
    </row>
    <row r="112" customFormat="false" ht="15" hidden="false" customHeight="false" outlineLevel="0" collapsed="false">
      <c r="A112" s="16"/>
      <c r="B112" s="16"/>
      <c r="C112" s="16"/>
      <c r="D112" s="16"/>
      <c r="E112" s="18"/>
      <c r="F112" s="18"/>
      <c r="G112" s="16"/>
      <c r="H112" s="16"/>
    </row>
    <row r="113" customFormat="false" ht="15" hidden="false" customHeight="false" outlineLevel="0" collapsed="false">
      <c r="A113" s="16"/>
      <c r="B113" s="16"/>
      <c r="C113" s="16"/>
      <c r="D113" s="16"/>
      <c r="E113" s="18"/>
      <c r="F113" s="18"/>
      <c r="G113" s="16"/>
      <c r="H113" s="16"/>
    </row>
    <row r="114" customFormat="false" ht="15" hidden="false" customHeight="false" outlineLevel="0" collapsed="false">
      <c r="A114" s="16"/>
      <c r="B114" s="16"/>
      <c r="C114" s="16"/>
      <c r="D114" s="16"/>
      <c r="E114" s="18"/>
      <c r="F114" s="18"/>
      <c r="G114" s="16"/>
      <c r="H114" s="16"/>
    </row>
    <row r="115" customFormat="false" ht="15" hidden="false" customHeight="false" outlineLevel="0" collapsed="false">
      <c r="A115" s="16"/>
      <c r="B115" s="16"/>
      <c r="C115" s="16"/>
      <c r="D115" s="16"/>
      <c r="E115" s="18"/>
      <c r="F115" s="18"/>
      <c r="G115" s="16"/>
      <c r="H115" s="16"/>
    </row>
    <row r="116" customFormat="false" ht="15" hidden="false" customHeight="false" outlineLevel="0" collapsed="false">
      <c r="A116" s="16"/>
      <c r="B116" s="16"/>
      <c r="C116" s="16"/>
      <c r="D116" s="16"/>
      <c r="E116" s="18"/>
      <c r="F116" s="18"/>
      <c r="G116" s="16"/>
      <c r="H116" s="16"/>
    </row>
    <row r="117" customFormat="false" ht="15" hidden="false" customHeight="false" outlineLevel="0" collapsed="false">
      <c r="A117" s="16"/>
      <c r="B117" s="16"/>
      <c r="C117" s="16"/>
      <c r="D117" s="16"/>
      <c r="E117" s="18"/>
      <c r="F117" s="18"/>
      <c r="G117" s="16"/>
      <c r="H117" s="16"/>
    </row>
    <row r="118" customFormat="false" ht="15" hidden="false" customHeight="false" outlineLevel="0" collapsed="false">
      <c r="A118" s="16"/>
      <c r="B118" s="16"/>
      <c r="C118" s="16"/>
      <c r="D118" s="16"/>
      <c r="E118" s="18"/>
      <c r="F118" s="18"/>
      <c r="G118" s="16"/>
      <c r="H118" s="16"/>
    </row>
    <row r="119" customFormat="false" ht="15" hidden="false" customHeight="false" outlineLevel="0" collapsed="false">
      <c r="A119" s="16"/>
      <c r="B119" s="16"/>
      <c r="C119" s="16"/>
      <c r="D119" s="16"/>
      <c r="E119" s="18"/>
      <c r="F119" s="18"/>
      <c r="G119" s="16"/>
      <c r="H119" s="16"/>
    </row>
    <row r="120" customFormat="false" ht="15" hidden="false" customHeight="false" outlineLevel="0" collapsed="false">
      <c r="A120" s="16"/>
      <c r="B120" s="16"/>
      <c r="C120" s="16"/>
      <c r="D120" s="16"/>
      <c r="E120" s="18"/>
      <c r="F120" s="18"/>
      <c r="G120" s="16"/>
      <c r="H120" s="16"/>
    </row>
    <row r="121" customFormat="false" ht="15" hidden="false" customHeight="false" outlineLevel="0" collapsed="false">
      <c r="A121" s="16"/>
      <c r="B121" s="16"/>
      <c r="C121" s="16"/>
      <c r="D121" s="16"/>
      <c r="E121" s="18"/>
      <c r="F121" s="18"/>
      <c r="G121" s="16"/>
      <c r="H121" s="16"/>
    </row>
    <row r="122" customFormat="false" ht="15" hidden="false" customHeight="false" outlineLevel="0" collapsed="false">
      <c r="A122" s="16"/>
      <c r="B122" s="16"/>
      <c r="C122" s="16"/>
      <c r="D122" s="16"/>
      <c r="E122" s="18"/>
      <c r="F122" s="18"/>
      <c r="G122" s="16"/>
      <c r="H122" s="16"/>
    </row>
    <row r="123" customFormat="false" ht="15" hidden="false" customHeight="false" outlineLevel="0" collapsed="false">
      <c r="A123" s="16"/>
      <c r="B123" s="16"/>
      <c r="C123" s="16"/>
      <c r="D123" s="16"/>
      <c r="E123" s="18"/>
      <c r="F123" s="18"/>
      <c r="G123" s="16"/>
      <c r="H123" s="16"/>
    </row>
    <row r="124" customFormat="false" ht="15" hidden="false" customHeight="false" outlineLevel="0" collapsed="false">
      <c r="A124" s="16"/>
      <c r="B124" s="16"/>
      <c r="C124" s="16"/>
      <c r="D124" s="16"/>
      <c r="E124" s="18"/>
      <c r="F124" s="18"/>
      <c r="G124" s="16"/>
      <c r="H124" s="16"/>
    </row>
    <row r="125" customFormat="false" ht="15" hidden="false" customHeight="false" outlineLevel="0" collapsed="false">
      <c r="A125" s="16"/>
      <c r="B125" s="16"/>
      <c r="C125" s="16"/>
      <c r="D125" s="16"/>
      <c r="E125" s="18"/>
      <c r="F125" s="18"/>
      <c r="G125" s="16"/>
      <c r="H125" s="16"/>
    </row>
    <row r="126" customFormat="false" ht="15" hidden="false" customHeight="false" outlineLevel="0" collapsed="false">
      <c r="A126" s="16"/>
      <c r="B126" s="16"/>
      <c r="C126" s="16"/>
      <c r="D126" s="16"/>
      <c r="E126" s="18"/>
      <c r="F126" s="18"/>
      <c r="G126" s="16"/>
      <c r="H126" s="16"/>
    </row>
    <row r="127" customFormat="false" ht="15" hidden="false" customHeight="false" outlineLevel="0" collapsed="false">
      <c r="A127" s="16"/>
      <c r="B127" s="16"/>
      <c r="C127" s="16"/>
      <c r="D127" s="16"/>
      <c r="E127" s="18"/>
      <c r="F127" s="18"/>
      <c r="G127" s="16"/>
      <c r="H127" s="16"/>
    </row>
    <row r="128" customFormat="false" ht="15" hidden="false" customHeight="false" outlineLevel="0" collapsed="false">
      <c r="A128" s="16"/>
      <c r="B128" s="16"/>
      <c r="C128" s="16"/>
      <c r="D128" s="16"/>
      <c r="E128" s="18"/>
      <c r="F128" s="18"/>
      <c r="G128" s="16"/>
      <c r="H128" s="16"/>
    </row>
    <row r="129" customFormat="false" ht="15" hidden="false" customHeight="false" outlineLevel="0" collapsed="false">
      <c r="A129" s="16"/>
      <c r="B129" s="16"/>
      <c r="C129" s="16"/>
      <c r="D129" s="16"/>
      <c r="E129" s="18"/>
      <c r="F129" s="18"/>
      <c r="G129" s="16"/>
      <c r="H129" s="16"/>
    </row>
    <row r="130" customFormat="false" ht="15" hidden="false" customHeight="false" outlineLevel="0" collapsed="false">
      <c r="A130" s="16"/>
      <c r="B130" s="16"/>
      <c r="C130" s="16"/>
      <c r="D130" s="16"/>
      <c r="E130" s="18"/>
      <c r="F130" s="18"/>
      <c r="G130" s="16"/>
      <c r="H130" s="16"/>
    </row>
    <row r="131" customFormat="false" ht="15" hidden="false" customHeight="false" outlineLevel="0" collapsed="false">
      <c r="A131" s="16"/>
      <c r="B131" s="16"/>
      <c r="C131" s="16"/>
      <c r="D131" s="16"/>
      <c r="E131" s="18"/>
      <c r="F131" s="18"/>
      <c r="G131" s="16"/>
      <c r="H131" s="16"/>
    </row>
    <row r="132" customFormat="false" ht="15" hidden="false" customHeight="false" outlineLevel="0" collapsed="false">
      <c r="A132" s="16"/>
      <c r="B132" s="16"/>
      <c r="C132" s="16"/>
      <c r="D132" s="16"/>
      <c r="E132" s="18"/>
      <c r="F132" s="18"/>
      <c r="G132" s="16"/>
      <c r="H132" s="16"/>
    </row>
    <row r="133" customFormat="false" ht="15" hidden="false" customHeight="false" outlineLevel="0" collapsed="false">
      <c r="A133" s="16"/>
      <c r="B133" s="16"/>
      <c r="C133" s="16"/>
      <c r="D133" s="16"/>
      <c r="E133" s="18"/>
      <c r="F133" s="18"/>
      <c r="G133" s="16"/>
      <c r="H133" s="16"/>
    </row>
    <row r="134" customFormat="false" ht="15" hidden="false" customHeight="false" outlineLevel="0" collapsed="false">
      <c r="A134" s="16"/>
      <c r="B134" s="16"/>
      <c r="C134" s="16"/>
      <c r="D134" s="16"/>
      <c r="E134" s="18"/>
      <c r="F134" s="18"/>
      <c r="G134" s="16"/>
      <c r="H134" s="16"/>
    </row>
    <row r="135" customFormat="false" ht="15" hidden="false" customHeight="false" outlineLevel="0" collapsed="false">
      <c r="A135" s="16"/>
      <c r="B135" s="16"/>
      <c r="C135" s="16"/>
      <c r="D135" s="16"/>
      <c r="E135" s="18"/>
      <c r="F135" s="18"/>
      <c r="G135" s="16"/>
      <c r="H135" s="16"/>
    </row>
    <row r="136" customFormat="false" ht="15" hidden="false" customHeight="false" outlineLevel="0" collapsed="false">
      <c r="A136" s="16"/>
      <c r="B136" s="16"/>
      <c r="C136" s="16"/>
      <c r="D136" s="16"/>
      <c r="E136" s="18"/>
      <c r="F136" s="18"/>
      <c r="G136" s="16"/>
      <c r="H136" s="16"/>
    </row>
    <row r="137" customFormat="false" ht="15" hidden="false" customHeight="false" outlineLevel="0" collapsed="false">
      <c r="A137" s="16"/>
      <c r="B137" s="16"/>
      <c r="C137" s="16"/>
      <c r="D137" s="16"/>
      <c r="E137" s="18"/>
      <c r="F137" s="18"/>
      <c r="G137" s="16"/>
      <c r="H137" s="16"/>
    </row>
    <row r="138" customFormat="false" ht="15" hidden="false" customHeight="false" outlineLevel="0" collapsed="false">
      <c r="A138" s="16"/>
      <c r="B138" s="16"/>
      <c r="C138" s="16"/>
      <c r="D138" s="16"/>
      <c r="E138" s="18"/>
      <c r="F138" s="18"/>
      <c r="G138" s="16"/>
      <c r="H138" s="16"/>
    </row>
    <row r="139" customFormat="false" ht="15" hidden="false" customHeight="false" outlineLevel="0" collapsed="false">
      <c r="A139" s="16"/>
      <c r="B139" s="16"/>
      <c r="C139" s="16"/>
      <c r="D139" s="16"/>
      <c r="E139" s="18"/>
      <c r="F139" s="18"/>
      <c r="G139" s="16"/>
      <c r="H139" s="16"/>
    </row>
    <row r="140" customFormat="false" ht="15" hidden="false" customHeight="false" outlineLevel="0" collapsed="false">
      <c r="A140" s="16"/>
      <c r="B140" s="16"/>
      <c r="C140" s="16"/>
      <c r="D140" s="16"/>
      <c r="E140" s="18"/>
      <c r="F140" s="18"/>
      <c r="G140" s="16"/>
      <c r="H140" s="16"/>
    </row>
    <row r="141" customFormat="false" ht="15" hidden="false" customHeight="false" outlineLevel="0" collapsed="false">
      <c r="A141" s="16"/>
      <c r="B141" s="16"/>
      <c r="C141" s="16"/>
      <c r="D141" s="16"/>
      <c r="E141" s="18"/>
      <c r="F141" s="18"/>
      <c r="G141" s="16"/>
      <c r="H141" s="16"/>
    </row>
    <row r="142" customFormat="false" ht="15" hidden="false" customHeight="false" outlineLevel="0" collapsed="false">
      <c r="A142" s="16"/>
      <c r="B142" s="16"/>
      <c r="C142" s="16"/>
      <c r="D142" s="16"/>
      <c r="E142" s="18"/>
      <c r="F142" s="18"/>
      <c r="G142" s="16"/>
      <c r="H142" s="16"/>
    </row>
    <row r="143" customFormat="false" ht="15" hidden="false" customHeight="false" outlineLevel="0" collapsed="false">
      <c r="A143" s="16"/>
      <c r="B143" s="16"/>
      <c r="C143" s="16"/>
      <c r="D143" s="16"/>
      <c r="E143" s="18"/>
      <c r="F143" s="18"/>
      <c r="G143" s="16"/>
      <c r="H143" s="16"/>
    </row>
    <row r="144" customFormat="false" ht="15" hidden="false" customHeight="false" outlineLevel="0" collapsed="false">
      <c r="A144" s="16"/>
      <c r="B144" s="16"/>
      <c r="C144" s="16"/>
      <c r="D144" s="16"/>
      <c r="E144" s="18"/>
      <c r="F144" s="18"/>
      <c r="G144" s="16"/>
      <c r="H144" s="16"/>
    </row>
    <row r="145" customFormat="false" ht="15" hidden="false" customHeight="false" outlineLevel="0" collapsed="false">
      <c r="A145" s="16"/>
      <c r="B145" s="16"/>
      <c r="C145" s="16"/>
      <c r="D145" s="16"/>
      <c r="E145" s="18"/>
      <c r="F145" s="18"/>
      <c r="G145" s="16"/>
      <c r="H145" s="16"/>
    </row>
    <row r="146" customFormat="false" ht="15" hidden="false" customHeight="false" outlineLevel="0" collapsed="false">
      <c r="A146" s="16"/>
      <c r="B146" s="16"/>
      <c r="C146" s="16"/>
      <c r="D146" s="16"/>
      <c r="E146" s="18"/>
      <c r="F146" s="18"/>
      <c r="G146" s="16"/>
      <c r="H146" s="16"/>
    </row>
    <row r="147" customFormat="false" ht="15" hidden="false" customHeight="false" outlineLevel="0" collapsed="false">
      <c r="A147" s="16"/>
      <c r="B147" s="16"/>
      <c r="C147" s="16"/>
      <c r="D147" s="16"/>
      <c r="E147" s="18"/>
      <c r="F147" s="18"/>
      <c r="G147" s="16"/>
      <c r="H147" s="16"/>
    </row>
    <row r="148" customFormat="false" ht="15" hidden="false" customHeight="false" outlineLevel="0" collapsed="false">
      <c r="A148" s="16"/>
      <c r="B148" s="16"/>
      <c r="C148" s="16"/>
      <c r="D148" s="16"/>
      <c r="E148" s="18"/>
      <c r="F148" s="18"/>
      <c r="G148" s="16"/>
      <c r="H148" s="16"/>
    </row>
    <row r="149" customFormat="false" ht="15" hidden="false" customHeight="false" outlineLevel="0" collapsed="false">
      <c r="A149" s="16"/>
      <c r="B149" s="16"/>
      <c r="C149" s="16"/>
      <c r="D149" s="16"/>
      <c r="E149" s="18"/>
      <c r="F149" s="18"/>
      <c r="G149" s="16"/>
      <c r="H149" s="16"/>
    </row>
    <row r="150" customFormat="false" ht="15" hidden="false" customHeight="false" outlineLevel="0" collapsed="false">
      <c r="A150" s="16"/>
      <c r="B150" s="16"/>
      <c r="C150" s="16"/>
      <c r="D150" s="16"/>
      <c r="E150" s="18"/>
      <c r="F150" s="18"/>
      <c r="G150" s="16"/>
      <c r="H150" s="16"/>
    </row>
    <row r="151" customFormat="false" ht="15" hidden="false" customHeight="false" outlineLevel="0" collapsed="false">
      <c r="A151" s="16"/>
      <c r="B151" s="16"/>
      <c r="C151" s="16"/>
      <c r="D151" s="16"/>
      <c r="E151" s="18"/>
      <c r="F151" s="18"/>
      <c r="G151" s="16"/>
      <c r="H151" s="16"/>
    </row>
    <row r="152" customFormat="false" ht="15" hidden="false" customHeight="false" outlineLevel="0" collapsed="false">
      <c r="A152" s="16"/>
      <c r="B152" s="16"/>
      <c r="C152" s="16"/>
      <c r="D152" s="16"/>
      <c r="E152" s="18"/>
      <c r="F152" s="18"/>
      <c r="G152" s="16"/>
      <c r="H152" s="16"/>
    </row>
    <row r="153" customFormat="false" ht="15" hidden="false" customHeight="false" outlineLevel="0" collapsed="false">
      <c r="A153" s="16"/>
      <c r="B153" s="16"/>
      <c r="C153" s="16"/>
      <c r="D153" s="16"/>
      <c r="E153" s="18"/>
      <c r="F153" s="18"/>
      <c r="G153" s="16"/>
      <c r="H153" s="16"/>
    </row>
    <row r="154" customFormat="false" ht="15" hidden="false" customHeight="false" outlineLevel="0" collapsed="false">
      <c r="A154" s="16"/>
      <c r="B154" s="16"/>
      <c r="C154" s="16"/>
      <c r="D154" s="16"/>
      <c r="E154" s="18"/>
      <c r="F154" s="18"/>
      <c r="G154" s="16"/>
      <c r="H154" s="16"/>
    </row>
    <row r="155" customFormat="false" ht="15" hidden="false" customHeight="false" outlineLevel="0" collapsed="false">
      <c r="A155" s="16"/>
      <c r="B155" s="16"/>
      <c r="C155" s="16"/>
      <c r="D155" s="16"/>
      <c r="E155" s="18"/>
      <c r="F155" s="18"/>
      <c r="G155" s="16"/>
      <c r="H155" s="16"/>
    </row>
    <row r="156" customFormat="false" ht="15" hidden="false" customHeight="false" outlineLevel="0" collapsed="false">
      <c r="A156" s="16"/>
      <c r="B156" s="16"/>
      <c r="C156" s="16"/>
      <c r="D156" s="16"/>
      <c r="E156" s="18"/>
      <c r="F156" s="18"/>
      <c r="G156" s="16"/>
      <c r="H156" s="16"/>
    </row>
    <row r="157" customFormat="false" ht="15" hidden="false" customHeight="false" outlineLevel="0" collapsed="false">
      <c r="A157" s="16"/>
      <c r="B157" s="16"/>
      <c r="C157" s="16"/>
      <c r="D157" s="16"/>
      <c r="E157" s="18"/>
      <c r="F157" s="18"/>
      <c r="G157" s="16"/>
      <c r="H157" s="16"/>
    </row>
    <row r="158" customFormat="false" ht="15" hidden="false" customHeight="false" outlineLevel="0" collapsed="false">
      <c r="A158" s="16"/>
      <c r="B158" s="16"/>
      <c r="C158" s="16"/>
      <c r="D158" s="16"/>
      <c r="E158" s="18"/>
      <c r="F158" s="18"/>
      <c r="G158" s="16"/>
      <c r="H158" s="16"/>
    </row>
    <row r="159" customFormat="false" ht="15" hidden="false" customHeight="false" outlineLevel="0" collapsed="false">
      <c r="A159" s="16"/>
      <c r="B159" s="16"/>
      <c r="C159" s="16"/>
      <c r="D159" s="16"/>
      <c r="E159" s="18"/>
      <c r="F159" s="18"/>
      <c r="G159" s="16"/>
      <c r="H159" s="16"/>
    </row>
    <row r="160" customFormat="false" ht="15" hidden="false" customHeight="false" outlineLevel="0" collapsed="false">
      <c r="A160" s="16"/>
      <c r="B160" s="16"/>
      <c r="C160" s="16"/>
      <c r="D160" s="16"/>
      <c r="E160" s="18"/>
      <c r="F160" s="18"/>
      <c r="G160" s="16"/>
      <c r="H160" s="16"/>
    </row>
    <row r="161" customFormat="false" ht="15" hidden="false" customHeight="false" outlineLevel="0" collapsed="false">
      <c r="A161" s="16"/>
      <c r="B161" s="16"/>
      <c r="C161" s="16"/>
      <c r="D161" s="16"/>
      <c r="E161" s="18"/>
      <c r="F161" s="18"/>
      <c r="G161" s="16"/>
      <c r="H161" s="16"/>
    </row>
    <row r="162" customFormat="false" ht="15" hidden="false" customHeight="false" outlineLevel="0" collapsed="false">
      <c r="A162" s="16"/>
      <c r="B162" s="16"/>
      <c r="C162" s="16"/>
      <c r="D162" s="16"/>
      <c r="E162" s="18"/>
      <c r="F162" s="18"/>
      <c r="G162" s="16"/>
      <c r="H162" s="16"/>
    </row>
    <row r="163" customFormat="false" ht="15" hidden="false" customHeight="false" outlineLevel="0" collapsed="false">
      <c r="A163" s="16"/>
      <c r="B163" s="16"/>
      <c r="C163" s="16"/>
      <c r="D163" s="16"/>
      <c r="E163" s="18"/>
      <c r="F163" s="18"/>
      <c r="G163" s="16"/>
      <c r="H163" s="16"/>
    </row>
    <row r="164" customFormat="false" ht="15" hidden="false" customHeight="false" outlineLevel="0" collapsed="false">
      <c r="A164" s="16"/>
      <c r="B164" s="16"/>
      <c r="C164" s="16"/>
      <c r="D164" s="16"/>
      <c r="E164" s="18"/>
      <c r="F164" s="18"/>
      <c r="G164" s="16"/>
      <c r="H164" s="16"/>
    </row>
    <row r="165" customFormat="false" ht="15" hidden="false" customHeight="false" outlineLevel="0" collapsed="false">
      <c r="A165" s="16"/>
      <c r="B165" s="16"/>
      <c r="C165" s="16"/>
      <c r="D165" s="16"/>
      <c r="E165" s="18"/>
      <c r="F165" s="18"/>
      <c r="G165" s="16"/>
      <c r="H165" s="16"/>
    </row>
    <row r="166" customFormat="false" ht="15" hidden="false" customHeight="false" outlineLevel="0" collapsed="false">
      <c r="A166" s="16"/>
      <c r="B166" s="16"/>
      <c r="C166" s="16"/>
      <c r="D166" s="16"/>
      <c r="E166" s="18"/>
      <c r="F166" s="18"/>
      <c r="G166" s="16"/>
      <c r="H166" s="16"/>
    </row>
    <row r="167" customFormat="false" ht="15" hidden="false" customHeight="false" outlineLevel="0" collapsed="false">
      <c r="A167" s="16"/>
      <c r="B167" s="16"/>
      <c r="C167" s="16"/>
      <c r="D167" s="16"/>
      <c r="E167" s="18"/>
      <c r="F167" s="18"/>
      <c r="G167" s="16"/>
      <c r="H167" s="16"/>
    </row>
    <row r="168" customFormat="false" ht="15" hidden="false" customHeight="false" outlineLevel="0" collapsed="false">
      <c r="A168" s="16"/>
      <c r="B168" s="16"/>
      <c r="C168" s="16"/>
      <c r="D168" s="16"/>
      <c r="E168" s="18"/>
      <c r="F168" s="18"/>
      <c r="G168" s="16"/>
      <c r="H168" s="16"/>
    </row>
    <row r="169" customFormat="false" ht="15" hidden="false" customHeight="false" outlineLevel="0" collapsed="false">
      <c r="A169" s="16"/>
      <c r="B169" s="16"/>
      <c r="C169" s="16"/>
      <c r="D169" s="16"/>
      <c r="E169" s="18"/>
      <c r="F169" s="18"/>
      <c r="G169" s="16"/>
      <c r="H169" s="16"/>
    </row>
    <row r="170" customFormat="false" ht="15" hidden="false" customHeight="false" outlineLevel="0" collapsed="false">
      <c r="A170" s="16"/>
      <c r="B170" s="16"/>
      <c r="C170" s="16"/>
      <c r="D170" s="16"/>
      <c r="E170" s="18"/>
      <c r="F170" s="18"/>
      <c r="G170" s="16"/>
      <c r="H170" s="16"/>
    </row>
    <row r="171" customFormat="false" ht="15" hidden="false" customHeight="false" outlineLevel="0" collapsed="false">
      <c r="A171" s="16"/>
      <c r="B171" s="16"/>
      <c r="C171" s="16"/>
      <c r="D171" s="16"/>
      <c r="E171" s="18"/>
      <c r="F171" s="18"/>
      <c r="G171" s="16"/>
      <c r="H171" s="16"/>
    </row>
    <row r="172" customFormat="false" ht="15" hidden="false" customHeight="false" outlineLevel="0" collapsed="false">
      <c r="A172" s="16"/>
      <c r="B172" s="16"/>
      <c r="C172" s="16"/>
      <c r="D172" s="16"/>
      <c r="E172" s="18"/>
      <c r="F172" s="18"/>
      <c r="G172" s="16"/>
      <c r="H172" s="16"/>
    </row>
    <row r="173" customFormat="false" ht="15" hidden="false" customHeight="false" outlineLevel="0" collapsed="false">
      <c r="A173" s="16"/>
      <c r="B173" s="16"/>
      <c r="C173" s="16"/>
      <c r="D173" s="16"/>
      <c r="E173" s="18"/>
      <c r="F173" s="18"/>
      <c r="G173" s="16"/>
      <c r="H173" s="16"/>
    </row>
    <row r="174" customFormat="false" ht="15" hidden="false" customHeight="false" outlineLevel="0" collapsed="false">
      <c r="A174" s="16"/>
      <c r="B174" s="16"/>
      <c r="C174" s="16"/>
      <c r="D174" s="16"/>
      <c r="E174" s="18"/>
      <c r="F174" s="18"/>
      <c r="G174" s="16"/>
      <c r="H174" s="16"/>
    </row>
    <row r="175" customFormat="false" ht="15" hidden="false" customHeight="false" outlineLevel="0" collapsed="false">
      <c r="A175" s="16"/>
      <c r="B175" s="16"/>
      <c r="C175" s="16"/>
      <c r="D175" s="16"/>
      <c r="E175" s="18"/>
      <c r="F175" s="18"/>
      <c r="G175" s="16"/>
      <c r="H175" s="16"/>
    </row>
    <row r="176" customFormat="false" ht="15" hidden="false" customHeight="false" outlineLevel="0" collapsed="false">
      <c r="A176" s="16"/>
      <c r="B176" s="16"/>
      <c r="C176" s="16"/>
      <c r="D176" s="16"/>
      <c r="E176" s="18"/>
      <c r="F176" s="18"/>
      <c r="G176" s="16"/>
      <c r="H176" s="16"/>
    </row>
    <row r="177" customFormat="false" ht="15" hidden="false" customHeight="false" outlineLevel="0" collapsed="false">
      <c r="A177" s="16"/>
      <c r="B177" s="16"/>
      <c r="C177" s="16"/>
      <c r="D177" s="16"/>
      <c r="E177" s="18"/>
      <c r="F177" s="18"/>
      <c r="G177" s="16"/>
      <c r="H177" s="16"/>
    </row>
    <row r="178" customFormat="false" ht="15" hidden="false" customHeight="false" outlineLevel="0" collapsed="false">
      <c r="A178" s="16"/>
      <c r="B178" s="16"/>
      <c r="C178" s="16"/>
      <c r="D178" s="16"/>
      <c r="E178" s="18"/>
      <c r="F178" s="18"/>
      <c r="G178" s="16"/>
      <c r="H178" s="16"/>
    </row>
    <row r="179" customFormat="false" ht="15" hidden="false" customHeight="false" outlineLevel="0" collapsed="false">
      <c r="A179" s="16"/>
      <c r="B179" s="16"/>
      <c r="C179" s="16"/>
      <c r="D179" s="16"/>
      <c r="E179" s="18"/>
      <c r="F179" s="18"/>
      <c r="G179" s="16"/>
      <c r="H179" s="16"/>
    </row>
    <row r="180" customFormat="false" ht="15" hidden="false" customHeight="false" outlineLevel="0" collapsed="false">
      <c r="A180" s="16"/>
      <c r="B180" s="16"/>
      <c r="C180" s="16"/>
      <c r="D180" s="16"/>
      <c r="E180" s="18"/>
      <c r="F180" s="18"/>
      <c r="G180" s="16"/>
      <c r="H180" s="16"/>
    </row>
    <row r="181" customFormat="false" ht="15" hidden="false" customHeight="false" outlineLevel="0" collapsed="false">
      <c r="A181" s="16"/>
      <c r="B181" s="16"/>
      <c r="C181" s="16"/>
      <c r="D181" s="16"/>
      <c r="E181" s="18"/>
      <c r="F181" s="18"/>
      <c r="G181" s="16"/>
      <c r="H181" s="16"/>
    </row>
    <row r="182" customFormat="false" ht="15" hidden="false" customHeight="false" outlineLevel="0" collapsed="false">
      <c r="A182" s="16"/>
      <c r="B182" s="16"/>
      <c r="C182" s="16"/>
      <c r="D182" s="16"/>
      <c r="E182" s="18"/>
      <c r="F182" s="18"/>
      <c r="G182" s="16"/>
      <c r="H182" s="16"/>
    </row>
    <row r="183" customFormat="false" ht="15" hidden="false" customHeight="false" outlineLevel="0" collapsed="false">
      <c r="A183" s="16"/>
      <c r="B183" s="16"/>
      <c r="C183" s="16"/>
      <c r="D183" s="16"/>
      <c r="E183" s="18"/>
      <c r="F183" s="18"/>
      <c r="G183" s="16"/>
      <c r="H183" s="16"/>
    </row>
    <row r="184" customFormat="false" ht="15" hidden="false" customHeight="false" outlineLevel="0" collapsed="false">
      <c r="A184" s="16"/>
      <c r="B184" s="16"/>
      <c r="C184" s="16"/>
      <c r="D184" s="16"/>
      <c r="E184" s="18"/>
      <c r="F184" s="18"/>
      <c r="G184" s="16"/>
      <c r="H184" s="16"/>
    </row>
    <row r="185" customFormat="false" ht="15" hidden="false" customHeight="false" outlineLevel="0" collapsed="false">
      <c r="A185" s="16"/>
      <c r="B185" s="16"/>
      <c r="C185" s="16"/>
      <c r="D185" s="16"/>
      <c r="E185" s="18"/>
      <c r="F185" s="18"/>
      <c r="G185" s="16"/>
      <c r="H185" s="16"/>
    </row>
    <row r="186" customFormat="false" ht="15" hidden="false" customHeight="false" outlineLevel="0" collapsed="false">
      <c r="A186" s="16"/>
      <c r="B186" s="16"/>
      <c r="C186" s="16"/>
      <c r="D186" s="16"/>
      <c r="E186" s="18"/>
      <c r="F186" s="18"/>
      <c r="G186" s="16"/>
      <c r="H186" s="16"/>
    </row>
    <row r="187" customFormat="false" ht="15" hidden="false" customHeight="false" outlineLevel="0" collapsed="false">
      <c r="A187" s="16"/>
      <c r="B187" s="16"/>
      <c r="C187" s="16"/>
      <c r="D187" s="16"/>
      <c r="E187" s="18"/>
      <c r="F187" s="18"/>
      <c r="G187" s="16"/>
      <c r="H187" s="16"/>
    </row>
    <row r="188" customFormat="false" ht="15" hidden="false" customHeight="false" outlineLevel="0" collapsed="false">
      <c r="A188" s="16"/>
      <c r="B188" s="16"/>
      <c r="C188" s="16"/>
      <c r="D188" s="16"/>
      <c r="E188" s="18"/>
      <c r="F188" s="18"/>
      <c r="G188" s="16"/>
      <c r="H188" s="16"/>
    </row>
    <row r="189" customFormat="false" ht="15" hidden="false" customHeight="false" outlineLevel="0" collapsed="false">
      <c r="A189" s="16"/>
      <c r="B189" s="16"/>
      <c r="C189" s="16"/>
      <c r="D189" s="16"/>
      <c r="E189" s="18"/>
      <c r="F189" s="18"/>
      <c r="G189" s="16"/>
      <c r="H189" s="16"/>
    </row>
    <row r="190" customFormat="false" ht="15" hidden="false" customHeight="false" outlineLevel="0" collapsed="false">
      <c r="A190" s="16"/>
      <c r="B190" s="16"/>
      <c r="C190" s="16"/>
      <c r="D190" s="16"/>
      <c r="E190" s="18"/>
      <c r="F190" s="18"/>
      <c r="G190" s="16"/>
      <c r="H190" s="16"/>
    </row>
    <row r="191" customFormat="false" ht="15" hidden="false" customHeight="false" outlineLevel="0" collapsed="false">
      <c r="A191" s="16"/>
      <c r="B191" s="16"/>
      <c r="C191" s="16"/>
      <c r="D191" s="16"/>
      <c r="E191" s="18"/>
      <c r="F191" s="18"/>
      <c r="G191" s="16"/>
      <c r="H191" s="16"/>
    </row>
    <row r="192" customFormat="false" ht="15" hidden="false" customHeight="false" outlineLevel="0" collapsed="false">
      <c r="A192" s="16"/>
      <c r="B192" s="16"/>
      <c r="C192" s="16"/>
      <c r="D192" s="16"/>
      <c r="E192" s="18"/>
      <c r="F192" s="18"/>
      <c r="G192" s="16"/>
      <c r="H192" s="16"/>
    </row>
    <row r="193" customFormat="false" ht="15" hidden="false" customHeight="false" outlineLevel="0" collapsed="false">
      <c r="A193" s="16"/>
      <c r="B193" s="16"/>
      <c r="C193" s="16"/>
      <c r="D193" s="16"/>
      <c r="E193" s="18"/>
      <c r="F193" s="18"/>
      <c r="G193" s="16"/>
      <c r="H193" s="16"/>
    </row>
    <row r="194" customFormat="false" ht="15" hidden="false" customHeight="false" outlineLevel="0" collapsed="false">
      <c r="A194" s="16"/>
      <c r="B194" s="16"/>
      <c r="C194" s="16"/>
      <c r="D194" s="16"/>
      <c r="E194" s="18"/>
      <c r="F194" s="18"/>
      <c r="G194" s="16"/>
      <c r="H194" s="16"/>
    </row>
    <row r="195" customFormat="false" ht="15" hidden="false" customHeight="false" outlineLevel="0" collapsed="false">
      <c r="A195" s="16"/>
      <c r="B195" s="16"/>
      <c r="C195" s="16"/>
      <c r="D195" s="16"/>
      <c r="E195" s="18"/>
      <c r="F195" s="18"/>
      <c r="G195" s="16"/>
      <c r="H195" s="16"/>
    </row>
    <row r="196" customFormat="false" ht="15" hidden="false" customHeight="false" outlineLevel="0" collapsed="false">
      <c r="A196" s="16"/>
      <c r="B196" s="16"/>
      <c r="C196" s="16"/>
      <c r="D196" s="16"/>
      <c r="E196" s="18"/>
      <c r="F196" s="18"/>
      <c r="G196" s="16"/>
      <c r="H196" s="16"/>
    </row>
    <row r="197" customFormat="false" ht="15" hidden="false" customHeight="false" outlineLevel="0" collapsed="false">
      <c r="A197" s="16"/>
      <c r="B197" s="16"/>
      <c r="C197" s="16"/>
      <c r="D197" s="16"/>
      <c r="E197" s="18"/>
      <c r="F197" s="18"/>
      <c r="G197" s="16"/>
      <c r="H197" s="16"/>
    </row>
    <row r="198" customFormat="false" ht="15" hidden="false" customHeight="false" outlineLevel="0" collapsed="false">
      <c r="A198" s="16"/>
      <c r="B198" s="16"/>
      <c r="C198" s="16"/>
      <c r="D198" s="16"/>
      <c r="E198" s="18"/>
      <c r="F198" s="18"/>
      <c r="G198" s="16"/>
      <c r="H198" s="16"/>
    </row>
    <row r="199" customFormat="false" ht="15" hidden="false" customHeight="false" outlineLevel="0" collapsed="false">
      <c r="A199" s="16"/>
      <c r="B199" s="16"/>
      <c r="C199" s="16"/>
      <c r="D199" s="16"/>
      <c r="E199" s="18"/>
      <c r="F199" s="18"/>
      <c r="G199" s="16"/>
      <c r="H199" s="16"/>
    </row>
    <row r="200" customFormat="false" ht="15" hidden="false" customHeight="false" outlineLevel="0" collapsed="false">
      <c r="A200" s="16"/>
      <c r="B200" s="16"/>
      <c r="C200" s="16"/>
      <c r="D200" s="16"/>
      <c r="E200" s="18"/>
      <c r="F200" s="18"/>
      <c r="G200" s="16"/>
      <c r="H200" s="16"/>
    </row>
    <row r="201" customFormat="false" ht="15" hidden="false" customHeight="false" outlineLevel="0" collapsed="false">
      <c r="A201" s="16"/>
      <c r="B201" s="16"/>
      <c r="C201" s="16"/>
      <c r="D201" s="16"/>
      <c r="E201" s="18"/>
      <c r="F201" s="18"/>
      <c r="G201" s="16"/>
      <c r="H201" s="16"/>
    </row>
    <row r="202" customFormat="false" ht="15" hidden="false" customHeight="false" outlineLevel="0" collapsed="false">
      <c r="A202" s="16"/>
      <c r="B202" s="16"/>
      <c r="C202" s="16"/>
      <c r="D202" s="16"/>
      <c r="E202" s="18"/>
      <c r="F202" s="18"/>
      <c r="G202" s="16"/>
      <c r="H202" s="16"/>
    </row>
    <row r="203" customFormat="false" ht="15" hidden="false" customHeight="false" outlineLevel="0" collapsed="false">
      <c r="A203" s="16"/>
      <c r="B203" s="16"/>
      <c r="C203" s="16"/>
      <c r="D203" s="16"/>
      <c r="E203" s="18"/>
      <c r="F203" s="18"/>
      <c r="G203" s="16"/>
      <c r="H203" s="16"/>
    </row>
    <row r="204" customFormat="false" ht="15" hidden="false" customHeight="false" outlineLevel="0" collapsed="false">
      <c r="A204" s="16"/>
      <c r="B204" s="16"/>
      <c r="C204" s="16"/>
      <c r="D204" s="16"/>
      <c r="E204" s="18"/>
      <c r="F204" s="18"/>
      <c r="G204" s="16"/>
      <c r="H204" s="16"/>
    </row>
  </sheetData>
  <autoFilter ref="A4:H204"/>
  <dataValidations count="1">
    <dataValidation allowBlank="true" error="Pick a value from the list." errorStyle="stop" operator="between" showDropDown="false" showErrorMessage="true" showInputMessage="false" sqref="G5:G204" type="list">
      <formula1>Lists!$B$2:$B$4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44"/>
  </cols>
  <sheetData>
    <row r="1" customFormat="false" ht="31.5" hidden="false" customHeight="true" outlineLevel="0" collapsed="false">
      <c r="A1" s="19" t="s">
        <v>107</v>
      </c>
      <c r="B1" s="19" t="s">
        <v>108</v>
      </c>
      <c r="C1" s="19" t="s">
        <v>109</v>
      </c>
      <c r="D1" s="19" t="s">
        <v>110</v>
      </c>
      <c r="E1" s="19" t="s">
        <v>111</v>
      </c>
      <c r="F1" s="19" t="s">
        <v>112</v>
      </c>
    </row>
    <row r="2" customFormat="false" ht="15" hidden="false" customHeight="false" outlineLevel="0" collapsed="false">
      <c r="A2" s="20" t="s">
        <v>93</v>
      </c>
      <c r="B2" s="20" t="s">
        <v>113</v>
      </c>
      <c r="C2" s="20" t="s">
        <v>94</v>
      </c>
      <c r="D2" s="20" t="s">
        <v>114</v>
      </c>
      <c r="E2" s="20" t="s">
        <v>115</v>
      </c>
      <c r="F2" s="20" t="s">
        <v>94</v>
      </c>
    </row>
    <row r="3" customFormat="false" ht="15" hidden="false" customHeight="false" outlineLevel="0" collapsed="false">
      <c r="A3" s="20" t="s">
        <v>116</v>
      </c>
      <c r="B3" s="20" t="s">
        <v>117</v>
      </c>
      <c r="C3" s="20" t="s">
        <v>105</v>
      </c>
      <c r="D3" s="20" t="s">
        <v>118</v>
      </c>
      <c r="E3" s="20" t="s">
        <v>115</v>
      </c>
      <c r="F3" s="20" t="s">
        <v>105</v>
      </c>
    </row>
    <row r="4" customFormat="false" ht="15" hidden="false" customHeight="false" outlineLevel="0" collapsed="false">
      <c r="A4" s="20" t="s">
        <v>119</v>
      </c>
      <c r="B4" s="20" t="s">
        <v>120</v>
      </c>
      <c r="C4" s="20" t="s">
        <v>105</v>
      </c>
      <c r="D4" s="20" t="s">
        <v>121</v>
      </c>
      <c r="E4" s="20" t="s">
        <v>115</v>
      </c>
      <c r="F4" s="20" t="s">
        <v>105</v>
      </c>
    </row>
    <row r="5" customFormat="false" ht="15" hidden="false" customHeight="false" outlineLevel="0" collapsed="false">
      <c r="A5" s="20" t="s">
        <v>103</v>
      </c>
      <c r="B5" s="20" t="s">
        <v>122</v>
      </c>
      <c r="C5" s="20" t="s">
        <v>105</v>
      </c>
      <c r="D5" s="20" t="s">
        <v>123</v>
      </c>
      <c r="E5" s="20" t="s">
        <v>115</v>
      </c>
      <c r="F5" s="20" t="s">
        <v>105</v>
      </c>
    </row>
    <row r="6" customFormat="false" ht="15" hidden="false" customHeight="false" outlineLevel="0" collapsed="false">
      <c r="A6" s="20" t="s">
        <v>124</v>
      </c>
      <c r="B6" s="20" t="s">
        <v>125</v>
      </c>
      <c r="C6" s="20" t="s">
        <v>126</v>
      </c>
      <c r="D6" s="20" t="s">
        <v>127</v>
      </c>
      <c r="E6" s="20" t="s">
        <v>115</v>
      </c>
      <c r="F6" s="20" t="s">
        <v>126</v>
      </c>
    </row>
    <row r="7" customFormat="false" ht="15" hidden="false" customHeight="false" outlineLevel="0" collapsed="false">
      <c r="A7" s="20" t="s">
        <v>128</v>
      </c>
      <c r="B7" s="20" t="s">
        <v>129</v>
      </c>
      <c r="C7" s="20" t="s">
        <v>130</v>
      </c>
      <c r="D7" s="20" t="s">
        <v>131</v>
      </c>
      <c r="E7" s="20" t="s">
        <v>115</v>
      </c>
      <c r="F7" s="20" t="s">
        <v>130</v>
      </c>
    </row>
    <row r="8" customFormat="false" ht="15" hidden="false" customHeight="false" outlineLevel="0" collapsed="false">
      <c r="A8" s="20"/>
      <c r="B8" s="20"/>
      <c r="C8" s="20"/>
      <c r="D8" s="20"/>
      <c r="E8" s="20"/>
      <c r="F8" s="20"/>
    </row>
    <row r="9" customFormat="false" ht="15" hidden="false" customHeight="false" outlineLevel="0" collapsed="false">
      <c r="A9" s="20"/>
      <c r="B9" s="20"/>
      <c r="C9" s="20"/>
      <c r="D9" s="20"/>
      <c r="E9" s="20"/>
      <c r="F9" s="20"/>
    </row>
    <row r="10" customFormat="false" ht="15" hidden="false" customHeight="false" outlineLevel="0" collapsed="false">
      <c r="A10" s="20"/>
      <c r="B10" s="20"/>
      <c r="C10" s="20"/>
      <c r="D10" s="20"/>
      <c r="E10" s="20"/>
      <c r="F10" s="20"/>
    </row>
    <row r="11" customFormat="false" ht="15" hidden="false" customHeight="false" outlineLevel="0" collapsed="false">
      <c r="A11" s="20"/>
      <c r="B11" s="20"/>
      <c r="C11" s="20"/>
      <c r="D11" s="20"/>
      <c r="E11" s="20"/>
      <c r="F11" s="20"/>
    </row>
    <row r="12" customFormat="false" ht="15" hidden="false" customHeight="false" outlineLevel="0" collapsed="false">
      <c r="A12" s="20"/>
      <c r="B12" s="20"/>
      <c r="C12" s="20"/>
      <c r="D12" s="20"/>
      <c r="E12" s="20"/>
      <c r="F12" s="20"/>
    </row>
    <row r="13" customFormat="false" ht="15" hidden="false" customHeight="false" outlineLevel="0" collapsed="false">
      <c r="A13" s="20"/>
      <c r="B13" s="20"/>
      <c r="C13" s="20"/>
      <c r="D13" s="20"/>
      <c r="E13" s="20"/>
      <c r="F13" s="20"/>
    </row>
    <row r="14" customFormat="false" ht="15" hidden="false" customHeight="false" outlineLevel="0" collapsed="false">
      <c r="A14" s="20"/>
      <c r="B14" s="20"/>
      <c r="C14" s="20"/>
      <c r="D14" s="20"/>
      <c r="E14" s="20"/>
      <c r="F14" s="20"/>
    </row>
    <row r="15" customFormat="false" ht="15" hidden="false" customHeight="false" outlineLevel="0" collapsed="false">
      <c r="A15" s="20"/>
      <c r="B15" s="20"/>
      <c r="C15" s="20"/>
      <c r="D15" s="20"/>
      <c r="E15" s="20"/>
      <c r="F15" s="20"/>
    </row>
    <row r="16" customFormat="false" ht="15" hidden="false" customHeight="false" outlineLevel="0" collapsed="false">
      <c r="A16" s="20"/>
      <c r="B16" s="20"/>
      <c r="C16" s="20"/>
      <c r="D16" s="20"/>
      <c r="E16" s="20"/>
      <c r="F16" s="20"/>
    </row>
    <row r="17" customFormat="false" ht="15" hidden="false" customHeight="false" outlineLevel="0" collapsed="false">
      <c r="A17" s="20"/>
      <c r="B17" s="20"/>
      <c r="C17" s="20"/>
      <c r="D17" s="20"/>
      <c r="E17" s="20"/>
      <c r="F17" s="20"/>
    </row>
    <row r="18" customFormat="false" ht="15" hidden="false" customHeight="false" outlineLevel="0" collapsed="false">
      <c r="A18" s="20"/>
      <c r="B18" s="20"/>
      <c r="C18" s="20"/>
      <c r="D18" s="20"/>
      <c r="E18" s="20"/>
      <c r="F18" s="20"/>
    </row>
    <row r="19" customFormat="false" ht="15" hidden="false" customHeight="false" outlineLevel="0" collapsed="false">
      <c r="A19" s="20"/>
      <c r="B19" s="20"/>
      <c r="C19" s="20"/>
      <c r="D19" s="20"/>
      <c r="E19" s="20"/>
      <c r="F19" s="20"/>
    </row>
    <row r="20" customFormat="false" ht="15" hidden="false" customHeight="false" outlineLevel="0" collapsed="false">
      <c r="A20" s="20"/>
      <c r="B20" s="20"/>
      <c r="C20" s="20"/>
      <c r="D20" s="20"/>
      <c r="E20" s="20"/>
      <c r="F20" s="20"/>
    </row>
    <row r="21" customFormat="false" ht="15" hidden="false" customHeight="false" outlineLevel="0" collapsed="false">
      <c r="A21" s="20"/>
      <c r="B21" s="20"/>
      <c r="C21" s="20"/>
      <c r="D21" s="20"/>
      <c r="E21" s="20"/>
      <c r="F21" s="20"/>
    </row>
    <row r="22" customFormat="false" ht="15" hidden="false" customHeight="false" outlineLevel="0" collapsed="false">
      <c r="A22" s="20"/>
      <c r="B22" s="20"/>
      <c r="C22" s="20"/>
      <c r="D22" s="20"/>
      <c r="E22" s="20"/>
      <c r="F22" s="20"/>
    </row>
    <row r="23" customFormat="false" ht="15" hidden="false" customHeight="false" outlineLevel="0" collapsed="false">
      <c r="A23" s="20"/>
      <c r="B23" s="20"/>
      <c r="C23" s="20"/>
      <c r="D23" s="20"/>
      <c r="E23" s="20"/>
      <c r="F23" s="20"/>
    </row>
    <row r="24" customFormat="false" ht="15" hidden="false" customHeight="false" outlineLevel="0" collapsed="false">
      <c r="A24" s="20"/>
      <c r="B24" s="20"/>
      <c r="C24" s="20"/>
      <c r="D24" s="20"/>
      <c r="E24" s="20"/>
      <c r="F24" s="20"/>
    </row>
    <row r="25" customFormat="false" ht="15" hidden="false" customHeight="false" outlineLevel="0" collapsed="false">
      <c r="A25" s="20"/>
      <c r="B25" s="20"/>
      <c r="C25" s="20"/>
      <c r="D25" s="20"/>
      <c r="E25" s="20"/>
      <c r="F25" s="20"/>
    </row>
    <row r="26" customFormat="false" ht="15" hidden="false" customHeight="false" outlineLevel="0" collapsed="false">
      <c r="A26" s="20"/>
      <c r="B26" s="20"/>
      <c r="C26" s="20"/>
      <c r="D26" s="20"/>
      <c r="E26" s="20"/>
      <c r="F26" s="20"/>
    </row>
    <row r="27" customFormat="false" ht="15" hidden="false" customHeight="false" outlineLevel="0" collapsed="false">
      <c r="A27" s="20"/>
      <c r="B27" s="20"/>
      <c r="C27" s="20"/>
      <c r="D27" s="20"/>
      <c r="E27" s="20"/>
      <c r="F27" s="20"/>
    </row>
    <row r="28" customFormat="false" ht="15" hidden="false" customHeight="false" outlineLevel="0" collapsed="false">
      <c r="A28" s="20"/>
      <c r="B28" s="20"/>
      <c r="C28" s="20"/>
      <c r="D28" s="20"/>
      <c r="E28" s="20"/>
      <c r="F28" s="20"/>
    </row>
    <row r="29" customFormat="false" ht="15" hidden="false" customHeight="false" outlineLevel="0" collapsed="false">
      <c r="A29" s="20"/>
      <c r="B29" s="20"/>
      <c r="C29" s="20"/>
      <c r="D29" s="20"/>
      <c r="E29" s="20"/>
      <c r="F29" s="20"/>
    </row>
    <row r="30" customFormat="false" ht="15" hidden="false" customHeight="false" outlineLevel="0" collapsed="false">
      <c r="A30" s="20"/>
      <c r="B30" s="20"/>
      <c r="C30" s="20"/>
      <c r="D30" s="20"/>
      <c r="E30" s="20"/>
      <c r="F30" s="20"/>
    </row>
    <row r="31" customFormat="false" ht="15" hidden="false" customHeight="false" outlineLevel="0" collapsed="false">
      <c r="A31" s="20"/>
      <c r="B31" s="20"/>
      <c r="C31" s="20"/>
      <c r="D31" s="20"/>
      <c r="E31" s="20"/>
      <c r="F31" s="20"/>
    </row>
    <row r="32" customFormat="false" ht="15" hidden="false" customHeight="false" outlineLevel="0" collapsed="false">
      <c r="A32" s="20"/>
      <c r="B32" s="20"/>
      <c r="C32" s="20"/>
      <c r="D32" s="20"/>
      <c r="E32" s="20"/>
      <c r="F32" s="20"/>
    </row>
    <row r="33" customFormat="false" ht="15" hidden="false" customHeight="false" outlineLevel="0" collapsed="false">
      <c r="A33" s="20"/>
      <c r="B33" s="20"/>
      <c r="C33" s="20"/>
      <c r="D33" s="20"/>
      <c r="E33" s="20"/>
      <c r="F33" s="20"/>
    </row>
    <row r="34" customFormat="false" ht="15" hidden="false" customHeight="false" outlineLevel="0" collapsed="false">
      <c r="A34" s="20"/>
      <c r="B34" s="20"/>
      <c r="C34" s="20"/>
      <c r="D34" s="20"/>
      <c r="E34" s="20"/>
      <c r="F34" s="20"/>
    </row>
    <row r="35" customFormat="false" ht="15" hidden="false" customHeight="false" outlineLevel="0" collapsed="false">
      <c r="A35" s="20"/>
      <c r="B35" s="20"/>
      <c r="C35" s="20"/>
      <c r="D35" s="20"/>
      <c r="E35" s="20"/>
      <c r="F35" s="20"/>
    </row>
    <row r="36" customFormat="false" ht="15" hidden="false" customHeight="false" outlineLevel="0" collapsed="false">
      <c r="A36" s="20"/>
      <c r="B36" s="20"/>
      <c r="C36" s="20"/>
      <c r="D36" s="20"/>
      <c r="E36" s="20"/>
      <c r="F36" s="20"/>
    </row>
    <row r="37" customFormat="false" ht="15" hidden="false" customHeight="false" outlineLevel="0" collapsed="false">
      <c r="A37" s="20"/>
      <c r="B37" s="20"/>
      <c r="C37" s="20"/>
      <c r="D37" s="20"/>
      <c r="E37" s="20"/>
      <c r="F37" s="20"/>
    </row>
    <row r="38" customFormat="false" ht="15" hidden="false" customHeight="false" outlineLevel="0" collapsed="false">
      <c r="A38" s="20"/>
      <c r="B38" s="20"/>
      <c r="C38" s="20"/>
      <c r="D38" s="20"/>
      <c r="E38" s="20"/>
      <c r="F38" s="20"/>
    </row>
    <row r="39" customFormat="false" ht="15" hidden="false" customHeight="false" outlineLevel="0" collapsed="false">
      <c r="A39" s="20"/>
      <c r="B39" s="20"/>
      <c r="C39" s="20"/>
      <c r="D39" s="20"/>
      <c r="E39" s="20"/>
      <c r="F39" s="20"/>
    </row>
    <row r="40" customFormat="false" ht="15" hidden="false" customHeight="false" outlineLevel="0" collapsed="false">
      <c r="A40" s="20"/>
      <c r="B40" s="20"/>
      <c r="C40" s="20"/>
      <c r="D40" s="20"/>
      <c r="E40" s="20"/>
      <c r="F40" s="20"/>
    </row>
    <row r="41" customFormat="false" ht="15" hidden="false" customHeight="false" outlineLevel="0" collapsed="false">
      <c r="A41" s="20"/>
      <c r="B41" s="20"/>
      <c r="C41" s="20"/>
      <c r="D41" s="20"/>
      <c r="E41" s="20"/>
      <c r="F41" s="20"/>
    </row>
    <row r="42" customFormat="false" ht="15" hidden="false" customHeight="false" outlineLevel="0" collapsed="false">
      <c r="A42" s="20"/>
      <c r="B42" s="20"/>
      <c r="C42" s="20"/>
      <c r="D42" s="20"/>
      <c r="E42" s="20"/>
      <c r="F42" s="20"/>
    </row>
    <row r="43" customFormat="false" ht="15" hidden="false" customHeight="false" outlineLevel="0" collapsed="false">
      <c r="A43" s="20"/>
      <c r="B43" s="20"/>
      <c r="C43" s="20"/>
      <c r="D43" s="20"/>
      <c r="E43" s="20"/>
      <c r="F43" s="20"/>
    </row>
    <row r="44" customFormat="false" ht="15" hidden="false" customHeight="false" outlineLevel="0" collapsed="false">
      <c r="A44" s="20"/>
      <c r="B44" s="20"/>
      <c r="C44" s="20"/>
      <c r="D44" s="20"/>
      <c r="E44" s="20"/>
      <c r="F44" s="20"/>
    </row>
    <row r="45" customFormat="false" ht="15" hidden="false" customHeight="false" outlineLevel="0" collapsed="false">
      <c r="A45" s="20"/>
      <c r="B45" s="20"/>
      <c r="C45" s="20"/>
      <c r="D45" s="20"/>
      <c r="E45" s="20"/>
      <c r="F45" s="20"/>
    </row>
    <row r="46" customFormat="false" ht="15" hidden="false" customHeight="false" outlineLevel="0" collapsed="false">
      <c r="A46" s="20"/>
      <c r="B46" s="20"/>
      <c r="C46" s="20"/>
      <c r="D46" s="20"/>
      <c r="E46" s="20"/>
      <c r="F46" s="20"/>
    </row>
    <row r="47" customFormat="false" ht="15" hidden="false" customHeight="false" outlineLevel="0" collapsed="false">
      <c r="A47" s="20"/>
      <c r="B47" s="20"/>
      <c r="C47" s="20"/>
      <c r="D47" s="20"/>
      <c r="E47" s="20"/>
      <c r="F47" s="20"/>
    </row>
    <row r="48" customFormat="false" ht="15" hidden="false" customHeight="false" outlineLevel="0" collapsed="false">
      <c r="A48" s="20"/>
      <c r="B48" s="20"/>
      <c r="C48" s="20"/>
      <c r="D48" s="20"/>
      <c r="E48" s="20"/>
      <c r="F48" s="20"/>
    </row>
    <row r="49" customFormat="false" ht="15" hidden="false" customHeight="false" outlineLevel="0" collapsed="false">
      <c r="A49" s="20"/>
      <c r="B49" s="20"/>
      <c r="C49" s="20"/>
      <c r="D49" s="20"/>
      <c r="E49" s="20"/>
      <c r="F49" s="20"/>
    </row>
    <row r="50" customFormat="false" ht="15" hidden="false" customHeight="false" outlineLevel="0" collapsed="false">
      <c r="A50" s="20"/>
      <c r="B50" s="20"/>
      <c r="C50" s="20"/>
      <c r="D50" s="20"/>
      <c r="E50" s="20"/>
      <c r="F50" s="20"/>
    </row>
    <row r="51" customFormat="false" ht="15" hidden="false" customHeight="false" outlineLevel="0" collapsed="false">
      <c r="A51" s="20"/>
      <c r="B51" s="20"/>
      <c r="C51" s="20"/>
      <c r="D51" s="20"/>
      <c r="E51" s="20"/>
      <c r="F51" s="20"/>
    </row>
    <row r="52" customFormat="false" ht="15" hidden="false" customHeight="false" outlineLevel="0" collapsed="false">
      <c r="A52" s="20"/>
      <c r="B52" s="20"/>
      <c r="C52" s="20"/>
      <c r="D52" s="20"/>
      <c r="E52" s="20"/>
      <c r="F52" s="20"/>
    </row>
    <row r="53" customFormat="false" ht="15" hidden="false" customHeight="false" outlineLevel="0" collapsed="false">
      <c r="A53" s="20"/>
      <c r="B53" s="20"/>
      <c r="C53" s="20"/>
      <c r="D53" s="20"/>
      <c r="E53" s="20"/>
      <c r="F53" s="20"/>
    </row>
    <row r="54" customFormat="false" ht="15" hidden="false" customHeight="false" outlineLevel="0" collapsed="false">
      <c r="A54" s="20"/>
      <c r="B54" s="20"/>
      <c r="C54" s="20"/>
      <c r="D54" s="20"/>
      <c r="E54" s="20"/>
      <c r="F54" s="20"/>
    </row>
    <row r="55" customFormat="false" ht="15" hidden="false" customHeight="false" outlineLevel="0" collapsed="false">
      <c r="A55" s="20"/>
      <c r="B55" s="20"/>
      <c r="C55" s="20"/>
      <c r="D55" s="20"/>
      <c r="E55" s="20"/>
      <c r="F55" s="20"/>
    </row>
    <row r="56" customFormat="false" ht="15" hidden="false" customHeight="false" outlineLevel="0" collapsed="false">
      <c r="A56" s="20"/>
      <c r="B56" s="20"/>
      <c r="C56" s="20"/>
      <c r="D56" s="20"/>
      <c r="E56" s="20"/>
      <c r="F56" s="20"/>
    </row>
    <row r="57" customFormat="false" ht="15" hidden="false" customHeight="false" outlineLevel="0" collapsed="false">
      <c r="A57" s="20"/>
      <c r="B57" s="20"/>
      <c r="C57" s="20"/>
      <c r="D57" s="20"/>
      <c r="E57" s="20"/>
      <c r="F57" s="20"/>
    </row>
    <row r="58" customFormat="false" ht="15" hidden="false" customHeight="false" outlineLevel="0" collapsed="false">
      <c r="A58" s="20"/>
      <c r="B58" s="20"/>
      <c r="C58" s="20"/>
      <c r="D58" s="20"/>
      <c r="E58" s="20"/>
      <c r="F58" s="20"/>
    </row>
    <row r="59" customFormat="false" ht="15" hidden="false" customHeight="false" outlineLevel="0" collapsed="false">
      <c r="A59" s="20"/>
      <c r="B59" s="20"/>
      <c r="C59" s="20"/>
      <c r="D59" s="20"/>
      <c r="E59" s="20"/>
      <c r="F59" s="20"/>
    </row>
    <row r="60" customFormat="false" ht="15" hidden="false" customHeight="false" outlineLevel="0" collapsed="false">
      <c r="A60" s="20"/>
      <c r="B60" s="20"/>
      <c r="C60" s="20"/>
      <c r="D60" s="20"/>
      <c r="E60" s="20"/>
      <c r="F60" s="20"/>
    </row>
    <row r="61" customFormat="false" ht="15" hidden="false" customHeight="false" outlineLevel="0" collapsed="false">
      <c r="A61" s="20"/>
      <c r="B61" s="20"/>
      <c r="C61" s="20"/>
      <c r="D61" s="20"/>
      <c r="E61" s="20"/>
      <c r="F61" s="20"/>
    </row>
    <row r="62" customFormat="false" ht="15" hidden="false" customHeight="false" outlineLevel="0" collapsed="false">
      <c r="A62" s="20"/>
      <c r="B62" s="20"/>
      <c r="C62" s="20"/>
      <c r="D62" s="20"/>
      <c r="E62" s="20"/>
      <c r="F62" s="20"/>
    </row>
    <row r="63" customFormat="false" ht="15" hidden="false" customHeight="false" outlineLevel="0" collapsed="false">
      <c r="A63" s="20"/>
      <c r="B63" s="20"/>
      <c r="C63" s="20"/>
      <c r="D63" s="20"/>
      <c r="E63" s="20"/>
      <c r="F63" s="20"/>
    </row>
    <row r="64" customFormat="false" ht="15" hidden="false" customHeight="false" outlineLevel="0" collapsed="false">
      <c r="A64" s="20"/>
      <c r="B64" s="20"/>
      <c r="C64" s="20"/>
      <c r="D64" s="20"/>
      <c r="E64" s="20"/>
      <c r="F64" s="20"/>
    </row>
    <row r="65" customFormat="false" ht="15" hidden="false" customHeight="false" outlineLevel="0" collapsed="false">
      <c r="A65" s="20"/>
      <c r="B65" s="20"/>
      <c r="C65" s="20"/>
      <c r="D65" s="20"/>
      <c r="E65" s="20"/>
      <c r="F65" s="20"/>
    </row>
    <row r="66" customFormat="false" ht="15" hidden="false" customHeight="false" outlineLevel="0" collapsed="false">
      <c r="A66" s="20"/>
      <c r="B66" s="20"/>
      <c r="C66" s="20"/>
      <c r="D66" s="20"/>
      <c r="E66" s="20"/>
      <c r="F66" s="20"/>
    </row>
    <row r="67" customFormat="false" ht="15" hidden="false" customHeight="false" outlineLevel="0" collapsed="false">
      <c r="A67" s="20"/>
      <c r="B67" s="20"/>
      <c r="C67" s="20"/>
      <c r="D67" s="20"/>
      <c r="E67" s="20"/>
      <c r="F67" s="20"/>
    </row>
    <row r="68" customFormat="false" ht="15" hidden="false" customHeight="false" outlineLevel="0" collapsed="false">
      <c r="A68" s="20"/>
      <c r="B68" s="20"/>
      <c r="C68" s="20"/>
      <c r="D68" s="20"/>
      <c r="E68" s="20"/>
      <c r="F68" s="20"/>
    </row>
    <row r="69" customFormat="false" ht="15" hidden="false" customHeight="false" outlineLevel="0" collapsed="false">
      <c r="A69" s="20"/>
      <c r="B69" s="20"/>
      <c r="C69" s="20"/>
      <c r="D69" s="20"/>
      <c r="E69" s="20"/>
      <c r="F69" s="20"/>
    </row>
    <row r="70" customFormat="false" ht="15" hidden="false" customHeight="false" outlineLevel="0" collapsed="false">
      <c r="A70" s="20"/>
      <c r="B70" s="20"/>
      <c r="C70" s="20"/>
      <c r="D70" s="20"/>
      <c r="E70" s="20"/>
      <c r="F70" s="20"/>
    </row>
    <row r="71" customFormat="false" ht="15" hidden="false" customHeight="false" outlineLevel="0" collapsed="false">
      <c r="A71" s="20"/>
      <c r="B71" s="20"/>
      <c r="C71" s="20"/>
      <c r="D71" s="20"/>
      <c r="E71" s="20"/>
      <c r="F71" s="20"/>
    </row>
    <row r="72" customFormat="false" ht="15" hidden="false" customHeight="false" outlineLevel="0" collapsed="false">
      <c r="A72" s="20"/>
      <c r="B72" s="20"/>
      <c r="C72" s="20"/>
      <c r="D72" s="20"/>
      <c r="E72" s="20"/>
      <c r="F72" s="20"/>
    </row>
    <row r="73" customFormat="false" ht="15" hidden="false" customHeight="false" outlineLevel="0" collapsed="false">
      <c r="A73" s="20"/>
      <c r="B73" s="20"/>
      <c r="C73" s="20"/>
      <c r="D73" s="20"/>
      <c r="E73" s="20"/>
      <c r="F73" s="20"/>
    </row>
    <row r="74" customFormat="false" ht="15" hidden="false" customHeight="false" outlineLevel="0" collapsed="false">
      <c r="A74" s="20"/>
      <c r="B74" s="20"/>
      <c r="C74" s="20"/>
      <c r="D74" s="20"/>
      <c r="E74" s="20"/>
      <c r="F74" s="20"/>
    </row>
    <row r="75" customFormat="false" ht="15" hidden="false" customHeight="false" outlineLevel="0" collapsed="false">
      <c r="A75" s="20"/>
      <c r="B75" s="20"/>
      <c r="C75" s="20"/>
      <c r="D75" s="20"/>
      <c r="E75" s="20"/>
      <c r="F75" s="20"/>
    </row>
    <row r="76" customFormat="false" ht="15" hidden="false" customHeight="false" outlineLevel="0" collapsed="false">
      <c r="A76" s="20"/>
      <c r="B76" s="20"/>
      <c r="C76" s="20"/>
      <c r="D76" s="20"/>
      <c r="E76" s="20"/>
      <c r="F76" s="20"/>
    </row>
    <row r="77" customFormat="false" ht="15" hidden="false" customHeight="false" outlineLevel="0" collapsed="false">
      <c r="A77" s="20"/>
      <c r="B77" s="20"/>
      <c r="C77" s="20"/>
      <c r="D77" s="20"/>
      <c r="E77" s="20"/>
      <c r="F77" s="20"/>
    </row>
    <row r="78" customFormat="false" ht="15" hidden="false" customHeight="false" outlineLevel="0" collapsed="false">
      <c r="A78" s="20"/>
      <c r="B78" s="20"/>
      <c r="C78" s="20"/>
      <c r="D78" s="20"/>
      <c r="E78" s="20"/>
      <c r="F78" s="20"/>
    </row>
    <row r="79" customFormat="false" ht="15" hidden="false" customHeight="false" outlineLevel="0" collapsed="false">
      <c r="A79" s="20"/>
      <c r="B79" s="20"/>
      <c r="C79" s="20"/>
      <c r="D79" s="20"/>
      <c r="E79" s="20"/>
      <c r="F79" s="20"/>
    </row>
    <row r="80" customFormat="false" ht="15" hidden="false" customHeight="false" outlineLevel="0" collapsed="false">
      <c r="A80" s="20"/>
      <c r="B80" s="20"/>
      <c r="C80" s="20"/>
      <c r="D80" s="20"/>
      <c r="E80" s="20"/>
      <c r="F80" s="20"/>
    </row>
    <row r="81" customFormat="false" ht="15" hidden="false" customHeight="false" outlineLevel="0" collapsed="false">
      <c r="A81" s="20"/>
      <c r="B81" s="20"/>
      <c r="C81" s="20"/>
      <c r="D81" s="20"/>
      <c r="E81" s="20"/>
      <c r="F81" s="20"/>
    </row>
    <row r="82" customFormat="false" ht="15" hidden="false" customHeight="false" outlineLevel="0" collapsed="false">
      <c r="A82" s="20"/>
      <c r="B82" s="20"/>
      <c r="C82" s="20"/>
      <c r="D82" s="20"/>
      <c r="E82" s="20"/>
      <c r="F82" s="20"/>
    </row>
    <row r="83" customFormat="false" ht="15" hidden="false" customHeight="false" outlineLevel="0" collapsed="false">
      <c r="A83" s="20"/>
      <c r="B83" s="20"/>
      <c r="C83" s="20"/>
      <c r="D83" s="20"/>
      <c r="E83" s="20"/>
      <c r="F83" s="20"/>
    </row>
    <row r="84" customFormat="false" ht="15" hidden="false" customHeight="false" outlineLevel="0" collapsed="false">
      <c r="A84" s="20"/>
      <c r="B84" s="20"/>
      <c r="C84" s="20"/>
      <c r="D84" s="20"/>
      <c r="E84" s="20"/>
      <c r="F84" s="20"/>
    </row>
    <row r="85" customFormat="false" ht="15" hidden="false" customHeight="false" outlineLevel="0" collapsed="false">
      <c r="A85" s="20"/>
      <c r="B85" s="20"/>
      <c r="C85" s="20"/>
      <c r="D85" s="20"/>
      <c r="E85" s="20"/>
      <c r="F85" s="20"/>
    </row>
    <row r="86" customFormat="false" ht="15" hidden="false" customHeight="false" outlineLevel="0" collapsed="false">
      <c r="A86" s="20"/>
      <c r="B86" s="20"/>
      <c r="C86" s="20"/>
      <c r="D86" s="20"/>
      <c r="E86" s="20"/>
      <c r="F86" s="20"/>
    </row>
    <row r="87" customFormat="false" ht="15" hidden="false" customHeight="false" outlineLevel="0" collapsed="false">
      <c r="A87" s="20"/>
      <c r="B87" s="20"/>
      <c r="C87" s="20"/>
      <c r="D87" s="20"/>
      <c r="E87" s="20"/>
      <c r="F87" s="20"/>
    </row>
    <row r="88" customFormat="false" ht="15" hidden="false" customHeight="false" outlineLevel="0" collapsed="false">
      <c r="A88" s="20"/>
      <c r="B88" s="20"/>
      <c r="C88" s="20"/>
      <c r="D88" s="20"/>
      <c r="E88" s="20"/>
      <c r="F88" s="20"/>
    </row>
    <row r="89" customFormat="false" ht="15" hidden="false" customHeight="false" outlineLevel="0" collapsed="false">
      <c r="A89" s="20"/>
      <c r="B89" s="20"/>
      <c r="C89" s="20"/>
      <c r="D89" s="20"/>
      <c r="E89" s="20"/>
      <c r="F89" s="20"/>
    </row>
    <row r="90" customFormat="false" ht="15" hidden="false" customHeight="false" outlineLevel="0" collapsed="false">
      <c r="A90" s="20"/>
      <c r="B90" s="20"/>
      <c r="C90" s="20"/>
      <c r="D90" s="20"/>
      <c r="E90" s="20"/>
      <c r="F90" s="20"/>
    </row>
    <row r="91" customFormat="false" ht="15" hidden="false" customHeight="false" outlineLevel="0" collapsed="false">
      <c r="A91" s="20"/>
      <c r="B91" s="20"/>
      <c r="C91" s="20"/>
      <c r="D91" s="20"/>
      <c r="E91" s="20"/>
      <c r="F91" s="20"/>
    </row>
    <row r="92" customFormat="false" ht="15" hidden="false" customHeight="false" outlineLevel="0" collapsed="false">
      <c r="A92" s="20"/>
      <c r="B92" s="20"/>
      <c r="C92" s="20"/>
      <c r="D92" s="20"/>
      <c r="E92" s="20"/>
      <c r="F92" s="20"/>
    </row>
    <row r="93" customFormat="false" ht="15" hidden="false" customHeight="false" outlineLevel="0" collapsed="false">
      <c r="A93" s="20"/>
      <c r="B93" s="20"/>
      <c r="C93" s="20"/>
      <c r="D93" s="20"/>
      <c r="E93" s="20"/>
      <c r="F93" s="20"/>
    </row>
    <row r="94" customFormat="false" ht="15" hidden="false" customHeight="false" outlineLevel="0" collapsed="false">
      <c r="A94" s="20"/>
      <c r="B94" s="20"/>
      <c r="C94" s="20"/>
      <c r="D94" s="20"/>
      <c r="E94" s="20"/>
      <c r="F94" s="20"/>
    </row>
    <row r="95" customFormat="false" ht="15" hidden="false" customHeight="false" outlineLevel="0" collapsed="false">
      <c r="A95" s="20"/>
      <c r="B95" s="20"/>
      <c r="C95" s="20"/>
      <c r="D95" s="20"/>
      <c r="E95" s="20"/>
      <c r="F95" s="20"/>
    </row>
    <row r="96" customFormat="false" ht="15" hidden="false" customHeight="false" outlineLevel="0" collapsed="false">
      <c r="A96" s="20"/>
      <c r="B96" s="20"/>
      <c r="C96" s="20"/>
      <c r="D96" s="20"/>
      <c r="E96" s="20"/>
      <c r="F96" s="20"/>
    </row>
    <row r="97" customFormat="false" ht="15" hidden="false" customHeight="false" outlineLevel="0" collapsed="false">
      <c r="A97" s="20"/>
      <c r="B97" s="20"/>
      <c r="C97" s="20"/>
      <c r="D97" s="20"/>
      <c r="E97" s="20"/>
      <c r="F97" s="20"/>
    </row>
    <row r="98" customFormat="false" ht="15" hidden="false" customHeight="false" outlineLevel="0" collapsed="false">
      <c r="A98" s="20"/>
      <c r="B98" s="20"/>
      <c r="C98" s="20"/>
      <c r="D98" s="20"/>
      <c r="E98" s="20"/>
      <c r="F98" s="20"/>
    </row>
    <row r="99" customFormat="false" ht="15" hidden="false" customHeight="false" outlineLevel="0" collapsed="false">
      <c r="A99" s="20"/>
      <c r="B99" s="20"/>
      <c r="C99" s="20"/>
      <c r="D99" s="20"/>
      <c r="E99" s="20"/>
      <c r="F99" s="20"/>
    </row>
    <row r="100" customFormat="false" ht="15" hidden="false" customHeight="false" outlineLevel="0" collapsed="false">
      <c r="A100" s="20"/>
      <c r="B100" s="20"/>
      <c r="C100" s="20"/>
      <c r="D100" s="20"/>
      <c r="E100" s="20"/>
      <c r="F100" s="20"/>
    </row>
    <row r="101" customFormat="false" ht="15" hidden="false" customHeight="false" outlineLevel="0" collapsed="false">
      <c r="A101" s="20"/>
      <c r="B101" s="20"/>
      <c r="C101" s="20"/>
      <c r="D101" s="20"/>
      <c r="E101" s="20"/>
      <c r="F101" s="20"/>
    </row>
    <row r="102" customFormat="false" ht="15" hidden="false" customHeight="false" outlineLevel="0" collapsed="false">
      <c r="A102" s="20"/>
      <c r="B102" s="20"/>
      <c r="C102" s="20"/>
      <c r="D102" s="20"/>
      <c r="E102" s="20"/>
      <c r="F102" s="20"/>
    </row>
    <row r="103" customFormat="false" ht="15" hidden="false" customHeight="false" outlineLevel="0" collapsed="false">
      <c r="A103" s="20"/>
      <c r="B103" s="20"/>
      <c r="C103" s="20"/>
      <c r="D103" s="20"/>
      <c r="E103" s="20"/>
      <c r="F103" s="20"/>
    </row>
    <row r="104" customFormat="false" ht="15" hidden="false" customHeight="false" outlineLevel="0" collapsed="false">
      <c r="A104" s="20"/>
      <c r="B104" s="20"/>
      <c r="C104" s="20"/>
      <c r="D104" s="20"/>
      <c r="E104" s="20"/>
      <c r="F104" s="20"/>
    </row>
    <row r="105" customFormat="false" ht="15" hidden="false" customHeight="false" outlineLevel="0" collapsed="false">
      <c r="A105" s="20"/>
      <c r="B105" s="20"/>
      <c r="C105" s="20"/>
      <c r="D105" s="20"/>
      <c r="E105" s="20"/>
      <c r="F105" s="20"/>
    </row>
    <row r="106" customFormat="false" ht="15" hidden="false" customHeight="false" outlineLevel="0" collapsed="false">
      <c r="A106" s="20"/>
      <c r="B106" s="20"/>
      <c r="C106" s="20"/>
      <c r="D106" s="20"/>
      <c r="E106" s="20"/>
      <c r="F106" s="20"/>
    </row>
    <row r="107" customFormat="false" ht="15" hidden="false" customHeight="false" outlineLevel="0" collapsed="false">
      <c r="A107" s="20"/>
      <c r="B107" s="20"/>
      <c r="C107" s="20"/>
      <c r="D107" s="20"/>
      <c r="E107" s="20"/>
      <c r="F107" s="20"/>
    </row>
    <row r="108" customFormat="false" ht="15" hidden="false" customHeight="false" outlineLevel="0" collapsed="false">
      <c r="A108" s="20"/>
      <c r="B108" s="20"/>
      <c r="C108" s="20"/>
      <c r="D108" s="20"/>
      <c r="E108" s="20"/>
      <c r="F108" s="20"/>
    </row>
    <row r="109" customFormat="false" ht="15" hidden="false" customHeight="false" outlineLevel="0" collapsed="false">
      <c r="A109" s="20"/>
      <c r="B109" s="20"/>
      <c r="C109" s="20"/>
      <c r="D109" s="20"/>
      <c r="E109" s="20"/>
      <c r="F109" s="20"/>
    </row>
    <row r="110" customFormat="false" ht="15" hidden="false" customHeight="false" outlineLevel="0" collapsed="false">
      <c r="A110" s="20"/>
      <c r="B110" s="20"/>
      <c r="C110" s="20"/>
      <c r="D110" s="20"/>
      <c r="E110" s="20"/>
      <c r="F110" s="20"/>
    </row>
    <row r="111" customFormat="false" ht="15" hidden="false" customHeight="false" outlineLevel="0" collapsed="false">
      <c r="A111" s="20"/>
      <c r="B111" s="20"/>
      <c r="C111" s="20"/>
      <c r="D111" s="20"/>
      <c r="E111" s="20"/>
      <c r="F111" s="20"/>
    </row>
    <row r="112" customFormat="false" ht="15" hidden="false" customHeight="false" outlineLevel="0" collapsed="false">
      <c r="A112" s="20"/>
      <c r="B112" s="20"/>
      <c r="C112" s="20"/>
      <c r="D112" s="20"/>
      <c r="E112" s="20"/>
      <c r="F112" s="20"/>
    </row>
    <row r="113" customFormat="false" ht="15" hidden="false" customHeight="false" outlineLevel="0" collapsed="false">
      <c r="A113" s="20"/>
      <c r="B113" s="20"/>
      <c r="C113" s="20"/>
      <c r="D113" s="20"/>
      <c r="E113" s="20"/>
      <c r="F113" s="20"/>
    </row>
    <row r="114" customFormat="false" ht="15" hidden="false" customHeight="false" outlineLevel="0" collapsed="false">
      <c r="A114" s="20"/>
      <c r="B114" s="20"/>
      <c r="C114" s="20"/>
      <c r="D114" s="20"/>
      <c r="E114" s="20"/>
      <c r="F114" s="20"/>
    </row>
    <row r="115" customFormat="false" ht="15" hidden="false" customHeight="false" outlineLevel="0" collapsed="false">
      <c r="A115" s="20"/>
      <c r="B115" s="20"/>
      <c r="C115" s="20"/>
      <c r="D115" s="20"/>
      <c r="E115" s="20"/>
      <c r="F115" s="20"/>
    </row>
    <row r="116" customFormat="false" ht="15" hidden="false" customHeight="false" outlineLevel="0" collapsed="false">
      <c r="A116" s="20"/>
      <c r="B116" s="20"/>
      <c r="C116" s="20"/>
      <c r="D116" s="20"/>
      <c r="E116" s="20"/>
      <c r="F116" s="20"/>
    </row>
    <row r="117" customFormat="false" ht="15" hidden="false" customHeight="false" outlineLevel="0" collapsed="false">
      <c r="A117" s="20"/>
      <c r="B117" s="20"/>
      <c r="C117" s="20"/>
      <c r="D117" s="20"/>
      <c r="E117" s="20"/>
      <c r="F117" s="20"/>
    </row>
    <row r="118" customFormat="false" ht="15" hidden="false" customHeight="false" outlineLevel="0" collapsed="false">
      <c r="A118" s="20"/>
      <c r="B118" s="20"/>
      <c r="C118" s="20"/>
      <c r="D118" s="20"/>
      <c r="E118" s="20"/>
      <c r="F118" s="20"/>
    </row>
    <row r="119" customFormat="false" ht="15" hidden="false" customHeight="false" outlineLevel="0" collapsed="false">
      <c r="A119" s="20"/>
      <c r="B119" s="20"/>
      <c r="C119" s="20"/>
      <c r="D119" s="20"/>
      <c r="E119" s="20"/>
      <c r="F119" s="20"/>
    </row>
    <row r="120" customFormat="false" ht="15" hidden="false" customHeight="false" outlineLevel="0" collapsed="false">
      <c r="A120" s="20"/>
      <c r="B120" s="20"/>
      <c r="C120" s="20"/>
      <c r="D120" s="20"/>
      <c r="E120" s="20"/>
      <c r="F120" s="20"/>
    </row>
    <row r="121" customFormat="false" ht="15" hidden="false" customHeight="false" outlineLevel="0" collapsed="false">
      <c r="A121" s="20"/>
      <c r="B121" s="20"/>
      <c r="C121" s="20"/>
      <c r="D121" s="20"/>
      <c r="E121" s="20"/>
      <c r="F121" s="20"/>
    </row>
    <row r="122" customFormat="false" ht="15" hidden="false" customHeight="false" outlineLevel="0" collapsed="false">
      <c r="A122" s="20"/>
      <c r="B122" s="20"/>
      <c r="C122" s="20"/>
      <c r="D122" s="20"/>
      <c r="E122" s="20"/>
      <c r="F122" s="20"/>
    </row>
    <row r="123" customFormat="false" ht="15" hidden="false" customHeight="false" outlineLevel="0" collapsed="false">
      <c r="A123" s="20"/>
      <c r="B123" s="20"/>
      <c r="C123" s="20"/>
      <c r="D123" s="20"/>
      <c r="E123" s="20"/>
      <c r="F123" s="20"/>
    </row>
    <row r="124" customFormat="false" ht="15" hidden="false" customHeight="false" outlineLevel="0" collapsed="false">
      <c r="A124" s="20"/>
      <c r="B124" s="20"/>
      <c r="C124" s="20"/>
      <c r="D124" s="20"/>
      <c r="E124" s="20"/>
      <c r="F124" s="20"/>
    </row>
    <row r="125" customFormat="false" ht="15" hidden="false" customHeight="false" outlineLevel="0" collapsed="false">
      <c r="A125" s="20"/>
      <c r="B125" s="20"/>
      <c r="C125" s="20"/>
      <c r="D125" s="20"/>
      <c r="E125" s="20"/>
      <c r="F125" s="20"/>
    </row>
    <row r="126" customFormat="false" ht="15" hidden="false" customHeight="false" outlineLevel="0" collapsed="false">
      <c r="A126" s="20"/>
      <c r="B126" s="20"/>
      <c r="C126" s="20"/>
      <c r="D126" s="20"/>
      <c r="E126" s="20"/>
      <c r="F126" s="20"/>
    </row>
    <row r="127" customFormat="false" ht="15" hidden="false" customHeight="false" outlineLevel="0" collapsed="false">
      <c r="A127" s="20"/>
      <c r="B127" s="20"/>
      <c r="C127" s="20"/>
      <c r="D127" s="20"/>
      <c r="E127" s="20"/>
      <c r="F127" s="20"/>
    </row>
    <row r="128" customFormat="false" ht="15" hidden="false" customHeight="false" outlineLevel="0" collapsed="false">
      <c r="A128" s="20"/>
      <c r="B128" s="20"/>
      <c r="C128" s="20"/>
      <c r="D128" s="20"/>
      <c r="E128" s="20"/>
      <c r="F128" s="20"/>
    </row>
    <row r="129" customFormat="false" ht="15" hidden="false" customHeight="false" outlineLevel="0" collapsed="false">
      <c r="A129" s="20"/>
      <c r="B129" s="20"/>
      <c r="C129" s="20"/>
      <c r="D129" s="20"/>
      <c r="E129" s="20"/>
      <c r="F129" s="20"/>
    </row>
    <row r="130" customFormat="false" ht="15" hidden="false" customHeight="false" outlineLevel="0" collapsed="false">
      <c r="A130" s="20"/>
      <c r="B130" s="20"/>
      <c r="C130" s="20"/>
      <c r="D130" s="20"/>
      <c r="E130" s="20"/>
      <c r="F130" s="20"/>
    </row>
    <row r="131" customFormat="false" ht="15" hidden="false" customHeight="false" outlineLevel="0" collapsed="false">
      <c r="A131" s="20"/>
      <c r="B131" s="20"/>
      <c r="C131" s="20"/>
      <c r="D131" s="20"/>
      <c r="E131" s="20"/>
      <c r="F131" s="20"/>
    </row>
    <row r="132" customFormat="false" ht="15" hidden="false" customHeight="false" outlineLevel="0" collapsed="false">
      <c r="A132" s="20"/>
      <c r="B132" s="20"/>
      <c r="C132" s="20"/>
      <c r="D132" s="20"/>
      <c r="E132" s="20"/>
      <c r="F132" s="20"/>
    </row>
    <row r="133" customFormat="false" ht="15" hidden="false" customHeight="false" outlineLevel="0" collapsed="false">
      <c r="A133" s="20"/>
      <c r="B133" s="20"/>
      <c r="C133" s="20"/>
      <c r="D133" s="20"/>
      <c r="E133" s="20"/>
      <c r="F133" s="20"/>
    </row>
    <row r="134" customFormat="false" ht="15" hidden="false" customHeight="false" outlineLevel="0" collapsed="false">
      <c r="A134" s="20"/>
      <c r="B134" s="20"/>
      <c r="C134" s="20"/>
      <c r="D134" s="20"/>
      <c r="E134" s="20"/>
      <c r="F134" s="20"/>
    </row>
    <row r="135" customFormat="false" ht="15" hidden="false" customHeight="false" outlineLevel="0" collapsed="false">
      <c r="A135" s="20"/>
      <c r="B135" s="20"/>
      <c r="C135" s="20"/>
      <c r="D135" s="20"/>
      <c r="E135" s="20"/>
      <c r="F135" s="20"/>
    </row>
    <row r="136" customFormat="false" ht="15" hidden="false" customHeight="false" outlineLevel="0" collapsed="false">
      <c r="A136" s="20"/>
      <c r="B136" s="20"/>
      <c r="C136" s="20"/>
      <c r="D136" s="20"/>
      <c r="E136" s="20"/>
      <c r="F136" s="20"/>
    </row>
    <row r="137" customFormat="false" ht="15" hidden="false" customHeight="false" outlineLevel="0" collapsed="false">
      <c r="A137" s="20"/>
      <c r="B137" s="20"/>
      <c r="C137" s="20"/>
      <c r="D137" s="20"/>
      <c r="E137" s="20"/>
      <c r="F137" s="20"/>
    </row>
    <row r="138" customFormat="false" ht="15" hidden="false" customHeight="false" outlineLevel="0" collapsed="false">
      <c r="A138" s="20"/>
      <c r="B138" s="20"/>
      <c r="C138" s="20"/>
      <c r="D138" s="20"/>
      <c r="E138" s="20"/>
      <c r="F138" s="20"/>
    </row>
    <row r="139" customFormat="false" ht="15" hidden="false" customHeight="false" outlineLevel="0" collapsed="false">
      <c r="A139" s="20"/>
      <c r="B139" s="20"/>
      <c r="C139" s="20"/>
      <c r="D139" s="20"/>
      <c r="E139" s="20"/>
      <c r="F139" s="20"/>
    </row>
    <row r="140" customFormat="false" ht="15" hidden="false" customHeight="false" outlineLevel="0" collapsed="false">
      <c r="A140" s="20"/>
      <c r="B140" s="20"/>
      <c r="C140" s="20"/>
      <c r="D140" s="20"/>
      <c r="E140" s="20"/>
      <c r="F140" s="20"/>
    </row>
    <row r="141" customFormat="false" ht="15" hidden="false" customHeight="false" outlineLevel="0" collapsed="false">
      <c r="A141" s="20"/>
      <c r="B141" s="20"/>
      <c r="C141" s="20"/>
      <c r="D141" s="20"/>
      <c r="E141" s="20"/>
      <c r="F141" s="20"/>
    </row>
    <row r="142" customFormat="false" ht="15" hidden="false" customHeight="false" outlineLevel="0" collapsed="false">
      <c r="A142" s="20"/>
      <c r="B142" s="20"/>
      <c r="C142" s="20"/>
      <c r="D142" s="20"/>
      <c r="E142" s="20"/>
      <c r="F142" s="20"/>
    </row>
    <row r="143" customFormat="false" ht="15" hidden="false" customHeight="false" outlineLevel="0" collapsed="false">
      <c r="A143" s="20"/>
      <c r="B143" s="20"/>
      <c r="C143" s="20"/>
      <c r="D143" s="20"/>
      <c r="E143" s="20"/>
      <c r="F143" s="20"/>
    </row>
    <row r="144" customFormat="false" ht="15" hidden="false" customHeight="false" outlineLevel="0" collapsed="false">
      <c r="A144" s="20"/>
      <c r="B144" s="20"/>
      <c r="C144" s="20"/>
      <c r="D144" s="20"/>
      <c r="E144" s="20"/>
      <c r="F144" s="20"/>
    </row>
    <row r="145" customFormat="false" ht="15" hidden="false" customHeight="false" outlineLevel="0" collapsed="false">
      <c r="A145" s="20"/>
      <c r="B145" s="20"/>
      <c r="C145" s="20"/>
      <c r="D145" s="20"/>
      <c r="E145" s="20"/>
      <c r="F145" s="20"/>
    </row>
    <row r="146" customFormat="false" ht="15" hidden="false" customHeight="false" outlineLevel="0" collapsed="false">
      <c r="A146" s="20"/>
      <c r="B146" s="20"/>
      <c r="C146" s="20"/>
      <c r="D146" s="20"/>
      <c r="E146" s="20"/>
      <c r="F146" s="20"/>
    </row>
    <row r="147" customFormat="false" ht="15" hidden="false" customHeight="false" outlineLevel="0" collapsed="false">
      <c r="A147" s="20"/>
      <c r="B147" s="20"/>
      <c r="C147" s="20"/>
      <c r="D147" s="20"/>
      <c r="E147" s="20"/>
      <c r="F147" s="20"/>
    </row>
    <row r="148" customFormat="false" ht="15" hidden="false" customHeight="false" outlineLevel="0" collapsed="false">
      <c r="A148" s="20"/>
      <c r="B148" s="20"/>
      <c r="C148" s="20"/>
      <c r="D148" s="20"/>
      <c r="E148" s="20"/>
      <c r="F148" s="20"/>
    </row>
    <row r="149" customFormat="false" ht="15" hidden="false" customHeight="false" outlineLevel="0" collapsed="false">
      <c r="A149" s="20"/>
      <c r="B149" s="20"/>
      <c r="C149" s="20"/>
      <c r="D149" s="20"/>
      <c r="E149" s="20"/>
      <c r="F149" s="20"/>
    </row>
    <row r="150" customFormat="false" ht="15" hidden="false" customHeight="false" outlineLevel="0" collapsed="false">
      <c r="A150" s="20"/>
      <c r="B150" s="20"/>
      <c r="C150" s="20"/>
      <c r="D150" s="20"/>
      <c r="E150" s="20"/>
      <c r="F150" s="20"/>
    </row>
    <row r="151" customFormat="false" ht="15" hidden="false" customHeight="false" outlineLevel="0" collapsed="false">
      <c r="A151" s="20"/>
      <c r="B151" s="20"/>
      <c r="C151" s="20"/>
      <c r="D151" s="20"/>
      <c r="E151" s="20"/>
      <c r="F151" s="20"/>
    </row>
    <row r="152" customFormat="false" ht="15" hidden="false" customHeight="false" outlineLevel="0" collapsed="false">
      <c r="A152" s="20"/>
      <c r="B152" s="20"/>
      <c r="C152" s="20"/>
      <c r="D152" s="20"/>
      <c r="E152" s="20"/>
      <c r="F152" s="20"/>
    </row>
    <row r="153" customFormat="false" ht="15" hidden="false" customHeight="false" outlineLevel="0" collapsed="false">
      <c r="A153" s="20"/>
      <c r="B153" s="20"/>
      <c r="C153" s="20"/>
      <c r="D153" s="20"/>
      <c r="E153" s="20"/>
      <c r="F153" s="20"/>
    </row>
    <row r="154" customFormat="false" ht="15" hidden="false" customHeight="false" outlineLevel="0" collapsed="false">
      <c r="A154" s="20"/>
      <c r="B154" s="20"/>
      <c r="C154" s="20"/>
      <c r="D154" s="20"/>
      <c r="E154" s="20"/>
      <c r="F154" s="20"/>
    </row>
    <row r="155" customFormat="false" ht="15" hidden="false" customHeight="false" outlineLevel="0" collapsed="false">
      <c r="A155" s="20"/>
      <c r="B155" s="20"/>
      <c r="C155" s="20"/>
      <c r="D155" s="20"/>
      <c r="E155" s="20"/>
      <c r="F155" s="20"/>
    </row>
    <row r="156" customFormat="false" ht="15" hidden="false" customHeight="false" outlineLevel="0" collapsed="false">
      <c r="A156" s="20"/>
      <c r="B156" s="20"/>
      <c r="C156" s="20"/>
      <c r="D156" s="20"/>
      <c r="E156" s="20"/>
      <c r="F156" s="20"/>
    </row>
    <row r="157" customFormat="false" ht="15" hidden="false" customHeight="false" outlineLevel="0" collapsed="false">
      <c r="A157" s="20"/>
      <c r="B157" s="20"/>
      <c r="C157" s="20"/>
      <c r="D157" s="20"/>
      <c r="E157" s="20"/>
      <c r="F157" s="20"/>
    </row>
    <row r="158" customFormat="false" ht="15" hidden="false" customHeight="false" outlineLevel="0" collapsed="false">
      <c r="A158" s="20"/>
      <c r="B158" s="20"/>
      <c r="C158" s="20"/>
      <c r="D158" s="20"/>
      <c r="E158" s="20"/>
      <c r="F158" s="20"/>
    </row>
    <row r="159" customFormat="false" ht="15" hidden="false" customHeight="false" outlineLevel="0" collapsed="false">
      <c r="A159" s="20"/>
      <c r="B159" s="20"/>
      <c r="C159" s="20"/>
      <c r="D159" s="20"/>
      <c r="E159" s="20"/>
      <c r="F159" s="20"/>
    </row>
    <row r="160" customFormat="false" ht="15" hidden="false" customHeight="false" outlineLevel="0" collapsed="false">
      <c r="A160" s="20"/>
      <c r="B160" s="20"/>
      <c r="C160" s="20"/>
      <c r="D160" s="20"/>
      <c r="E160" s="20"/>
      <c r="F160" s="20"/>
    </row>
    <row r="161" customFormat="false" ht="15" hidden="false" customHeight="false" outlineLevel="0" collapsed="false">
      <c r="A161" s="20"/>
      <c r="B161" s="20"/>
      <c r="C161" s="20"/>
      <c r="D161" s="20"/>
      <c r="E161" s="20"/>
      <c r="F161" s="20"/>
    </row>
    <row r="162" customFormat="false" ht="15" hidden="false" customHeight="false" outlineLevel="0" collapsed="false">
      <c r="A162" s="20"/>
      <c r="B162" s="20"/>
      <c r="C162" s="20"/>
      <c r="D162" s="20"/>
      <c r="E162" s="20"/>
      <c r="F162" s="20"/>
    </row>
    <row r="163" customFormat="false" ht="15" hidden="false" customHeight="false" outlineLevel="0" collapsed="false">
      <c r="A163" s="20"/>
      <c r="B163" s="20"/>
      <c r="C163" s="20"/>
      <c r="D163" s="20"/>
      <c r="E163" s="20"/>
      <c r="F163" s="20"/>
    </row>
    <row r="164" customFormat="false" ht="15" hidden="false" customHeight="false" outlineLevel="0" collapsed="false">
      <c r="A164" s="20"/>
      <c r="B164" s="20"/>
      <c r="C164" s="20"/>
      <c r="D164" s="20"/>
      <c r="E164" s="20"/>
      <c r="F164" s="20"/>
    </row>
    <row r="165" customFormat="false" ht="15" hidden="false" customHeight="false" outlineLevel="0" collapsed="false">
      <c r="A165" s="20"/>
      <c r="B165" s="20"/>
      <c r="C165" s="20"/>
      <c r="D165" s="20"/>
      <c r="E165" s="20"/>
      <c r="F165" s="20"/>
    </row>
    <row r="166" customFormat="false" ht="15" hidden="false" customHeight="false" outlineLevel="0" collapsed="false">
      <c r="A166" s="20"/>
      <c r="B166" s="20"/>
      <c r="C166" s="20"/>
      <c r="D166" s="20"/>
      <c r="E166" s="20"/>
      <c r="F166" s="20"/>
    </row>
    <row r="167" customFormat="false" ht="15" hidden="false" customHeight="false" outlineLevel="0" collapsed="false">
      <c r="A167" s="20"/>
      <c r="B167" s="20"/>
      <c r="C167" s="20"/>
      <c r="D167" s="20"/>
      <c r="E167" s="20"/>
      <c r="F167" s="20"/>
    </row>
    <row r="168" customFormat="false" ht="15" hidden="false" customHeight="false" outlineLevel="0" collapsed="false">
      <c r="A168" s="20"/>
      <c r="B168" s="20"/>
      <c r="C168" s="20"/>
      <c r="D168" s="20"/>
      <c r="E168" s="20"/>
      <c r="F168" s="20"/>
    </row>
    <row r="169" customFormat="false" ht="15" hidden="false" customHeight="false" outlineLevel="0" collapsed="false">
      <c r="A169" s="20"/>
      <c r="B169" s="20"/>
      <c r="C169" s="20"/>
      <c r="D169" s="20"/>
      <c r="E169" s="20"/>
      <c r="F169" s="20"/>
    </row>
    <row r="170" customFormat="false" ht="15" hidden="false" customHeight="false" outlineLevel="0" collapsed="false">
      <c r="A170" s="20"/>
      <c r="B170" s="20"/>
      <c r="C170" s="20"/>
      <c r="D170" s="20"/>
      <c r="E170" s="20"/>
      <c r="F170" s="20"/>
    </row>
    <row r="171" customFormat="false" ht="15" hidden="false" customHeight="false" outlineLevel="0" collapsed="false">
      <c r="A171" s="20"/>
      <c r="B171" s="20"/>
      <c r="C171" s="20"/>
      <c r="D171" s="20"/>
      <c r="E171" s="20"/>
      <c r="F171" s="20"/>
    </row>
    <row r="172" customFormat="false" ht="15" hidden="false" customHeight="false" outlineLevel="0" collapsed="false">
      <c r="A172" s="20"/>
      <c r="B172" s="20"/>
      <c r="C172" s="20"/>
      <c r="D172" s="20"/>
      <c r="E172" s="20"/>
      <c r="F172" s="20"/>
    </row>
    <row r="173" customFormat="false" ht="15" hidden="false" customHeight="false" outlineLevel="0" collapsed="false">
      <c r="A173" s="20"/>
      <c r="B173" s="20"/>
      <c r="C173" s="20"/>
      <c r="D173" s="20"/>
      <c r="E173" s="20"/>
      <c r="F173" s="20"/>
    </row>
    <row r="174" customFormat="false" ht="15" hidden="false" customHeight="false" outlineLevel="0" collapsed="false">
      <c r="A174" s="20"/>
      <c r="B174" s="20"/>
      <c r="C174" s="20"/>
      <c r="D174" s="20"/>
      <c r="E174" s="20"/>
      <c r="F174" s="20"/>
    </row>
    <row r="175" customFormat="false" ht="15" hidden="false" customHeight="false" outlineLevel="0" collapsed="false">
      <c r="A175" s="20"/>
      <c r="B175" s="20"/>
      <c r="C175" s="20"/>
      <c r="D175" s="20"/>
      <c r="E175" s="20"/>
      <c r="F175" s="20"/>
    </row>
    <row r="176" customFormat="false" ht="15" hidden="false" customHeight="false" outlineLevel="0" collapsed="false">
      <c r="A176" s="20"/>
      <c r="B176" s="20"/>
      <c r="C176" s="20"/>
      <c r="D176" s="20"/>
      <c r="E176" s="20"/>
      <c r="F176" s="20"/>
    </row>
    <row r="177" customFormat="false" ht="15" hidden="false" customHeight="false" outlineLevel="0" collapsed="false">
      <c r="A177" s="20"/>
      <c r="B177" s="20"/>
      <c r="C177" s="20"/>
      <c r="D177" s="20"/>
      <c r="E177" s="20"/>
      <c r="F177" s="20"/>
    </row>
    <row r="178" customFormat="false" ht="15" hidden="false" customHeight="false" outlineLevel="0" collapsed="false">
      <c r="A178" s="20"/>
      <c r="B178" s="20"/>
      <c r="C178" s="20"/>
      <c r="D178" s="20"/>
      <c r="E178" s="20"/>
      <c r="F178" s="20"/>
    </row>
    <row r="179" customFormat="false" ht="15" hidden="false" customHeight="false" outlineLevel="0" collapsed="false">
      <c r="A179" s="20"/>
      <c r="B179" s="20"/>
      <c r="C179" s="20"/>
      <c r="D179" s="20"/>
      <c r="E179" s="20"/>
      <c r="F179" s="20"/>
    </row>
    <row r="180" customFormat="false" ht="15" hidden="false" customHeight="false" outlineLevel="0" collapsed="false">
      <c r="A180" s="20"/>
      <c r="B180" s="20"/>
      <c r="C180" s="20"/>
      <c r="D180" s="20"/>
      <c r="E180" s="20"/>
      <c r="F180" s="20"/>
    </row>
    <row r="181" customFormat="false" ht="15" hidden="false" customHeight="false" outlineLevel="0" collapsed="false">
      <c r="A181" s="20"/>
      <c r="B181" s="20"/>
      <c r="C181" s="20"/>
      <c r="D181" s="20"/>
      <c r="E181" s="20"/>
      <c r="F181" s="20"/>
    </row>
    <row r="182" customFormat="false" ht="15" hidden="false" customHeight="false" outlineLevel="0" collapsed="false">
      <c r="A182" s="20"/>
      <c r="B182" s="20"/>
      <c r="C182" s="20"/>
      <c r="D182" s="20"/>
      <c r="E182" s="20"/>
      <c r="F182" s="20"/>
    </row>
    <row r="183" customFormat="false" ht="15" hidden="false" customHeight="false" outlineLevel="0" collapsed="false">
      <c r="A183" s="20"/>
      <c r="B183" s="20"/>
      <c r="C183" s="20"/>
      <c r="D183" s="20"/>
      <c r="E183" s="20"/>
      <c r="F183" s="20"/>
    </row>
    <row r="184" customFormat="false" ht="15" hidden="false" customHeight="false" outlineLevel="0" collapsed="false">
      <c r="A184" s="20"/>
      <c r="B184" s="20"/>
      <c r="C184" s="20"/>
      <c r="D184" s="20"/>
      <c r="E184" s="20"/>
      <c r="F184" s="20"/>
    </row>
    <row r="185" customFormat="false" ht="15" hidden="false" customHeight="false" outlineLevel="0" collapsed="false">
      <c r="A185" s="20"/>
      <c r="B185" s="20"/>
      <c r="C185" s="20"/>
      <c r="D185" s="20"/>
      <c r="E185" s="20"/>
      <c r="F185" s="20"/>
    </row>
    <row r="186" customFormat="false" ht="15" hidden="false" customHeight="false" outlineLevel="0" collapsed="false">
      <c r="A186" s="20"/>
      <c r="B186" s="20"/>
      <c r="C186" s="20"/>
      <c r="D186" s="20"/>
      <c r="E186" s="20"/>
      <c r="F186" s="20"/>
    </row>
    <row r="187" customFormat="false" ht="15" hidden="false" customHeight="false" outlineLevel="0" collapsed="false">
      <c r="A187" s="20"/>
      <c r="B187" s="20"/>
      <c r="C187" s="20"/>
      <c r="D187" s="20"/>
      <c r="E187" s="20"/>
      <c r="F187" s="20"/>
    </row>
    <row r="188" customFormat="false" ht="15" hidden="false" customHeight="false" outlineLevel="0" collapsed="false">
      <c r="A188" s="20"/>
      <c r="B188" s="20"/>
      <c r="C188" s="20"/>
      <c r="D188" s="20"/>
      <c r="E188" s="20"/>
      <c r="F188" s="20"/>
    </row>
    <row r="189" customFormat="false" ht="15" hidden="false" customHeight="false" outlineLevel="0" collapsed="false">
      <c r="A189" s="20"/>
      <c r="B189" s="20"/>
      <c r="C189" s="20"/>
      <c r="D189" s="20"/>
      <c r="E189" s="20"/>
      <c r="F189" s="20"/>
    </row>
    <row r="190" customFormat="false" ht="15" hidden="false" customHeight="false" outlineLevel="0" collapsed="false">
      <c r="A190" s="20"/>
      <c r="B190" s="20"/>
      <c r="C190" s="20"/>
      <c r="D190" s="20"/>
      <c r="E190" s="20"/>
      <c r="F190" s="20"/>
    </row>
    <row r="191" customFormat="false" ht="15" hidden="false" customHeight="false" outlineLevel="0" collapsed="false">
      <c r="A191" s="20"/>
      <c r="B191" s="20"/>
      <c r="C191" s="20"/>
      <c r="D191" s="20"/>
      <c r="E191" s="20"/>
      <c r="F191" s="20"/>
    </row>
    <row r="192" customFormat="false" ht="15" hidden="false" customHeight="false" outlineLevel="0" collapsed="false">
      <c r="A192" s="20"/>
      <c r="B192" s="20"/>
      <c r="C192" s="20"/>
      <c r="D192" s="20"/>
      <c r="E192" s="20"/>
      <c r="F192" s="20"/>
    </row>
    <row r="193" customFormat="false" ht="15" hidden="false" customHeight="false" outlineLevel="0" collapsed="false">
      <c r="A193" s="20"/>
      <c r="B193" s="20"/>
      <c r="C193" s="20"/>
      <c r="D193" s="20"/>
      <c r="E193" s="20"/>
      <c r="F193" s="20"/>
    </row>
    <row r="194" customFormat="false" ht="15" hidden="false" customHeight="false" outlineLevel="0" collapsed="false">
      <c r="A194" s="20"/>
      <c r="B194" s="20"/>
      <c r="C194" s="20"/>
      <c r="D194" s="20"/>
      <c r="E194" s="20"/>
      <c r="F194" s="20"/>
    </row>
    <row r="195" customFormat="false" ht="15" hidden="false" customHeight="false" outlineLevel="0" collapsed="false">
      <c r="A195" s="20"/>
      <c r="B195" s="20"/>
      <c r="C195" s="20"/>
      <c r="D195" s="20"/>
      <c r="E195" s="20"/>
      <c r="F195" s="20"/>
    </row>
    <row r="196" customFormat="false" ht="15" hidden="false" customHeight="false" outlineLevel="0" collapsed="false">
      <c r="A196" s="20"/>
      <c r="B196" s="20"/>
      <c r="C196" s="20"/>
      <c r="D196" s="20"/>
      <c r="E196" s="20"/>
      <c r="F196" s="20"/>
    </row>
    <row r="197" customFormat="false" ht="15" hidden="false" customHeight="false" outlineLevel="0" collapsed="false">
      <c r="A197" s="20"/>
      <c r="B197" s="20"/>
      <c r="C197" s="20"/>
      <c r="D197" s="20"/>
      <c r="E197" s="20"/>
      <c r="F197" s="20"/>
    </row>
    <row r="198" customFormat="false" ht="15" hidden="false" customHeight="false" outlineLevel="0" collapsed="false">
      <c r="A198" s="20"/>
      <c r="B198" s="20"/>
      <c r="C198" s="20"/>
      <c r="D198" s="20"/>
      <c r="E198" s="20"/>
      <c r="F198" s="20"/>
    </row>
    <row r="199" customFormat="false" ht="15" hidden="false" customHeight="false" outlineLevel="0" collapsed="false">
      <c r="A199" s="20"/>
      <c r="B199" s="20"/>
      <c r="C199" s="20"/>
      <c r="D199" s="20"/>
      <c r="E199" s="20"/>
      <c r="F199" s="20"/>
    </row>
    <row r="200" customFormat="false" ht="15" hidden="false" customHeight="false" outlineLevel="0" collapsed="false">
      <c r="A200" s="20"/>
      <c r="B200" s="20"/>
      <c r="C200" s="20"/>
      <c r="D200" s="20"/>
      <c r="E200" s="20"/>
      <c r="F200" s="20"/>
    </row>
    <row r="201" customFormat="false" ht="15" hidden="false" customHeight="false" outlineLevel="0" collapsed="false">
      <c r="A201" s="20"/>
      <c r="B201" s="20"/>
      <c r="C201" s="20"/>
      <c r="D201" s="20"/>
      <c r="E201" s="20"/>
      <c r="F20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s>
  <sheetData>
    <row r="1" customFormat="false" ht="15" hidden="false" customHeight="false" outlineLevel="0" collapsed="false">
      <c r="A1" s="21" t="s">
        <v>132</v>
      </c>
      <c r="B1" s="21" t="s">
        <v>133</v>
      </c>
    </row>
    <row r="2" customFormat="false" ht="15" hidden="false" customHeight="false" outlineLevel="0" collapsed="false">
      <c r="A2" s="22" t="s">
        <v>99</v>
      </c>
      <c r="B2" s="22" t="s">
        <v>106</v>
      </c>
    </row>
    <row r="3" customFormat="false" ht="15" hidden="false" customHeight="false" outlineLevel="0" collapsed="false">
      <c r="A3" s="22" t="s">
        <v>134</v>
      </c>
      <c r="B3" s="22" t="s">
        <v>135</v>
      </c>
    </row>
    <row r="4" customFormat="false" ht="15" hidden="false" customHeight="false" outlineLevel="0" collapsed="false">
      <c r="B4" s="22"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137</v>
      </c>
    </row>
    <row r="2" customFormat="false" ht="15" hidden="false" customHeight="false" outlineLevel="0" collapsed="false">
      <c r="A2" s="10" t="s">
        <v>138</v>
      </c>
    </row>
    <row r="3" customFormat="false" ht="15" hidden="false" customHeight="false" outlineLevel="0" collapsed="false">
      <c r="A3" s="21" t="s">
        <v>139</v>
      </c>
      <c r="B3" s="23" t="str">
        <f aca="false">IF(COUNTIF(C6:C13,"REVIEW")=0,"ALL CHECKS PASS","REVIEW ITEMS: "&amp;COUNTIF(C6:C13,"REVIEW"))</f>
        <v>REVIEW ITEMS: 1</v>
      </c>
    </row>
    <row r="5" customFormat="false" ht="15" hidden="false" customHeight="false" outlineLevel="0" collapsed="false">
      <c r="A5" s="5" t="s">
        <v>140</v>
      </c>
      <c r="B5" s="5" t="s">
        <v>141</v>
      </c>
      <c r="C5" s="5" t="s">
        <v>83</v>
      </c>
      <c r="D5" s="5" t="s">
        <v>142</v>
      </c>
    </row>
    <row r="6" customFormat="false" ht="15" hidden="false" customHeight="false" outlineLevel="0" collapsed="false">
      <c r="A6" s="24" t="s">
        <v>143</v>
      </c>
      <c r="B6" s="24" t="n">
        <f aca="false">COUNTA(Owner_Matrix!A5:A204)</f>
        <v>1</v>
      </c>
      <c r="C6" s="24" t="s">
        <v>144</v>
      </c>
      <c r="D6" s="24" t="s">
        <v>145</v>
      </c>
    </row>
    <row r="7" customFormat="false" ht="15" hidden="false" customHeight="false" outlineLevel="0" collapsed="false">
      <c r="A7" s="24" t="s">
        <v>146</v>
      </c>
      <c r="B7" s="24" t="n">
        <f aca="false">SUMPRODUCT((Owner_Matrix!A5:A204&lt;&gt;"")*(COUNTIF(Owner_Matrix!A5:A204,Owner_Matrix!A5:A204)&gt;1))</f>
        <v>0</v>
      </c>
      <c r="C7" s="24" t="str">
        <f aca="false">IF(B7=0,"PASS","REVIEW")</f>
        <v>PASS</v>
      </c>
      <c r="D7" s="24" t="s">
        <v>147</v>
      </c>
    </row>
    <row r="8" customFormat="false" ht="15" hidden="false" customHeight="false" outlineLevel="0" collapsed="false">
      <c r="A8" s="24" t="s">
        <v>148</v>
      </c>
      <c r="B8" s="24" t="n">
        <f aca="false">SUMPRODUCT((Owner_Matrix!O5:O204&lt;&gt;"")*(Owner_Matrix!O5:O204&lt;&gt;"OK")*(LEFT(Owner_Matrix!O5:O204,2)&lt;&gt;"OK"))</f>
        <v>0</v>
      </c>
      <c r="C8" s="24" t="str">
        <f aca="false">IF(B8=0,"PASS","REVIEW")</f>
        <v>PASS</v>
      </c>
      <c r="D8" s="24" t="s">
        <v>149</v>
      </c>
    </row>
    <row r="9" customFormat="false" ht="15" hidden="false" customHeight="false" outlineLevel="0" collapsed="false">
      <c r="A9" s="24" t="s">
        <v>150</v>
      </c>
      <c r="B9" s="24" t="n">
        <f aca="false">SUMPRODUCT((Ref_CTRL!A2:A201&lt;&gt;"")*(COUNTIF(Owner_Matrix!A5:A204,Ref_CTRL!A2:A201)=0))</f>
        <v>5</v>
      </c>
      <c r="C9" s="24" t="str">
        <f aca="false">IF(B9=0,"PASS","REVIEW")</f>
        <v>REVIEW</v>
      </c>
      <c r="D9" s="24" t="s">
        <v>151</v>
      </c>
    </row>
    <row r="10" customFormat="false" ht="15" hidden="false" customHeight="false" outlineLevel="0" collapsed="false">
      <c r="A10" s="24" t="s">
        <v>152</v>
      </c>
      <c r="B10" s="24" t="n">
        <f aca="false">COUNTIF(Owner_Matrix!L5:L204,"Outstanding")</f>
        <v>0</v>
      </c>
      <c r="C10" s="24" t="s">
        <v>144</v>
      </c>
      <c r="D10" s="24" t="s">
        <v>153</v>
      </c>
    </row>
    <row r="11" customFormat="false" ht="15" hidden="false" customHeight="false" outlineLevel="0" collapsed="false">
      <c r="A11" s="24" t="s">
        <v>154</v>
      </c>
      <c r="B11" s="24" t="n">
        <f aca="false">SUMPRODUCT((Owner_Matrix!C5:C204="Y")*(Owner_Matrix!L5:L204&lt;&gt;"Confirmed"))</f>
        <v>0</v>
      </c>
      <c r="C11" s="24" t="s">
        <v>144</v>
      </c>
      <c r="D11" s="24" t="s">
        <v>155</v>
      </c>
    </row>
    <row r="12" customFormat="false" ht="15" hidden="false" customHeight="false" outlineLevel="0" collapsed="false">
      <c r="A12" s="24" t="s">
        <v>156</v>
      </c>
      <c r="B12" s="24" t="n">
        <f aca="false">SUMPRODUCT((Owner_Matrix!A5:A204&lt;&gt;"")*(Owner_Matrix!H5:H204=""))</f>
        <v>0</v>
      </c>
      <c r="C12" s="24" t="s">
        <v>144</v>
      </c>
      <c r="D12" s="24" t="s">
        <v>157</v>
      </c>
    </row>
    <row r="13" customFormat="false" ht="15" hidden="false" customHeight="false" outlineLevel="0" collapsed="false">
      <c r="A13" s="24" t="s">
        <v>158</v>
      </c>
      <c r="B13" s="24" t="n">
        <f aca="false">COUNTIF(Open_Items!G5:G204,"Open")+COUNTIF(Open_Items!G5:G204,"In progress")</f>
        <v>1</v>
      </c>
      <c r="C13" s="24" t="s">
        <v>144</v>
      </c>
      <c r="D13" s="24"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2026-10-03T01:39:11Z</dcterms:created>
  <dc:creator>openpyxl</dc:creator>
  <dc:description/>
  <dc:language>en-US</dc:language>
  <cp:lastModifiedBy/>
  <dcterms:modified xsi:type="dcterms:W3CDTF">2026-10-03T01:39:11Z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