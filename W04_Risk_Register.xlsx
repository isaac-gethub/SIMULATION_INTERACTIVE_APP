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_Register" sheetId="2" state="visible" r:id="rId4"/>
    <sheet name="Coverage_By_BP" sheetId="3" state="visible" r:id="rId5"/>
    <sheet name="Ref_BP" sheetId="4" state="visible" r:id="rId6"/>
    <sheet name="Lists" sheetId="5" state="hidden" r:id="rId7"/>
    <sheet name="Checks" sheetId="6" state="visible" r:id="rId8"/>
  </sheets>
  <definedNames>
    <definedName function="false" hidden="true" localSheetId="1" name="_xlnm._FilterDatabase" vbProcedure="false">Risk_Register!$A$4:$P$204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<sst xmlns="http://schemas.openxmlformats.org/spreadsheetml/2006/main" count="207" uniqueCount="143">
  <si>
    <t xml:space="preserve">TIB SYSTEMS LLC  |  SAP Controls Project Foundation Workbook Set</t>
  </si>
  <si>
    <t xml:space="preserve">W04 — Risk Register</t>
  </si>
  <si>
    <t xml:space="preserve">Purpose</t>
  </si>
  <si>
    <t xml:space="preserve">States, for each in-scope process and technical area, what could go wrong, who owns the risk and how significant it is. A risk is an exposure, never a finding: nothing here says a control has failed.</t>
  </si>
  <si>
    <t xml:space="preserve">How to use this workbook</t>
  </si>
  <si>
    <t xml:space="preserve">1. Paste the BP-IDs from W03 (BP_Index tab, values only) into the Ref_BP tab.</t>
  </si>
  <si>
    <t xml:space="preserve">2. Start from the TIB risk library or the client RCM; tailor to each process and technical area.</t>
  </si>
  <si>
    <t xml:space="preserve">3. Write each risk with the formula: There is a risk that … because … resulting in …</t>
  </si>
  <si>
    <t xml:space="preserve">4. Assign category, assertions, owner and likelihood/impact. Mark SOX-relevant risks.</t>
  </si>
  <si>
    <t xml:space="preserve">5. Agree owners with the business and read the Checks tab.</t>
  </si>
  <si>
    <t xml:space="preserve">Colour legend</t>
  </si>
  <si>
    <t xml:space="preserve">Yellow cells with blue text = you enter data here.   Grey cells = formulas (do not overwrite).   Row 5 of each register is a worked ABC Manufacturing example: overwrite it with your first record.</t>
  </si>
  <si>
    <t xml:space="preserve">Completion gate</t>
  </si>
  <si>
    <t xml:space="preserve">Every in-scope BP-ID, including technical areas, has at least one risk.</t>
  </si>
  <si>
    <t xml:space="preserve">Every risk follows the formula, has a category, assertions and a risk owner (or TBC).</t>
  </si>
  <si>
    <t xml:space="preserve">SOX-relevant risks are flagged.</t>
  </si>
  <si>
    <t xml:space="preserve">No risk statement contains an effectiveness conclusion.</t>
  </si>
  <si>
    <t xml:space="preserve">Manual reference</t>
  </si>
  <si>
    <t xml:space="preserve">Part 1, Session 5 (W04).</t>
  </si>
  <si>
    <t xml:space="preserve">Column dictionary</t>
  </si>
  <si>
    <t xml:space="preserve">Tab</t>
  </si>
  <si>
    <t xml:space="preserve">Field</t>
  </si>
  <si>
    <t xml:space="preserve">Definition</t>
  </si>
  <si>
    <t xml:space="preserve">Allowed values / rule</t>
  </si>
  <si>
    <t xml:space="preserve">Type</t>
  </si>
  <si>
    <t xml:space="preserve">Risk_Register</t>
  </si>
  <si>
    <t xml:space="preserve">RISK-ID</t>
  </si>
  <si>
    <t xml:space="preserve">Unique key</t>
  </si>
  <si>
    <t xml:space="preserve">R-&lt;process&gt;-nnn</t>
  </si>
  <si>
    <t xml:space="preserve">Input</t>
  </si>
  <si>
    <t xml:space="preserve">BP-ID</t>
  </si>
  <si>
    <t xml:space="preserve">Process or technical area the risk belongs to</t>
  </si>
  <si>
    <t xml:space="preserve">Must exist in W03 (Ref_BP)</t>
  </si>
  <si>
    <t xml:space="preserve">SYS-ID / INT-ID</t>
  </si>
  <si>
    <t xml:space="preserve">System or interface where the risk arises</t>
  </si>
  <si>
    <t xml:space="preserve">Keys from W01 / W02</t>
  </si>
  <si>
    <t xml:space="preserve">Risk category</t>
  </si>
  <si>
    <t xml:space="preserve">Type of risk; guides control category in W05</t>
  </si>
  <si>
    <t xml:space="preserve">Dropdown</t>
  </si>
  <si>
    <t xml:space="preserve">Risk statement</t>
  </si>
  <si>
    <t xml:space="preserve">What could go wrong</t>
  </si>
  <si>
    <t xml:space="preserve">"There is a risk that … because … resulting in …"; never a finding</t>
  </si>
  <si>
    <t xml:space="preserve">Assertion(s)</t>
  </si>
  <si>
    <t xml:space="preserve">Financial statement assertions affected</t>
  </si>
  <si>
    <t xml:space="preserve">Occurrence, Completeness, Accuracy, Cut-off, Valuation, Existence, Rights &amp; obligations, Presentation</t>
  </si>
  <si>
    <t xml:space="preserve">Risk owner</t>
  </si>
  <si>
    <t xml:space="preserve">Accountable for the outcome</t>
  </si>
  <si>
    <t xml:space="preserve">Name / role; TBC allowed</t>
  </si>
  <si>
    <t xml:space="preserve">Inherent likelihood</t>
  </si>
  <si>
    <t xml:space="preserve">Before controls</t>
  </si>
  <si>
    <t xml:space="preserve">1 Low / 2 Medium / 3 High</t>
  </si>
  <si>
    <t xml:space="preserve">Inherent impact</t>
  </si>
  <si>
    <t xml:space="preserve">Inherent rating</t>
  </si>
  <si>
    <t xml:space="preserve">Likelihood × impact</t>
  </si>
  <si>
    <t xml:space="preserve">Formula; 1–9</t>
  </si>
  <si>
    <t xml:space="preserve">Formula</t>
  </si>
  <si>
    <t xml:space="preserve">Rating band</t>
  </si>
  <si>
    <t xml:space="preserve">High ≥ 6, Medium 3–5, Low &lt; 3</t>
  </si>
  <si>
    <t xml:space="preserve">SOX relevant?</t>
  </si>
  <si>
    <t xml:space="preserve">Could lead to a material misstatement</t>
  </si>
  <si>
    <t xml:space="preserve">Y / N; drives key-control requirement in W05</t>
  </si>
  <si>
    <t xml:space="preserve">Risk source</t>
  </si>
  <si>
    <t xml:space="preserve">Where the risk came from</t>
  </si>
  <si>
    <t xml:space="preserve">Status</t>
  </si>
  <si>
    <t xml:space="preserve">Agreement status</t>
  </si>
  <si>
    <t xml:space="preserve">No "Failed" value exists</t>
  </si>
  <si>
    <t xml:space="preserve">Notes</t>
  </si>
  <si>
    <t xml:space="preserve">Limitations or follow-ups</t>
  </si>
  <si>
    <t xml:space="preserve">Free text</t>
  </si>
  <si>
    <t xml:space="preserve">Row check</t>
  </si>
  <si>
    <t xml:space="preserve">Automatic completeness test</t>
  </si>
  <si>
    <t xml:space="preserve">Version history</t>
  </si>
  <si>
    <t xml:space="preserve">0.1 — October 2026 — initial template (TIB Systems LLC)</t>
  </si>
  <si>
    <t xml:space="preserve">Cross-workbook links: keys from other workbooks are pasted as values into the Ref_ tabs, so this file works on its own and never breaks when files are moved.</t>
  </si>
  <si>
    <t xml:space="preserve">One row per risk. Row 5 is a worked example (R-P2P-001). Overwrite it.</t>
  </si>
  <si>
    <t xml:space="preserve">R-P2P-001</t>
  </si>
  <si>
    <t xml:space="preserve">BP-P2P-01</t>
  </si>
  <si>
    <t xml:space="preserve">SYS-03</t>
  </si>
  <si>
    <t xml:space="preserve">SoD</t>
  </si>
  <si>
    <t xml:space="preserve">There is a risk that a fictitious vendor is created and paid because one user can both maintain vendor master data and execute the payment run, resulting in fraudulent payments and overstated expenses.</t>
  </si>
  <si>
    <t xml:space="preserve">Occurrence</t>
  </si>
  <si>
    <t xml:space="preserve">Head of AP</t>
  </si>
  <si>
    <t xml:space="preserve">Y</t>
  </si>
  <si>
    <t xml:space="preserve">Client RCM</t>
  </si>
  <si>
    <t xml:space="preserve">Agreed with owner</t>
  </si>
  <si>
    <t xml:space="preserve">Coverage by BP-ID</t>
  </si>
  <si>
    <t xml:space="preserve">Every in-scope BP-ID (Ref_BP) must have at least one risk. All cells are formulas.</t>
  </si>
  <si>
    <t xml:space="preserve">Risks</t>
  </si>
  <si>
    <t xml:space="preserve">High-band risks</t>
  </si>
  <si>
    <t xml:space="preserve">SOX-relevant risks</t>
  </si>
  <si>
    <t xml:space="preserve">Paste BP-IDs from W03 (values only, column A)</t>
  </si>
  <si>
    <t xml:space="preserve">BP-R2R-01</t>
  </si>
  <si>
    <t xml:space="preserve">BP-R2R-02</t>
  </si>
  <si>
    <t xml:space="preserve">BP-P2P-02</t>
  </si>
  <si>
    <t xml:space="preserve">BP-P2P-03</t>
  </si>
  <si>
    <t xml:space="preserve">BP-INV-01</t>
  </si>
  <si>
    <t xml:space="preserve">BP-O2C-01</t>
  </si>
  <si>
    <t xml:space="preserve">BP-O2C-02</t>
  </si>
  <si>
    <t xml:space="preserve">BP-H2R-01</t>
  </si>
  <si>
    <t xml:space="preserve">BP-TECH-01</t>
  </si>
  <si>
    <t xml:space="preserve">BP-TECH-02</t>
  </si>
  <si>
    <t xml:space="preserve">BP-TECH-03</t>
  </si>
  <si>
    <t xml:space="preserve">Cat</t>
  </si>
  <si>
    <t xml:space="preserve">L3</t>
  </si>
  <si>
    <t xml:space="preserve">YN</t>
  </si>
  <si>
    <t xml:space="preserve">Src</t>
  </si>
  <si>
    <t xml:space="preserve">RStat</t>
  </si>
  <si>
    <t xml:space="preserve">ITGC-APD</t>
  </si>
  <si>
    <t xml:space="preserve">Draft</t>
  </si>
  <si>
    <t xml:space="preserve">ITGC-PC</t>
  </si>
  <si>
    <t xml:space="preserve">N</t>
  </si>
  <si>
    <t xml:space="preserve">TIB risk library</t>
  </si>
  <si>
    <t xml:space="preserve">ITGC-CO</t>
  </si>
  <si>
    <t xml:space="preserve">Walkthrough</t>
  </si>
  <si>
    <t xml:space="preserve">Dependency open</t>
  </si>
  <si>
    <t xml:space="preserve">ITGC-PD</t>
  </si>
  <si>
    <t xml:space="preserve">Prior-year audit issue</t>
  </si>
  <si>
    <t xml:space="preserve">ITAC</t>
  </si>
  <si>
    <t xml:space="preserve">W01–W03 gap</t>
  </si>
  <si>
    <t xml:space="preserve">Business process</t>
  </si>
  <si>
    <t xml:space="preserve">IPE</t>
  </si>
  <si>
    <t xml:space="preserve">Interface</t>
  </si>
  <si>
    <t xml:space="preserve">W04 — Completion checks</t>
  </si>
  <si>
    <t xml:space="preserve">All checks are formulas. A workbook passes its gate when every status reads PASS (INFO rows are counts for your information).</t>
  </si>
  <si>
    <t xml:space="preserve">Overall</t>
  </si>
  <si>
    <t xml:space="preserve">Check</t>
  </si>
  <si>
    <t xml:space="preserve">Count</t>
  </si>
  <si>
    <t xml:space="preserve">What to do if REVIEW</t>
  </si>
  <si>
    <t xml:space="preserve">Risks recorded</t>
  </si>
  <si>
    <t xml:space="preserve">INFO</t>
  </si>
  <si>
    <t xml:space="preserve">—</t>
  </si>
  <si>
    <t xml:space="preserve">Duplicate RISK-IDs</t>
  </si>
  <si>
    <t xml:space="preserve">Keys must be unique.</t>
  </si>
  <si>
    <t xml:space="preserve">Register rows needing attention</t>
  </si>
  <si>
    <t xml:space="preserve">Read the Row check column.</t>
  </si>
  <si>
    <t xml:space="preserve">In-scope BP-IDs with no risk</t>
  </si>
  <si>
    <t xml:space="preserve">Walk through the process with its owner and add risks.</t>
  </si>
  <si>
    <t xml:space="preserve">Each needs at least one key control in W05.</t>
  </si>
  <si>
    <t xml:space="preserve">Prioritise in the test plan.</t>
  </si>
  <si>
    <t xml:space="preserve">Risks not yet agreed with owner</t>
  </si>
  <si>
    <t xml:space="preserve">Agree owner and rating (gate G3).</t>
  </si>
  <si>
    <t xml:space="preserve">Technical-area risks recorded (BP-TECH)</t>
  </si>
  <si>
    <t xml:space="preserve">ITGC risks must exist for access, change and operations.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</si>
</sst>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E7C8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8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B6B82"/>
        <bgColor rgb="FF555555"/>
      </patternFill>
    </fill>
    <fill>
      <patternFill patternType="solid">
        <fgColor rgb="FFFFF2CC"/>
        <bgColor rgb="FFEDEFF3"/>
      </patternFill>
    </fill>
    <fill>
      <patternFill patternType="solid">
        <fgColor rgb="FFEDEFF3"/>
        <bgColor rgb="FFFFFFFF"/>
      </patternFill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C7D5"/>
      <rgbColor rgb="FF808080"/>
      <rgbColor rgb="FF9999FF"/>
      <rgbColor rgb="FF993366"/>
      <rgbColor rgb="FFFFF2CC"/>
      <rgbColor rgb="FFED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15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4" customFormat="false" ht="15" hidden="false" customHeight="false" outlineLevel="0" collapsed="false">
      <c r="A14" s="3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  <c r="B18" s="4"/>
      <c r="C18" s="4"/>
      <c r="D18" s="4"/>
    </row>
    <row r="19" customFormat="false" ht="15" hidden="false" customHeight="true" outlineLevel="0" collapsed="false">
      <c r="A19" s="4" t="s">
        <v>14</v>
      </c>
      <c r="B19" s="4"/>
      <c r="C19" s="4"/>
      <c r="D19" s="4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3" customFormat="false" ht="15" hidden="false" customHeight="false" outlineLevel="0" collapsed="false">
      <c r="A23" s="3" t="s">
        <v>17</v>
      </c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5" t="s">
        <v>20</v>
      </c>
      <c r="B27" s="5" t="s">
        <v>21</v>
      </c>
      <c r="C27" s="5" t="s">
        <v>22</v>
      </c>
      <c r="D27" s="5" t="s">
        <v>23</v>
      </c>
      <c r="E27" s="5" t="s">
        <v>24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28</v>
      </c>
      <c r="E28" s="6" t="s">
        <v>29</v>
      </c>
    </row>
    <row r="29" customFormat="false" ht="15" hidden="false" customHeight="false" outlineLevel="0" collapsed="false">
      <c r="A29" s="6" t="s">
        <v>25</v>
      </c>
      <c r="B29" s="6" t="s">
        <v>30</v>
      </c>
      <c r="C29" s="6" t="s">
        <v>31</v>
      </c>
      <c r="D29" s="6" t="s">
        <v>32</v>
      </c>
      <c r="E29" s="6" t="s">
        <v>29</v>
      </c>
    </row>
    <row r="30" customFormat="false" ht="15" hidden="false" customHeight="false" outlineLevel="0" collapsed="false">
      <c r="A30" s="6" t="s">
        <v>25</v>
      </c>
      <c r="B30" s="6" t="s">
        <v>33</v>
      </c>
      <c r="C30" s="6" t="s">
        <v>34</v>
      </c>
      <c r="D30" s="6" t="s">
        <v>35</v>
      </c>
      <c r="E30" s="6" t="s">
        <v>29</v>
      </c>
    </row>
    <row r="31" customFormat="false" ht="15" hidden="false" customHeight="false" outlineLevel="0" collapsed="false">
      <c r="A31" s="6" t="s">
        <v>25</v>
      </c>
      <c r="B31" s="6" t="s">
        <v>36</v>
      </c>
      <c r="C31" s="6" t="s">
        <v>37</v>
      </c>
      <c r="D31" s="6" t="s">
        <v>38</v>
      </c>
      <c r="E31" s="6" t="s">
        <v>29</v>
      </c>
    </row>
    <row r="32" customFormat="false" ht="22.35" hidden="false" customHeight="false" outlineLevel="0" collapsed="false">
      <c r="A32" s="6" t="s">
        <v>25</v>
      </c>
      <c r="B32" s="6" t="s">
        <v>39</v>
      </c>
      <c r="C32" s="6" t="s">
        <v>40</v>
      </c>
      <c r="D32" s="6" t="s">
        <v>41</v>
      </c>
      <c r="E32" s="6" t="s">
        <v>29</v>
      </c>
    </row>
    <row r="33" customFormat="false" ht="22.35" hidden="false" customHeight="false" outlineLevel="0" collapsed="false">
      <c r="A33" s="6" t="s">
        <v>25</v>
      </c>
      <c r="B33" s="6" t="s">
        <v>42</v>
      </c>
      <c r="C33" s="6" t="s">
        <v>43</v>
      </c>
      <c r="D33" s="6" t="s">
        <v>44</v>
      </c>
      <c r="E33" s="6" t="s">
        <v>29</v>
      </c>
    </row>
    <row r="34" customFormat="false" ht="15" hidden="false" customHeight="false" outlineLevel="0" collapsed="false">
      <c r="A34" s="6" t="s">
        <v>25</v>
      </c>
      <c r="B34" s="6" t="s">
        <v>45</v>
      </c>
      <c r="C34" s="6" t="s">
        <v>46</v>
      </c>
      <c r="D34" s="6" t="s">
        <v>47</v>
      </c>
      <c r="E34" s="6" t="s">
        <v>29</v>
      </c>
    </row>
    <row r="35" customFormat="false" ht="15" hidden="false" customHeight="false" outlineLevel="0" collapsed="false">
      <c r="A35" s="6" t="s">
        <v>25</v>
      </c>
      <c r="B35" s="6" t="s">
        <v>48</v>
      </c>
      <c r="C35" s="6" t="s">
        <v>49</v>
      </c>
      <c r="D35" s="6" t="s">
        <v>50</v>
      </c>
      <c r="E35" s="6" t="s">
        <v>29</v>
      </c>
    </row>
    <row r="36" customFormat="false" ht="15" hidden="false" customHeight="false" outlineLevel="0" collapsed="false">
      <c r="A36" s="6" t="s">
        <v>25</v>
      </c>
      <c r="B36" s="6" t="s">
        <v>51</v>
      </c>
      <c r="C36" s="6" t="s">
        <v>49</v>
      </c>
      <c r="D36" s="6" t="s">
        <v>50</v>
      </c>
      <c r="E36" s="6" t="s">
        <v>29</v>
      </c>
    </row>
    <row r="37" customFormat="false" ht="15" hidden="false" customHeight="false" outlineLevel="0" collapsed="false">
      <c r="A37" s="6" t="s">
        <v>25</v>
      </c>
      <c r="B37" s="6" t="s">
        <v>52</v>
      </c>
      <c r="C37" s="6" t="s">
        <v>53</v>
      </c>
      <c r="D37" s="6" t="s">
        <v>54</v>
      </c>
      <c r="E37" s="6" t="s">
        <v>55</v>
      </c>
    </row>
    <row r="38" customFormat="false" ht="15" hidden="false" customHeight="false" outlineLevel="0" collapsed="false">
      <c r="A38" s="6" t="s">
        <v>25</v>
      </c>
      <c r="B38" s="6" t="s">
        <v>56</v>
      </c>
      <c r="C38" s="6" t="s">
        <v>57</v>
      </c>
      <c r="D38" s="6" t="s">
        <v>55</v>
      </c>
      <c r="E38" s="6" t="s">
        <v>55</v>
      </c>
    </row>
    <row r="39" customFormat="false" ht="15" hidden="false" customHeight="false" outlineLevel="0" collapsed="false">
      <c r="A39" s="6" t="s">
        <v>25</v>
      </c>
      <c r="B39" s="6" t="s">
        <v>58</v>
      </c>
      <c r="C39" s="6" t="s">
        <v>59</v>
      </c>
      <c r="D39" s="6" t="s">
        <v>60</v>
      </c>
      <c r="E39" s="6" t="s">
        <v>29</v>
      </c>
    </row>
    <row r="40" customFormat="false" ht="15" hidden="false" customHeight="false" outlineLevel="0" collapsed="false">
      <c r="A40" s="6" t="s">
        <v>25</v>
      </c>
      <c r="B40" s="6" t="s">
        <v>61</v>
      </c>
      <c r="C40" s="6" t="s">
        <v>62</v>
      </c>
      <c r="D40" s="6" t="s">
        <v>38</v>
      </c>
      <c r="E40" s="6" t="s">
        <v>29</v>
      </c>
    </row>
    <row r="41" customFormat="false" ht="15" hidden="false" customHeight="false" outlineLevel="0" collapsed="false">
      <c r="A41" s="6" t="s">
        <v>25</v>
      </c>
      <c r="B41" s="6" t="s">
        <v>63</v>
      </c>
      <c r="C41" s="6" t="s">
        <v>64</v>
      </c>
      <c r="D41" s="6" t="s">
        <v>65</v>
      </c>
      <c r="E41" s="6" t="s">
        <v>29</v>
      </c>
    </row>
    <row r="42" customFormat="false" ht="15" hidden="false" customHeight="false" outlineLevel="0" collapsed="false">
      <c r="A42" s="6" t="s">
        <v>25</v>
      </c>
      <c r="B42" s="6" t="s">
        <v>66</v>
      </c>
      <c r="C42" s="6" t="s">
        <v>67</v>
      </c>
      <c r="D42" s="6" t="s">
        <v>68</v>
      </c>
      <c r="E42" s="6" t="s">
        <v>29</v>
      </c>
    </row>
    <row r="43" customFormat="false" ht="15" hidden="false" customHeight="false" outlineLevel="0" collapsed="false">
      <c r="A43" s="6" t="s">
        <v>25</v>
      </c>
      <c r="B43" s="6" t="s">
        <v>69</v>
      </c>
      <c r="C43" s="6" t="s">
        <v>70</v>
      </c>
      <c r="D43" s="6" t="s">
        <v>55</v>
      </c>
      <c r="E43" s="6" t="s">
        <v>55</v>
      </c>
    </row>
    <row r="45" customFormat="false" ht="15" hidden="false" customHeight="false" outlineLevel="0" collapsed="false">
      <c r="A45" s="3" t="s">
        <v>71</v>
      </c>
    </row>
    <row r="46" customFormat="false" ht="15" hidden="false" customHeight="false" outlineLevel="0" collapsed="false">
      <c r="A46" s="7" t="s">
        <v>72</v>
      </c>
    </row>
    <row r="47" customFormat="false" ht="15" hidden="false" customHeight="false" outlineLevel="0" collapsed="false">
      <c r="A47" s="8" t="s">
        <v>73</v>
      </c>
    </row>
  </sheetData>
  <mergeCells count="12">
    <mergeCell ref="A5:D5"/>
    <mergeCell ref="A8:D8"/>
    <mergeCell ref="A9:D9"/>
    <mergeCell ref="A10:D10"/>
    <mergeCell ref="A11:D11"/>
    <mergeCell ref="A12:D12"/>
    <mergeCell ref="A15:D15"/>
    <mergeCell ref="A18:D18"/>
    <mergeCell ref="A19:D19"/>
    <mergeCell ref="A20:D20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60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28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9" t="s">
        <v>1</v>
      </c>
    </row>
    <row r="2" customFormat="false" ht="15" hidden="false" customHeight="false" outlineLevel="0" collapsed="false">
      <c r="A2" s="10" t="s">
        <v>74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1" t="s">
        <v>33</v>
      </c>
      <c r="D4" s="11" t="s">
        <v>36</v>
      </c>
      <c r="E4" s="11" t="s">
        <v>39</v>
      </c>
      <c r="F4" s="11" t="s">
        <v>42</v>
      </c>
      <c r="G4" s="11" t="s">
        <v>45</v>
      </c>
      <c r="H4" s="11" t="s">
        <v>48</v>
      </c>
      <c r="I4" s="11" t="s">
        <v>51</v>
      </c>
      <c r="J4" s="12" t="s">
        <v>52</v>
      </c>
      <c r="K4" s="12" t="s">
        <v>56</v>
      </c>
      <c r="L4" s="11" t="s">
        <v>58</v>
      </c>
      <c r="M4" s="11" t="s">
        <v>61</v>
      </c>
      <c r="N4" s="11" t="s">
        <v>63</v>
      </c>
      <c r="O4" s="11" t="s">
        <v>66</v>
      </c>
      <c r="P4" s="12" t="s">
        <v>69</v>
      </c>
    </row>
    <row r="5" customFormat="false" ht="35.05" hidden="false" customHeight="false" outlineLevel="0" collapsed="false">
      <c r="A5" s="13" t="s">
        <v>75</v>
      </c>
      <c r="B5" s="13" t="s">
        <v>76</v>
      </c>
      <c r="C5" s="13" t="s">
        <v>77</v>
      </c>
      <c r="D5" s="13" t="s">
        <v>78</v>
      </c>
      <c r="E5" s="13" t="s">
        <v>79</v>
      </c>
      <c r="F5" s="13" t="s">
        <v>80</v>
      </c>
      <c r="G5" s="13" t="s">
        <v>81</v>
      </c>
      <c r="H5" s="13" t="n">
        <v>3</v>
      </c>
      <c r="I5" s="13" t="n">
        <v>3</v>
      </c>
      <c r="J5" s="14" t="n">
        <f aca="false">IF(OR(H5="",I5=""),"",H5*I5)</f>
        <v>9</v>
      </c>
      <c r="K5" s="14" t="str">
        <f aca="false">IF(J5="","",IF(J5&gt;=6,"High",IF(J5&gt;=3,"Medium","Low")))</f>
        <v>High</v>
      </c>
      <c r="L5" s="13" t="s">
        <v>82</v>
      </c>
      <c r="M5" s="13" t="s">
        <v>83</v>
      </c>
      <c r="N5" s="13" t="s">
        <v>84</v>
      </c>
      <c r="O5" s="13"/>
      <c r="P5" s="14" t="str">
        <f aca="false">IF(A5="","",IF(OR(B5="",E5="",D5=""),"BP-ID, category, statement needed",IF(COUNTIF(Ref_BP!$A$2:$A$101,B5)=0,"BP-ID not in W03",IF(ISERROR(SEARCH("There is a risk that",E5)),"Use the risk statement formula",IF(AND(L5="Y",F5=""),"Assertion needed for SOX risk",IF(AND(L5="Y",G5=""),"Risk owner or TBC needed","OK"))))))</f>
        <v>OK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6" t="str">
        <f aca="false">IF(OR(H6="",I6=""),"",H6*I6)</f>
        <v/>
      </c>
      <c r="K6" s="16" t="str">
        <f aca="false">IF(J6="","",IF(J6&gt;=6,"High",IF(J6&gt;=3,"Medium","Low")))</f>
        <v/>
      </c>
      <c r="L6" s="15"/>
      <c r="M6" s="15"/>
      <c r="N6" s="15"/>
      <c r="O6" s="15"/>
      <c r="P6" s="16" t="str">
        <f aca="false">IF(A6="","",IF(OR(B6="",E6="",D6=""),"BP-ID, category, statement needed",IF(COUNTIF(Ref_BP!$A$2:$A$101,B6)=0,"BP-ID not in W03",IF(ISERROR(SEARCH("There is a risk that",E6)),"Use the risk statement formula",IF(AND(L6="Y",F6=""),"Assertion needed for SOX risk",IF(AND(L6="Y",G6=""),"Risk owner or TBC needed","OK"))))))</f>
        <v/>
      </c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6" t="str">
        <f aca="false">IF(OR(H7="",I7=""),"",H7*I7)</f>
        <v/>
      </c>
      <c r="K7" s="16" t="str">
        <f aca="false">IF(J7="","",IF(J7&gt;=6,"High",IF(J7&gt;=3,"Medium","Low")))</f>
        <v/>
      </c>
      <c r="L7" s="15"/>
      <c r="M7" s="15"/>
      <c r="N7" s="15"/>
      <c r="O7" s="15"/>
      <c r="P7" s="16" t="str">
        <f aca="false">IF(A7="","",IF(OR(B7="",E7="",D7=""),"BP-ID, category, statement needed",IF(COUNTIF(Ref_BP!$A$2:$A$101,B7)=0,"BP-ID not in W03",IF(ISERROR(SEARCH("There is a risk that",E7)),"Use the risk statement formula",IF(AND(L7="Y",F7=""),"Assertion needed for SOX risk",IF(AND(L7="Y",G7=""),"Risk owner or TBC needed","OK"))))))</f>
        <v/>
      </c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6" t="str">
        <f aca="false">IF(OR(H8="",I8=""),"",H8*I8)</f>
        <v/>
      </c>
      <c r="K8" s="16" t="str">
        <f aca="false">IF(J8="","",IF(J8&gt;=6,"High",IF(J8&gt;=3,"Medium","Low")))</f>
        <v/>
      </c>
      <c r="L8" s="15"/>
      <c r="M8" s="15"/>
      <c r="N8" s="15"/>
      <c r="O8" s="15"/>
      <c r="P8" s="16" t="str">
        <f aca="false">IF(A8="","",IF(OR(B8="",E8="",D8=""),"BP-ID, category, statement needed",IF(COUNTIF(Ref_BP!$A$2:$A$101,B8)=0,"BP-ID not in W03",IF(ISERROR(SEARCH("There is a risk that",E8)),"Use the risk statement formula",IF(AND(L8="Y",F8=""),"Assertion needed for SOX risk",IF(AND(L8="Y",G8=""),"Risk owner or TBC needed","OK"))))))</f>
        <v/>
      </c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6" t="str">
        <f aca="false">IF(OR(H9="",I9=""),"",H9*I9)</f>
        <v/>
      </c>
      <c r="K9" s="16" t="str">
        <f aca="false">IF(J9="","",IF(J9&gt;=6,"High",IF(J9&gt;=3,"Medium","Low")))</f>
        <v/>
      </c>
      <c r="L9" s="15"/>
      <c r="M9" s="15"/>
      <c r="N9" s="15"/>
      <c r="O9" s="15"/>
      <c r="P9" s="16" t="str">
        <f aca="false">IF(A9="","",IF(OR(B9="",E9="",D9=""),"BP-ID, category, statement needed",IF(COUNTIF(Ref_BP!$A$2:$A$101,B9)=0,"BP-ID not in W03",IF(ISERROR(SEARCH("There is a risk that",E9)),"Use the risk statement formula",IF(AND(L9="Y",F9=""),"Assertion needed for SOX risk",IF(AND(L9="Y",G9=""),"Risk owner or TBC needed","OK"))))))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6" t="str">
        <f aca="false">IF(OR(H10="",I10=""),"",H10*I10)</f>
        <v/>
      </c>
      <c r="K10" s="16" t="str">
        <f aca="false">IF(J10="","",IF(J10&gt;=6,"High",IF(J10&gt;=3,"Medium","Low")))</f>
        <v/>
      </c>
      <c r="L10" s="15"/>
      <c r="M10" s="15"/>
      <c r="N10" s="15"/>
      <c r="O10" s="15"/>
      <c r="P10" s="16" t="str">
        <f aca="false">IF(A10="","",IF(OR(B10="",E10="",D10=""),"BP-ID, category, statement needed",IF(COUNTIF(Ref_BP!$A$2:$A$101,B10)=0,"BP-ID not in W03",IF(ISERROR(SEARCH("There is a risk that",E10)),"Use the risk statement formula",IF(AND(L10="Y",F10=""),"Assertion needed for SOX risk",IF(AND(L10="Y",G10=""),"Risk owner or TBC needed","OK"))))))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6" t="str">
        <f aca="false">IF(OR(H11="",I11=""),"",H11*I11)</f>
        <v/>
      </c>
      <c r="K11" s="16" t="str">
        <f aca="false">IF(J11="","",IF(J11&gt;=6,"High",IF(J11&gt;=3,"Medium","Low")))</f>
        <v/>
      </c>
      <c r="L11" s="15"/>
      <c r="M11" s="15"/>
      <c r="N11" s="15"/>
      <c r="O11" s="15"/>
      <c r="P11" s="16" t="str">
        <f aca="false">IF(A11="","",IF(OR(B11="",E11="",D11=""),"BP-ID, category, statement needed",IF(COUNTIF(Ref_BP!$A$2:$A$101,B11)=0,"BP-ID not in W03",IF(ISERROR(SEARCH("There is a risk that",E11)),"Use the risk statement formula",IF(AND(L11="Y",F11=""),"Assertion needed for SOX risk",IF(AND(L11="Y",G11=""),"Risk owner or TBC needed","OK"))))))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6" t="str">
        <f aca="false">IF(OR(H12="",I12=""),"",H12*I12)</f>
        <v/>
      </c>
      <c r="K12" s="16" t="str">
        <f aca="false">IF(J12="","",IF(J12&gt;=6,"High",IF(J12&gt;=3,"Medium","Low")))</f>
        <v/>
      </c>
      <c r="L12" s="15"/>
      <c r="M12" s="15"/>
      <c r="N12" s="15"/>
      <c r="O12" s="15"/>
      <c r="P12" s="16" t="str">
        <f aca="false">IF(A12="","",IF(OR(B12="",E12="",D12=""),"BP-ID, category, statement needed",IF(COUNTIF(Ref_BP!$A$2:$A$101,B12)=0,"BP-ID not in W03",IF(ISERROR(SEARCH("There is a risk that",E12)),"Use the risk statement formula",IF(AND(L12="Y",F12=""),"Assertion needed for SOX risk",IF(AND(L12="Y",G12=""),"Risk owner or TBC needed","OK"))))))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6" t="str">
        <f aca="false">IF(OR(H13="",I13=""),"",H13*I13)</f>
        <v/>
      </c>
      <c r="K13" s="16" t="str">
        <f aca="false">IF(J13="","",IF(J13&gt;=6,"High",IF(J13&gt;=3,"Medium","Low")))</f>
        <v/>
      </c>
      <c r="L13" s="15"/>
      <c r="M13" s="15"/>
      <c r="N13" s="15"/>
      <c r="O13" s="15"/>
      <c r="P13" s="16" t="str">
        <f aca="false">IF(A13="","",IF(OR(B13="",E13="",D13=""),"BP-ID, category, statement needed",IF(COUNTIF(Ref_BP!$A$2:$A$101,B13)=0,"BP-ID not in W03",IF(ISERROR(SEARCH("There is a risk that",E13)),"Use the risk statement formula",IF(AND(L13="Y",F13=""),"Assertion needed for SOX risk",IF(AND(L13="Y",G13=""),"Risk owner or TBC needed","OK"))))))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6" t="str">
        <f aca="false">IF(OR(H14="",I14=""),"",H14*I14)</f>
        <v/>
      </c>
      <c r="K14" s="16" t="str">
        <f aca="false">IF(J14="","",IF(J14&gt;=6,"High",IF(J14&gt;=3,"Medium","Low")))</f>
        <v/>
      </c>
      <c r="L14" s="15"/>
      <c r="M14" s="15"/>
      <c r="N14" s="15"/>
      <c r="O14" s="15"/>
      <c r="P14" s="16" t="str">
        <f aca="false">IF(A14="","",IF(OR(B14="",E14="",D14=""),"BP-ID, category, statement needed",IF(COUNTIF(Ref_BP!$A$2:$A$101,B14)=0,"BP-ID not in W03",IF(ISERROR(SEARCH("There is a risk that",E14)),"Use the risk statement formula",IF(AND(L14="Y",F14=""),"Assertion needed for SOX risk",IF(AND(L14="Y",G14=""),"Risk owner or TBC needed","OK"))))))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6" t="str">
        <f aca="false">IF(OR(H15="",I15=""),"",H15*I15)</f>
        <v/>
      </c>
      <c r="K15" s="16" t="str">
        <f aca="false">IF(J15="","",IF(J15&gt;=6,"High",IF(J15&gt;=3,"Medium","Low")))</f>
        <v/>
      </c>
      <c r="L15" s="15"/>
      <c r="M15" s="15"/>
      <c r="N15" s="15"/>
      <c r="O15" s="15"/>
      <c r="P15" s="16" t="str">
        <f aca="false">IF(A15="","",IF(OR(B15="",E15="",D15=""),"BP-ID, category, statement needed",IF(COUNTIF(Ref_BP!$A$2:$A$101,B15)=0,"BP-ID not in W03",IF(ISERROR(SEARCH("There is a risk that",E15)),"Use the risk statement formula",IF(AND(L15="Y",F15=""),"Assertion needed for SOX risk",IF(AND(L15="Y",G15=""),"Risk owner or TBC needed","OK"))))))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6" t="str">
        <f aca="false">IF(OR(H16="",I16=""),"",H16*I16)</f>
        <v/>
      </c>
      <c r="K16" s="16" t="str">
        <f aca="false">IF(J16="","",IF(J16&gt;=6,"High",IF(J16&gt;=3,"Medium","Low")))</f>
        <v/>
      </c>
      <c r="L16" s="15"/>
      <c r="M16" s="15"/>
      <c r="N16" s="15"/>
      <c r="O16" s="15"/>
      <c r="P16" s="16" t="str">
        <f aca="false">IF(A16="","",IF(OR(B16="",E16="",D16=""),"BP-ID, category, statement needed",IF(COUNTIF(Ref_BP!$A$2:$A$101,B16)=0,"BP-ID not in W03",IF(ISERROR(SEARCH("There is a risk that",E16)),"Use the risk statement formula",IF(AND(L16="Y",F16=""),"Assertion needed for SOX risk",IF(AND(L16="Y",G16=""),"Risk owner or TBC needed","OK"))))))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6" t="str">
        <f aca="false">IF(OR(H17="",I17=""),"",H17*I17)</f>
        <v/>
      </c>
      <c r="K17" s="16" t="str">
        <f aca="false">IF(J17="","",IF(J17&gt;=6,"High",IF(J17&gt;=3,"Medium","Low")))</f>
        <v/>
      </c>
      <c r="L17" s="15"/>
      <c r="M17" s="15"/>
      <c r="N17" s="15"/>
      <c r="O17" s="15"/>
      <c r="P17" s="16" t="str">
        <f aca="false">IF(A17="","",IF(OR(B17="",E17="",D17=""),"BP-ID, category, statement needed",IF(COUNTIF(Ref_BP!$A$2:$A$101,B17)=0,"BP-ID not in W03",IF(ISERROR(SEARCH("There is a risk that",E17)),"Use the risk statement formula",IF(AND(L17="Y",F17=""),"Assertion needed for SOX risk",IF(AND(L17="Y",G17=""),"Risk owner or TBC needed","OK"))))))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6" t="str">
        <f aca="false">IF(OR(H18="",I18=""),"",H18*I18)</f>
        <v/>
      </c>
      <c r="K18" s="16" t="str">
        <f aca="false">IF(J18="","",IF(J18&gt;=6,"High",IF(J18&gt;=3,"Medium","Low")))</f>
        <v/>
      </c>
      <c r="L18" s="15"/>
      <c r="M18" s="15"/>
      <c r="N18" s="15"/>
      <c r="O18" s="15"/>
      <c r="P18" s="16" t="str">
        <f aca="false">IF(A18="","",IF(OR(B18="",E18="",D18=""),"BP-ID, category, statement needed",IF(COUNTIF(Ref_BP!$A$2:$A$101,B18)=0,"BP-ID not in W03",IF(ISERROR(SEARCH("There is a risk that",E18)),"Use the risk statement formula",IF(AND(L18="Y",F18=""),"Assertion needed for SOX risk",IF(AND(L18="Y",G18=""),"Risk owner or TBC needed","OK"))))))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6" t="str">
        <f aca="false">IF(OR(H19="",I19=""),"",H19*I19)</f>
        <v/>
      </c>
      <c r="K19" s="16" t="str">
        <f aca="false">IF(J19="","",IF(J19&gt;=6,"High",IF(J19&gt;=3,"Medium","Low")))</f>
        <v/>
      </c>
      <c r="L19" s="15"/>
      <c r="M19" s="15"/>
      <c r="N19" s="15"/>
      <c r="O19" s="15"/>
      <c r="P19" s="16" t="str">
        <f aca="false">IF(A19="","",IF(OR(B19="",E19="",D19=""),"BP-ID, category, statement needed",IF(COUNTIF(Ref_BP!$A$2:$A$101,B19)=0,"BP-ID not in W03",IF(ISERROR(SEARCH("There is a risk that",E19)),"Use the risk statement formula",IF(AND(L19="Y",F19=""),"Assertion needed for SOX risk",IF(AND(L19="Y",G19=""),"Risk owner or TBC needed","OK"))))))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6" t="str">
        <f aca="false">IF(OR(H20="",I20=""),"",H20*I20)</f>
        <v/>
      </c>
      <c r="K20" s="16" t="str">
        <f aca="false">IF(J20="","",IF(J20&gt;=6,"High",IF(J20&gt;=3,"Medium","Low")))</f>
        <v/>
      </c>
      <c r="L20" s="15"/>
      <c r="M20" s="15"/>
      <c r="N20" s="15"/>
      <c r="O20" s="15"/>
      <c r="P20" s="16" t="str">
        <f aca="false">IF(A20="","",IF(OR(B20="",E20="",D20=""),"BP-ID, category, statement needed",IF(COUNTIF(Ref_BP!$A$2:$A$101,B20)=0,"BP-ID not in W03",IF(ISERROR(SEARCH("There is a risk that",E20)),"Use the risk statement formula",IF(AND(L20="Y",F20=""),"Assertion needed for SOX risk",IF(AND(L20="Y",G20=""),"Risk owner or TBC needed","OK"))))))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6" t="str">
        <f aca="false">IF(OR(H21="",I21=""),"",H21*I21)</f>
        <v/>
      </c>
      <c r="K21" s="16" t="str">
        <f aca="false">IF(J21="","",IF(J21&gt;=6,"High",IF(J21&gt;=3,"Medium","Low")))</f>
        <v/>
      </c>
      <c r="L21" s="15"/>
      <c r="M21" s="15"/>
      <c r="N21" s="15"/>
      <c r="O21" s="15"/>
      <c r="P21" s="16" t="str">
        <f aca="false">IF(A21="","",IF(OR(B21="",E21="",D21=""),"BP-ID, category, statement needed",IF(COUNTIF(Ref_BP!$A$2:$A$101,B21)=0,"BP-ID not in W03",IF(ISERROR(SEARCH("There is a risk that",E21)),"Use the risk statement formula",IF(AND(L21="Y",F21=""),"Assertion needed for SOX risk",IF(AND(L21="Y",G21=""),"Risk owner or TBC needed","OK"))))))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6" t="str">
        <f aca="false">IF(OR(H22="",I22=""),"",H22*I22)</f>
        <v/>
      </c>
      <c r="K22" s="16" t="str">
        <f aca="false">IF(J22="","",IF(J22&gt;=6,"High",IF(J22&gt;=3,"Medium","Low")))</f>
        <v/>
      </c>
      <c r="L22" s="15"/>
      <c r="M22" s="15"/>
      <c r="N22" s="15"/>
      <c r="O22" s="15"/>
      <c r="P22" s="16" t="str">
        <f aca="false">IF(A22="","",IF(OR(B22="",E22="",D22=""),"BP-ID, category, statement needed",IF(COUNTIF(Ref_BP!$A$2:$A$101,B22)=0,"BP-ID not in W03",IF(ISERROR(SEARCH("There is a risk that",E22)),"Use the risk statement formula",IF(AND(L22="Y",F22=""),"Assertion needed for SOX risk",IF(AND(L22="Y",G22=""),"Risk owner or TBC needed","OK"))))))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6" t="str">
        <f aca="false">IF(OR(H23="",I23=""),"",H23*I23)</f>
        <v/>
      </c>
      <c r="K23" s="16" t="str">
        <f aca="false">IF(J23="","",IF(J23&gt;=6,"High",IF(J23&gt;=3,"Medium","Low")))</f>
        <v/>
      </c>
      <c r="L23" s="15"/>
      <c r="M23" s="15"/>
      <c r="N23" s="15"/>
      <c r="O23" s="15"/>
      <c r="P23" s="16" t="str">
        <f aca="false">IF(A23="","",IF(OR(B23="",E23="",D23=""),"BP-ID, category, statement needed",IF(COUNTIF(Ref_BP!$A$2:$A$101,B23)=0,"BP-ID not in W03",IF(ISERROR(SEARCH("There is a risk that",E23)),"Use the risk statement formula",IF(AND(L23="Y",F23=""),"Assertion needed for SOX risk",IF(AND(L23="Y",G23=""),"Risk owner or TBC needed","OK"))))))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6" t="str">
        <f aca="false">IF(OR(H24="",I24=""),"",H24*I24)</f>
        <v/>
      </c>
      <c r="K24" s="16" t="str">
        <f aca="false">IF(J24="","",IF(J24&gt;=6,"High",IF(J24&gt;=3,"Medium","Low")))</f>
        <v/>
      </c>
      <c r="L24" s="15"/>
      <c r="M24" s="15"/>
      <c r="N24" s="15"/>
      <c r="O24" s="15"/>
      <c r="P24" s="16" t="str">
        <f aca="false">IF(A24="","",IF(OR(B24="",E24="",D24=""),"BP-ID, category, statement needed",IF(COUNTIF(Ref_BP!$A$2:$A$101,B24)=0,"BP-ID not in W03",IF(ISERROR(SEARCH("There is a risk that",E24)),"Use the risk statement formula",IF(AND(L24="Y",F24=""),"Assertion needed for SOX risk",IF(AND(L24="Y",G24=""),"Risk owner or TBC needed","OK"))))))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6" t="str">
        <f aca="false">IF(OR(H25="",I25=""),"",H25*I25)</f>
        <v/>
      </c>
      <c r="K25" s="16" t="str">
        <f aca="false">IF(J25="","",IF(J25&gt;=6,"High",IF(J25&gt;=3,"Medium","Low")))</f>
        <v/>
      </c>
      <c r="L25" s="15"/>
      <c r="M25" s="15"/>
      <c r="N25" s="15"/>
      <c r="O25" s="15"/>
      <c r="P25" s="16" t="str">
        <f aca="false">IF(A25="","",IF(OR(B25="",E25="",D25=""),"BP-ID, category, statement needed",IF(COUNTIF(Ref_BP!$A$2:$A$101,B25)=0,"BP-ID not in W03",IF(ISERROR(SEARCH("There is a risk that",E25)),"Use the risk statement formula",IF(AND(L25="Y",F25=""),"Assertion needed for SOX risk",IF(AND(L25="Y",G25=""),"Risk owner or TBC needed","OK"))))))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6" t="str">
        <f aca="false">IF(OR(H26="",I26=""),"",H26*I26)</f>
        <v/>
      </c>
      <c r="K26" s="16" t="str">
        <f aca="false">IF(J26="","",IF(J26&gt;=6,"High",IF(J26&gt;=3,"Medium","Low")))</f>
        <v/>
      </c>
      <c r="L26" s="15"/>
      <c r="M26" s="15"/>
      <c r="N26" s="15"/>
      <c r="O26" s="15"/>
      <c r="P26" s="16" t="str">
        <f aca="false">IF(A26="","",IF(OR(B26="",E26="",D26=""),"BP-ID, category, statement needed",IF(COUNTIF(Ref_BP!$A$2:$A$101,B26)=0,"BP-ID not in W03",IF(ISERROR(SEARCH("There is a risk that",E26)),"Use the risk statement formula",IF(AND(L26="Y",F26=""),"Assertion needed for SOX risk",IF(AND(L26="Y",G26=""),"Risk owner or TBC needed","OK"))))))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6" t="str">
        <f aca="false">IF(OR(H27="",I27=""),"",H27*I27)</f>
        <v/>
      </c>
      <c r="K27" s="16" t="str">
        <f aca="false">IF(J27="","",IF(J27&gt;=6,"High",IF(J27&gt;=3,"Medium","Low")))</f>
        <v/>
      </c>
      <c r="L27" s="15"/>
      <c r="M27" s="15"/>
      <c r="N27" s="15"/>
      <c r="O27" s="15"/>
      <c r="P27" s="16" t="str">
        <f aca="false">IF(A27="","",IF(OR(B27="",E27="",D27=""),"BP-ID, category, statement needed",IF(COUNTIF(Ref_BP!$A$2:$A$101,B27)=0,"BP-ID not in W03",IF(ISERROR(SEARCH("There is a risk that",E27)),"Use the risk statement formula",IF(AND(L27="Y",F27=""),"Assertion needed for SOX risk",IF(AND(L27="Y",G27=""),"Risk owner or TBC needed","OK"))))))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6" t="str">
        <f aca="false">IF(OR(H28="",I28=""),"",H28*I28)</f>
        <v/>
      </c>
      <c r="K28" s="16" t="str">
        <f aca="false">IF(J28="","",IF(J28&gt;=6,"High",IF(J28&gt;=3,"Medium","Low")))</f>
        <v/>
      </c>
      <c r="L28" s="15"/>
      <c r="M28" s="15"/>
      <c r="N28" s="15"/>
      <c r="O28" s="15"/>
      <c r="P28" s="16" t="str">
        <f aca="false">IF(A28="","",IF(OR(B28="",E28="",D28=""),"BP-ID, category, statement needed",IF(COUNTIF(Ref_BP!$A$2:$A$101,B28)=0,"BP-ID not in W03",IF(ISERROR(SEARCH("There is a risk that",E28)),"Use the risk statement formula",IF(AND(L28="Y",F28=""),"Assertion needed for SOX risk",IF(AND(L28="Y",G28=""),"Risk owner or TBC needed","OK"))))))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6" t="str">
        <f aca="false">IF(OR(H29="",I29=""),"",H29*I29)</f>
        <v/>
      </c>
      <c r="K29" s="16" t="str">
        <f aca="false">IF(J29="","",IF(J29&gt;=6,"High",IF(J29&gt;=3,"Medium","Low")))</f>
        <v/>
      </c>
      <c r="L29" s="15"/>
      <c r="M29" s="15"/>
      <c r="N29" s="15"/>
      <c r="O29" s="15"/>
      <c r="P29" s="16" t="str">
        <f aca="false">IF(A29="","",IF(OR(B29="",E29="",D29=""),"BP-ID, category, statement needed",IF(COUNTIF(Ref_BP!$A$2:$A$101,B29)=0,"BP-ID not in W03",IF(ISERROR(SEARCH("There is a risk that",E29)),"Use the risk statement formula",IF(AND(L29="Y",F29=""),"Assertion needed for SOX risk",IF(AND(L29="Y",G29=""),"Risk owner or TBC needed","OK"))))))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6" t="str">
        <f aca="false">IF(OR(H30="",I30=""),"",H30*I30)</f>
        <v/>
      </c>
      <c r="K30" s="16" t="str">
        <f aca="false">IF(J30="","",IF(J30&gt;=6,"High",IF(J30&gt;=3,"Medium","Low")))</f>
        <v/>
      </c>
      <c r="L30" s="15"/>
      <c r="M30" s="15"/>
      <c r="N30" s="15"/>
      <c r="O30" s="15"/>
      <c r="P30" s="16" t="str">
        <f aca="false">IF(A30="","",IF(OR(B30="",E30="",D30=""),"BP-ID, category, statement needed",IF(COUNTIF(Ref_BP!$A$2:$A$101,B30)=0,"BP-ID not in W03",IF(ISERROR(SEARCH("There is a risk that",E30)),"Use the risk statement formula",IF(AND(L30="Y",F30=""),"Assertion needed for SOX risk",IF(AND(L30="Y",G30=""),"Risk owner or TBC needed","OK"))))))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6" t="str">
        <f aca="false">IF(OR(H31="",I31=""),"",H31*I31)</f>
        <v/>
      </c>
      <c r="K31" s="16" t="str">
        <f aca="false">IF(J31="","",IF(J31&gt;=6,"High",IF(J31&gt;=3,"Medium","Low")))</f>
        <v/>
      </c>
      <c r="L31" s="15"/>
      <c r="M31" s="15"/>
      <c r="N31" s="15"/>
      <c r="O31" s="15"/>
      <c r="P31" s="16" t="str">
        <f aca="false">IF(A31="","",IF(OR(B31="",E31="",D31=""),"BP-ID, category, statement needed",IF(COUNTIF(Ref_BP!$A$2:$A$101,B31)=0,"BP-ID not in W03",IF(ISERROR(SEARCH("There is a risk that",E31)),"Use the risk statement formula",IF(AND(L31="Y",F31=""),"Assertion needed for SOX risk",IF(AND(L31="Y",G31=""),"Risk owner or TBC needed","OK"))))))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6" t="str">
        <f aca="false">IF(OR(H32="",I32=""),"",H32*I32)</f>
        <v/>
      </c>
      <c r="K32" s="16" t="str">
        <f aca="false">IF(J32="","",IF(J32&gt;=6,"High",IF(J32&gt;=3,"Medium","Low")))</f>
        <v/>
      </c>
      <c r="L32" s="15"/>
      <c r="M32" s="15"/>
      <c r="N32" s="15"/>
      <c r="O32" s="15"/>
      <c r="P32" s="16" t="str">
        <f aca="false">IF(A32="","",IF(OR(B32="",E32="",D32=""),"BP-ID, category, statement needed",IF(COUNTIF(Ref_BP!$A$2:$A$101,B32)=0,"BP-ID not in W03",IF(ISERROR(SEARCH("There is a risk that",E32)),"Use the risk statement formula",IF(AND(L32="Y",F32=""),"Assertion needed for SOX risk",IF(AND(L32="Y",G32=""),"Risk owner or TBC needed","OK"))))))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6" t="str">
        <f aca="false">IF(OR(H33="",I33=""),"",H33*I33)</f>
        <v/>
      </c>
      <c r="K33" s="16" t="str">
        <f aca="false">IF(J33="","",IF(J33&gt;=6,"High",IF(J33&gt;=3,"Medium","Low")))</f>
        <v/>
      </c>
      <c r="L33" s="15"/>
      <c r="M33" s="15"/>
      <c r="N33" s="15"/>
      <c r="O33" s="15"/>
      <c r="P33" s="16" t="str">
        <f aca="false">IF(A33="","",IF(OR(B33="",E33="",D33=""),"BP-ID, category, statement needed",IF(COUNTIF(Ref_BP!$A$2:$A$101,B33)=0,"BP-ID not in W03",IF(ISERROR(SEARCH("There is a risk that",E33)),"Use the risk statement formula",IF(AND(L33="Y",F33=""),"Assertion needed for SOX risk",IF(AND(L33="Y",G33=""),"Risk owner or TBC needed","OK"))))))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6" t="str">
        <f aca="false">IF(OR(H34="",I34=""),"",H34*I34)</f>
        <v/>
      </c>
      <c r="K34" s="16" t="str">
        <f aca="false">IF(J34="","",IF(J34&gt;=6,"High",IF(J34&gt;=3,"Medium","Low")))</f>
        <v/>
      </c>
      <c r="L34" s="15"/>
      <c r="M34" s="15"/>
      <c r="N34" s="15"/>
      <c r="O34" s="15"/>
      <c r="P34" s="16" t="str">
        <f aca="false">IF(A34="","",IF(OR(B34="",E34="",D34=""),"BP-ID, category, statement needed",IF(COUNTIF(Ref_BP!$A$2:$A$101,B34)=0,"BP-ID not in W03",IF(ISERROR(SEARCH("There is a risk that",E34)),"Use the risk statement formula",IF(AND(L34="Y",F34=""),"Assertion needed for SOX risk",IF(AND(L34="Y",G34=""),"Risk owner or TBC needed","OK"))))))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6" t="str">
        <f aca="false">IF(OR(H35="",I35=""),"",H35*I35)</f>
        <v/>
      </c>
      <c r="K35" s="16" t="str">
        <f aca="false">IF(J35="","",IF(J35&gt;=6,"High",IF(J35&gt;=3,"Medium","Low")))</f>
        <v/>
      </c>
      <c r="L35" s="15"/>
      <c r="M35" s="15"/>
      <c r="N35" s="15"/>
      <c r="O35" s="15"/>
      <c r="P35" s="16" t="str">
        <f aca="false">IF(A35="","",IF(OR(B35="",E35="",D35=""),"BP-ID, category, statement needed",IF(COUNTIF(Ref_BP!$A$2:$A$101,B35)=0,"BP-ID not in W03",IF(ISERROR(SEARCH("There is a risk that",E35)),"Use the risk statement formula",IF(AND(L35="Y",F35=""),"Assertion needed for SOX risk",IF(AND(L35="Y",G35=""),"Risk owner or TBC needed","OK"))))))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6" t="str">
        <f aca="false">IF(OR(H36="",I36=""),"",H36*I36)</f>
        <v/>
      </c>
      <c r="K36" s="16" t="str">
        <f aca="false">IF(J36="","",IF(J36&gt;=6,"High",IF(J36&gt;=3,"Medium","Low")))</f>
        <v/>
      </c>
      <c r="L36" s="15"/>
      <c r="M36" s="15"/>
      <c r="N36" s="15"/>
      <c r="O36" s="15"/>
      <c r="P36" s="16" t="str">
        <f aca="false">IF(A36="","",IF(OR(B36="",E36="",D36=""),"BP-ID, category, statement needed",IF(COUNTIF(Ref_BP!$A$2:$A$101,B36)=0,"BP-ID not in W03",IF(ISERROR(SEARCH("There is a risk that",E36)),"Use the risk statement formula",IF(AND(L36="Y",F36=""),"Assertion needed for SOX risk",IF(AND(L36="Y",G36=""),"Risk owner or TBC needed","OK"))))))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6" t="str">
        <f aca="false">IF(OR(H37="",I37=""),"",H37*I37)</f>
        <v/>
      </c>
      <c r="K37" s="16" t="str">
        <f aca="false">IF(J37="","",IF(J37&gt;=6,"High",IF(J37&gt;=3,"Medium","Low")))</f>
        <v/>
      </c>
      <c r="L37" s="15"/>
      <c r="M37" s="15"/>
      <c r="N37" s="15"/>
      <c r="O37" s="15"/>
      <c r="P37" s="16" t="str">
        <f aca="false">IF(A37="","",IF(OR(B37="",E37="",D37=""),"BP-ID, category, statement needed",IF(COUNTIF(Ref_BP!$A$2:$A$101,B37)=0,"BP-ID not in W03",IF(ISERROR(SEARCH("There is a risk that",E37)),"Use the risk statement formula",IF(AND(L37="Y",F37=""),"Assertion needed for SOX risk",IF(AND(L37="Y",G37=""),"Risk owner or TBC needed","OK"))))))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6" t="str">
        <f aca="false">IF(OR(H38="",I38=""),"",H38*I38)</f>
        <v/>
      </c>
      <c r="K38" s="16" t="str">
        <f aca="false">IF(J38="","",IF(J38&gt;=6,"High",IF(J38&gt;=3,"Medium","Low")))</f>
        <v/>
      </c>
      <c r="L38" s="15"/>
      <c r="M38" s="15"/>
      <c r="N38" s="15"/>
      <c r="O38" s="15"/>
      <c r="P38" s="16" t="str">
        <f aca="false">IF(A38="","",IF(OR(B38="",E38="",D38=""),"BP-ID, category, statement needed",IF(COUNTIF(Ref_BP!$A$2:$A$101,B38)=0,"BP-ID not in W03",IF(ISERROR(SEARCH("There is a risk that",E38)),"Use the risk statement formula",IF(AND(L38="Y",F38=""),"Assertion needed for SOX risk",IF(AND(L38="Y",G38=""),"Risk owner or TBC needed","OK"))))))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6" t="str">
        <f aca="false">IF(OR(H39="",I39=""),"",H39*I39)</f>
        <v/>
      </c>
      <c r="K39" s="16" t="str">
        <f aca="false">IF(J39="","",IF(J39&gt;=6,"High",IF(J39&gt;=3,"Medium","Low")))</f>
        <v/>
      </c>
      <c r="L39" s="15"/>
      <c r="M39" s="15"/>
      <c r="N39" s="15"/>
      <c r="O39" s="15"/>
      <c r="P39" s="16" t="str">
        <f aca="false">IF(A39="","",IF(OR(B39="",E39="",D39=""),"BP-ID, category, statement needed",IF(COUNTIF(Ref_BP!$A$2:$A$101,B39)=0,"BP-ID not in W03",IF(ISERROR(SEARCH("There is a risk that",E39)),"Use the risk statement formula",IF(AND(L39="Y",F39=""),"Assertion needed for SOX risk",IF(AND(L39="Y",G39=""),"Risk owner or TBC needed","OK"))))))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6" t="str">
        <f aca="false">IF(OR(H40="",I40=""),"",H40*I40)</f>
        <v/>
      </c>
      <c r="K40" s="16" t="str">
        <f aca="false">IF(J40="","",IF(J40&gt;=6,"High",IF(J40&gt;=3,"Medium","Low")))</f>
        <v/>
      </c>
      <c r="L40" s="15"/>
      <c r="M40" s="15"/>
      <c r="N40" s="15"/>
      <c r="O40" s="15"/>
      <c r="P40" s="16" t="str">
        <f aca="false">IF(A40="","",IF(OR(B40="",E40="",D40=""),"BP-ID, category, statement needed",IF(COUNTIF(Ref_BP!$A$2:$A$101,B40)=0,"BP-ID not in W03",IF(ISERROR(SEARCH("There is a risk that",E40)),"Use the risk statement formula",IF(AND(L40="Y",F40=""),"Assertion needed for SOX risk",IF(AND(L40="Y",G40=""),"Risk owner or TBC needed","OK"))))))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6" t="str">
        <f aca="false">IF(OR(H41="",I41=""),"",H41*I41)</f>
        <v/>
      </c>
      <c r="K41" s="16" t="str">
        <f aca="false">IF(J41="","",IF(J41&gt;=6,"High",IF(J41&gt;=3,"Medium","Low")))</f>
        <v/>
      </c>
      <c r="L41" s="15"/>
      <c r="M41" s="15"/>
      <c r="N41" s="15"/>
      <c r="O41" s="15"/>
      <c r="P41" s="16" t="str">
        <f aca="false">IF(A41="","",IF(OR(B41="",E41="",D41=""),"BP-ID, category, statement needed",IF(COUNTIF(Ref_BP!$A$2:$A$101,B41)=0,"BP-ID not in W03",IF(ISERROR(SEARCH("There is a risk that",E41)),"Use the risk statement formula",IF(AND(L41="Y",F41=""),"Assertion needed for SOX risk",IF(AND(L41="Y",G41=""),"Risk owner or TBC needed","OK"))))))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6" t="str">
        <f aca="false">IF(OR(H42="",I42=""),"",H42*I42)</f>
        <v/>
      </c>
      <c r="K42" s="16" t="str">
        <f aca="false">IF(J42="","",IF(J42&gt;=6,"High",IF(J42&gt;=3,"Medium","Low")))</f>
        <v/>
      </c>
      <c r="L42" s="15"/>
      <c r="M42" s="15"/>
      <c r="N42" s="15"/>
      <c r="O42" s="15"/>
      <c r="P42" s="16" t="str">
        <f aca="false">IF(A42="","",IF(OR(B42="",E42="",D42=""),"BP-ID, category, statement needed",IF(COUNTIF(Ref_BP!$A$2:$A$101,B42)=0,"BP-ID not in W03",IF(ISERROR(SEARCH("There is a risk that",E42)),"Use the risk statement formula",IF(AND(L42="Y",F42=""),"Assertion needed for SOX risk",IF(AND(L42="Y",G42=""),"Risk owner or TBC needed","OK"))))))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6" t="str">
        <f aca="false">IF(OR(H43="",I43=""),"",H43*I43)</f>
        <v/>
      </c>
      <c r="K43" s="16" t="str">
        <f aca="false">IF(J43="","",IF(J43&gt;=6,"High",IF(J43&gt;=3,"Medium","Low")))</f>
        <v/>
      </c>
      <c r="L43" s="15"/>
      <c r="M43" s="15"/>
      <c r="N43" s="15"/>
      <c r="O43" s="15"/>
      <c r="P43" s="16" t="str">
        <f aca="false">IF(A43="","",IF(OR(B43="",E43="",D43=""),"BP-ID, category, statement needed",IF(COUNTIF(Ref_BP!$A$2:$A$101,B43)=0,"BP-ID not in W03",IF(ISERROR(SEARCH("There is a risk that",E43)),"Use the risk statement formula",IF(AND(L43="Y",F43=""),"Assertion needed for SOX risk",IF(AND(L43="Y",G43=""),"Risk owner or TBC needed","OK"))))))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6" t="str">
        <f aca="false">IF(OR(H44="",I44=""),"",H44*I44)</f>
        <v/>
      </c>
      <c r="K44" s="16" t="str">
        <f aca="false">IF(J44="","",IF(J44&gt;=6,"High",IF(J44&gt;=3,"Medium","Low")))</f>
        <v/>
      </c>
      <c r="L44" s="15"/>
      <c r="M44" s="15"/>
      <c r="N44" s="15"/>
      <c r="O44" s="15"/>
      <c r="P44" s="16" t="str">
        <f aca="false">IF(A44="","",IF(OR(B44="",E44="",D44=""),"BP-ID, category, statement needed",IF(COUNTIF(Ref_BP!$A$2:$A$101,B44)=0,"BP-ID not in W03",IF(ISERROR(SEARCH("There is a risk that",E44)),"Use the risk statement formula",IF(AND(L44="Y",F44=""),"Assertion needed for SOX risk",IF(AND(L44="Y",G44=""),"Risk owner or TBC needed","OK"))))))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6" t="str">
        <f aca="false">IF(OR(H45="",I45=""),"",H45*I45)</f>
        <v/>
      </c>
      <c r="K45" s="16" t="str">
        <f aca="false">IF(J45="","",IF(J45&gt;=6,"High",IF(J45&gt;=3,"Medium","Low")))</f>
        <v/>
      </c>
      <c r="L45" s="15"/>
      <c r="M45" s="15"/>
      <c r="N45" s="15"/>
      <c r="O45" s="15"/>
      <c r="P45" s="16" t="str">
        <f aca="false">IF(A45="","",IF(OR(B45="",E45="",D45=""),"BP-ID, category, statement needed",IF(COUNTIF(Ref_BP!$A$2:$A$101,B45)=0,"BP-ID not in W03",IF(ISERROR(SEARCH("There is a risk that",E45)),"Use the risk statement formula",IF(AND(L45="Y",F45=""),"Assertion needed for SOX risk",IF(AND(L45="Y",G45=""),"Risk owner or TBC needed","OK"))))))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6" t="str">
        <f aca="false">IF(OR(H46="",I46=""),"",H46*I46)</f>
        <v/>
      </c>
      <c r="K46" s="16" t="str">
        <f aca="false">IF(J46="","",IF(J46&gt;=6,"High",IF(J46&gt;=3,"Medium","Low")))</f>
        <v/>
      </c>
      <c r="L46" s="15"/>
      <c r="M46" s="15"/>
      <c r="N46" s="15"/>
      <c r="O46" s="15"/>
      <c r="P46" s="16" t="str">
        <f aca="false">IF(A46="","",IF(OR(B46="",E46="",D46=""),"BP-ID, category, statement needed",IF(COUNTIF(Ref_BP!$A$2:$A$101,B46)=0,"BP-ID not in W03",IF(ISERROR(SEARCH("There is a risk that",E46)),"Use the risk statement formula",IF(AND(L46="Y",F46=""),"Assertion needed for SOX risk",IF(AND(L46="Y",G46=""),"Risk owner or TBC needed","OK"))))))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6" t="str">
        <f aca="false">IF(OR(H47="",I47=""),"",H47*I47)</f>
        <v/>
      </c>
      <c r="K47" s="16" t="str">
        <f aca="false">IF(J47="","",IF(J47&gt;=6,"High",IF(J47&gt;=3,"Medium","Low")))</f>
        <v/>
      </c>
      <c r="L47" s="15"/>
      <c r="M47" s="15"/>
      <c r="N47" s="15"/>
      <c r="O47" s="15"/>
      <c r="P47" s="16" t="str">
        <f aca="false">IF(A47="","",IF(OR(B47="",E47="",D47=""),"BP-ID, category, statement needed",IF(COUNTIF(Ref_BP!$A$2:$A$101,B47)=0,"BP-ID not in W03",IF(ISERROR(SEARCH("There is a risk that",E47)),"Use the risk statement formula",IF(AND(L47="Y",F47=""),"Assertion needed for SOX risk",IF(AND(L47="Y",G47=""),"Risk owner or TBC needed","OK"))))))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6" t="str">
        <f aca="false">IF(OR(H48="",I48=""),"",H48*I48)</f>
        <v/>
      </c>
      <c r="K48" s="16" t="str">
        <f aca="false">IF(J48="","",IF(J48&gt;=6,"High",IF(J48&gt;=3,"Medium","Low")))</f>
        <v/>
      </c>
      <c r="L48" s="15"/>
      <c r="M48" s="15"/>
      <c r="N48" s="15"/>
      <c r="O48" s="15"/>
      <c r="P48" s="16" t="str">
        <f aca="false">IF(A48="","",IF(OR(B48="",E48="",D48=""),"BP-ID, category, statement needed",IF(COUNTIF(Ref_BP!$A$2:$A$101,B48)=0,"BP-ID not in W03",IF(ISERROR(SEARCH("There is a risk that",E48)),"Use the risk statement formula",IF(AND(L48="Y",F48=""),"Assertion needed for SOX risk",IF(AND(L48="Y",G48=""),"Risk owner or TBC needed","OK"))))))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6" t="str">
        <f aca="false">IF(OR(H49="",I49=""),"",H49*I49)</f>
        <v/>
      </c>
      <c r="K49" s="16" t="str">
        <f aca="false">IF(J49="","",IF(J49&gt;=6,"High",IF(J49&gt;=3,"Medium","Low")))</f>
        <v/>
      </c>
      <c r="L49" s="15"/>
      <c r="M49" s="15"/>
      <c r="N49" s="15"/>
      <c r="O49" s="15"/>
      <c r="P49" s="16" t="str">
        <f aca="false">IF(A49="","",IF(OR(B49="",E49="",D49=""),"BP-ID, category, statement needed",IF(COUNTIF(Ref_BP!$A$2:$A$101,B49)=0,"BP-ID not in W03",IF(ISERROR(SEARCH("There is a risk that",E49)),"Use the risk statement formula",IF(AND(L49="Y",F49=""),"Assertion needed for SOX risk",IF(AND(L49="Y",G49=""),"Risk owner or TBC needed","OK"))))))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6" t="str">
        <f aca="false">IF(OR(H50="",I50=""),"",H50*I50)</f>
        <v/>
      </c>
      <c r="K50" s="16" t="str">
        <f aca="false">IF(J50="","",IF(J50&gt;=6,"High",IF(J50&gt;=3,"Medium","Low")))</f>
        <v/>
      </c>
      <c r="L50" s="15"/>
      <c r="M50" s="15"/>
      <c r="N50" s="15"/>
      <c r="O50" s="15"/>
      <c r="P50" s="16" t="str">
        <f aca="false">IF(A50="","",IF(OR(B50="",E50="",D50=""),"BP-ID, category, statement needed",IF(COUNTIF(Ref_BP!$A$2:$A$101,B50)=0,"BP-ID not in W03",IF(ISERROR(SEARCH("There is a risk that",E50)),"Use the risk statement formula",IF(AND(L50="Y",F50=""),"Assertion needed for SOX risk",IF(AND(L50="Y",G50=""),"Risk owner or TBC needed","OK"))))))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6" t="str">
        <f aca="false">IF(OR(H51="",I51=""),"",H51*I51)</f>
        <v/>
      </c>
      <c r="K51" s="16" t="str">
        <f aca="false">IF(J51="","",IF(J51&gt;=6,"High",IF(J51&gt;=3,"Medium","Low")))</f>
        <v/>
      </c>
      <c r="L51" s="15"/>
      <c r="M51" s="15"/>
      <c r="N51" s="15"/>
      <c r="O51" s="15"/>
      <c r="P51" s="16" t="str">
        <f aca="false">IF(A51="","",IF(OR(B51="",E51="",D51=""),"BP-ID, category, statement needed",IF(COUNTIF(Ref_BP!$A$2:$A$101,B51)=0,"BP-ID not in W03",IF(ISERROR(SEARCH("There is a risk that",E51)),"Use the risk statement formula",IF(AND(L51="Y",F51=""),"Assertion needed for SOX risk",IF(AND(L51="Y",G51=""),"Risk owner or TBC needed","OK"))))))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6" t="str">
        <f aca="false">IF(OR(H52="",I52=""),"",H52*I52)</f>
        <v/>
      </c>
      <c r="K52" s="16" t="str">
        <f aca="false">IF(J52="","",IF(J52&gt;=6,"High",IF(J52&gt;=3,"Medium","Low")))</f>
        <v/>
      </c>
      <c r="L52" s="15"/>
      <c r="M52" s="15"/>
      <c r="N52" s="15"/>
      <c r="O52" s="15"/>
      <c r="P52" s="16" t="str">
        <f aca="false">IF(A52="","",IF(OR(B52="",E52="",D52=""),"BP-ID, category, statement needed",IF(COUNTIF(Ref_BP!$A$2:$A$101,B52)=0,"BP-ID not in W03",IF(ISERROR(SEARCH("There is a risk that",E52)),"Use the risk statement formula",IF(AND(L52="Y",F52=""),"Assertion needed for SOX risk",IF(AND(L52="Y",G52=""),"Risk owner or TBC needed","OK"))))))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6" t="str">
        <f aca="false">IF(OR(H53="",I53=""),"",H53*I53)</f>
        <v/>
      </c>
      <c r="K53" s="16" t="str">
        <f aca="false">IF(J53="","",IF(J53&gt;=6,"High",IF(J53&gt;=3,"Medium","Low")))</f>
        <v/>
      </c>
      <c r="L53" s="15"/>
      <c r="M53" s="15"/>
      <c r="N53" s="15"/>
      <c r="O53" s="15"/>
      <c r="P53" s="16" t="str">
        <f aca="false">IF(A53="","",IF(OR(B53="",E53="",D53=""),"BP-ID, category, statement needed",IF(COUNTIF(Ref_BP!$A$2:$A$101,B53)=0,"BP-ID not in W03",IF(ISERROR(SEARCH("There is a risk that",E53)),"Use the risk statement formula",IF(AND(L53="Y",F53=""),"Assertion needed for SOX risk",IF(AND(L53="Y",G53=""),"Risk owner or TBC needed","OK"))))))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6" t="str">
        <f aca="false">IF(OR(H54="",I54=""),"",H54*I54)</f>
        <v/>
      </c>
      <c r="K54" s="16" t="str">
        <f aca="false">IF(J54="","",IF(J54&gt;=6,"High",IF(J54&gt;=3,"Medium","Low")))</f>
        <v/>
      </c>
      <c r="L54" s="15"/>
      <c r="M54" s="15"/>
      <c r="N54" s="15"/>
      <c r="O54" s="15"/>
      <c r="P54" s="16" t="str">
        <f aca="false">IF(A54="","",IF(OR(B54="",E54="",D54=""),"BP-ID, category, statement needed",IF(COUNTIF(Ref_BP!$A$2:$A$101,B54)=0,"BP-ID not in W03",IF(ISERROR(SEARCH("There is a risk that",E54)),"Use the risk statement formula",IF(AND(L54="Y",F54=""),"Assertion needed for SOX risk",IF(AND(L54="Y",G54=""),"Risk owner or TBC needed","OK"))))))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6" t="str">
        <f aca="false">IF(OR(H55="",I55=""),"",H55*I55)</f>
        <v/>
      </c>
      <c r="K55" s="16" t="str">
        <f aca="false">IF(J55="","",IF(J55&gt;=6,"High",IF(J55&gt;=3,"Medium","Low")))</f>
        <v/>
      </c>
      <c r="L55" s="15"/>
      <c r="M55" s="15"/>
      <c r="N55" s="15"/>
      <c r="O55" s="15"/>
      <c r="P55" s="16" t="str">
        <f aca="false">IF(A55="","",IF(OR(B55="",E55="",D55=""),"BP-ID, category, statement needed",IF(COUNTIF(Ref_BP!$A$2:$A$101,B55)=0,"BP-ID not in W03",IF(ISERROR(SEARCH("There is a risk that",E55)),"Use the risk statement formula",IF(AND(L55="Y",F55=""),"Assertion needed for SOX risk",IF(AND(L55="Y",G55=""),"Risk owner or TBC needed","OK"))))))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6" t="str">
        <f aca="false">IF(OR(H56="",I56=""),"",H56*I56)</f>
        <v/>
      </c>
      <c r="K56" s="16" t="str">
        <f aca="false">IF(J56="","",IF(J56&gt;=6,"High",IF(J56&gt;=3,"Medium","Low")))</f>
        <v/>
      </c>
      <c r="L56" s="15"/>
      <c r="M56" s="15"/>
      <c r="N56" s="15"/>
      <c r="O56" s="15"/>
      <c r="P56" s="16" t="str">
        <f aca="false">IF(A56="","",IF(OR(B56="",E56="",D56=""),"BP-ID, category, statement needed",IF(COUNTIF(Ref_BP!$A$2:$A$101,B56)=0,"BP-ID not in W03",IF(ISERROR(SEARCH("There is a risk that",E56)),"Use the risk statement formula",IF(AND(L56="Y",F56=""),"Assertion needed for SOX risk",IF(AND(L56="Y",G56=""),"Risk owner or TBC needed","OK"))))))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6" t="str">
        <f aca="false">IF(OR(H57="",I57=""),"",H57*I57)</f>
        <v/>
      </c>
      <c r="K57" s="16" t="str">
        <f aca="false">IF(J57="","",IF(J57&gt;=6,"High",IF(J57&gt;=3,"Medium","Low")))</f>
        <v/>
      </c>
      <c r="L57" s="15"/>
      <c r="M57" s="15"/>
      <c r="N57" s="15"/>
      <c r="O57" s="15"/>
      <c r="P57" s="16" t="str">
        <f aca="false">IF(A57="","",IF(OR(B57="",E57="",D57=""),"BP-ID, category, statement needed",IF(COUNTIF(Ref_BP!$A$2:$A$101,B57)=0,"BP-ID not in W03",IF(ISERROR(SEARCH("There is a risk that",E57)),"Use the risk statement formula",IF(AND(L57="Y",F57=""),"Assertion needed for SOX risk",IF(AND(L57="Y",G57=""),"Risk owner or TBC needed","OK"))))))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6" t="str">
        <f aca="false">IF(OR(H58="",I58=""),"",H58*I58)</f>
        <v/>
      </c>
      <c r="K58" s="16" t="str">
        <f aca="false">IF(J58="","",IF(J58&gt;=6,"High",IF(J58&gt;=3,"Medium","Low")))</f>
        <v/>
      </c>
      <c r="L58" s="15"/>
      <c r="M58" s="15"/>
      <c r="N58" s="15"/>
      <c r="O58" s="15"/>
      <c r="P58" s="16" t="str">
        <f aca="false">IF(A58="","",IF(OR(B58="",E58="",D58=""),"BP-ID, category, statement needed",IF(COUNTIF(Ref_BP!$A$2:$A$101,B58)=0,"BP-ID not in W03",IF(ISERROR(SEARCH("There is a risk that",E58)),"Use the risk statement formula",IF(AND(L58="Y",F58=""),"Assertion needed for SOX risk",IF(AND(L58="Y",G58=""),"Risk owner or TBC needed","OK"))))))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6" t="str">
        <f aca="false">IF(OR(H59="",I59=""),"",H59*I59)</f>
        <v/>
      </c>
      <c r="K59" s="16" t="str">
        <f aca="false">IF(J59="","",IF(J59&gt;=6,"High",IF(J59&gt;=3,"Medium","Low")))</f>
        <v/>
      </c>
      <c r="L59" s="15"/>
      <c r="M59" s="15"/>
      <c r="N59" s="15"/>
      <c r="O59" s="15"/>
      <c r="P59" s="16" t="str">
        <f aca="false">IF(A59="","",IF(OR(B59="",E59="",D59=""),"BP-ID, category, statement needed",IF(COUNTIF(Ref_BP!$A$2:$A$101,B59)=0,"BP-ID not in W03",IF(ISERROR(SEARCH("There is a risk that",E59)),"Use the risk statement formula",IF(AND(L59="Y",F59=""),"Assertion needed for SOX risk",IF(AND(L59="Y",G59=""),"Risk owner or TBC needed","OK"))))))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6" t="str">
        <f aca="false">IF(OR(H60="",I60=""),"",H60*I60)</f>
        <v/>
      </c>
      <c r="K60" s="16" t="str">
        <f aca="false">IF(J60="","",IF(J60&gt;=6,"High",IF(J60&gt;=3,"Medium","Low")))</f>
        <v/>
      </c>
      <c r="L60" s="15"/>
      <c r="M60" s="15"/>
      <c r="N60" s="15"/>
      <c r="O60" s="15"/>
      <c r="P60" s="16" t="str">
        <f aca="false">IF(A60="","",IF(OR(B60="",E60="",D60=""),"BP-ID, category, statement needed",IF(COUNTIF(Ref_BP!$A$2:$A$101,B60)=0,"BP-ID not in W03",IF(ISERROR(SEARCH("There is a risk that",E60)),"Use the risk statement formula",IF(AND(L60="Y",F60=""),"Assertion needed for SOX risk",IF(AND(L60="Y",G60=""),"Risk owner or TBC needed","OK"))))))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6" t="str">
        <f aca="false">IF(OR(H61="",I61=""),"",H61*I61)</f>
        <v/>
      </c>
      <c r="K61" s="16" t="str">
        <f aca="false">IF(J61="","",IF(J61&gt;=6,"High",IF(J61&gt;=3,"Medium","Low")))</f>
        <v/>
      </c>
      <c r="L61" s="15"/>
      <c r="M61" s="15"/>
      <c r="N61" s="15"/>
      <c r="O61" s="15"/>
      <c r="P61" s="16" t="str">
        <f aca="false">IF(A61="","",IF(OR(B61="",E61="",D61=""),"BP-ID, category, statement needed",IF(COUNTIF(Ref_BP!$A$2:$A$101,B61)=0,"BP-ID not in W03",IF(ISERROR(SEARCH("There is a risk that",E61)),"Use the risk statement formula",IF(AND(L61="Y",F61=""),"Assertion needed for SOX risk",IF(AND(L61="Y",G61=""),"Risk owner or TBC needed","OK"))))))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6" t="str">
        <f aca="false">IF(OR(H62="",I62=""),"",H62*I62)</f>
        <v/>
      </c>
      <c r="K62" s="16" t="str">
        <f aca="false">IF(J62="","",IF(J62&gt;=6,"High",IF(J62&gt;=3,"Medium","Low")))</f>
        <v/>
      </c>
      <c r="L62" s="15"/>
      <c r="M62" s="15"/>
      <c r="N62" s="15"/>
      <c r="O62" s="15"/>
      <c r="P62" s="16" t="str">
        <f aca="false">IF(A62="","",IF(OR(B62="",E62="",D62=""),"BP-ID, category, statement needed",IF(COUNTIF(Ref_BP!$A$2:$A$101,B62)=0,"BP-ID not in W03",IF(ISERROR(SEARCH("There is a risk that",E62)),"Use the risk statement formula",IF(AND(L62="Y",F62=""),"Assertion needed for SOX risk",IF(AND(L62="Y",G62=""),"Risk owner or TBC needed","OK"))))))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6" t="str">
        <f aca="false">IF(OR(H63="",I63=""),"",H63*I63)</f>
        <v/>
      </c>
      <c r="K63" s="16" t="str">
        <f aca="false">IF(J63="","",IF(J63&gt;=6,"High",IF(J63&gt;=3,"Medium","Low")))</f>
        <v/>
      </c>
      <c r="L63" s="15"/>
      <c r="M63" s="15"/>
      <c r="N63" s="15"/>
      <c r="O63" s="15"/>
      <c r="P63" s="16" t="str">
        <f aca="false">IF(A63="","",IF(OR(B63="",E63="",D63=""),"BP-ID, category, statement needed",IF(COUNTIF(Ref_BP!$A$2:$A$101,B63)=0,"BP-ID not in W03",IF(ISERROR(SEARCH("There is a risk that",E63)),"Use the risk statement formula",IF(AND(L63="Y",F63=""),"Assertion needed for SOX risk",IF(AND(L63="Y",G63=""),"Risk owner or TBC needed","OK"))))))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6" t="str">
        <f aca="false">IF(OR(H64="",I64=""),"",H64*I64)</f>
        <v/>
      </c>
      <c r="K64" s="16" t="str">
        <f aca="false">IF(J64="","",IF(J64&gt;=6,"High",IF(J64&gt;=3,"Medium","Low")))</f>
        <v/>
      </c>
      <c r="L64" s="15"/>
      <c r="M64" s="15"/>
      <c r="N64" s="15"/>
      <c r="O64" s="15"/>
      <c r="P64" s="16" t="str">
        <f aca="false">IF(A64="","",IF(OR(B64="",E64="",D64=""),"BP-ID, category, statement needed",IF(COUNTIF(Ref_BP!$A$2:$A$101,B64)=0,"BP-ID not in W03",IF(ISERROR(SEARCH("There is a risk that",E64)),"Use the risk statement formula",IF(AND(L64="Y",F64=""),"Assertion needed for SOX risk",IF(AND(L64="Y",G64=""),"Risk owner or TBC needed","OK"))))))</f>
        <v/>
      </c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6" t="str">
        <f aca="false">IF(OR(H65="",I65=""),"",H65*I65)</f>
        <v/>
      </c>
      <c r="K65" s="16" t="str">
        <f aca="false">IF(J65="","",IF(J65&gt;=6,"High",IF(J65&gt;=3,"Medium","Low")))</f>
        <v/>
      </c>
      <c r="L65" s="15"/>
      <c r="M65" s="15"/>
      <c r="N65" s="15"/>
      <c r="O65" s="15"/>
      <c r="P65" s="16" t="str">
        <f aca="false">IF(A65="","",IF(OR(B65="",E65="",D65=""),"BP-ID, category, statement needed",IF(COUNTIF(Ref_BP!$A$2:$A$101,B65)=0,"BP-ID not in W03",IF(ISERROR(SEARCH("There is a risk that",E65)),"Use the risk statement formula",IF(AND(L65="Y",F65=""),"Assertion needed for SOX risk",IF(AND(L65="Y",G65=""),"Risk owner or TBC needed","OK"))))))</f>
        <v/>
      </c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6" t="str">
        <f aca="false">IF(OR(H66="",I66=""),"",H66*I66)</f>
        <v/>
      </c>
      <c r="K66" s="16" t="str">
        <f aca="false">IF(J66="","",IF(J66&gt;=6,"High",IF(J66&gt;=3,"Medium","Low")))</f>
        <v/>
      </c>
      <c r="L66" s="15"/>
      <c r="M66" s="15"/>
      <c r="N66" s="15"/>
      <c r="O66" s="15"/>
      <c r="P66" s="16" t="str">
        <f aca="false">IF(A66="","",IF(OR(B66="",E66="",D66=""),"BP-ID, category, statement needed",IF(COUNTIF(Ref_BP!$A$2:$A$101,B66)=0,"BP-ID not in W03",IF(ISERROR(SEARCH("There is a risk that",E66)),"Use the risk statement formula",IF(AND(L66="Y",F66=""),"Assertion needed for SOX risk",IF(AND(L66="Y",G66=""),"Risk owner or TBC needed","OK"))))))</f>
        <v/>
      </c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6" t="str">
        <f aca="false">IF(OR(H67="",I67=""),"",H67*I67)</f>
        <v/>
      </c>
      <c r="K67" s="16" t="str">
        <f aca="false">IF(J67="","",IF(J67&gt;=6,"High",IF(J67&gt;=3,"Medium","Low")))</f>
        <v/>
      </c>
      <c r="L67" s="15"/>
      <c r="M67" s="15"/>
      <c r="N67" s="15"/>
      <c r="O67" s="15"/>
      <c r="P67" s="16" t="str">
        <f aca="false">IF(A67="","",IF(OR(B67="",E67="",D67=""),"BP-ID, category, statement needed",IF(COUNTIF(Ref_BP!$A$2:$A$101,B67)=0,"BP-ID not in W03",IF(ISERROR(SEARCH("There is a risk that",E67)),"Use the risk statement formula",IF(AND(L67="Y",F67=""),"Assertion needed for SOX risk",IF(AND(L67="Y",G67=""),"Risk owner or TBC needed","OK"))))))</f>
        <v/>
      </c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6" t="str">
        <f aca="false">IF(OR(H68="",I68=""),"",H68*I68)</f>
        <v/>
      </c>
      <c r="K68" s="16" t="str">
        <f aca="false">IF(J68="","",IF(J68&gt;=6,"High",IF(J68&gt;=3,"Medium","Low")))</f>
        <v/>
      </c>
      <c r="L68" s="15"/>
      <c r="M68" s="15"/>
      <c r="N68" s="15"/>
      <c r="O68" s="15"/>
      <c r="P68" s="16" t="str">
        <f aca="false">IF(A68="","",IF(OR(B68="",E68="",D68=""),"BP-ID, category, statement needed",IF(COUNTIF(Ref_BP!$A$2:$A$101,B68)=0,"BP-ID not in W03",IF(ISERROR(SEARCH("There is a risk that",E68)),"Use the risk statement formula",IF(AND(L68="Y",F68=""),"Assertion needed for SOX risk",IF(AND(L68="Y",G68=""),"Risk owner or TBC needed","OK"))))))</f>
        <v/>
      </c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6" t="str">
        <f aca="false">IF(OR(H69="",I69=""),"",H69*I69)</f>
        <v/>
      </c>
      <c r="K69" s="16" t="str">
        <f aca="false">IF(J69="","",IF(J69&gt;=6,"High",IF(J69&gt;=3,"Medium","Low")))</f>
        <v/>
      </c>
      <c r="L69" s="15"/>
      <c r="M69" s="15"/>
      <c r="N69" s="15"/>
      <c r="O69" s="15"/>
      <c r="P69" s="16" t="str">
        <f aca="false">IF(A69="","",IF(OR(B69="",E69="",D69=""),"BP-ID, category, statement needed",IF(COUNTIF(Ref_BP!$A$2:$A$101,B69)=0,"BP-ID not in W03",IF(ISERROR(SEARCH("There is a risk that",E69)),"Use the risk statement formula",IF(AND(L69="Y",F69=""),"Assertion needed for SOX risk",IF(AND(L69="Y",G69=""),"Risk owner or TBC needed","OK"))))))</f>
        <v/>
      </c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6" t="str">
        <f aca="false">IF(OR(H70="",I70=""),"",H70*I70)</f>
        <v/>
      </c>
      <c r="K70" s="16" t="str">
        <f aca="false">IF(J70="","",IF(J70&gt;=6,"High",IF(J70&gt;=3,"Medium","Low")))</f>
        <v/>
      </c>
      <c r="L70" s="15"/>
      <c r="M70" s="15"/>
      <c r="N70" s="15"/>
      <c r="O70" s="15"/>
      <c r="P70" s="16" t="str">
        <f aca="false">IF(A70="","",IF(OR(B70="",E70="",D70=""),"BP-ID, category, statement needed",IF(COUNTIF(Ref_BP!$A$2:$A$101,B70)=0,"BP-ID not in W03",IF(ISERROR(SEARCH("There is a risk that",E70)),"Use the risk statement formula",IF(AND(L70="Y",F70=""),"Assertion needed for SOX risk",IF(AND(L70="Y",G70=""),"Risk owner or TBC needed","OK"))))))</f>
        <v/>
      </c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6" t="str">
        <f aca="false">IF(OR(H71="",I71=""),"",H71*I71)</f>
        <v/>
      </c>
      <c r="K71" s="16" t="str">
        <f aca="false">IF(J71="","",IF(J71&gt;=6,"High",IF(J71&gt;=3,"Medium","Low")))</f>
        <v/>
      </c>
      <c r="L71" s="15"/>
      <c r="M71" s="15"/>
      <c r="N71" s="15"/>
      <c r="O71" s="15"/>
      <c r="P71" s="16" t="str">
        <f aca="false">IF(A71="","",IF(OR(B71="",E71="",D71=""),"BP-ID, category, statement needed",IF(COUNTIF(Ref_BP!$A$2:$A$101,B71)=0,"BP-ID not in W03",IF(ISERROR(SEARCH("There is a risk that",E71)),"Use the risk statement formula",IF(AND(L71="Y",F71=""),"Assertion needed for SOX risk",IF(AND(L71="Y",G71=""),"Risk owner or TBC needed","OK"))))))</f>
        <v/>
      </c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6" t="str">
        <f aca="false">IF(OR(H72="",I72=""),"",H72*I72)</f>
        <v/>
      </c>
      <c r="K72" s="16" t="str">
        <f aca="false">IF(J72="","",IF(J72&gt;=6,"High",IF(J72&gt;=3,"Medium","Low")))</f>
        <v/>
      </c>
      <c r="L72" s="15"/>
      <c r="M72" s="15"/>
      <c r="N72" s="15"/>
      <c r="O72" s="15"/>
      <c r="P72" s="16" t="str">
        <f aca="false">IF(A72="","",IF(OR(B72="",E72="",D72=""),"BP-ID, category, statement needed",IF(COUNTIF(Ref_BP!$A$2:$A$101,B72)=0,"BP-ID not in W03",IF(ISERROR(SEARCH("There is a risk that",E72)),"Use the risk statement formula",IF(AND(L72="Y",F72=""),"Assertion needed for SOX risk",IF(AND(L72="Y",G72=""),"Risk owner or TBC needed","OK"))))))</f>
        <v/>
      </c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6" t="str">
        <f aca="false">IF(OR(H73="",I73=""),"",H73*I73)</f>
        <v/>
      </c>
      <c r="K73" s="16" t="str">
        <f aca="false">IF(J73="","",IF(J73&gt;=6,"High",IF(J73&gt;=3,"Medium","Low")))</f>
        <v/>
      </c>
      <c r="L73" s="15"/>
      <c r="M73" s="15"/>
      <c r="N73" s="15"/>
      <c r="O73" s="15"/>
      <c r="P73" s="16" t="str">
        <f aca="false">IF(A73="","",IF(OR(B73="",E73="",D73=""),"BP-ID, category, statement needed",IF(COUNTIF(Ref_BP!$A$2:$A$101,B73)=0,"BP-ID not in W03",IF(ISERROR(SEARCH("There is a risk that",E73)),"Use the risk statement formula",IF(AND(L73="Y",F73=""),"Assertion needed for SOX risk",IF(AND(L73="Y",G73=""),"Risk owner or TBC needed","OK"))))))</f>
        <v/>
      </c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6" t="str">
        <f aca="false">IF(OR(H74="",I74=""),"",H74*I74)</f>
        <v/>
      </c>
      <c r="K74" s="16" t="str">
        <f aca="false">IF(J74="","",IF(J74&gt;=6,"High",IF(J74&gt;=3,"Medium","Low")))</f>
        <v/>
      </c>
      <c r="L74" s="15"/>
      <c r="M74" s="15"/>
      <c r="N74" s="15"/>
      <c r="O74" s="15"/>
      <c r="P74" s="16" t="str">
        <f aca="false">IF(A74="","",IF(OR(B74="",E74="",D74=""),"BP-ID, category, statement needed",IF(COUNTIF(Ref_BP!$A$2:$A$101,B74)=0,"BP-ID not in W03",IF(ISERROR(SEARCH("There is a risk that",E74)),"Use the risk statement formula",IF(AND(L74="Y",F74=""),"Assertion needed for SOX risk",IF(AND(L74="Y",G74=""),"Risk owner or TBC needed","OK"))))))</f>
        <v/>
      </c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6" t="str">
        <f aca="false">IF(OR(H75="",I75=""),"",H75*I75)</f>
        <v/>
      </c>
      <c r="K75" s="16" t="str">
        <f aca="false">IF(J75="","",IF(J75&gt;=6,"High",IF(J75&gt;=3,"Medium","Low")))</f>
        <v/>
      </c>
      <c r="L75" s="15"/>
      <c r="M75" s="15"/>
      <c r="N75" s="15"/>
      <c r="O75" s="15"/>
      <c r="P75" s="16" t="str">
        <f aca="false">IF(A75="","",IF(OR(B75="",E75="",D75=""),"BP-ID, category, statement needed",IF(COUNTIF(Ref_BP!$A$2:$A$101,B75)=0,"BP-ID not in W03",IF(ISERROR(SEARCH("There is a risk that",E75)),"Use the risk statement formula",IF(AND(L75="Y",F75=""),"Assertion needed for SOX risk",IF(AND(L75="Y",G75=""),"Risk owner or TBC needed","OK"))))))</f>
        <v/>
      </c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6" t="str">
        <f aca="false">IF(OR(H76="",I76=""),"",H76*I76)</f>
        <v/>
      </c>
      <c r="K76" s="16" t="str">
        <f aca="false">IF(J76="","",IF(J76&gt;=6,"High",IF(J76&gt;=3,"Medium","Low")))</f>
        <v/>
      </c>
      <c r="L76" s="15"/>
      <c r="M76" s="15"/>
      <c r="N76" s="15"/>
      <c r="O76" s="15"/>
      <c r="P76" s="16" t="str">
        <f aca="false">IF(A76="","",IF(OR(B76="",E76="",D76=""),"BP-ID, category, statement needed",IF(COUNTIF(Ref_BP!$A$2:$A$101,B76)=0,"BP-ID not in W03",IF(ISERROR(SEARCH("There is a risk that",E76)),"Use the risk statement formula",IF(AND(L76="Y",F76=""),"Assertion needed for SOX risk",IF(AND(L76="Y",G76=""),"Risk owner or TBC needed","OK"))))))</f>
        <v/>
      </c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6" t="str">
        <f aca="false">IF(OR(H77="",I77=""),"",H77*I77)</f>
        <v/>
      </c>
      <c r="K77" s="16" t="str">
        <f aca="false">IF(J77="","",IF(J77&gt;=6,"High",IF(J77&gt;=3,"Medium","Low")))</f>
        <v/>
      </c>
      <c r="L77" s="15"/>
      <c r="M77" s="15"/>
      <c r="N77" s="15"/>
      <c r="O77" s="15"/>
      <c r="P77" s="16" t="str">
        <f aca="false">IF(A77="","",IF(OR(B77="",E77="",D77=""),"BP-ID, category, statement needed",IF(COUNTIF(Ref_BP!$A$2:$A$101,B77)=0,"BP-ID not in W03",IF(ISERROR(SEARCH("There is a risk that",E77)),"Use the risk statement formula",IF(AND(L77="Y",F77=""),"Assertion needed for SOX risk",IF(AND(L77="Y",G77=""),"Risk owner or TBC needed","OK"))))))</f>
        <v/>
      </c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6" t="str">
        <f aca="false">IF(OR(H78="",I78=""),"",H78*I78)</f>
        <v/>
      </c>
      <c r="K78" s="16" t="str">
        <f aca="false">IF(J78="","",IF(J78&gt;=6,"High",IF(J78&gt;=3,"Medium","Low")))</f>
        <v/>
      </c>
      <c r="L78" s="15"/>
      <c r="M78" s="15"/>
      <c r="N78" s="15"/>
      <c r="O78" s="15"/>
      <c r="P78" s="16" t="str">
        <f aca="false">IF(A78="","",IF(OR(B78="",E78="",D78=""),"BP-ID, category, statement needed",IF(COUNTIF(Ref_BP!$A$2:$A$101,B78)=0,"BP-ID not in W03",IF(ISERROR(SEARCH("There is a risk that",E78)),"Use the risk statement formula",IF(AND(L78="Y",F78=""),"Assertion needed for SOX risk",IF(AND(L78="Y",G78=""),"Risk owner or TBC needed","OK"))))))</f>
        <v/>
      </c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6" t="str">
        <f aca="false">IF(OR(H79="",I79=""),"",H79*I79)</f>
        <v/>
      </c>
      <c r="K79" s="16" t="str">
        <f aca="false">IF(J79="","",IF(J79&gt;=6,"High",IF(J79&gt;=3,"Medium","Low")))</f>
        <v/>
      </c>
      <c r="L79" s="15"/>
      <c r="M79" s="15"/>
      <c r="N79" s="15"/>
      <c r="O79" s="15"/>
      <c r="P79" s="16" t="str">
        <f aca="false">IF(A79="","",IF(OR(B79="",E79="",D79=""),"BP-ID, category, statement needed",IF(COUNTIF(Ref_BP!$A$2:$A$101,B79)=0,"BP-ID not in W03",IF(ISERROR(SEARCH("There is a risk that",E79)),"Use the risk statement formula",IF(AND(L79="Y",F79=""),"Assertion needed for SOX risk",IF(AND(L79="Y",G79=""),"Risk owner or TBC needed","OK"))))))</f>
        <v/>
      </c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6" t="str">
        <f aca="false">IF(OR(H80="",I80=""),"",H80*I80)</f>
        <v/>
      </c>
      <c r="K80" s="16" t="str">
        <f aca="false">IF(J80="","",IF(J80&gt;=6,"High",IF(J80&gt;=3,"Medium","Low")))</f>
        <v/>
      </c>
      <c r="L80" s="15"/>
      <c r="M80" s="15"/>
      <c r="N80" s="15"/>
      <c r="O80" s="15"/>
      <c r="P80" s="16" t="str">
        <f aca="false">IF(A80="","",IF(OR(B80="",E80="",D80=""),"BP-ID, category, statement needed",IF(COUNTIF(Ref_BP!$A$2:$A$101,B80)=0,"BP-ID not in W03",IF(ISERROR(SEARCH("There is a risk that",E80)),"Use the risk statement formula",IF(AND(L80="Y",F80=""),"Assertion needed for SOX risk",IF(AND(L80="Y",G80=""),"Risk owner or TBC needed","OK"))))))</f>
        <v/>
      </c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6" t="str">
        <f aca="false">IF(OR(H81="",I81=""),"",H81*I81)</f>
        <v/>
      </c>
      <c r="K81" s="16" t="str">
        <f aca="false">IF(J81="","",IF(J81&gt;=6,"High",IF(J81&gt;=3,"Medium","Low")))</f>
        <v/>
      </c>
      <c r="L81" s="15"/>
      <c r="M81" s="15"/>
      <c r="N81" s="15"/>
      <c r="O81" s="15"/>
      <c r="P81" s="16" t="str">
        <f aca="false">IF(A81="","",IF(OR(B81="",E81="",D81=""),"BP-ID, category, statement needed",IF(COUNTIF(Ref_BP!$A$2:$A$101,B81)=0,"BP-ID not in W03",IF(ISERROR(SEARCH("There is a risk that",E81)),"Use the risk statement formula",IF(AND(L81="Y",F81=""),"Assertion needed for SOX risk",IF(AND(L81="Y",G81=""),"Risk owner or TBC needed","OK"))))))</f>
        <v/>
      </c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6" t="str">
        <f aca="false">IF(OR(H82="",I82=""),"",H82*I82)</f>
        <v/>
      </c>
      <c r="K82" s="16" t="str">
        <f aca="false">IF(J82="","",IF(J82&gt;=6,"High",IF(J82&gt;=3,"Medium","Low")))</f>
        <v/>
      </c>
      <c r="L82" s="15"/>
      <c r="M82" s="15"/>
      <c r="N82" s="15"/>
      <c r="O82" s="15"/>
      <c r="P82" s="16" t="str">
        <f aca="false">IF(A82="","",IF(OR(B82="",E82="",D82=""),"BP-ID, category, statement needed",IF(COUNTIF(Ref_BP!$A$2:$A$101,B82)=0,"BP-ID not in W03",IF(ISERROR(SEARCH("There is a risk that",E82)),"Use the risk statement formula",IF(AND(L82="Y",F82=""),"Assertion needed for SOX risk",IF(AND(L82="Y",G82=""),"Risk owner or TBC needed","OK"))))))</f>
        <v/>
      </c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6" t="str">
        <f aca="false">IF(OR(H83="",I83=""),"",H83*I83)</f>
        <v/>
      </c>
      <c r="K83" s="16" t="str">
        <f aca="false">IF(J83="","",IF(J83&gt;=6,"High",IF(J83&gt;=3,"Medium","Low")))</f>
        <v/>
      </c>
      <c r="L83" s="15"/>
      <c r="M83" s="15"/>
      <c r="N83" s="15"/>
      <c r="O83" s="15"/>
      <c r="P83" s="16" t="str">
        <f aca="false">IF(A83="","",IF(OR(B83="",E83="",D83=""),"BP-ID, category, statement needed",IF(COUNTIF(Ref_BP!$A$2:$A$101,B83)=0,"BP-ID not in W03",IF(ISERROR(SEARCH("There is a risk that",E83)),"Use the risk statement formula",IF(AND(L83="Y",F83=""),"Assertion needed for SOX risk",IF(AND(L83="Y",G83=""),"Risk owner or TBC needed","OK"))))))</f>
        <v/>
      </c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6" t="str">
        <f aca="false">IF(OR(H84="",I84=""),"",H84*I84)</f>
        <v/>
      </c>
      <c r="K84" s="16" t="str">
        <f aca="false">IF(J84="","",IF(J84&gt;=6,"High",IF(J84&gt;=3,"Medium","Low")))</f>
        <v/>
      </c>
      <c r="L84" s="15"/>
      <c r="M84" s="15"/>
      <c r="N84" s="15"/>
      <c r="O84" s="15"/>
      <c r="P84" s="16" t="str">
        <f aca="false">IF(A84="","",IF(OR(B84="",E84="",D84=""),"BP-ID, category, statement needed",IF(COUNTIF(Ref_BP!$A$2:$A$101,B84)=0,"BP-ID not in W03",IF(ISERROR(SEARCH("There is a risk that",E84)),"Use the risk statement formula",IF(AND(L84="Y",F84=""),"Assertion needed for SOX risk",IF(AND(L84="Y",G84=""),"Risk owner or TBC needed","OK"))))))</f>
        <v/>
      </c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6" t="str">
        <f aca="false">IF(OR(H85="",I85=""),"",H85*I85)</f>
        <v/>
      </c>
      <c r="K85" s="16" t="str">
        <f aca="false">IF(J85="","",IF(J85&gt;=6,"High",IF(J85&gt;=3,"Medium","Low")))</f>
        <v/>
      </c>
      <c r="L85" s="15"/>
      <c r="M85" s="15"/>
      <c r="N85" s="15"/>
      <c r="O85" s="15"/>
      <c r="P85" s="16" t="str">
        <f aca="false">IF(A85="","",IF(OR(B85="",E85="",D85=""),"BP-ID, category, statement needed",IF(COUNTIF(Ref_BP!$A$2:$A$101,B85)=0,"BP-ID not in W03",IF(ISERROR(SEARCH("There is a risk that",E85)),"Use the risk statement formula",IF(AND(L85="Y",F85=""),"Assertion needed for SOX risk",IF(AND(L85="Y",G85=""),"Risk owner or TBC needed","OK"))))))</f>
        <v/>
      </c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6" t="str">
        <f aca="false">IF(OR(H86="",I86=""),"",H86*I86)</f>
        <v/>
      </c>
      <c r="K86" s="16" t="str">
        <f aca="false">IF(J86="","",IF(J86&gt;=6,"High",IF(J86&gt;=3,"Medium","Low")))</f>
        <v/>
      </c>
      <c r="L86" s="15"/>
      <c r="M86" s="15"/>
      <c r="N86" s="15"/>
      <c r="O86" s="15"/>
      <c r="P86" s="16" t="str">
        <f aca="false">IF(A86="","",IF(OR(B86="",E86="",D86=""),"BP-ID, category, statement needed",IF(COUNTIF(Ref_BP!$A$2:$A$101,B86)=0,"BP-ID not in W03",IF(ISERROR(SEARCH("There is a risk that",E86)),"Use the risk statement formula",IF(AND(L86="Y",F86=""),"Assertion needed for SOX risk",IF(AND(L86="Y",G86=""),"Risk owner or TBC needed","OK"))))))</f>
        <v/>
      </c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6" t="str">
        <f aca="false">IF(OR(H87="",I87=""),"",H87*I87)</f>
        <v/>
      </c>
      <c r="K87" s="16" t="str">
        <f aca="false">IF(J87="","",IF(J87&gt;=6,"High",IF(J87&gt;=3,"Medium","Low")))</f>
        <v/>
      </c>
      <c r="L87" s="15"/>
      <c r="M87" s="15"/>
      <c r="N87" s="15"/>
      <c r="O87" s="15"/>
      <c r="P87" s="16" t="str">
        <f aca="false">IF(A87="","",IF(OR(B87="",E87="",D87=""),"BP-ID, category, statement needed",IF(COUNTIF(Ref_BP!$A$2:$A$101,B87)=0,"BP-ID not in W03",IF(ISERROR(SEARCH("There is a risk that",E87)),"Use the risk statement formula",IF(AND(L87="Y",F87=""),"Assertion needed for SOX risk",IF(AND(L87="Y",G87=""),"Risk owner or TBC needed","OK"))))))</f>
        <v/>
      </c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6" t="str">
        <f aca="false">IF(OR(H88="",I88=""),"",H88*I88)</f>
        <v/>
      </c>
      <c r="K88" s="16" t="str">
        <f aca="false">IF(J88="","",IF(J88&gt;=6,"High",IF(J88&gt;=3,"Medium","Low")))</f>
        <v/>
      </c>
      <c r="L88" s="15"/>
      <c r="M88" s="15"/>
      <c r="N88" s="15"/>
      <c r="O88" s="15"/>
      <c r="P88" s="16" t="str">
        <f aca="false">IF(A88="","",IF(OR(B88="",E88="",D88=""),"BP-ID, category, statement needed",IF(COUNTIF(Ref_BP!$A$2:$A$101,B88)=0,"BP-ID not in W03",IF(ISERROR(SEARCH("There is a risk that",E88)),"Use the risk statement formula",IF(AND(L88="Y",F88=""),"Assertion needed for SOX risk",IF(AND(L88="Y",G88=""),"Risk owner or TBC needed","OK"))))))</f>
        <v/>
      </c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6" t="str">
        <f aca="false">IF(OR(H89="",I89=""),"",H89*I89)</f>
        <v/>
      </c>
      <c r="K89" s="16" t="str">
        <f aca="false">IF(J89="","",IF(J89&gt;=6,"High",IF(J89&gt;=3,"Medium","Low")))</f>
        <v/>
      </c>
      <c r="L89" s="15"/>
      <c r="M89" s="15"/>
      <c r="N89" s="15"/>
      <c r="O89" s="15"/>
      <c r="P89" s="16" t="str">
        <f aca="false">IF(A89="","",IF(OR(B89="",E89="",D89=""),"BP-ID, category, statement needed",IF(COUNTIF(Ref_BP!$A$2:$A$101,B89)=0,"BP-ID not in W03",IF(ISERROR(SEARCH("There is a risk that",E89)),"Use the risk statement formula",IF(AND(L89="Y",F89=""),"Assertion needed for SOX risk",IF(AND(L89="Y",G89=""),"Risk owner or TBC needed","OK"))))))</f>
        <v/>
      </c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6" t="str">
        <f aca="false">IF(OR(H90="",I90=""),"",H90*I90)</f>
        <v/>
      </c>
      <c r="K90" s="16" t="str">
        <f aca="false">IF(J90="","",IF(J90&gt;=6,"High",IF(J90&gt;=3,"Medium","Low")))</f>
        <v/>
      </c>
      <c r="L90" s="15"/>
      <c r="M90" s="15"/>
      <c r="N90" s="15"/>
      <c r="O90" s="15"/>
      <c r="P90" s="16" t="str">
        <f aca="false">IF(A90="","",IF(OR(B90="",E90="",D90=""),"BP-ID, category, statement needed",IF(COUNTIF(Ref_BP!$A$2:$A$101,B90)=0,"BP-ID not in W03",IF(ISERROR(SEARCH("There is a risk that",E90)),"Use the risk statement formula",IF(AND(L90="Y",F90=""),"Assertion needed for SOX risk",IF(AND(L90="Y",G90=""),"Risk owner or TBC needed","OK"))))))</f>
        <v/>
      </c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6" t="str">
        <f aca="false">IF(OR(H91="",I91=""),"",H91*I91)</f>
        <v/>
      </c>
      <c r="K91" s="16" t="str">
        <f aca="false">IF(J91="","",IF(J91&gt;=6,"High",IF(J91&gt;=3,"Medium","Low")))</f>
        <v/>
      </c>
      <c r="L91" s="15"/>
      <c r="M91" s="15"/>
      <c r="N91" s="15"/>
      <c r="O91" s="15"/>
      <c r="P91" s="16" t="str">
        <f aca="false">IF(A91="","",IF(OR(B91="",E91="",D91=""),"BP-ID, category, statement needed",IF(COUNTIF(Ref_BP!$A$2:$A$101,B91)=0,"BP-ID not in W03",IF(ISERROR(SEARCH("There is a risk that",E91)),"Use the risk statement formula",IF(AND(L91="Y",F91=""),"Assertion needed for SOX risk",IF(AND(L91="Y",G91=""),"Risk owner or TBC needed","OK"))))))</f>
        <v/>
      </c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6" t="str">
        <f aca="false">IF(OR(H92="",I92=""),"",H92*I92)</f>
        <v/>
      </c>
      <c r="K92" s="16" t="str">
        <f aca="false">IF(J92="","",IF(J92&gt;=6,"High",IF(J92&gt;=3,"Medium","Low")))</f>
        <v/>
      </c>
      <c r="L92" s="15"/>
      <c r="M92" s="15"/>
      <c r="N92" s="15"/>
      <c r="O92" s="15"/>
      <c r="P92" s="16" t="str">
        <f aca="false">IF(A92="","",IF(OR(B92="",E92="",D92=""),"BP-ID, category, statement needed",IF(COUNTIF(Ref_BP!$A$2:$A$101,B92)=0,"BP-ID not in W03",IF(ISERROR(SEARCH("There is a risk that",E92)),"Use the risk statement formula",IF(AND(L92="Y",F92=""),"Assertion needed for SOX risk",IF(AND(L92="Y",G92=""),"Risk owner or TBC needed","OK"))))))</f>
        <v/>
      </c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6" t="str">
        <f aca="false">IF(OR(H93="",I93=""),"",H93*I93)</f>
        <v/>
      </c>
      <c r="K93" s="16" t="str">
        <f aca="false">IF(J93="","",IF(J93&gt;=6,"High",IF(J93&gt;=3,"Medium","Low")))</f>
        <v/>
      </c>
      <c r="L93" s="15"/>
      <c r="M93" s="15"/>
      <c r="N93" s="15"/>
      <c r="O93" s="15"/>
      <c r="P93" s="16" t="str">
        <f aca="false">IF(A93="","",IF(OR(B93="",E93="",D93=""),"BP-ID, category, statement needed",IF(COUNTIF(Ref_BP!$A$2:$A$101,B93)=0,"BP-ID not in W03",IF(ISERROR(SEARCH("There is a risk that",E93)),"Use the risk statement formula",IF(AND(L93="Y",F93=""),"Assertion needed for SOX risk",IF(AND(L93="Y",G93=""),"Risk owner or TBC needed","OK"))))))</f>
        <v/>
      </c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6" t="str">
        <f aca="false">IF(OR(H94="",I94=""),"",H94*I94)</f>
        <v/>
      </c>
      <c r="K94" s="16" t="str">
        <f aca="false">IF(J94="","",IF(J94&gt;=6,"High",IF(J94&gt;=3,"Medium","Low")))</f>
        <v/>
      </c>
      <c r="L94" s="15"/>
      <c r="M94" s="15"/>
      <c r="N94" s="15"/>
      <c r="O94" s="15"/>
      <c r="P94" s="16" t="str">
        <f aca="false">IF(A94="","",IF(OR(B94="",E94="",D94=""),"BP-ID, category, statement needed",IF(COUNTIF(Ref_BP!$A$2:$A$101,B94)=0,"BP-ID not in W03",IF(ISERROR(SEARCH("There is a risk that",E94)),"Use the risk statement formula",IF(AND(L94="Y",F94=""),"Assertion needed for SOX risk",IF(AND(L94="Y",G94=""),"Risk owner or TBC needed","OK"))))))</f>
        <v/>
      </c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6" t="str">
        <f aca="false">IF(OR(H95="",I95=""),"",H95*I95)</f>
        <v/>
      </c>
      <c r="K95" s="16" t="str">
        <f aca="false">IF(J95="","",IF(J95&gt;=6,"High",IF(J95&gt;=3,"Medium","Low")))</f>
        <v/>
      </c>
      <c r="L95" s="15"/>
      <c r="M95" s="15"/>
      <c r="N95" s="15"/>
      <c r="O95" s="15"/>
      <c r="P95" s="16" t="str">
        <f aca="false">IF(A95="","",IF(OR(B95="",E95="",D95=""),"BP-ID, category, statement needed",IF(COUNTIF(Ref_BP!$A$2:$A$101,B95)=0,"BP-ID not in W03",IF(ISERROR(SEARCH("There is a risk that",E95)),"Use the risk statement formula",IF(AND(L95="Y",F95=""),"Assertion needed for SOX risk",IF(AND(L95="Y",G95=""),"Risk owner or TBC needed","OK"))))))</f>
        <v/>
      </c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6" t="str">
        <f aca="false">IF(OR(H96="",I96=""),"",H96*I96)</f>
        <v/>
      </c>
      <c r="K96" s="16" t="str">
        <f aca="false">IF(J96="","",IF(J96&gt;=6,"High",IF(J96&gt;=3,"Medium","Low")))</f>
        <v/>
      </c>
      <c r="L96" s="15"/>
      <c r="M96" s="15"/>
      <c r="N96" s="15"/>
      <c r="O96" s="15"/>
      <c r="P96" s="16" t="str">
        <f aca="false">IF(A96="","",IF(OR(B96="",E96="",D96=""),"BP-ID, category, statement needed",IF(COUNTIF(Ref_BP!$A$2:$A$101,B96)=0,"BP-ID not in W03",IF(ISERROR(SEARCH("There is a risk that",E96)),"Use the risk statement formula",IF(AND(L96="Y",F96=""),"Assertion needed for SOX risk",IF(AND(L96="Y",G96=""),"Risk owner or TBC needed","OK"))))))</f>
        <v/>
      </c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6" t="str">
        <f aca="false">IF(OR(H97="",I97=""),"",H97*I97)</f>
        <v/>
      </c>
      <c r="K97" s="16" t="str">
        <f aca="false">IF(J97="","",IF(J97&gt;=6,"High",IF(J97&gt;=3,"Medium","Low")))</f>
        <v/>
      </c>
      <c r="L97" s="15"/>
      <c r="M97" s="15"/>
      <c r="N97" s="15"/>
      <c r="O97" s="15"/>
      <c r="P97" s="16" t="str">
        <f aca="false">IF(A97="","",IF(OR(B97="",E97="",D97=""),"BP-ID, category, statement needed",IF(COUNTIF(Ref_BP!$A$2:$A$101,B97)=0,"BP-ID not in W03",IF(ISERROR(SEARCH("There is a risk that",E97)),"Use the risk statement formula",IF(AND(L97="Y",F97=""),"Assertion needed for SOX risk",IF(AND(L97="Y",G97=""),"Risk owner or TBC needed","OK"))))))</f>
        <v/>
      </c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6" t="str">
        <f aca="false">IF(OR(H98="",I98=""),"",H98*I98)</f>
        <v/>
      </c>
      <c r="K98" s="16" t="str">
        <f aca="false">IF(J98="","",IF(J98&gt;=6,"High",IF(J98&gt;=3,"Medium","Low")))</f>
        <v/>
      </c>
      <c r="L98" s="15"/>
      <c r="M98" s="15"/>
      <c r="N98" s="15"/>
      <c r="O98" s="15"/>
      <c r="P98" s="16" t="str">
        <f aca="false">IF(A98="","",IF(OR(B98="",E98="",D98=""),"BP-ID, category, statement needed",IF(COUNTIF(Ref_BP!$A$2:$A$101,B98)=0,"BP-ID not in W03",IF(ISERROR(SEARCH("There is a risk that",E98)),"Use the risk statement formula",IF(AND(L98="Y",F98=""),"Assertion needed for SOX risk",IF(AND(L98="Y",G98=""),"Risk owner or TBC needed","OK"))))))</f>
        <v/>
      </c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6" t="str">
        <f aca="false">IF(OR(H99="",I99=""),"",H99*I99)</f>
        <v/>
      </c>
      <c r="K99" s="16" t="str">
        <f aca="false">IF(J99="","",IF(J99&gt;=6,"High",IF(J99&gt;=3,"Medium","Low")))</f>
        <v/>
      </c>
      <c r="L99" s="15"/>
      <c r="M99" s="15"/>
      <c r="N99" s="15"/>
      <c r="O99" s="15"/>
      <c r="P99" s="16" t="str">
        <f aca="false">IF(A99="","",IF(OR(B99="",E99="",D99=""),"BP-ID, category, statement needed",IF(COUNTIF(Ref_BP!$A$2:$A$101,B99)=0,"BP-ID not in W03",IF(ISERROR(SEARCH("There is a risk that",E99)),"Use the risk statement formula",IF(AND(L99="Y",F99=""),"Assertion needed for SOX risk",IF(AND(L99="Y",G99=""),"Risk owner or TBC needed","OK"))))))</f>
        <v/>
      </c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6" t="str">
        <f aca="false">IF(OR(H100="",I100=""),"",H100*I100)</f>
        <v/>
      </c>
      <c r="K100" s="16" t="str">
        <f aca="false">IF(J100="","",IF(J100&gt;=6,"High",IF(J100&gt;=3,"Medium","Low")))</f>
        <v/>
      </c>
      <c r="L100" s="15"/>
      <c r="M100" s="15"/>
      <c r="N100" s="15"/>
      <c r="O100" s="15"/>
      <c r="P100" s="16" t="str">
        <f aca="false">IF(A100="","",IF(OR(B100="",E100="",D100=""),"BP-ID, category, statement needed",IF(COUNTIF(Ref_BP!$A$2:$A$101,B100)=0,"BP-ID not in W03",IF(ISERROR(SEARCH("There is a risk that",E100)),"Use the risk statement formula",IF(AND(L100="Y",F100=""),"Assertion needed for SOX risk",IF(AND(L100="Y",G100=""),"Risk owner or TBC needed","OK"))))))</f>
        <v/>
      </c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6" t="str">
        <f aca="false">IF(OR(H101="",I101=""),"",H101*I101)</f>
        <v/>
      </c>
      <c r="K101" s="16" t="str">
        <f aca="false">IF(J101="","",IF(J101&gt;=6,"High",IF(J101&gt;=3,"Medium","Low")))</f>
        <v/>
      </c>
      <c r="L101" s="15"/>
      <c r="M101" s="15"/>
      <c r="N101" s="15"/>
      <c r="O101" s="15"/>
      <c r="P101" s="16" t="str">
        <f aca="false">IF(A101="","",IF(OR(B101="",E101="",D101=""),"BP-ID, category, statement needed",IF(COUNTIF(Ref_BP!$A$2:$A$101,B101)=0,"BP-ID not in W03",IF(ISERROR(SEARCH("There is a risk that",E101)),"Use the risk statement formula",IF(AND(L101="Y",F101=""),"Assertion needed for SOX risk",IF(AND(L101="Y",G101=""),"Risk owner or TBC needed","OK"))))))</f>
        <v/>
      </c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6" t="str">
        <f aca="false">IF(OR(H102="",I102=""),"",H102*I102)</f>
        <v/>
      </c>
      <c r="K102" s="16" t="str">
        <f aca="false">IF(J102="","",IF(J102&gt;=6,"High",IF(J102&gt;=3,"Medium","Low")))</f>
        <v/>
      </c>
      <c r="L102" s="15"/>
      <c r="M102" s="15"/>
      <c r="N102" s="15"/>
      <c r="O102" s="15"/>
      <c r="P102" s="16" t="str">
        <f aca="false">IF(A102="","",IF(OR(B102="",E102="",D102=""),"BP-ID, category, statement needed",IF(COUNTIF(Ref_BP!$A$2:$A$101,B102)=0,"BP-ID not in W03",IF(ISERROR(SEARCH("There is a risk that",E102)),"Use the risk statement formula",IF(AND(L102="Y",F102=""),"Assertion needed for SOX risk",IF(AND(L102="Y",G102=""),"Risk owner or TBC needed","OK"))))))</f>
        <v/>
      </c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6" t="str">
        <f aca="false">IF(OR(H103="",I103=""),"",H103*I103)</f>
        <v/>
      </c>
      <c r="K103" s="16" t="str">
        <f aca="false">IF(J103="","",IF(J103&gt;=6,"High",IF(J103&gt;=3,"Medium","Low")))</f>
        <v/>
      </c>
      <c r="L103" s="15"/>
      <c r="M103" s="15"/>
      <c r="N103" s="15"/>
      <c r="O103" s="15"/>
      <c r="P103" s="16" t="str">
        <f aca="false">IF(A103="","",IF(OR(B103="",E103="",D103=""),"BP-ID, category, statement needed",IF(COUNTIF(Ref_BP!$A$2:$A$101,B103)=0,"BP-ID not in W03",IF(ISERROR(SEARCH("There is a risk that",E103)),"Use the risk statement formula",IF(AND(L103="Y",F103=""),"Assertion needed for SOX risk",IF(AND(L103="Y",G103=""),"Risk owner or TBC needed","OK"))))))</f>
        <v/>
      </c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6" t="str">
        <f aca="false">IF(OR(H104="",I104=""),"",H104*I104)</f>
        <v/>
      </c>
      <c r="K104" s="16" t="str">
        <f aca="false">IF(J104="","",IF(J104&gt;=6,"High",IF(J104&gt;=3,"Medium","Low")))</f>
        <v/>
      </c>
      <c r="L104" s="15"/>
      <c r="M104" s="15"/>
      <c r="N104" s="15"/>
      <c r="O104" s="15"/>
      <c r="P104" s="16" t="str">
        <f aca="false">IF(A104="","",IF(OR(B104="",E104="",D104=""),"BP-ID, category, statement needed",IF(COUNTIF(Ref_BP!$A$2:$A$101,B104)=0,"BP-ID not in W03",IF(ISERROR(SEARCH("There is a risk that",E104)),"Use the risk statement formula",IF(AND(L104="Y",F104=""),"Assertion needed for SOX risk",IF(AND(L104="Y",G104=""),"Risk owner or TBC needed","OK"))))))</f>
        <v/>
      </c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6" t="str">
        <f aca="false">IF(OR(H105="",I105=""),"",H105*I105)</f>
        <v/>
      </c>
      <c r="K105" s="16" t="str">
        <f aca="false">IF(J105="","",IF(J105&gt;=6,"High",IF(J105&gt;=3,"Medium","Low")))</f>
        <v/>
      </c>
      <c r="L105" s="15"/>
      <c r="M105" s="15"/>
      <c r="N105" s="15"/>
      <c r="O105" s="15"/>
      <c r="P105" s="16" t="str">
        <f aca="false">IF(A105="","",IF(OR(B105="",E105="",D105=""),"BP-ID, category, statement needed",IF(COUNTIF(Ref_BP!$A$2:$A$101,B105)=0,"BP-ID not in W03",IF(ISERROR(SEARCH("There is a risk that",E105)),"Use the risk statement formula",IF(AND(L105="Y",F105=""),"Assertion needed for SOX risk",IF(AND(L105="Y",G105=""),"Risk owner or TBC needed","OK"))))))</f>
        <v/>
      </c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6" t="str">
        <f aca="false">IF(OR(H106="",I106=""),"",H106*I106)</f>
        <v/>
      </c>
      <c r="K106" s="16" t="str">
        <f aca="false">IF(J106="","",IF(J106&gt;=6,"High",IF(J106&gt;=3,"Medium","Low")))</f>
        <v/>
      </c>
      <c r="L106" s="15"/>
      <c r="M106" s="15"/>
      <c r="N106" s="15"/>
      <c r="O106" s="15"/>
      <c r="P106" s="16" t="str">
        <f aca="false">IF(A106="","",IF(OR(B106="",E106="",D106=""),"BP-ID, category, statement needed",IF(COUNTIF(Ref_BP!$A$2:$A$101,B106)=0,"BP-ID not in W03",IF(ISERROR(SEARCH("There is a risk that",E106)),"Use the risk statement formula",IF(AND(L106="Y",F106=""),"Assertion needed for SOX risk",IF(AND(L106="Y",G106=""),"Risk owner or TBC needed","OK"))))))</f>
        <v/>
      </c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6" t="str">
        <f aca="false">IF(OR(H107="",I107=""),"",H107*I107)</f>
        <v/>
      </c>
      <c r="K107" s="16" t="str">
        <f aca="false">IF(J107="","",IF(J107&gt;=6,"High",IF(J107&gt;=3,"Medium","Low")))</f>
        <v/>
      </c>
      <c r="L107" s="15"/>
      <c r="M107" s="15"/>
      <c r="N107" s="15"/>
      <c r="O107" s="15"/>
      <c r="P107" s="16" t="str">
        <f aca="false">IF(A107="","",IF(OR(B107="",E107="",D107=""),"BP-ID, category, statement needed",IF(COUNTIF(Ref_BP!$A$2:$A$101,B107)=0,"BP-ID not in W03",IF(ISERROR(SEARCH("There is a risk that",E107)),"Use the risk statement formula",IF(AND(L107="Y",F107=""),"Assertion needed for SOX risk",IF(AND(L107="Y",G107=""),"Risk owner or TBC needed","OK"))))))</f>
        <v/>
      </c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6" t="str">
        <f aca="false">IF(OR(H108="",I108=""),"",H108*I108)</f>
        <v/>
      </c>
      <c r="K108" s="16" t="str">
        <f aca="false">IF(J108="","",IF(J108&gt;=6,"High",IF(J108&gt;=3,"Medium","Low")))</f>
        <v/>
      </c>
      <c r="L108" s="15"/>
      <c r="M108" s="15"/>
      <c r="N108" s="15"/>
      <c r="O108" s="15"/>
      <c r="P108" s="16" t="str">
        <f aca="false">IF(A108="","",IF(OR(B108="",E108="",D108=""),"BP-ID, category, statement needed",IF(COUNTIF(Ref_BP!$A$2:$A$101,B108)=0,"BP-ID not in W03",IF(ISERROR(SEARCH("There is a risk that",E108)),"Use the risk statement formula",IF(AND(L108="Y",F108=""),"Assertion needed for SOX risk",IF(AND(L108="Y",G108=""),"Risk owner or TBC needed","OK"))))))</f>
        <v/>
      </c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6" t="str">
        <f aca="false">IF(OR(H109="",I109=""),"",H109*I109)</f>
        <v/>
      </c>
      <c r="K109" s="16" t="str">
        <f aca="false">IF(J109="","",IF(J109&gt;=6,"High",IF(J109&gt;=3,"Medium","Low")))</f>
        <v/>
      </c>
      <c r="L109" s="15"/>
      <c r="M109" s="15"/>
      <c r="N109" s="15"/>
      <c r="O109" s="15"/>
      <c r="P109" s="16" t="str">
        <f aca="false">IF(A109="","",IF(OR(B109="",E109="",D109=""),"BP-ID, category, statement needed",IF(COUNTIF(Ref_BP!$A$2:$A$101,B109)=0,"BP-ID not in W03",IF(ISERROR(SEARCH("There is a risk that",E109)),"Use the risk statement formula",IF(AND(L109="Y",F109=""),"Assertion needed for SOX risk",IF(AND(L109="Y",G109=""),"Risk owner or TBC needed","OK"))))))</f>
        <v/>
      </c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6" t="str">
        <f aca="false">IF(OR(H110="",I110=""),"",H110*I110)</f>
        <v/>
      </c>
      <c r="K110" s="16" t="str">
        <f aca="false">IF(J110="","",IF(J110&gt;=6,"High",IF(J110&gt;=3,"Medium","Low")))</f>
        <v/>
      </c>
      <c r="L110" s="15"/>
      <c r="M110" s="15"/>
      <c r="N110" s="15"/>
      <c r="O110" s="15"/>
      <c r="P110" s="16" t="str">
        <f aca="false">IF(A110="","",IF(OR(B110="",E110="",D110=""),"BP-ID, category, statement needed",IF(COUNTIF(Ref_BP!$A$2:$A$101,B110)=0,"BP-ID not in W03",IF(ISERROR(SEARCH("There is a risk that",E110)),"Use the risk statement formula",IF(AND(L110="Y",F110=""),"Assertion needed for SOX risk",IF(AND(L110="Y",G110=""),"Risk owner or TBC needed","OK"))))))</f>
        <v/>
      </c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6" t="str">
        <f aca="false">IF(OR(H111="",I111=""),"",H111*I111)</f>
        <v/>
      </c>
      <c r="K111" s="16" t="str">
        <f aca="false">IF(J111="","",IF(J111&gt;=6,"High",IF(J111&gt;=3,"Medium","Low")))</f>
        <v/>
      </c>
      <c r="L111" s="15"/>
      <c r="M111" s="15"/>
      <c r="N111" s="15"/>
      <c r="O111" s="15"/>
      <c r="P111" s="16" t="str">
        <f aca="false">IF(A111="","",IF(OR(B111="",E111="",D111=""),"BP-ID, category, statement needed",IF(COUNTIF(Ref_BP!$A$2:$A$101,B111)=0,"BP-ID not in W03",IF(ISERROR(SEARCH("There is a risk that",E111)),"Use the risk statement formula",IF(AND(L111="Y",F111=""),"Assertion needed for SOX risk",IF(AND(L111="Y",G111=""),"Risk owner or TBC needed","OK"))))))</f>
        <v/>
      </c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6" t="str">
        <f aca="false">IF(OR(H112="",I112=""),"",H112*I112)</f>
        <v/>
      </c>
      <c r="K112" s="16" t="str">
        <f aca="false">IF(J112="","",IF(J112&gt;=6,"High",IF(J112&gt;=3,"Medium","Low")))</f>
        <v/>
      </c>
      <c r="L112" s="15"/>
      <c r="M112" s="15"/>
      <c r="N112" s="15"/>
      <c r="O112" s="15"/>
      <c r="P112" s="16" t="str">
        <f aca="false">IF(A112="","",IF(OR(B112="",E112="",D112=""),"BP-ID, category, statement needed",IF(COUNTIF(Ref_BP!$A$2:$A$101,B112)=0,"BP-ID not in W03",IF(ISERROR(SEARCH("There is a risk that",E112)),"Use the risk statement formula",IF(AND(L112="Y",F112=""),"Assertion needed for SOX risk",IF(AND(L112="Y",G112=""),"Risk owner or TBC needed","OK"))))))</f>
        <v/>
      </c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6" t="str">
        <f aca="false">IF(OR(H113="",I113=""),"",H113*I113)</f>
        <v/>
      </c>
      <c r="K113" s="16" t="str">
        <f aca="false">IF(J113="","",IF(J113&gt;=6,"High",IF(J113&gt;=3,"Medium","Low")))</f>
        <v/>
      </c>
      <c r="L113" s="15"/>
      <c r="M113" s="15"/>
      <c r="N113" s="15"/>
      <c r="O113" s="15"/>
      <c r="P113" s="16" t="str">
        <f aca="false">IF(A113="","",IF(OR(B113="",E113="",D113=""),"BP-ID, category, statement needed",IF(COUNTIF(Ref_BP!$A$2:$A$101,B113)=0,"BP-ID not in W03",IF(ISERROR(SEARCH("There is a risk that",E113)),"Use the risk statement formula",IF(AND(L113="Y",F113=""),"Assertion needed for SOX risk",IF(AND(L113="Y",G113=""),"Risk owner or TBC needed","OK"))))))</f>
        <v/>
      </c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6" t="str">
        <f aca="false">IF(OR(H114="",I114=""),"",H114*I114)</f>
        <v/>
      </c>
      <c r="K114" s="16" t="str">
        <f aca="false">IF(J114="","",IF(J114&gt;=6,"High",IF(J114&gt;=3,"Medium","Low")))</f>
        <v/>
      </c>
      <c r="L114" s="15"/>
      <c r="M114" s="15"/>
      <c r="N114" s="15"/>
      <c r="O114" s="15"/>
      <c r="P114" s="16" t="str">
        <f aca="false">IF(A114="","",IF(OR(B114="",E114="",D114=""),"BP-ID, category, statement needed",IF(COUNTIF(Ref_BP!$A$2:$A$101,B114)=0,"BP-ID not in W03",IF(ISERROR(SEARCH("There is a risk that",E114)),"Use the risk statement formula",IF(AND(L114="Y",F114=""),"Assertion needed for SOX risk",IF(AND(L114="Y",G114=""),"Risk owner or TBC needed","OK"))))))</f>
        <v/>
      </c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6" t="str">
        <f aca="false">IF(OR(H115="",I115=""),"",H115*I115)</f>
        <v/>
      </c>
      <c r="K115" s="16" t="str">
        <f aca="false">IF(J115="","",IF(J115&gt;=6,"High",IF(J115&gt;=3,"Medium","Low")))</f>
        <v/>
      </c>
      <c r="L115" s="15"/>
      <c r="M115" s="15"/>
      <c r="N115" s="15"/>
      <c r="O115" s="15"/>
      <c r="P115" s="16" t="str">
        <f aca="false">IF(A115="","",IF(OR(B115="",E115="",D115=""),"BP-ID, category, statement needed",IF(COUNTIF(Ref_BP!$A$2:$A$101,B115)=0,"BP-ID not in W03",IF(ISERROR(SEARCH("There is a risk that",E115)),"Use the risk statement formula",IF(AND(L115="Y",F115=""),"Assertion needed for SOX risk",IF(AND(L115="Y",G115=""),"Risk owner or TBC needed","OK"))))))</f>
        <v/>
      </c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6" t="str">
        <f aca="false">IF(OR(H116="",I116=""),"",H116*I116)</f>
        <v/>
      </c>
      <c r="K116" s="16" t="str">
        <f aca="false">IF(J116="","",IF(J116&gt;=6,"High",IF(J116&gt;=3,"Medium","Low")))</f>
        <v/>
      </c>
      <c r="L116" s="15"/>
      <c r="M116" s="15"/>
      <c r="N116" s="15"/>
      <c r="O116" s="15"/>
      <c r="P116" s="16" t="str">
        <f aca="false">IF(A116="","",IF(OR(B116="",E116="",D116=""),"BP-ID, category, statement needed",IF(COUNTIF(Ref_BP!$A$2:$A$101,B116)=0,"BP-ID not in W03",IF(ISERROR(SEARCH("There is a risk that",E116)),"Use the risk statement formula",IF(AND(L116="Y",F116=""),"Assertion needed for SOX risk",IF(AND(L116="Y",G116=""),"Risk owner or TBC needed","OK"))))))</f>
        <v/>
      </c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6" t="str">
        <f aca="false">IF(OR(H117="",I117=""),"",H117*I117)</f>
        <v/>
      </c>
      <c r="K117" s="16" t="str">
        <f aca="false">IF(J117="","",IF(J117&gt;=6,"High",IF(J117&gt;=3,"Medium","Low")))</f>
        <v/>
      </c>
      <c r="L117" s="15"/>
      <c r="M117" s="15"/>
      <c r="N117" s="15"/>
      <c r="O117" s="15"/>
      <c r="P117" s="16" t="str">
        <f aca="false">IF(A117="","",IF(OR(B117="",E117="",D117=""),"BP-ID, category, statement needed",IF(COUNTIF(Ref_BP!$A$2:$A$101,B117)=0,"BP-ID not in W03",IF(ISERROR(SEARCH("There is a risk that",E117)),"Use the risk statement formula",IF(AND(L117="Y",F117=""),"Assertion needed for SOX risk",IF(AND(L117="Y",G117=""),"Risk owner or TBC needed","OK"))))))</f>
        <v/>
      </c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6" t="str">
        <f aca="false">IF(OR(H118="",I118=""),"",H118*I118)</f>
        <v/>
      </c>
      <c r="K118" s="16" t="str">
        <f aca="false">IF(J118="","",IF(J118&gt;=6,"High",IF(J118&gt;=3,"Medium","Low")))</f>
        <v/>
      </c>
      <c r="L118" s="15"/>
      <c r="M118" s="15"/>
      <c r="N118" s="15"/>
      <c r="O118" s="15"/>
      <c r="P118" s="16" t="str">
        <f aca="false">IF(A118="","",IF(OR(B118="",E118="",D118=""),"BP-ID, category, statement needed",IF(COUNTIF(Ref_BP!$A$2:$A$101,B118)=0,"BP-ID not in W03",IF(ISERROR(SEARCH("There is a risk that",E118)),"Use the risk statement formula",IF(AND(L118="Y",F118=""),"Assertion needed for SOX risk",IF(AND(L118="Y",G118=""),"Risk owner or TBC needed","OK"))))))</f>
        <v/>
      </c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6" t="str">
        <f aca="false">IF(OR(H119="",I119=""),"",H119*I119)</f>
        <v/>
      </c>
      <c r="K119" s="16" t="str">
        <f aca="false">IF(J119="","",IF(J119&gt;=6,"High",IF(J119&gt;=3,"Medium","Low")))</f>
        <v/>
      </c>
      <c r="L119" s="15"/>
      <c r="M119" s="15"/>
      <c r="N119" s="15"/>
      <c r="O119" s="15"/>
      <c r="P119" s="16" t="str">
        <f aca="false">IF(A119="","",IF(OR(B119="",E119="",D119=""),"BP-ID, category, statement needed",IF(COUNTIF(Ref_BP!$A$2:$A$101,B119)=0,"BP-ID not in W03",IF(ISERROR(SEARCH("There is a risk that",E119)),"Use the risk statement formula",IF(AND(L119="Y",F119=""),"Assertion needed for SOX risk",IF(AND(L119="Y",G119=""),"Risk owner or TBC needed","OK"))))))</f>
        <v/>
      </c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6" t="str">
        <f aca="false">IF(OR(H120="",I120=""),"",H120*I120)</f>
        <v/>
      </c>
      <c r="K120" s="16" t="str">
        <f aca="false">IF(J120="","",IF(J120&gt;=6,"High",IF(J120&gt;=3,"Medium","Low")))</f>
        <v/>
      </c>
      <c r="L120" s="15"/>
      <c r="M120" s="15"/>
      <c r="N120" s="15"/>
      <c r="O120" s="15"/>
      <c r="P120" s="16" t="str">
        <f aca="false">IF(A120="","",IF(OR(B120="",E120="",D120=""),"BP-ID, category, statement needed",IF(COUNTIF(Ref_BP!$A$2:$A$101,B120)=0,"BP-ID not in W03",IF(ISERROR(SEARCH("There is a risk that",E120)),"Use the risk statement formula",IF(AND(L120="Y",F120=""),"Assertion needed for SOX risk",IF(AND(L120="Y",G120=""),"Risk owner or TBC needed","OK"))))))</f>
        <v/>
      </c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6" t="str">
        <f aca="false">IF(OR(H121="",I121=""),"",H121*I121)</f>
        <v/>
      </c>
      <c r="K121" s="16" t="str">
        <f aca="false">IF(J121="","",IF(J121&gt;=6,"High",IF(J121&gt;=3,"Medium","Low")))</f>
        <v/>
      </c>
      <c r="L121" s="15"/>
      <c r="M121" s="15"/>
      <c r="N121" s="15"/>
      <c r="O121" s="15"/>
      <c r="P121" s="16" t="str">
        <f aca="false">IF(A121="","",IF(OR(B121="",E121="",D121=""),"BP-ID, category, statement needed",IF(COUNTIF(Ref_BP!$A$2:$A$101,B121)=0,"BP-ID not in W03",IF(ISERROR(SEARCH("There is a risk that",E121)),"Use the risk statement formula",IF(AND(L121="Y",F121=""),"Assertion needed for SOX risk",IF(AND(L121="Y",G121=""),"Risk owner or TBC needed","OK"))))))</f>
        <v/>
      </c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6" t="str">
        <f aca="false">IF(OR(H122="",I122=""),"",H122*I122)</f>
        <v/>
      </c>
      <c r="K122" s="16" t="str">
        <f aca="false">IF(J122="","",IF(J122&gt;=6,"High",IF(J122&gt;=3,"Medium","Low")))</f>
        <v/>
      </c>
      <c r="L122" s="15"/>
      <c r="M122" s="15"/>
      <c r="N122" s="15"/>
      <c r="O122" s="15"/>
      <c r="P122" s="16" t="str">
        <f aca="false">IF(A122="","",IF(OR(B122="",E122="",D122=""),"BP-ID, category, statement needed",IF(COUNTIF(Ref_BP!$A$2:$A$101,B122)=0,"BP-ID not in W03",IF(ISERROR(SEARCH("There is a risk that",E122)),"Use the risk statement formula",IF(AND(L122="Y",F122=""),"Assertion needed for SOX risk",IF(AND(L122="Y",G122=""),"Risk owner or TBC needed","OK"))))))</f>
        <v/>
      </c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6" t="str">
        <f aca="false">IF(OR(H123="",I123=""),"",H123*I123)</f>
        <v/>
      </c>
      <c r="K123" s="16" t="str">
        <f aca="false">IF(J123="","",IF(J123&gt;=6,"High",IF(J123&gt;=3,"Medium","Low")))</f>
        <v/>
      </c>
      <c r="L123" s="15"/>
      <c r="M123" s="15"/>
      <c r="N123" s="15"/>
      <c r="O123" s="15"/>
      <c r="P123" s="16" t="str">
        <f aca="false">IF(A123="","",IF(OR(B123="",E123="",D123=""),"BP-ID, category, statement needed",IF(COUNTIF(Ref_BP!$A$2:$A$101,B123)=0,"BP-ID not in W03",IF(ISERROR(SEARCH("There is a risk that",E123)),"Use the risk statement formula",IF(AND(L123="Y",F123=""),"Assertion needed for SOX risk",IF(AND(L123="Y",G123=""),"Risk owner or TBC needed","OK"))))))</f>
        <v/>
      </c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6" t="str">
        <f aca="false">IF(OR(H124="",I124=""),"",H124*I124)</f>
        <v/>
      </c>
      <c r="K124" s="16" t="str">
        <f aca="false">IF(J124="","",IF(J124&gt;=6,"High",IF(J124&gt;=3,"Medium","Low")))</f>
        <v/>
      </c>
      <c r="L124" s="15"/>
      <c r="M124" s="15"/>
      <c r="N124" s="15"/>
      <c r="O124" s="15"/>
      <c r="P124" s="16" t="str">
        <f aca="false">IF(A124="","",IF(OR(B124="",E124="",D124=""),"BP-ID, category, statement needed",IF(COUNTIF(Ref_BP!$A$2:$A$101,B124)=0,"BP-ID not in W03",IF(ISERROR(SEARCH("There is a risk that",E124)),"Use the risk statement formula",IF(AND(L124="Y",F124=""),"Assertion needed for SOX risk",IF(AND(L124="Y",G124=""),"Risk owner or TBC needed","OK"))))))</f>
        <v/>
      </c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6" t="str">
        <f aca="false">IF(OR(H125="",I125=""),"",H125*I125)</f>
        <v/>
      </c>
      <c r="K125" s="16" t="str">
        <f aca="false">IF(J125="","",IF(J125&gt;=6,"High",IF(J125&gt;=3,"Medium","Low")))</f>
        <v/>
      </c>
      <c r="L125" s="15"/>
      <c r="M125" s="15"/>
      <c r="N125" s="15"/>
      <c r="O125" s="15"/>
      <c r="P125" s="16" t="str">
        <f aca="false">IF(A125="","",IF(OR(B125="",E125="",D125=""),"BP-ID, category, statement needed",IF(COUNTIF(Ref_BP!$A$2:$A$101,B125)=0,"BP-ID not in W03",IF(ISERROR(SEARCH("There is a risk that",E125)),"Use the risk statement formula",IF(AND(L125="Y",F125=""),"Assertion needed for SOX risk",IF(AND(L125="Y",G125=""),"Risk owner or TBC needed","OK"))))))</f>
        <v/>
      </c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6" t="str">
        <f aca="false">IF(OR(H126="",I126=""),"",H126*I126)</f>
        <v/>
      </c>
      <c r="K126" s="16" t="str">
        <f aca="false">IF(J126="","",IF(J126&gt;=6,"High",IF(J126&gt;=3,"Medium","Low")))</f>
        <v/>
      </c>
      <c r="L126" s="15"/>
      <c r="M126" s="15"/>
      <c r="N126" s="15"/>
      <c r="O126" s="15"/>
      <c r="P126" s="16" t="str">
        <f aca="false">IF(A126="","",IF(OR(B126="",E126="",D126=""),"BP-ID, category, statement needed",IF(COUNTIF(Ref_BP!$A$2:$A$101,B126)=0,"BP-ID not in W03",IF(ISERROR(SEARCH("There is a risk that",E126)),"Use the risk statement formula",IF(AND(L126="Y",F126=""),"Assertion needed for SOX risk",IF(AND(L126="Y",G126=""),"Risk owner or TBC needed","OK"))))))</f>
        <v/>
      </c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6" t="str">
        <f aca="false">IF(OR(H127="",I127=""),"",H127*I127)</f>
        <v/>
      </c>
      <c r="K127" s="16" t="str">
        <f aca="false">IF(J127="","",IF(J127&gt;=6,"High",IF(J127&gt;=3,"Medium","Low")))</f>
        <v/>
      </c>
      <c r="L127" s="15"/>
      <c r="M127" s="15"/>
      <c r="N127" s="15"/>
      <c r="O127" s="15"/>
      <c r="P127" s="16" t="str">
        <f aca="false">IF(A127="","",IF(OR(B127="",E127="",D127=""),"BP-ID, category, statement needed",IF(COUNTIF(Ref_BP!$A$2:$A$101,B127)=0,"BP-ID not in W03",IF(ISERROR(SEARCH("There is a risk that",E127)),"Use the risk statement formula",IF(AND(L127="Y",F127=""),"Assertion needed for SOX risk",IF(AND(L127="Y",G127=""),"Risk owner or TBC needed","OK"))))))</f>
        <v/>
      </c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6" t="str">
        <f aca="false">IF(OR(H128="",I128=""),"",H128*I128)</f>
        <v/>
      </c>
      <c r="K128" s="16" t="str">
        <f aca="false">IF(J128="","",IF(J128&gt;=6,"High",IF(J128&gt;=3,"Medium","Low")))</f>
        <v/>
      </c>
      <c r="L128" s="15"/>
      <c r="M128" s="15"/>
      <c r="N128" s="15"/>
      <c r="O128" s="15"/>
      <c r="P128" s="16" t="str">
        <f aca="false">IF(A128="","",IF(OR(B128="",E128="",D128=""),"BP-ID, category, statement needed",IF(COUNTIF(Ref_BP!$A$2:$A$101,B128)=0,"BP-ID not in W03",IF(ISERROR(SEARCH("There is a risk that",E128)),"Use the risk statement formula",IF(AND(L128="Y",F128=""),"Assertion needed for SOX risk",IF(AND(L128="Y",G128=""),"Risk owner or TBC needed","OK"))))))</f>
        <v/>
      </c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6" t="str">
        <f aca="false">IF(OR(H129="",I129=""),"",H129*I129)</f>
        <v/>
      </c>
      <c r="K129" s="16" t="str">
        <f aca="false">IF(J129="","",IF(J129&gt;=6,"High",IF(J129&gt;=3,"Medium","Low")))</f>
        <v/>
      </c>
      <c r="L129" s="15"/>
      <c r="M129" s="15"/>
      <c r="N129" s="15"/>
      <c r="O129" s="15"/>
      <c r="P129" s="16" t="str">
        <f aca="false">IF(A129="","",IF(OR(B129="",E129="",D129=""),"BP-ID, category, statement needed",IF(COUNTIF(Ref_BP!$A$2:$A$101,B129)=0,"BP-ID not in W03",IF(ISERROR(SEARCH("There is a risk that",E129)),"Use the risk statement formula",IF(AND(L129="Y",F129=""),"Assertion needed for SOX risk",IF(AND(L129="Y",G129=""),"Risk owner or TBC needed","OK"))))))</f>
        <v/>
      </c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6" t="str">
        <f aca="false">IF(OR(H130="",I130=""),"",H130*I130)</f>
        <v/>
      </c>
      <c r="K130" s="16" t="str">
        <f aca="false">IF(J130="","",IF(J130&gt;=6,"High",IF(J130&gt;=3,"Medium","Low")))</f>
        <v/>
      </c>
      <c r="L130" s="15"/>
      <c r="M130" s="15"/>
      <c r="N130" s="15"/>
      <c r="O130" s="15"/>
      <c r="P130" s="16" t="str">
        <f aca="false">IF(A130="","",IF(OR(B130="",E130="",D130=""),"BP-ID, category, statement needed",IF(COUNTIF(Ref_BP!$A$2:$A$101,B130)=0,"BP-ID not in W03",IF(ISERROR(SEARCH("There is a risk that",E130)),"Use the risk statement formula",IF(AND(L130="Y",F130=""),"Assertion needed for SOX risk",IF(AND(L130="Y",G130=""),"Risk owner or TBC needed","OK"))))))</f>
        <v/>
      </c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6" t="str">
        <f aca="false">IF(OR(H131="",I131=""),"",H131*I131)</f>
        <v/>
      </c>
      <c r="K131" s="16" t="str">
        <f aca="false">IF(J131="","",IF(J131&gt;=6,"High",IF(J131&gt;=3,"Medium","Low")))</f>
        <v/>
      </c>
      <c r="L131" s="15"/>
      <c r="M131" s="15"/>
      <c r="N131" s="15"/>
      <c r="O131" s="15"/>
      <c r="P131" s="16" t="str">
        <f aca="false">IF(A131="","",IF(OR(B131="",E131="",D131=""),"BP-ID, category, statement needed",IF(COUNTIF(Ref_BP!$A$2:$A$101,B131)=0,"BP-ID not in W03",IF(ISERROR(SEARCH("There is a risk that",E131)),"Use the risk statement formula",IF(AND(L131="Y",F131=""),"Assertion needed for SOX risk",IF(AND(L131="Y",G131=""),"Risk owner or TBC needed","OK"))))))</f>
        <v/>
      </c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6" t="str">
        <f aca="false">IF(OR(H132="",I132=""),"",H132*I132)</f>
        <v/>
      </c>
      <c r="K132" s="16" t="str">
        <f aca="false">IF(J132="","",IF(J132&gt;=6,"High",IF(J132&gt;=3,"Medium","Low")))</f>
        <v/>
      </c>
      <c r="L132" s="15"/>
      <c r="M132" s="15"/>
      <c r="N132" s="15"/>
      <c r="O132" s="15"/>
      <c r="P132" s="16" t="str">
        <f aca="false">IF(A132="","",IF(OR(B132="",E132="",D132=""),"BP-ID, category, statement needed",IF(COUNTIF(Ref_BP!$A$2:$A$101,B132)=0,"BP-ID not in W03",IF(ISERROR(SEARCH("There is a risk that",E132)),"Use the risk statement formula",IF(AND(L132="Y",F132=""),"Assertion needed for SOX risk",IF(AND(L132="Y",G132=""),"Risk owner or TBC needed","OK"))))))</f>
        <v/>
      </c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6" t="str">
        <f aca="false">IF(OR(H133="",I133=""),"",H133*I133)</f>
        <v/>
      </c>
      <c r="K133" s="16" t="str">
        <f aca="false">IF(J133="","",IF(J133&gt;=6,"High",IF(J133&gt;=3,"Medium","Low")))</f>
        <v/>
      </c>
      <c r="L133" s="15"/>
      <c r="M133" s="15"/>
      <c r="N133" s="15"/>
      <c r="O133" s="15"/>
      <c r="P133" s="16" t="str">
        <f aca="false">IF(A133="","",IF(OR(B133="",E133="",D133=""),"BP-ID, category, statement needed",IF(COUNTIF(Ref_BP!$A$2:$A$101,B133)=0,"BP-ID not in W03",IF(ISERROR(SEARCH("There is a risk that",E133)),"Use the risk statement formula",IF(AND(L133="Y",F133=""),"Assertion needed for SOX risk",IF(AND(L133="Y",G133=""),"Risk owner or TBC needed","OK"))))))</f>
        <v/>
      </c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6" t="str">
        <f aca="false">IF(OR(H134="",I134=""),"",H134*I134)</f>
        <v/>
      </c>
      <c r="K134" s="16" t="str">
        <f aca="false">IF(J134="","",IF(J134&gt;=6,"High",IF(J134&gt;=3,"Medium","Low")))</f>
        <v/>
      </c>
      <c r="L134" s="15"/>
      <c r="M134" s="15"/>
      <c r="N134" s="15"/>
      <c r="O134" s="15"/>
      <c r="P134" s="16" t="str">
        <f aca="false">IF(A134="","",IF(OR(B134="",E134="",D134=""),"BP-ID, category, statement needed",IF(COUNTIF(Ref_BP!$A$2:$A$101,B134)=0,"BP-ID not in W03",IF(ISERROR(SEARCH("There is a risk that",E134)),"Use the risk statement formula",IF(AND(L134="Y",F134=""),"Assertion needed for SOX risk",IF(AND(L134="Y",G134=""),"Risk owner or TBC needed","OK"))))))</f>
        <v/>
      </c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6" t="str">
        <f aca="false">IF(OR(H135="",I135=""),"",H135*I135)</f>
        <v/>
      </c>
      <c r="K135" s="16" t="str">
        <f aca="false">IF(J135="","",IF(J135&gt;=6,"High",IF(J135&gt;=3,"Medium","Low")))</f>
        <v/>
      </c>
      <c r="L135" s="15"/>
      <c r="M135" s="15"/>
      <c r="N135" s="15"/>
      <c r="O135" s="15"/>
      <c r="P135" s="16" t="str">
        <f aca="false">IF(A135="","",IF(OR(B135="",E135="",D135=""),"BP-ID, category, statement needed",IF(COUNTIF(Ref_BP!$A$2:$A$101,B135)=0,"BP-ID not in W03",IF(ISERROR(SEARCH("There is a risk that",E135)),"Use the risk statement formula",IF(AND(L135="Y",F135=""),"Assertion needed for SOX risk",IF(AND(L135="Y",G135=""),"Risk owner or TBC needed","OK"))))))</f>
        <v/>
      </c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6" t="str">
        <f aca="false">IF(OR(H136="",I136=""),"",H136*I136)</f>
        <v/>
      </c>
      <c r="K136" s="16" t="str">
        <f aca="false">IF(J136="","",IF(J136&gt;=6,"High",IF(J136&gt;=3,"Medium","Low")))</f>
        <v/>
      </c>
      <c r="L136" s="15"/>
      <c r="M136" s="15"/>
      <c r="N136" s="15"/>
      <c r="O136" s="15"/>
      <c r="P136" s="16" t="str">
        <f aca="false">IF(A136="","",IF(OR(B136="",E136="",D136=""),"BP-ID, category, statement needed",IF(COUNTIF(Ref_BP!$A$2:$A$101,B136)=0,"BP-ID not in W03",IF(ISERROR(SEARCH("There is a risk that",E136)),"Use the risk statement formula",IF(AND(L136="Y",F136=""),"Assertion needed for SOX risk",IF(AND(L136="Y",G136=""),"Risk owner or TBC needed","OK"))))))</f>
        <v/>
      </c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6" t="str">
        <f aca="false">IF(OR(H137="",I137=""),"",H137*I137)</f>
        <v/>
      </c>
      <c r="K137" s="16" t="str">
        <f aca="false">IF(J137="","",IF(J137&gt;=6,"High",IF(J137&gt;=3,"Medium","Low")))</f>
        <v/>
      </c>
      <c r="L137" s="15"/>
      <c r="M137" s="15"/>
      <c r="N137" s="15"/>
      <c r="O137" s="15"/>
      <c r="P137" s="16" t="str">
        <f aca="false">IF(A137="","",IF(OR(B137="",E137="",D137=""),"BP-ID, category, statement needed",IF(COUNTIF(Ref_BP!$A$2:$A$101,B137)=0,"BP-ID not in W03",IF(ISERROR(SEARCH("There is a risk that",E137)),"Use the risk statement formula",IF(AND(L137="Y",F137=""),"Assertion needed for SOX risk",IF(AND(L137="Y",G137=""),"Risk owner or TBC needed","OK"))))))</f>
        <v/>
      </c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6" t="str">
        <f aca="false">IF(OR(H138="",I138=""),"",H138*I138)</f>
        <v/>
      </c>
      <c r="K138" s="16" t="str">
        <f aca="false">IF(J138="","",IF(J138&gt;=6,"High",IF(J138&gt;=3,"Medium","Low")))</f>
        <v/>
      </c>
      <c r="L138" s="15"/>
      <c r="M138" s="15"/>
      <c r="N138" s="15"/>
      <c r="O138" s="15"/>
      <c r="P138" s="16" t="str">
        <f aca="false">IF(A138="","",IF(OR(B138="",E138="",D138=""),"BP-ID, category, statement needed",IF(COUNTIF(Ref_BP!$A$2:$A$101,B138)=0,"BP-ID not in W03",IF(ISERROR(SEARCH("There is a risk that",E138)),"Use the risk statement formula",IF(AND(L138="Y",F138=""),"Assertion needed for SOX risk",IF(AND(L138="Y",G138=""),"Risk owner or TBC needed","OK"))))))</f>
        <v/>
      </c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6" t="str">
        <f aca="false">IF(OR(H139="",I139=""),"",H139*I139)</f>
        <v/>
      </c>
      <c r="K139" s="16" t="str">
        <f aca="false">IF(J139="","",IF(J139&gt;=6,"High",IF(J139&gt;=3,"Medium","Low")))</f>
        <v/>
      </c>
      <c r="L139" s="15"/>
      <c r="M139" s="15"/>
      <c r="N139" s="15"/>
      <c r="O139" s="15"/>
      <c r="P139" s="16" t="str">
        <f aca="false">IF(A139="","",IF(OR(B139="",E139="",D139=""),"BP-ID, category, statement needed",IF(COUNTIF(Ref_BP!$A$2:$A$101,B139)=0,"BP-ID not in W03",IF(ISERROR(SEARCH("There is a risk that",E139)),"Use the risk statement formula",IF(AND(L139="Y",F139=""),"Assertion needed for SOX risk",IF(AND(L139="Y",G139=""),"Risk owner or TBC needed","OK"))))))</f>
        <v/>
      </c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6" t="str">
        <f aca="false">IF(OR(H140="",I140=""),"",H140*I140)</f>
        <v/>
      </c>
      <c r="K140" s="16" t="str">
        <f aca="false">IF(J140="","",IF(J140&gt;=6,"High",IF(J140&gt;=3,"Medium","Low")))</f>
        <v/>
      </c>
      <c r="L140" s="15"/>
      <c r="M140" s="15"/>
      <c r="N140" s="15"/>
      <c r="O140" s="15"/>
      <c r="P140" s="16" t="str">
        <f aca="false">IF(A140="","",IF(OR(B140="",E140="",D140=""),"BP-ID, category, statement needed",IF(COUNTIF(Ref_BP!$A$2:$A$101,B140)=0,"BP-ID not in W03",IF(ISERROR(SEARCH("There is a risk that",E140)),"Use the risk statement formula",IF(AND(L140="Y",F140=""),"Assertion needed for SOX risk",IF(AND(L140="Y",G140=""),"Risk owner or TBC needed","OK"))))))</f>
        <v/>
      </c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6" t="str">
        <f aca="false">IF(OR(H141="",I141=""),"",H141*I141)</f>
        <v/>
      </c>
      <c r="K141" s="16" t="str">
        <f aca="false">IF(J141="","",IF(J141&gt;=6,"High",IF(J141&gt;=3,"Medium","Low")))</f>
        <v/>
      </c>
      <c r="L141" s="15"/>
      <c r="M141" s="15"/>
      <c r="N141" s="15"/>
      <c r="O141" s="15"/>
      <c r="P141" s="16" t="str">
        <f aca="false">IF(A141="","",IF(OR(B141="",E141="",D141=""),"BP-ID, category, statement needed",IF(COUNTIF(Ref_BP!$A$2:$A$101,B141)=0,"BP-ID not in W03",IF(ISERROR(SEARCH("There is a risk that",E141)),"Use the risk statement formula",IF(AND(L141="Y",F141=""),"Assertion needed for SOX risk",IF(AND(L141="Y",G141=""),"Risk owner or TBC needed","OK"))))))</f>
        <v/>
      </c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6" t="str">
        <f aca="false">IF(OR(H142="",I142=""),"",H142*I142)</f>
        <v/>
      </c>
      <c r="K142" s="16" t="str">
        <f aca="false">IF(J142="","",IF(J142&gt;=6,"High",IF(J142&gt;=3,"Medium","Low")))</f>
        <v/>
      </c>
      <c r="L142" s="15"/>
      <c r="M142" s="15"/>
      <c r="N142" s="15"/>
      <c r="O142" s="15"/>
      <c r="P142" s="16" t="str">
        <f aca="false">IF(A142="","",IF(OR(B142="",E142="",D142=""),"BP-ID, category, statement needed",IF(COUNTIF(Ref_BP!$A$2:$A$101,B142)=0,"BP-ID not in W03",IF(ISERROR(SEARCH("There is a risk that",E142)),"Use the risk statement formula",IF(AND(L142="Y",F142=""),"Assertion needed for SOX risk",IF(AND(L142="Y",G142=""),"Risk owner or TBC needed","OK"))))))</f>
        <v/>
      </c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6" t="str">
        <f aca="false">IF(OR(H143="",I143=""),"",H143*I143)</f>
        <v/>
      </c>
      <c r="K143" s="16" t="str">
        <f aca="false">IF(J143="","",IF(J143&gt;=6,"High",IF(J143&gt;=3,"Medium","Low")))</f>
        <v/>
      </c>
      <c r="L143" s="15"/>
      <c r="M143" s="15"/>
      <c r="N143" s="15"/>
      <c r="O143" s="15"/>
      <c r="P143" s="16" t="str">
        <f aca="false">IF(A143="","",IF(OR(B143="",E143="",D143=""),"BP-ID, category, statement needed",IF(COUNTIF(Ref_BP!$A$2:$A$101,B143)=0,"BP-ID not in W03",IF(ISERROR(SEARCH("There is a risk that",E143)),"Use the risk statement formula",IF(AND(L143="Y",F143=""),"Assertion needed for SOX risk",IF(AND(L143="Y",G143=""),"Risk owner or TBC needed","OK"))))))</f>
        <v/>
      </c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6" t="str">
        <f aca="false">IF(OR(H144="",I144=""),"",H144*I144)</f>
        <v/>
      </c>
      <c r="K144" s="16" t="str">
        <f aca="false">IF(J144="","",IF(J144&gt;=6,"High",IF(J144&gt;=3,"Medium","Low")))</f>
        <v/>
      </c>
      <c r="L144" s="15"/>
      <c r="M144" s="15"/>
      <c r="N144" s="15"/>
      <c r="O144" s="15"/>
      <c r="P144" s="16" t="str">
        <f aca="false">IF(A144="","",IF(OR(B144="",E144="",D144=""),"BP-ID, category, statement needed",IF(COUNTIF(Ref_BP!$A$2:$A$101,B144)=0,"BP-ID not in W03",IF(ISERROR(SEARCH("There is a risk that",E144)),"Use the risk statement formula",IF(AND(L144="Y",F144=""),"Assertion needed for SOX risk",IF(AND(L144="Y",G144=""),"Risk owner or TBC needed","OK"))))))</f>
        <v/>
      </c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6" t="str">
        <f aca="false">IF(OR(H145="",I145=""),"",H145*I145)</f>
        <v/>
      </c>
      <c r="K145" s="16" t="str">
        <f aca="false">IF(J145="","",IF(J145&gt;=6,"High",IF(J145&gt;=3,"Medium","Low")))</f>
        <v/>
      </c>
      <c r="L145" s="15"/>
      <c r="M145" s="15"/>
      <c r="N145" s="15"/>
      <c r="O145" s="15"/>
      <c r="P145" s="16" t="str">
        <f aca="false">IF(A145="","",IF(OR(B145="",E145="",D145=""),"BP-ID, category, statement needed",IF(COUNTIF(Ref_BP!$A$2:$A$101,B145)=0,"BP-ID not in W03",IF(ISERROR(SEARCH("There is a risk that",E145)),"Use the risk statement formula",IF(AND(L145="Y",F145=""),"Assertion needed for SOX risk",IF(AND(L145="Y",G145=""),"Risk owner or TBC needed","OK"))))))</f>
        <v/>
      </c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6" t="str">
        <f aca="false">IF(OR(H146="",I146=""),"",H146*I146)</f>
        <v/>
      </c>
      <c r="K146" s="16" t="str">
        <f aca="false">IF(J146="","",IF(J146&gt;=6,"High",IF(J146&gt;=3,"Medium","Low")))</f>
        <v/>
      </c>
      <c r="L146" s="15"/>
      <c r="M146" s="15"/>
      <c r="N146" s="15"/>
      <c r="O146" s="15"/>
      <c r="P146" s="16" t="str">
        <f aca="false">IF(A146="","",IF(OR(B146="",E146="",D146=""),"BP-ID, category, statement needed",IF(COUNTIF(Ref_BP!$A$2:$A$101,B146)=0,"BP-ID not in W03",IF(ISERROR(SEARCH("There is a risk that",E146)),"Use the risk statement formula",IF(AND(L146="Y",F146=""),"Assertion needed for SOX risk",IF(AND(L146="Y",G146=""),"Risk owner or TBC needed","OK"))))))</f>
        <v/>
      </c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6" t="str">
        <f aca="false">IF(OR(H147="",I147=""),"",H147*I147)</f>
        <v/>
      </c>
      <c r="K147" s="16" t="str">
        <f aca="false">IF(J147="","",IF(J147&gt;=6,"High",IF(J147&gt;=3,"Medium","Low")))</f>
        <v/>
      </c>
      <c r="L147" s="15"/>
      <c r="M147" s="15"/>
      <c r="N147" s="15"/>
      <c r="O147" s="15"/>
      <c r="P147" s="16" t="str">
        <f aca="false">IF(A147="","",IF(OR(B147="",E147="",D147=""),"BP-ID, category, statement needed",IF(COUNTIF(Ref_BP!$A$2:$A$101,B147)=0,"BP-ID not in W03",IF(ISERROR(SEARCH("There is a risk that",E147)),"Use the risk statement formula",IF(AND(L147="Y",F147=""),"Assertion needed for SOX risk",IF(AND(L147="Y",G147=""),"Risk owner or TBC needed","OK"))))))</f>
        <v/>
      </c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6" t="str">
        <f aca="false">IF(OR(H148="",I148=""),"",H148*I148)</f>
        <v/>
      </c>
      <c r="K148" s="16" t="str">
        <f aca="false">IF(J148="","",IF(J148&gt;=6,"High",IF(J148&gt;=3,"Medium","Low")))</f>
        <v/>
      </c>
      <c r="L148" s="15"/>
      <c r="M148" s="15"/>
      <c r="N148" s="15"/>
      <c r="O148" s="15"/>
      <c r="P148" s="16" t="str">
        <f aca="false">IF(A148="","",IF(OR(B148="",E148="",D148=""),"BP-ID, category, statement needed",IF(COUNTIF(Ref_BP!$A$2:$A$101,B148)=0,"BP-ID not in W03",IF(ISERROR(SEARCH("There is a risk that",E148)),"Use the risk statement formula",IF(AND(L148="Y",F148=""),"Assertion needed for SOX risk",IF(AND(L148="Y",G148=""),"Risk owner or TBC needed","OK"))))))</f>
        <v/>
      </c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6" t="str">
        <f aca="false">IF(OR(H149="",I149=""),"",H149*I149)</f>
        <v/>
      </c>
      <c r="K149" s="16" t="str">
        <f aca="false">IF(J149="","",IF(J149&gt;=6,"High",IF(J149&gt;=3,"Medium","Low")))</f>
        <v/>
      </c>
      <c r="L149" s="15"/>
      <c r="M149" s="15"/>
      <c r="N149" s="15"/>
      <c r="O149" s="15"/>
      <c r="P149" s="16" t="str">
        <f aca="false">IF(A149="","",IF(OR(B149="",E149="",D149=""),"BP-ID, category, statement needed",IF(COUNTIF(Ref_BP!$A$2:$A$101,B149)=0,"BP-ID not in W03",IF(ISERROR(SEARCH("There is a risk that",E149)),"Use the risk statement formula",IF(AND(L149="Y",F149=""),"Assertion needed for SOX risk",IF(AND(L149="Y",G149=""),"Risk owner or TBC needed","OK"))))))</f>
        <v/>
      </c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6" t="str">
        <f aca="false">IF(OR(H150="",I150=""),"",H150*I150)</f>
        <v/>
      </c>
      <c r="K150" s="16" t="str">
        <f aca="false">IF(J150="","",IF(J150&gt;=6,"High",IF(J150&gt;=3,"Medium","Low")))</f>
        <v/>
      </c>
      <c r="L150" s="15"/>
      <c r="M150" s="15"/>
      <c r="N150" s="15"/>
      <c r="O150" s="15"/>
      <c r="P150" s="16" t="str">
        <f aca="false">IF(A150="","",IF(OR(B150="",E150="",D150=""),"BP-ID, category, statement needed",IF(COUNTIF(Ref_BP!$A$2:$A$101,B150)=0,"BP-ID not in W03",IF(ISERROR(SEARCH("There is a risk that",E150)),"Use the risk statement formula",IF(AND(L150="Y",F150=""),"Assertion needed for SOX risk",IF(AND(L150="Y",G150=""),"Risk owner or TBC needed","OK"))))))</f>
        <v/>
      </c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6" t="str">
        <f aca="false">IF(OR(H151="",I151=""),"",H151*I151)</f>
        <v/>
      </c>
      <c r="K151" s="16" t="str">
        <f aca="false">IF(J151="","",IF(J151&gt;=6,"High",IF(J151&gt;=3,"Medium","Low")))</f>
        <v/>
      </c>
      <c r="L151" s="15"/>
      <c r="M151" s="15"/>
      <c r="N151" s="15"/>
      <c r="O151" s="15"/>
      <c r="P151" s="16" t="str">
        <f aca="false">IF(A151="","",IF(OR(B151="",E151="",D151=""),"BP-ID, category, statement needed",IF(COUNTIF(Ref_BP!$A$2:$A$101,B151)=0,"BP-ID not in W03",IF(ISERROR(SEARCH("There is a risk that",E151)),"Use the risk statement formula",IF(AND(L151="Y",F151=""),"Assertion needed for SOX risk",IF(AND(L151="Y",G151=""),"Risk owner or TBC needed","OK"))))))</f>
        <v/>
      </c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6" t="str">
        <f aca="false">IF(OR(H152="",I152=""),"",H152*I152)</f>
        <v/>
      </c>
      <c r="K152" s="16" t="str">
        <f aca="false">IF(J152="","",IF(J152&gt;=6,"High",IF(J152&gt;=3,"Medium","Low")))</f>
        <v/>
      </c>
      <c r="L152" s="15"/>
      <c r="M152" s="15"/>
      <c r="N152" s="15"/>
      <c r="O152" s="15"/>
      <c r="P152" s="16" t="str">
        <f aca="false">IF(A152="","",IF(OR(B152="",E152="",D152=""),"BP-ID, category, statement needed",IF(COUNTIF(Ref_BP!$A$2:$A$101,B152)=0,"BP-ID not in W03",IF(ISERROR(SEARCH("There is a risk that",E152)),"Use the risk statement formula",IF(AND(L152="Y",F152=""),"Assertion needed for SOX risk",IF(AND(L152="Y",G152=""),"Risk owner or TBC needed","OK"))))))</f>
        <v/>
      </c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6" t="str">
        <f aca="false">IF(OR(H153="",I153=""),"",H153*I153)</f>
        <v/>
      </c>
      <c r="K153" s="16" t="str">
        <f aca="false">IF(J153="","",IF(J153&gt;=6,"High",IF(J153&gt;=3,"Medium","Low")))</f>
        <v/>
      </c>
      <c r="L153" s="15"/>
      <c r="M153" s="15"/>
      <c r="N153" s="15"/>
      <c r="O153" s="15"/>
      <c r="P153" s="16" t="str">
        <f aca="false">IF(A153="","",IF(OR(B153="",E153="",D153=""),"BP-ID, category, statement needed",IF(COUNTIF(Ref_BP!$A$2:$A$101,B153)=0,"BP-ID not in W03",IF(ISERROR(SEARCH("There is a risk that",E153)),"Use the risk statement formula",IF(AND(L153="Y",F153=""),"Assertion needed for SOX risk",IF(AND(L153="Y",G153=""),"Risk owner or TBC needed","OK"))))))</f>
        <v/>
      </c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6" t="str">
        <f aca="false">IF(OR(H154="",I154=""),"",H154*I154)</f>
        <v/>
      </c>
      <c r="K154" s="16" t="str">
        <f aca="false">IF(J154="","",IF(J154&gt;=6,"High",IF(J154&gt;=3,"Medium","Low")))</f>
        <v/>
      </c>
      <c r="L154" s="15"/>
      <c r="M154" s="15"/>
      <c r="N154" s="15"/>
      <c r="O154" s="15"/>
      <c r="P154" s="16" t="str">
        <f aca="false">IF(A154="","",IF(OR(B154="",E154="",D154=""),"BP-ID, category, statement needed",IF(COUNTIF(Ref_BP!$A$2:$A$101,B154)=0,"BP-ID not in W03",IF(ISERROR(SEARCH("There is a risk that",E154)),"Use the risk statement formula",IF(AND(L154="Y",F154=""),"Assertion needed for SOX risk",IF(AND(L154="Y",G154=""),"Risk owner or TBC needed","OK"))))))</f>
        <v/>
      </c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6" t="str">
        <f aca="false">IF(OR(H155="",I155=""),"",H155*I155)</f>
        <v/>
      </c>
      <c r="K155" s="16" t="str">
        <f aca="false">IF(J155="","",IF(J155&gt;=6,"High",IF(J155&gt;=3,"Medium","Low")))</f>
        <v/>
      </c>
      <c r="L155" s="15"/>
      <c r="M155" s="15"/>
      <c r="N155" s="15"/>
      <c r="O155" s="15"/>
      <c r="P155" s="16" t="str">
        <f aca="false">IF(A155="","",IF(OR(B155="",E155="",D155=""),"BP-ID, category, statement needed",IF(COUNTIF(Ref_BP!$A$2:$A$101,B155)=0,"BP-ID not in W03",IF(ISERROR(SEARCH("There is a risk that",E155)),"Use the risk statement formula",IF(AND(L155="Y",F155=""),"Assertion needed for SOX risk",IF(AND(L155="Y",G155=""),"Risk owner or TBC needed","OK"))))))</f>
        <v/>
      </c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6" t="str">
        <f aca="false">IF(OR(H156="",I156=""),"",H156*I156)</f>
        <v/>
      </c>
      <c r="K156" s="16" t="str">
        <f aca="false">IF(J156="","",IF(J156&gt;=6,"High",IF(J156&gt;=3,"Medium","Low")))</f>
        <v/>
      </c>
      <c r="L156" s="15"/>
      <c r="M156" s="15"/>
      <c r="N156" s="15"/>
      <c r="O156" s="15"/>
      <c r="P156" s="16" t="str">
        <f aca="false">IF(A156="","",IF(OR(B156="",E156="",D156=""),"BP-ID, category, statement needed",IF(COUNTIF(Ref_BP!$A$2:$A$101,B156)=0,"BP-ID not in W03",IF(ISERROR(SEARCH("There is a risk that",E156)),"Use the risk statement formula",IF(AND(L156="Y",F156=""),"Assertion needed for SOX risk",IF(AND(L156="Y",G156=""),"Risk owner or TBC needed","OK"))))))</f>
        <v/>
      </c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6" t="str">
        <f aca="false">IF(OR(H157="",I157=""),"",H157*I157)</f>
        <v/>
      </c>
      <c r="K157" s="16" t="str">
        <f aca="false">IF(J157="","",IF(J157&gt;=6,"High",IF(J157&gt;=3,"Medium","Low")))</f>
        <v/>
      </c>
      <c r="L157" s="15"/>
      <c r="M157" s="15"/>
      <c r="N157" s="15"/>
      <c r="O157" s="15"/>
      <c r="P157" s="16" t="str">
        <f aca="false">IF(A157="","",IF(OR(B157="",E157="",D157=""),"BP-ID, category, statement needed",IF(COUNTIF(Ref_BP!$A$2:$A$101,B157)=0,"BP-ID not in W03",IF(ISERROR(SEARCH("There is a risk that",E157)),"Use the risk statement formula",IF(AND(L157="Y",F157=""),"Assertion needed for SOX risk",IF(AND(L157="Y",G157=""),"Risk owner or TBC needed","OK"))))))</f>
        <v/>
      </c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6" t="str">
        <f aca="false">IF(OR(H158="",I158=""),"",H158*I158)</f>
        <v/>
      </c>
      <c r="K158" s="16" t="str">
        <f aca="false">IF(J158="","",IF(J158&gt;=6,"High",IF(J158&gt;=3,"Medium","Low")))</f>
        <v/>
      </c>
      <c r="L158" s="15"/>
      <c r="M158" s="15"/>
      <c r="N158" s="15"/>
      <c r="O158" s="15"/>
      <c r="P158" s="16" t="str">
        <f aca="false">IF(A158="","",IF(OR(B158="",E158="",D158=""),"BP-ID, category, statement needed",IF(COUNTIF(Ref_BP!$A$2:$A$101,B158)=0,"BP-ID not in W03",IF(ISERROR(SEARCH("There is a risk that",E158)),"Use the risk statement formula",IF(AND(L158="Y",F158=""),"Assertion needed for SOX risk",IF(AND(L158="Y",G158=""),"Risk owner or TBC needed","OK"))))))</f>
        <v/>
      </c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6" t="str">
        <f aca="false">IF(OR(H159="",I159=""),"",H159*I159)</f>
        <v/>
      </c>
      <c r="K159" s="16" t="str">
        <f aca="false">IF(J159="","",IF(J159&gt;=6,"High",IF(J159&gt;=3,"Medium","Low")))</f>
        <v/>
      </c>
      <c r="L159" s="15"/>
      <c r="M159" s="15"/>
      <c r="N159" s="15"/>
      <c r="O159" s="15"/>
      <c r="P159" s="16" t="str">
        <f aca="false">IF(A159="","",IF(OR(B159="",E159="",D159=""),"BP-ID, category, statement needed",IF(COUNTIF(Ref_BP!$A$2:$A$101,B159)=0,"BP-ID not in W03",IF(ISERROR(SEARCH("There is a risk that",E159)),"Use the risk statement formula",IF(AND(L159="Y",F159=""),"Assertion needed for SOX risk",IF(AND(L159="Y",G159=""),"Risk owner or TBC needed","OK"))))))</f>
        <v/>
      </c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6" t="str">
        <f aca="false">IF(OR(H160="",I160=""),"",H160*I160)</f>
        <v/>
      </c>
      <c r="K160" s="16" t="str">
        <f aca="false">IF(J160="","",IF(J160&gt;=6,"High",IF(J160&gt;=3,"Medium","Low")))</f>
        <v/>
      </c>
      <c r="L160" s="15"/>
      <c r="M160" s="15"/>
      <c r="N160" s="15"/>
      <c r="O160" s="15"/>
      <c r="P160" s="16" t="str">
        <f aca="false">IF(A160="","",IF(OR(B160="",E160="",D160=""),"BP-ID, category, statement needed",IF(COUNTIF(Ref_BP!$A$2:$A$101,B160)=0,"BP-ID not in W03",IF(ISERROR(SEARCH("There is a risk that",E160)),"Use the risk statement formula",IF(AND(L160="Y",F160=""),"Assertion needed for SOX risk",IF(AND(L160="Y",G160=""),"Risk owner or TBC needed","OK"))))))</f>
        <v/>
      </c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6" t="str">
        <f aca="false">IF(OR(H161="",I161=""),"",H161*I161)</f>
        <v/>
      </c>
      <c r="K161" s="16" t="str">
        <f aca="false">IF(J161="","",IF(J161&gt;=6,"High",IF(J161&gt;=3,"Medium","Low")))</f>
        <v/>
      </c>
      <c r="L161" s="15"/>
      <c r="M161" s="15"/>
      <c r="N161" s="15"/>
      <c r="O161" s="15"/>
      <c r="P161" s="16" t="str">
        <f aca="false">IF(A161="","",IF(OR(B161="",E161="",D161=""),"BP-ID, category, statement needed",IF(COUNTIF(Ref_BP!$A$2:$A$101,B161)=0,"BP-ID not in W03",IF(ISERROR(SEARCH("There is a risk that",E161)),"Use the risk statement formula",IF(AND(L161="Y",F161=""),"Assertion needed for SOX risk",IF(AND(L161="Y",G161=""),"Risk owner or TBC needed","OK"))))))</f>
        <v/>
      </c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6" t="str">
        <f aca="false">IF(OR(H162="",I162=""),"",H162*I162)</f>
        <v/>
      </c>
      <c r="K162" s="16" t="str">
        <f aca="false">IF(J162="","",IF(J162&gt;=6,"High",IF(J162&gt;=3,"Medium","Low")))</f>
        <v/>
      </c>
      <c r="L162" s="15"/>
      <c r="M162" s="15"/>
      <c r="N162" s="15"/>
      <c r="O162" s="15"/>
      <c r="P162" s="16" t="str">
        <f aca="false">IF(A162="","",IF(OR(B162="",E162="",D162=""),"BP-ID, category, statement needed",IF(COUNTIF(Ref_BP!$A$2:$A$101,B162)=0,"BP-ID not in W03",IF(ISERROR(SEARCH("There is a risk that",E162)),"Use the risk statement formula",IF(AND(L162="Y",F162=""),"Assertion needed for SOX risk",IF(AND(L162="Y",G162=""),"Risk owner or TBC needed","OK"))))))</f>
        <v/>
      </c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6" t="str">
        <f aca="false">IF(OR(H163="",I163=""),"",H163*I163)</f>
        <v/>
      </c>
      <c r="K163" s="16" t="str">
        <f aca="false">IF(J163="","",IF(J163&gt;=6,"High",IF(J163&gt;=3,"Medium","Low")))</f>
        <v/>
      </c>
      <c r="L163" s="15"/>
      <c r="M163" s="15"/>
      <c r="N163" s="15"/>
      <c r="O163" s="15"/>
      <c r="P163" s="16" t="str">
        <f aca="false">IF(A163="","",IF(OR(B163="",E163="",D163=""),"BP-ID, category, statement needed",IF(COUNTIF(Ref_BP!$A$2:$A$101,B163)=0,"BP-ID not in W03",IF(ISERROR(SEARCH("There is a risk that",E163)),"Use the risk statement formula",IF(AND(L163="Y",F163=""),"Assertion needed for SOX risk",IF(AND(L163="Y",G163=""),"Risk owner or TBC needed","OK"))))))</f>
        <v/>
      </c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6" t="str">
        <f aca="false">IF(OR(H164="",I164=""),"",H164*I164)</f>
        <v/>
      </c>
      <c r="K164" s="16" t="str">
        <f aca="false">IF(J164="","",IF(J164&gt;=6,"High",IF(J164&gt;=3,"Medium","Low")))</f>
        <v/>
      </c>
      <c r="L164" s="15"/>
      <c r="M164" s="15"/>
      <c r="N164" s="15"/>
      <c r="O164" s="15"/>
      <c r="P164" s="16" t="str">
        <f aca="false">IF(A164="","",IF(OR(B164="",E164="",D164=""),"BP-ID, category, statement needed",IF(COUNTIF(Ref_BP!$A$2:$A$101,B164)=0,"BP-ID not in W03",IF(ISERROR(SEARCH("There is a risk that",E164)),"Use the risk statement formula",IF(AND(L164="Y",F164=""),"Assertion needed for SOX risk",IF(AND(L164="Y",G164=""),"Risk owner or TBC needed","OK"))))))</f>
        <v/>
      </c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6" t="str">
        <f aca="false">IF(OR(H165="",I165=""),"",H165*I165)</f>
        <v/>
      </c>
      <c r="K165" s="16" t="str">
        <f aca="false">IF(J165="","",IF(J165&gt;=6,"High",IF(J165&gt;=3,"Medium","Low")))</f>
        <v/>
      </c>
      <c r="L165" s="15"/>
      <c r="M165" s="15"/>
      <c r="N165" s="15"/>
      <c r="O165" s="15"/>
      <c r="P165" s="16" t="str">
        <f aca="false">IF(A165="","",IF(OR(B165="",E165="",D165=""),"BP-ID, category, statement needed",IF(COUNTIF(Ref_BP!$A$2:$A$101,B165)=0,"BP-ID not in W03",IF(ISERROR(SEARCH("There is a risk that",E165)),"Use the risk statement formula",IF(AND(L165="Y",F165=""),"Assertion needed for SOX risk",IF(AND(L165="Y",G165=""),"Risk owner or TBC needed","OK"))))))</f>
        <v/>
      </c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6" t="str">
        <f aca="false">IF(OR(H166="",I166=""),"",H166*I166)</f>
        <v/>
      </c>
      <c r="K166" s="16" t="str">
        <f aca="false">IF(J166="","",IF(J166&gt;=6,"High",IF(J166&gt;=3,"Medium","Low")))</f>
        <v/>
      </c>
      <c r="L166" s="15"/>
      <c r="M166" s="15"/>
      <c r="N166" s="15"/>
      <c r="O166" s="15"/>
      <c r="P166" s="16" t="str">
        <f aca="false">IF(A166="","",IF(OR(B166="",E166="",D166=""),"BP-ID, category, statement needed",IF(COUNTIF(Ref_BP!$A$2:$A$101,B166)=0,"BP-ID not in W03",IF(ISERROR(SEARCH("There is a risk that",E166)),"Use the risk statement formula",IF(AND(L166="Y",F166=""),"Assertion needed for SOX risk",IF(AND(L166="Y",G166=""),"Risk owner or TBC needed","OK"))))))</f>
        <v/>
      </c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6" t="str">
        <f aca="false">IF(OR(H167="",I167=""),"",H167*I167)</f>
        <v/>
      </c>
      <c r="K167" s="16" t="str">
        <f aca="false">IF(J167="","",IF(J167&gt;=6,"High",IF(J167&gt;=3,"Medium","Low")))</f>
        <v/>
      </c>
      <c r="L167" s="15"/>
      <c r="M167" s="15"/>
      <c r="N167" s="15"/>
      <c r="O167" s="15"/>
      <c r="P167" s="16" t="str">
        <f aca="false">IF(A167="","",IF(OR(B167="",E167="",D167=""),"BP-ID, category, statement needed",IF(COUNTIF(Ref_BP!$A$2:$A$101,B167)=0,"BP-ID not in W03",IF(ISERROR(SEARCH("There is a risk that",E167)),"Use the risk statement formula",IF(AND(L167="Y",F167=""),"Assertion needed for SOX risk",IF(AND(L167="Y",G167=""),"Risk owner or TBC needed","OK"))))))</f>
        <v/>
      </c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6" t="str">
        <f aca="false">IF(OR(H168="",I168=""),"",H168*I168)</f>
        <v/>
      </c>
      <c r="K168" s="16" t="str">
        <f aca="false">IF(J168="","",IF(J168&gt;=6,"High",IF(J168&gt;=3,"Medium","Low")))</f>
        <v/>
      </c>
      <c r="L168" s="15"/>
      <c r="M168" s="15"/>
      <c r="N168" s="15"/>
      <c r="O168" s="15"/>
      <c r="P168" s="16" t="str">
        <f aca="false">IF(A168="","",IF(OR(B168="",E168="",D168=""),"BP-ID, category, statement needed",IF(COUNTIF(Ref_BP!$A$2:$A$101,B168)=0,"BP-ID not in W03",IF(ISERROR(SEARCH("There is a risk that",E168)),"Use the risk statement formula",IF(AND(L168="Y",F168=""),"Assertion needed for SOX risk",IF(AND(L168="Y",G168=""),"Risk owner or TBC needed","OK"))))))</f>
        <v/>
      </c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6" t="str">
        <f aca="false">IF(OR(H169="",I169=""),"",H169*I169)</f>
        <v/>
      </c>
      <c r="K169" s="16" t="str">
        <f aca="false">IF(J169="","",IF(J169&gt;=6,"High",IF(J169&gt;=3,"Medium","Low")))</f>
        <v/>
      </c>
      <c r="L169" s="15"/>
      <c r="M169" s="15"/>
      <c r="N169" s="15"/>
      <c r="O169" s="15"/>
      <c r="P169" s="16" t="str">
        <f aca="false">IF(A169="","",IF(OR(B169="",E169="",D169=""),"BP-ID, category, statement needed",IF(COUNTIF(Ref_BP!$A$2:$A$101,B169)=0,"BP-ID not in W03",IF(ISERROR(SEARCH("There is a risk that",E169)),"Use the risk statement formula",IF(AND(L169="Y",F169=""),"Assertion needed for SOX risk",IF(AND(L169="Y",G169=""),"Risk owner or TBC needed","OK"))))))</f>
        <v/>
      </c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6" t="str">
        <f aca="false">IF(OR(H170="",I170=""),"",H170*I170)</f>
        <v/>
      </c>
      <c r="K170" s="16" t="str">
        <f aca="false">IF(J170="","",IF(J170&gt;=6,"High",IF(J170&gt;=3,"Medium","Low")))</f>
        <v/>
      </c>
      <c r="L170" s="15"/>
      <c r="M170" s="15"/>
      <c r="N170" s="15"/>
      <c r="O170" s="15"/>
      <c r="P170" s="16" t="str">
        <f aca="false">IF(A170="","",IF(OR(B170="",E170="",D170=""),"BP-ID, category, statement needed",IF(COUNTIF(Ref_BP!$A$2:$A$101,B170)=0,"BP-ID not in W03",IF(ISERROR(SEARCH("There is a risk that",E170)),"Use the risk statement formula",IF(AND(L170="Y",F170=""),"Assertion needed for SOX risk",IF(AND(L170="Y",G170=""),"Risk owner or TBC needed","OK"))))))</f>
        <v/>
      </c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6" t="str">
        <f aca="false">IF(OR(H171="",I171=""),"",H171*I171)</f>
        <v/>
      </c>
      <c r="K171" s="16" t="str">
        <f aca="false">IF(J171="","",IF(J171&gt;=6,"High",IF(J171&gt;=3,"Medium","Low")))</f>
        <v/>
      </c>
      <c r="L171" s="15"/>
      <c r="M171" s="15"/>
      <c r="N171" s="15"/>
      <c r="O171" s="15"/>
      <c r="P171" s="16" t="str">
        <f aca="false">IF(A171="","",IF(OR(B171="",E171="",D171=""),"BP-ID, category, statement needed",IF(COUNTIF(Ref_BP!$A$2:$A$101,B171)=0,"BP-ID not in W03",IF(ISERROR(SEARCH("There is a risk that",E171)),"Use the risk statement formula",IF(AND(L171="Y",F171=""),"Assertion needed for SOX risk",IF(AND(L171="Y",G171=""),"Risk owner or TBC needed","OK"))))))</f>
        <v/>
      </c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6" t="str">
        <f aca="false">IF(OR(H172="",I172=""),"",H172*I172)</f>
        <v/>
      </c>
      <c r="K172" s="16" t="str">
        <f aca="false">IF(J172="","",IF(J172&gt;=6,"High",IF(J172&gt;=3,"Medium","Low")))</f>
        <v/>
      </c>
      <c r="L172" s="15"/>
      <c r="M172" s="15"/>
      <c r="N172" s="15"/>
      <c r="O172" s="15"/>
      <c r="P172" s="16" t="str">
        <f aca="false">IF(A172="","",IF(OR(B172="",E172="",D172=""),"BP-ID, category, statement needed",IF(COUNTIF(Ref_BP!$A$2:$A$101,B172)=0,"BP-ID not in W03",IF(ISERROR(SEARCH("There is a risk that",E172)),"Use the risk statement formula",IF(AND(L172="Y",F172=""),"Assertion needed for SOX risk",IF(AND(L172="Y",G172=""),"Risk owner or TBC needed","OK"))))))</f>
        <v/>
      </c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6" t="str">
        <f aca="false">IF(OR(H173="",I173=""),"",H173*I173)</f>
        <v/>
      </c>
      <c r="K173" s="16" t="str">
        <f aca="false">IF(J173="","",IF(J173&gt;=6,"High",IF(J173&gt;=3,"Medium","Low")))</f>
        <v/>
      </c>
      <c r="L173" s="15"/>
      <c r="M173" s="15"/>
      <c r="N173" s="15"/>
      <c r="O173" s="15"/>
      <c r="P173" s="16" t="str">
        <f aca="false">IF(A173="","",IF(OR(B173="",E173="",D173=""),"BP-ID, category, statement needed",IF(COUNTIF(Ref_BP!$A$2:$A$101,B173)=0,"BP-ID not in W03",IF(ISERROR(SEARCH("There is a risk that",E173)),"Use the risk statement formula",IF(AND(L173="Y",F173=""),"Assertion needed for SOX risk",IF(AND(L173="Y",G173=""),"Risk owner or TBC needed","OK"))))))</f>
        <v/>
      </c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6" t="str">
        <f aca="false">IF(OR(H174="",I174=""),"",H174*I174)</f>
        <v/>
      </c>
      <c r="K174" s="16" t="str">
        <f aca="false">IF(J174="","",IF(J174&gt;=6,"High",IF(J174&gt;=3,"Medium","Low")))</f>
        <v/>
      </c>
      <c r="L174" s="15"/>
      <c r="M174" s="15"/>
      <c r="N174" s="15"/>
      <c r="O174" s="15"/>
      <c r="P174" s="16" t="str">
        <f aca="false">IF(A174="","",IF(OR(B174="",E174="",D174=""),"BP-ID, category, statement needed",IF(COUNTIF(Ref_BP!$A$2:$A$101,B174)=0,"BP-ID not in W03",IF(ISERROR(SEARCH("There is a risk that",E174)),"Use the risk statement formula",IF(AND(L174="Y",F174=""),"Assertion needed for SOX risk",IF(AND(L174="Y",G174=""),"Risk owner or TBC needed","OK"))))))</f>
        <v/>
      </c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6" t="str">
        <f aca="false">IF(OR(H175="",I175=""),"",H175*I175)</f>
        <v/>
      </c>
      <c r="K175" s="16" t="str">
        <f aca="false">IF(J175="","",IF(J175&gt;=6,"High",IF(J175&gt;=3,"Medium","Low")))</f>
        <v/>
      </c>
      <c r="L175" s="15"/>
      <c r="M175" s="15"/>
      <c r="N175" s="15"/>
      <c r="O175" s="15"/>
      <c r="P175" s="16" t="str">
        <f aca="false">IF(A175="","",IF(OR(B175="",E175="",D175=""),"BP-ID, category, statement needed",IF(COUNTIF(Ref_BP!$A$2:$A$101,B175)=0,"BP-ID not in W03",IF(ISERROR(SEARCH("There is a risk that",E175)),"Use the risk statement formula",IF(AND(L175="Y",F175=""),"Assertion needed for SOX risk",IF(AND(L175="Y",G175=""),"Risk owner or TBC needed","OK"))))))</f>
        <v/>
      </c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6" t="str">
        <f aca="false">IF(OR(H176="",I176=""),"",H176*I176)</f>
        <v/>
      </c>
      <c r="K176" s="16" t="str">
        <f aca="false">IF(J176="","",IF(J176&gt;=6,"High",IF(J176&gt;=3,"Medium","Low")))</f>
        <v/>
      </c>
      <c r="L176" s="15"/>
      <c r="M176" s="15"/>
      <c r="N176" s="15"/>
      <c r="O176" s="15"/>
      <c r="P176" s="16" t="str">
        <f aca="false">IF(A176="","",IF(OR(B176="",E176="",D176=""),"BP-ID, category, statement needed",IF(COUNTIF(Ref_BP!$A$2:$A$101,B176)=0,"BP-ID not in W03",IF(ISERROR(SEARCH("There is a risk that",E176)),"Use the risk statement formula",IF(AND(L176="Y",F176=""),"Assertion needed for SOX risk",IF(AND(L176="Y",G176=""),"Risk owner or TBC needed","OK"))))))</f>
        <v/>
      </c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6" t="str">
        <f aca="false">IF(OR(H177="",I177=""),"",H177*I177)</f>
        <v/>
      </c>
      <c r="K177" s="16" t="str">
        <f aca="false">IF(J177="","",IF(J177&gt;=6,"High",IF(J177&gt;=3,"Medium","Low")))</f>
        <v/>
      </c>
      <c r="L177" s="15"/>
      <c r="M177" s="15"/>
      <c r="N177" s="15"/>
      <c r="O177" s="15"/>
      <c r="P177" s="16" t="str">
        <f aca="false">IF(A177="","",IF(OR(B177="",E177="",D177=""),"BP-ID, category, statement needed",IF(COUNTIF(Ref_BP!$A$2:$A$101,B177)=0,"BP-ID not in W03",IF(ISERROR(SEARCH("There is a risk that",E177)),"Use the risk statement formula",IF(AND(L177="Y",F177=""),"Assertion needed for SOX risk",IF(AND(L177="Y",G177=""),"Risk owner or TBC needed","OK"))))))</f>
        <v/>
      </c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6" t="str">
        <f aca="false">IF(OR(H178="",I178=""),"",H178*I178)</f>
        <v/>
      </c>
      <c r="K178" s="16" t="str">
        <f aca="false">IF(J178="","",IF(J178&gt;=6,"High",IF(J178&gt;=3,"Medium","Low")))</f>
        <v/>
      </c>
      <c r="L178" s="15"/>
      <c r="M178" s="15"/>
      <c r="N178" s="15"/>
      <c r="O178" s="15"/>
      <c r="P178" s="16" t="str">
        <f aca="false">IF(A178="","",IF(OR(B178="",E178="",D178=""),"BP-ID, category, statement needed",IF(COUNTIF(Ref_BP!$A$2:$A$101,B178)=0,"BP-ID not in W03",IF(ISERROR(SEARCH("There is a risk that",E178)),"Use the risk statement formula",IF(AND(L178="Y",F178=""),"Assertion needed for SOX risk",IF(AND(L178="Y",G178=""),"Risk owner or TBC needed","OK"))))))</f>
        <v/>
      </c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6" t="str">
        <f aca="false">IF(OR(H179="",I179=""),"",H179*I179)</f>
        <v/>
      </c>
      <c r="K179" s="16" t="str">
        <f aca="false">IF(J179="","",IF(J179&gt;=6,"High",IF(J179&gt;=3,"Medium","Low")))</f>
        <v/>
      </c>
      <c r="L179" s="15"/>
      <c r="M179" s="15"/>
      <c r="N179" s="15"/>
      <c r="O179" s="15"/>
      <c r="P179" s="16" t="str">
        <f aca="false">IF(A179="","",IF(OR(B179="",E179="",D179=""),"BP-ID, category, statement needed",IF(COUNTIF(Ref_BP!$A$2:$A$101,B179)=0,"BP-ID not in W03",IF(ISERROR(SEARCH("There is a risk that",E179)),"Use the risk statement formula",IF(AND(L179="Y",F179=""),"Assertion needed for SOX risk",IF(AND(L179="Y",G179=""),"Risk owner or TBC needed","OK"))))))</f>
        <v/>
      </c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6" t="str">
        <f aca="false">IF(OR(H180="",I180=""),"",H180*I180)</f>
        <v/>
      </c>
      <c r="K180" s="16" t="str">
        <f aca="false">IF(J180="","",IF(J180&gt;=6,"High",IF(J180&gt;=3,"Medium","Low")))</f>
        <v/>
      </c>
      <c r="L180" s="15"/>
      <c r="M180" s="15"/>
      <c r="N180" s="15"/>
      <c r="O180" s="15"/>
      <c r="P180" s="16" t="str">
        <f aca="false">IF(A180="","",IF(OR(B180="",E180="",D180=""),"BP-ID, category, statement needed",IF(COUNTIF(Ref_BP!$A$2:$A$101,B180)=0,"BP-ID not in W03",IF(ISERROR(SEARCH("There is a risk that",E180)),"Use the risk statement formula",IF(AND(L180="Y",F180=""),"Assertion needed for SOX risk",IF(AND(L180="Y",G180=""),"Risk owner or TBC needed","OK"))))))</f>
        <v/>
      </c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6" t="str">
        <f aca="false">IF(OR(H181="",I181=""),"",H181*I181)</f>
        <v/>
      </c>
      <c r="K181" s="16" t="str">
        <f aca="false">IF(J181="","",IF(J181&gt;=6,"High",IF(J181&gt;=3,"Medium","Low")))</f>
        <v/>
      </c>
      <c r="L181" s="15"/>
      <c r="M181" s="15"/>
      <c r="N181" s="15"/>
      <c r="O181" s="15"/>
      <c r="P181" s="16" t="str">
        <f aca="false">IF(A181="","",IF(OR(B181="",E181="",D181=""),"BP-ID, category, statement needed",IF(COUNTIF(Ref_BP!$A$2:$A$101,B181)=0,"BP-ID not in W03",IF(ISERROR(SEARCH("There is a risk that",E181)),"Use the risk statement formula",IF(AND(L181="Y",F181=""),"Assertion needed for SOX risk",IF(AND(L181="Y",G181=""),"Risk owner or TBC needed","OK"))))))</f>
        <v/>
      </c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6" t="str">
        <f aca="false">IF(OR(H182="",I182=""),"",H182*I182)</f>
        <v/>
      </c>
      <c r="K182" s="16" t="str">
        <f aca="false">IF(J182="","",IF(J182&gt;=6,"High",IF(J182&gt;=3,"Medium","Low")))</f>
        <v/>
      </c>
      <c r="L182" s="15"/>
      <c r="M182" s="15"/>
      <c r="N182" s="15"/>
      <c r="O182" s="15"/>
      <c r="P182" s="16" t="str">
        <f aca="false">IF(A182="","",IF(OR(B182="",E182="",D182=""),"BP-ID, category, statement needed",IF(COUNTIF(Ref_BP!$A$2:$A$101,B182)=0,"BP-ID not in W03",IF(ISERROR(SEARCH("There is a risk that",E182)),"Use the risk statement formula",IF(AND(L182="Y",F182=""),"Assertion needed for SOX risk",IF(AND(L182="Y",G182=""),"Risk owner or TBC needed","OK"))))))</f>
        <v/>
      </c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6" t="str">
        <f aca="false">IF(OR(H183="",I183=""),"",H183*I183)</f>
        <v/>
      </c>
      <c r="K183" s="16" t="str">
        <f aca="false">IF(J183="","",IF(J183&gt;=6,"High",IF(J183&gt;=3,"Medium","Low")))</f>
        <v/>
      </c>
      <c r="L183" s="15"/>
      <c r="M183" s="15"/>
      <c r="N183" s="15"/>
      <c r="O183" s="15"/>
      <c r="P183" s="16" t="str">
        <f aca="false">IF(A183="","",IF(OR(B183="",E183="",D183=""),"BP-ID, category, statement needed",IF(COUNTIF(Ref_BP!$A$2:$A$101,B183)=0,"BP-ID not in W03",IF(ISERROR(SEARCH("There is a risk that",E183)),"Use the risk statement formula",IF(AND(L183="Y",F183=""),"Assertion needed for SOX risk",IF(AND(L183="Y",G183=""),"Risk owner or TBC needed","OK"))))))</f>
        <v/>
      </c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6" t="str">
        <f aca="false">IF(OR(H184="",I184=""),"",H184*I184)</f>
        <v/>
      </c>
      <c r="K184" s="16" t="str">
        <f aca="false">IF(J184="","",IF(J184&gt;=6,"High",IF(J184&gt;=3,"Medium","Low")))</f>
        <v/>
      </c>
      <c r="L184" s="15"/>
      <c r="M184" s="15"/>
      <c r="N184" s="15"/>
      <c r="O184" s="15"/>
      <c r="P184" s="16" t="str">
        <f aca="false">IF(A184="","",IF(OR(B184="",E184="",D184=""),"BP-ID, category, statement needed",IF(COUNTIF(Ref_BP!$A$2:$A$101,B184)=0,"BP-ID not in W03",IF(ISERROR(SEARCH("There is a risk that",E184)),"Use the risk statement formula",IF(AND(L184="Y",F184=""),"Assertion needed for SOX risk",IF(AND(L184="Y",G184=""),"Risk owner or TBC needed","OK"))))))</f>
        <v/>
      </c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6" t="str">
        <f aca="false">IF(OR(H185="",I185=""),"",H185*I185)</f>
        <v/>
      </c>
      <c r="K185" s="16" t="str">
        <f aca="false">IF(J185="","",IF(J185&gt;=6,"High",IF(J185&gt;=3,"Medium","Low")))</f>
        <v/>
      </c>
      <c r="L185" s="15"/>
      <c r="M185" s="15"/>
      <c r="N185" s="15"/>
      <c r="O185" s="15"/>
      <c r="P185" s="16" t="str">
        <f aca="false">IF(A185="","",IF(OR(B185="",E185="",D185=""),"BP-ID, category, statement needed",IF(COUNTIF(Ref_BP!$A$2:$A$101,B185)=0,"BP-ID not in W03",IF(ISERROR(SEARCH("There is a risk that",E185)),"Use the risk statement formula",IF(AND(L185="Y",F185=""),"Assertion needed for SOX risk",IF(AND(L185="Y",G185=""),"Risk owner or TBC needed","OK"))))))</f>
        <v/>
      </c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6" t="str">
        <f aca="false">IF(OR(H186="",I186=""),"",H186*I186)</f>
        <v/>
      </c>
      <c r="K186" s="16" t="str">
        <f aca="false">IF(J186="","",IF(J186&gt;=6,"High",IF(J186&gt;=3,"Medium","Low")))</f>
        <v/>
      </c>
      <c r="L186" s="15"/>
      <c r="M186" s="15"/>
      <c r="N186" s="15"/>
      <c r="O186" s="15"/>
      <c r="P186" s="16" t="str">
        <f aca="false">IF(A186="","",IF(OR(B186="",E186="",D186=""),"BP-ID, category, statement needed",IF(COUNTIF(Ref_BP!$A$2:$A$101,B186)=0,"BP-ID not in W03",IF(ISERROR(SEARCH("There is a risk that",E186)),"Use the risk statement formula",IF(AND(L186="Y",F186=""),"Assertion needed for SOX risk",IF(AND(L186="Y",G186=""),"Risk owner or TBC needed","OK"))))))</f>
        <v/>
      </c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6" t="str">
        <f aca="false">IF(OR(H187="",I187=""),"",H187*I187)</f>
        <v/>
      </c>
      <c r="K187" s="16" t="str">
        <f aca="false">IF(J187="","",IF(J187&gt;=6,"High",IF(J187&gt;=3,"Medium","Low")))</f>
        <v/>
      </c>
      <c r="L187" s="15"/>
      <c r="M187" s="15"/>
      <c r="N187" s="15"/>
      <c r="O187" s="15"/>
      <c r="P187" s="16" t="str">
        <f aca="false">IF(A187="","",IF(OR(B187="",E187="",D187=""),"BP-ID, category, statement needed",IF(COUNTIF(Ref_BP!$A$2:$A$101,B187)=0,"BP-ID not in W03",IF(ISERROR(SEARCH("There is a risk that",E187)),"Use the risk statement formula",IF(AND(L187="Y",F187=""),"Assertion needed for SOX risk",IF(AND(L187="Y",G187=""),"Risk owner or TBC needed","OK"))))))</f>
        <v/>
      </c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6" t="str">
        <f aca="false">IF(OR(H188="",I188=""),"",H188*I188)</f>
        <v/>
      </c>
      <c r="K188" s="16" t="str">
        <f aca="false">IF(J188="","",IF(J188&gt;=6,"High",IF(J188&gt;=3,"Medium","Low")))</f>
        <v/>
      </c>
      <c r="L188" s="15"/>
      <c r="M188" s="15"/>
      <c r="N188" s="15"/>
      <c r="O188" s="15"/>
      <c r="P188" s="16" t="str">
        <f aca="false">IF(A188="","",IF(OR(B188="",E188="",D188=""),"BP-ID, category, statement needed",IF(COUNTIF(Ref_BP!$A$2:$A$101,B188)=0,"BP-ID not in W03",IF(ISERROR(SEARCH("There is a risk that",E188)),"Use the risk statement formula",IF(AND(L188="Y",F188=""),"Assertion needed for SOX risk",IF(AND(L188="Y",G188=""),"Risk owner or TBC needed","OK"))))))</f>
        <v/>
      </c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6" t="str">
        <f aca="false">IF(OR(H189="",I189=""),"",H189*I189)</f>
        <v/>
      </c>
      <c r="K189" s="16" t="str">
        <f aca="false">IF(J189="","",IF(J189&gt;=6,"High",IF(J189&gt;=3,"Medium","Low")))</f>
        <v/>
      </c>
      <c r="L189" s="15"/>
      <c r="M189" s="15"/>
      <c r="N189" s="15"/>
      <c r="O189" s="15"/>
      <c r="P189" s="16" t="str">
        <f aca="false">IF(A189="","",IF(OR(B189="",E189="",D189=""),"BP-ID, category, statement needed",IF(COUNTIF(Ref_BP!$A$2:$A$101,B189)=0,"BP-ID not in W03",IF(ISERROR(SEARCH("There is a risk that",E189)),"Use the risk statement formula",IF(AND(L189="Y",F189=""),"Assertion needed for SOX risk",IF(AND(L189="Y",G189=""),"Risk owner or TBC needed","OK"))))))</f>
        <v/>
      </c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6" t="str">
        <f aca="false">IF(OR(H190="",I190=""),"",H190*I190)</f>
        <v/>
      </c>
      <c r="K190" s="16" t="str">
        <f aca="false">IF(J190="","",IF(J190&gt;=6,"High",IF(J190&gt;=3,"Medium","Low")))</f>
        <v/>
      </c>
      <c r="L190" s="15"/>
      <c r="M190" s="15"/>
      <c r="N190" s="15"/>
      <c r="O190" s="15"/>
      <c r="P190" s="16" t="str">
        <f aca="false">IF(A190="","",IF(OR(B190="",E190="",D190=""),"BP-ID, category, statement needed",IF(COUNTIF(Ref_BP!$A$2:$A$101,B190)=0,"BP-ID not in W03",IF(ISERROR(SEARCH("There is a risk that",E190)),"Use the risk statement formula",IF(AND(L190="Y",F190=""),"Assertion needed for SOX risk",IF(AND(L190="Y",G190=""),"Risk owner or TBC needed","OK"))))))</f>
        <v/>
      </c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6" t="str">
        <f aca="false">IF(OR(H191="",I191=""),"",H191*I191)</f>
        <v/>
      </c>
      <c r="K191" s="16" t="str">
        <f aca="false">IF(J191="","",IF(J191&gt;=6,"High",IF(J191&gt;=3,"Medium","Low")))</f>
        <v/>
      </c>
      <c r="L191" s="15"/>
      <c r="M191" s="15"/>
      <c r="N191" s="15"/>
      <c r="O191" s="15"/>
      <c r="P191" s="16" t="str">
        <f aca="false">IF(A191="","",IF(OR(B191="",E191="",D191=""),"BP-ID, category, statement needed",IF(COUNTIF(Ref_BP!$A$2:$A$101,B191)=0,"BP-ID not in W03",IF(ISERROR(SEARCH("There is a risk that",E191)),"Use the risk statement formula",IF(AND(L191="Y",F191=""),"Assertion needed for SOX risk",IF(AND(L191="Y",G191=""),"Risk owner or TBC needed","OK"))))))</f>
        <v/>
      </c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6" t="str">
        <f aca="false">IF(OR(H192="",I192=""),"",H192*I192)</f>
        <v/>
      </c>
      <c r="K192" s="16" t="str">
        <f aca="false">IF(J192="","",IF(J192&gt;=6,"High",IF(J192&gt;=3,"Medium","Low")))</f>
        <v/>
      </c>
      <c r="L192" s="15"/>
      <c r="M192" s="15"/>
      <c r="N192" s="15"/>
      <c r="O192" s="15"/>
      <c r="P192" s="16" t="str">
        <f aca="false">IF(A192="","",IF(OR(B192="",E192="",D192=""),"BP-ID, category, statement needed",IF(COUNTIF(Ref_BP!$A$2:$A$101,B192)=0,"BP-ID not in W03",IF(ISERROR(SEARCH("There is a risk that",E192)),"Use the risk statement formula",IF(AND(L192="Y",F192=""),"Assertion needed for SOX risk",IF(AND(L192="Y",G192=""),"Risk owner or TBC needed","OK"))))))</f>
        <v/>
      </c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6" t="str">
        <f aca="false">IF(OR(H193="",I193=""),"",H193*I193)</f>
        <v/>
      </c>
      <c r="K193" s="16" t="str">
        <f aca="false">IF(J193="","",IF(J193&gt;=6,"High",IF(J193&gt;=3,"Medium","Low")))</f>
        <v/>
      </c>
      <c r="L193" s="15"/>
      <c r="M193" s="15"/>
      <c r="N193" s="15"/>
      <c r="O193" s="15"/>
      <c r="P193" s="16" t="str">
        <f aca="false">IF(A193="","",IF(OR(B193="",E193="",D193=""),"BP-ID, category, statement needed",IF(COUNTIF(Ref_BP!$A$2:$A$101,B193)=0,"BP-ID not in W03",IF(ISERROR(SEARCH("There is a risk that",E193)),"Use the risk statement formula",IF(AND(L193="Y",F193=""),"Assertion needed for SOX risk",IF(AND(L193="Y",G193=""),"Risk owner or TBC needed","OK"))))))</f>
        <v/>
      </c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6" t="str">
        <f aca="false">IF(OR(H194="",I194=""),"",H194*I194)</f>
        <v/>
      </c>
      <c r="K194" s="16" t="str">
        <f aca="false">IF(J194="","",IF(J194&gt;=6,"High",IF(J194&gt;=3,"Medium","Low")))</f>
        <v/>
      </c>
      <c r="L194" s="15"/>
      <c r="M194" s="15"/>
      <c r="N194" s="15"/>
      <c r="O194" s="15"/>
      <c r="P194" s="16" t="str">
        <f aca="false">IF(A194="","",IF(OR(B194="",E194="",D194=""),"BP-ID, category, statement needed",IF(COUNTIF(Ref_BP!$A$2:$A$101,B194)=0,"BP-ID not in W03",IF(ISERROR(SEARCH("There is a risk that",E194)),"Use the risk statement formula",IF(AND(L194="Y",F194=""),"Assertion needed for SOX risk",IF(AND(L194="Y",G194=""),"Risk owner or TBC needed","OK"))))))</f>
        <v/>
      </c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6" t="str">
        <f aca="false">IF(OR(H195="",I195=""),"",H195*I195)</f>
        <v/>
      </c>
      <c r="K195" s="16" t="str">
        <f aca="false">IF(J195="","",IF(J195&gt;=6,"High",IF(J195&gt;=3,"Medium","Low")))</f>
        <v/>
      </c>
      <c r="L195" s="15"/>
      <c r="M195" s="15"/>
      <c r="N195" s="15"/>
      <c r="O195" s="15"/>
      <c r="P195" s="16" t="str">
        <f aca="false">IF(A195="","",IF(OR(B195="",E195="",D195=""),"BP-ID, category, statement needed",IF(COUNTIF(Ref_BP!$A$2:$A$101,B195)=0,"BP-ID not in W03",IF(ISERROR(SEARCH("There is a risk that",E195)),"Use the risk statement formula",IF(AND(L195="Y",F195=""),"Assertion needed for SOX risk",IF(AND(L195="Y",G195=""),"Risk owner or TBC needed","OK"))))))</f>
        <v/>
      </c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6" t="str">
        <f aca="false">IF(OR(H196="",I196=""),"",H196*I196)</f>
        <v/>
      </c>
      <c r="K196" s="16" t="str">
        <f aca="false">IF(J196="","",IF(J196&gt;=6,"High",IF(J196&gt;=3,"Medium","Low")))</f>
        <v/>
      </c>
      <c r="L196" s="15"/>
      <c r="M196" s="15"/>
      <c r="N196" s="15"/>
      <c r="O196" s="15"/>
      <c r="P196" s="16" t="str">
        <f aca="false">IF(A196="","",IF(OR(B196="",E196="",D196=""),"BP-ID, category, statement needed",IF(COUNTIF(Ref_BP!$A$2:$A$101,B196)=0,"BP-ID not in W03",IF(ISERROR(SEARCH("There is a risk that",E196)),"Use the risk statement formula",IF(AND(L196="Y",F196=""),"Assertion needed for SOX risk",IF(AND(L196="Y",G196=""),"Risk owner or TBC needed","OK"))))))</f>
        <v/>
      </c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6" t="str">
        <f aca="false">IF(OR(H197="",I197=""),"",H197*I197)</f>
        <v/>
      </c>
      <c r="K197" s="16" t="str">
        <f aca="false">IF(J197="","",IF(J197&gt;=6,"High",IF(J197&gt;=3,"Medium","Low")))</f>
        <v/>
      </c>
      <c r="L197" s="15"/>
      <c r="M197" s="15"/>
      <c r="N197" s="15"/>
      <c r="O197" s="15"/>
      <c r="P197" s="16" t="str">
        <f aca="false">IF(A197="","",IF(OR(B197="",E197="",D197=""),"BP-ID, category, statement needed",IF(COUNTIF(Ref_BP!$A$2:$A$101,B197)=0,"BP-ID not in W03",IF(ISERROR(SEARCH("There is a risk that",E197)),"Use the risk statement formula",IF(AND(L197="Y",F197=""),"Assertion needed for SOX risk",IF(AND(L197="Y",G197=""),"Risk owner or TBC needed","OK"))))))</f>
        <v/>
      </c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6" t="str">
        <f aca="false">IF(OR(H198="",I198=""),"",H198*I198)</f>
        <v/>
      </c>
      <c r="K198" s="16" t="str">
        <f aca="false">IF(J198="","",IF(J198&gt;=6,"High",IF(J198&gt;=3,"Medium","Low")))</f>
        <v/>
      </c>
      <c r="L198" s="15"/>
      <c r="M198" s="15"/>
      <c r="N198" s="15"/>
      <c r="O198" s="15"/>
      <c r="P198" s="16" t="str">
        <f aca="false">IF(A198="","",IF(OR(B198="",E198="",D198=""),"BP-ID, category, statement needed",IF(COUNTIF(Ref_BP!$A$2:$A$101,B198)=0,"BP-ID not in W03",IF(ISERROR(SEARCH("There is a risk that",E198)),"Use the risk statement formula",IF(AND(L198="Y",F198=""),"Assertion needed for SOX risk",IF(AND(L198="Y",G198=""),"Risk owner or TBC needed","OK"))))))</f>
        <v/>
      </c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6" t="str">
        <f aca="false">IF(OR(H199="",I199=""),"",H199*I199)</f>
        <v/>
      </c>
      <c r="K199" s="16" t="str">
        <f aca="false">IF(J199="","",IF(J199&gt;=6,"High",IF(J199&gt;=3,"Medium","Low")))</f>
        <v/>
      </c>
      <c r="L199" s="15"/>
      <c r="M199" s="15"/>
      <c r="N199" s="15"/>
      <c r="O199" s="15"/>
      <c r="P199" s="16" t="str">
        <f aca="false">IF(A199="","",IF(OR(B199="",E199="",D199=""),"BP-ID, category, statement needed",IF(COUNTIF(Ref_BP!$A$2:$A$101,B199)=0,"BP-ID not in W03",IF(ISERROR(SEARCH("There is a risk that",E199)),"Use the risk statement formula",IF(AND(L199="Y",F199=""),"Assertion needed for SOX risk",IF(AND(L199="Y",G199=""),"Risk owner or TBC needed","OK"))))))</f>
        <v/>
      </c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6" t="str">
        <f aca="false">IF(OR(H200="",I200=""),"",H200*I200)</f>
        <v/>
      </c>
      <c r="K200" s="16" t="str">
        <f aca="false">IF(J200="","",IF(J200&gt;=6,"High",IF(J200&gt;=3,"Medium","Low")))</f>
        <v/>
      </c>
      <c r="L200" s="15"/>
      <c r="M200" s="15"/>
      <c r="N200" s="15"/>
      <c r="O200" s="15"/>
      <c r="P200" s="16" t="str">
        <f aca="false">IF(A200="","",IF(OR(B200="",E200="",D200=""),"BP-ID, category, statement needed",IF(COUNTIF(Ref_BP!$A$2:$A$101,B200)=0,"BP-ID not in W03",IF(ISERROR(SEARCH("There is a risk that",E200)),"Use the risk statement formula",IF(AND(L200="Y",F200=""),"Assertion needed for SOX risk",IF(AND(L200="Y",G200=""),"Risk owner or TBC needed","OK"))))))</f>
        <v/>
      </c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6" t="str">
        <f aca="false">IF(OR(H201="",I201=""),"",H201*I201)</f>
        <v/>
      </c>
      <c r="K201" s="16" t="str">
        <f aca="false">IF(J201="","",IF(J201&gt;=6,"High",IF(J201&gt;=3,"Medium","Low")))</f>
        <v/>
      </c>
      <c r="L201" s="15"/>
      <c r="M201" s="15"/>
      <c r="N201" s="15"/>
      <c r="O201" s="15"/>
      <c r="P201" s="16" t="str">
        <f aca="false">IF(A201="","",IF(OR(B201="",E201="",D201=""),"BP-ID, category, statement needed",IF(COUNTIF(Ref_BP!$A$2:$A$101,B201)=0,"BP-ID not in W03",IF(ISERROR(SEARCH("There is a risk that",E201)),"Use the risk statement formula",IF(AND(L201="Y",F201=""),"Assertion needed for SOX risk",IF(AND(L201="Y",G201=""),"Risk owner or TBC needed","OK"))))))</f>
        <v/>
      </c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6" t="str">
        <f aca="false">IF(OR(H202="",I202=""),"",H202*I202)</f>
        <v/>
      </c>
      <c r="K202" s="16" t="str">
        <f aca="false">IF(J202="","",IF(J202&gt;=6,"High",IF(J202&gt;=3,"Medium","Low")))</f>
        <v/>
      </c>
      <c r="L202" s="15"/>
      <c r="M202" s="15"/>
      <c r="N202" s="15"/>
      <c r="O202" s="15"/>
      <c r="P202" s="16" t="str">
        <f aca="false">IF(A202="","",IF(OR(B202="",E202="",D202=""),"BP-ID, category, statement needed",IF(COUNTIF(Ref_BP!$A$2:$A$101,B202)=0,"BP-ID not in W03",IF(ISERROR(SEARCH("There is a risk that",E202)),"Use the risk statement formula",IF(AND(L202="Y",F202=""),"Assertion needed for SOX risk",IF(AND(L202="Y",G202=""),"Risk owner or TBC needed","OK"))))))</f>
        <v/>
      </c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6" t="str">
        <f aca="false">IF(OR(H203="",I203=""),"",H203*I203)</f>
        <v/>
      </c>
      <c r="K203" s="16" t="str">
        <f aca="false">IF(J203="","",IF(J203&gt;=6,"High",IF(J203&gt;=3,"Medium","Low")))</f>
        <v/>
      </c>
      <c r="L203" s="15"/>
      <c r="M203" s="15"/>
      <c r="N203" s="15"/>
      <c r="O203" s="15"/>
      <c r="P203" s="16" t="str">
        <f aca="false">IF(A203="","",IF(OR(B203="",E203="",D203=""),"BP-ID, category, statement needed",IF(COUNTIF(Ref_BP!$A$2:$A$101,B203)=0,"BP-ID not in W03",IF(ISERROR(SEARCH("There is a risk that",E203)),"Use the risk statement formula",IF(AND(L203="Y",F203=""),"Assertion needed for SOX risk",IF(AND(L203="Y",G203=""),"Risk owner or TBC needed","OK"))))))</f>
        <v/>
      </c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6" t="str">
        <f aca="false">IF(OR(H204="",I204=""),"",H204*I204)</f>
        <v/>
      </c>
      <c r="K204" s="16" t="str">
        <f aca="false">IF(J204="","",IF(J204&gt;=6,"High",IF(J204&gt;=3,"Medium","Low")))</f>
        <v/>
      </c>
      <c r="L204" s="15"/>
      <c r="M204" s="15"/>
      <c r="N204" s="15"/>
      <c r="O204" s="15"/>
      <c r="P204" s="16" t="str">
        <f aca="false">IF(A204="","",IF(OR(B204="",E204="",D204=""),"BP-ID, category, statement needed",IF(COUNTIF(Ref_BP!$A$2:$A$101,B204)=0,"BP-ID not in W03",IF(ISERROR(SEARCH("There is a risk that",E204)),"Use the risk statement formula",IF(AND(L204="Y",F204=""),"Assertion needed for SOX risk",IF(AND(L204="Y",G204=""),"Risk owner or TBC needed","OK"))))))</f>
        <v/>
      </c>
    </row>
  </sheetData>
  <autoFilter ref="A4:P204"/>
  <dataValidations count="7">
    <dataValidation allowBlank="true" error="Pick a value from the list." errorStyle="warning" operator="between" showDropDown="false" showErrorMessage="true" showInputMessage="false" sqref="B5:B204" type="list">
      <formula1>Ref_BP!$A$2:$A$101</formula1>
      <formula2>0</formula2>
    </dataValidation>
    <dataValidation allowBlank="true" error="Pick a value from the list." errorStyle="stop" operator="between" showDropDown="false" showErrorMessage="true" showInputMessage="false" sqref="D5:D204" type="list">
      <formula1>Lists!$A$2:$A$10</formula1>
      <formula2>0</formula2>
    </dataValidation>
    <dataValidation allowBlank="true" error="Pick a value from the list." errorStyle="stop" operator="between" showDropDown="false" showErrorMessage="true" showInputMessage="false" sqref="H5:H204" type="list">
      <formula1>Lists!$B$2:$B$4</formula1>
      <formula2>0</formula2>
    </dataValidation>
    <dataValidation allowBlank="true" error="Pick a value from the list." errorStyle="stop" operator="between" showDropDown="false" showErrorMessage="true" showInputMessage="false" sqref="I5:I204" type="list">
      <formula1>Lists!$B$2:$B$4</formula1>
      <formula2>0</formula2>
    </dataValidation>
    <dataValidation allowBlank="true" error="Pick a value from the list." errorStyle="stop" operator="between" showDropDown="false" showErrorMessage="true" showInputMessage="false" sqref="L5:L204" type="list">
      <formula1>Lists!$C$2:$C$3</formula1>
      <formula2>0</formula2>
    </dataValidation>
    <dataValidation allowBlank="true" error="Pick a value from the list." errorStyle="stop" operator="between" showDropDown="false" showErrorMessage="true" showInputMessage="false" sqref="M5:M204" type="list">
      <formula1>Lists!$D$2:$D$6</formula1>
      <formula2>0</formula2>
    </dataValidation>
    <dataValidation allowBlank="true" error="Pick a value from the list." errorStyle="stop" operator="between" showDropDown="false" showErrorMessage="true" showInputMessage="false" sqref="N5:N204" type="list">
      <formula1>Lists!$E$2:$E$4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9" t="s">
        <v>85</v>
      </c>
    </row>
    <row r="2" customFormat="false" ht="15" hidden="false" customHeight="false" outlineLevel="0" collapsed="false">
      <c r="A2" s="10" t="s">
        <v>86</v>
      </c>
    </row>
    <row r="4" customFormat="false" ht="15" hidden="false" customHeight="false" outlineLevel="0" collapsed="false">
      <c r="A4" s="17" t="s">
        <v>30</v>
      </c>
      <c r="B4" s="17" t="s">
        <v>87</v>
      </c>
      <c r="C4" s="17" t="s">
        <v>88</v>
      </c>
      <c r="D4" s="17" t="s">
        <v>89</v>
      </c>
      <c r="E4" s="17" t="s">
        <v>63</v>
      </c>
    </row>
    <row r="5" customFormat="false" ht="15" hidden="false" customHeight="false" outlineLevel="0" collapsed="false">
      <c r="A5" s="18" t="str">
        <f aca="false">IF(Ref_BP!A2="","",Ref_BP!A2)</f>
        <v>BP-R2R-01</v>
      </c>
      <c r="B5" s="18" t="n">
        <f aca="false">IF(A5="","",COUNTIF(Risk_Register!$B$5:$B$204,A5))</f>
        <v>0</v>
      </c>
      <c r="C5" s="18" t="n">
        <f aca="false">IF(A5="","",COUNTIFS(Risk_Register!$B$5:$B$204,A5,Risk_Register!$K$5:$K$204,"High"))</f>
        <v>0</v>
      </c>
      <c r="D5" s="18" t="n">
        <f aca="false">IF(A5="","",COUNTIFS(Risk_Register!$B$5:$B$204,A5,Risk_Register!$L$5:$L$204,"Y"))</f>
        <v>0</v>
      </c>
      <c r="E5" s="18" t="str">
        <f aca="false">IF(A5="","",IF(B5=0,"NO RISK: add a risk","OK"))</f>
        <v>NO RISK: add a risk</v>
      </c>
    </row>
    <row r="6" customFormat="false" ht="15" hidden="false" customHeight="false" outlineLevel="0" collapsed="false">
      <c r="A6" s="18" t="str">
        <f aca="false">IF(Ref_BP!A3="","",Ref_BP!A3)</f>
        <v>BP-R2R-02</v>
      </c>
      <c r="B6" s="18" t="n">
        <f aca="false">IF(A6="","",COUNTIF(Risk_Register!$B$5:$B$204,A6))</f>
        <v>0</v>
      </c>
      <c r="C6" s="18" t="n">
        <f aca="false">IF(A6="","",COUNTIFS(Risk_Register!$B$5:$B$204,A6,Risk_Register!$K$5:$K$204,"High"))</f>
        <v>0</v>
      </c>
      <c r="D6" s="18" t="n">
        <f aca="false">IF(A6="","",COUNTIFS(Risk_Register!$B$5:$B$204,A6,Risk_Register!$L$5:$L$204,"Y"))</f>
        <v>0</v>
      </c>
      <c r="E6" s="18" t="str">
        <f aca="false">IF(A6="","",IF(B6=0,"NO RISK: add a risk","OK"))</f>
        <v>NO RISK: add a risk</v>
      </c>
    </row>
    <row r="7" customFormat="false" ht="15" hidden="false" customHeight="false" outlineLevel="0" collapsed="false">
      <c r="A7" s="18" t="str">
        <f aca="false">IF(Ref_BP!A4="","",Ref_BP!A4)</f>
        <v>BP-P2P-01</v>
      </c>
      <c r="B7" s="18" t="n">
        <f aca="false">IF(A7="","",COUNTIF(Risk_Register!$B$5:$B$204,A7))</f>
        <v>1</v>
      </c>
      <c r="C7" s="18" t="n">
        <f aca="false">IF(A7="","",COUNTIFS(Risk_Register!$B$5:$B$204,A7,Risk_Register!$K$5:$K$204,"High"))</f>
        <v>1</v>
      </c>
      <c r="D7" s="18" t="n">
        <f aca="false">IF(A7="","",COUNTIFS(Risk_Register!$B$5:$B$204,A7,Risk_Register!$L$5:$L$204,"Y"))</f>
        <v>1</v>
      </c>
      <c r="E7" s="18" t="str">
        <f aca="false">IF(A7="","",IF(B7=0,"NO RISK: add a risk","OK"))</f>
        <v>OK</v>
      </c>
    </row>
    <row r="8" customFormat="false" ht="15" hidden="false" customHeight="false" outlineLevel="0" collapsed="false">
      <c r="A8" s="18" t="str">
        <f aca="false">IF(Ref_BP!A5="","",Ref_BP!A5)</f>
        <v>BP-P2P-02</v>
      </c>
      <c r="B8" s="18" t="n">
        <f aca="false">IF(A8="","",COUNTIF(Risk_Register!$B$5:$B$204,A8))</f>
        <v>0</v>
      </c>
      <c r="C8" s="18" t="n">
        <f aca="false">IF(A8="","",COUNTIFS(Risk_Register!$B$5:$B$204,A8,Risk_Register!$K$5:$K$204,"High"))</f>
        <v>0</v>
      </c>
      <c r="D8" s="18" t="n">
        <f aca="false">IF(A8="","",COUNTIFS(Risk_Register!$B$5:$B$204,A8,Risk_Register!$L$5:$L$204,"Y"))</f>
        <v>0</v>
      </c>
      <c r="E8" s="18" t="str">
        <f aca="false">IF(A8="","",IF(B8=0,"NO RISK: add a risk","OK"))</f>
        <v>NO RISK: add a risk</v>
      </c>
    </row>
    <row r="9" customFormat="false" ht="15" hidden="false" customHeight="false" outlineLevel="0" collapsed="false">
      <c r="A9" s="18" t="str">
        <f aca="false">IF(Ref_BP!A6="","",Ref_BP!A6)</f>
        <v>BP-P2P-03</v>
      </c>
      <c r="B9" s="18" t="n">
        <f aca="false">IF(A9="","",COUNTIF(Risk_Register!$B$5:$B$204,A9))</f>
        <v>0</v>
      </c>
      <c r="C9" s="18" t="n">
        <f aca="false">IF(A9="","",COUNTIFS(Risk_Register!$B$5:$B$204,A9,Risk_Register!$K$5:$K$204,"High"))</f>
        <v>0</v>
      </c>
      <c r="D9" s="18" t="n">
        <f aca="false">IF(A9="","",COUNTIFS(Risk_Register!$B$5:$B$204,A9,Risk_Register!$L$5:$L$204,"Y"))</f>
        <v>0</v>
      </c>
      <c r="E9" s="18" t="str">
        <f aca="false">IF(A9="","",IF(B9=0,"NO RISK: add a risk","OK"))</f>
        <v>NO RISK: add a risk</v>
      </c>
    </row>
    <row r="10" customFormat="false" ht="15" hidden="false" customHeight="false" outlineLevel="0" collapsed="false">
      <c r="A10" s="18" t="str">
        <f aca="false">IF(Ref_BP!A7="","",Ref_BP!A7)</f>
        <v>BP-INV-01</v>
      </c>
      <c r="B10" s="18" t="n">
        <f aca="false">IF(A10="","",COUNTIF(Risk_Register!$B$5:$B$204,A10))</f>
        <v>0</v>
      </c>
      <c r="C10" s="18" t="n">
        <f aca="false">IF(A10="","",COUNTIFS(Risk_Register!$B$5:$B$204,A10,Risk_Register!$K$5:$K$204,"High"))</f>
        <v>0</v>
      </c>
      <c r="D10" s="18" t="n">
        <f aca="false">IF(A10="","",COUNTIFS(Risk_Register!$B$5:$B$204,A10,Risk_Register!$L$5:$L$204,"Y"))</f>
        <v>0</v>
      </c>
      <c r="E10" s="18" t="str">
        <f aca="false">IF(A10="","",IF(B10=0,"NO RISK: add a risk","OK"))</f>
        <v>NO RISK: add a risk</v>
      </c>
    </row>
    <row r="11" customFormat="false" ht="15" hidden="false" customHeight="false" outlineLevel="0" collapsed="false">
      <c r="A11" s="18" t="str">
        <f aca="false">IF(Ref_BP!A8="","",Ref_BP!A8)</f>
        <v>BP-O2C-01</v>
      </c>
      <c r="B11" s="18" t="n">
        <f aca="false">IF(A11="","",COUNTIF(Risk_Register!$B$5:$B$204,A11))</f>
        <v>0</v>
      </c>
      <c r="C11" s="18" t="n">
        <f aca="false">IF(A11="","",COUNTIFS(Risk_Register!$B$5:$B$204,A11,Risk_Register!$K$5:$K$204,"High"))</f>
        <v>0</v>
      </c>
      <c r="D11" s="18" t="n">
        <f aca="false">IF(A11="","",COUNTIFS(Risk_Register!$B$5:$B$204,A11,Risk_Register!$L$5:$L$204,"Y"))</f>
        <v>0</v>
      </c>
      <c r="E11" s="18" t="str">
        <f aca="false">IF(A11="","",IF(B11=0,"NO RISK: add a risk","OK"))</f>
        <v>NO RISK: add a risk</v>
      </c>
    </row>
    <row r="12" customFormat="false" ht="15" hidden="false" customHeight="false" outlineLevel="0" collapsed="false">
      <c r="A12" s="18" t="str">
        <f aca="false">IF(Ref_BP!A9="","",Ref_BP!A9)</f>
        <v>BP-O2C-02</v>
      </c>
      <c r="B12" s="18" t="n">
        <f aca="false">IF(A12="","",COUNTIF(Risk_Register!$B$5:$B$204,A12))</f>
        <v>0</v>
      </c>
      <c r="C12" s="18" t="n">
        <f aca="false">IF(A12="","",COUNTIFS(Risk_Register!$B$5:$B$204,A12,Risk_Register!$K$5:$K$204,"High"))</f>
        <v>0</v>
      </c>
      <c r="D12" s="18" t="n">
        <f aca="false">IF(A12="","",COUNTIFS(Risk_Register!$B$5:$B$204,A12,Risk_Register!$L$5:$L$204,"Y"))</f>
        <v>0</v>
      </c>
      <c r="E12" s="18" t="str">
        <f aca="false">IF(A12="","",IF(B12=0,"NO RISK: add a risk","OK"))</f>
        <v>NO RISK: add a risk</v>
      </c>
    </row>
    <row r="13" customFormat="false" ht="15" hidden="false" customHeight="false" outlineLevel="0" collapsed="false">
      <c r="A13" s="18" t="str">
        <f aca="false">IF(Ref_BP!A10="","",Ref_BP!A10)</f>
        <v>BP-H2R-01</v>
      </c>
      <c r="B13" s="18" t="n">
        <f aca="false">IF(A13="","",COUNTIF(Risk_Register!$B$5:$B$204,A13))</f>
        <v>0</v>
      </c>
      <c r="C13" s="18" t="n">
        <f aca="false">IF(A13="","",COUNTIFS(Risk_Register!$B$5:$B$204,A13,Risk_Register!$K$5:$K$204,"High"))</f>
        <v>0</v>
      </c>
      <c r="D13" s="18" t="n">
        <f aca="false">IF(A13="","",COUNTIFS(Risk_Register!$B$5:$B$204,A13,Risk_Register!$L$5:$L$204,"Y"))</f>
        <v>0</v>
      </c>
      <c r="E13" s="18" t="str">
        <f aca="false">IF(A13="","",IF(B13=0,"NO RISK: add a risk","OK"))</f>
        <v>NO RISK: add a risk</v>
      </c>
    </row>
    <row r="14" customFormat="false" ht="15" hidden="false" customHeight="false" outlineLevel="0" collapsed="false">
      <c r="A14" s="18" t="str">
        <f aca="false">IF(Ref_BP!A11="","",Ref_BP!A11)</f>
        <v>BP-TECH-01</v>
      </c>
      <c r="B14" s="18" t="n">
        <f aca="false">IF(A14="","",COUNTIF(Risk_Register!$B$5:$B$204,A14))</f>
        <v>0</v>
      </c>
      <c r="C14" s="18" t="n">
        <f aca="false">IF(A14="","",COUNTIFS(Risk_Register!$B$5:$B$204,A14,Risk_Register!$K$5:$K$204,"High"))</f>
        <v>0</v>
      </c>
      <c r="D14" s="18" t="n">
        <f aca="false">IF(A14="","",COUNTIFS(Risk_Register!$B$5:$B$204,A14,Risk_Register!$L$5:$L$204,"Y"))</f>
        <v>0</v>
      </c>
      <c r="E14" s="18" t="str">
        <f aca="false">IF(A14="","",IF(B14=0,"NO RISK: add a risk","OK"))</f>
        <v>NO RISK: add a risk</v>
      </c>
    </row>
    <row r="15" customFormat="false" ht="15" hidden="false" customHeight="false" outlineLevel="0" collapsed="false">
      <c r="A15" s="18" t="str">
        <f aca="false">IF(Ref_BP!A12="","",Ref_BP!A12)</f>
        <v>BP-TECH-02</v>
      </c>
      <c r="B15" s="18" t="n">
        <f aca="false">IF(A15="","",COUNTIF(Risk_Register!$B$5:$B$204,A15))</f>
        <v>0</v>
      </c>
      <c r="C15" s="18" t="n">
        <f aca="false">IF(A15="","",COUNTIFS(Risk_Register!$B$5:$B$204,A15,Risk_Register!$K$5:$K$204,"High"))</f>
        <v>0</v>
      </c>
      <c r="D15" s="18" t="n">
        <f aca="false">IF(A15="","",COUNTIFS(Risk_Register!$B$5:$B$204,A15,Risk_Register!$L$5:$L$204,"Y"))</f>
        <v>0</v>
      </c>
      <c r="E15" s="18" t="str">
        <f aca="false">IF(A15="","",IF(B15=0,"NO RISK: add a risk","OK"))</f>
        <v>NO RISK: add a risk</v>
      </c>
    </row>
    <row r="16" customFormat="false" ht="15" hidden="false" customHeight="false" outlineLevel="0" collapsed="false">
      <c r="A16" s="18" t="str">
        <f aca="false">IF(Ref_BP!A13="","",Ref_BP!A13)</f>
        <v>BP-TECH-03</v>
      </c>
      <c r="B16" s="18" t="n">
        <f aca="false">IF(A16="","",COUNTIF(Risk_Register!$B$5:$B$204,A16))</f>
        <v>0</v>
      </c>
      <c r="C16" s="18" t="n">
        <f aca="false">IF(A16="","",COUNTIFS(Risk_Register!$B$5:$B$204,A16,Risk_Register!$K$5:$K$204,"High"))</f>
        <v>0</v>
      </c>
      <c r="D16" s="18" t="n">
        <f aca="false">IF(A16="","",COUNTIFS(Risk_Register!$B$5:$B$204,A16,Risk_Register!$L$5:$L$204,"Y"))</f>
        <v>0</v>
      </c>
      <c r="E16" s="18" t="str">
        <f aca="false">IF(A16="","",IF(B16=0,"NO RISK: add a risk","OK"))</f>
        <v>NO RISK: add a risk</v>
      </c>
    </row>
    <row r="17" customFormat="false" ht="15" hidden="false" customHeight="false" outlineLevel="0" collapsed="false">
      <c r="A17" s="18" t="str">
        <f aca="false">IF(Ref_BP!A14="","",Ref_BP!A14)</f>
        <v/>
      </c>
      <c r="B17" s="18" t="str">
        <f aca="false">IF(A17="","",COUNTIF(Risk_Register!$B$5:$B$204,A17))</f>
        <v/>
      </c>
      <c r="C17" s="18" t="str">
        <f aca="false">IF(A17="","",COUNTIFS(Risk_Register!$B$5:$B$204,A17,Risk_Register!$K$5:$K$204,"High"))</f>
        <v/>
      </c>
      <c r="D17" s="18" t="str">
        <f aca="false">IF(A17="","",COUNTIFS(Risk_Register!$B$5:$B$204,A17,Risk_Register!$L$5:$L$204,"Y"))</f>
        <v/>
      </c>
      <c r="E17" s="18" t="str">
        <f aca="false">IF(A17="","",IF(B17=0,"NO RISK: add a risk","OK"))</f>
        <v/>
      </c>
    </row>
    <row r="18" customFormat="false" ht="15" hidden="false" customHeight="false" outlineLevel="0" collapsed="false">
      <c r="A18" s="18" t="str">
        <f aca="false">IF(Ref_BP!A15="","",Ref_BP!A15)</f>
        <v/>
      </c>
      <c r="B18" s="18" t="str">
        <f aca="false">IF(A18="","",COUNTIF(Risk_Register!$B$5:$B$204,A18))</f>
        <v/>
      </c>
      <c r="C18" s="18" t="str">
        <f aca="false">IF(A18="","",COUNTIFS(Risk_Register!$B$5:$B$204,A18,Risk_Register!$K$5:$K$204,"High"))</f>
        <v/>
      </c>
      <c r="D18" s="18" t="str">
        <f aca="false">IF(A18="","",COUNTIFS(Risk_Register!$B$5:$B$204,A18,Risk_Register!$L$5:$L$204,"Y"))</f>
        <v/>
      </c>
      <c r="E18" s="18" t="str">
        <f aca="false">IF(A18="","",IF(B18=0,"NO RISK: add a risk","OK"))</f>
        <v/>
      </c>
    </row>
    <row r="19" customFormat="false" ht="15" hidden="false" customHeight="false" outlineLevel="0" collapsed="false">
      <c r="A19" s="18" t="str">
        <f aca="false">IF(Ref_BP!A16="","",Ref_BP!A16)</f>
        <v/>
      </c>
      <c r="B19" s="18" t="str">
        <f aca="false">IF(A19="","",COUNTIF(Risk_Register!$B$5:$B$204,A19))</f>
        <v/>
      </c>
      <c r="C19" s="18" t="str">
        <f aca="false">IF(A19="","",COUNTIFS(Risk_Register!$B$5:$B$204,A19,Risk_Register!$K$5:$K$204,"High"))</f>
        <v/>
      </c>
      <c r="D19" s="18" t="str">
        <f aca="false">IF(A19="","",COUNTIFS(Risk_Register!$B$5:$B$204,A19,Risk_Register!$L$5:$L$204,"Y"))</f>
        <v/>
      </c>
      <c r="E19" s="18" t="str">
        <f aca="false">IF(A19="","",IF(B19=0,"NO RISK: add a risk","OK"))</f>
        <v/>
      </c>
    </row>
    <row r="20" customFormat="false" ht="15" hidden="false" customHeight="false" outlineLevel="0" collapsed="false">
      <c r="A20" s="18" t="str">
        <f aca="false">IF(Ref_BP!A17="","",Ref_BP!A17)</f>
        <v/>
      </c>
      <c r="B20" s="18" t="str">
        <f aca="false">IF(A20="","",COUNTIF(Risk_Register!$B$5:$B$204,A20))</f>
        <v/>
      </c>
      <c r="C20" s="18" t="str">
        <f aca="false">IF(A20="","",COUNTIFS(Risk_Register!$B$5:$B$204,A20,Risk_Register!$K$5:$K$204,"High"))</f>
        <v/>
      </c>
      <c r="D20" s="18" t="str">
        <f aca="false">IF(A20="","",COUNTIFS(Risk_Register!$B$5:$B$204,A20,Risk_Register!$L$5:$L$204,"Y"))</f>
        <v/>
      </c>
      <c r="E20" s="18" t="str">
        <f aca="false">IF(A20="","",IF(B20=0,"NO RISK: add a risk","OK"))</f>
        <v/>
      </c>
    </row>
    <row r="21" customFormat="false" ht="15" hidden="false" customHeight="false" outlineLevel="0" collapsed="false">
      <c r="A21" s="18" t="str">
        <f aca="false">IF(Ref_BP!A18="","",Ref_BP!A18)</f>
        <v/>
      </c>
      <c r="B21" s="18" t="str">
        <f aca="false">IF(A21="","",COUNTIF(Risk_Register!$B$5:$B$204,A21))</f>
        <v/>
      </c>
      <c r="C21" s="18" t="str">
        <f aca="false">IF(A21="","",COUNTIFS(Risk_Register!$B$5:$B$204,A21,Risk_Register!$K$5:$K$204,"High"))</f>
        <v/>
      </c>
      <c r="D21" s="18" t="str">
        <f aca="false">IF(A21="","",COUNTIFS(Risk_Register!$B$5:$B$204,A21,Risk_Register!$L$5:$L$204,"Y"))</f>
        <v/>
      </c>
      <c r="E21" s="18" t="str">
        <f aca="false">IF(A21="","",IF(B21=0,"NO RISK: add a risk","OK"))</f>
        <v/>
      </c>
    </row>
    <row r="22" customFormat="false" ht="15" hidden="false" customHeight="false" outlineLevel="0" collapsed="false">
      <c r="A22" s="18" t="str">
        <f aca="false">IF(Ref_BP!A19="","",Ref_BP!A19)</f>
        <v/>
      </c>
      <c r="B22" s="18" t="str">
        <f aca="false">IF(A22="","",COUNTIF(Risk_Register!$B$5:$B$204,A22))</f>
        <v/>
      </c>
      <c r="C22" s="18" t="str">
        <f aca="false">IF(A22="","",COUNTIFS(Risk_Register!$B$5:$B$204,A22,Risk_Register!$K$5:$K$204,"High"))</f>
        <v/>
      </c>
      <c r="D22" s="18" t="str">
        <f aca="false">IF(A22="","",COUNTIFS(Risk_Register!$B$5:$B$204,A22,Risk_Register!$L$5:$L$204,"Y"))</f>
        <v/>
      </c>
      <c r="E22" s="18" t="str">
        <f aca="false">IF(A22="","",IF(B22=0,"NO RISK: add a risk","OK"))</f>
        <v/>
      </c>
    </row>
    <row r="23" customFormat="false" ht="15" hidden="false" customHeight="false" outlineLevel="0" collapsed="false">
      <c r="A23" s="18" t="str">
        <f aca="false">IF(Ref_BP!A20="","",Ref_BP!A20)</f>
        <v/>
      </c>
      <c r="B23" s="18" t="str">
        <f aca="false">IF(A23="","",COUNTIF(Risk_Register!$B$5:$B$204,A23))</f>
        <v/>
      </c>
      <c r="C23" s="18" t="str">
        <f aca="false">IF(A23="","",COUNTIFS(Risk_Register!$B$5:$B$204,A23,Risk_Register!$K$5:$K$204,"High"))</f>
        <v/>
      </c>
      <c r="D23" s="18" t="str">
        <f aca="false">IF(A23="","",COUNTIFS(Risk_Register!$B$5:$B$204,A23,Risk_Register!$L$5:$L$204,"Y"))</f>
        <v/>
      </c>
      <c r="E23" s="18" t="str">
        <f aca="false">IF(A23="","",IF(B23=0,"NO RISK: add a risk","OK"))</f>
        <v/>
      </c>
    </row>
    <row r="24" customFormat="false" ht="15" hidden="false" customHeight="false" outlineLevel="0" collapsed="false">
      <c r="A24" s="18" t="str">
        <f aca="false">IF(Ref_BP!A21="","",Ref_BP!A21)</f>
        <v/>
      </c>
      <c r="B24" s="18" t="str">
        <f aca="false">IF(A24="","",COUNTIF(Risk_Register!$B$5:$B$204,A24))</f>
        <v/>
      </c>
      <c r="C24" s="18" t="str">
        <f aca="false">IF(A24="","",COUNTIFS(Risk_Register!$B$5:$B$204,A24,Risk_Register!$K$5:$K$204,"High"))</f>
        <v/>
      </c>
      <c r="D24" s="18" t="str">
        <f aca="false">IF(A24="","",COUNTIFS(Risk_Register!$B$5:$B$204,A24,Risk_Register!$L$5:$L$204,"Y"))</f>
        <v/>
      </c>
      <c r="E24" s="18" t="str">
        <f aca="false">IF(A24="","",IF(B24=0,"NO RISK: add a risk","OK"))</f>
        <v/>
      </c>
    </row>
    <row r="25" customFormat="false" ht="15" hidden="false" customHeight="false" outlineLevel="0" collapsed="false">
      <c r="A25" s="18" t="str">
        <f aca="false">IF(Ref_BP!A22="","",Ref_BP!A22)</f>
        <v/>
      </c>
      <c r="B25" s="18" t="str">
        <f aca="false">IF(A25="","",COUNTIF(Risk_Register!$B$5:$B$204,A25))</f>
        <v/>
      </c>
      <c r="C25" s="18" t="str">
        <f aca="false">IF(A25="","",COUNTIFS(Risk_Register!$B$5:$B$204,A25,Risk_Register!$K$5:$K$204,"High"))</f>
        <v/>
      </c>
      <c r="D25" s="18" t="str">
        <f aca="false">IF(A25="","",COUNTIFS(Risk_Register!$B$5:$B$204,A25,Risk_Register!$L$5:$L$204,"Y"))</f>
        <v/>
      </c>
      <c r="E25" s="18" t="str">
        <f aca="false">IF(A25="","",IF(B25=0,"NO RISK: add a risk","OK"))</f>
        <v/>
      </c>
    </row>
    <row r="26" customFormat="false" ht="15" hidden="false" customHeight="false" outlineLevel="0" collapsed="false">
      <c r="A26" s="18" t="str">
        <f aca="false">IF(Ref_BP!A23="","",Ref_BP!A23)</f>
        <v/>
      </c>
      <c r="B26" s="18" t="str">
        <f aca="false">IF(A26="","",COUNTIF(Risk_Register!$B$5:$B$204,A26))</f>
        <v/>
      </c>
      <c r="C26" s="18" t="str">
        <f aca="false">IF(A26="","",COUNTIFS(Risk_Register!$B$5:$B$204,A26,Risk_Register!$K$5:$K$204,"High"))</f>
        <v/>
      </c>
      <c r="D26" s="18" t="str">
        <f aca="false">IF(A26="","",COUNTIFS(Risk_Register!$B$5:$B$204,A26,Risk_Register!$L$5:$L$204,"Y"))</f>
        <v/>
      </c>
      <c r="E26" s="18" t="str">
        <f aca="false">IF(A26="","",IF(B26=0,"NO RISK: add a risk","OK"))</f>
        <v/>
      </c>
    </row>
    <row r="27" customFormat="false" ht="15" hidden="false" customHeight="false" outlineLevel="0" collapsed="false">
      <c r="A27" s="18" t="str">
        <f aca="false">IF(Ref_BP!A24="","",Ref_BP!A24)</f>
        <v/>
      </c>
      <c r="B27" s="18" t="str">
        <f aca="false">IF(A27="","",COUNTIF(Risk_Register!$B$5:$B$204,A27))</f>
        <v/>
      </c>
      <c r="C27" s="18" t="str">
        <f aca="false">IF(A27="","",COUNTIFS(Risk_Register!$B$5:$B$204,A27,Risk_Register!$K$5:$K$204,"High"))</f>
        <v/>
      </c>
      <c r="D27" s="18" t="str">
        <f aca="false">IF(A27="","",COUNTIFS(Risk_Register!$B$5:$B$204,A27,Risk_Register!$L$5:$L$204,"Y"))</f>
        <v/>
      </c>
      <c r="E27" s="18" t="str">
        <f aca="false">IF(A27="","",IF(B27=0,"NO RISK: add a risk","OK"))</f>
        <v/>
      </c>
    </row>
    <row r="28" customFormat="false" ht="15" hidden="false" customHeight="false" outlineLevel="0" collapsed="false">
      <c r="A28" s="18" t="str">
        <f aca="false">IF(Ref_BP!A25="","",Ref_BP!A25)</f>
        <v/>
      </c>
      <c r="B28" s="18" t="str">
        <f aca="false">IF(A28="","",COUNTIF(Risk_Register!$B$5:$B$204,A28))</f>
        <v/>
      </c>
      <c r="C28" s="18" t="str">
        <f aca="false">IF(A28="","",COUNTIFS(Risk_Register!$B$5:$B$204,A28,Risk_Register!$K$5:$K$204,"High"))</f>
        <v/>
      </c>
      <c r="D28" s="18" t="str">
        <f aca="false">IF(A28="","",COUNTIFS(Risk_Register!$B$5:$B$204,A28,Risk_Register!$L$5:$L$204,"Y"))</f>
        <v/>
      </c>
      <c r="E28" s="18" t="str">
        <f aca="false">IF(A28="","",IF(B28=0,"NO RISK: add a risk","OK"))</f>
        <v/>
      </c>
    </row>
    <row r="29" customFormat="false" ht="15" hidden="false" customHeight="false" outlineLevel="0" collapsed="false">
      <c r="A29" s="18" t="str">
        <f aca="false">IF(Ref_BP!A26="","",Ref_BP!A26)</f>
        <v/>
      </c>
      <c r="B29" s="18" t="str">
        <f aca="false">IF(A29="","",COUNTIF(Risk_Register!$B$5:$B$204,A29))</f>
        <v/>
      </c>
      <c r="C29" s="18" t="str">
        <f aca="false">IF(A29="","",COUNTIFS(Risk_Register!$B$5:$B$204,A29,Risk_Register!$K$5:$K$204,"High"))</f>
        <v/>
      </c>
      <c r="D29" s="18" t="str">
        <f aca="false">IF(A29="","",COUNTIFS(Risk_Register!$B$5:$B$204,A29,Risk_Register!$L$5:$L$204,"Y"))</f>
        <v/>
      </c>
      <c r="E29" s="18" t="str">
        <f aca="false">IF(A29="","",IF(B29=0,"NO RISK: add a risk","OK"))</f>
        <v/>
      </c>
    </row>
    <row r="30" customFormat="false" ht="15" hidden="false" customHeight="false" outlineLevel="0" collapsed="false">
      <c r="A30" s="18" t="str">
        <f aca="false">IF(Ref_BP!A27="","",Ref_BP!A27)</f>
        <v/>
      </c>
      <c r="B30" s="18" t="str">
        <f aca="false">IF(A30="","",COUNTIF(Risk_Register!$B$5:$B$204,A30))</f>
        <v/>
      </c>
      <c r="C30" s="18" t="str">
        <f aca="false">IF(A30="","",COUNTIFS(Risk_Register!$B$5:$B$204,A30,Risk_Register!$K$5:$K$204,"High"))</f>
        <v/>
      </c>
      <c r="D30" s="18" t="str">
        <f aca="false">IF(A30="","",COUNTIFS(Risk_Register!$B$5:$B$204,A30,Risk_Register!$L$5:$L$204,"Y"))</f>
        <v/>
      </c>
      <c r="E30" s="18" t="str">
        <f aca="false">IF(A30="","",IF(B30=0,"NO RISK: add a risk","OK"))</f>
        <v/>
      </c>
    </row>
    <row r="31" customFormat="false" ht="15" hidden="false" customHeight="false" outlineLevel="0" collapsed="false">
      <c r="A31" s="18" t="str">
        <f aca="false">IF(Ref_BP!A28="","",Ref_BP!A28)</f>
        <v/>
      </c>
      <c r="B31" s="18" t="str">
        <f aca="false">IF(A31="","",COUNTIF(Risk_Register!$B$5:$B$204,A31))</f>
        <v/>
      </c>
      <c r="C31" s="18" t="str">
        <f aca="false">IF(A31="","",COUNTIFS(Risk_Register!$B$5:$B$204,A31,Risk_Register!$K$5:$K$204,"High"))</f>
        <v/>
      </c>
      <c r="D31" s="18" t="str">
        <f aca="false">IF(A31="","",COUNTIFS(Risk_Register!$B$5:$B$204,A31,Risk_Register!$L$5:$L$204,"Y"))</f>
        <v/>
      </c>
      <c r="E31" s="18" t="str">
        <f aca="false">IF(A31="","",IF(B31=0,"NO RISK: add a risk","OK"))</f>
        <v/>
      </c>
    </row>
    <row r="32" customFormat="false" ht="15" hidden="false" customHeight="false" outlineLevel="0" collapsed="false">
      <c r="A32" s="18" t="str">
        <f aca="false">IF(Ref_BP!A29="","",Ref_BP!A29)</f>
        <v/>
      </c>
      <c r="B32" s="18" t="str">
        <f aca="false">IF(A32="","",COUNTIF(Risk_Register!$B$5:$B$204,A32))</f>
        <v/>
      </c>
      <c r="C32" s="18" t="str">
        <f aca="false">IF(A32="","",COUNTIFS(Risk_Register!$B$5:$B$204,A32,Risk_Register!$K$5:$K$204,"High"))</f>
        <v/>
      </c>
      <c r="D32" s="18" t="str">
        <f aca="false">IF(A32="","",COUNTIFS(Risk_Register!$B$5:$B$204,A32,Risk_Register!$L$5:$L$204,"Y"))</f>
        <v/>
      </c>
      <c r="E32" s="18" t="str">
        <f aca="false">IF(A32="","",IF(B32=0,"NO RISK: add a risk","OK"))</f>
        <v/>
      </c>
    </row>
    <row r="33" customFormat="false" ht="15" hidden="false" customHeight="false" outlineLevel="0" collapsed="false">
      <c r="A33" s="18" t="str">
        <f aca="false">IF(Ref_BP!A30="","",Ref_BP!A30)</f>
        <v/>
      </c>
      <c r="B33" s="18" t="str">
        <f aca="false">IF(A33="","",COUNTIF(Risk_Register!$B$5:$B$204,A33))</f>
        <v/>
      </c>
      <c r="C33" s="18" t="str">
        <f aca="false">IF(A33="","",COUNTIFS(Risk_Register!$B$5:$B$204,A33,Risk_Register!$K$5:$K$204,"High"))</f>
        <v/>
      </c>
      <c r="D33" s="18" t="str">
        <f aca="false">IF(A33="","",COUNTIFS(Risk_Register!$B$5:$B$204,A33,Risk_Register!$L$5:$L$204,"Y"))</f>
        <v/>
      </c>
      <c r="E33" s="18" t="str">
        <f aca="false">IF(A33="","",IF(B33=0,"NO RISK: add a risk","OK"))</f>
        <v/>
      </c>
    </row>
    <row r="34" customFormat="false" ht="15" hidden="false" customHeight="false" outlineLevel="0" collapsed="false">
      <c r="A34" s="18" t="str">
        <f aca="false">IF(Ref_BP!A31="","",Ref_BP!A31)</f>
        <v/>
      </c>
      <c r="B34" s="18" t="str">
        <f aca="false">IF(A34="","",COUNTIF(Risk_Register!$B$5:$B$204,A34))</f>
        <v/>
      </c>
      <c r="C34" s="18" t="str">
        <f aca="false">IF(A34="","",COUNTIFS(Risk_Register!$B$5:$B$204,A34,Risk_Register!$K$5:$K$204,"High"))</f>
        <v/>
      </c>
      <c r="D34" s="18" t="str">
        <f aca="false">IF(A34="","",COUNTIFS(Risk_Register!$B$5:$B$204,A34,Risk_Register!$L$5:$L$204,"Y"))</f>
        <v/>
      </c>
      <c r="E34" s="18" t="str">
        <f aca="false">IF(A34="","",IF(B34=0,"NO RISK: add a risk","OK"))</f>
        <v/>
      </c>
    </row>
    <row r="35" customFormat="false" ht="15" hidden="false" customHeight="false" outlineLevel="0" collapsed="false">
      <c r="A35" s="18" t="str">
        <f aca="false">IF(Ref_BP!A32="","",Ref_BP!A32)</f>
        <v/>
      </c>
      <c r="B35" s="18" t="str">
        <f aca="false">IF(A35="","",COUNTIF(Risk_Register!$B$5:$B$204,A35))</f>
        <v/>
      </c>
      <c r="C35" s="18" t="str">
        <f aca="false">IF(A35="","",COUNTIFS(Risk_Register!$B$5:$B$204,A35,Risk_Register!$K$5:$K$204,"High"))</f>
        <v/>
      </c>
      <c r="D35" s="18" t="str">
        <f aca="false">IF(A35="","",COUNTIFS(Risk_Register!$B$5:$B$204,A35,Risk_Register!$L$5:$L$204,"Y"))</f>
        <v/>
      </c>
      <c r="E35" s="18" t="str">
        <f aca="false">IF(A35="","",IF(B35=0,"NO RISK: add a risk","OK"))</f>
        <v/>
      </c>
    </row>
    <row r="36" customFormat="false" ht="15" hidden="false" customHeight="false" outlineLevel="0" collapsed="false">
      <c r="A36" s="18" t="str">
        <f aca="false">IF(Ref_BP!A33="","",Ref_BP!A33)</f>
        <v/>
      </c>
      <c r="B36" s="18" t="str">
        <f aca="false">IF(A36="","",COUNTIF(Risk_Register!$B$5:$B$204,A36))</f>
        <v/>
      </c>
      <c r="C36" s="18" t="str">
        <f aca="false">IF(A36="","",COUNTIFS(Risk_Register!$B$5:$B$204,A36,Risk_Register!$K$5:$K$204,"High"))</f>
        <v/>
      </c>
      <c r="D36" s="18" t="str">
        <f aca="false">IF(A36="","",COUNTIFS(Risk_Register!$B$5:$B$204,A36,Risk_Register!$L$5:$L$204,"Y"))</f>
        <v/>
      </c>
      <c r="E36" s="18" t="str">
        <f aca="false">IF(A36="","",IF(B36=0,"NO RISK: add a risk","OK"))</f>
        <v/>
      </c>
    </row>
    <row r="37" customFormat="false" ht="15" hidden="false" customHeight="false" outlineLevel="0" collapsed="false">
      <c r="A37" s="18" t="str">
        <f aca="false">IF(Ref_BP!A34="","",Ref_BP!A34)</f>
        <v/>
      </c>
      <c r="B37" s="18" t="str">
        <f aca="false">IF(A37="","",COUNTIF(Risk_Register!$B$5:$B$204,A37))</f>
        <v/>
      </c>
      <c r="C37" s="18" t="str">
        <f aca="false">IF(A37="","",COUNTIFS(Risk_Register!$B$5:$B$204,A37,Risk_Register!$K$5:$K$204,"High"))</f>
        <v/>
      </c>
      <c r="D37" s="18" t="str">
        <f aca="false">IF(A37="","",COUNTIFS(Risk_Register!$B$5:$B$204,A37,Risk_Register!$L$5:$L$204,"Y"))</f>
        <v/>
      </c>
      <c r="E37" s="18" t="str">
        <f aca="false">IF(A37="","",IF(B37=0,"NO RISK: add a risk","OK"))</f>
        <v/>
      </c>
    </row>
    <row r="38" customFormat="false" ht="15" hidden="false" customHeight="false" outlineLevel="0" collapsed="false">
      <c r="A38" s="18" t="str">
        <f aca="false">IF(Ref_BP!A35="","",Ref_BP!A35)</f>
        <v/>
      </c>
      <c r="B38" s="18" t="str">
        <f aca="false">IF(A38="","",COUNTIF(Risk_Register!$B$5:$B$204,A38))</f>
        <v/>
      </c>
      <c r="C38" s="18" t="str">
        <f aca="false">IF(A38="","",COUNTIFS(Risk_Register!$B$5:$B$204,A38,Risk_Register!$K$5:$K$204,"High"))</f>
        <v/>
      </c>
      <c r="D38" s="18" t="str">
        <f aca="false">IF(A38="","",COUNTIFS(Risk_Register!$B$5:$B$204,A38,Risk_Register!$L$5:$L$204,"Y"))</f>
        <v/>
      </c>
      <c r="E38" s="18" t="str">
        <f aca="false">IF(A38="","",IF(B38=0,"NO RISK: add a risk","OK"))</f>
        <v/>
      </c>
    </row>
    <row r="39" customFormat="false" ht="15" hidden="false" customHeight="false" outlineLevel="0" collapsed="false">
      <c r="A39" s="18" t="str">
        <f aca="false">IF(Ref_BP!A36="","",Ref_BP!A36)</f>
        <v/>
      </c>
      <c r="B39" s="18" t="str">
        <f aca="false">IF(A39="","",COUNTIF(Risk_Register!$B$5:$B$204,A39))</f>
        <v/>
      </c>
      <c r="C39" s="18" t="str">
        <f aca="false">IF(A39="","",COUNTIFS(Risk_Register!$B$5:$B$204,A39,Risk_Register!$K$5:$K$204,"High"))</f>
        <v/>
      </c>
      <c r="D39" s="18" t="str">
        <f aca="false">IF(A39="","",COUNTIFS(Risk_Register!$B$5:$B$204,A39,Risk_Register!$L$5:$L$204,"Y"))</f>
        <v/>
      </c>
      <c r="E39" s="18" t="str">
        <f aca="false">IF(A39="","",IF(B39=0,"NO RISK: add a risk","OK"))</f>
        <v/>
      </c>
    </row>
    <row r="40" customFormat="false" ht="15" hidden="false" customHeight="false" outlineLevel="0" collapsed="false">
      <c r="A40" s="18" t="str">
        <f aca="false">IF(Ref_BP!A37="","",Ref_BP!A37)</f>
        <v/>
      </c>
      <c r="B40" s="18" t="str">
        <f aca="false">IF(A40="","",COUNTIF(Risk_Register!$B$5:$B$204,A40))</f>
        <v/>
      </c>
      <c r="C40" s="18" t="str">
        <f aca="false">IF(A40="","",COUNTIFS(Risk_Register!$B$5:$B$204,A40,Risk_Register!$K$5:$K$204,"High"))</f>
        <v/>
      </c>
      <c r="D40" s="18" t="str">
        <f aca="false">IF(A40="","",COUNTIFS(Risk_Register!$B$5:$B$204,A40,Risk_Register!$L$5:$L$204,"Y"))</f>
        <v/>
      </c>
      <c r="E40" s="18" t="str">
        <f aca="false">IF(A40="","",IF(B40=0,"NO RISK: add a risk","OK"))</f>
        <v/>
      </c>
    </row>
    <row r="41" customFormat="false" ht="15" hidden="false" customHeight="false" outlineLevel="0" collapsed="false">
      <c r="A41" s="18" t="str">
        <f aca="false">IF(Ref_BP!A38="","",Ref_BP!A38)</f>
        <v/>
      </c>
      <c r="B41" s="18" t="str">
        <f aca="false">IF(A41="","",COUNTIF(Risk_Register!$B$5:$B$204,A41))</f>
        <v/>
      </c>
      <c r="C41" s="18" t="str">
        <f aca="false">IF(A41="","",COUNTIFS(Risk_Register!$B$5:$B$204,A41,Risk_Register!$K$5:$K$204,"High"))</f>
        <v/>
      </c>
      <c r="D41" s="18" t="str">
        <f aca="false">IF(A41="","",COUNTIFS(Risk_Register!$B$5:$B$204,A41,Risk_Register!$L$5:$L$204,"Y"))</f>
        <v/>
      </c>
      <c r="E41" s="18" t="str">
        <f aca="false">IF(A41="","",IF(B41=0,"NO RISK: add a risk","OK"))</f>
        <v/>
      </c>
    </row>
    <row r="42" customFormat="false" ht="15" hidden="false" customHeight="false" outlineLevel="0" collapsed="false">
      <c r="A42" s="18" t="str">
        <f aca="false">IF(Ref_BP!A39="","",Ref_BP!A39)</f>
        <v/>
      </c>
      <c r="B42" s="18" t="str">
        <f aca="false">IF(A42="","",COUNTIF(Risk_Register!$B$5:$B$204,A42))</f>
        <v/>
      </c>
      <c r="C42" s="18" t="str">
        <f aca="false">IF(A42="","",COUNTIFS(Risk_Register!$B$5:$B$204,A42,Risk_Register!$K$5:$K$204,"High"))</f>
        <v/>
      </c>
      <c r="D42" s="18" t="str">
        <f aca="false">IF(A42="","",COUNTIFS(Risk_Register!$B$5:$B$204,A42,Risk_Register!$L$5:$L$204,"Y"))</f>
        <v/>
      </c>
      <c r="E42" s="18" t="str">
        <f aca="false">IF(A42="","",IF(B42=0,"NO RISK: add a risk","OK"))</f>
        <v/>
      </c>
    </row>
    <row r="43" customFormat="false" ht="15" hidden="false" customHeight="false" outlineLevel="0" collapsed="false">
      <c r="A43" s="18" t="str">
        <f aca="false">IF(Ref_BP!A40="","",Ref_BP!A40)</f>
        <v/>
      </c>
      <c r="B43" s="18" t="str">
        <f aca="false">IF(A43="","",COUNTIF(Risk_Register!$B$5:$B$204,A43))</f>
        <v/>
      </c>
      <c r="C43" s="18" t="str">
        <f aca="false">IF(A43="","",COUNTIFS(Risk_Register!$B$5:$B$204,A43,Risk_Register!$K$5:$K$204,"High"))</f>
        <v/>
      </c>
      <c r="D43" s="18" t="str">
        <f aca="false">IF(A43="","",COUNTIFS(Risk_Register!$B$5:$B$204,A43,Risk_Register!$L$5:$L$204,"Y"))</f>
        <v/>
      </c>
      <c r="E43" s="18" t="str">
        <f aca="false">IF(A43="","",IF(B43=0,"NO RISK: add a risk","OK"))</f>
        <v/>
      </c>
    </row>
    <row r="44" customFormat="false" ht="15" hidden="false" customHeight="false" outlineLevel="0" collapsed="false">
      <c r="A44" s="18" t="str">
        <f aca="false">IF(Ref_BP!A41="","",Ref_BP!A41)</f>
        <v/>
      </c>
      <c r="B44" s="18" t="str">
        <f aca="false">IF(A44="","",COUNTIF(Risk_Register!$B$5:$B$204,A44))</f>
        <v/>
      </c>
      <c r="C44" s="18" t="str">
        <f aca="false">IF(A44="","",COUNTIFS(Risk_Register!$B$5:$B$204,A44,Risk_Register!$K$5:$K$204,"High"))</f>
        <v/>
      </c>
      <c r="D44" s="18" t="str">
        <f aca="false">IF(A44="","",COUNTIFS(Risk_Register!$B$5:$B$204,A44,Risk_Register!$L$5:$L$204,"Y"))</f>
        <v/>
      </c>
      <c r="E44" s="18" t="str">
        <f aca="false">IF(A44="","",IF(B44=0,"NO RISK: add a risk","OK"))</f>
        <v/>
      </c>
    </row>
    <row r="45" customFormat="false" ht="15" hidden="false" customHeight="false" outlineLevel="0" collapsed="false">
      <c r="A45" s="18" t="str">
        <f aca="false">IF(Ref_BP!A42="","",Ref_BP!A42)</f>
        <v/>
      </c>
      <c r="B45" s="18" t="str">
        <f aca="false">IF(A45="","",COUNTIF(Risk_Register!$B$5:$B$204,A45))</f>
        <v/>
      </c>
      <c r="C45" s="18" t="str">
        <f aca="false">IF(A45="","",COUNTIFS(Risk_Register!$B$5:$B$204,A45,Risk_Register!$K$5:$K$204,"High"))</f>
        <v/>
      </c>
      <c r="D45" s="18" t="str">
        <f aca="false">IF(A45="","",COUNTIFS(Risk_Register!$B$5:$B$204,A45,Risk_Register!$L$5:$L$204,"Y"))</f>
        <v/>
      </c>
      <c r="E45" s="18" t="str">
        <f aca="false">IF(A45="","",IF(B45=0,"NO RISK: add a risk","OK"))</f>
        <v/>
      </c>
    </row>
    <row r="46" customFormat="false" ht="15" hidden="false" customHeight="false" outlineLevel="0" collapsed="false">
      <c r="A46" s="18" t="str">
        <f aca="false">IF(Ref_BP!A43="","",Ref_BP!A43)</f>
        <v/>
      </c>
      <c r="B46" s="18" t="str">
        <f aca="false">IF(A46="","",COUNTIF(Risk_Register!$B$5:$B$204,A46))</f>
        <v/>
      </c>
      <c r="C46" s="18" t="str">
        <f aca="false">IF(A46="","",COUNTIFS(Risk_Register!$B$5:$B$204,A46,Risk_Register!$K$5:$K$204,"High"))</f>
        <v/>
      </c>
      <c r="D46" s="18" t="str">
        <f aca="false">IF(A46="","",COUNTIFS(Risk_Register!$B$5:$B$204,A46,Risk_Register!$L$5:$L$204,"Y"))</f>
        <v/>
      </c>
      <c r="E46" s="18" t="str">
        <f aca="false">IF(A46="","",IF(B46=0,"NO RISK: add a risk","OK"))</f>
        <v/>
      </c>
    </row>
    <row r="47" customFormat="false" ht="15" hidden="false" customHeight="false" outlineLevel="0" collapsed="false">
      <c r="A47" s="18" t="str">
        <f aca="false">IF(Ref_BP!A44="","",Ref_BP!A44)</f>
        <v/>
      </c>
      <c r="B47" s="18" t="str">
        <f aca="false">IF(A47="","",COUNTIF(Risk_Register!$B$5:$B$204,A47))</f>
        <v/>
      </c>
      <c r="C47" s="18" t="str">
        <f aca="false">IF(A47="","",COUNTIFS(Risk_Register!$B$5:$B$204,A47,Risk_Register!$K$5:$K$204,"High"))</f>
        <v/>
      </c>
      <c r="D47" s="18" t="str">
        <f aca="false">IF(A47="","",COUNTIFS(Risk_Register!$B$5:$B$204,A47,Risk_Register!$L$5:$L$204,"Y"))</f>
        <v/>
      </c>
      <c r="E47" s="18" t="str">
        <f aca="false">IF(A47="","",IF(B47=0,"NO RISK: add a risk","OK"))</f>
        <v/>
      </c>
    </row>
    <row r="48" customFormat="false" ht="15" hidden="false" customHeight="false" outlineLevel="0" collapsed="false">
      <c r="A48" s="18" t="str">
        <f aca="false">IF(Ref_BP!A45="","",Ref_BP!A45)</f>
        <v/>
      </c>
      <c r="B48" s="18" t="str">
        <f aca="false">IF(A48="","",COUNTIF(Risk_Register!$B$5:$B$204,A48))</f>
        <v/>
      </c>
      <c r="C48" s="18" t="str">
        <f aca="false">IF(A48="","",COUNTIFS(Risk_Register!$B$5:$B$204,A48,Risk_Register!$K$5:$K$204,"High"))</f>
        <v/>
      </c>
      <c r="D48" s="18" t="str">
        <f aca="false">IF(A48="","",COUNTIFS(Risk_Register!$B$5:$B$204,A48,Risk_Register!$L$5:$L$204,"Y"))</f>
        <v/>
      </c>
      <c r="E48" s="18" t="str">
        <f aca="false">IF(A48="","",IF(B48=0,"NO RISK: add a risk","OK"))</f>
        <v/>
      </c>
    </row>
    <row r="49" customFormat="false" ht="15" hidden="false" customHeight="false" outlineLevel="0" collapsed="false">
      <c r="A49" s="18" t="str">
        <f aca="false">IF(Ref_BP!A46="","",Ref_BP!A46)</f>
        <v/>
      </c>
      <c r="B49" s="18" t="str">
        <f aca="false">IF(A49="","",COUNTIF(Risk_Register!$B$5:$B$204,A49))</f>
        <v/>
      </c>
      <c r="C49" s="18" t="str">
        <f aca="false">IF(A49="","",COUNTIFS(Risk_Register!$B$5:$B$204,A49,Risk_Register!$K$5:$K$204,"High"))</f>
        <v/>
      </c>
      <c r="D49" s="18" t="str">
        <f aca="false">IF(A49="","",COUNTIFS(Risk_Register!$B$5:$B$204,A49,Risk_Register!$L$5:$L$204,"Y"))</f>
        <v/>
      </c>
      <c r="E49" s="18" t="str">
        <f aca="false">IF(A49="","",IF(B49=0,"NO RISK: add a risk","OK"))</f>
        <v/>
      </c>
    </row>
    <row r="50" customFormat="false" ht="15" hidden="false" customHeight="false" outlineLevel="0" collapsed="false">
      <c r="A50" s="18" t="str">
        <f aca="false">IF(Ref_BP!A47="","",Ref_BP!A47)</f>
        <v/>
      </c>
      <c r="B50" s="18" t="str">
        <f aca="false">IF(A50="","",COUNTIF(Risk_Register!$B$5:$B$204,A50))</f>
        <v/>
      </c>
      <c r="C50" s="18" t="str">
        <f aca="false">IF(A50="","",COUNTIFS(Risk_Register!$B$5:$B$204,A50,Risk_Register!$K$5:$K$204,"High"))</f>
        <v/>
      </c>
      <c r="D50" s="18" t="str">
        <f aca="false">IF(A50="","",COUNTIFS(Risk_Register!$B$5:$B$204,A50,Risk_Register!$L$5:$L$204,"Y"))</f>
        <v/>
      </c>
      <c r="E50" s="18" t="str">
        <f aca="false">IF(A50="","",IF(B50=0,"NO RISK: add a risk","OK"))</f>
        <v/>
      </c>
    </row>
    <row r="51" customFormat="false" ht="15" hidden="false" customHeight="false" outlineLevel="0" collapsed="false">
      <c r="A51" s="18" t="str">
        <f aca="false">IF(Ref_BP!A48="","",Ref_BP!A48)</f>
        <v/>
      </c>
      <c r="B51" s="18" t="str">
        <f aca="false">IF(A51="","",COUNTIF(Risk_Register!$B$5:$B$204,A51))</f>
        <v/>
      </c>
      <c r="C51" s="18" t="str">
        <f aca="false">IF(A51="","",COUNTIFS(Risk_Register!$B$5:$B$204,A51,Risk_Register!$K$5:$K$204,"High"))</f>
        <v/>
      </c>
      <c r="D51" s="18" t="str">
        <f aca="false">IF(A51="","",COUNTIFS(Risk_Register!$B$5:$B$204,A51,Risk_Register!$L$5:$L$204,"Y"))</f>
        <v/>
      </c>
      <c r="E51" s="18" t="str">
        <f aca="false">IF(A51="","",IF(B51=0,"NO RISK: add a risk","OK"))</f>
        <v/>
      </c>
    </row>
    <row r="52" customFormat="false" ht="15" hidden="false" customHeight="false" outlineLevel="0" collapsed="false">
      <c r="A52" s="18" t="str">
        <f aca="false">IF(Ref_BP!A49="","",Ref_BP!A49)</f>
        <v/>
      </c>
      <c r="B52" s="18" t="str">
        <f aca="false">IF(A52="","",COUNTIF(Risk_Register!$B$5:$B$204,A52))</f>
        <v/>
      </c>
      <c r="C52" s="18" t="str">
        <f aca="false">IF(A52="","",COUNTIFS(Risk_Register!$B$5:$B$204,A52,Risk_Register!$K$5:$K$204,"High"))</f>
        <v/>
      </c>
      <c r="D52" s="18" t="str">
        <f aca="false">IF(A52="","",COUNTIFS(Risk_Register!$B$5:$B$204,A52,Risk_Register!$L$5:$L$204,"Y"))</f>
        <v/>
      </c>
      <c r="E52" s="18" t="str">
        <f aca="false">IF(A52="","",IF(B52=0,"NO RISK: add a risk","OK"))</f>
        <v/>
      </c>
    </row>
    <row r="53" customFormat="false" ht="15" hidden="false" customHeight="false" outlineLevel="0" collapsed="false">
      <c r="A53" s="18" t="str">
        <f aca="false">IF(Ref_BP!A50="","",Ref_BP!A50)</f>
        <v/>
      </c>
      <c r="B53" s="18" t="str">
        <f aca="false">IF(A53="","",COUNTIF(Risk_Register!$B$5:$B$204,A53))</f>
        <v/>
      </c>
      <c r="C53" s="18" t="str">
        <f aca="false">IF(A53="","",COUNTIFS(Risk_Register!$B$5:$B$204,A53,Risk_Register!$K$5:$K$204,"High"))</f>
        <v/>
      </c>
      <c r="D53" s="18" t="str">
        <f aca="false">IF(A53="","",COUNTIFS(Risk_Register!$B$5:$B$204,A53,Risk_Register!$L$5:$L$204,"Y"))</f>
        <v/>
      </c>
      <c r="E53" s="18" t="str">
        <f aca="false">IF(A53="","",IF(B53=0,"NO RISK: add a risk","OK"))</f>
        <v/>
      </c>
    </row>
    <row r="54" customFormat="false" ht="15" hidden="false" customHeight="false" outlineLevel="0" collapsed="false">
      <c r="A54" s="18" t="str">
        <f aca="false">IF(Ref_BP!A51="","",Ref_BP!A51)</f>
        <v/>
      </c>
      <c r="B54" s="18" t="str">
        <f aca="false">IF(A54="","",COUNTIF(Risk_Register!$B$5:$B$204,A54))</f>
        <v/>
      </c>
      <c r="C54" s="18" t="str">
        <f aca="false">IF(A54="","",COUNTIFS(Risk_Register!$B$5:$B$204,A54,Risk_Register!$K$5:$K$204,"High"))</f>
        <v/>
      </c>
      <c r="D54" s="18" t="str">
        <f aca="false">IF(A54="","",COUNTIFS(Risk_Register!$B$5:$B$204,A54,Risk_Register!$L$5:$L$204,"Y"))</f>
        <v/>
      </c>
      <c r="E54" s="18" t="str">
        <f aca="false">IF(A54="","",IF(B54=0,"NO RISK: add a risk","OK"))</f>
        <v/>
      </c>
    </row>
    <row r="55" customFormat="false" ht="15" hidden="false" customHeight="false" outlineLevel="0" collapsed="false">
      <c r="A55" s="18" t="str">
        <f aca="false">IF(Ref_BP!A52="","",Ref_BP!A52)</f>
        <v/>
      </c>
      <c r="B55" s="18" t="str">
        <f aca="false">IF(A55="","",COUNTIF(Risk_Register!$B$5:$B$204,A55))</f>
        <v/>
      </c>
      <c r="C55" s="18" t="str">
        <f aca="false">IF(A55="","",COUNTIFS(Risk_Register!$B$5:$B$204,A55,Risk_Register!$K$5:$K$204,"High"))</f>
        <v/>
      </c>
      <c r="D55" s="18" t="str">
        <f aca="false">IF(A55="","",COUNTIFS(Risk_Register!$B$5:$B$204,A55,Risk_Register!$L$5:$L$204,"Y"))</f>
        <v/>
      </c>
      <c r="E55" s="18" t="str">
        <f aca="false">IF(A55="","",IF(B55=0,"NO RISK: add a risk","OK"))</f>
        <v/>
      </c>
    </row>
    <row r="56" customFormat="false" ht="15" hidden="false" customHeight="false" outlineLevel="0" collapsed="false">
      <c r="A56" s="18" t="str">
        <f aca="false">IF(Ref_BP!A53="","",Ref_BP!A53)</f>
        <v/>
      </c>
      <c r="B56" s="18" t="str">
        <f aca="false">IF(A56="","",COUNTIF(Risk_Register!$B$5:$B$204,A56))</f>
        <v/>
      </c>
      <c r="C56" s="18" t="str">
        <f aca="false">IF(A56="","",COUNTIFS(Risk_Register!$B$5:$B$204,A56,Risk_Register!$K$5:$K$204,"High"))</f>
        <v/>
      </c>
      <c r="D56" s="18" t="str">
        <f aca="false">IF(A56="","",COUNTIFS(Risk_Register!$B$5:$B$204,A56,Risk_Register!$L$5:$L$204,"Y"))</f>
        <v/>
      </c>
      <c r="E56" s="18" t="str">
        <f aca="false">IF(A56="","",IF(B56=0,"NO RISK: add a risk","OK"))</f>
        <v/>
      </c>
    </row>
    <row r="57" customFormat="false" ht="15" hidden="false" customHeight="false" outlineLevel="0" collapsed="false">
      <c r="A57" s="18" t="str">
        <f aca="false">IF(Ref_BP!A54="","",Ref_BP!A54)</f>
        <v/>
      </c>
      <c r="B57" s="18" t="str">
        <f aca="false">IF(A57="","",COUNTIF(Risk_Register!$B$5:$B$204,A57))</f>
        <v/>
      </c>
      <c r="C57" s="18" t="str">
        <f aca="false">IF(A57="","",COUNTIFS(Risk_Register!$B$5:$B$204,A57,Risk_Register!$K$5:$K$204,"High"))</f>
        <v/>
      </c>
      <c r="D57" s="18" t="str">
        <f aca="false">IF(A57="","",COUNTIFS(Risk_Register!$B$5:$B$204,A57,Risk_Register!$L$5:$L$204,"Y"))</f>
        <v/>
      </c>
      <c r="E57" s="18" t="str">
        <f aca="false">IF(A57="","",IF(B57=0,"NO RISK: add a risk","OK"))</f>
        <v/>
      </c>
    </row>
    <row r="58" customFormat="false" ht="15" hidden="false" customHeight="false" outlineLevel="0" collapsed="false">
      <c r="A58" s="18" t="str">
        <f aca="false">IF(Ref_BP!A55="","",Ref_BP!A55)</f>
        <v/>
      </c>
      <c r="B58" s="18" t="str">
        <f aca="false">IF(A58="","",COUNTIF(Risk_Register!$B$5:$B$204,A58))</f>
        <v/>
      </c>
      <c r="C58" s="18" t="str">
        <f aca="false">IF(A58="","",COUNTIFS(Risk_Register!$B$5:$B$204,A58,Risk_Register!$K$5:$K$204,"High"))</f>
        <v/>
      </c>
      <c r="D58" s="18" t="str">
        <f aca="false">IF(A58="","",COUNTIFS(Risk_Register!$B$5:$B$204,A58,Risk_Register!$L$5:$L$204,"Y"))</f>
        <v/>
      </c>
      <c r="E58" s="18" t="str">
        <f aca="false">IF(A58="","",IF(B58=0,"NO RISK: add a risk","OK"))</f>
        <v/>
      </c>
    </row>
    <row r="59" customFormat="false" ht="15" hidden="false" customHeight="false" outlineLevel="0" collapsed="false">
      <c r="A59" s="18" t="str">
        <f aca="false">IF(Ref_BP!A56="","",Ref_BP!A56)</f>
        <v/>
      </c>
      <c r="B59" s="18" t="str">
        <f aca="false">IF(A59="","",COUNTIF(Risk_Register!$B$5:$B$204,A59))</f>
        <v/>
      </c>
      <c r="C59" s="18" t="str">
        <f aca="false">IF(A59="","",COUNTIFS(Risk_Register!$B$5:$B$204,A59,Risk_Register!$K$5:$K$204,"High"))</f>
        <v/>
      </c>
      <c r="D59" s="18" t="str">
        <f aca="false">IF(A59="","",COUNTIFS(Risk_Register!$B$5:$B$204,A59,Risk_Register!$L$5:$L$204,"Y"))</f>
        <v/>
      </c>
      <c r="E59" s="18" t="str">
        <f aca="false">IF(A59="","",IF(B59=0,"NO RISK: add a risk","OK"))</f>
        <v/>
      </c>
    </row>
    <row r="60" customFormat="false" ht="15" hidden="false" customHeight="false" outlineLevel="0" collapsed="false">
      <c r="A60" s="18" t="str">
        <f aca="false">IF(Ref_BP!A57="","",Ref_BP!A57)</f>
        <v/>
      </c>
      <c r="B60" s="18" t="str">
        <f aca="false">IF(A60="","",COUNTIF(Risk_Register!$B$5:$B$204,A60))</f>
        <v/>
      </c>
      <c r="C60" s="18" t="str">
        <f aca="false">IF(A60="","",COUNTIFS(Risk_Register!$B$5:$B$204,A60,Risk_Register!$K$5:$K$204,"High"))</f>
        <v/>
      </c>
      <c r="D60" s="18" t="str">
        <f aca="false">IF(A60="","",COUNTIFS(Risk_Register!$B$5:$B$204,A60,Risk_Register!$L$5:$L$204,"Y"))</f>
        <v/>
      </c>
      <c r="E60" s="18" t="str">
        <f aca="false">IF(A60="","",IF(B60=0,"NO RISK: add a risk","OK"))</f>
        <v/>
      </c>
    </row>
    <row r="61" customFormat="false" ht="15" hidden="false" customHeight="false" outlineLevel="0" collapsed="false">
      <c r="A61" s="18" t="str">
        <f aca="false">IF(Ref_BP!A58="","",Ref_BP!A58)</f>
        <v/>
      </c>
      <c r="B61" s="18" t="str">
        <f aca="false">IF(A61="","",COUNTIF(Risk_Register!$B$5:$B$204,A61))</f>
        <v/>
      </c>
      <c r="C61" s="18" t="str">
        <f aca="false">IF(A61="","",COUNTIFS(Risk_Register!$B$5:$B$204,A61,Risk_Register!$K$5:$K$204,"High"))</f>
        <v/>
      </c>
      <c r="D61" s="18" t="str">
        <f aca="false">IF(A61="","",COUNTIFS(Risk_Register!$B$5:$B$204,A61,Risk_Register!$L$5:$L$204,"Y"))</f>
        <v/>
      </c>
      <c r="E61" s="18" t="str">
        <f aca="false">IF(A61="","",IF(B61=0,"NO RISK: add a risk","OK"))</f>
        <v/>
      </c>
    </row>
    <row r="62" customFormat="false" ht="15" hidden="false" customHeight="false" outlineLevel="0" collapsed="false">
      <c r="A62" s="18" t="str">
        <f aca="false">IF(Ref_BP!A59="","",Ref_BP!A59)</f>
        <v/>
      </c>
      <c r="B62" s="18" t="str">
        <f aca="false">IF(A62="","",COUNTIF(Risk_Register!$B$5:$B$204,A62))</f>
        <v/>
      </c>
      <c r="C62" s="18" t="str">
        <f aca="false">IF(A62="","",COUNTIFS(Risk_Register!$B$5:$B$204,A62,Risk_Register!$K$5:$K$204,"High"))</f>
        <v/>
      </c>
      <c r="D62" s="18" t="str">
        <f aca="false">IF(A62="","",COUNTIFS(Risk_Register!$B$5:$B$204,A62,Risk_Register!$L$5:$L$204,"Y"))</f>
        <v/>
      </c>
      <c r="E62" s="18" t="str">
        <f aca="false">IF(A62="","",IF(B62=0,"NO RISK: add a risk","OK"))</f>
        <v/>
      </c>
    </row>
    <row r="63" customFormat="false" ht="15" hidden="false" customHeight="false" outlineLevel="0" collapsed="false">
      <c r="A63" s="18" t="str">
        <f aca="false">IF(Ref_BP!A60="","",Ref_BP!A60)</f>
        <v/>
      </c>
      <c r="B63" s="18" t="str">
        <f aca="false">IF(A63="","",COUNTIF(Risk_Register!$B$5:$B$204,A63))</f>
        <v/>
      </c>
      <c r="C63" s="18" t="str">
        <f aca="false">IF(A63="","",COUNTIFS(Risk_Register!$B$5:$B$204,A63,Risk_Register!$K$5:$K$204,"High"))</f>
        <v/>
      </c>
      <c r="D63" s="18" t="str">
        <f aca="false">IF(A63="","",COUNTIFS(Risk_Register!$B$5:$B$204,A63,Risk_Register!$L$5:$L$204,"Y"))</f>
        <v/>
      </c>
      <c r="E63" s="18" t="str">
        <f aca="false">IF(A63="","",IF(B63=0,"NO RISK: add a risk","OK"))</f>
        <v/>
      </c>
    </row>
    <row r="64" customFormat="false" ht="15" hidden="false" customHeight="false" outlineLevel="0" collapsed="false">
      <c r="A64" s="18" t="str">
        <f aca="false">IF(Ref_BP!A61="","",Ref_BP!A61)</f>
        <v/>
      </c>
      <c r="B64" s="18" t="str">
        <f aca="false">IF(A64="","",COUNTIF(Risk_Register!$B$5:$B$204,A64))</f>
        <v/>
      </c>
      <c r="C64" s="18" t="str">
        <f aca="false">IF(A64="","",COUNTIFS(Risk_Register!$B$5:$B$204,A64,Risk_Register!$K$5:$K$204,"High"))</f>
        <v/>
      </c>
      <c r="D64" s="18" t="str">
        <f aca="false">IF(A64="","",COUNTIFS(Risk_Register!$B$5:$B$204,A64,Risk_Register!$L$5:$L$204,"Y"))</f>
        <v/>
      </c>
      <c r="E64" s="18" t="str">
        <f aca="false">IF(A64="","",IF(B64=0,"NO RISK: add a risk","OK"))</f>
        <v/>
      </c>
    </row>
    <row r="65" customFormat="false" ht="15" hidden="false" customHeight="false" outlineLevel="0" collapsed="false">
      <c r="A65" s="18" t="str">
        <f aca="false">IF(Ref_BP!A62="","",Ref_BP!A62)</f>
        <v/>
      </c>
      <c r="B65" s="18" t="str">
        <f aca="false">IF(A65="","",COUNTIF(Risk_Register!$B$5:$B$204,A65))</f>
        <v/>
      </c>
      <c r="C65" s="18" t="str">
        <f aca="false">IF(A65="","",COUNTIFS(Risk_Register!$B$5:$B$204,A65,Risk_Register!$K$5:$K$204,"High"))</f>
        <v/>
      </c>
      <c r="D65" s="18" t="str">
        <f aca="false">IF(A65="","",COUNTIFS(Risk_Register!$B$5:$B$204,A65,Risk_Register!$L$5:$L$204,"Y"))</f>
        <v/>
      </c>
      <c r="E65" s="18" t="str">
        <f aca="false">IF(A65="","",IF(B65=0,"NO RISK: add a risk","OK"))</f>
        <v/>
      </c>
    </row>
    <row r="66" customFormat="false" ht="15" hidden="false" customHeight="false" outlineLevel="0" collapsed="false">
      <c r="A66" s="18" t="str">
        <f aca="false">IF(Ref_BP!A63="","",Ref_BP!A63)</f>
        <v/>
      </c>
      <c r="B66" s="18" t="str">
        <f aca="false">IF(A66="","",COUNTIF(Risk_Register!$B$5:$B$204,A66))</f>
        <v/>
      </c>
      <c r="C66" s="18" t="str">
        <f aca="false">IF(A66="","",COUNTIFS(Risk_Register!$B$5:$B$204,A66,Risk_Register!$K$5:$K$204,"High"))</f>
        <v/>
      </c>
      <c r="D66" s="18" t="str">
        <f aca="false">IF(A66="","",COUNTIFS(Risk_Register!$B$5:$B$204,A66,Risk_Register!$L$5:$L$204,"Y"))</f>
        <v/>
      </c>
      <c r="E66" s="18" t="str">
        <f aca="false">IF(A66="","",IF(B66=0,"NO RISK: add a risk","OK"))</f>
        <v/>
      </c>
    </row>
    <row r="67" customFormat="false" ht="15" hidden="false" customHeight="false" outlineLevel="0" collapsed="false">
      <c r="A67" s="18" t="str">
        <f aca="false">IF(Ref_BP!A64="","",Ref_BP!A64)</f>
        <v/>
      </c>
      <c r="B67" s="18" t="str">
        <f aca="false">IF(A67="","",COUNTIF(Risk_Register!$B$5:$B$204,A67))</f>
        <v/>
      </c>
      <c r="C67" s="18" t="str">
        <f aca="false">IF(A67="","",COUNTIFS(Risk_Register!$B$5:$B$204,A67,Risk_Register!$K$5:$K$204,"High"))</f>
        <v/>
      </c>
      <c r="D67" s="18" t="str">
        <f aca="false">IF(A67="","",COUNTIFS(Risk_Register!$B$5:$B$204,A67,Risk_Register!$L$5:$L$204,"Y"))</f>
        <v/>
      </c>
      <c r="E67" s="18" t="str">
        <f aca="false">IF(A67="","",IF(B67=0,"NO RISK: add a risk","OK"))</f>
        <v/>
      </c>
    </row>
    <row r="68" customFormat="false" ht="15" hidden="false" customHeight="false" outlineLevel="0" collapsed="false">
      <c r="A68" s="18" t="str">
        <f aca="false">IF(Ref_BP!A65="","",Ref_BP!A65)</f>
        <v/>
      </c>
      <c r="B68" s="18" t="str">
        <f aca="false">IF(A68="","",COUNTIF(Risk_Register!$B$5:$B$204,A68))</f>
        <v/>
      </c>
      <c r="C68" s="18" t="str">
        <f aca="false">IF(A68="","",COUNTIFS(Risk_Register!$B$5:$B$204,A68,Risk_Register!$K$5:$K$204,"High"))</f>
        <v/>
      </c>
      <c r="D68" s="18" t="str">
        <f aca="false">IF(A68="","",COUNTIFS(Risk_Register!$B$5:$B$204,A68,Risk_Register!$L$5:$L$204,"Y"))</f>
        <v/>
      </c>
      <c r="E68" s="18" t="str">
        <f aca="false">IF(A68="","",IF(B68=0,"NO RISK: add a risk","OK"))</f>
        <v/>
      </c>
    </row>
    <row r="69" customFormat="false" ht="15" hidden="false" customHeight="false" outlineLevel="0" collapsed="false">
      <c r="A69" s="18" t="str">
        <f aca="false">IF(Ref_BP!A66="","",Ref_BP!A66)</f>
        <v/>
      </c>
      <c r="B69" s="18" t="str">
        <f aca="false">IF(A69="","",COUNTIF(Risk_Register!$B$5:$B$204,A69))</f>
        <v/>
      </c>
      <c r="C69" s="18" t="str">
        <f aca="false">IF(A69="","",COUNTIFS(Risk_Register!$B$5:$B$204,A69,Risk_Register!$K$5:$K$204,"High"))</f>
        <v/>
      </c>
      <c r="D69" s="18" t="str">
        <f aca="false">IF(A69="","",COUNTIFS(Risk_Register!$B$5:$B$204,A69,Risk_Register!$L$5:$L$204,"Y"))</f>
        <v/>
      </c>
      <c r="E69" s="18" t="str">
        <f aca="false">IF(A69="","",IF(B69=0,"NO RISK: add a risk","OK"))</f>
        <v/>
      </c>
    </row>
    <row r="70" customFormat="false" ht="15" hidden="false" customHeight="false" outlineLevel="0" collapsed="false">
      <c r="A70" s="18" t="str">
        <f aca="false">IF(Ref_BP!A67="","",Ref_BP!A67)</f>
        <v/>
      </c>
      <c r="B70" s="18" t="str">
        <f aca="false">IF(A70="","",COUNTIF(Risk_Register!$B$5:$B$204,A70))</f>
        <v/>
      </c>
      <c r="C70" s="18" t="str">
        <f aca="false">IF(A70="","",COUNTIFS(Risk_Register!$B$5:$B$204,A70,Risk_Register!$K$5:$K$204,"High"))</f>
        <v/>
      </c>
      <c r="D70" s="18" t="str">
        <f aca="false">IF(A70="","",COUNTIFS(Risk_Register!$B$5:$B$204,A70,Risk_Register!$L$5:$L$204,"Y"))</f>
        <v/>
      </c>
      <c r="E70" s="18" t="str">
        <f aca="false">IF(A70="","",IF(B70=0,"NO RISK: add a risk","OK"))</f>
        <v/>
      </c>
    </row>
    <row r="71" customFormat="false" ht="15" hidden="false" customHeight="false" outlineLevel="0" collapsed="false">
      <c r="A71" s="18" t="str">
        <f aca="false">IF(Ref_BP!A68="","",Ref_BP!A68)</f>
        <v/>
      </c>
      <c r="B71" s="18" t="str">
        <f aca="false">IF(A71="","",COUNTIF(Risk_Register!$B$5:$B$204,A71))</f>
        <v/>
      </c>
      <c r="C71" s="18" t="str">
        <f aca="false">IF(A71="","",COUNTIFS(Risk_Register!$B$5:$B$204,A71,Risk_Register!$K$5:$K$204,"High"))</f>
        <v/>
      </c>
      <c r="D71" s="18" t="str">
        <f aca="false">IF(A71="","",COUNTIFS(Risk_Register!$B$5:$B$204,A71,Risk_Register!$L$5:$L$204,"Y"))</f>
        <v/>
      </c>
      <c r="E71" s="18" t="str">
        <f aca="false">IF(A71="","",IF(B71=0,"NO RISK: add a risk","OK"))</f>
        <v/>
      </c>
    </row>
    <row r="72" customFormat="false" ht="15" hidden="false" customHeight="false" outlineLevel="0" collapsed="false">
      <c r="A72" s="18" t="str">
        <f aca="false">IF(Ref_BP!A69="","",Ref_BP!A69)</f>
        <v/>
      </c>
      <c r="B72" s="18" t="str">
        <f aca="false">IF(A72="","",COUNTIF(Risk_Register!$B$5:$B$204,A72))</f>
        <v/>
      </c>
      <c r="C72" s="18" t="str">
        <f aca="false">IF(A72="","",COUNTIFS(Risk_Register!$B$5:$B$204,A72,Risk_Register!$K$5:$K$204,"High"))</f>
        <v/>
      </c>
      <c r="D72" s="18" t="str">
        <f aca="false">IF(A72="","",COUNTIFS(Risk_Register!$B$5:$B$204,A72,Risk_Register!$L$5:$L$204,"Y"))</f>
        <v/>
      </c>
      <c r="E72" s="18" t="str">
        <f aca="false">IF(A72="","",IF(B72=0,"NO RISK: add a risk","OK"))</f>
        <v/>
      </c>
    </row>
    <row r="73" customFormat="false" ht="15" hidden="false" customHeight="false" outlineLevel="0" collapsed="false">
      <c r="A73" s="18" t="str">
        <f aca="false">IF(Ref_BP!A70="","",Ref_BP!A70)</f>
        <v/>
      </c>
      <c r="B73" s="18" t="str">
        <f aca="false">IF(A73="","",COUNTIF(Risk_Register!$B$5:$B$204,A73))</f>
        <v/>
      </c>
      <c r="C73" s="18" t="str">
        <f aca="false">IF(A73="","",COUNTIFS(Risk_Register!$B$5:$B$204,A73,Risk_Register!$K$5:$K$204,"High"))</f>
        <v/>
      </c>
      <c r="D73" s="18" t="str">
        <f aca="false">IF(A73="","",COUNTIFS(Risk_Register!$B$5:$B$204,A73,Risk_Register!$L$5:$L$204,"Y"))</f>
        <v/>
      </c>
      <c r="E73" s="18" t="str">
        <f aca="false">IF(A73="","",IF(B73=0,"NO RISK: add a risk","OK"))</f>
        <v/>
      </c>
    </row>
    <row r="74" customFormat="false" ht="15" hidden="false" customHeight="false" outlineLevel="0" collapsed="false">
      <c r="A74" s="18" t="str">
        <f aca="false">IF(Ref_BP!A71="","",Ref_BP!A71)</f>
        <v/>
      </c>
      <c r="B74" s="18" t="str">
        <f aca="false">IF(A74="","",COUNTIF(Risk_Register!$B$5:$B$204,A74))</f>
        <v/>
      </c>
      <c r="C74" s="18" t="str">
        <f aca="false">IF(A74="","",COUNTIFS(Risk_Register!$B$5:$B$204,A74,Risk_Register!$K$5:$K$204,"High"))</f>
        <v/>
      </c>
      <c r="D74" s="18" t="str">
        <f aca="false">IF(A74="","",COUNTIFS(Risk_Register!$B$5:$B$204,A74,Risk_Register!$L$5:$L$204,"Y"))</f>
        <v/>
      </c>
      <c r="E74" s="18" t="str">
        <f aca="false">IF(A74="","",IF(B74=0,"NO RISK: add a risk","OK"))</f>
        <v/>
      </c>
    </row>
    <row r="75" customFormat="false" ht="15" hidden="false" customHeight="false" outlineLevel="0" collapsed="false">
      <c r="A75" s="18" t="str">
        <f aca="false">IF(Ref_BP!A72="","",Ref_BP!A72)</f>
        <v/>
      </c>
      <c r="B75" s="18" t="str">
        <f aca="false">IF(A75="","",COUNTIF(Risk_Register!$B$5:$B$204,A75))</f>
        <v/>
      </c>
      <c r="C75" s="18" t="str">
        <f aca="false">IF(A75="","",COUNTIFS(Risk_Register!$B$5:$B$204,A75,Risk_Register!$K$5:$K$204,"High"))</f>
        <v/>
      </c>
      <c r="D75" s="18" t="str">
        <f aca="false">IF(A75="","",COUNTIFS(Risk_Register!$B$5:$B$204,A75,Risk_Register!$L$5:$L$204,"Y"))</f>
        <v/>
      </c>
      <c r="E75" s="18" t="str">
        <f aca="false">IF(A75="","",IF(B75=0,"NO RISK: add a risk","OK"))</f>
        <v/>
      </c>
    </row>
    <row r="76" customFormat="false" ht="15" hidden="false" customHeight="false" outlineLevel="0" collapsed="false">
      <c r="A76" s="18" t="str">
        <f aca="false">IF(Ref_BP!A73="","",Ref_BP!A73)</f>
        <v/>
      </c>
      <c r="B76" s="18" t="str">
        <f aca="false">IF(A76="","",COUNTIF(Risk_Register!$B$5:$B$204,A76))</f>
        <v/>
      </c>
      <c r="C76" s="18" t="str">
        <f aca="false">IF(A76="","",COUNTIFS(Risk_Register!$B$5:$B$204,A76,Risk_Register!$K$5:$K$204,"High"))</f>
        <v/>
      </c>
      <c r="D76" s="18" t="str">
        <f aca="false">IF(A76="","",COUNTIFS(Risk_Register!$B$5:$B$204,A76,Risk_Register!$L$5:$L$204,"Y"))</f>
        <v/>
      </c>
      <c r="E76" s="18" t="str">
        <f aca="false">IF(A76="","",IF(B76=0,"NO RISK: add a risk","OK"))</f>
        <v/>
      </c>
    </row>
    <row r="77" customFormat="false" ht="15" hidden="false" customHeight="false" outlineLevel="0" collapsed="false">
      <c r="A77" s="18" t="str">
        <f aca="false">IF(Ref_BP!A74="","",Ref_BP!A74)</f>
        <v/>
      </c>
      <c r="B77" s="18" t="str">
        <f aca="false">IF(A77="","",COUNTIF(Risk_Register!$B$5:$B$204,A77))</f>
        <v/>
      </c>
      <c r="C77" s="18" t="str">
        <f aca="false">IF(A77="","",COUNTIFS(Risk_Register!$B$5:$B$204,A77,Risk_Register!$K$5:$K$204,"High"))</f>
        <v/>
      </c>
      <c r="D77" s="18" t="str">
        <f aca="false">IF(A77="","",COUNTIFS(Risk_Register!$B$5:$B$204,A77,Risk_Register!$L$5:$L$204,"Y"))</f>
        <v/>
      </c>
      <c r="E77" s="18" t="str">
        <f aca="false">IF(A77="","",IF(B77=0,"NO RISK: add a risk","OK"))</f>
        <v/>
      </c>
    </row>
    <row r="78" customFormat="false" ht="15" hidden="false" customHeight="false" outlineLevel="0" collapsed="false">
      <c r="A78" s="18" t="str">
        <f aca="false">IF(Ref_BP!A75="","",Ref_BP!A75)</f>
        <v/>
      </c>
      <c r="B78" s="18" t="str">
        <f aca="false">IF(A78="","",COUNTIF(Risk_Register!$B$5:$B$204,A78))</f>
        <v/>
      </c>
      <c r="C78" s="18" t="str">
        <f aca="false">IF(A78="","",COUNTIFS(Risk_Register!$B$5:$B$204,A78,Risk_Register!$K$5:$K$204,"High"))</f>
        <v/>
      </c>
      <c r="D78" s="18" t="str">
        <f aca="false">IF(A78="","",COUNTIFS(Risk_Register!$B$5:$B$204,A78,Risk_Register!$L$5:$L$204,"Y"))</f>
        <v/>
      </c>
      <c r="E78" s="18" t="str">
        <f aca="false">IF(A78="","",IF(B78=0,"NO RISK: add a risk","OK"))</f>
        <v/>
      </c>
    </row>
    <row r="79" customFormat="false" ht="15" hidden="false" customHeight="false" outlineLevel="0" collapsed="false">
      <c r="A79" s="18" t="str">
        <f aca="false">IF(Ref_BP!A76="","",Ref_BP!A76)</f>
        <v/>
      </c>
      <c r="B79" s="18" t="str">
        <f aca="false">IF(A79="","",COUNTIF(Risk_Register!$B$5:$B$204,A79))</f>
        <v/>
      </c>
      <c r="C79" s="18" t="str">
        <f aca="false">IF(A79="","",COUNTIFS(Risk_Register!$B$5:$B$204,A79,Risk_Register!$K$5:$K$204,"High"))</f>
        <v/>
      </c>
      <c r="D79" s="18" t="str">
        <f aca="false">IF(A79="","",COUNTIFS(Risk_Register!$B$5:$B$204,A79,Risk_Register!$L$5:$L$204,"Y"))</f>
        <v/>
      </c>
      <c r="E79" s="18" t="str">
        <f aca="false">IF(A79="","",IF(B79=0,"NO RISK: add a risk","OK"))</f>
        <v/>
      </c>
    </row>
    <row r="80" customFormat="false" ht="15" hidden="false" customHeight="false" outlineLevel="0" collapsed="false">
      <c r="A80" s="18" t="str">
        <f aca="false">IF(Ref_BP!A77="","",Ref_BP!A77)</f>
        <v/>
      </c>
      <c r="B80" s="18" t="str">
        <f aca="false">IF(A80="","",COUNTIF(Risk_Register!$B$5:$B$204,A80))</f>
        <v/>
      </c>
      <c r="C80" s="18" t="str">
        <f aca="false">IF(A80="","",COUNTIFS(Risk_Register!$B$5:$B$204,A80,Risk_Register!$K$5:$K$204,"High"))</f>
        <v/>
      </c>
      <c r="D80" s="18" t="str">
        <f aca="false">IF(A80="","",COUNTIFS(Risk_Register!$B$5:$B$204,A80,Risk_Register!$L$5:$L$204,"Y"))</f>
        <v/>
      </c>
      <c r="E80" s="18" t="str">
        <f aca="false">IF(A80="","",IF(B80=0,"NO RISK: add a risk","OK"))</f>
        <v/>
      </c>
    </row>
    <row r="81" customFormat="false" ht="15" hidden="false" customHeight="false" outlineLevel="0" collapsed="false">
      <c r="A81" s="18" t="str">
        <f aca="false">IF(Ref_BP!A78="","",Ref_BP!A78)</f>
        <v/>
      </c>
      <c r="B81" s="18" t="str">
        <f aca="false">IF(A81="","",COUNTIF(Risk_Register!$B$5:$B$204,A81))</f>
        <v/>
      </c>
      <c r="C81" s="18" t="str">
        <f aca="false">IF(A81="","",COUNTIFS(Risk_Register!$B$5:$B$204,A81,Risk_Register!$K$5:$K$204,"High"))</f>
        <v/>
      </c>
      <c r="D81" s="18" t="str">
        <f aca="false">IF(A81="","",COUNTIFS(Risk_Register!$B$5:$B$204,A81,Risk_Register!$L$5:$L$204,"Y"))</f>
        <v/>
      </c>
      <c r="E81" s="18" t="str">
        <f aca="false">IF(A81="","",IF(B81=0,"NO RISK: add a risk","OK"))</f>
        <v/>
      </c>
    </row>
    <row r="82" customFormat="false" ht="15" hidden="false" customHeight="false" outlineLevel="0" collapsed="false">
      <c r="A82" s="18" t="str">
        <f aca="false">IF(Ref_BP!A79="","",Ref_BP!A79)</f>
        <v/>
      </c>
      <c r="B82" s="18" t="str">
        <f aca="false">IF(A82="","",COUNTIF(Risk_Register!$B$5:$B$204,A82))</f>
        <v/>
      </c>
      <c r="C82" s="18" t="str">
        <f aca="false">IF(A82="","",COUNTIFS(Risk_Register!$B$5:$B$204,A82,Risk_Register!$K$5:$K$204,"High"))</f>
        <v/>
      </c>
      <c r="D82" s="18" t="str">
        <f aca="false">IF(A82="","",COUNTIFS(Risk_Register!$B$5:$B$204,A82,Risk_Register!$L$5:$L$204,"Y"))</f>
        <v/>
      </c>
      <c r="E82" s="18" t="str">
        <f aca="false">IF(A82="","",IF(B82=0,"NO RISK: add a risk","OK"))</f>
        <v/>
      </c>
    </row>
    <row r="83" customFormat="false" ht="15" hidden="false" customHeight="false" outlineLevel="0" collapsed="false">
      <c r="A83" s="18" t="str">
        <f aca="false">IF(Ref_BP!A80="","",Ref_BP!A80)</f>
        <v/>
      </c>
      <c r="B83" s="18" t="str">
        <f aca="false">IF(A83="","",COUNTIF(Risk_Register!$B$5:$B$204,A83))</f>
        <v/>
      </c>
      <c r="C83" s="18" t="str">
        <f aca="false">IF(A83="","",COUNTIFS(Risk_Register!$B$5:$B$204,A83,Risk_Register!$K$5:$K$204,"High"))</f>
        <v/>
      </c>
      <c r="D83" s="18" t="str">
        <f aca="false">IF(A83="","",COUNTIFS(Risk_Register!$B$5:$B$204,A83,Risk_Register!$L$5:$L$204,"Y"))</f>
        <v/>
      </c>
      <c r="E83" s="18" t="str">
        <f aca="false">IF(A83="","",IF(B83=0,"NO RISK: add a risk","OK"))</f>
        <v/>
      </c>
    </row>
    <row r="84" customFormat="false" ht="15" hidden="false" customHeight="false" outlineLevel="0" collapsed="false">
      <c r="A84" s="18" t="str">
        <f aca="false">IF(Ref_BP!A81="","",Ref_BP!A81)</f>
        <v/>
      </c>
      <c r="B84" s="18" t="str">
        <f aca="false">IF(A84="","",COUNTIF(Risk_Register!$B$5:$B$204,A84))</f>
        <v/>
      </c>
      <c r="C84" s="18" t="str">
        <f aca="false">IF(A84="","",COUNTIFS(Risk_Register!$B$5:$B$204,A84,Risk_Register!$K$5:$K$204,"High"))</f>
        <v/>
      </c>
      <c r="D84" s="18" t="str">
        <f aca="false">IF(A84="","",COUNTIFS(Risk_Register!$B$5:$B$204,A84,Risk_Register!$L$5:$L$204,"Y"))</f>
        <v/>
      </c>
      <c r="E84" s="18" t="str">
        <f aca="false">IF(A84="","",IF(B84=0,"NO RISK: add a risk","OK"))</f>
        <v/>
      </c>
    </row>
    <row r="85" customFormat="false" ht="15" hidden="false" customHeight="false" outlineLevel="0" collapsed="false">
      <c r="A85" s="18" t="str">
        <f aca="false">IF(Ref_BP!A82="","",Ref_BP!A82)</f>
        <v/>
      </c>
      <c r="B85" s="18" t="str">
        <f aca="false">IF(A85="","",COUNTIF(Risk_Register!$B$5:$B$204,A85))</f>
        <v/>
      </c>
      <c r="C85" s="18" t="str">
        <f aca="false">IF(A85="","",COUNTIFS(Risk_Register!$B$5:$B$204,A85,Risk_Register!$K$5:$K$204,"High"))</f>
        <v/>
      </c>
      <c r="D85" s="18" t="str">
        <f aca="false">IF(A85="","",COUNTIFS(Risk_Register!$B$5:$B$204,A85,Risk_Register!$L$5:$L$204,"Y"))</f>
        <v/>
      </c>
      <c r="E85" s="18" t="str">
        <f aca="false">IF(A85="","",IF(B85=0,"NO RISK: add a risk","OK"))</f>
        <v/>
      </c>
    </row>
    <row r="86" customFormat="false" ht="15" hidden="false" customHeight="false" outlineLevel="0" collapsed="false">
      <c r="A86" s="18" t="str">
        <f aca="false">IF(Ref_BP!A83="","",Ref_BP!A83)</f>
        <v/>
      </c>
      <c r="B86" s="18" t="str">
        <f aca="false">IF(A86="","",COUNTIF(Risk_Register!$B$5:$B$204,A86))</f>
        <v/>
      </c>
      <c r="C86" s="18" t="str">
        <f aca="false">IF(A86="","",COUNTIFS(Risk_Register!$B$5:$B$204,A86,Risk_Register!$K$5:$K$204,"High"))</f>
        <v/>
      </c>
      <c r="D86" s="18" t="str">
        <f aca="false">IF(A86="","",COUNTIFS(Risk_Register!$B$5:$B$204,A86,Risk_Register!$L$5:$L$204,"Y"))</f>
        <v/>
      </c>
      <c r="E86" s="18" t="str">
        <f aca="false">IF(A86="","",IF(B86=0,"NO RISK: add a risk","OK"))</f>
        <v/>
      </c>
    </row>
    <row r="87" customFormat="false" ht="15" hidden="false" customHeight="false" outlineLevel="0" collapsed="false">
      <c r="A87" s="18" t="str">
        <f aca="false">IF(Ref_BP!A84="","",Ref_BP!A84)</f>
        <v/>
      </c>
      <c r="B87" s="18" t="str">
        <f aca="false">IF(A87="","",COUNTIF(Risk_Register!$B$5:$B$204,A87))</f>
        <v/>
      </c>
      <c r="C87" s="18" t="str">
        <f aca="false">IF(A87="","",COUNTIFS(Risk_Register!$B$5:$B$204,A87,Risk_Register!$K$5:$K$204,"High"))</f>
        <v/>
      </c>
      <c r="D87" s="18" t="str">
        <f aca="false">IF(A87="","",COUNTIFS(Risk_Register!$B$5:$B$204,A87,Risk_Register!$L$5:$L$204,"Y"))</f>
        <v/>
      </c>
      <c r="E87" s="18" t="str">
        <f aca="false">IF(A87="","",IF(B87=0,"NO RISK: add a risk","OK"))</f>
        <v/>
      </c>
    </row>
    <row r="88" customFormat="false" ht="15" hidden="false" customHeight="false" outlineLevel="0" collapsed="false">
      <c r="A88" s="18" t="str">
        <f aca="false">IF(Ref_BP!A85="","",Ref_BP!A85)</f>
        <v/>
      </c>
      <c r="B88" s="18" t="str">
        <f aca="false">IF(A88="","",COUNTIF(Risk_Register!$B$5:$B$204,A88))</f>
        <v/>
      </c>
      <c r="C88" s="18" t="str">
        <f aca="false">IF(A88="","",COUNTIFS(Risk_Register!$B$5:$B$204,A88,Risk_Register!$K$5:$K$204,"High"))</f>
        <v/>
      </c>
      <c r="D88" s="18" t="str">
        <f aca="false">IF(A88="","",COUNTIFS(Risk_Register!$B$5:$B$204,A88,Risk_Register!$L$5:$L$204,"Y"))</f>
        <v/>
      </c>
      <c r="E88" s="18" t="str">
        <f aca="false">IF(A88="","",IF(B88=0,"NO RISK: add a risk","OK"))</f>
        <v/>
      </c>
    </row>
    <row r="89" customFormat="false" ht="15" hidden="false" customHeight="false" outlineLevel="0" collapsed="false">
      <c r="A89" s="18" t="str">
        <f aca="false">IF(Ref_BP!A86="","",Ref_BP!A86)</f>
        <v/>
      </c>
      <c r="B89" s="18" t="str">
        <f aca="false">IF(A89="","",COUNTIF(Risk_Register!$B$5:$B$204,A89))</f>
        <v/>
      </c>
      <c r="C89" s="18" t="str">
        <f aca="false">IF(A89="","",COUNTIFS(Risk_Register!$B$5:$B$204,A89,Risk_Register!$K$5:$K$204,"High"))</f>
        <v/>
      </c>
      <c r="D89" s="18" t="str">
        <f aca="false">IF(A89="","",COUNTIFS(Risk_Register!$B$5:$B$204,A89,Risk_Register!$L$5:$L$204,"Y"))</f>
        <v/>
      </c>
      <c r="E89" s="18" t="str">
        <f aca="false">IF(A89="","",IF(B89=0,"NO RISK: add a risk","OK"))</f>
        <v/>
      </c>
    </row>
    <row r="90" customFormat="false" ht="15" hidden="false" customHeight="false" outlineLevel="0" collapsed="false">
      <c r="A90" s="18" t="str">
        <f aca="false">IF(Ref_BP!A87="","",Ref_BP!A87)</f>
        <v/>
      </c>
      <c r="B90" s="18" t="str">
        <f aca="false">IF(A90="","",COUNTIF(Risk_Register!$B$5:$B$204,A90))</f>
        <v/>
      </c>
      <c r="C90" s="18" t="str">
        <f aca="false">IF(A90="","",COUNTIFS(Risk_Register!$B$5:$B$204,A90,Risk_Register!$K$5:$K$204,"High"))</f>
        <v/>
      </c>
      <c r="D90" s="18" t="str">
        <f aca="false">IF(A90="","",COUNTIFS(Risk_Register!$B$5:$B$204,A90,Risk_Register!$L$5:$L$204,"Y"))</f>
        <v/>
      </c>
      <c r="E90" s="18" t="str">
        <f aca="false">IF(A90="","",IF(B90=0,"NO RISK: add a risk","OK"))</f>
        <v/>
      </c>
    </row>
    <row r="91" customFormat="false" ht="15" hidden="false" customHeight="false" outlineLevel="0" collapsed="false">
      <c r="A91" s="18" t="str">
        <f aca="false">IF(Ref_BP!A88="","",Ref_BP!A88)</f>
        <v/>
      </c>
      <c r="B91" s="18" t="str">
        <f aca="false">IF(A91="","",COUNTIF(Risk_Register!$B$5:$B$204,A91))</f>
        <v/>
      </c>
      <c r="C91" s="18" t="str">
        <f aca="false">IF(A91="","",COUNTIFS(Risk_Register!$B$5:$B$204,A91,Risk_Register!$K$5:$K$204,"High"))</f>
        <v/>
      </c>
      <c r="D91" s="18" t="str">
        <f aca="false">IF(A91="","",COUNTIFS(Risk_Register!$B$5:$B$204,A91,Risk_Register!$L$5:$L$204,"Y"))</f>
        <v/>
      </c>
      <c r="E91" s="18" t="str">
        <f aca="false">IF(A91="","",IF(B91=0,"NO RISK: add a risk","OK"))</f>
        <v/>
      </c>
    </row>
    <row r="92" customFormat="false" ht="15" hidden="false" customHeight="false" outlineLevel="0" collapsed="false">
      <c r="A92" s="18" t="str">
        <f aca="false">IF(Ref_BP!A89="","",Ref_BP!A89)</f>
        <v/>
      </c>
      <c r="B92" s="18" t="str">
        <f aca="false">IF(A92="","",COUNTIF(Risk_Register!$B$5:$B$204,A92))</f>
        <v/>
      </c>
      <c r="C92" s="18" t="str">
        <f aca="false">IF(A92="","",COUNTIFS(Risk_Register!$B$5:$B$204,A92,Risk_Register!$K$5:$K$204,"High"))</f>
        <v/>
      </c>
      <c r="D92" s="18" t="str">
        <f aca="false">IF(A92="","",COUNTIFS(Risk_Register!$B$5:$B$204,A92,Risk_Register!$L$5:$L$204,"Y"))</f>
        <v/>
      </c>
      <c r="E92" s="18" t="str">
        <f aca="false">IF(A92="","",IF(B92=0,"NO RISK: add a risk","OK"))</f>
        <v/>
      </c>
    </row>
    <row r="93" customFormat="false" ht="15" hidden="false" customHeight="false" outlineLevel="0" collapsed="false">
      <c r="A93" s="18" t="str">
        <f aca="false">IF(Ref_BP!A90="","",Ref_BP!A90)</f>
        <v/>
      </c>
      <c r="B93" s="18" t="str">
        <f aca="false">IF(A93="","",COUNTIF(Risk_Register!$B$5:$B$204,A93))</f>
        <v/>
      </c>
      <c r="C93" s="18" t="str">
        <f aca="false">IF(A93="","",COUNTIFS(Risk_Register!$B$5:$B$204,A93,Risk_Register!$K$5:$K$204,"High"))</f>
        <v/>
      </c>
      <c r="D93" s="18" t="str">
        <f aca="false">IF(A93="","",COUNTIFS(Risk_Register!$B$5:$B$204,A93,Risk_Register!$L$5:$L$204,"Y"))</f>
        <v/>
      </c>
      <c r="E93" s="18" t="str">
        <f aca="false">IF(A93="","",IF(B93=0,"NO RISK: add a risk","OK"))</f>
        <v/>
      </c>
    </row>
    <row r="94" customFormat="false" ht="15" hidden="false" customHeight="false" outlineLevel="0" collapsed="false">
      <c r="A94" s="18" t="str">
        <f aca="false">IF(Ref_BP!A91="","",Ref_BP!A91)</f>
        <v/>
      </c>
      <c r="B94" s="18" t="str">
        <f aca="false">IF(A94="","",COUNTIF(Risk_Register!$B$5:$B$204,A94))</f>
        <v/>
      </c>
      <c r="C94" s="18" t="str">
        <f aca="false">IF(A94="","",COUNTIFS(Risk_Register!$B$5:$B$204,A94,Risk_Register!$K$5:$K$204,"High"))</f>
        <v/>
      </c>
      <c r="D94" s="18" t="str">
        <f aca="false">IF(A94="","",COUNTIFS(Risk_Register!$B$5:$B$204,A94,Risk_Register!$L$5:$L$204,"Y"))</f>
        <v/>
      </c>
      <c r="E94" s="18" t="str">
        <f aca="false">IF(A94="","",IF(B94=0,"NO RISK: add a risk","OK"))</f>
        <v/>
      </c>
    </row>
    <row r="95" customFormat="false" ht="15" hidden="false" customHeight="false" outlineLevel="0" collapsed="false">
      <c r="A95" s="18" t="str">
        <f aca="false">IF(Ref_BP!A92="","",Ref_BP!A92)</f>
        <v/>
      </c>
      <c r="B95" s="18" t="str">
        <f aca="false">IF(A95="","",COUNTIF(Risk_Register!$B$5:$B$204,A95))</f>
        <v/>
      </c>
      <c r="C95" s="18" t="str">
        <f aca="false">IF(A95="","",COUNTIFS(Risk_Register!$B$5:$B$204,A95,Risk_Register!$K$5:$K$204,"High"))</f>
        <v/>
      </c>
      <c r="D95" s="18" t="str">
        <f aca="false">IF(A95="","",COUNTIFS(Risk_Register!$B$5:$B$204,A95,Risk_Register!$L$5:$L$204,"Y"))</f>
        <v/>
      </c>
      <c r="E95" s="18" t="str">
        <f aca="false">IF(A95="","",IF(B95=0,"NO RISK: add a risk","OK"))</f>
        <v/>
      </c>
    </row>
    <row r="96" customFormat="false" ht="15" hidden="false" customHeight="false" outlineLevel="0" collapsed="false">
      <c r="A96" s="18" t="str">
        <f aca="false">IF(Ref_BP!A93="","",Ref_BP!A93)</f>
        <v/>
      </c>
      <c r="B96" s="18" t="str">
        <f aca="false">IF(A96="","",COUNTIF(Risk_Register!$B$5:$B$204,A96))</f>
        <v/>
      </c>
      <c r="C96" s="18" t="str">
        <f aca="false">IF(A96="","",COUNTIFS(Risk_Register!$B$5:$B$204,A96,Risk_Register!$K$5:$K$204,"High"))</f>
        <v/>
      </c>
      <c r="D96" s="18" t="str">
        <f aca="false">IF(A96="","",COUNTIFS(Risk_Register!$B$5:$B$204,A96,Risk_Register!$L$5:$L$204,"Y"))</f>
        <v/>
      </c>
      <c r="E96" s="18" t="str">
        <f aca="false">IF(A96="","",IF(B96=0,"NO RISK: add a risk","OK"))</f>
        <v/>
      </c>
    </row>
    <row r="97" customFormat="false" ht="15" hidden="false" customHeight="false" outlineLevel="0" collapsed="false">
      <c r="A97" s="18" t="str">
        <f aca="false">IF(Ref_BP!A94="","",Ref_BP!A94)</f>
        <v/>
      </c>
      <c r="B97" s="18" t="str">
        <f aca="false">IF(A97="","",COUNTIF(Risk_Register!$B$5:$B$204,A97))</f>
        <v/>
      </c>
      <c r="C97" s="18" t="str">
        <f aca="false">IF(A97="","",COUNTIFS(Risk_Register!$B$5:$B$204,A97,Risk_Register!$K$5:$K$204,"High"))</f>
        <v/>
      </c>
      <c r="D97" s="18" t="str">
        <f aca="false">IF(A97="","",COUNTIFS(Risk_Register!$B$5:$B$204,A97,Risk_Register!$L$5:$L$204,"Y"))</f>
        <v/>
      </c>
      <c r="E97" s="18" t="str">
        <f aca="false">IF(A97="","",IF(B97=0,"NO RISK: add a risk","OK"))</f>
        <v/>
      </c>
    </row>
    <row r="98" customFormat="false" ht="15" hidden="false" customHeight="false" outlineLevel="0" collapsed="false">
      <c r="A98" s="18" t="str">
        <f aca="false">IF(Ref_BP!A95="","",Ref_BP!A95)</f>
        <v/>
      </c>
      <c r="B98" s="18" t="str">
        <f aca="false">IF(A98="","",COUNTIF(Risk_Register!$B$5:$B$204,A98))</f>
        <v/>
      </c>
      <c r="C98" s="18" t="str">
        <f aca="false">IF(A98="","",COUNTIFS(Risk_Register!$B$5:$B$204,A98,Risk_Register!$K$5:$K$204,"High"))</f>
        <v/>
      </c>
      <c r="D98" s="18" t="str">
        <f aca="false">IF(A98="","",COUNTIFS(Risk_Register!$B$5:$B$204,A98,Risk_Register!$L$5:$L$204,"Y"))</f>
        <v/>
      </c>
      <c r="E98" s="18" t="str">
        <f aca="false">IF(A98="","",IF(B98=0,"NO RISK: add a risk","OK"))</f>
        <v/>
      </c>
    </row>
    <row r="99" customFormat="false" ht="15" hidden="false" customHeight="false" outlineLevel="0" collapsed="false">
      <c r="A99" s="18" t="str">
        <f aca="false">IF(Ref_BP!A96="","",Ref_BP!A96)</f>
        <v/>
      </c>
      <c r="B99" s="18" t="str">
        <f aca="false">IF(A99="","",COUNTIF(Risk_Register!$B$5:$B$204,A99))</f>
        <v/>
      </c>
      <c r="C99" s="18" t="str">
        <f aca="false">IF(A99="","",COUNTIFS(Risk_Register!$B$5:$B$204,A99,Risk_Register!$K$5:$K$204,"High"))</f>
        <v/>
      </c>
      <c r="D99" s="18" t="str">
        <f aca="false">IF(A99="","",COUNTIFS(Risk_Register!$B$5:$B$204,A99,Risk_Register!$L$5:$L$204,"Y"))</f>
        <v/>
      </c>
      <c r="E99" s="18" t="str">
        <f aca="false">IF(A99="","",IF(B99=0,"NO RISK: add a risk","OK"))</f>
        <v/>
      </c>
    </row>
    <row r="100" customFormat="false" ht="15" hidden="false" customHeight="false" outlineLevel="0" collapsed="false">
      <c r="A100" s="18" t="str">
        <f aca="false">IF(Ref_BP!A97="","",Ref_BP!A97)</f>
        <v/>
      </c>
      <c r="B100" s="18" t="str">
        <f aca="false">IF(A100="","",COUNTIF(Risk_Register!$B$5:$B$204,A100))</f>
        <v/>
      </c>
      <c r="C100" s="18" t="str">
        <f aca="false">IF(A100="","",COUNTIFS(Risk_Register!$B$5:$B$204,A100,Risk_Register!$K$5:$K$204,"High"))</f>
        <v/>
      </c>
      <c r="D100" s="18" t="str">
        <f aca="false">IF(A100="","",COUNTIFS(Risk_Register!$B$5:$B$204,A100,Risk_Register!$L$5:$L$204,"Y"))</f>
        <v/>
      </c>
      <c r="E100" s="18" t="str">
        <f aca="false">IF(A100="","",IF(B100=0,"NO RISK: add a risk","OK"))</f>
        <v/>
      </c>
    </row>
    <row r="101" customFormat="false" ht="15" hidden="false" customHeight="false" outlineLevel="0" collapsed="false">
      <c r="A101" s="18" t="str">
        <f aca="false">IF(Ref_BP!A98="","",Ref_BP!A98)</f>
        <v/>
      </c>
      <c r="B101" s="18" t="str">
        <f aca="false">IF(A101="","",COUNTIF(Risk_Register!$B$5:$B$204,A101))</f>
        <v/>
      </c>
      <c r="C101" s="18" t="str">
        <f aca="false">IF(A101="","",COUNTIFS(Risk_Register!$B$5:$B$204,A101,Risk_Register!$K$5:$K$204,"High"))</f>
        <v/>
      </c>
      <c r="D101" s="18" t="str">
        <f aca="false">IF(A101="","",COUNTIFS(Risk_Register!$B$5:$B$204,A101,Risk_Register!$L$5:$L$204,"Y"))</f>
        <v/>
      </c>
      <c r="E101" s="18" t="str">
        <f aca="false">IF(A101="","",IF(B101=0,"NO RISK: add a risk","OK"))</f>
        <v/>
      </c>
    </row>
    <row r="102" customFormat="false" ht="15" hidden="false" customHeight="false" outlineLevel="0" collapsed="false">
      <c r="A102" s="18" t="str">
        <f aca="false">IF(Ref_BP!A99="","",Ref_BP!A99)</f>
        <v/>
      </c>
      <c r="B102" s="18" t="str">
        <f aca="false">IF(A102="","",COUNTIF(Risk_Register!$B$5:$B$204,A102))</f>
        <v/>
      </c>
      <c r="C102" s="18" t="str">
        <f aca="false">IF(A102="","",COUNTIFS(Risk_Register!$B$5:$B$204,A102,Risk_Register!$K$5:$K$204,"High"))</f>
        <v/>
      </c>
      <c r="D102" s="18" t="str">
        <f aca="false">IF(A102="","",COUNTIFS(Risk_Register!$B$5:$B$204,A102,Risk_Register!$L$5:$L$204,"Y"))</f>
        <v/>
      </c>
      <c r="E102" s="18" t="str">
        <f aca="false">IF(A102="","",IF(B102=0,"NO RISK: add a risk","OK"))</f>
        <v/>
      </c>
    </row>
    <row r="103" customFormat="false" ht="15" hidden="false" customHeight="false" outlineLevel="0" collapsed="false">
      <c r="A103" s="18" t="str">
        <f aca="false">IF(Ref_BP!A100="","",Ref_BP!A100)</f>
        <v/>
      </c>
      <c r="B103" s="18" t="str">
        <f aca="false">IF(A103="","",COUNTIF(Risk_Register!$B$5:$B$204,A103))</f>
        <v/>
      </c>
      <c r="C103" s="18" t="str">
        <f aca="false">IF(A103="","",COUNTIFS(Risk_Register!$B$5:$B$204,A103,Risk_Register!$K$5:$K$204,"High"))</f>
        <v/>
      </c>
      <c r="D103" s="18" t="str">
        <f aca="false">IF(A103="","",COUNTIFS(Risk_Register!$B$5:$B$204,A103,Risk_Register!$L$5:$L$204,"Y"))</f>
        <v/>
      </c>
      <c r="E103" s="18" t="str">
        <f aca="false">IF(A103="","",IF(B103=0,"NO RISK: add a risk","OK"))</f>
        <v/>
      </c>
    </row>
    <row r="104" customFormat="false" ht="15" hidden="false" customHeight="false" outlineLevel="0" collapsed="false">
      <c r="A104" s="18" t="str">
        <f aca="false">IF(Ref_BP!A101="","",Ref_BP!A101)</f>
        <v/>
      </c>
      <c r="B104" s="18" t="str">
        <f aca="false">IF(A104="","",COUNTIF(Risk_Register!$B$5:$B$204,A104))</f>
        <v/>
      </c>
      <c r="C104" s="18" t="str">
        <f aca="false">IF(A104="","",COUNTIFS(Risk_Register!$B$5:$B$204,A104,Risk_Register!$K$5:$K$204,"High"))</f>
        <v/>
      </c>
      <c r="D104" s="18" t="str">
        <f aca="false">IF(A104="","",COUNTIFS(Risk_Register!$B$5:$B$204,A104,Risk_Register!$L$5:$L$204,"Y"))</f>
        <v/>
      </c>
      <c r="E104" s="18" t="str">
        <f aca="false">IF(A104="","",IF(B104=0,"NO RISK: add a risk","OK"))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9" t="s">
        <v>90</v>
      </c>
    </row>
    <row r="2" customFormat="false" ht="15" hidden="false" customHeight="false" outlineLevel="0" collapsed="false">
      <c r="A2" s="20" t="s">
        <v>91</v>
      </c>
    </row>
    <row r="3" customFormat="false" ht="15" hidden="false" customHeight="false" outlineLevel="0" collapsed="false">
      <c r="A3" s="20" t="s">
        <v>92</v>
      </c>
    </row>
    <row r="4" customFormat="false" ht="15" hidden="false" customHeight="false" outlineLevel="0" collapsed="false">
      <c r="A4" s="20" t="s">
        <v>76</v>
      </c>
    </row>
    <row r="5" customFormat="false" ht="15" hidden="false" customHeight="false" outlineLevel="0" collapsed="false">
      <c r="A5" s="20" t="s">
        <v>93</v>
      </c>
    </row>
    <row r="6" customFormat="false" ht="15" hidden="false" customHeight="false" outlineLevel="0" collapsed="false">
      <c r="A6" s="20" t="s">
        <v>94</v>
      </c>
    </row>
    <row r="7" customFormat="false" ht="15" hidden="false" customHeight="false" outlineLevel="0" collapsed="false">
      <c r="A7" s="20" t="s">
        <v>95</v>
      </c>
    </row>
    <row r="8" customFormat="false" ht="15" hidden="false" customHeight="false" outlineLevel="0" collapsed="false">
      <c r="A8" s="20" t="s">
        <v>96</v>
      </c>
    </row>
    <row r="9" customFormat="false" ht="15" hidden="false" customHeight="false" outlineLevel="0" collapsed="false">
      <c r="A9" s="20" t="s">
        <v>97</v>
      </c>
    </row>
    <row r="10" customFormat="false" ht="15" hidden="false" customHeight="false" outlineLevel="0" collapsed="false">
      <c r="A10" s="20" t="s">
        <v>98</v>
      </c>
    </row>
    <row r="11" customFormat="false" ht="15" hidden="false" customHeight="false" outlineLevel="0" collapsed="false">
      <c r="A11" s="20" t="s">
        <v>99</v>
      </c>
    </row>
    <row r="12" customFormat="false" ht="15" hidden="false" customHeight="false" outlineLevel="0" collapsed="false">
      <c r="A12" s="20" t="s">
        <v>100</v>
      </c>
    </row>
    <row r="13" customFormat="false" ht="15" hidden="false" customHeight="false" outlineLevel="0" collapsed="false">
      <c r="A13" s="20" t="s">
        <v>101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/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/>
    </row>
    <row r="18" customFormat="false" ht="15" hidden="false" customHeight="false" outlineLevel="0" collapsed="false">
      <c r="A18" s="20"/>
    </row>
    <row r="19" customFormat="false" ht="15" hidden="false" customHeight="false" outlineLevel="0" collapsed="false">
      <c r="A19" s="20"/>
    </row>
    <row r="20" customFormat="false" ht="15" hidden="false" customHeight="false" outlineLevel="0" collapsed="false">
      <c r="A20" s="20"/>
    </row>
    <row r="21" customFormat="false" ht="15" hidden="false" customHeight="false" outlineLevel="0" collapsed="false">
      <c r="A21" s="20"/>
    </row>
    <row r="22" customFormat="false" ht="15" hidden="false" customHeight="false" outlineLevel="0" collapsed="false">
      <c r="A22" s="20"/>
    </row>
    <row r="23" customFormat="false" ht="15" hidden="false" customHeight="false" outlineLevel="0" collapsed="false">
      <c r="A23" s="20"/>
    </row>
    <row r="24" customFormat="false" ht="15" hidden="false" customHeight="false" outlineLevel="0" collapsed="false">
      <c r="A24" s="20"/>
    </row>
    <row r="25" customFormat="false" ht="15" hidden="false" customHeight="false" outlineLevel="0" collapsed="false">
      <c r="A25" s="20"/>
    </row>
    <row r="26" customFormat="false" ht="15" hidden="false" customHeight="false" outlineLevel="0" collapsed="false">
      <c r="A26" s="20"/>
    </row>
    <row r="27" customFormat="false" ht="15" hidden="false" customHeight="false" outlineLevel="0" collapsed="false">
      <c r="A27" s="20"/>
    </row>
    <row r="28" customFormat="false" ht="15" hidden="false" customHeight="false" outlineLevel="0" collapsed="false">
      <c r="A28" s="20"/>
    </row>
    <row r="29" customFormat="false" ht="15" hidden="false" customHeight="false" outlineLevel="0" collapsed="false">
      <c r="A29" s="20"/>
    </row>
    <row r="30" customFormat="false" ht="15" hidden="false" customHeight="false" outlineLevel="0" collapsed="false">
      <c r="A30" s="20"/>
    </row>
    <row r="31" customFormat="false" ht="15" hidden="false" customHeight="false" outlineLevel="0" collapsed="false">
      <c r="A31" s="20"/>
    </row>
    <row r="32" customFormat="false" ht="15" hidden="false" customHeight="false" outlineLevel="0" collapsed="false">
      <c r="A32" s="20"/>
    </row>
    <row r="33" customFormat="false" ht="15" hidden="false" customHeight="false" outlineLevel="0" collapsed="false">
      <c r="A33" s="20"/>
    </row>
    <row r="34" customFormat="false" ht="15" hidden="false" customHeight="false" outlineLevel="0" collapsed="false">
      <c r="A34" s="20"/>
    </row>
    <row r="35" customFormat="false" ht="15" hidden="false" customHeight="false" outlineLevel="0" collapsed="false">
      <c r="A35" s="20"/>
    </row>
    <row r="36" customFormat="false" ht="15" hidden="false" customHeight="false" outlineLevel="0" collapsed="false">
      <c r="A36" s="20"/>
    </row>
    <row r="37" customFormat="false" ht="15" hidden="false" customHeight="false" outlineLevel="0" collapsed="false">
      <c r="A37" s="20"/>
    </row>
    <row r="38" customFormat="false" ht="15" hidden="false" customHeight="false" outlineLevel="0" collapsed="false">
      <c r="A38" s="20"/>
    </row>
    <row r="39" customFormat="false" ht="15" hidden="false" customHeight="false" outlineLevel="0" collapsed="false">
      <c r="A39" s="20"/>
    </row>
    <row r="40" customFormat="false" ht="15" hidden="false" customHeight="false" outlineLevel="0" collapsed="false">
      <c r="A40" s="20"/>
    </row>
    <row r="41" customFormat="false" ht="15" hidden="false" customHeight="false" outlineLevel="0" collapsed="false">
      <c r="A41" s="20"/>
    </row>
    <row r="42" customFormat="false" ht="15" hidden="false" customHeight="false" outlineLevel="0" collapsed="false">
      <c r="A42" s="20"/>
    </row>
    <row r="43" customFormat="false" ht="15" hidden="false" customHeight="false" outlineLevel="0" collapsed="false">
      <c r="A43" s="20"/>
    </row>
    <row r="44" customFormat="false" ht="15" hidden="false" customHeight="false" outlineLevel="0" collapsed="false">
      <c r="A44" s="20"/>
    </row>
    <row r="45" customFormat="false" ht="15" hidden="false" customHeight="false" outlineLevel="0" collapsed="false">
      <c r="A45" s="20"/>
    </row>
    <row r="46" customFormat="false" ht="15" hidden="false" customHeight="false" outlineLevel="0" collapsed="false">
      <c r="A46" s="20"/>
    </row>
    <row r="47" customFormat="false" ht="15" hidden="false" customHeight="false" outlineLevel="0" collapsed="false">
      <c r="A47" s="20"/>
    </row>
    <row r="48" customFormat="false" ht="15" hidden="false" customHeight="false" outlineLevel="0" collapsed="false">
      <c r="A48" s="20"/>
    </row>
    <row r="49" customFormat="false" ht="15" hidden="false" customHeight="false" outlineLevel="0" collapsed="false">
      <c r="A49" s="20"/>
    </row>
    <row r="50" customFormat="false" ht="15" hidden="false" customHeight="false" outlineLevel="0" collapsed="false">
      <c r="A50" s="20"/>
    </row>
    <row r="51" customFormat="false" ht="15" hidden="false" customHeight="false" outlineLevel="0" collapsed="false">
      <c r="A51" s="20"/>
    </row>
    <row r="52" customFormat="false" ht="15" hidden="false" customHeight="false" outlineLevel="0" collapsed="false">
      <c r="A52" s="20"/>
    </row>
    <row r="53" customFormat="false" ht="15" hidden="false" customHeight="false" outlineLevel="0" collapsed="false">
      <c r="A53" s="20"/>
    </row>
    <row r="54" customFormat="false" ht="15" hidden="false" customHeight="false" outlineLevel="0" collapsed="false">
      <c r="A54" s="20"/>
    </row>
    <row r="55" customFormat="false" ht="15" hidden="false" customHeight="false" outlineLevel="0" collapsed="false">
      <c r="A55" s="20"/>
    </row>
    <row r="56" customFormat="false" ht="15" hidden="false" customHeight="false" outlineLevel="0" collapsed="false">
      <c r="A56" s="20"/>
    </row>
    <row r="57" customFormat="false" ht="15" hidden="false" customHeight="false" outlineLevel="0" collapsed="false">
      <c r="A57" s="20"/>
    </row>
    <row r="58" customFormat="false" ht="15" hidden="false" customHeight="false" outlineLevel="0" collapsed="false">
      <c r="A58" s="20"/>
    </row>
    <row r="59" customFormat="false" ht="15" hidden="false" customHeight="false" outlineLevel="0" collapsed="false">
      <c r="A59" s="20"/>
    </row>
    <row r="60" customFormat="false" ht="15" hidden="false" customHeight="false" outlineLevel="0" collapsed="false">
      <c r="A60" s="20"/>
    </row>
    <row r="61" customFormat="false" ht="15" hidden="false" customHeight="false" outlineLevel="0" collapsed="false">
      <c r="A61" s="20"/>
    </row>
    <row r="62" customFormat="false" ht="15" hidden="false" customHeight="false" outlineLevel="0" collapsed="false">
      <c r="A62" s="20"/>
    </row>
    <row r="63" customFormat="false" ht="15" hidden="false" customHeight="false" outlineLevel="0" collapsed="false">
      <c r="A63" s="20"/>
    </row>
    <row r="64" customFormat="false" ht="15" hidden="false" customHeight="false" outlineLevel="0" collapsed="false">
      <c r="A64" s="20"/>
    </row>
    <row r="65" customFormat="false" ht="15" hidden="false" customHeight="false" outlineLevel="0" collapsed="false">
      <c r="A65" s="20"/>
    </row>
    <row r="66" customFormat="false" ht="15" hidden="false" customHeight="false" outlineLevel="0" collapsed="false">
      <c r="A66" s="20"/>
    </row>
    <row r="67" customFormat="false" ht="15" hidden="false" customHeight="false" outlineLevel="0" collapsed="false">
      <c r="A67" s="20"/>
    </row>
    <row r="68" customFormat="false" ht="15" hidden="false" customHeight="false" outlineLevel="0" collapsed="false">
      <c r="A68" s="20"/>
    </row>
    <row r="69" customFormat="false" ht="15" hidden="false" customHeight="false" outlineLevel="0" collapsed="false">
      <c r="A69" s="20"/>
    </row>
    <row r="70" customFormat="false" ht="15" hidden="false" customHeight="false" outlineLevel="0" collapsed="false">
      <c r="A70" s="20"/>
    </row>
    <row r="71" customFormat="false" ht="15" hidden="false" customHeight="false" outlineLevel="0" collapsed="false">
      <c r="A71" s="20"/>
    </row>
    <row r="72" customFormat="false" ht="15" hidden="false" customHeight="false" outlineLevel="0" collapsed="false">
      <c r="A72" s="20"/>
    </row>
    <row r="73" customFormat="false" ht="15" hidden="false" customHeight="false" outlineLevel="0" collapsed="false">
      <c r="A73" s="20"/>
    </row>
    <row r="74" customFormat="false" ht="15" hidden="false" customHeight="false" outlineLevel="0" collapsed="false">
      <c r="A74" s="20"/>
    </row>
    <row r="75" customFormat="false" ht="15" hidden="false" customHeight="false" outlineLevel="0" collapsed="false">
      <c r="A75" s="20"/>
    </row>
    <row r="76" customFormat="false" ht="15" hidden="false" customHeight="false" outlineLevel="0" collapsed="false">
      <c r="A76" s="20"/>
    </row>
    <row r="77" customFormat="false" ht="15" hidden="false" customHeight="false" outlineLevel="0" collapsed="false">
      <c r="A77" s="20"/>
    </row>
    <row r="78" customFormat="false" ht="15" hidden="false" customHeight="false" outlineLevel="0" collapsed="false">
      <c r="A78" s="20"/>
    </row>
    <row r="79" customFormat="false" ht="15" hidden="false" customHeight="false" outlineLevel="0" collapsed="false">
      <c r="A79" s="20"/>
    </row>
    <row r="80" customFormat="false" ht="15" hidden="false" customHeight="false" outlineLevel="0" collapsed="false">
      <c r="A80" s="20"/>
    </row>
    <row r="81" customFormat="false" ht="15" hidden="false" customHeight="false" outlineLevel="0" collapsed="false">
      <c r="A81" s="20"/>
    </row>
    <row r="82" customFormat="false" ht="15" hidden="false" customHeight="false" outlineLevel="0" collapsed="false">
      <c r="A82" s="20"/>
    </row>
    <row r="83" customFormat="false" ht="15" hidden="false" customHeight="false" outlineLevel="0" collapsed="false">
      <c r="A83" s="20"/>
    </row>
    <row r="84" customFormat="false" ht="15" hidden="false" customHeight="false" outlineLevel="0" collapsed="false">
      <c r="A84" s="20"/>
    </row>
    <row r="85" customFormat="false" ht="15" hidden="false" customHeight="false" outlineLevel="0" collapsed="false">
      <c r="A85" s="20"/>
    </row>
    <row r="86" customFormat="false" ht="15" hidden="false" customHeight="false" outlineLevel="0" collapsed="false">
      <c r="A86" s="20"/>
    </row>
    <row r="87" customFormat="false" ht="15" hidden="false" customHeight="false" outlineLevel="0" collapsed="false">
      <c r="A87" s="20"/>
    </row>
    <row r="88" customFormat="false" ht="15" hidden="false" customHeight="false" outlineLevel="0" collapsed="false">
      <c r="A88" s="20"/>
    </row>
    <row r="89" customFormat="false" ht="15" hidden="false" customHeight="false" outlineLevel="0" collapsed="false">
      <c r="A89" s="20"/>
    </row>
    <row r="90" customFormat="false" ht="15" hidden="false" customHeight="false" outlineLevel="0" collapsed="false">
      <c r="A90" s="20"/>
    </row>
    <row r="91" customFormat="false" ht="15" hidden="false" customHeight="false" outlineLevel="0" collapsed="false">
      <c r="A91" s="20"/>
    </row>
    <row r="92" customFormat="false" ht="15" hidden="false" customHeight="false" outlineLevel="0" collapsed="false">
      <c r="A92" s="20"/>
    </row>
    <row r="93" customFormat="false" ht="15" hidden="false" customHeight="false" outlineLevel="0" collapsed="false">
      <c r="A93" s="20"/>
    </row>
    <row r="94" customFormat="false" ht="15" hidden="false" customHeight="false" outlineLevel="0" collapsed="false">
      <c r="A94" s="20"/>
    </row>
    <row r="95" customFormat="false" ht="15" hidden="false" customHeight="false" outlineLevel="0" collapsed="false">
      <c r="A95" s="20"/>
    </row>
    <row r="96" customFormat="false" ht="15" hidden="false" customHeight="false" outlineLevel="0" collapsed="false">
      <c r="A96" s="20"/>
    </row>
    <row r="97" customFormat="false" ht="15" hidden="false" customHeight="false" outlineLevel="0" collapsed="false">
      <c r="A97" s="20"/>
    </row>
    <row r="98" customFormat="false" ht="15" hidden="false" customHeight="false" outlineLevel="0" collapsed="false">
      <c r="A98" s="20"/>
    </row>
    <row r="99" customFormat="false" ht="15" hidden="false" customHeight="false" outlineLevel="0" collapsed="false">
      <c r="A99" s="20"/>
    </row>
    <row r="100" customFormat="false" ht="15" hidden="false" customHeight="false" outlineLevel="0" collapsed="false">
      <c r="A100" s="20"/>
    </row>
    <row r="101" customFormat="false" ht="15" hidden="false" customHeight="false" outlineLevel="0" collapsed="false">
      <c r="A1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6"/>
  </cols>
  <sheetData>
    <row r="1" customFormat="false" ht="15" hidden="false" customHeight="false" outlineLevel="0" collapsed="false">
      <c r="A1" s="21" t="s">
        <v>102</v>
      </c>
      <c r="B1" s="21" t="s">
        <v>103</v>
      </c>
      <c r="C1" s="21" t="s">
        <v>104</v>
      </c>
      <c r="D1" s="21" t="s">
        <v>105</v>
      </c>
      <c r="E1" s="21" t="s">
        <v>106</v>
      </c>
    </row>
    <row r="2" customFormat="false" ht="15" hidden="false" customHeight="false" outlineLevel="0" collapsed="false">
      <c r="A2" s="22" t="s">
        <v>107</v>
      </c>
      <c r="B2" s="22" t="n">
        <v>1</v>
      </c>
      <c r="C2" s="22" t="s">
        <v>82</v>
      </c>
      <c r="D2" s="22" t="s">
        <v>83</v>
      </c>
      <c r="E2" s="22" t="s">
        <v>108</v>
      </c>
    </row>
    <row r="3" customFormat="false" ht="15" hidden="false" customHeight="false" outlineLevel="0" collapsed="false">
      <c r="A3" s="22" t="s">
        <v>109</v>
      </c>
      <c r="B3" s="22" t="n">
        <v>2</v>
      </c>
      <c r="C3" s="22" t="s">
        <v>110</v>
      </c>
      <c r="D3" s="22" t="s">
        <v>111</v>
      </c>
      <c r="E3" s="22" t="s">
        <v>84</v>
      </c>
    </row>
    <row r="4" customFormat="false" ht="15" hidden="false" customHeight="false" outlineLevel="0" collapsed="false">
      <c r="A4" s="22" t="s">
        <v>112</v>
      </c>
      <c r="B4" s="22" t="n">
        <v>3</v>
      </c>
      <c r="D4" s="22" t="s">
        <v>113</v>
      </c>
      <c r="E4" s="22" t="s">
        <v>114</v>
      </c>
    </row>
    <row r="5" customFormat="false" ht="15" hidden="false" customHeight="false" outlineLevel="0" collapsed="false">
      <c r="A5" s="22" t="s">
        <v>115</v>
      </c>
      <c r="D5" s="22" t="s">
        <v>116</v>
      </c>
    </row>
    <row r="6" customFormat="false" ht="15" hidden="false" customHeight="false" outlineLevel="0" collapsed="false">
      <c r="A6" s="22" t="s">
        <v>117</v>
      </c>
      <c r="D6" s="22" t="s">
        <v>118</v>
      </c>
    </row>
    <row r="7" customFormat="false" ht="15" hidden="false" customHeight="false" outlineLevel="0" collapsed="false">
      <c r="A7" s="22" t="s">
        <v>78</v>
      </c>
    </row>
    <row r="8" customFormat="false" ht="15" hidden="false" customHeight="false" outlineLevel="0" collapsed="false">
      <c r="A8" s="22" t="s">
        <v>119</v>
      </c>
    </row>
    <row r="9" customFormat="false" ht="15" hidden="false" customHeight="false" outlineLevel="0" collapsed="false">
      <c r="A9" s="22" t="s">
        <v>120</v>
      </c>
    </row>
    <row r="10" customFormat="false" ht="15" hidden="false" customHeight="false" outlineLevel="0" collapsed="false">
      <c r="A10" s="2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9" t="s">
        <v>122</v>
      </c>
    </row>
    <row r="2" customFormat="false" ht="15" hidden="false" customHeight="false" outlineLevel="0" collapsed="false">
      <c r="A2" s="10" t="s">
        <v>123</v>
      </c>
    </row>
    <row r="3" customFormat="false" ht="15" hidden="false" customHeight="false" outlineLevel="0" collapsed="false">
      <c r="A3" s="21" t="s">
        <v>124</v>
      </c>
      <c r="B3" s="23" t="str">
        <f aca="false">IF(COUNTIF(C6:C13,"REVIEW")=0,"ALL CHECKS PASS","REVIEW ITEMS: "&amp;COUNTIF(C6:C13,"REVIEW"))</f>
        <v>REVIEW ITEMS: 2</v>
      </c>
    </row>
    <row r="5" customFormat="false" ht="15" hidden="false" customHeight="false" outlineLevel="0" collapsed="false">
      <c r="A5" s="5" t="s">
        <v>125</v>
      </c>
      <c r="B5" s="5" t="s">
        <v>126</v>
      </c>
      <c r="C5" s="5" t="s">
        <v>63</v>
      </c>
      <c r="D5" s="5" t="s">
        <v>127</v>
      </c>
    </row>
    <row r="6" customFormat="false" ht="15" hidden="false" customHeight="false" outlineLevel="0" collapsed="false">
      <c r="A6" s="24" t="s">
        <v>128</v>
      </c>
      <c r="B6" s="24" t="n">
        <f aca="false">COUNTA(Risk_Register!A5:A204)</f>
        <v>1</v>
      </c>
      <c r="C6" s="24" t="s">
        <v>129</v>
      </c>
      <c r="D6" s="24" t="s">
        <v>130</v>
      </c>
    </row>
    <row r="7" customFormat="false" ht="15" hidden="false" customHeight="false" outlineLevel="0" collapsed="false">
      <c r="A7" s="24" t="s">
        <v>131</v>
      </c>
      <c r="B7" s="24" t="n">
        <f aca="false">SUMPRODUCT((Risk_Register!A5:A204&lt;&gt;"")*(COUNTIF(Risk_Register!A5:A204,Risk_Register!A5:A204)&gt;1))</f>
        <v>0</v>
      </c>
      <c r="C7" s="24" t="str">
        <f aca="false">IF(B7=0,"PASS","REVIEW")</f>
        <v>PASS</v>
      </c>
      <c r="D7" s="24" t="s">
        <v>132</v>
      </c>
    </row>
    <row r="8" customFormat="false" ht="15" hidden="false" customHeight="false" outlineLevel="0" collapsed="false">
      <c r="A8" s="24" t="s">
        <v>133</v>
      </c>
      <c r="B8" s="24" t="n">
        <f aca="false">SUMPRODUCT((Risk_Register!P5:P204&lt;&gt;"")*(Risk_Register!P5:P204&lt;&gt;"OK")*(LEFT(Risk_Register!P5:P204,2)&lt;&gt;"OK"))</f>
        <v>0</v>
      </c>
      <c r="C8" s="24" t="str">
        <f aca="false">IF(B8=0,"PASS","REVIEW")</f>
        <v>PASS</v>
      </c>
      <c r="D8" s="24" t="s">
        <v>134</v>
      </c>
    </row>
    <row r="9" customFormat="false" ht="15" hidden="false" customHeight="false" outlineLevel="0" collapsed="false">
      <c r="A9" s="24" t="s">
        <v>135</v>
      </c>
      <c r="B9" s="24" t="n">
        <f aca="false">COUNTIF(Coverage_By_BP!E5:E104,"NO RISK*")</f>
        <v>11</v>
      </c>
      <c r="C9" s="24" t="str">
        <f aca="false">IF(B9=0,"PASS","REVIEW")</f>
        <v>REVIEW</v>
      </c>
      <c r="D9" s="24" t="s">
        <v>136</v>
      </c>
    </row>
    <row r="10" customFormat="false" ht="15" hidden="false" customHeight="false" outlineLevel="0" collapsed="false">
      <c r="A10" s="24" t="s">
        <v>89</v>
      </c>
      <c r="B10" s="24" t="n">
        <f aca="false">COUNTIF(Risk_Register!L5:L204,"Y")</f>
        <v>1</v>
      </c>
      <c r="C10" s="24" t="s">
        <v>129</v>
      </c>
      <c r="D10" s="24" t="s">
        <v>137</v>
      </c>
    </row>
    <row r="11" customFormat="false" ht="15" hidden="false" customHeight="false" outlineLevel="0" collapsed="false">
      <c r="A11" s="24" t="s">
        <v>88</v>
      </c>
      <c r="B11" s="24" t="n">
        <f aca="false">COUNTIF(Risk_Register!K5:K204,"High")</f>
        <v>1</v>
      </c>
      <c r="C11" s="24" t="s">
        <v>129</v>
      </c>
      <c r="D11" s="24" t="s">
        <v>138</v>
      </c>
    </row>
    <row r="12" customFormat="false" ht="15" hidden="false" customHeight="false" outlineLevel="0" collapsed="false">
      <c r="A12" s="24" t="s">
        <v>139</v>
      </c>
      <c r="B12" s="24" t="n">
        <f aca="false">SUMPRODUCT((Risk_Register!A5:A204&lt;&gt;"")*(Risk_Register!N5:N204&lt;&gt;"Agreed with owner"))</f>
        <v>0</v>
      </c>
      <c r="C12" s="24" t="s">
        <v>129</v>
      </c>
      <c r="D12" s="24" t="s">
        <v>140</v>
      </c>
    </row>
    <row r="13" customFormat="false" ht="15" hidden="false" customHeight="false" outlineLevel="0" collapsed="false">
      <c r="A13" s="24" t="s">
        <v>141</v>
      </c>
      <c r="B13" s="24" t="n">
        <f aca="false">COUNTIF(Risk_Register!B5:B204,"BP-TECH*")</f>
        <v>0</v>
      </c>
      <c r="C13" s="24" t="str">
        <f aca="false">IF(B13&gt;0,"PASS","REVIEW")</f>
        <v>REVIEW</v>
      </c>
      <c r="D13" s="24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2026-10-03T01:34:31Z</dcterms:created>
  <dc:creator>openpyxl</dc:creator>
  <dc:description/>
  <dc:language>en-US</dc:language>
  <cp:lastModifiedBy/>
  <dcterms:modified xsi:type="dcterms:W3CDTF">2026-10-03T01:34:32Z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