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BC_Register" sheetId="2" state="visible" r:id="rId4"/>
    <sheet name="Ref_CTRL" sheetId="3" state="visible" r:id="rId5"/>
    <sheet name="Lists" sheetId="4" state="hidden" r:id="rId6"/>
    <sheet name="Checks" sheetId="5" state="visible" r:id="rId7"/>
  </sheets>
  <definedNames>
    <definedName function="false" hidden="true" localSheetId="1" name="_xlnm._FilterDatabase" vbProcedure="false">PBC_Register!$A$4:$T$204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<sst xmlns="http://schemas.openxmlformats.org/spreadsheetml/2006/main" count="235" uniqueCount="157">
  <si>
    <t xml:space="preserve">TIB SYSTEMS LLC  |  SAP Controls Project Foundation Workbook Set</t>
  </si>
  <si>
    <t xml:space="preserve">W08 — PBC / Evidence Request Register</t>
  </si>
  <si>
    <t xml:space="preserve">Purpose</t>
  </si>
  <si>
    <t xml:space="preserve">Lists every piece of evidence requested, from whom, for which period and for which control and test. Every request must answer a future testing question. If it cannot be traced to a CTRL-ID and a planned test, do not make it.</t>
  </si>
  <si>
    <t xml:space="preserve">How to use this workbook</t>
  </si>
  <si>
    <t xml:space="preserve">1. Paste CTRL-ID, title, evidence owner (W07), key flag (W05) into Ref_CTRL.</t>
  </si>
  <si>
    <t xml:space="preserve">2. For each in-scope key control, read Expected evidence and Test approach in W05 and write the wave 1 and 2 requests (configuration and populations).</t>
  </si>
  <si>
    <t xml:space="preserve">3. Make each request precise: system, client, period, fields, format. Consolidate requests that serve several controls.</t>
  </si>
  <si>
    <t xml:space="preserve">4. Issue, then track daily. Update Status and add EV-IDs as items are indexed in W09.</t>
  </si>
  <si>
    <t xml:space="preserve">5. Raise wave 3 sample requests only after W12 sampling is complete.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</si>
  <si>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</si>
  <si>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</si>
  <si>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</si>
  <si>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Every request traces to at least one CTRL-ID (and TEST-ID once W10 exists).</t>
  </si>
  <si>
    <t xml:space="preserve">Every request states system, period and required fields.</t>
  </si>
  <si>
    <t xml:space="preserve">Population requests are flagged for IPE checks.</t>
  </si>
  <si>
    <t xml:space="preserve">Outstanding requests are visible with owner and due date.</t>
  </si>
  <si>
    <t xml:space="preserve">Manual reference</t>
  </si>
  <si>
    <t xml:space="preserve">Part 2, Session 9 (W08).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</si>
  <si>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</si>
  <si>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</si>
  <si>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</si>
  <si>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</si>
  <si>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</si>
  <si>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</si>
  <si>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PBC_Register</t>
  </si>
  <si>
    <t xml:space="preserve">PBC-ID</t>
  </si>
  <si>
    <t xml:space="preserve">Unique key</t>
  </si>
  <si>
    <t xml:space="preserve">PBC-nnn</t>
  </si>
  <si>
    <t xml:space="preserve">Input</t>
  </si>
  <si>
    <t xml:space="preserve">Request wave</t>
  </si>
  <si>
    <t xml:space="preserve">Timing of the request</t>
  </si>
  <si>
    <t xml:space="preserve">1 Scoping / 2 Population / 3 Sample / 4 Follow-up</t>
  </si>
  <si>
    <t xml:space="preserve">Primary CTRL-ID</t>
  </si>
  <si>
    <t xml:space="preserve">Main control the evidence supports</t>
  </si>
  <si>
    <t xml:space="preserve">Must exist in W05</t>
  </si>
  <si>
    <t xml:space="preserve">Other CTRL-ID(s)</t>
  </si>
  <si>
    <t xml:space="preserve">Other controls served by the same request</t>
  </si>
  <si>
    <t xml:space="preserve">CTRL-ID list</t>
  </si>
  <si>
    <t xml:space="preserve">TEST-ID(s)</t>
  </si>
  <si>
    <t xml:space="preserve">Tests that will use it</t>
  </si>
  <si>
    <t xml:space="preserve">Back-filled when W10 is built; required for wave 3</t>
  </si>
  <si>
    <t xml:space="preserve">BP-ID / SYS-ID</t>
  </si>
  <si>
    <t xml:space="preserve">Where the evidence applies</t>
  </si>
  <si>
    <t xml:space="preserve">Keys from W03 / W01</t>
  </si>
  <si>
    <t xml:space="preserve">Requested evidence</t>
  </si>
  <si>
    <t xml:space="preserve">Exactly what is needed: system, client, period, fields, format</t>
  </si>
  <si>
    <t xml:space="preserve">Specific enough to be unambiguous</t>
  </si>
  <si>
    <t xml:space="preserve">Period from</t>
  </si>
  <si>
    <t xml:space="preserve">Start of period or as-of date</t>
  </si>
  <si>
    <t xml:space="preserve">Date</t>
  </si>
  <si>
    <t xml:space="preserve">Period to</t>
  </si>
  <si>
    <t xml:space="preserve">End of period</t>
  </si>
  <si>
    <t xml:space="preserve">Evidence type</t>
  </si>
  <si>
    <t xml:space="preserve">Request type; Population triggers an IPE check</t>
  </si>
  <si>
    <t xml:space="preserve">Population / Sample / Configuration / Policy</t>
  </si>
  <si>
    <t xml:space="preserve">Evidence owner</t>
  </si>
  <si>
    <t xml:space="preserve">From W07 (lookup via Ref_CTRL)</t>
  </si>
  <si>
    <t xml:space="preserve">Formula</t>
  </si>
  <si>
    <t xml:space="preserve">Date requested</t>
  </si>
  <si>
    <t xml:space="preserve">Tracking</t>
  </si>
  <si>
    <t xml:space="preserve">Due date</t>
  </si>
  <si>
    <t xml:space="preserve">Agreed due date</t>
  </si>
  <si>
    <t xml:space="preserve">Priority</t>
  </si>
  <si>
    <t xml:space="preserve">Urgency; High for populations</t>
  </si>
  <si>
    <t xml:space="preserve">High / Medium / Low</t>
  </si>
  <si>
    <t xml:space="preserve">Status</t>
  </si>
  <si>
    <t xml:space="preserve">Progress</t>
  </si>
  <si>
    <t xml:space="preserve">Dropdown</t>
  </si>
  <si>
    <t xml:space="preserve">EV-ID(s)</t>
  </si>
  <si>
    <t xml:space="preserve">Evidence received, once indexed in W09</t>
  </si>
  <si>
    <t xml:space="preserve">Required once Received</t>
  </si>
  <si>
    <t xml:space="preserve">IPE needed?</t>
  </si>
  <si>
    <t xml:space="preserve">Population requests need completeness and accuracy checks</t>
  </si>
  <si>
    <t xml:space="preserve">Days overdue</t>
  </si>
  <si>
    <t xml:space="preserve">Today minus due date while not received</t>
  </si>
  <si>
    <t xml:space="preserve">Notes</t>
  </si>
  <si>
    <t xml:space="preserve">Completeness requirements or follow-up</t>
  </si>
  <si>
    <t xml:space="preserve">Free text</t>
  </si>
  <si>
    <t xml:space="preserve">Row check</t>
  </si>
  <si>
    <t xml:space="preserve">Automatic completeness test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</si>
  <si>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</si>
  <si>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</si>
  <si>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</si>
  <si>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W08 — PBC Register</t>
  </si>
  <si>
    <t xml:space="preserve">One row per request. Row 5 is a worked example. Overwrite it.</t>
  </si>
  <si>
    <t xml:space="preserve">PBC-018</t>
  </si>
  <si>
    <t xml:space="preserve">2 Population</t>
  </si>
  <si>
    <t xml:space="preserve">C-ITGC-PC-001</t>
  </si>
  <si>
    <t xml:space="preserve">SYS-03</t>
  </si>
  <si>
    <t xml:space="preserve">STMS import history to ECP/300: all transports imported 01-Jan to 30-Sep (TPALOG). CSV with request number, import date/time, importing user, return code.</t>
  </si>
  <si>
    <t xml:space="preserve">Population</t>
  </si>
  <si>
    <t xml:space="preserve">High</t>
  </si>
  <si>
    <t xml:space="preserve">Requested</t>
  </si>
  <si>
    <t xml:space="preserve">Confirm no filters applied to extract</t>
  </si>
  <si>
    <t xml:space="preserve">CTRL-ID (from W05)</t>
  </si>
  <si>
    <t xml:space="preserve">Control title (from W05)</t>
  </si>
  <si>
    <t xml:space="preserve">Evidence owner (from W07)</t>
  </si>
  <si>
    <t xml:space="preserve">Expected evidence (from W05)</t>
  </si>
  <si>
    <t xml:space="preserve">Key control? Y/N (from W05)</t>
  </si>
  <si>
    <t xml:space="preserve">C-ITAC-004</t>
  </si>
  <si>
    <t xml:space="preserve">Three-way match blocks out-of-tolerance invoices</t>
  </si>
  <si>
    <t xml:space="preserve">SAP functional support</t>
  </si>
  <si>
    <t xml:space="preserve">OMR6 screenshot, table change log</t>
  </si>
  <si>
    <t xml:space="preserve">Y</t>
  </si>
  <si>
    <t xml:space="preserve">C-ITGC-AC-002</t>
  </si>
  <si>
    <t xml:space="preserve">Timely removal of leavers</t>
  </si>
  <si>
    <t xml:space="preserve">HR Operations; Basis</t>
  </si>
  <si>
    <t xml:space="preserve">HR leavers report; SU01 change documents</t>
  </si>
  <si>
    <t xml:space="preserve">C-ITGC-AC-003</t>
  </si>
  <si>
    <t xml:space="preserve">Quarterly user access review</t>
  </si>
  <si>
    <t xml:space="preserve">GRC Administrator</t>
  </si>
  <si>
    <t xml:space="preserve">UAR campaign export</t>
  </si>
  <si>
    <t xml:space="preserve">Transports approved, tested, imported by Basis</t>
  </si>
  <si>
    <t xml:space="preserve">Basis; ITSM admin</t>
  </si>
  <si>
    <t xml:space="preserve">STMS import history; change tickets</t>
  </si>
  <si>
    <t xml:space="preserve">Wave</t>
  </si>
  <si>
    <t xml:space="preserve">EType</t>
  </si>
  <si>
    <t xml:space="preserve">Pri</t>
  </si>
  <si>
    <t xml:space="preserve">PStat</t>
  </si>
  <si>
    <t xml:space="preserve">1 Scoping</t>
  </si>
  <si>
    <t xml:space="preserve">Sample</t>
  </si>
  <si>
    <t xml:space="preserve">Medium</t>
  </si>
  <si>
    <t xml:space="preserve">Partially received</t>
  </si>
  <si>
    <t xml:space="preserve">3 Sample</t>
  </si>
  <si>
    <t xml:space="preserve">Configuration</t>
  </si>
  <si>
    <t xml:space="preserve">Low</t>
  </si>
  <si>
    <t xml:space="preserve">Received</t>
  </si>
  <si>
    <t xml:space="preserve">4 Follow-up</t>
  </si>
  <si>
    <t xml:space="preserve">Policy</t>
  </si>
  <si>
    <t xml:space="preserve">Rejected - incomplete</t>
  </si>
  <si>
    <t xml:space="preserve">Closed</t>
  </si>
  <si>
    <t xml:space="preserve">W08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</si>
  <si>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</si>
  <si>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</si>
  <si>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Check</t>
  </si>
  <si>
    <t xml:space="preserve">Count</t>
  </si>
  <si>
    <t xml:space="preserve">What to do if REVIEW</t>
  </si>
  <si>
    <t xml:space="preserve">PBC requests raised</t>
  </si>
  <si>
    <t xml:space="preserve">INFO</t>
  </si>
  <si>
    <t xml:space="preserve">—</t>
  </si>
  <si>
    <t xml:space="preserve">Duplicate PBC-IDs</t>
  </si>
  <si>
    <t xml:space="preserve">Keys must be unique.</t>
  </si>
  <si>
    <t xml:space="preserve">Request rows needing attention</t>
  </si>
  <si>
    <t xml:space="preserve">Read the Row check column.</t>
  </si>
  <si>
    <t xml:space="preserve">Key controls with NO PBC request (primary control)</t>
  </si>
  <si>
    <t xml:space="preserve">Every key control needs evidence requested; read Expected evidence in W05.</t>
  </si>
  <si>
    <t xml:space="preserve">Population requests (need IPE check in W09)</t>
  </si>
  <si>
    <t xml:space="preserve">Complete completeness and accuracy checks before sampling.</t>
  </si>
  <si>
    <t xml:space="preserve">Requests overdue</t>
  </si>
  <si>
    <t xml:space="preserve">Chase evidence owners daily during fieldwork.</t>
  </si>
  <si>
    <t xml:space="preserve">Requests Requested / Partially received</t>
  </si>
  <si>
    <t xml:space="preserve">Outstanding items go to the W14 dependency list.</t>
  </si>
  <si>
    <t xml:space="preserve">Requests rejected as incomplete</t>
  </si>
  <si>
    <t xml:space="preserve">Return to the evidence owner with the gap stated.</t>
  </si>
  <si>
    <t xml:space="preserve">Requests Received or Closed</t>
  </si>
  <si>
    <t xml:space="preserve">Each must carry an EV-ID.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</si>
</sst>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FFFFFF"/>
      </patternFill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30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29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38</v>
      </c>
      <c r="E31" s="6" t="s">
        <v>29</v>
      </c>
    </row>
    <row r="32" customFormat="false" ht="15" hidden="false" customHeight="false" outlineLevel="0" collapsed="false">
      <c r="A32" s="6" t="s">
        <v>25</v>
      </c>
      <c r="B32" s="6" t="s">
        <v>39</v>
      </c>
      <c r="C32" s="6" t="s">
        <v>40</v>
      </c>
      <c r="D32" s="6" t="s">
        <v>41</v>
      </c>
      <c r="E32" s="6" t="s">
        <v>29</v>
      </c>
    </row>
    <row r="33" customFormat="false" ht="15" hidden="false" customHeight="false" outlineLevel="0" collapsed="false">
      <c r="A33" s="6" t="s">
        <v>25</v>
      </c>
      <c r="B33" s="6" t="s">
        <v>42</v>
      </c>
      <c r="C33" s="6" t="s">
        <v>43</v>
      </c>
      <c r="D33" s="6" t="s">
        <v>44</v>
      </c>
      <c r="E33" s="6" t="s">
        <v>29</v>
      </c>
    </row>
    <row r="34" customFormat="false" ht="15" hidden="false" customHeight="false" outlineLevel="0" collapsed="false">
      <c r="A34" s="6" t="s">
        <v>25</v>
      </c>
      <c r="B34" s="6" t="s">
        <v>45</v>
      </c>
      <c r="C34" s="6" t="s">
        <v>46</v>
      </c>
      <c r="D34" s="6" t="s">
        <v>47</v>
      </c>
      <c r="E34" s="6" t="s">
        <v>29</v>
      </c>
    </row>
    <row r="35" customFormat="false" ht="15" hidden="false" customHeight="false" outlineLevel="0" collapsed="false">
      <c r="A35" s="6" t="s">
        <v>25</v>
      </c>
      <c r="B35" s="6" t="s">
        <v>48</v>
      </c>
      <c r="C35" s="6" t="s">
        <v>49</v>
      </c>
      <c r="D35" s="6" t="s">
        <v>50</v>
      </c>
      <c r="E35" s="6" t="s">
        <v>29</v>
      </c>
    </row>
    <row r="36" customFormat="false" ht="15" hidden="false" customHeight="false" outlineLevel="0" collapsed="false">
      <c r="A36" s="6" t="s">
        <v>25</v>
      </c>
      <c r="B36" s="6" t="s">
        <v>51</v>
      </c>
      <c r="C36" s="6" t="s">
        <v>52</v>
      </c>
      <c r="D36" s="6" t="s">
        <v>50</v>
      </c>
      <c r="E36" s="6" t="s">
        <v>29</v>
      </c>
    </row>
    <row r="37" customFormat="false" ht="15" hidden="false" customHeight="false" outlineLevel="0" collapsed="false">
      <c r="A37" s="6" t="s">
        <v>25</v>
      </c>
      <c r="B37" s="6" t="s">
        <v>53</v>
      </c>
      <c r="C37" s="6" t="s">
        <v>54</v>
      </c>
      <c r="D37" s="6" t="s">
        <v>55</v>
      </c>
      <c r="E37" s="6" t="s">
        <v>29</v>
      </c>
    </row>
    <row r="38" customFormat="false" ht="15" hidden="false" customHeight="false" outlineLevel="0" collapsed="false">
      <c r="A38" s="6" t="s">
        <v>25</v>
      </c>
      <c r="B38" s="6" t="s">
        <v>56</v>
      </c>
      <c r="C38" s="6" t="s">
        <v>57</v>
      </c>
      <c r="D38" s="6" t="s">
        <v>58</v>
      </c>
      <c r="E38" s="6" t="s">
        <v>58</v>
      </c>
    </row>
    <row r="39" customFormat="false" ht="15" hidden="false" customHeight="false" outlineLevel="0" collapsed="false">
      <c r="A39" s="6" t="s">
        <v>25</v>
      </c>
      <c r="B39" s="6" t="s">
        <v>59</v>
      </c>
      <c r="C39" s="6" t="s">
        <v>60</v>
      </c>
      <c r="D39" s="6" t="s">
        <v>50</v>
      </c>
      <c r="E39" s="6" t="s">
        <v>29</v>
      </c>
    </row>
    <row r="40" customFormat="false" ht="15" hidden="false" customHeight="false" outlineLevel="0" collapsed="false">
      <c r="A40" s="6" t="s">
        <v>25</v>
      </c>
      <c r="B40" s="6" t="s">
        <v>61</v>
      </c>
      <c r="C40" s="6" t="s">
        <v>62</v>
      </c>
      <c r="D40" s="6" t="s">
        <v>50</v>
      </c>
      <c r="E40" s="6" t="s">
        <v>29</v>
      </c>
    </row>
    <row r="41" customFormat="false" ht="15" hidden="false" customHeight="false" outlineLevel="0" collapsed="false">
      <c r="A41" s="6" t="s">
        <v>25</v>
      </c>
      <c r="B41" s="6" t="s">
        <v>63</v>
      </c>
      <c r="C41" s="6" t="s">
        <v>64</v>
      </c>
      <c r="D41" s="6" t="s">
        <v>65</v>
      </c>
      <c r="E41" s="6" t="s">
        <v>29</v>
      </c>
    </row>
    <row r="42" customFormat="false" ht="15" hidden="false" customHeight="false" outlineLevel="0" collapsed="false">
      <c r="A42" s="6" t="s">
        <v>25</v>
      </c>
      <c r="B42" s="6" t="s">
        <v>66</v>
      </c>
      <c r="C42" s="6" t="s">
        <v>67</v>
      </c>
      <c r="D42" s="6" t="s">
        <v>68</v>
      </c>
      <c r="E42" s="6" t="s">
        <v>29</v>
      </c>
    </row>
    <row r="43" customFormat="false" ht="15" hidden="false" customHeight="false" outlineLevel="0" collapsed="false">
      <c r="A43" s="6" t="s">
        <v>25</v>
      </c>
      <c r="B43" s="6" t="s">
        <v>69</v>
      </c>
      <c r="C43" s="6" t="s">
        <v>70</v>
      </c>
      <c r="D43" s="6" t="s">
        <v>71</v>
      </c>
      <c r="E43" s="6" t="s">
        <v>29</v>
      </c>
    </row>
    <row r="44" customFormat="false" ht="15" hidden="false" customHeight="false" outlineLevel="0" collapsed="false">
      <c r="A44" s="6" t="s">
        <v>25</v>
      </c>
      <c r="B44" s="6" t="s">
        <v>72</v>
      </c>
      <c r="C44" s="6" t="s">
        <v>73</v>
      </c>
      <c r="D44" s="6" t="s">
        <v>58</v>
      </c>
      <c r="E44" s="6" t="s">
        <v>58</v>
      </c>
    </row>
    <row r="45" customFormat="false" ht="15" hidden="false" customHeight="false" outlineLevel="0" collapsed="false">
      <c r="A45" s="6" t="s">
        <v>25</v>
      </c>
      <c r="B45" s="6" t="s">
        <v>74</v>
      </c>
      <c r="C45" s="6" t="s">
        <v>75</v>
      </c>
      <c r="D45" s="6" t="s">
        <v>58</v>
      </c>
      <c r="E45" s="6" t="s">
        <v>58</v>
      </c>
    </row>
    <row r="46" customFormat="false" ht="15" hidden="false" customHeight="false" outlineLevel="0" collapsed="false">
      <c r="A46" s="6" t="s">
        <v>25</v>
      </c>
      <c r="B46" s="6" t="s">
        <v>76</v>
      </c>
      <c r="C46" s="6" t="s">
        <v>77</v>
      </c>
      <c r="D46" s="6" t="s">
        <v>78</v>
      </c>
      <c r="E46" s="6" t="s">
        <v>29</v>
      </c>
    </row>
    <row r="47" customFormat="false" ht="15" hidden="false" customHeight="false" outlineLevel="0" collapsed="false">
      <c r="A47" s="6" t="s">
        <v>25</v>
      </c>
      <c r="B47" s="6" t="s">
        <v>79</v>
      </c>
      <c r="C47" s="6" t="s">
        <v>80</v>
      </c>
      <c r="D47" s="6" t="s">
        <v>58</v>
      </c>
      <c r="E47" s="6" t="s">
        <v>58</v>
      </c>
    </row>
    <row r="49" customFormat="false" ht="15" hidden="false" customHeight="false" outlineLevel="0" collapsed="false">
      <c r="A49" s="3" t="s">
        <v>81</v>
      </c>
    </row>
    <row r="50" customFormat="false" ht="15" hidden="false" customHeight="false" outlineLevel="0" collapsed="false">
      <c r="A50" s="7" t="s">
        <v>82</v>
      </c>
    </row>
    <row r="51" customFormat="false" ht="15" hidden="false" customHeight="false" outlineLevel="0" collapsed="false">
      <c r="A51" s="8" t="s">
        <v>83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9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8" min="17" style="0" width="9"/>
    <col collapsed="false" customWidth="true" hidden="false" outlineLevel="0" max="19" min="19" style="0" width="30"/>
    <col collapsed="false" customWidth="true" hidden="false" outlineLevel="0" max="20" min="20" style="0" width="32"/>
  </cols>
  <sheetData>
    <row r="1" customFormat="false" ht="17.35" hidden="false" customHeight="false" outlineLevel="0" collapsed="false">
      <c r="A1" s="9" t="s">
        <v>84</v>
      </c>
    </row>
    <row r="2" customFormat="false" ht="15" hidden="false" customHeight="false" outlineLevel="0" collapsed="false">
      <c r="A2" s="10" t="s">
        <v>85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1" t="s">
        <v>33</v>
      </c>
      <c r="D4" s="11" t="s">
        <v>36</v>
      </c>
      <c r="E4" s="11" t="s">
        <v>39</v>
      </c>
      <c r="F4" s="11" t="s">
        <v>42</v>
      </c>
      <c r="G4" s="11" t="s">
        <v>45</v>
      </c>
      <c r="H4" s="11" t="s">
        <v>48</v>
      </c>
      <c r="I4" s="11" t="s">
        <v>51</v>
      </c>
      <c r="J4" s="11" t="s">
        <v>53</v>
      </c>
      <c r="K4" s="12" t="s">
        <v>56</v>
      </c>
      <c r="L4" s="11" t="s">
        <v>59</v>
      </c>
      <c r="M4" s="11" t="s">
        <v>61</v>
      </c>
      <c r="N4" s="11" t="s">
        <v>63</v>
      </c>
      <c r="O4" s="11" t="s">
        <v>66</v>
      </c>
      <c r="P4" s="11" t="s">
        <v>69</v>
      </c>
      <c r="Q4" s="12" t="s">
        <v>72</v>
      </c>
      <c r="R4" s="12" t="s">
        <v>74</v>
      </c>
      <c r="S4" s="11" t="s">
        <v>76</v>
      </c>
      <c r="T4" s="12" t="s">
        <v>79</v>
      </c>
    </row>
    <row r="5" customFormat="false" ht="35.05" hidden="false" customHeight="false" outlineLevel="0" collapsed="false">
      <c r="A5" s="13" t="s">
        <v>86</v>
      </c>
      <c r="B5" s="13" t="s">
        <v>87</v>
      </c>
      <c r="C5" s="13" t="s">
        <v>88</v>
      </c>
      <c r="D5" s="13"/>
      <c r="E5" s="13"/>
      <c r="F5" s="13" t="s">
        <v>89</v>
      </c>
      <c r="G5" s="13" t="s">
        <v>90</v>
      </c>
      <c r="H5" s="14" t="n">
        <v>46023</v>
      </c>
      <c r="I5" s="14" t="n">
        <v>46295</v>
      </c>
      <c r="J5" s="13" t="s">
        <v>91</v>
      </c>
      <c r="K5" s="15" t="str">
        <f aca="false">IFERROR(INDEX(Ref_CTRL!$C$2:$C$201,MATCH(C5,Ref_CTRL!$A$2:$A$201,0)),"")</f>
        <v>Basis; ITSM admin</v>
      </c>
      <c r="L5" s="14" t="n">
        <v>46296</v>
      </c>
      <c r="M5" s="14" t="n">
        <v>46304</v>
      </c>
      <c r="N5" s="13" t="s">
        <v>92</v>
      </c>
      <c r="O5" s="13" t="s">
        <v>93</v>
      </c>
      <c r="P5" s="13"/>
      <c r="Q5" s="15" t="str">
        <f aca="false">IF(J5="Population","Y","")</f>
        <v>Y</v>
      </c>
      <c r="R5" s="15" t="n">
        <f aca="true">IF(OR(A5="",M5="",O5="Received",O5="Closed"),"",IF(TODAY()&gt;M5,TODAY()-M5,0))</f>
        <v>0</v>
      </c>
      <c r="S5" s="13" t="s">
        <v>94</v>
      </c>
      <c r="T5" s="15" t="str">
        <f aca="false">IF(A5="","",IF(OR(B5="",C5="",G5="",J5=""),"Wave, control, evidence description, type needed",IF(COUNTIF(Ref_CTRL!$A$2:$A$201,C5)=0,"CTRL-ID not in W05",IF(OR(H5="",I5=""),"Period / as-of dates needed",IF(AND(OR(O5="Received",O5="Closed"),P5=""),"EV-ID needed once received",IF(AND(B5="3 Sample",E5=""),"Sample request needs a TEST-ID","OK"))))))</f>
        <v>OK</v>
      </c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  <c r="G6" s="16"/>
      <c r="H6" s="17"/>
      <c r="I6" s="17"/>
      <c r="J6" s="16"/>
      <c r="K6" s="18" t="str">
        <f aca="false">IFERROR(INDEX(Ref_CTRL!$C$2:$C$201,MATCH(C6,Ref_CTRL!$A$2:$A$201,0)),"")</f>
        <v/>
      </c>
      <c r="L6" s="17"/>
      <c r="M6" s="17"/>
      <c r="N6" s="16"/>
      <c r="O6" s="16"/>
      <c r="P6" s="16"/>
      <c r="Q6" s="18" t="str">
        <f aca="false">IF(J6="Population","Y","")</f>
        <v/>
      </c>
      <c r="R6" s="18" t="str">
        <f aca="true">IF(OR(A6="",M6="",O6="Received",O6="Closed"),"",IF(TODAY()&gt;M6,TODAY()-M6,0))</f>
        <v/>
      </c>
      <c r="S6" s="16"/>
      <c r="T6" s="18" t="str">
        <f aca="false">IF(A6="","",IF(OR(B6="",C6="",G6="",J6=""),"Wave, control, evidence description, type needed",IF(COUNTIF(Ref_CTRL!$A$2:$A$201,C6)=0,"CTRL-ID not in W05",IF(OR(H6="",I6=""),"Period / as-of dates needed",IF(AND(OR(O6="Received",O6="Closed"),P6=""),"EV-ID needed once received",IF(AND(B6="3 Sample",E6=""),"Sample request needs a TEST-ID","OK"))))))</f>
        <v/>
      </c>
    </row>
    <row r="7" customFormat="false" ht="15" hidden="false" customHeight="false" outlineLevel="0" collapsed="false">
      <c r="A7" s="16"/>
      <c r="B7" s="16"/>
      <c r="C7" s="16"/>
      <c r="D7" s="16"/>
      <c r="E7" s="16"/>
      <c r="F7" s="16"/>
      <c r="G7" s="16"/>
      <c r="H7" s="17"/>
      <c r="I7" s="17"/>
      <c r="J7" s="16"/>
      <c r="K7" s="18" t="str">
        <f aca="false">IFERROR(INDEX(Ref_CTRL!$C$2:$C$201,MATCH(C7,Ref_CTRL!$A$2:$A$201,0)),"")</f>
        <v/>
      </c>
      <c r="L7" s="17"/>
      <c r="M7" s="17"/>
      <c r="N7" s="16"/>
      <c r="O7" s="16"/>
      <c r="P7" s="16"/>
      <c r="Q7" s="18" t="str">
        <f aca="false">IF(J7="Population","Y","")</f>
        <v/>
      </c>
      <c r="R7" s="18" t="str">
        <f aca="true">IF(OR(A7="",M7="",O7="Received",O7="Closed"),"",IF(TODAY()&gt;M7,TODAY()-M7,0))</f>
        <v/>
      </c>
      <c r="S7" s="16"/>
      <c r="T7" s="18" t="str">
        <f aca="false">IF(A7="","",IF(OR(B7="",C7="",G7="",J7=""),"Wave, control, evidence description, type needed",IF(COUNTIF(Ref_CTRL!$A$2:$A$201,C7)=0,"CTRL-ID not in W05",IF(OR(H7="",I7=""),"Period / as-of dates needed",IF(AND(OR(O7="Received",O7="Closed"),P7=""),"EV-ID needed once received",IF(AND(B7="3 Sample",E7=""),"Sample request needs a TEST-ID","OK"))))))</f>
        <v/>
      </c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6"/>
      <c r="H8" s="17"/>
      <c r="I8" s="17"/>
      <c r="J8" s="16"/>
      <c r="K8" s="18" t="str">
        <f aca="false">IFERROR(INDEX(Ref_CTRL!$C$2:$C$201,MATCH(C8,Ref_CTRL!$A$2:$A$201,0)),"")</f>
        <v/>
      </c>
      <c r="L8" s="17"/>
      <c r="M8" s="17"/>
      <c r="N8" s="16"/>
      <c r="O8" s="16"/>
      <c r="P8" s="16"/>
      <c r="Q8" s="18" t="str">
        <f aca="false">IF(J8="Population","Y","")</f>
        <v/>
      </c>
      <c r="R8" s="18" t="str">
        <f aca="true">IF(OR(A8="",M8="",O8="Received",O8="Closed"),"",IF(TODAY()&gt;M8,TODAY()-M8,0))</f>
        <v/>
      </c>
      <c r="S8" s="16"/>
      <c r="T8" s="18" t="str">
        <f aca="false">IF(A8="","",IF(OR(B8="",C8="",G8="",J8=""),"Wave, control, evidence description, type needed",IF(COUNTIF(Ref_CTRL!$A$2:$A$201,C8)=0,"CTRL-ID not in W05",IF(OR(H8="",I8=""),"Period / as-of dates needed",IF(AND(OR(O8="Received",O8="Closed"),P8=""),"EV-ID needed once received",IF(AND(B8="3 Sample",E8=""),"Sample request needs a TEST-ID","OK"))))))</f>
        <v/>
      </c>
    </row>
    <row r="9" customFormat="false" ht="15" hidden="false" customHeight="false" outlineLevel="0" collapsed="false">
      <c r="A9" s="16"/>
      <c r="B9" s="16"/>
      <c r="C9" s="16"/>
      <c r="D9" s="16"/>
      <c r="E9" s="16"/>
      <c r="F9" s="16"/>
      <c r="G9" s="16"/>
      <c r="H9" s="17"/>
      <c r="I9" s="17"/>
      <c r="J9" s="16"/>
      <c r="K9" s="18" t="str">
        <f aca="false">IFERROR(INDEX(Ref_CTRL!$C$2:$C$201,MATCH(C9,Ref_CTRL!$A$2:$A$201,0)),"")</f>
        <v/>
      </c>
      <c r="L9" s="17"/>
      <c r="M9" s="17"/>
      <c r="N9" s="16"/>
      <c r="O9" s="16"/>
      <c r="P9" s="16"/>
      <c r="Q9" s="18" t="str">
        <f aca="false">IF(J9="Population","Y","")</f>
        <v/>
      </c>
      <c r="R9" s="18" t="str">
        <f aca="true">IF(OR(A9="",M9="",O9="Received",O9="Closed"),"",IF(TODAY()&gt;M9,TODAY()-M9,0))</f>
        <v/>
      </c>
      <c r="S9" s="16"/>
      <c r="T9" s="18" t="str">
        <f aca="false">IF(A9="","",IF(OR(B9="",C9="",G9="",J9=""),"Wave, control, evidence description, type needed",IF(COUNTIF(Ref_CTRL!$A$2:$A$201,C9)=0,"CTRL-ID not in W05",IF(OR(H9="",I9=""),"Period / as-of dates needed",IF(AND(OR(O9="Received",O9="Closed"),P9=""),"EV-ID needed once received",IF(AND(B9="3 Sample",E9=""),"Sample request needs a TEST-ID","OK"))))))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7"/>
      <c r="I10" s="17"/>
      <c r="J10" s="16"/>
      <c r="K10" s="18" t="str">
        <f aca="false">IFERROR(INDEX(Ref_CTRL!$C$2:$C$201,MATCH(C10,Ref_CTRL!$A$2:$A$201,0)),"")</f>
        <v/>
      </c>
      <c r="L10" s="17"/>
      <c r="M10" s="17"/>
      <c r="N10" s="16"/>
      <c r="O10" s="16"/>
      <c r="P10" s="16"/>
      <c r="Q10" s="18" t="str">
        <f aca="false">IF(J10="Population","Y","")</f>
        <v/>
      </c>
      <c r="R10" s="18" t="str">
        <f aca="true">IF(OR(A10="",M10="",O10="Received",O10="Closed"),"",IF(TODAY()&gt;M10,TODAY()-M10,0))</f>
        <v/>
      </c>
      <c r="S10" s="16"/>
      <c r="T10" s="18" t="str">
        <f aca="false">IF(A10="","",IF(OR(B10="",C10="",G10="",J10=""),"Wave, control, evidence description, type needed",IF(COUNTIF(Ref_CTRL!$A$2:$A$201,C10)=0,"CTRL-ID not in W05",IF(OR(H10="",I10=""),"Period / as-of dates needed",IF(AND(OR(O10="Received",O10="Closed"),P10=""),"EV-ID needed once received",IF(AND(B10="3 Sample",E10=""),"Sample request needs a TEST-ID","OK"))))))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7"/>
      <c r="I11" s="17"/>
      <c r="J11" s="16"/>
      <c r="K11" s="18" t="str">
        <f aca="false">IFERROR(INDEX(Ref_CTRL!$C$2:$C$201,MATCH(C11,Ref_CTRL!$A$2:$A$201,0)),"")</f>
        <v/>
      </c>
      <c r="L11" s="17"/>
      <c r="M11" s="17"/>
      <c r="N11" s="16"/>
      <c r="O11" s="16"/>
      <c r="P11" s="16"/>
      <c r="Q11" s="18" t="str">
        <f aca="false">IF(J11="Population","Y","")</f>
        <v/>
      </c>
      <c r="R11" s="18" t="str">
        <f aca="true">IF(OR(A11="",M11="",O11="Received",O11="Closed"),"",IF(TODAY()&gt;M11,TODAY()-M11,0))</f>
        <v/>
      </c>
      <c r="S11" s="16"/>
      <c r="T11" s="18" t="str">
        <f aca="false">IF(A11="","",IF(OR(B11="",C11="",G11="",J11=""),"Wave, control, evidence description, type needed",IF(COUNTIF(Ref_CTRL!$A$2:$A$201,C11)=0,"CTRL-ID not in W05",IF(OR(H11="",I11=""),"Period / as-of dates needed",IF(AND(OR(O11="Received",O11="Closed"),P11=""),"EV-ID needed once received",IF(AND(B11="3 Sample",E11=""),"Sample request needs a TEST-ID","OK"))))))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7"/>
      <c r="I12" s="17"/>
      <c r="J12" s="16"/>
      <c r="K12" s="18" t="str">
        <f aca="false">IFERROR(INDEX(Ref_CTRL!$C$2:$C$201,MATCH(C12,Ref_CTRL!$A$2:$A$201,0)),"")</f>
        <v/>
      </c>
      <c r="L12" s="17"/>
      <c r="M12" s="17"/>
      <c r="N12" s="16"/>
      <c r="O12" s="16"/>
      <c r="P12" s="16"/>
      <c r="Q12" s="18" t="str">
        <f aca="false">IF(J12="Population","Y","")</f>
        <v/>
      </c>
      <c r="R12" s="18" t="str">
        <f aca="true">IF(OR(A12="",M12="",O12="Received",O12="Closed"),"",IF(TODAY()&gt;M12,TODAY()-M12,0))</f>
        <v/>
      </c>
      <c r="S12" s="16"/>
      <c r="T12" s="18" t="str">
        <f aca="false">IF(A12="","",IF(OR(B12="",C12="",G12="",J12=""),"Wave, control, evidence description, type needed",IF(COUNTIF(Ref_CTRL!$A$2:$A$201,C12)=0,"CTRL-ID not in W05",IF(OR(H12="",I12=""),"Period / as-of dates needed",IF(AND(OR(O12="Received",O12="Closed"),P12=""),"EV-ID needed once received",IF(AND(B12="3 Sample",E12=""),"Sample request needs a TEST-ID","OK"))))))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7"/>
      <c r="I13" s="17"/>
      <c r="J13" s="16"/>
      <c r="K13" s="18" t="str">
        <f aca="false">IFERROR(INDEX(Ref_CTRL!$C$2:$C$201,MATCH(C13,Ref_CTRL!$A$2:$A$201,0)),"")</f>
        <v/>
      </c>
      <c r="L13" s="17"/>
      <c r="M13" s="17"/>
      <c r="N13" s="16"/>
      <c r="O13" s="16"/>
      <c r="P13" s="16"/>
      <c r="Q13" s="18" t="str">
        <f aca="false">IF(J13="Population","Y","")</f>
        <v/>
      </c>
      <c r="R13" s="18" t="str">
        <f aca="true">IF(OR(A13="",M13="",O13="Received",O13="Closed"),"",IF(TODAY()&gt;M13,TODAY()-M13,0))</f>
        <v/>
      </c>
      <c r="S13" s="16"/>
      <c r="T13" s="18" t="str">
        <f aca="false">IF(A13="","",IF(OR(B13="",C13="",G13="",J13=""),"Wave, control, evidence description, type needed",IF(COUNTIF(Ref_CTRL!$A$2:$A$201,C13)=0,"CTRL-ID not in W05",IF(OR(H13="",I13=""),"Period / as-of dates needed",IF(AND(OR(O13="Received",O13="Closed"),P13=""),"EV-ID needed once received",IF(AND(B13="3 Sample",E13=""),"Sample request needs a TEST-ID","OK"))))))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7"/>
      <c r="I14" s="17"/>
      <c r="J14" s="16"/>
      <c r="K14" s="18" t="str">
        <f aca="false">IFERROR(INDEX(Ref_CTRL!$C$2:$C$201,MATCH(C14,Ref_CTRL!$A$2:$A$201,0)),"")</f>
        <v/>
      </c>
      <c r="L14" s="17"/>
      <c r="M14" s="17"/>
      <c r="N14" s="16"/>
      <c r="O14" s="16"/>
      <c r="P14" s="16"/>
      <c r="Q14" s="18" t="str">
        <f aca="false">IF(J14="Population","Y","")</f>
        <v/>
      </c>
      <c r="R14" s="18" t="str">
        <f aca="true">IF(OR(A14="",M14="",O14="Received",O14="Closed"),"",IF(TODAY()&gt;M14,TODAY()-M14,0))</f>
        <v/>
      </c>
      <c r="S14" s="16"/>
      <c r="T14" s="18" t="str">
        <f aca="false">IF(A14="","",IF(OR(B14="",C14="",G14="",J14=""),"Wave, control, evidence description, type needed",IF(COUNTIF(Ref_CTRL!$A$2:$A$201,C14)=0,"CTRL-ID not in W05",IF(OR(H14="",I14=""),"Period / as-of dates needed",IF(AND(OR(O14="Received",O14="Closed"),P14=""),"EV-ID needed once received",IF(AND(B14="3 Sample",E14=""),"Sample request needs a TEST-ID","OK"))))))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7"/>
      <c r="I15" s="17"/>
      <c r="J15" s="16"/>
      <c r="K15" s="18" t="str">
        <f aca="false">IFERROR(INDEX(Ref_CTRL!$C$2:$C$201,MATCH(C15,Ref_CTRL!$A$2:$A$201,0)),"")</f>
        <v/>
      </c>
      <c r="L15" s="17"/>
      <c r="M15" s="17"/>
      <c r="N15" s="16"/>
      <c r="O15" s="16"/>
      <c r="P15" s="16"/>
      <c r="Q15" s="18" t="str">
        <f aca="false">IF(J15="Population","Y","")</f>
        <v/>
      </c>
      <c r="R15" s="18" t="str">
        <f aca="true">IF(OR(A15="",M15="",O15="Received",O15="Closed"),"",IF(TODAY()&gt;M15,TODAY()-M15,0))</f>
        <v/>
      </c>
      <c r="S15" s="16"/>
      <c r="T15" s="18" t="str">
        <f aca="false">IF(A15="","",IF(OR(B15="",C15="",G15="",J15=""),"Wave, control, evidence description, type needed",IF(COUNTIF(Ref_CTRL!$A$2:$A$201,C15)=0,"CTRL-ID not in W05",IF(OR(H15="",I15=""),"Period / as-of dates needed",IF(AND(OR(O15="Received",O15="Closed"),P15=""),"EV-ID needed once received",IF(AND(B15="3 Sample",E15=""),"Sample request needs a TEST-ID","OK"))))))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7"/>
      <c r="I16" s="17"/>
      <c r="J16" s="16"/>
      <c r="K16" s="18" t="str">
        <f aca="false">IFERROR(INDEX(Ref_CTRL!$C$2:$C$201,MATCH(C16,Ref_CTRL!$A$2:$A$201,0)),"")</f>
        <v/>
      </c>
      <c r="L16" s="17"/>
      <c r="M16" s="17"/>
      <c r="N16" s="16"/>
      <c r="O16" s="16"/>
      <c r="P16" s="16"/>
      <c r="Q16" s="18" t="str">
        <f aca="false">IF(J16="Population","Y","")</f>
        <v/>
      </c>
      <c r="R16" s="18" t="str">
        <f aca="true">IF(OR(A16="",M16="",O16="Received",O16="Closed"),"",IF(TODAY()&gt;M16,TODAY()-M16,0))</f>
        <v/>
      </c>
      <c r="S16" s="16"/>
      <c r="T16" s="18" t="str">
        <f aca="false">IF(A16="","",IF(OR(B16="",C16="",G16="",J16=""),"Wave, control, evidence description, type needed",IF(COUNTIF(Ref_CTRL!$A$2:$A$201,C16)=0,"CTRL-ID not in W05",IF(OR(H16="",I16=""),"Period / as-of dates needed",IF(AND(OR(O16="Received",O16="Closed"),P16=""),"EV-ID needed once received",IF(AND(B16="3 Sample",E16=""),"Sample request needs a TEST-ID","OK"))))))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7"/>
      <c r="I17" s="17"/>
      <c r="J17" s="16"/>
      <c r="K17" s="18" t="str">
        <f aca="false">IFERROR(INDEX(Ref_CTRL!$C$2:$C$201,MATCH(C17,Ref_CTRL!$A$2:$A$201,0)),"")</f>
        <v/>
      </c>
      <c r="L17" s="17"/>
      <c r="M17" s="17"/>
      <c r="N17" s="16"/>
      <c r="O17" s="16"/>
      <c r="P17" s="16"/>
      <c r="Q17" s="18" t="str">
        <f aca="false">IF(J17="Population","Y","")</f>
        <v/>
      </c>
      <c r="R17" s="18" t="str">
        <f aca="true">IF(OR(A17="",M17="",O17="Received",O17="Closed"),"",IF(TODAY()&gt;M17,TODAY()-M17,0))</f>
        <v/>
      </c>
      <c r="S17" s="16"/>
      <c r="T17" s="18" t="str">
        <f aca="false">IF(A17="","",IF(OR(B17="",C17="",G17="",J17=""),"Wave, control, evidence description, type needed",IF(COUNTIF(Ref_CTRL!$A$2:$A$201,C17)=0,"CTRL-ID not in W05",IF(OR(H17="",I17=""),"Period / as-of dates needed",IF(AND(OR(O17="Received",O17="Closed"),P17=""),"EV-ID needed once received",IF(AND(B17="3 Sample",E17=""),"Sample request needs a TEST-ID","OK"))))))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7"/>
      <c r="I18" s="17"/>
      <c r="J18" s="16"/>
      <c r="K18" s="18" t="str">
        <f aca="false">IFERROR(INDEX(Ref_CTRL!$C$2:$C$201,MATCH(C18,Ref_CTRL!$A$2:$A$201,0)),"")</f>
        <v/>
      </c>
      <c r="L18" s="17"/>
      <c r="M18" s="17"/>
      <c r="N18" s="16"/>
      <c r="O18" s="16"/>
      <c r="P18" s="16"/>
      <c r="Q18" s="18" t="str">
        <f aca="false">IF(J18="Population","Y","")</f>
        <v/>
      </c>
      <c r="R18" s="18" t="str">
        <f aca="true">IF(OR(A18="",M18="",O18="Received",O18="Closed"),"",IF(TODAY()&gt;M18,TODAY()-M18,0))</f>
        <v/>
      </c>
      <c r="S18" s="16"/>
      <c r="T18" s="18" t="str">
        <f aca="false">IF(A18="","",IF(OR(B18="",C18="",G18="",J18=""),"Wave, control, evidence description, type needed",IF(COUNTIF(Ref_CTRL!$A$2:$A$201,C18)=0,"CTRL-ID not in W05",IF(OR(H18="",I18=""),"Period / as-of dates needed",IF(AND(OR(O18="Received",O18="Closed"),P18=""),"EV-ID needed once received",IF(AND(B18="3 Sample",E18=""),"Sample request needs a TEST-ID","OK"))))))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7"/>
      <c r="I19" s="17"/>
      <c r="J19" s="16"/>
      <c r="K19" s="18" t="str">
        <f aca="false">IFERROR(INDEX(Ref_CTRL!$C$2:$C$201,MATCH(C19,Ref_CTRL!$A$2:$A$201,0)),"")</f>
        <v/>
      </c>
      <c r="L19" s="17"/>
      <c r="M19" s="17"/>
      <c r="N19" s="16"/>
      <c r="O19" s="16"/>
      <c r="P19" s="16"/>
      <c r="Q19" s="18" t="str">
        <f aca="false">IF(J19="Population","Y","")</f>
        <v/>
      </c>
      <c r="R19" s="18" t="str">
        <f aca="true">IF(OR(A19="",M19="",O19="Received",O19="Closed"),"",IF(TODAY()&gt;M19,TODAY()-M19,0))</f>
        <v/>
      </c>
      <c r="S19" s="16"/>
      <c r="T19" s="18" t="str">
        <f aca="false">IF(A19="","",IF(OR(B19="",C19="",G19="",J19=""),"Wave, control, evidence description, type needed",IF(COUNTIF(Ref_CTRL!$A$2:$A$201,C19)=0,"CTRL-ID not in W05",IF(OR(H19="",I19=""),"Period / as-of dates needed",IF(AND(OR(O19="Received",O19="Closed"),P19=""),"EV-ID needed once received",IF(AND(B19="3 Sample",E19=""),"Sample request needs a TEST-ID","OK"))))))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7"/>
      <c r="I20" s="17"/>
      <c r="J20" s="16"/>
      <c r="K20" s="18" t="str">
        <f aca="false">IFERROR(INDEX(Ref_CTRL!$C$2:$C$201,MATCH(C20,Ref_CTRL!$A$2:$A$201,0)),"")</f>
        <v/>
      </c>
      <c r="L20" s="17"/>
      <c r="M20" s="17"/>
      <c r="N20" s="16"/>
      <c r="O20" s="16"/>
      <c r="P20" s="16"/>
      <c r="Q20" s="18" t="str">
        <f aca="false">IF(J20="Population","Y","")</f>
        <v/>
      </c>
      <c r="R20" s="18" t="str">
        <f aca="true">IF(OR(A20="",M20="",O20="Received",O20="Closed"),"",IF(TODAY()&gt;M20,TODAY()-M20,0))</f>
        <v/>
      </c>
      <c r="S20" s="16"/>
      <c r="T20" s="18" t="str">
        <f aca="false">IF(A20="","",IF(OR(B20="",C20="",G20="",J20=""),"Wave, control, evidence description, type needed",IF(COUNTIF(Ref_CTRL!$A$2:$A$201,C20)=0,"CTRL-ID not in W05",IF(OR(H20="",I20=""),"Period / as-of dates needed",IF(AND(OR(O20="Received",O20="Closed"),P20=""),"EV-ID needed once received",IF(AND(B20="3 Sample",E20=""),"Sample request needs a TEST-ID","OK"))))))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7"/>
      <c r="I21" s="17"/>
      <c r="J21" s="16"/>
      <c r="K21" s="18" t="str">
        <f aca="false">IFERROR(INDEX(Ref_CTRL!$C$2:$C$201,MATCH(C21,Ref_CTRL!$A$2:$A$201,0)),"")</f>
        <v/>
      </c>
      <c r="L21" s="17"/>
      <c r="M21" s="17"/>
      <c r="N21" s="16"/>
      <c r="O21" s="16"/>
      <c r="P21" s="16"/>
      <c r="Q21" s="18" t="str">
        <f aca="false">IF(J21="Population","Y","")</f>
        <v/>
      </c>
      <c r="R21" s="18" t="str">
        <f aca="true">IF(OR(A21="",M21="",O21="Received",O21="Closed"),"",IF(TODAY()&gt;M21,TODAY()-M21,0))</f>
        <v/>
      </c>
      <c r="S21" s="16"/>
      <c r="T21" s="18" t="str">
        <f aca="false">IF(A21="","",IF(OR(B21="",C21="",G21="",J21=""),"Wave, control, evidence description, type needed",IF(COUNTIF(Ref_CTRL!$A$2:$A$201,C21)=0,"CTRL-ID not in W05",IF(OR(H21="",I21=""),"Period / as-of dates needed",IF(AND(OR(O21="Received",O21="Closed"),P21=""),"EV-ID needed once received",IF(AND(B21="3 Sample",E21=""),"Sample request needs a TEST-ID","OK"))))))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7"/>
      <c r="I22" s="17"/>
      <c r="J22" s="16"/>
      <c r="K22" s="18" t="str">
        <f aca="false">IFERROR(INDEX(Ref_CTRL!$C$2:$C$201,MATCH(C22,Ref_CTRL!$A$2:$A$201,0)),"")</f>
        <v/>
      </c>
      <c r="L22" s="17"/>
      <c r="M22" s="17"/>
      <c r="N22" s="16"/>
      <c r="O22" s="16"/>
      <c r="P22" s="16"/>
      <c r="Q22" s="18" t="str">
        <f aca="false">IF(J22="Population","Y","")</f>
        <v/>
      </c>
      <c r="R22" s="18" t="str">
        <f aca="true">IF(OR(A22="",M22="",O22="Received",O22="Closed"),"",IF(TODAY()&gt;M22,TODAY()-M22,0))</f>
        <v/>
      </c>
      <c r="S22" s="16"/>
      <c r="T22" s="18" t="str">
        <f aca="false">IF(A22="","",IF(OR(B22="",C22="",G22="",J22=""),"Wave, control, evidence description, type needed",IF(COUNTIF(Ref_CTRL!$A$2:$A$201,C22)=0,"CTRL-ID not in W05",IF(OR(H22="",I22=""),"Period / as-of dates needed",IF(AND(OR(O22="Received",O22="Closed"),P22=""),"EV-ID needed once received",IF(AND(B22="3 Sample",E22=""),"Sample request needs a TEST-ID","OK"))))))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7"/>
      <c r="I23" s="17"/>
      <c r="J23" s="16"/>
      <c r="K23" s="18" t="str">
        <f aca="false">IFERROR(INDEX(Ref_CTRL!$C$2:$C$201,MATCH(C23,Ref_CTRL!$A$2:$A$201,0)),"")</f>
        <v/>
      </c>
      <c r="L23" s="17"/>
      <c r="M23" s="17"/>
      <c r="N23" s="16"/>
      <c r="O23" s="16"/>
      <c r="P23" s="16"/>
      <c r="Q23" s="18" t="str">
        <f aca="false">IF(J23="Population","Y","")</f>
        <v/>
      </c>
      <c r="R23" s="18" t="str">
        <f aca="true">IF(OR(A23="",M23="",O23="Received",O23="Closed"),"",IF(TODAY()&gt;M23,TODAY()-M23,0))</f>
        <v/>
      </c>
      <c r="S23" s="16"/>
      <c r="T23" s="18" t="str">
        <f aca="false">IF(A23="","",IF(OR(B23="",C23="",G23="",J23=""),"Wave, control, evidence description, type needed",IF(COUNTIF(Ref_CTRL!$A$2:$A$201,C23)=0,"CTRL-ID not in W05",IF(OR(H23="",I23=""),"Period / as-of dates needed",IF(AND(OR(O23="Received",O23="Closed"),P23=""),"EV-ID needed once received",IF(AND(B23="3 Sample",E23=""),"Sample request needs a TEST-ID","OK"))))))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7"/>
      <c r="I24" s="17"/>
      <c r="J24" s="16"/>
      <c r="K24" s="18" t="str">
        <f aca="false">IFERROR(INDEX(Ref_CTRL!$C$2:$C$201,MATCH(C24,Ref_CTRL!$A$2:$A$201,0)),"")</f>
        <v/>
      </c>
      <c r="L24" s="17"/>
      <c r="M24" s="17"/>
      <c r="N24" s="16"/>
      <c r="O24" s="16"/>
      <c r="P24" s="16"/>
      <c r="Q24" s="18" t="str">
        <f aca="false">IF(J24="Population","Y","")</f>
        <v/>
      </c>
      <c r="R24" s="18" t="str">
        <f aca="true">IF(OR(A24="",M24="",O24="Received",O24="Closed"),"",IF(TODAY()&gt;M24,TODAY()-M24,0))</f>
        <v/>
      </c>
      <c r="S24" s="16"/>
      <c r="T24" s="18" t="str">
        <f aca="false">IF(A24="","",IF(OR(B24="",C24="",G24="",J24=""),"Wave, control, evidence description, type needed",IF(COUNTIF(Ref_CTRL!$A$2:$A$201,C24)=0,"CTRL-ID not in W05",IF(OR(H24="",I24=""),"Period / as-of dates needed",IF(AND(OR(O24="Received",O24="Closed"),P24=""),"EV-ID needed once received",IF(AND(B24="3 Sample",E24=""),"Sample request needs a TEST-ID","OK"))))))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7"/>
      <c r="I25" s="17"/>
      <c r="J25" s="16"/>
      <c r="K25" s="18" t="str">
        <f aca="false">IFERROR(INDEX(Ref_CTRL!$C$2:$C$201,MATCH(C25,Ref_CTRL!$A$2:$A$201,0)),"")</f>
        <v/>
      </c>
      <c r="L25" s="17"/>
      <c r="M25" s="17"/>
      <c r="N25" s="16"/>
      <c r="O25" s="16"/>
      <c r="P25" s="16"/>
      <c r="Q25" s="18" t="str">
        <f aca="false">IF(J25="Population","Y","")</f>
        <v/>
      </c>
      <c r="R25" s="18" t="str">
        <f aca="true">IF(OR(A25="",M25="",O25="Received",O25="Closed"),"",IF(TODAY()&gt;M25,TODAY()-M25,0))</f>
        <v/>
      </c>
      <c r="S25" s="16"/>
      <c r="T25" s="18" t="str">
        <f aca="false">IF(A25="","",IF(OR(B25="",C25="",G25="",J25=""),"Wave, control, evidence description, type needed",IF(COUNTIF(Ref_CTRL!$A$2:$A$201,C25)=0,"CTRL-ID not in W05",IF(OR(H25="",I25=""),"Period / as-of dates needed",IF(AND(OR(O25="Received",O25="Closed"),P25=""),"EV-ID needed once received",IF(AND(B25="3 Sample",E25=""),"Sample request needs a TEST-ID","OK"))))))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7"/>
      <c r="I26" s="17"/>
      <c r="J26" s="16"/>
      <c r="K26" s="18" t="str">
        <f aca="false">IFERROR(INDEX(Ref_CTRL!$C$2:$C$201,MATCH(C26,Ref_CTRL!$A$2:$A$201,0)),"")</f>
        <v/>
      </c>
      <c r="L26" s="17"/>
      <c r="M26" s="17"/>
      <c r="N26" s="16"/>
      <c r="O26" s="16"/>
      <c r="P26" s="16"/>
      <c r="Q26" s="18" t="str">
        <f aca="false">IF(J26="Population","Y","")</f>
        <v/>
      </c>
      <c r="R26" s="18" t="str">
        <f aca="true">IF(OR(A26="",M26="",O26="Received",O26="Closed"),"",IF(TODAY()&gt;M26,TODAY()-M26,0))</f>
        <v/>
      </c>
      <c r="S26" s="16"/>
      <c r="T26" s="18" t="str">
        <f aca="false">IF(A26="","",IF(OR(B26="",C26="",G26="",J26=""),"Wave, control, evidence description, type needed",IF(COUNTIF(Ref_CTRL!$A$2:$A$201,C26)=0,"CTRL-ID not in W05",IF(OR(H26="",I26=""),"Period / as-of dates needed",IF(AND(OR(O26="Received",O26="Closed"),P26=""),"EV-ID needed once received",IF(AND(B26="3 Sample",E26=""),"Sample request needs a TEST-ID","OK"))))))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7"/>
      <c r="I27" s="17"/>
      <c r="J27" s="16"/>
      <c r="K27" s="18" t="str">
        <f aca="false">IFERROR(INDEX(Ref_CTRL!$C$2:$C$201,MATCH(C27,Ref_CTRL!$A$2:$A$201,0)),"")</f>
        <v/>
      </c>
      <c r="L27" s="17"/>
      <c r="M27" s="17"/>
      <c r="N27" s="16"/>
      <c r="O27" s="16"/>
      <c r="P27" s="16"/>
      <c r="Q27" s="18" t="str">
        <f aca="false">IF(J27="Population","Y","")</f>
        <v/>
      </c>
      <c r="R27" s="18" t="str">
        <f aca="true">IF(OR(A27="",M27="",O27="Received",O27="Closed"),"",IF(TODAY()&gt;M27,TODAY()-M27,0))</f>
        <v/>
      </c>
      <c r="S27" s="16"/>
      <c r="T27" s="18" t="str">
        <f aca="false">IF(A27="","",IF(OR(B27="",C27="",G27="",J27=""),"Wave, control, evidence description, type needed",IF(COUNTIF(Ref_CTRL!$A$2:$A$201,C27)=0,"CTRL-ID not in W05",IF(OR(H27="",I27=""),"Period / as-of dates needed",IF(AND(OR(O27="Received",O27="Closed"),P27=""),"EV-ID needed once received",IF(AND(B27="3 Sample",E27=""),"Sample request needs a TEST-ID","OK"))))))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7"/>
      <c r="I28" s="17"/>
      <c r="J28" s="16"/>
      <c r="K28" s="18" t="str">
        <f aca="false">IFERROR(INDEX(Ref_CTRL!$C$2:$C$201,MATCH(C28,Ref_CTRL!$A$2:$A$201,0)),"")</f>
        <v/>
      </c>
      <c r="L28" s="17"/>
      <c r="M28" s="17"/>
      <c r="N28" s="16"/>
      <c r="O28" s="16"/>
      <c r="P28" s="16"/>
      <c r="Q28" s="18" t="str">
        <f aca="false">IF(J28="Population","Y","")</f>
        <v/>
      </c>
      <c r="R28" s="18" t="str">
        <f aca="true">IF(OR(A28="",M28="",O28="Received",O28="Closed"),"",IF(TODAY()&gt;M28,TODAY()-M28,0))</f>
        <v/>
      </c>
      <c r="S28" s="16"/>
      <c r="T28" s="18" t="str">
        <f aca="false">IF(A28="","",IF(OR(B28="",C28="",G28="",J28=""),"Wave, control, evidence description, type needed",IF(COUNTIF(Ref_CTRL!$A$2:$A$201,C28)=0,"CTRL-ID not in W05",IF(OR(H28="",I28=""),"Period / as-of dates needed",IF(AND(OR(O28="Received",O28="Closed"),P28=""),"EV-ID needed once received",IF(AND(B28="3 Sample",E28=""),"Sample request needs a TEST-ID","OK"))))))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7"/>
      <c r="I29" s="17"/>
      <c r="J29" s="16"/>
      <c r="K29" s="18" t="str">
        <f aca="false">IFERROR(INDEX(Ref_CTRL!$C$2:$C$201,MATCH(C29,Ref_CTRL!$A$2:$A$201,0)),"")</f>
        <v/>
      </c>
      <c r="L29" s="17"/>
      <c r="M29" s="17"/>
      <c r="N29" s="16"/>
      <c r="O29" s="16"/>
      <c r="P29" s="16"/>
      <c r="Q29" s="18" t="str">
        <f aca="false">IF(J29="Population","Y","")</f>
        <v/>
      </c>
      <c r="R29" s="18" t="str">
        <f aca="true">IF(OR(A29="",M29="",O29="Received",O29="Closed"),"",IF(TODAY()&gt;M29,TODAY()-M29,0))</f>
        <v/>
      </c>
      <c r="S29" s="16"/>
      <c r="T29" s="18" t="str">
        <f aca="false">IF(A29="","",IF(OR(B29="",C29="",G29="",J29=""),"Wave, control, evidence description, type needed",IF(COUNTIF(Ref_CTRL!$A$2:$A$201,C29)=0,"CTRL-ID not in W05",IF(OR(H29="",I29=""),"Period / as-of dates needed",IF(AND(OR(O29="Received",O29="Closed"),P29=""),"EV-ID needed once received",IF(AND(B29="3 Sample",E29=""),"Sample request needs a TEST-ID","OK"))))))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7"/>
      <c r="I30" s="17"/>
      <c r="J30" s="16"/>
      <c r="K30" s="18" t="str">
        <f aca="false">IFERROR(INDEX(Ref_CTRL!$C$2:$C$201,MATCH(C30,Ref_CTRL!$A$2:$A$201,0)),"")</f>
        <v/>
      </c>
      <c r="L30" s="17"/>
      <c r="M30" s="17"/>
      <c r="N30" s="16"/>
      <c r="O30" s="16"/>
      <c r="P30" s="16"/>
      <c r="Q30" s="18" t="str">
        <f aca="false">IF(J30="Population","Y","")</f>
        <v/>
      </c>
      <c r="R30" s="18" t="str">
        <f aca="true">IF(OR(A30="",M30="",O30="Received",O30="Closed"),"",IF(TODAY()&gt;M30,TODAY()-M30,0))</f>
        <v/>
      </c>
      <c r="S30" s="16"/>
      <c r="T30" s="18" t="str">
        <f aca="false">IF(A30="","",IF(OR(B30="",C30="",G30="",J30=""),"Wave, control, evidence description, type needed",IF(COUNTIF(Ref_CTRL!$A$2:$A$201,C30)=0,"CTRL-ID not in W05",IF(OR(H30="",I30=""),"Period / as-of dates needed",IF(AND(OR(O30="Received",O30="Closed"),P30=""),"EV-ID needed once received",IF(AND(B30="3 Sample",E30=""),"Sample request needs a TEST-ID","OK"))))))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7"/>
      <c r="I31" s="17"/>
      <c r="J31" s="16"/>
      <c r="K31" s="18" t="str">
        <f aca="false">IFERROR(INDEX(Ref_CTRL!$C$2:$C$201,MATCH(C31,Ref_CTRL!$A$2:$A$201,0)),"")</f>
        <v/>
      </c>
      <c r="L31" s="17"/>
      <c r="M31" s="17"/>
      <c r="N31" s="16"/>
      <c r="O31" s="16"/>
      <c r="P31" s="16"/>
      <c r="Q31" s="18" t="str">
        <f aca="false">IF(J31="Population","Y","")</f>
        <v/>
      </c>
      <c r="R31" s="18" t="str">
        <f aca="true">IF(OR(A31="",M31="",O31="Received",O31="Closed"),"",IF(TODAY()&gt;M31,TODAY()-M31,0))</f>
        <v/>
      </c>
      <c r="S31" s="16"/>
      <c r="T31" s="18" t="str">
        <f aca="false">IF(A31="","",IF(OR(B31="",C31="",G31="",J31=""),"Wave, control, evidence description, type needed",IF(COUNTIF(Ref_CTRL!$A$2:$A$201,C31)=0,"CTRL-ID not in W05",IF(OR(H31="",I31=""),"Period / as-of dates needed",IF(AND(OR(O31="Received",O31="Closed"),P31=""),"EV-ID needed once received",IF(AND(B31="3 Sample",E31=""),"Sample request needs a TEST-ID","OK"))))))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7"/>
      <c r="I32" s="17"/>
      <c r="J32" s="16"/>
      <c r="K32" s="18" t="str">
        <f aca="false">IFERROR(INDEX(Ref_CTRL!$C$2:$C$201,MATCH(C32,Ref_CTRL!$A$2:$A$201,0)),"")</f>
        <v/>
      </c>
      <c r="L32" s="17"/>
      <c r="M32" s="17"/>
      <c r="N32" s="16"/>
      <c r="O32" s="16"/>
      <c r="P32" s="16"/>
      <c r="Q32" s="18" t="str">
        <f aca="false">IF(J32="Population","Y","")</f>
        <v/>
      </c>
      <c r="R32" s="18" t="str">
        <f aca="true">IF(OR(A32="",M32="",O32="Received",O32="Closed"),"",IF(TODAY()&gt;M32,TODAY()-M32,0))</f>
        <v/>
      </c>
      <c r="S32" s="16"/>
      <c r="T32" s="18" t="str">
        <f aca="false">IF(A32="","",IF(OR(B32="",C32="",G32="",J32=""),"Wave, control, evidence description, type needed",IF(COUNTIF(Ref_CTRL!$A$2:$A$201,C32)=0,"CTRL-ID not in W05",IF(OR(H32="",I32=""),"Period / as-of dates needed",IF(AND(OR(O32="Received",O32="Closed"),P32=""),"EV-ID needed once received",IF(AND(B32="3 Sample",E32=""),"Sample request needs a TEST-ID","OK"))))))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7"/>
      <c r="I33" s="17"/>
      <c r="J33" s="16"/>
      <c r="K33" s="18" t="str">
        <f aca="false">IFERROR(INDEX(Ref_CTRL!$C$2:$C$201,MATCH(C33,Ref_CTRL!$A$2:$A$201,0)),"")</f>
        <v/>
      </c>
      <c r="L33" s="17"/>
      <c r="M33" s="17"/>
      <c r="N33" s="16"/>
      <c r="O33" s="16"/>
      <c r="P33" s="16"/>
      <c r="Q33" s="18" t="str">
        <f aca="false">IF(J33="Population","Y","")</f>
        <v/>
      </c>
      <c r="R33" s="18" t="str">
        <f aca="true">IF(OR(A33="",M33="",O33="Received",O33="Closed"),"",IF(TODAY()&gt;M33,TODAY()-M33,0))</f>
        <v/>
      </c>
      <c r="S33" s="16"/>
      <c r="T33" s="18" t="str">
        <f aca="false">IF(A33="","",IF(OR(B33="",C33="",G33="",J33=""),"Wave, control, evidence description, type needed",IF(COUNTIF(Ref_CTRL!$A$2:$A$201,C33)=0,"CTRL-ID not in W05",IF(OR(H33="",I33=""),"Period / as-of dates needed",IF(AND(OR(O33="Received",O33="Closed"),P33=""),"EV-ID needed once received",IF(AND(B33="3 Sample",E33=""),"Sample request needs a TEST-ID","OK"))))))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7"/>
      <c r="I34" s="17"/>
      <c r="J34" s="16"/>
      <c r="K34" s="18" t="str">
        <f aca="false">IFERROR(INDEX(Ref_CTRL!$C$2:$C$201,MATCH(C34,Ref_CTRL!$A$2:$A$201,0)),"")</f>
        <v/>
      </c>
      <c r="L34" s="17"/>
      <c r="M34" s="17"/>
      <c r="N34" s="16"/>
      <c r="O34" s="16"/>
      <c r="P34" s="16"/>
      <c r="Q34" s="18" t="str">
        <f aca="false">IF(J34="Population","Y","")</f>
        <v/>
      </c>
      <c r="R34" s="18" t="str">
        <f aca="true">IF(OR(A34="",M34="",O34="Received",O34="Closed"),"",IF(TODAY()&gt;M34,TODAY()-M34,0))</f>
        <v/>
      </c>
      <c r="S34" s="16"/>
      <c r="T34" s="18" t="str">
        <f aca="false">IF(A34="","",IF(OR(B34="",C34="",G34="",J34=""),"Wave, control, evidence description, type needed",IF(COUNTIF(Ref_CTRL!$A$2:$A$201,C34)=0,"CTRL-ID not in W05",IF(OR(H34="",I34=""),"Period / as-of dates needed",IF(AND(OR(O34="Received",O34="Closed"),P34=""),"EV-ID needed once received",IF(AND(B34="3 Sample",E34=""),"Sample request needs a TEST-ID","OK"))))))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7"/>
      <c r="I35" s="17"/>
      <c r="J35" s="16"/>
      <c r="K35" s="18" t="str">
        <f aca="false">IFERROR(INDEX(Ref_CTRL!$C$2:$C$201,MATCH(C35,Ref_CTRL!$A$2:$A$201,0)),"")</f>
        <v/>
      </c>
      <c r="L35" s="17"/>
      <c r="M35" s="17"/>
      <c r="N35" s="16"/>
      <c r="O35" s="16"/>
      <c r="P35" s="16"/>
      <c r="Q35" s="18" t="str">
        <f aca="false">IF(J35="Population","Y","")</f>
        <v/>
      </c>
      <c r="R35" s="18" t="str">
        <f aca="true">IF(OR(A35="",M35="",O35="Received",O35="Closed"),"",IF(TODAY()&gt;M35,TODAY()-M35,0))</f>
        <v/>
      </c>
      <c r="S35" s="16"/>
      <c r="T35" s="18" t="str">
        <f aca="false">IF(A35="","",IF(OR(B35="",C35="",G35="",J35=""),"Wave, control, evidence description, type needed",IF(COUNTIF(Ref_CTRL!$A$2:$A$201,C35)=0,"CTRL-ID not in W05",IF(OR(H35="",I35=""),"Period / as-of dates needed",IF(AND(OR(O35="Received",O35="Closed"),P35=""),"EV-ID needed once received",IF(AND(B35="3 Sample",E35=""),"Sample request needs a TEST-ID","OK"))))))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7"/>
      <c r="I36" s="17"/>
      <c r="J36" s="16"/>
      <c r="K36" s="18" t="str">
        <f aca="false">IFERROR(INDEX(Ref_CTRL!$C$2:$C$201,MATCH(C36,Ref_CTRL!$A$2:$A$201,0)),"")</f>
        <v/>
      </c>
      <c r="L36" s="17"/>
      <c r="M36" s="17"/>
      <c r="N36" s="16"/>
      <c r="O36" s="16"/>
      <c r="P36" s="16"/>
      <c r="Q36" s="18" t="str">
        <f aca="false">IF(J36="Population","Y","")</f>
        <v/>
      </c>
      <c r="R36" s="18" t="str">
        <f aca="true">IF(OR(A36="",M36="",O36="Received",O36="Closed"),"",IF(TODAY()&gt;M36,TODAY()-M36,0))</f>
        <v/>
      </c>
      <c r="S36" s="16"/>
      <c r="T36" s="18" t="str">
        <f aca="false">IF(A36="","",IF(OR(B36="",C36="",G36="",J36=""),"Wave, control, evidence description, type needed",IF(COUNTIF(Ref_CTRL!$A$2:$A$201,C36)=0,"CTRL-ID not in W05",IF(OR(H36="",I36=""),"Period / as-of dates needed",IF(AND(OR(O36="Received",O36="Closed"),P36=""),"EV-ID needed once received",IF(AND(B36="3 Sample",E36=""),"Sample request needs a TEST-ID","OK"))))))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7"/>
      <c r="I37" s="17"/>
      <c r="J37" s="16"/>
      <c r="K37" s="18" t="str">
        <f aca="false">IFERROR(INDEX(Ref_CTRL!$C$2:$C$201,MATCH(C37,Ref_CTRL!$A$2:$A$201,0)),"")</f>
        <v/>
      </c>
      <c r="L37" s="17"/>
      <c r="M37" s="17"/>
      <c r="N37" s="16"/>
      <c r="O37" s="16"/>
      <c r="P37" s="16"/>
      <c r="Q37" s="18" t="str">
        <f aca="false">IF(J37="Population","Y","")</f>
        <v/>
      </c>
      <c r="R37" s="18" t="str">
        <f aca="true">IF(OR(A37="",M37="",O37="Received",O37="Closed"),"",IF(TODAY()&gt;M37,TODAY()-M37,0))</f>
        <v/>
      </c>
      <c r="S37" s="16"/>
      <c r="T37" s="18" t="str">
        <f aca="false">IF(A37="","",IF(OR(B37="",C37="",G37="",J37=""),"Wave, control, evidence description, type needed",IF(COUNTIF(Ref_CTRL!$A$2:$A$201,C37)=0,"CTRL-ID not in W05",IF(OR(H37="",I37=""),"Period / as-of dates needed",IF(AND(OR(O37="Received",O37="Closed"),P37=""),"EV-ID needed once received",IF(AND(B37="3 Sample",E37=""),"Sample request needs a TEST-ID","OK"))))))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7"/>
      <c r="I38" s="17"/>
      <c r="J38" s="16"/>
      <c r="K38" s="18" t="str">
        <f aca="false">IFERROR(INDEX(Ref_CTRL!$C$2:$C$201,MATCH(C38,Ref_CTRL!$A$2:$A$201,0)),"")</f>
        <v/>
      </c>
      <c r="L38" s="17"/>
      <c r="M38" s="17"/>
      <c r="N38" s="16"/>
      <c r="O38" s="16"/>
      <c r="P38" s="16"/>
      <c r="Q38" s="18" t="str">
        <f aca="false">IF(J38="Population","Y","")</f>
        <v/>
      </c>
      <c r="R38" s="18" t="str">
        <f aca="true">IF(OR(A38="",M38="",O38="Received",O38="Closed"),"",IF(TODAY()&gt;M38,TODAY()-M38,0))</f>
        <v/>
      </c>
      <c r="S38" s="16"/>
      <c r="T38" s="18" t="str">
        <f aca="false">IF(A38="","",IF(OR(B38="",C38="",G38="",J38=""),"Wave, control, evidence description, type needed",IF(COUNTIF(Ref_CTRL!$A$2:$A$201,C38)=0,"CTRL-ID not in W05",IF(OR(H38="",I38=""),"Period / as-of dates needed",IF(AND(OR(O38="Received",O38="Closed"),P38=""),"EV-ID needed once received",IF(AND(B38="3 Sample",E38=""),"Sample request needs a TEST-ID","OK"))))))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7"/>
      <c r="I39" s="17"/>
      <c r="J39" s="16"/>
      <c r="K39" s="18" t="str">
        <f aca="false">IFERROR(INDEX(Ref_CTRL!$C$2:$C$201,MATCH(C39,Ref_CTRL!$A$2:$A$201,0)),"")</f>
        <v/>
      </c>
      <c r="L39" s="17"/>
      <c r="M39" s="17"/>
      <c r="N39" s="16"/>
      <c r="O39" s="16"/>
      <c r="P39" s="16"/>
      <c r="Q39" s="18" t="str">
        <f aca="false">IF(J39="Population","Y","")</f>
        <v/>
      </c>
      <c r="R39" s="18" t="str">
        <f aca="true">IF(OR(A39="",M39="",O39="Received",O39="Closed"),"",IF(TODAY()&gt;M39,TODAY()-M39,0))</f>
        <v/>
      </c>
      <c r="S39" s="16"/>
      <c r="T39" s="18" t="str">
        <f aca="false">IF(A39="","",IF(OR(B39="",C39="",G39="",J39=""),"Wave, control, evidence description, type needed",IF(COUNTIF(Ref_CTRL!$A$2:$A$201,C39)=0,"CTRL-ID not in W05",IF(OR(H39="",I39=""),"Period / as-of dates needed",IF(AND(OR(O39="Received",O39="Closed"),P39=""),"EV-ID needed once received",IF(AND(B39="3 Sample",E39=""),"Sample request needs a TEST-ID","OK"))))))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7"/>
      <c r="I40" s="17"/>
      <c r="J40" s="16"/>
      <c r="K40" s="18" t="str">
        <f aca="false">IFERROR(INDEX(Ref_CTRL!$C$2:$C$201,MATCH(C40,Ref_CTRL!$A$2:$A$201,0)),"")</f>
        <v/>
      </c>
      <c r="L40" s="17"/>
      <c r="M40" s="17"/>
      <c r="N40" s="16"/>
      <c r="O40" s="16"/>
      <c r="P40" s="16"/>
      <c r="Q40" s="18" t="str">
        <f aca="false">IF(J40="Population","Y","")</f>
        <v/>
      </c>
      <c r="R40" s="18" t="str">
        <f aca="true">IF(OR(A40="",M40="",O40="Received",O40="Closed"),"",IF(TODAY()&gt;M40,TODAY()-M40,0))</f>
        <v/>
      </c>
      <c r="S40" s="16"/>
      <c r="T40" s="18" t="str">
        <f aca="false">IF(A40="","",IF(OR(B40="",C40="",G40="",J40=""),"Wave, control, evidence description, type needed",IF(COUNTIF(Ref_CTRL!$A$2:$A$201,C40)=0,"CTRL-ID not in W05",IF(OR(H40="",I40=""),"Period / as-of dates needed",IF(AND(OR(O40="Received",O40="Closed"),P40=""),"EV-ID needed once received",IF(AND(B40="3 Sample",E40=""),"Sample request needs a TEST-ID","OK"))))))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7"/>
      <c r="I41" s="17"/>
      <c r="J41" s="16"/>
      <c r="K41" s="18" t="str">
        <f aca="false">IFERROR(INDEX(Ref_CTRL!$C$2:$C$201,MATCH(C41,Ref_CTRL!$A$2:$A$201,0)),"")</f>
        <v/>
      </c>
      <c r="L41" s="17"/>
      <c r="M41" s="17"/>
      <c r="N41" s="16"/>
      <c r="O41" s="16"/>
      <c r="P41" s="16"/>
      <c r="Q41" s="18" t="str">
        <f aca="false">IF(J41="Population","Y","")</f>
        <v/>
      </c>
      <c r="R41" s="18" t="str">
        <f aca="true">IF(OR(A41="",M41="",O41="Received",O41="Closed"),"",IF(TODAY()&gt;M41,TODAY()-M41,0))</f>
        <v/>
      </c>
      <c r="S41" s="16"/>
      <c r="T41" s="18" t="str">
        <f aca="false">IF(A41="","",IF(OR(B41="",C41="",G41="",J41=""),"Wave, control, evidence description, type needed",IF(COUNTIF(Ref_CTRL!$A$2:$A$201,C41)=0,"CTRL-ID not in W05",IF(OR(H41="",I41=""),"Period / as-of dates needed",IF(AND(OR(O41="Received",O41="Closed"),P41=""),"EV-ID needed once received",IF(AND(B41="3 Sample",E41=""),"Sample request needs a TEST-ID","OK"))))))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7"/>
      <c r="I42" s="17"/>
      <c r="J42" s="16"/>
      <c r="K42" s="18" t="str">
        <f aca="false">IFERROR(INDEX(Ref_CTRL!$C$2:$C$201,MATCH(C42,Ref_CTRL!$A$2:$A$201,0)),"")</f>
        <v/>
      </c>
      <c r="L42" s="17"/>
      <c r="M42" s="17"/>
      <c r="N42" s="16"/>
      <c r="O42" s="16"/>
      <c r="P42" s="16"/>
      <c r="Q42" s="18" t="str">
        <f aca="false">IF(J42="Population","Y","")</f>
        <v/>
      </c>
      <c r="R42" s="18" t="str">
        <f aca="true">IF(OR(A42="",M42="",O42="Received",O42="Closed"),"",IF(TODAY()&gt;M42,TODAY()-M42,0))</f>
        <v/>
      </c>
      <c r="S42" s="16"/>
      <c r="T42" s="18" t="str">
        <f aca="false">IF(A42="","",IF(OR(B42="",C42="",G42="",J42=""),"Wave, control, evidence description, type needed",IF(COUNTIF(Ref_CTRL!$A$2:$A$201,C42)=0,"CTRL-ID not in W05",IF(OR(H42="",I42=""),"Period / as-of dates needed",IF(AND(OR(O42="Received",O42="Closed"),P42=""),"EV-ID needed once received",IF(AND(B42="3 Sample",E42=""),"Sample request needs a TEST-ID","OK"))))))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7"/>
      <c r="I43" s="17"/>
      <c r="J43" s="16"/>
      <c r="K43" s="18" t="str">
        <f aca="false">IFERROR(INDEX(Ref_CTRL!$C$2:$C$201,MATCH(C43,Ref_CTRL!$A$2:$A$201,0)),"")</f>
        <v/>
      </c>
      <c r="L43" s="17"/>
      <c r="M43" s="17"/>
      <c r="N43" s="16"/>
      <c r="O43" s="16"/>
      <c r="P43" s="16"/>
      <c r="Q43" s="18" t="str">
        <f aca="false">IF(J43="Population","Y","")</f>
        <v/>
      </c>
      <c r="R43" s="18" t="str">
        <f aca="true">IF(OR(A43="",M43="",O43="Received",O43="Closed"),"",IF(TODAY()&gt;M43,TODAY()-M43,0))</f>
        <v/>
      </c>
      <c r="S43" s="16"/>
      <c r="T43" s="18" t="str">
        <f aca="false">IF(A43="","",IF(OR(B43="",C43="",G43="",J43=""),"Wave, control, evidence description, type needed",IF(COUNTIF(Ref_CTRL!$A$2:$A$201,C43)=0,"CTRL-ID not in W05",IF(OR(H43="",I43=""),"Period / as-of dates needed",IF(AND(OR(O43="Received",O43="Closed"),P43=""),"EV-ID needed once received",IF(AND(B43="3 Sample",E43=""),"Sample request needs a TEST-ID","OK"))))))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7"/>
      <c r="I44" s="17"/>
      <c r="J44" s="16"/>
      <c r="K44" s="18" t="str">
        <f aca="false">IFERROR(INDEX(Ref_CTRL!$C$2:$C$201,MATCH(C44,Ref_CTRL!$A$2:$A$201,0)),"")</f>
        <v/>
      </c>
      <c r="L44" s="17"/>
      <c r="M44" s="17"/>
      <c r="N44" s="16"/>
      <c r="O44" s="16"/>
      <c r="P44" s="16"/>
      <c r="Q44" s="18" t="str">
        <f aca="false">IF(J44="Population","Y","")</f>
        <v/>
      </c>
      <c r="R44" s="18" t="str">
        <f aca="true">IF(OR(A44="",M44="",O44="Received",O44="Closed"),"",IF(TODAY()&gt;M44,TODAY()-M44,0))</f>
        <v/>
      </c>
      <c r="S44" s="16"/>
      <c r="T44" s="18" t="str">
        <f aca="false">IF(A44="","",IF(OR(B44="",C44="",G44="",J44=""),"Wave, control, evidence description, type needed",IF(COUNTIF(Ref_CTRL!$A$2:$A$201,C44)=0,"CTRL-ID not in W05",IF(OR(H44="",I44=""),"Period / as-of dates needed",IF(AND(OR(O44="Received",O44="Closed"),P44=""),"EV-ID needed once received",IF(AND(B44="3 Sample",E44=""),"Sample request needs a TEST-ID","OK"))))))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7"/>
      <c r="I45" s="17"/>
      <c r="J45" s="16"/>
      <c r="K45" s="18" t="str">
        <f aca="false">IFERROR(INDEX(Ref_CTRL!$C$2:$C$201,MATCH(C45,Ref_CTRL!$A$2:$A$201,0)),"")</f>
        <v/>
      </c>
      <c r="L45" s="17"/>
      <c r="M45" s="17"/>
      <c r="N45" s="16"/>
      <c r="O45" s="16"/>
      <c r="P45" s="16"/>
      <c r="Q45" s="18" t="str">
        <f aca="false">IF(J45="Population","Y","")</f>
        <v/>
      </c>
      <c r="R45" s="18" t="str">
        <f aca="true">IF(OR(A45="",M45="",O45="Received",O45="Closed"),"",IF(TODAY()&gt;M45,TODAY()-M45,0))</f>
        <v/>
      </c>
      <c r="S45" s="16"/>
      <c r="T45" s="18" t="str">
        <f aca="false">IF(A45="","",IF(OR(B45="",C45="",G45="",J45=""),"Wave, control, evidence description, type needed",IF(COUNTIF(Ref_CTRL!$A$2:$A$201,C45)=0,"CTRL-ID not in W05",IF(OR(H45="",I45=""),"Period / as-of dates needed",IF(AND(OR(O45="Received",O45="Closed"),P45=""),"EV-ID needed once received",IF(AND(B45="3 Sample",E45=""),"Sample request needs a TEST-ID","OK"))))))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7"/>
      <c r="I46" s="17"/>
      <c r="J46" s="16"/>
      <c r="K46" s="18" t="str">
        <f aca="false">IFERROR(INDEX(Ref_CTRL!$C$2:$C$201,MATCH(C46,Ref_CTRL!$A$2:$A$201,0)),"")</f>
        <v/>
      </c>
      <c r="L46" s="17"/>
      <c r="M46" s="17"/>
      <c r="N46" s="16"/>
      <c r="O46" s="16"/>
      <c r="P46" s="16"/>
      <c r="Q46" s="18" t="str">
        <f aca="false">IF(J46="Population","Y","")</f>
        <v/>
      </c>
      <c r="R46" s="18" t="str">
        <f aca="true">IF(OR(A46="",M46="",O46="Received",O46="Closed"),"",IF(TODAY()&gt;M46,TODAY()-M46,0))</f>
        <v/>
      </c>
      <c r="S46" s="16"/>
      <c r="T46" s="18" t="str">
        <f aca="false">IF(A46="","",IF(OR(B46="",C46="",G46="",J46=""),"Wave, control, evidence description, type needed",IF(COUNTIF(Ref_CTRL!$A$2:$A$201,C46)=0,"CTRL-ID not in W05",IF(OR(H46="",I46=""),"Period / as-of dates needed",IF(AND(OR(O46="Received",O46="Closed"),P46=""),"EV-ID needed once received",IF(AND(B46="3 Sample",E46=""),"Sample request needs a TEST-ID","OK"))))))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7"/>
      <c r="I47" s="17"/>
      <c r="J47" s="16"/>
      <c r="K47" s="18" t="str">
        <f aca="false">IFERROR(INDEX(Ref_CTRL!$C$2:$C$201,MATCH(C47,Ref_CTRL!$A$2:$A$201,0)),"")</f>
        <v/>
      </c>
      <c r="L47" s="17"/>
      <c r="M47" s="17"/>
      <c r="N47" s="16"/>
      <c r="O47" s="16"/>
      <c r="P47" s="16"/>
      <c r="Q47" s="18" t="str">
        <f aca="false">IF(J47="Population","Y","")</f>
        <v/>
      </c>
      <c r="R47" s="18" t="str">
        <f aca="true">IF(OR(A47="",M47="",O47="Received",O47="Closed"),"",IF(TODAY()&gt;M47,TODAY()-M47,0))</f>
        <v/>
      </c>
      <c r="S47" s="16"/>
      <c r="T47" s="18" t="str">
        <f aca="false">IF(A47="","",IF(OR(B47="",C47="",G47="",J47=""),"Wave, control, evidence description, type needed",IF(COUNTIF(Ref_CTRL!$A$2:$A$201,C47)=0,"CTRL-ID not in W05",IF(OR(H47="",I47=""),"Period / as-of dates needed",IF(AND(OR(O47="Received",O47="Closed"),P47=""),"EV-ID needed once received",IF(AND(B47="3 Sample",E47=""),"Sample request needs a TEST-ID","OK"))))))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7"/>
      <c r="I48" s="17"/>
      <c r="J48" s="16"/>
      <c r="K48" s="18" t="str">
        <f aca="false">IFERROR(INDEX(Ref_CTRL!$C$2:$C$201,MATCH(C48,Ref_CTRL!$A$2:$A$201,0)),"")</f>
        <v/>
      </c>
      <c r="L48" s="17"/>
      <c r="M48" s="17"/>
      <c r="N48" s="16"/>
      <c r="O48" s="16"/>
      <c r="P48" s="16"/>
      <c r="Q48" s="18" t="str">
        <f aca="false">IF(J48="Population","Y","")</f>
        <v/>
      </c>
      <c r="R48" s="18" t="str">
        <f aca="true">IF(OR(A48="",M48="",O48="Received",O48="Closed"),"",IF(TODAY()&gt;M48,TODAY()-M48,0))</f>
        <v/>
      </c>
      <c r="S48" s="16"/>
      <c r="T48" s="18" t="str">
        <f aca="false">IF(A48="","",IF(OR(B48="",C48="",G48="",J48=""),"Wave, control, evidence description, type needed",IF(COUNTIF(Ref_CTRL!$A$2:$A$201,C48)=0,"CTRL-ID not in W05",IF(OR(H48="",I48=""),"Period / as-of dates needed",IF(AND(OR(O48="Received",O48="Closed"),P48=""),"EV-ID needed once received",IF(AND(B48="3 Sample",E48=""),"Sample request needs a TEST-ID","OK"))))))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7"/>
      <c r="I49" s="17"/>
      <c r="J49" s="16"/>
      <c r="K49" s="18" t="str">
        <f aca="false">IFERROR(INDEX(Ref_CTRL!$C$2:$C$201,MATCH(C49,Ref_CTRL!$A$2:$A$201,0)),"")</f>
        <v/>
      </c>
      <c r="L49" s="17"/>
      <c r="M49" s="17"/>
      <c r="N49" s="16"/>
      <c r="O49" s="16"/>
      <c r="P49" s="16"/>
      <c r="Q49" s="18" t="str">
        <f aca="false">IF(J49="Population","Y","")</f>
        <v/>
      </c>
      <c r="R49" s="18" t="str">
        <f aca="true">IF(OR(A49="",M49="",O49="Received",O49="Closed"),"",IF(TODAY()&gt;M49,TODAY()-M49,0))</f>
        <v/>
      </c>
      <c r="S49" s="16"/>
      <c r="T49" s="18" t="str">
        <f aca="false">IF(A49="","",IF(OR(B49="",C49="",G49="",J49=""),"Wave, control, evidence description, type needed",IF(COUNTIF(Ref_CTRL!$A$2:$A$201,C49)=0,"CTRL-ID not in W05",IF(OR(H49="",I49=""),"Period / as-of dates needed",IF(AND(OR(O49="Received",O49="Closed"),P49=""),"EV-ID needed once received",IF(AND(B49="3 Sample",E49=""),"Sample request needs a TEST-ID","OK"))))))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7"/>
      <c r="I50" s="17"/>
      <c r="J50" s="16"/>
      <c r="K50" s="18" t="str">
        <f aca="false">IFERROR(INDEX(Ref_CTRL!$C$2:$C$201,MATCH(C50,Ref_CTRL!$A$2:$A$201,0)),"")</f>
        <v/>
      </c>
      <c r="L50" s="17"/>
      <c r="M50" s="17"/>
      <c r="N50" s="16"/>
      <c r="O50" s="16"/>
      <c r="P50" s="16"/>
      <c r="Q50" s="18" t="str">
        <f aca="false">IF(J50="Population","Y","")</f>
        <v/>
      </c>
      <c r="R50" s="18" t="str">
        <f aca="true">IF(OR(A50="",M50="",O50="Received",O50="Closed"),"",IF(TODAY()&gt;M50,TODAY()-M50,0))</f>
        <v/>
      </c>
      <c r="S50" s="16"/>
      <c r="T50" s="18" t="str">
        <f aca="false">IF(A50="","",IF(OR(B50="",C50="",G50="",J50=""),"Wave, control, evidence description, type needed",IF(COUNTIF(Ref_CTRL!$A$2:$A$201,C50)=0,"CTRL-ID not in W05",IF(OR(H50="",I50=""),"Period / as-of dates needed",IF(AND(OR(O50="Received",O50="Closed"),P50=""),"EV-ID needed once received",IF(AND(B50="3 Sample",E50=""),"Sample request needs a TEST-ID","OK"))))))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7"/>
      <c r="I51" s="17"/>
      <c r="J51" s="16"/>
      <c r="K51" s="18" t="str">
        <f aca="false">IFERROR(INDEX(Ref_CTRL!$C$2:$C$201,MATCH(C51,Ref_CTRL!$A$2:$A$201,0)),"")</f>
        <v/>
      </c>
      <c r="L51" s="17"/>
      <c r="M51" s="17"/>
      <c r="N51" s="16"/>
      <c r="O51" s="16"/>
      <c r="P51" s="16"/>
      <c r="Q51" s="18" t="str">
        <f aca="false">IF(J51="Population","Y","")</f>
        <v/>
      </c>
      <c r="R51" s="18" t="str">
        <f aca="true">IF(OR(A51="",M51="",O51="Received",O51="Closed"),"",IF(TODAY()&gt;M51,TODAY()-M51,0))</f>
        <v/>
      </c>
      <c r="S51" s="16"/>
      <c r="T51" s="18" t="str">
        <f aca="false">IF(A51="","",IF(OR(B51="",C51="",G51="",J51=""),"Wave, control, evidence description, type needed",IF(COUNTIF(Ref_CTRL!$A$2:$A$201,C51)=0,"CTRL-ID not in W05",IF(OR(H51="",I51=""),"Period / as-of dates needed",IF(AND(OR(O51="Received",O51="Closed"),P51=""),"EV-ID needed once received",IF(AND(B51="3 Sample",E51=""),"Sample request needs a TEST-ID","OK"))))))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7"/>
      <c r="I52" s="17"/>
      <c r="J52" s="16"/>
      <c r="K52" s="18" t="str">
        <f aca="false">IFERROR(INDEX(Ref_CTRL!$C$2:$C$201,MATCH(C52,Ref_CTRL!$A$2:$A$201,0)),"")</f>
        <v/>
      </c>
      <c r="L52" s="17"/>
      <c r="M52" s="17"/>
      <c r="N52" s="16"/>
      <c r="O52" s="16"/>
      <c r="P52" s="16"/>
      <c r="Q52" s="18" t="str">
        <f aca="false">IF(J52="Population","Y","")</f>
        <v/>
      </c>
      <c r="R52" s="18" t="str">
        <f aca="true">IF(OR(A52="",M52="",O52="Received",O52="Closed"),"",IF(TODAY()&gt;M52,TODAY()-M52,0))</f>
        <v/>
      </c>
      <c r="S52" s="16"/>
      <c r="T52" s="18" t="str">
        <f aca="false">IF(A52="","",IF(OR(B52="",C52="",G52="",J52=""),"Wave, control, evidence description, type needed",IF(COUNTIF(Ref_CTRL!$A$2:$A$201,C52)=0,"CTRL-ID not in W05",IF(OR(H52="",I52=""),"Period / as-of dates needed",IF(AND(OR(O52="Received",O52="Closed"),P52=""),"EV-ID needed once received",IF(AND(B52="3 Sample",E52=""),"Sample request needs a TEST-ID","OK"))))))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7"/>
      <c r="I53" s="17"/>
      <c r="J53" s="16"/>
      <c r="K53" s="18" t="str">
        <f aca="false">IFERROR(INDEX(Ref_CTRL!$C$2:$C$201,MATCH(C53,Ref_CTRL!$A$2:$A$201,0)),"")</f>
        <v/>
      </c>
      <c r="L53" s="17"/>
      <c r="M53" s="17"/>
      <c r="N53" s="16"/>
      <c r="O53" s="16"/>
      <c r="P53" s="16"/>
      <c r="Q53" s="18" t="str">
        <f aca="false">IF(J53="Population","Y","")</f>
        <v/>
      </c>
      <c r="R53" s="18" t="str">
        <f aca="true">IF(OR(A53="",M53="",O53="Received",O53="Closed"),"",IF(TODAY()&gt;M53,TODAY()-M53,0))</f>
        <v/>
      </c>
      <c r="S53" s="16"/>
      <c r="T53" s="18" t="str">
        <f aca="false">IF(A53="","",IF(OR(B53="",C53="",G53="",J53=""),"Wave, control, evidence description, type needed",IF(COUNTIF(Ref_CTRL!$A$2:$A$201,C53)=0,"CTRL-ID not in W05",IF(OR(H53="",I53=""),"Period / as-of dates needed",IF(AND(OR(O53="Received",O53="Closed"),P53=""),"EV-ID needed once received",IF(AND(B53="3 Sample",E53=""),"Sample request needs a TEST-ID","OK"))))))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7"/>
      <c r="I54" s="17"/>
      <c r="J54" s="16"/>
      <c r="K54" s="18" t="str">
        <f aca="false">IFERROR(INDEX(Ref_CTRL!$C$2:$C$201,MATCH(C54,Ref_CTRL!$A$2:$A$201,0)),"")</f>
        <v/>
      </c>
      <c r="L54" s="17"/>
      <c r="M54" s="17"/>
      <c r="N54" s="16"/>
      <c r="O54" s="16"/>
      <c r="P54" s="16"/>
      <c r="Q54" s="18" t="str">
        <f aca="false">IF(J54="Population","Y","")</f>
        <v/>
      </c>
      <c r="R54" s="18" t="str">
        <f aca="true">IF(OR(A54="",M54="",O54="Received",O54="Closed"),"",IF(TODAY()&gt;M54,TODAY()-M54,0))</f>
        <v/>
      </c>
      <c r="S54" s="16"/>
      <c r="T54" s="18" t="str">
        <f aca="false">IF(A54="","",IF(OR(B54="",C54="",G54="",J54=""),"Wave, control, evidence description, type needed",IF(COUNTIF(Ref_CTRL!$A$2:$A$201,C54)=0,"CTRL-ID not in W05",IF(OR(H54="",I54=""),"Period / as-of dates needed",IF(AND(OR(O54="Received",O54="Closed"),P54=""),"EV-ID needed once received",IF(AND(B54="3 Sample",E54=""),"Sample request needs a TEST-ID","OK"))))))</f>
        <v/>
      </c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7"/>
      <c r="I55" s="17"/>
      <c r="J55" s="16"/>
      <c r="K55" s="18" t="str">
        <f aca="false">IFERROR(INDEX(Ref_CTRL!$C$2:$C$201,MATCH(C55,Ref_CTRL!$A$2:$A$201,0)),"")</f>
        <v/>
      </c>
      <c r="L55" s="17"/>
      <c r="M55" s="17"/>
      <c r="N55" s="16"/>
      <c r="O55" s="16"/>
      <c r="P55" s="16"/>
      <c r="Q55" s="18" t="str">
        <f aca="false">IF(J55="Population","Y","")</f>
        <v/>
      </c>
      <c r="R55" s="18" t="str">
        <f aca="true">IF(OR(A55="",M55="",O55="Received",O55="Closed"),"",IF(TODAY()&gt;M55,TODAY()-M55,0))</f>
        <v/>
      </c>
      <c r="S55" s="16"/>
      <c r="T55" s="18" t="str">
        <f aca="false">IF(A55="","",IF(OR(B55="",C55="",G55="",J55=""),"Wave, control, evidence description, type needed",IF(COUNTIF(Ref_CTRL!$A$2:$A$201,C55)=0,"CTRL-ID not in W05",IF(OR(H55="",I55=""),"Period / as-of dates needed",IF(AND(OR(O55="Received",O55="Closed"),P55=""),"EV-ID needed once received",IF(AND(B55="3 Sample",E55=""),"Sample request needs a TEST-ID","OK"))))))</f>
        <v/>
      </c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7"/>
      <c r="I56" s="17"/>
      <c r="J56" s="16"/>
      <c r="K56" s="18" t="str">
        <f aca="false">IFERROR(INDEX(Ref_CTRL!$C$2:$C$201,MATCH(C56,Ref_CTRL!$A$2:$A$201,0)),"")</f>
        <v/>
      </c>
      <c r="L56" s="17"/>
      <c r="M56" s="17"/>
      <c r="N56" s="16"/>
      <c r="O56" s="16"/>
      <c r="P56" s="16"/>
      <c r="Q56" s="18" t="str">
        <f aca="false">IF(J56="Population","Y","")</f>
        <v/>
      </c>
      <c r="R56" s="18" t="str">
        <f aca="true">IF(OR(A56="",M56="",O56="Received",O56="Closed"),"",IF(TODAY()&gt;M56,TODAY()-M56,0))</f>
        <v/>
      </c>
      <c r="S56" s="16"/>
      <c r="T56" s="18" t="str">
        <f aca="false">IF(A56="","",IF(OR(B56="",C56="",G56="",J56=""),"Wave, control, evidence description, type needed",IF(COUNTIF(Ref_CTRL!$A$2:$A$201,C56)=0,"CTRL-ID not in W05",IF(OR(H56="",I56=""),"Period / as-of dates needed",IF(AND(OR(O56="Received",O56="Closed"),P56=""),"EV-ID needed once received",IF(AND(B56="3 Sample",E56=""),"Sample request needs a TEST-ID","OK"))))))</f>
        <v/>
      </c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7"/>
      <c r="I57" s="17"/>
      <c r="J57" s="16"/>
      <c r="K57" s="18" t="str">
        <f aca="false">IFERROR(INDEX(Ref_CTRL!$C$2:$C$201,MATCH(C57,Ref_CTRL!$A$2:$A$201,0)),"")</f>
        <v/>
      </c>
      <c r="L57" s="17"/>
      <c r="M57" s="17"/>
      <c r="N57" s="16"/>
      <c r="O57" s="16"/>
      <c r="P57" s="16"/>
      <c r="Q57" s="18" t="str">
        <f aca="false">IF(J57="Population","Y","")</f>
        <v/>
      </c>
      <c r="R57" s="18" t="str">
        <f aca="true">IF(OR(A57="",M57="",O57="Received",O57="Closed"),"",IF(TODAY()&gt;M57,TODAY()-M57,0))</f>
        <v/>
      </c>
      <c r="S57" s="16"/>
      <c r="T57" s="18" t="str">
        <f aca="false">IF(A57="","",IF(OR(B57="",C57="",G57="",J57=""),"Wave, control, evidence description, type needed",IF(COUNTIF(Ref_CTRL!$A$2:$A$201,C57)=0,"CTRL-ID not in W05",IF(OR(H57="",I57=""),"Period / as-of dates needed",IF(AND(OR(O57="Received",O57="Closed"),P57=""),"EV-ID needed once received",IF(AND(B57="3 Sample",E57=""),"Sample request needs a TEST-ID","OK"))))))</f>
        <v/>
      </c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7"/>
      <c r="I58" s="17"/>
      <c r="J58" s="16"/>
      <c r="K58" s="18" t="str">
        <f aca="false">IFERROR(INDEX(Ref_CTRL!$C$2:$C$201,MATCH(C58,Ref_CTRL!$A$2:$A$201,0)),"")</f>
        <v/>
      </c>
      <c r="L58" s="17"/>
      <c r="M58" s="17"/>
      <c r="N58" s="16"/>
      <c r="O58" s="16"/>
      <c r="P58" s="16"/>
      <c r="Q58" s="18" t="str">
        <f aca="false">IF(J58="Population","Y","")</f>
        <v/>
      </c>
      <c r="R58" s="18" t="str">
        <f aca="true">IF(OR(A58="",M58="",O58="Received",O58="Closed"),"",IF(TODAY()&gt;M58,TODAY()-M58,0))</f>
        <v/>
      </c>
      <c r="S58" s="16"/>
      <c r="T58" s="18" t="str">
        <f aca="false">IF(A58="","",IF(OR(B58="",C58="",G58="",J58=""),"Wave, control, evidence description, type needed",IF(COUNTIF(Ref_CTRL!$A$2:$A$201,C58)=0,"CTRL-ID not in W05",IF(OR(H58="",I58=""),"Period / as-of dates needed",IF(AND(OR(O58="Received",O58="Closed"),P58=""),"EV-ID needed once received",IF(AND(B58="3 Sample",E58=""),"Sample request needs a TEST-ID","OK"))))))</f>
        <v/>
      </c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7"/>
      <c r="I59" s="17"/>
      <c r="J59" s="16"/>
      <c r="K59" s="18" t="str">
        <f aca="false">IFERROR(INDEX(Ref_CTRL!$C$2:$C$201,MATCH(C59,Ref_CTRL!$A$2:$A$201,0)),"")</f>
        <v/>
      </c>
      <c r="L59" s="17"/>
      <c r="M59" s="17"/>
      <c r="N59" s="16"/>
      <c r="O59" s="16"/>
      <c r="P59" s="16"/>
      <c r="Q59" s="18" t="str">
        <f aca="false">IF(J59="Population","Y","")</f>
        <v/>
      </c>
      <c r="R59" s="18" t="str">
        <f aca="true">IF(OR(A59="",M59="",O59="Received",O59="Closed"),"",IF(TODAY()&gt;M59,TODAY()-M59,0))</f>
        <v/>
      </c>
      <c r="S59" s="16"/>
      <c r="T59" s="18" t="str">
        <f aca="false">IF(A59="","",IF(OR(B59="",C59="",G59="",J59=""),"Wave, control, evidence description, type needed",IF(COUNTIF(Ref_CTRL!$A$2:$A$201,C59)=0,"CTRL-ID not in W05",IF(OR(H59="",I59=""),"Period / as-of dates needed",IF(AND(OR(O59="Received",O59="Closed"),P59=""),"EV-ID needed once received",IF(AND(B59="3 Sample",E59=""),"Sample request needs a TEST-ID","OK"))))))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7"/>
      <c r="I60" s="17"/>
      <c r="J60" s="16"/>
      <c r="K60" s="18" t="str">
        <f aca="false">IFERROR(INDEX(Ref_CTRL!$C$2:$C$201,MATCH(C60,Ref_CTRL!$A$2:$A$201,0)),"")</f>
        <v/>
      </c>
      <c r="L60" s="17"/>
      <c r="M60" s="17"/>
      <c r="N60" s="16"/>
      <c r="O60" s="16"/>
      <c r="P60" s="16"/>
      <c r="Q60" s="18" t="str">
        <f aca="false">IF(J60="Population","Y","")</f>
        <v/>
      </c>
      <c r="R60" s="18" t="str">
        <f aca="true">IF(OR(A60="",M60="",O60="Received",O60="Closed"),"",IF(TODAY()&gt;M60,TODAY()-M60,0))</f>
        <v/>
      </c>
      <c r="S60" s="16"/>
      <c r="T60" s="18" t="str">
        <f aca="false">IF(A60="","",IF(OR(B60="",C60="",G60="",J60=""),"Wave, control, evidence description, type needed",IF(COUNTIF(Ref_CTRL!$A$2:$A$201,C60)=0,"CTRL-ID not in W05",IF(OR(H60="",I60=""),"Period / as-of dates needed",IF(AND(OR(O60="Received",O60="Closed"),P60=""),"EV-ID needed once received",IF(AND(B60="3 Sample",E60=""),"Sample request needs a TEST-ID","OK"))))))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7"/>
      <c r="I61" s="17"/>
      <c r="J61" s="16"/>
      <c r="K61" s="18" t="str">
        <f aca="false">IFERROR(INDEX(Ref_CTRL!$C$2:$C$201,MATCH(C61,Ref_CTRL!$A$2:$A$201,0)),"")</f>
        <v/>
      </c>
      <c r="L61" s="17"/>
      <c r="M61" s="17"/>
      <c r="N61" s="16"/>
      <c r="O61" s="16"/>
      <c r="P61" s="16"/>
      <c r="Q61" s="18" t="str">
        <f aca="false">IF(J61="Population","Y","")</f>
        <v/>
      </c>
      <c r="R61" s="18" t="str">
        <f aca="true">IF(OR(A61="",M61="",O61="Received",O61="Closed"),"",IF(TODAY()&gt;M61,TODAY()-M61,0))</f>
        <v/>
      </c>
      <c r="S61" s="16"/>
      <c r="T61" s="18" t="str">
        <f aca="false">IF(A61="","",IF(OR(B61="",C61="",G61="",J61=""),"Wave, control, evidence description, type needed",IF(COUNTIF(Ref_CTRL!$A$2:$A$201,C61)=0,"CTRL-ID not in W05",IF(OR(H61="",I61=""),"Period / as-of dates needed",IF(AND(OR(O61="Received",O61="Closed"),P61=""),"EV-ID needed once received",IF(AND(B61="3 Sample",E61=""),"Sample request needs a TEST-ID","OK"))))))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7"/>
      <c r="I62" s="17"/>
      <c r="J62" s="16"/>
      <c r="K62" s="18" t="str">
        <f aca="false">IFERROR(INDEX(Ref_CTRL!$C$2:$C$201,MATCH(C62,Ref_CTRL!$A$2:$A$201,0)),"")</f>
        <v/>
      </c>
      <c r="L62" s="17"/>
      <c r="M62" s="17"/>
      <c r="N62" s="16"/>
      <c r="O62" s="16"/>
      <c r="P62" s="16"/>
      <c r="Q62" s="18" t="str">
        <f aca="false">IF(J62="Population","Y","")</f>
        <v/>
      </c>
      <c r="R62" s="18" t="str">
        <f aca="true">IF(OR(A62="",M62="",O62="Received",O62="Closed"),"",IF(TODAY()&gt;M62,TODAY()-M62,0))</f>
        <v/>
      </c>
      <c r="S62" s="16"/>
      <c r="T62" s="18" t="str">
        <f aca="false">IF(A62="","",IF(OR(B62="",C62="",G62="",J62=""),"Wave, control, evidence description, type needed",IF(COUNTIF(Ref_CTRL!$A$2:$A$201,C62)=0,"CTRL-ID not in W05",IF(OR(H62="",I62=""),"Period / as-of dates needed",IF(AND(OR(O62="Received",O62="Closed"),P62=""),"EV-ID needed once received",IF(AND(B62="3 Sample",E62=""),"Sample request needs a TEST-ID","OK"))))))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7"/>
      <c r="I63" s="17"/>
      <c r="J63" s="16"/>
      <c r="K63" s="18" t="str">
        <f aca="false">IFERROR(INDEX(Ref_CTRL!$C$2:$C$201,MATCH(C63,Ref_CTRL!$A$2:$A$201,0)),"")</f>
        <v/>
      </c>
      <c r="L63" s="17"/>
      <c r="M63" s="17"/>
      <c r="N63" s="16"/>
      <c r="O63" s="16"/>
      <c r="P63" s="16"/>
      <c r="Q63" s="18" t="str">
        <f aca="false">IF(J63="Population","Y","")</f>
        <v/>
      </c>
      <c r="R63" s="18" t="str">
        <f aca="true">IF(OR(A63="",M63="",O63="Received",O63="Closed"),"",IF(TODAY()&gt;M63,TODAY()-M63,0))</f>
        <v/>
      </c>
      <c r="S63" s="16"/>
      <c r="T63" s="18" t="str">
        <f aca="false">IF(A63="","",IF(OR(B63="",C63="",G63="",J63=""),"Wave, control, evidence description, type needed",IF(COUNTIF(Ref_CTRL!$A$2:$A$201,C63)=0,"CTRL-ID not in W05",IF(OR(H63="",I63=""),"Period / as-of dates needed",IF(AND(OR(O63="Received",O63="Closed"),P63=""),"EV-ID needed once received",IF(AND(B63="3 Sample",E63=""),"Sample request needs a TEST-ID","OK"))))))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7"/>
      <c r="I64" s="17"/>
      <c r="J64" s="16"/>
      <c r="K64" s="18" t="str">
        <f aca="false">IFERROR(INDEX(Ref_CTRL!$C$2:$C$201,MATCH(C64,Ref_CTRL!$A$2:$A$201,0)),"")</f>
        <v/>
      </c>
      <c r="L64" s="17"/>
      <c r="M64" s="17"/>
      <c r="N64" s="16"/>
      <c r="O64" s="16"/>
      <c r="P64" s="16"/>
      <c r="Q64" s="18" t="str">
        <f aca="false">IF(J64="Population","Y","")</f>
        <v/>
      </c>
      <c r="R64" s="18" t="str">
        <f aca="true">IF(OR(A64="",M64="",O64="Received",O64="Closed"),"",IF(TODAY()&gt;M64,TODAY()-M64,0))</f>
        <v/>
      </c>
      <c r="S64" s="16"/>
      <c r="T64" s="18" t="str">
        <f aca="false">IF(A64="","",IF(OR(B64="",C64="",G64="",J64=""),"Wave, control, evidence description, type needed",IF(COUNTIF(Ref_CTRL!$A$2:$A$201,C64)=0,"CTRL-ID not in W05",IF(OR(H64="",I64=""),"Period / as-of dates needed",IF(AND(OR(O64="Received",O64="Closed"),P64=""),"EV-ID needed once received",IF(AND(B64="3 Sample",E64=""),"Sample request needs a TEST-ID","OK"))))))</f>
        <v/>
      </c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7"/>
      <c r="I65" s="17"/>
      <c r="J65" s="16"/>
      <c r="K65" s="18" t="str">
        <f aca="false">IFERROR(INDEX(Ref_CTRL!$C$2:$C$201,MATCH(C65,Ref_CTRL!$A$2:$A$201,0)),"")</f>
        <v/>
      </c>
      <c r="L65" s="17"/>
      <c r="M65" s="17"/>
      <c r="N65" s="16"/>
      <c r="O65" s="16"/>
      <c r="P65" s="16"/>
      <c r="Q65" s="18" t="str">
        <f aca="false">IF(J65="Population","Y","")</f>
        <v/>
      </c>
      <c r="R65" s="18" t="str">
        <f aca="true">IF(OR(A65="",M65="",O65="Received",O65="Closed"),"",IF(TODAY()&gt;M65,TODAY()-M65,0))</f>
        <v/>
      </c>
      <c r="S65" s="16"/>
      <c r="T65" s="18" t="str">
        <f aca="false">IF(A65="","",IF(OR(B65="",C65="",G65="",J65=""),"Wave, control, evidence description, type needed",IF(COUNTIF(Ref_CTRL!$A$2:$A$201,C65)=0,"CTRL-ID not in W05",IF(OR(H65="",I65=""),"Period / as-of dates needed",IF(AND(OR(O65="Received",O65="Closed"),P65=""),"EV-ID needed once received",IF(AND(B65="3 Sample",E65=""),"Sample request needs a TEST-ID","OK"))))))</f>
        <v/>
      </c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7"/>
      <c r="I66" s="17"/>
      <c r="J66" s="16"/>
      <c r="K66" s="18" t="str">
        <f aca="false">IFERROR(INDEX(Ref_CTRL!$C$2:$C$201,MATCH(C66,Ref_CTRL!$A$2:$A$201,0)),"")</f>
        <v/>
      </c>
      <c r="L66" s="17"/>
      <c r="M66" s="17"/>
      <c r="N66" s="16"/>
      <c r="O66" s="16"/>
      <c r="P66" s="16"/>
      <c r="Q66" s="18" t="str">
        <f aca="false">IF(J66="Population","Y","")</f>
        <v/>
      </c>
      <c r="R66" s="18" t="str">
        <f aca="true">IF(OR(A66="",M66="",O66="Received",O66="Closed"),"",IF(TODAY()&gt;M66,TODAY()-M66,0))</f>
        <v/>
      </c>
      <c r="S66" s="16"/>
      <c r="T66" s="18" t="str">
        <f aca="false">IF(A66="","",IF(OR(B66="",C66="",G66="",J66=""),"Wave, control, evidence description, type needed",IF(COUNTIF(Ref_CTRL!$A$2:$A$201,C66)=0,"CTRL-ID not in W05",IF(OR(H66="",I66=""),"Period / as-of dates needed",IF(AND(OR(O66="Received",O66="Closed"),P66=""),"EV-ID needed once received",IF(AND(B66="3 Sample",E66=""),"Sample request needs a TEST-ID","OK"))))))</f>
        <v/>
      </c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7"/>
      <c r="I67" s="17"/>
      <c r="J67" s="16"/>
      <c r="K67" s="18" t="str">
        <f aca="false">IFERROR(INDEX(Ref_CTRL!$C$2:$C$201,MATCH(C67,Ref_CTRL!$A$2:$A$201,0)),"")</f>
        <v/>
      </c>
      <c r="L67" s="17"/>
      <c r="M67" s="17"/>
      <c r="N67" s="16"/>
      <c r="O67" s="16"/>
      <c r="P67" s="16"/>
      <c r="Q67" s="18" t="str">
        <f aca="false">IF(J67="Population","Y","")</f>
        <v/>
      </c>
      <c r="R67" s="18" t="str">
        <f aca="true">IF(OR(A67="",M67="",O67="Received",O67="Closed"),"",IF(TODAY()&gt;M67,TODAY()-M67,0))</f>
        <v/>
      </c>
      <c r="S67" s="16"/>
      <c r="T67" s="18" t="str">
        <f aca="false">IF(A67="","",IF(OR(B67="",C67="",G67="",J67=""),"Wave, control, evidence description, type needed",IF(COUNTIF(Ref_CTRL!$A$2:$A$201,C67)=0,"CTRL-ID not in W05",IF(OR(H67="",I67=""),"Period / as-of dates needed",IF(AND(OR(O67="Received",O67="Closed"),P67=""),"EV-ID needed once received",IF(AND(B67="3 Sample",E67=""),"Sample request needs a TEST-ID","OK"))))))</f>
        <v/>
      </c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7"/>
      <c r="I68" s="17"/>
      <c r="J68" s="16"/>
      <c r="K68" s="18" t="str">
        <f aca="false">IFERROR(INDEX(Ref_CTRL!$C$2:$C$201,MATCH(C68,Ref_CTRL!$A$2:$A$201,0)),"")</f>
        <v/>
      </c>
      <c r="L68" s="17"/>
      <c r="M68" s="17"/>
      <c r="N68" s="16"/>
      <c r="O68" s="16"/>
      <c r="P68" s="16"/>
      <c r="Q68" s="18" t="str">
        <f aca="false">IF(J68="Population","Y","")</f>
        <v/>
      </c>
      <c r="R68" s="18" t="str">
        <f aca="true">IF(OR(A68="",M68="",O68="Received",O68="Closed"),"",IF(TODAY()&gt;M68,TODAY()-M68,0))</f>
        <v/>
      </c>
      <c r="S68" s="16"/>
      <c r="T68" s="18" t="str">
        <f aca="false">IF(A68="","",IF(OR(B68="",C68="",G68="",J68=""),"Wave, control, evidence description, type needed",IF(COUNTIF(Ref_CTRL!$A$2:$A$201,C68)=0,"CTRL-ID not in W05",IF(OR(H68="",I68=""),"Period / as-of dates needed",IF(AND(OR(O68="Received",O68="Closed"),P68=""),"EV-ID needed once received",IF(AND(B68="3 Sample",E68=""),"Sample request needs a TEST-ID","OK"))))))</f>
        <v/>
      </c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7"/>
      <c r="I69" s="17"/>
      <c r="J69" s="16"/>
      <c r="K69" s="18" t="str">
        <f aca="false">IFERROR(INDEX(Ref_CTRL!$C$2:$C$201,MATCH(C69,Ref_CTRL!$A$2:$A$201,0)),"")</f>
        <v/>
      </c>
      <c r="L69" s="17"/>
      <c r="M69" s="17"/>
      <c r="N69" s="16"/>
      <c r="O69" s="16"/>
      <c r="P69" s="16"/>
      <c r="Q69" s="18" t="str">
        <f aca="false">IF(J69="Population","Y","")</f>
        <v/>
      </c>
      <c r="R69" s="18" t="str">
        <f aca="true">IF(OR(A69="",M69="",O69="Received",O69="Closed"),"",IF(TODAY()&gt;M69,TODAY()-M69,0))</f>
        <v/>
      </c>
      <c r="S69" s="16"/>
      <c r="T69" s="18" t="str">
        <f aca="false">IF(A69="","",IF(OR(B69="",C69="",G69="",J69=""),"Wave, control, evidence description, type needed",IF(COUNTIF(Ref_CTRL!$A$2:$A$201,C69)=0,"CTRL-ID not in W05",IF(OR(H69="",I69=""),"Period / as-of dates needed",IF(AND(OR(O69="Received",O69="Closed"),P69=""),"EV-ID needed once received",IF(AND(B69="3 Sample",E69=""),"Sample request needs a TEST-ID","OK"))))))</f>
        <v/>
      </c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7"/>
      <c r="I70" s="17"/>
      <c r="J70" s="16"/>
      <c r="K70" s="18" t="str">
        <f aca="false">IFERROR(INDEX(Ref_CTRL!$C$2:$C$201,MATCH(C70,Ref_CTRL!$A$2:$A$201,0)),"")</f>
        <v/>
      </c>
      <c r="L70" s="17"/>
      <c r="M70" s="17"/>
      <c r="N70" s="16"/>
      <c r="O70" s="16"/>
      <c r="P70" s="16"/>
      <c r="Q70" s="18" t="str">
        <f aca="false">IF(J70="Population","Y","")</f>
        <v/>
      </c>
      <c r="R70" s="18" t="str">
        <f aca="true">IF(OR(A70="",M70="",O70="Received",O70="Closed"),"",IF(TODAY()&gt;M70,TODAY()-M70,0))</f>
        <v/>
      </c>
      <c r="S70" s="16"/>
      <c r="T70" s="18" t="str">
        <f aca="false">IF(A70="","",IF(OR(B70="",C70="",G70="",J70=""),"Wave, control, evidence description, type needed",IF(COUNTIF(Ref_CTRL!$A$2:$A$201,C70)=0,"CTRL-ID not in W05",IF(OR(H70="",I70=""),"Period / as-of dates needed",IF(AND(OR(O70="Received",O70="Closed"),P70=""),"EV-ID needed once received",IF(AND(B70="3 Sample",E70=""),"Sample request needs a TEST-ID","OK"))))))</f>
        <v/>
      </c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7"/>
      <c r="I71" s="17"/>
      <c r="J71" s="16"/>
      <c r="K71" s="18" t="str">
        <f aca="false">IFERROR(INDEX(Ref_CTRL!$C$2:$C$201,MATCH(C71,Ref_CTRL!$A$2:$A$201,0)),"")</f>
        <v/>
      </c>
      <c r="L71" s="17"/>
      <c r="M71" s="17"/>
      <c r="N71" s="16"/>
      <c r="O71" s="16"/>
      <c r="P71" s="16"/>
      <c r="Q71" s="18" t="str">
        <f aca="false">IF(J71="Population","Y","")</f>
        <v/>
      </c>
      <c r="R71" s="18" t="str">
        <f aca="true">IF(OR(A71="",M71="",O71="Received",O71="Closed"),"",IF(TODAY()&gt;M71,TODAY()-M71,0))</f>
        <v/>
      </c>
      <c r="S71" s="16"/>
      <c r="T71" s="18" t="str">
        <f aca="false">IF(A71="","",IF(OR(B71="",C71="",G71="",J71=""),"Wave, control, evidence description, type needed",IF(COUNTIF(Ref_CTRL!$A$2:$A$201,C71)=0,"CTRL-ID not in W05",IF(OR(H71="",I71=""),"Period / as-of dates needed",IF(AND(OR(O71="Received",O71="Closed"),P71=""),"EV-ID needed once received",IF(AND(B71="3 Sample",E71=""),"Sample request needs a TEST-ID","OK"))))))</f>
        <v/>
      </c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7"/>
      <c r="I72" s="17"/>
      <c r="J72" s="16"/>
      <c r="K72" s="18" t="str">
        <f aca="false">IFERROR(INDEX(Ref_CTRL!$C$2:$C$201,MATCH(C72,Ref_CTRL!$A$2:$A$201,0)),"")</f>
        <v/>
      </c>
      <c r="L72" s="17"/>
      <c r="M72" s="17"/>
      <c r="N72" s="16"/>
      <c r="O72" s="16"/>
      <c r="P72" s="16"/>
      <c r="Q72" s="18" t="str">
        <f aca="false">IF(J72="Population","Y","")</f>
        <v/>
      </c>
      <c r="R72" s="18" t="str">
        <f aca="true">IF(OR(A72="",M72="",O72="Received",O72="Closed"),"",IF(TODAY()&gt;M72,TODAY()-M72,0))</f>
        <v/>
      </c>
      <c r="S72" s="16"/>
      <c r="T72" s="18" t="str">
        <f aca="false">IF(A72="","",IF(OR(B72="",C72="",G72="",J72=""),"Wave, control, evidence description, type needed",IF(COUNTIF(Ref_CTRL!$A$2:$A$201,C72)=0,"CTRL-ID not in W05",IF(OR(H72="",I72=""),"Period / as-of dates needed",IF(AND(OR(O72="Received",O72="Closed"),P72=""),"EV-ID needed once received",IF(AND(B72="3 Sample",E72=""),"Sample request needs a TEST-ID","OK"))))))</f>
        <v/>
      </c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7"/>
      <c r="I73" s="17"/>
      <c r="J73" s="16"/>
      <c r="K73" s="18" t="str">
        <f aca="false">IFERROR(INDEX(Ref_CTRL!$C$2:$C$201,MATCH(C73,Ref_CTRL!$A$2:$A$201,0)),"")</f>
        <v/>
      </c>
      <c r="L73" s="17"/>
      <c r="M73" s="17"/>
      <c r="N73" s="16"/>
      <c r="O73" s="16"/>
      <c r="P73" s="16"/>
      <c r="Q73" s="18" t="str">
        <f aca="false">IF(J73="Population","Y","")</f>
        <v/>
      </c>
      <c r="R73" s="18" t="str">
        <f aca="true">IF(OR(A73="",M73="",O73="Received",O73="Closed"),"",IF(TODAY()&gt;M73,TODAY()-M73,0))</f>
        <v/>
      </c>
      <c r="S73" s="16"/>
      <c r="T73" s="18" t="str">
        <f aca="false">IF(A73="","",IF(OR(B73="",C73="",G73="",J73=""),"Wave, control, evidence description, type needed",IF(COUNTIF(Ref_CTRL!$A$2:$A$201,C73)=0,"CTRL-ID not in W05",IF(OR(H73="",I73=""),"Period / as-of dates needed",IF(AND(OR(O73="Received",O73="Closed"),P73=""),"EV-ID needed once received",IF(AND(B73="3 Sample",E73=""),"Sample request needs a TEST-ID","OK"))))))</f>
        <v/>
      </c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7"/>
      <c r="I74" s="17"/>
      <c r="J74" s="16"/>
      <c r="K74" s="18" t="str">
        <f aca="false">IFERROR(INDEX(Ref_CTRL!$C$2:$C$201,MATCH(C74,Ref_CTRL!$A$2:$A$201,0)),"")</f>
        <v/>
      </c>
      <c r="L74" s="17"/>
      <c r="M74" s="17"/>
      <c r="N74" s="16"/>
      <c r="O74" s="16"/>
      <c r="P74" s="16"/>
      <c r="Q74" s="18" t="str">
        <f aca="false">IF(J74="Population","Y","")</f>
        <v/>
      </c>
      <c r="R74" s="18" t="str">
        <f aca="true">IF(OR(A74="",M74="",O74="Received",O74="Closed"),"",IF(TODAY()&gt;M74,TODAY()-M74,0))</f>
        <v/>
      </c>
      <c r="S74" s="16"/>
      <c r="T74" s="18" t="str">
        <f aca="false">IF(A74="","",IF(OR(B74="",C74="",G74="",J74=""),"Wave, control, evidence description, type needed",IF(COUNTIF(Ref_CTRL!$A$2:$A$201,C74)=0,"CTRL-ID not in W05",IF(OR(H74="",I74=""),"Period / as-of dates needed",IF(AND(OR(O74="Received",O74="Closed"),P74=""),"EV-ID needed once received",IF(AND(B74="3 Sample",E74=""),"Sample request needs a TEST-ID","OK"))))))</f>
        <v/>
      </c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7"/>
      <c r="I75" s="17"/>
      <c r="J75" s="16"/>
      <c r="K75" s="18" t="str">
        <f aca="false">IFERROR(INDEX(Ref_CTRL!$C$2:$C$201,MATCH(C75,Ref_CTRL!$A$2:$A$201,0)),"")</f>
        <v/>
      </c>
      <c r="L75" s="17"/>
      <c r="M75" s="17"/>
      <c r="N75" s="16"/>
      <c r="O75" s="16"/>
      <c r="P75" s="16"/>
      <c r="Q75" s="18" t="str">
        <f aca="false">IF(J75="Population","Y","")</f>
        <v/>
      </c>
      <c r="R75" s="18" t="str">
        <f aca="true">IF(OR(A75="",M75="",O75="Received",O75="Closed"),"",IF(TODAY()&gt;M75,TODAY()-M75,0))</f>
        <v/>
      </c>
      <c r="S75" s="16"/>
      <c r="T75" s="18" t="str">
        <f aca="false">IF(A75="","",IF(OR(B75="",C75="",G75="",J75=""),"Wave, control, evidence description, type needed",IF(COUNTIF(Ref_CTRL!$A$2:$A$201,C75)=0,"CTRL-ID not in W05",IF(OR(H75="",I75=""),"Period / as-of dates needed",IF(AND(OR(O75="Received",O75="Closed"),P75=""),"EV-ID needed once received",IF(AND(B75="3 Sample",E75=""),"Sample request needs a TEST-ID","OK"))))))</f>
        <v/>
      </c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7"/>
      <c r="I76" s="17"/>
      <c r="J76" s="16"/>
      <c r="K76" s="18" t="str">
        <f aca="false">IFERROR(INDEX(Ref_CTRL!$C$2:$C$201,MATCH(C76,Ref_CTRL!$A$2:$A$201,0)),"")</f>
        <v/>
      </c>
      <c r="L76" s="17"/>
      <c r="M76" s="17"/>
      <c r="N76" s="16"/>
      <c r="O76" s="16"/>
      <c r="P76" s="16"/>
      <c r="Q76" s="18" t="str">
        <f aca="false">IF(J76="Population","Y","")</f>
        <v/>
      </c>
      <c r="R76" s="18" t="str">
        <f aca="true">IF(OR(A76="",M76="",O76="Received",O76="Closed"),"",IF(TODAY()&gt;M76,TODAY()-M76,0))</f>
        <v/>
      </c>
      <c r="S76" s="16"/>
      <c r="T76" s="18" t="str">
        <f aca="false">IF(A76="","",IF(OR(B76="",C76="",G76="",J76=""),"Wave, control, evidence description, type needed",IF(COUNTIF(Ref_CTRL!$A$2:$A$201,C76)=0,"CTRL-ID not in W05",IF(OR(H76="",I76=""),"Period / as-of dates needed",IF(AND(OR(O76="Received",O76="Closed"),P76=""),"EV-ID needed once received",IF(AND(B76="3 Sample",E76=""),"Sample request needs a TEST-ID","OK"))))))</f>
        <v/>
      </c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7"/>
      <c r="I77" s="17"/>
      <c r="J77" s="16"/>
      <c r="K77" s="18" t="str">
        <f aca="false">IFERROR(INDEX(Ref_CTRL!$C$2:$C$201,MATCH(C77,Ref_CTRL!$A$2:$A$201,0)),"")</f>
        <v/>
      </c>
      <c r="L77" s="17"/>
      <c r="M77" s="17"/>
      <c r="N77" s="16"/>
      <c r="O77" s="16"/>
      <c r="P77" s="16"/>
      <c r="Q77" s="18" t="str">
        <f aca="false">IF(J77="Population","Y","")</f>
        <v/>
      </c>
      <c r="R77" s="18" t="str">
        <f aca="true">IF(OR(A77="",M77="",O77="Received",O77="Closed"),"",IF(TODAY()&gt;M77,TODAY()-M77,0))</f>
        <v/>
      </c>
      <c r="S77" s="16"/>
      <c r="T77" s="18" t="str">
        <f aca="false">IF(A77="","",IF(OR(B77="",C77="",G77="",J77=""),"Wave, control, evidence description, type needed",IF(COUNTIF(Ref_CTRL!$A$2:$A$201,C77)=0,"CTRL-ID not in W05",IF(OR(H77="",I77=""),"Period / as-of dates needed",IF(AND(OR(O77="Received",O77="Closed"),P77=""),"EV-ID needed once received",IF(AND(B77="3 Sample",E77=""),"Sample request needs a TEST-ID","OK"))))))</f>
        <v/>
      </c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7"/>
      <c r="I78" s="17"/>
      <c r="J78" s="16"/>
      <c r="K78" s="18" t="str">
        <f aca="false">IFERROR(INDEX(Ref_CTRL!$C$2:$C$201,MATCH(C78,Ref_CTRL!$A$2:$A$201,0)),"")</f>
        <v/>
      </c>
      <c r="L78" s="17"/>
      <c r="M78" s="17"/>
      <c r="N78" s="16"/>
      <c r="O78" s="16"/>
      <c r="P78" s="16"/>
      <c r="Q78" s="18" t="str">
        <f aca="false">IF(J78="Population","Y","")</f>
        <v/>
      </c>
      <c r="R78" s="18" t="str">
        <f aca="true">IF(OR(A78="",M78="",O78="Received",O78="Closed"),"",IF(TODAY()&gt;M78,TODAY()-M78,0))</f>
        <v/>
      </c>
      <c r="S78" s="16"/>
      <c r="T78" s="18" t="str">
        <f aca="false">IF(A78="","",IF(OR(B78="",C78="",G78="",J78=""),"Wave, control, evidence description, type needed",IF(COUNTIF(Ref_CTRL!$A$2:$A$201,C78)=0,"CTRL-ID not in W05",IF(OR(H78="",I78=""),"Period / as-of dates needed",IF(AND(OR(O78="Received",O78="Closed"),P78=""),"EV-ID needed once received",IF(AND(B78="3 Sample",E78=""),"Sample request needs a TEST-ID","OK"))))))</f>
        <v/>
      </c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7"/>
      <c r="I79" s="17"/>
      <c r="J79" s="16"/>
      <c r="K79" s="18" t="str">
        <f aca="false">IFERROR(INDEX(Ref_CTRL!$C$2:$C$201,MATCH(C79,Ref_CTRL!$A$2:$A$201,0)),"")</f>
        <v/>
      </c>
      <c r="L79" s="17"/>
      <c r="M79" s="17"/>
      <c r="N79" s="16"/>
      <c r="O79" s="16"/>
      <c r="P79" s="16"/>
      <c r="Q79" s="18" t="str">
        <f aca="false">IF(J79="Population","Y","")</f>
        <v/>
      </c>
      <c r="R79" s="18" t="str">
        <f aca="true">IF(OR(A79="",M79="",O79="Received",O79="Closed"),"",IF(TODAY()&gt;M79,TODAY()-M79,0))</f>
        <v/>
      </c>
      <c r="S79" s="16"/>
      <c r="T79" s="18" t="str">
        <f aca="false">IF(A79="","",IF(OR(B79="",C79="",G79="",J79=""),"Wave, control, evidence description, type needed",IF(COUNTIF(Ref_CTRL!$A$2:$A$201,C79)=0,"CTRL-ID not in W05",IF(OR(H79="",I79=""),"Period / as-of dates needed",IF(AND(OR(O79="Received",O79="Closed"),P79=""),"EV-ID needed once received",IF(AND(B79="3 Sample",E79=""),"Sample request needs a TEST-ID","OK"))))))</f>
        <v/>
      </c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7"/>
      <c r="I80" s="17"/>
      <c r="J80" s="16"/>
      <c r="K80" s="18" t="str">
        <f aca="false">IFERROR(INDEX(Ref_CTRL!$C$2:$C$201,MATCH(C80,Ref_CTRL!$A$2:$A$201,0)),"")</f>
        <v/>
      </c>
      <c r="L80" s="17"/>
      <c r="M80" s="17"/>
      <c r="N80" s="16"/>
      <c r="O80" s="16"/>
      <c r="P80" s="16"/>
      <c r="Q80" s="18" t="str">
        <f aca="false">IF(J80="Population","Y","")</f>
        <v/>
      </c>
      <c r="R80" s="18" t="str">
        <f aca="true">IF(OR(A80="",M80="",O80="Received",O80="Closed"),"",IF(TODAY()&gt;M80,TODAY()-M80,0))</f>
        <v/>
      </c>
      <c r="S80" s="16"/>
      <c r="T80" s="18" t="str">
        <f aca="false">IF(A80="","",IF(OR(B80="",C80="",G80="",J80=""),"Wave, control, evidence description, type needed",IF(COUNTIF(Ref_CTRL!$A$2:$A$201,C80)=0,"CTRL-ID not in W05",IF(OR(H80="",I80=""),"Period / as-of dates needed",IF(AND(OR(O80="Received",O80="Closed"),P80=""),"EV-ID needed once received",IF(AND(B80="3 Sample",E80=""),"Sample request needs a TEST-ID","OK"))))))</f>
        <v/>
      </c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7"/>
      <c r="I81" s="17"/>
      <c r="J81" s="16"/>
      <c r="K81" s="18" t="str">
        <f aca="false">IFERROR(INDEX(Ref_CTRL!$C$2:$C$201,MATCH(C81,Ref_CTRL!$A$2:$A$201,0)),"")</f>
        <v/>
      </c>
      <c r="L81" s="17"/>
      <c r="M81" s="17"/>
      <c r="N81" s="16"/>
      <c r="O81" s="16"/>
      <c r="P81" s="16"/>
      <c r="Q81" s="18" t="str">
        <f aca="false">IF(J81="Population","Y","")</f>
        <v/>
      </c>
      <c r="R81" s="18" t="str">
        <f aca="true">IF(OR(A81="",M81="",O81="Received",O81="Closed"),"",IF(TODAY()&gt;M81,TODAY()-M81,0))</f>
        <v/>
      </c>
      <c r="S81" s="16"/>
      <c r="T81" s="18" t="str">
        <f aca="false">IF(A81="","",IF(OR(B81="",C81="",G81="",J81=""),"Wave, control, evidence description, type needed",IF(COUNTIF(Ref_CTRL!$A$2:$A$201,C81)=0,"CTRL-ID not in W05",IF(OR(H81="",I81=""),"Period / as-of dates needed",IF(AND(OR(O81="Received",O81="Closed"),P81=""),"EV-ID needed once received",IF(AND(B81="3 Sample",E81=""),"Sample request needs a TEST-ID","OK"))))))</f>
        <v/>
      </c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7"/>
      <c r="I82" s="17"/>
      <c r="J82" s="16"/>
      <c r="K82" s="18" t="str">
        <f aca="false">IFERROR(INDEX(Ref_CTRL!$C$2:$C$201,MATCH(C82,Ref_CTRL!$A$2:$A$201,0)),"")</f>
        <v/>
      </c>
      <c r="L82" s="17"/>
      <c r="M82" s="17"/>
      <c r="N82" s="16"/>
      <c r="O82" s="16"/>
      <c r="P82" s="16"/>
      <c r="Q82" s="18" t="str">
        <f aca="false">IF(J82="Population","Y","")</f>
        <v/>
      </c>
      <c r="R82" s="18" t="str">
        <f aca="true">IF(OR(A82="",M82="",O82="Received",O82="Closed"),"",IF(TODAY()&gt;M82,TODAY()-M82,0))</f>
        <v/>
      </c>
      <c r="S82" s="16"/>
      <c r="T82" s="18" t="str">
        <f aca="false">IF(A82="","",IF(OR(B82="",C82="",G82="",J82=""),"Wave, control, evidence description, type needed",IF(COUNTIF(Ref_CTRL!$A$2:$A$201,C82)=0,"CTRL-ID not in W05",IF(OR(H82="",I82=""),"Period / as-of dates needed",IF(AND(OR(O82="Received",O82="Closed"),P82=""),"EV-ID needed once received",IF(AND(B82="3 Sample",E82=""),"Sample request needs a TEST-ID","OK"))))))</f>
        <v/>
      </c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7"/>
      <c r="I83" s="17"/>
      <c r="J83" s="16"/>
      <c r="K83" s="18" t="str">
        <f aca="false">IFERROR(INDEX(Ref_CTRL!$C$2:$C$201,MATCH(C83,Ref_CTRL!$A$2:$A$201,0)),"")</f>
        <v/>
      </c>
      <c r="L83" s="17"/>
      <c r="M83" s="17"/>
      <c r="N83" s="16"/>
      <c r="O83" s="16"/>
      <c r="P83" s="16"/>
      <c r="Q83" s="18" t="str">
        <f aca="false">IF(J83="Population","Y","")</f>
        <v/>
      </c>
      <c r="R83" s="18" t="str">
        <f aca="true">IF(OR(A83="",M83="",O83="Received",O83="Closed"),"",IF(TODAY()&gt;M83,TODAY()-M83,0))</f>
        <v/>
      </c>
      <c r="S83" s="16"/>
      <c r="T83" s="18" t="str">
        <f aca="false">IF(A83="","",IF(OR(B83="",C83="",G83="",J83=""),"Wave, control, evidence description, type needed",IF(COUNTIF(Ref_CTRL!$A$2:$A$201,C83)=0,"CTRL-ID not in W05",IF(OR(H83="",I83=""),"Period / as-of dates needed",IF(AND(OR(O83="Received",O83="Closed"),P83=""),"EV-ID needed once received",IF(AND(B83="3 Sample",E83=""),"Sample request needs a TEST-ID","OK"))))))</f>
        <v/>
      </c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7"/>
      <c r="I84" s="17"/>
      <c r="J84" s="16"/>
      <c r="K84" s="18" t="str">
        <f aca="false">IFERROR(INDEX(Ref_CTRL!$C$2:$C$201,MATCH(C84,Ref_CTRL!$A$2:$A$201,0)),"")</f>
        <v/>
      </c>
      <c r="L84" s="17"/>
      <c r="M84" s="17"/>
      <c r="N84" s="16"/>
      <c r="O84" s="16"/>
      <c r="P84" s="16"/>
      <c r="Q84" s="18" t="str">
        <f aca="false">IF(J84="Population","Y","")</f>
        <v/>
      </c>
      <c r="R84" s="18" t="str">
        <f aca="true">IF(OR(A84="",M84="",O84="Received",O84="Closed"),"",IF(TODAY()&gt;M84,TODAY()-M84,0))</f>
        <v/>
      </c>
      <c r="S84" s="16"/>
      <c r="T84" s="18" t="str">
        <f aca="false">IF(A84="","",IF(OR(B84="",C84="",G84="",J84=""),"Wave, control, evidence description, type needed",IF(COUNTIF(Ref_CTRL!$A$2:$A$201,C84)=0,"CTRL-ID not in W05",IF(OR(H84="",I84=""),"Period / as-of dates needed",IF(AND(OR(O84="Received",O84="Closed"),P84=""),"EV-ID needed once received",IF(AND(B84="3 Sample",E84=""),"Sample request needs a TEST-ID","OK"))))))</f>
        <v/>
      </c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7"/>
      <c r="I85" s="17"/>
      <c r="J85" s="16"/>
      <c r="K85" s="18" t="str">
        <f aca="false">IFERROR(INDEX(Ref_CTRL!$C$2:$C$201,MATCH(C85,Ref_CTRL!$A$2:$A$201,0)),"")</f>
        <v/>
      </c>
      <c r="L85" s="17"/>
      <c r="M85" s="17"/>
      <c r="N85" s="16"/>
      <c r="O85" s="16"/>
      <c r="P85" s="16"/>
      <c r="Q85" s="18" t="str">
        <f aca="false">IF(J85="Population","Y","")</f>
        <v/>
      </c>
      <c r="R85" s="18" t="str">
        <f aca="true">IF(OR(A85="",M85="",O85="Received",O85="Closed"),"",IF(TODAY()&gt;M85,TODAY()-M85,0))</f>
        <v/>
      </c>
      <c r="S85" s="16"/>
      <c r="T85" s="18" t="str">
        <f aca="false">IF(A85="","",IF(OR(B85="",C85="",G85="",J85=""),"Wave, control, evidence description, type needed",IF(COUNTIF(Ref_CTRL!$A$2:$A$201,C85)=0,"CTRL-ID not in W05",IF(OR(H85="",I85=""),"Period / as-of dates needed",IF(AND(OR(O85="Received",O85="Closed"),P85=""),"EV-ID needed once received",IF(AND(B85="3 Sample",E85=""),"Sample request needs a TEST-ID","OK"))))))</f>
        <v/>
      </c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7"/>
      <c r="I86" s="17"/>
      <c r="J86" s="16"/>
      <c r="K86" s="18" t="str">
        <f aca="false">IFERROR(INDEX(Ref_CTRL!$C$2:$C$201,MATCH(C86,Ref_CTRL!$A$2:$A$201,0)),"")</f>
        <v/>
      </c>
      <c r="L86" s="17"/>
      <c r="M86" s="17"/>
      <c r="N86" s="16"/>
      <c r="O86" s="16"/>
      <c r="P86" s="16"/>
      <c r="Q86" s="18" t="str">
        <f aca="false">IF(J86="Population","Y","")</f>
        <v/>
      </c>
      <c r="R86" s="18" t="str">
        <f aca="true">IF(OR(A86="",M86="",O86="Received",O86="Closed"),"",IF(TODAY()&gt;M86,TODAY()-M86,0))</f>
        <v/>
      </c>
      <c r="S86" s="16"/>
      <c r="T86" s="18" t="str">
        <f aca="false">IF(A86="","",IF(OR(B86="",C86="",G86="",J86=""),"Wave, control, evidence description, type needed",IF(COUNTIF(Ref_CTRL!$A$2:$A$201,C86)=0,"CTRL-ID not in W05",IF(OR(H86="",I86=""),"Period / as-of dates needed",IF(AND(OR(O86="Received",O86="Closed"),P86=""),"EV-ID needed once received",IF(AND(B86="3 Sample",E86=""),"Sample request needs a TEST-ID","OK"))))))</f>
        <v/>
      </c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7"/>
      <c r="I87" s="17"/>
      <c r="J87" s="16"/>
      <c r="K87" s="18" t="str">
        <f aca="false">IFERROR(INDEX(Ref_CTRL!$C$2:$C$201,MATCH(C87,Ref_CTRL!$A$2:$A$201,0)),"")</f>
        <v/>
      </c>
      <c r="L87" s="17"/>
      <c r="M87" s="17"/>
      <c r="N87" s="16"/>
      <c r="O87" s="16"/>
      <c r="P87" s="16"/>
      <c r="Q87" s="18" t="str">
        <f aca="false">IF(J87="Population","Y","")</f>
        <v/>
      </c>
      <c r="R87" s="18" t="str">
        <f aca="true">IF(OR(A87="",M87="",O87="Received",O87="Closed"),"",IF(TODAY()&gt;M87,TODAY()-M87,0))</f>
        <v/>
      </c>
      <c r="S87" s="16"/>
      <c r="T87" s="18" t="str">
        <f aca="false">IF(A87="","",IF(OR(B87="",C87="",G87="",J87=""),"Wave, control, evidence description, type needed",IF(COUNTIF(Ref_CTRL!$A$2:$A$201,C87)=0,"CTRL-ID not in W05",IF(OR(H87="",I87=""),"Period / as-of dates needed",IF(AND(OR(O87="Received",O87="Closed"),P87=""),"EV-ID needed once received",IF(AND(B87="3 Sample",E87=""),"Sample request needs a TEST-ID","OK"))))))</f>
        <v/>
      </c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7"/>
      <c r="I88" s="17"/>
      <c r="J88" s="16"/>
      <c r="K88" s="18" t="str">
        <f aca="false">IFERROR(INDEX(Ref_CTRL!$C$2:$C$201,MATCH(C88,Ref_CTRL!$A$2:$A$201,0)),"")</f>
        <v/>
      </c>
      <c r="L88" s="17"/>
      <c r="M88" s="17"/>
      <c r="N88" s="16"/>
      <c r="O88" s="16"/>
      <c r="P88" s="16"/>
      <c r="Q88" s="18" t="str">
        <f aca="false">IF(J88="Population","Y","")</f>
        <v/>
      </c>
      <c r="R88" s="18" t="str">
        <f aca="true">IF(OR(A88="",M88="",O88="Received",O88="Closed"),"",IF(TODAY()&gt;M88,TODAY()-M88,0))</f>
        <v/>
      </c>
      <c r="S88" s="16"/>
      <c r="T88" s="18" t="str">
        <f aca="false">IF(A88="","",IF(OR(B88="",C88="",G88="",J88=""),"Wave, control, evidence description, type needed",IF(COUNTIF(Ref_CTRL!$A$2:$A$201,C88)=0,"CTRL-ID not in W05",IF(OR(H88="",I88=""),"Period / as-of dates needed",IF(AND(OR(O88="Received",O88="Closed"),P88=""),"EV-ID needed once received",IF(AND(B88="3 Sample",E88=""),"Sample request needs a TEST-ID","OK"))))))</f>
        <v/>
      </c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7"/>
      <c r="I89" s="17"/>
      <c r="J89" s="16"/>
      <c r="K89" s="18" t="str">
        <f aca="false">IFERROR(INDEX(Ref_CTRL!$C$2:$C$201,MATCH(C89,Ref_CTRL!$A$2:$A$201,0)),"")</f>
        <v/>
      </c>
      <c r="L89" s="17"/>
      <c r="M89" s="17"/>
      <c r="N89" s="16"/>
      <c r="O89" s="16"/>
      <c r="P89" s="16"/>
      <c r="Q89" s="18" t="str">
        <f aca="false">IF(J89="Population","Y","")</f>
        <v/>
      </c>
      <c r="R89" s="18" t="str">
        <f aca="true">IF(OR(A89="",M89="",O89="Received",O89="Closed"),"",IF(TODAY()&gt;M89,TODAY()-M89,0))</f>
        <v/>
      </c>
      <c r="S89" s="16"/>
      <c r="T89" s="18" t="str">
        <f aca="false">IF(A89="","",IF(OR(B89="",C89="",G89="",J89=""),"Wave, control, evidence description, type needed",IF(COUNTIF(Ref_CTRL!$A$2:$A$201,C89)=0,"CTRL-ID not in W05",IF(OR(H89="",I89=""),"Period / as-of dates needed",IF(AND(OR(O89="Received",O89="Closed"),P89=""),"EV-ID needed once received",IF(AND(B89="3 Sample",E89=""),"Sample request needs a TEST-ID","OK"))))))</f>
        <v/>
      </c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7"/>
      <c r="I90" s="17"/>
      <c r="J90" s="16"/>
      <c r="K90" s="18" t="str">
        <f aca="false">IFERROR(INDEX(Ref_CTRL!$C$2:$C$201,MATCH(C90,Ref_CTRL!$A$2:$A$201,0)),"")</f>
        <v/>
      </c>
      <c r="L90" s="17"/>
      <c r="M90" s="17"/>
      <c r="N90" s="16"/>
      <c r="O90" s="16"/>
      <c r="P90" s="16"/>
      <c r="Q90" s="18" t="str">
        <f aca="false">IF(J90="Population","Y","")</f>
        <v/>
      </c>
      <c r="R90" s="18" t="str">
        <f aca="true">IF(OR(A90="",M90="",O90="Received",O90="Closed"),"",IF(TODAY()&gt;M90,TODAY()-M90,0))</f>
        <v/>
      </c>
      <c r="S90" s="16"/>
      <c r="T90" s="18" t="str">
        <f aca="false">IF(A90="","",IF(OR(B90="",C90="",G90="",J90=""),"Wave, control, evidence description, type needed",IF(COUNTIF(Ref_CTRL!$A$2:$A$201,C90)=0,"CTRL-ID not in W05",IF(OR(H90="",I90=""),"Period / as-of dates needed",IF(AND(OR(O90="Received",O90="Closed"),P90=""),"EV-ID needed once received",IF(AND(B90="3 Sample",E90=""),"Sample request needs a TEST-ID","OK"))))))</f>
        <v/>
      </c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7"/>
      <c r="I91" s="17"/>
      <c r="J91" s="16"/>
      <c r="K91" s="18" t="str">
        <f aca="false">IFERROR(INDEX(Ref_CTRL!$C$2:$C$201,MATCH(C91,Ref_CTRL!$A$2:$A$201,0)),"")</f>
        <v/>
      </c>
      <c r="L91" s="17"/>
      <c r="M91" s="17"/>
      <c r="N91" s="16"/>
      <c r="O91" s="16"/>
      <c r="P91" s="16"/>
      <c r="Q91" s="18" t="str">
        <f aca="false">IF(J91="Population","Y","")</f>
        <v/>
      </c>
      <c r="R91" s="18" t="str">
        <f aca="true">IF(OR(A91="",M91="",O91="Received",O91="Closed"),"",IF(TODAY()&gt;M91,TODAY()-M91,0))</f>
        <v/>
      </c>
      <c r="S91" s="16"/>
      <c r="T91" s="18" t="str">
        <f aca="false">IF(A91="","",IF(OR(B91="",C91="",G91="",J91=""),"Wave, control, evidence description, type needed",IF(COUNTIF(Ref_CTRL!$A$2:$A$201,C91)=0,"CTRL-ID not in W05",IF(OR(H91="",I91=""),"Period / as-of dates needed",IF(AND(OR(O91="Received",O91="Closed"),P91=""),"EV-ID needed once received",IF(AND(B91="3 Sample",E91=""),"Sample request needs a TEST-ID","OK"))))))</f>
        <v/>
      </c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7"/>
      <c r="I92" s="17"/>
      <c r="J92" s="16"/>
      <c r="K92" s="18" t="str">
        <f aca="false">IFERROR(INDEX(Ref_CTRL!$C$2:$C$201,MATCH(C92,Ref_CTRL!$A$2:$A$201,0)),"")</f>
        <v/>
      </c>
      <c r="L92" s="17"/>
      <c r="M92" s="17"/>
      <c r="N92" s="16"/>
      <c r="O92" s="16"/>
      <c r="P92" s="16"/>
      <c r="Q92" s="18" t="str">
        <f aca="false">IF(J92="Population","Y","")</f>
        <v/>
      </c>
      <c r="R92" s="18" t="str">
        <f aca="true">IF(OR(A92="",M92="",O92="Received",O92="Closed"),"",IF(TODAY()&gt;M92,TODAY()-M92,0))</f>
        <v/>
      </c>
      <c r="S92" s="16"/>
      <c r="T92" s="18" t="str">
        <f aca="false">IF(A92="","",IF(OR(B92="",C92="",G92="",J92=""),"Wave, control, evidence description, type needed",IF(COUNTIF(Ref_CTRL!$A$2:$A$201,C92)=0,"CTRL-ID not in W05",IF(OR(H92="",I92=""),"Period / as-of dates needed",IF(AND(OR(O92="Received",O92="Closed"),P92=""),"EV-ID needed once received",IF(AND(B92="3 Sample",E92=""),"Sample request needs a TEST-ID","OK"))))))</f>
        <v/>
      </c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7"/>
      <c r="I93" s="17"/>
      <c r="J93" s="16"/>
      <c r="K93" s="18" t="str">
        <f aca="false">IFERROR(INDEX(Ref_CTRL!$C$2:$C$201,MATCH(C93,Ref_CTRL!$A$2:$A$201,0)),"")</f>
        <v/>
      </c>
      <c r="L93" s="17"/>
      <c r="M93" s="17"/>
      <c r="N93" s="16"/>
      <c r="O93" s="16"/>
      <c r="P93" s="16"/>
      <c r="Q93" s="18" t="str">
        <f aca="false">IF(J93="Population","Y","")</f>
        <v/>
      </c>
      <c r="R93" s="18" t="str">
        <f aca="true">IF(OR(A93="",M93="",O93="Received",O93="Closed"),"",IF(TODAY()&gt;M93,TODAY()-M93,0))</f>
        <v/>
      </c>
      <c r="S93" s="16"/>
      <c r="T93" s="18" t="str">
        <f aca="false">IF(A93="","",IF(OR(B93="",C93="",G93="",J93=""),"Wave, control, evidence description, type needed",IF(COUNTIF(Ref_CTRL!$A$2:$A$201,C93)=0,"CTRL-ID not in W05",IF(OR(H93="",I93=""),"Period / as-of dates needed",IF(AND(OR(O93="Received",O93="Closed"),P93=""),"EV-ID needed once received",IF(AND(B93="3 Sample",E93=""),"Sample request needs a TEST-ID","OK"))))))</f>
        <v/>
      </c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7"/>
      <c r="I94" s="17"/>
      <c r="J94" s="16"/>
      <c r="K94" s="18" t="str">
        <f aca="false">IFERROR(INDEX(Ref_CTRL!$C$2:$C$201,MATCH(C94,Ref_CTRL!$A$2:$A$201,0)),"")</f>
        <v/>
      </c>
      <c r="L94" s="17"/>
      <c r="M94" s="17"/>
      <c r="N94" s="16"/>
      <c r="O94" s="16"/>
      <c r="P94" s="16"/>
      <c r="Q94" s="18" t="str">
        <f aca="false">IF(J94="Population","Y","")</f>
        <v/>
      </c>
      <c r="R94" s="18" t="str">
        <f aca="true">IF(OR(A94="",M94="",O94="Received",O94="Closed"),"",IF(TODAY()&gt;M94,TODAY()-M94,0))</f>
        <v/>
      </c>
      <c r="S94" s="16"/>
      <c r="T94" s="18" t="str">
        <f aca="false">IF(A94="","",IF(OR(B94="",C94="",G94="",J94=""),"Wave, control, evidence description, type needed",IF(COUNTIF(Ref_CTRL!$A$2:$A$201,C94)=0,"CTRL-ID not in W05",IF(OR(H94="",I94=""),"Period / as-of dates needed",IF(AND(OR(O94="Received",O94="Closed"),P94=""),"EV-ID needed once received",IF(AND(B94="3 Sample",E94=""),"Sample request needs a TEST-ID","OK"))))))</f>
        <v/>
      </c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7"/>
      <c r="I95" s="17"/>
      <c r="J95" s="16"/>
      <c r="K95" s="18" t="str">
        <f aca="false">IFERROR(INDEX(Ref_CTRL!$C$2:$C$201,MATCH(C95,Ref_CTRL!$A$2:$A$201,0)),"")</f>
        <v/>
      </c>
      <c r="L95" s="17"/>
      <c r="M95" s="17"/>
      <c r="N95" s="16"/>
      <c r="O95" s="16"/>
      <c r="P95" s="16"/>
      <c r="Q95" s="18" t="str">
        <f aca="false">IF(J95="Population","Y","")</f>
        <v/>
      </c>
      <c r="R95" s="18" t="str">
        <f aca="true">IF(OR(A95="",M95="",O95="Received",O95="Closed"),"",IF(TODAY()&gt;M95,TODAY()-M95,0))</f>
        <v/>
      </c>
      <c r="S95" s="16"/>
      <c r="T95" s="18" t="str">
        <f aca="false">IF(A95="","",IF(OR(B95="",C95="",G95="",J95=""),"Wave, control, evidence description, type needed",IF(COUNTIF(Ref_CTRL!$A$2:$A$201,C95)=0,"CTRL-ID not in W05",IF(OR(H95="",I95=""),"Period / as-of dates needed",IF(AND(OR(O95="Received",O95="Closed"),P95=""),"EV-ID needed once received",IF(AND(B95="3 Sample",E95=""),"Sample request needs a TEST-ID","OK"))))))</f>
        <v/>
      </c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7"/>
      <c r="I96" s="17"/>
      <c r="J96" s="16"/>
      <c r="K96" s="18" t="str">
        <f aca="false">IFERROR(INDEX(Ref_CTRL!$C$2:$C$201,MATCH(C96,Ref_CTRL!$A$2:$A$201,0)),"")</f>
        <v/>
      </c>
      <c r="L96" s="17"/>
      <c r="M96" s="17"/>
      <c r="N96" s="16"/>
      <c r="O96" s="16"/>
      <c r="P96" s="16"/>
      <c r="Q96" s="18" t="str">
        <f aca="false">IF(J96="Population","Y","")</f>
        <v/>
      </c>
      <c r="R96" s="18" t="str">
        <f aca="true">IF(OR(A96="",M96="",O96="Received",O96="Closed"),"",IF(TODAY()&gt;M96,TODAY()-M96,0))</f>
        <v/>
      </c>
      <c r="S96" s="16"/>
      <c r="T96" s="18" t="str">
        <f aca="false">IF(A96="","",IF(OR(B96="",C96="",G96="",J96=""),"Wave, control, evidence description, type needed",IF(COUNTIF(Ref_CTRL!$A$2:$A$201,C96)=0,"CTRL-ID not in W05",IF(OR(H96="",I96=""),"Period / as-of dates needed",IF(AND(OR(O96="Received",O96="Closed"),P96=""),"EV-ID needed once received",IF(AND(B96="3 Sample",E96=""),"Sample request needs a TEST-ID","OK"))))))</f>
        <v/>
      </c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7"/>
      <c r="I97" s="17"/>
      <c r="J97" s="16"/>
      <c r="K97" s="18" t="str">
        <f aca="false">IFERROR(INDEX(Ref_CTRL!$C$2:$C$201,MATCH(C97,Ref_CTRL!$A$2:$A$201,0)),"")</f>
        <v/>
      </c>
      <c r="L97" s="17"/>
      <c r="M97" s="17"/>
      <c r="N97" s="16"/>
      <c r="O97" s="16"/>
      <c r="P97" s="16"/>
      <c r="Q97" s="18" t="str">
        <f aca="false">IF(J97="Population","Y","")</f>
        <v/>
      </c>
      <c r="R97" s="18" t="str">
        <f aca="true">IF(OR(A97="",M97="",O97="Received",O97="Closed"),"",IF(TODAY()&gt;M97,TODAY()-M97,0))</f>
        <v/>
      </c>
      <c r="S97" s="16"/>
      <c r="T97" s="18" t="str">
        <f aca="false">IF(A97="","",IF(OR(B97="",C97="",G97="",J97=""),"Wave, control, evidence description, type needed",IF(COUNTIF(Ref_CTRL!$A$2:$A$201,C97)=0,"CTRL-ID not in W05",IF(OR(H97="",I97=""),"Period / as-of dates needed",IF(AND(OR(O97="Received",O97="Closed"),P97=""),"EV-ID needed once received",IF(AND(B97="3 Sample",E97=""),"Sample request needs a TEST-ID","OK"))))))</f>
        <v/>
      </c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7"/>
      <c r="I98" s="17"/>
      <c r="J98" s="16"/>
      <c r="K98" s="18" t="str">
        <f aca="false">IFERROR(INDEX(Ref_CTRL!$C$2:$C$201,MATCH(C98,Ref_CTRL!$A$2:$A$201,0)),"")</f>
        <v/>
      </c>
      <c r="L98" s="17"/>
      <c r="M98" s="17"/>
      <c r="N98" s="16"/>
      <c r="O98" s="16"/>
      <c r="P98" s="16"/>
      <c r="Q98" s="18" t="str">
        <f aca="false">IF(J98="Population","Y","")</f>
        <v/>
      </c>
      <c r="R98" s="18" t="str">
        <f aca="true">IF(OR(A98="",M98="",O98="Received",O98="Closed"),"",IF(TODAY()&gt;M98,TODAY()-M98,0))</f>
        <v/>
      </c>
      <c r="S98" s="16"/>
      <c r="T98" s="18" t="str">
        <f aca="false">IF(A98="","",IF(OR(B98="",C98="",G98="",J98=""),"Wave, control, evidence description, type needed",IF(COUNTIF(Ref_CTRL!$A$2:$A$201,C98)=0,"CTRL-ID not in W05",IF(OR(H98="",I98=""),"Period / as-of dates needed",IF(AND(OR(O98="Received",O98="Closed"),P98=""),"EV-ID needed once received",IF(AND(B98="3 Sample",E98=""),"Sample request needs a TEST-ID","OK"))))))</f>
        <v/>
      </c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7"/>
      <c r="I99" s="17"/>
      <c r="J99" s="16"/>
      <c r="K99" s="18" t="str">
        <f aca="false">IFERROR(INDEX(Ref_CTRL!$C$2:$C$201,MATCH(C99,Ref_CTRL!$A$2:$A$201,0)),"")</f>
        <v/>
      </c>
      <c r="L99" s="17"/>
      <c r="M99" s="17"/>
      <c r="N99" s="16"/>
      <c r="O99" s="16"/>
      <c r="P99" s="16"/>
      <c r="Q99" s="18" t="str">
        <f aca="false">IF(J99="Population","Y","")</f>
        <v/>
      </c>
      <c r="R99" s="18" t="str">
        <f aca="true">IF(OR(A99="",M99="",O99="Received",O99="Closed"),"",IF(TODAY()&gt;M99,TODAY()-M99,0))</f>
        <v/>
      </c>
      <c r="S99" s="16"/>
      <c r="T99" s="18" t="str">
        <f aca="false">IF(A99="","",IF(OR(B99="",C99="",G99="",J99=""),"Wave, control, evidence description, type needed",IF(COUNTIF(Ref_CTRL!$A$2:$A$201,C99)=0,"CTRL-ID not in W05",IF(OR(H99="",I99=""),"Period / as-of dates needed",IF(AND(OR(O99="Received",O99="Closed"),P99=""),"EV-ID needed once received",IF(AND(B99="3 Sample",E99=""),"Sample request needs a TEST-ID","OK"))))))</f>
        <v/>
      </c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7"/>
      <c r="I100" s="17"/>
      <c r="J100" s="16"/>
      <c r="K100" s="18" t="str">
        <f aca="false">IFERROR(INDEX(Ref_CTRL!$C$2:$C$201,MATCH(C100,Ref_CTRL!$A$2:$A$201,0)),"")</f>
        <v/>
      </c>
      <c r="L100" s="17"/>
      <c r="M100" s="17"/>
      <c r="N100" s="16"/>
      <c r="O100" s="16"/>
      <c r="P100" s="16"/>
      <c r="Q100" s="18" t="str">
        <f aca="false">IF(J100="Population","Y","")</f>
        <v/>
      </c>
      <c r="R100" s="18" t="str">
        <f aca="true">IF(OR(A100="",M100="",O100="Received",O100="Closed"),"",IF(TODAY()&gt;M100,TODAY()-M100,0))</f>
        <v/>
      </c>
      <c r="S100" s="16"/>
      <c r="T100" s="18" t="str">
        <f aca="false">IF(A100="","",IF(OR(B100="",C100="",G100="",J100=""),"Wave, control, evidence description, type needed",IF(COUNTIF(Ref_CTRL!$A$2:$A$201,C100)=0,"CTRL-ID not in W05",IF(OR(H100="",I100=""),"Period / as-of dates needed",IF(AND(OR(O100="Received",O100="Closed"),P100=""),"EV-ID needed once received",IF(AND(B100="3 Sample",E100=""),"Sample request needs a TEST-ID","OK"))))))</f>
        <v/>
      </c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7"/>
      <c r="I101" s="17"/>
      <c r="J101" s="16"/>
      <c r="K101" s="18" t="str">
        <f aca="false">IFERROR(INDEX(Ref_CTRL!$C$2:$C$201,MATCH(C101,Ref_CTRL!$A$2:$A$201,0)),"")</f>
        <v/>
      </c>
      <c r="L101" s="17"/>
      <c r="M101" s="17"/>
      <c r="N101" s="16"/>
      <c r="O101" s="16"/>
      <c r="P101" s="16"/>
      <c r="Q101" s="18" t="str">
        <f aca="false">IF(J101="Population","Y","")</f>
        <v/>
      </c>
      <c r="R101" s="18" t="str">
        <f aca="true">IF(OR(A101="",M101="",O101="Received",O101="Closed"),"",IF(TODAY()&gt;M101,TODAY()-M101,0))</f>
        <v/>
      </c>
      <c r="S101" s="16"/>
      <c r="T101" s="18" t="str">
        <f aca="false">IF(A101="","",IF(OR(B101="",C101="",G101="",J101=""),"Wave, control, evidence description, type needed",IF(COUNTIF(Ref_CTRL!$A$2:$A$201,C101)=0,"CTRL-ID not in W05",IF(OR(H101="",I101=""),"Period / as-of dates needed",IF(AND(OR(O101="Received",O101="Closed"),P101=""),"EV-ID needed once received",IF(AND(B101="3 Sample",E101=""),"Sample request needs a TEST-ID","OK"))))))</f>
        <v/>
      </c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7"/>
      <c r="I102" s="17"/>
      <c r="J102" s="16"/>
      <c r="K102" s="18" t="str">
        <f aca="false">IFERROR(INDEX(Ref_CTRL!$C$2:$C$201,MATCH(C102,Ref_CTRL!$A$2:$A$201,0)),"")</f>
        <v/>
      </c>
      <c r="L102" s="17"/>
      <c r="M102" s="17"/>
      <c r="N102" s="16"/>
      <c r="O102" s="16"/>
      <c r="P102" s="16"/>
      <c r="Q102" s="18" t="str">
        <f aca="false">IF(J102="Population","Y","")</f>
        <v/>
      </c>
      <c r="R102" s="18" t="str">
        <f aca="true">IF(OR(A102="",M102="",O102="Received",O102="Closed"),"",IF(TODAY()&gt;M102,TODAY()-M102,0))</f>
        <v/>
      </c>
      <c r="S102" s="16"/>
      <c r="T102" s="18" t="str">
        <f aca="false">IF(A102="","",IF(OR(B102="",C102="",G102="",J102=""),"Wave, control, evidence description, type needed",IF(COUNTIF(Ref_CTRL!$A$2:$A$201,C102)=0,"CTRL-ID not in W05",IF(OR(H102="",I102=""),"Period / as-of dates needed",IF(AND(OR(O102="Received",O102="Closed"),P102=""),"EV-ID needed once received",IF(AND(B102="3 Sample",E102=""),"Sample request needs a TEST-ID","OK"))))))</f>
        <v/>
      </c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7"/>
      <c r="I103" s="17"/>
      <c r="J103" s="16"/>
      <c r="K103" s="18" t="str">
        <f aca="false">IFERROR(INDEX(Ref_CTRL!$C$2:$C$201,MATCH(C103,Ref_CTRL!$A$2:$A$201,0)),"")</f>
        <v/>
      </c>
      <c r="L103" s="17"/>
      <c r="M103" s="17"/>
      <c r="N103" s="16"/>
      <c r="O103" s="16"/>
      <c r="P103" s="16"/>
      <c r="Q103" s="18" t="str">
        <f aca="false">IF(J103="Population","Y","")</f>
        <v/>
      </c>
      <c r="R103" s="18" t="str">
        <f aca="true">IF(OR(A103="",M103="",O103="Received",O103="Closed"),"",IF(TODAY()&gt;M103,TODAY()-M103,0))</f>
        <v/>
      </c>
      <c r="S103" s="16"/>
      <c r="T103" s="18" t="str">
        <f aca="false">IF(A103="","",IF(OR(B103="",C103="",G103="",J103=""),"Wave, control, evidence description, type needed",IF(COUNTIF(Ref_CTRL!$A$2:$A$201,C103)=0,"CTRL-ID not in W05",IF(OR(H103="",I103=""),"Period / as-of dates needed",IF(AND(OR(O103="Received",O103="Closed"),P103=""),"EV-ID needed once received",IF(AND(B103="3 Sample",E103=""),"Sample request needs a TEST-ID","OK"))))))</f>
        <v/>
      </c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7"/>
      <c r="I104" s="17"/>
      <c r="J104" s="16"/>
      <c r="K104" s="18" t="str">
        <f aca="false">IFERROR(INDEX(Ref_CTRL!$C$2:$C$201,MATCH(C104,Ref_CTRL!$A$2:$A$201,0)),"")</f>
        <v/>
      </c>
      <c r="L104" s="17"/>
      <c r="M104" s="17"/>
      <c r="N104" s="16"/>
      <c r="O104" s="16"/>
      <c r="P104" s="16"/>
      <c r="Q104" s="18" t="str">
        <f aca="false">IF(J104="Population","Y","")</f>
        <v/>
      </c>
      <c r="R104" s="18" t="str">
        <f aca="true">IF(OR(A104="",M104="",O104="Received",O104="Closed"),"",IF(TODAY()&gt;M104,TODAY()-M104,0))</f>
        <v/>
      </c>
      <c r="S104" s="16"/>
      <c r="T104" s="18" t="str">
        <f aca="false">IF(A104="","",IF(OR(B104="",C104="",G104="",J104=""),"Wave, control, evidence description, type needed",IF(COUNTIF(Ref_CTRL!$A$2:$A$201,C104)=0,"CTRL-ID not in W05",IF(OR(H104="",I104=""),"Period / as-of dates needed",IF(AND(OR(O104="Received",O104="Closed"),P104=""),"EV-ID needed once received",IF(AND(B104="3 Sample",E104=""),"Sample request needs a TEST-ID","OK"))))))</f>
        <v/>
      </c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7"/>
      <c r="I105" s="17"/>
      <c r="J105" s="16"/>
      <c r="K105" s="18" t="str">
        <f aca="false">IFERROR(INDEX(Ref_CTRL!$C$2:$C$201,MATCH(C105,Ref_CTRL!$A$2:$A$201,0)),"")</f>
        <v/>
      </c>
      <c r="L105" s="17"/>
      <c r="M105" s="17"/>
      <c r="N105" s="16"/>
      <c r="O105" s="16"/>
      <c r="P105" s="16"/>
      <c r="Q105" s="18" t="str">
        <f aca="false">IF(J105="Population","Y","")</f>
        <v/>
      </c>
      <c r="R105" s="18" t="str">
        <f aca="true">IF(OR(A105="",M105="",O105="Received",O105="Closed"),"",IF(TODAY()&gt;M105,TODAY()-M105,0))</f>
        <v/>
      </c>
      <c r="S105" s="16"/>
      <c r="T105" s="18" t="str">
        <f aca="false">IF(A105="","",IF(OR(B105="",C105="",G105="",J105=""),"Wave, control, evidence description, type needed",IF(COUNTIF(Ref_CTRL!$A$2:$A$201,C105)=0,"CTRL-ID not in W05",IF(OR(H105="",I105=""),"Period / as-of dates needed",IF(AND(OR(O105="Received",O105="Closed"),P105=""),"EV-ID needed once received",IF(AND(B105="3 Sample",E105=""),"Sample request needs a TEST-ID","OK"))))))</f>
        <v/>
      </c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7"/>
      <c r="I106" s="17"/>
      <c r="J106" s="16"/>
      <c r="K106" s="18" t="str">
        <f aca="false">IFERROR(INDEX(Ref_CTRL!$C$2:$C$201,MATCH(C106,Ref_CTRL!$A$2:$A$201,0)),"")</f>
        <v/>
      </c>
      <c r="L106" s="17"/>
      <c r="M106" s="17"/>
      <c r="N106" s="16"/>
      <c r="O106" s="16"/>
      <c r="P106" s="16"/>
      <c r="Q106" s="18" t="str">
        <f aca="false">IF(J106="Population","Y","")</f>
        <v/>
      </c>
      <c r="R106" s="18" t="str">
        <f aca="true">IF(OR(A106="",M106="",O106="Received",O106="Closed"),"",IF(TODAY()&gt;M106,TODAY()-M106,0))</f>
        <v/>
      </c>
      <c r="S106" s="16"/>
      <c r="T106" s="18" t="str">
        <f aca="false">IF(A106="","",IF(OR(B106="",C106="",G106="",J106=""),"Wave, control, evidence description, type needed",IF(COUNTIF(Ref_CTRL!$A$2:$A$201,C106)=0,"CTRL-ID not in W05",IF(OR(H106="",I106=""),"Period / as-of dates needed",IF(AND(OR(O106="Received",O106="Closed"),P106=""),"EV-ID needed once received",IF(AND(B106="3 Sample",E106=""),"Sample request needs a TEST-ID","OK"))))))</f>
        <v/>
      </c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7"/>
      <c r="I107" s="17"/>
      <c r="J107" s="16"/>
      <c r="K107" s="18" t="str">
        <f aca="false">IFERROR(INDEX(Ref_CTRL!$C$2:$C$201,MATCH(C107,Ref_CTRL!$A$2:$A$201,0)),"")</f>
        <v/>
      </c>
      <c r="L107" s="17"/>
      <c r="M107" s="17"/>
      <c r="N107" s="16"/>
      <c r="O107" s="16"/>
      <c r="P107" s="16"/>
      <c r="Q107" s="18" t="str">
        <f aca="false">IF(J107="Population","Y","")</f>
        <v/>
      </c>
      <c r="R107" s="18" t="str">
        <f aca="true">IF(OR(A107="",M107="",O107="Received",O107="Closed"),"",IF(TODAY()&gt;M107,TODAY()-M107,0))</f>
        <v/>
      </c>
      <c r="S107" s="16"/>
      <c r="T107" s="18" t="str">
        <f aca="false">IF(A107="","",IF(OR(B107="",C107="",G107="",J107=""),"Wave, control, evidence description, type needed",IF(COUNTIF(Ref_CTRL!$A$2:$A$201,C107)=0,"CTRL-ID not in W05",IF(OR(H107="",I107=""),"Period / as-of dates needed",IF(AND(OR(O107="Received",O107="Closed"),P107=""),"EV-ID needed once received",IF(AND(B107="3 Sample",E107=""),"Sample request needs a TEST-ID","OK"))))))</f>
        <v/>
      </c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7"/>
      <c r="I108" s="17"/>
      <c r="J108" s="16"/>
      <c r="K108" s="18" t="str">
        <f aca="false">IFERROR(INDEX(Ref_CTRL!$C$2:$C$201,MATCH(C108,Ref_CTRL!$A$2:$A$201,0)),"")</f>
        <v/>
      </c>
      <c r="L108" s="17"/>
      <c r="M108" s="17"/>
      <c r="N108" s="16"/>
      <c r="O108" s="16"/>
      <c r="P108" s="16"/>
      <c r="Q108" s="18" t="str">
        <f aca="false">IF(J108="Population","Y","")</f>
        <v/>
      </c>
      <c r="R108" s="18" t="str">
        <f aca="true">IF(OR(A108="",M108="",O108="Received",O108="Closed"),"",IF(TODAY()&gt;M108,TODAY()-M108,0))</f>
        <v/>
      </c>
      <c r="S108" s="16"/>
      <c r="T108" s="18" t="str">
        <f aca="false">IF(A108="","",IF(OR(B108="",C108="",G108="",J108=""),"Wave, control, evidence description, type needed",IF(COUNTIF(Ref_CTRL!$A$2:$A$201,C108)=0,"CTRL-ID not in W05",IF(OR(H108="",I108=""),"Period / as-of dates needed",IF(AND(OR(O108="Received",O108="Closed"),P108=""),"EV-ID needed once received",IF(AND(B108="3 Sample",E108=""),"Sample request needs a TEST-ID","OK"))))))</f>
        <v/>
      </c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7"/>
      <c r="I109" s="17"/>
      <c r="J109" s="16"/>
      <c r="K109" s="18" t="str">
        <f aca="false">IFERROR(INDEX(Ref_CTRL!$C$2:$C$201,MATCH(C109,Ref_CTRL!$A$2:$A$201,0)),"")</f>
        <v/>
      </c>
      <c r="L109" s="17"/>
      <c r="M109" s="17"/>
      <c r="N109" s="16"/>
      <c r="O109" s="16"/>
      <c r="P109" s="16"/>
      <c r="Q109" s="18" t="str">
        <f aca="false">IF(J109="Population","Y","")</f>
        <v/>
      </c>
      <c r="R109" s="18" t="str">
        <f aca="true">IF(OR(A109="",M109="",O109="Received",O109="Closed"),"",IF(TODAY()&gt;M109,TODAY()-M109,0))</f>
        <v/>
      </c>
      <c r="S109" s="16"/>
      <c r="T109" s="18" t="str">
        <f aca="false">IF(A109="","",IF(OR(B109="",C109="",G109="",J109=""),"Wave, control, evidence description, type needed",IF(COUNTIF(Ref_CTRL!$A$2:$A$201,C109)=0,"CTRL-ID not in W05",IF(OR(H109="",I109=""),"Period / as-of dates needed",IF(AND(OR(O109="Received",O109="Closed"),P109=""),"EV-ID needed once received",IF(AND(B109="3 Sample",E109=""),"Sample request needs a TEST-ID","OK"))))))</f>
        <v/>
      </c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7"/>
      <c r="I110" s="17"/>
      <c r="J110" s="16"/>
      <c r="K110" s="18" t="str">
        <f aca="false">IFERROR(INDEX(Ref_CTRL!$C$2:$C$201,MATCH(C110,Ref_CTRL!$A$2:$A$201,0)),"")</f>
        <v/>
      </c>
      <c r="L110" s="17"/>
      <c r="M110" s="17"/>
      <c r="N110" s="16"/>
      <c r="O110" s="16"/>
      <c r="P110" s="16"/>
      <c r="Q110" s="18" t="str">
        <f aca="false">IF(J110="Population","Y","")</f>
        <v/>
      </c>
      <c r="R110" s="18" t="str">
        <f aca="true">IF(OR(A110="",M110="",O110="Received",O110="Closed"),"",IF(TODAY()&gt;M110,TODAY()-M110,0))</f>
        <v/>
      </c>
      <c r="S110" s="16"/>
      <c r="T110" s="18" t="str">
        <f aca="false">IF(A110="","",IF(OR(B110="",C110="",G110="",J110=""),"Wave, control, evidence description, type needed",IF(COUNTIF(Ref_CTRL!$A$2:$A$201,C110)=0,"CTRL-ID not in W05",IF(OR(H110="",I110=""),"Period / as-of dates needed",IF(AND(OR(O110="Received",O110="Closed"),P110=""),"EV-ID needed once received",IF(AND(B110="3 Sample",E110=""),"Sample request needs a TEST-ID","OK"))))))</f>
        <v/>
      </c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7"/>
      <c r="I111" s="17"/>
      <c r="J111" s="16"/>
      <c r="K111" s="18" t="str">
        <f aca="false">IFERROR(INDEX(Ref_CTRL!$C$2:$C$201,MATCH(C111,Ref_CTRL!$A$2:$A$201,0)),"")</f>
        <v/>
      </c>
      <c r="L111" s="17"/>
      <c r="M111" s="17"/>
      <c r="N111" s="16"/>
      <c r="O111" s="16"/>
      <c r="P111" s="16"/>
      <c r="Q111" s="18" t="str">
        <f aca="false">IF(J111="Population","Y","")</f>
        <v/>
      </c>
      <c r="R111" s="18" t="str">
        <f aca="true">IF(OR(A111="",M111="",O111="Received",O111="Closed"),"",IF(TODAY()&gt;M111,TODAY()-M111,0))</f>
        <v/>
      </c>
      <c r="S111" s="16"/>
      <c r="T111" s="18" t="str">
        <f aca="false">IF(A111="","",IF(OR(B111="",C111="",G111="",J111=""),"Wave, control, evidence description, type needed",IF(COUNTIF(Ref_CTRL!$A$2:$A$201,C111)=0,"CTRL-ID not in W05",IF(OR(H111="",I111=""),"Period / as-of dates needed",IF(AND(OR(O111="Received",O111="Closed"),P111=""),"EV-ID needed once received",IF(AND(B111="3 Sample",E111=""),"Sample request needs a TEST-ID","OK"))))))</f>
        <v/>
      </c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7"/>
      <c r="I112" s="17"/>
      <c r="J112" s="16"/>
      <c r="K112" s="18" t="str">
        <f aca="false">IFERROR(INDEX(Ref_CTRL!$C$2:$C$201,MATCH(C112,Ref_CTRL!$A$2:$A$201,0)),"")</f>
        <v/>
      </c>
      <c r="L112" s="17"/>
      <c r="M112" s="17"/>
      <c r="N112" s="16"/>
      <c r="O112" s="16"/>
      <c r="P112" s="16"/>
      <c r="Q112" s="18" t="str">
        <f aca="false">IF(J112="Population","Y","")</f>
        <v/>
      </c>
      <c r="R112" s="18" t="str">
        <f aca="true">IF(OR(A112="",M112="",O112="Received",O112="Closed"),"",IF(TODAY()&gt;M112,TODAY()-M112,0))</f>
        <v/>
      </c>
      <c r="S112" s="16"/>
      <c r="T112" s="18" t="str">
        <f aca="false">IF(A112="","",IF(OR(B112="",C112="",G112="",J112=""),"Wave, control, evidence description, type needed",IF(COUNTIF(Ref_CTRL!$A$2:$A$201,C112)=0,"CTRL-ID not in W05",IF(OR(H112="",I112=""),"Period / as-of dates needed",IF(AND(OR(O112="Received",O112="Closed"),P112=""),"EV-ID needed once received",IF(AND(B112="3 Sample",E112=""),"Sample request needs a TEST-ID","OK"))))))</f>
        <v/>
      </c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7"/>
      <c r="I113" s="17"/>
      <c r="J113" s="16"/>
      <c r="K113" s="18" t="str">
        <f aca="false">IFERROR(INDEX(Ref_CTRL!$C$2:$C$201,MATCH(C113,Ref_CTRL!$A$2:$A$201,0)),"")</f>
        <v/>
      </c>
      <c r="L113" s="17"/>
      <c r="M113" s="17"/>
      <c r="N113" s="16"/>
      <c r="O113" s="16"/>
      <c r="P113" s="16"/>
      <c r="Q113" s="18" t="str">
        <f aca="false">IF(J113="Population","Y","")</f>
        <v/>
      </c>
      <c r="R113" s="18" t="str">
        <f aca="true">IF(OR(A113="",M113="",O113="Received",O113="Closed"),"",IF(TODAY()&gt;M113,TODAY()-M113,0))</f>
        <v/>
      </c>
      <c r="S113" s="16"/>
      <c r="T113" s="18" t="str">
        <f aca="false">IF(A113="","",IF(OR(B113="",C113="",G113="",J113=""),"Wave, control, evidence description, type needed",IF(COUNTIF(Ref_CTRL!$A$2:$A$201,C113)=0,"CTRL-ID not in W05",IF(OR(H113="",I113=""),"Period / as-of dates needed",IF(AND(OR(O113="Received",O113="Closed"),P113=""),"EV-ID needed once received",IF(AND(B113="3 Sample",E113=""),"Sample request needs a TEST-ID","OK"))))))</f>
        <v/>
      </c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7"/>
      <c r="I114" s="17"/>
      <c r="J114" s="16"/>
      <c r="K114" s="18" t="str">
        <f aca="false">IFERROR(INDEX(Ref_CTRL!$C$2:$C$201,MATCH(C114,Ref_CTRL!$A$2:$A$201,0)),"")</f>
        <v/>
      </c>
      <c r="L114" s="17"/>
      <c r="M114" s="17"/>
      <c r="N114" s="16"/>
      <c r="O114" s="16"/>
      <c r="P114" s="16"/>
      <c r="Q114" s="18" t="str">
        <f aca="false">IF(J114="Population","Y","")</f>
        <v/>
      </c>
      <c r="R114" s="18" t="str">
        <f aca="true">IF(OR(A114="",M114="",O114="Received",O114="Closed"),"",IF(TODAY()&gt;M114,TODAY()-M114,0))</f>
        <v/>
      </c>
      <c r="S114" s="16"/>
      <c r="T114" s="18" t="str">
        <f aca="false">IF(A114="","",IF(OR(B114="",C114="",G114="",J114=""),"Wave, control, evidence description, type needed",IF(COUNTIF(Ref_CTRL!$A$2:$A$201,C114)=0,"CTRL-ID not in W05",IF(OR(H114="",I114=""),"Period / as-of dates needed",IF(AND(OR(O114="Received",O114="Closed"),P114=""),"EV-ID needed once received",IF(AND(B114="3 Sample",E114=""),"Sample request needs a TEST-ID","OK"))))))</f>
        <v/>
      </c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7"/>
      <c r="I115" s="17"/>
      <c r="J115" s="16"/>
      <c r="K115" s="18" t="str">
        <f aca="false">IFERROR(INDEX(Ref_CTRL!$C$2:$C$201,MATCH(C115,Ref_CTRL!$A$2:$A$201,0)),"")</f>
        <v/>
      </c>
      <c r="L115" s="17"/>
      <c r="M115" s="17"/>
      <c r="N115" s="16"/>
      <c r="O115" s="16"/>
      <c r="P115" s="16"/>
      <c r="Q115" s="18" t="str">
        <f aca="false">IF(J115="Population","Y","")</f>
        <v/>
      </c>
      <c r="R115" s="18" t="str">
        <f aca="true">IF(OR(A115="",M115="",O115="Received",O115="Closed"),"",IF(TODAY()&gt;M115,TODAY()-M115,0))</f>
        <v/>
      </c>
      <c r="S115" s="16"/>
      <c r="T115" s="18" t="str">
        <f aca="false">IF(A115="","",IF(OR(B115="",C115="",G115="",J115=""),"Wave, control, evidence description, type needed",IF(COUNTIF(Ref_CTRL!$A$2:$A$201,C115)=0,"CTRL-ID not in W05",IF(OR(H115="",I115=""),"Period / as-of dates needed",IF(AND(OR(O115="Received",O115="Closed"),P115=""),"EV-ID needed once received",IF(AND(B115="3 Sample",E115=""),"Sample request needs a TEST-ID","OK"))))))</f>
        <v/>
      </c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7"/>
      <c r="I116" s="17"/>
      <c r="J116" s="16"/>
      <c r="K116" s="18" t="str">
        <f aca="false">IFERROR(INDEX(Ref_CTRL!$C$2:$C$201,MATCH(C116,Ref_CTRL!$A$2:$A$201,0)),"")</f>
        <v/>
      </c>
      <c r="L116" s="17"/>
      <c r="M116" s="17"/>
      <c r="N116" s="16"/>
      <c r="O116" s="16"/>
      <c r="P116" s="16"/>
      <c r="Q116" s="18" t="str">
        <f aca="false">IF(J116="Population","Y","")</f>
        <v/>
      </c>
      <c r="R116" s="18" t="str">
        <f aca="true">IF(OR(A116="",M116="",O116="Received",O116="Closed"),"",IF(TODAY()&gt;M116,TODAY()-M116,0))</f>
        <v/>
      </c>
      <c r="S116" s="16"/>
      <c r="T116" s="18" t="str">
        <f aca="false">IF(A116="","",IF(OR(B116="",C116="",G116="",J116=""),"Wave, control, evidence description, type needed",IF(COUNTIF(Ref_CTRL!$A$2:$A$201,C116)=0,"CTRL-ID not in W05",IF(OR(H116="",I116=""),"Period / as-of dates needed",IF(AND(OR(O116="Received",O116="Closed"),P116=""),"EV-ID needed once received",IF(AND(B116="3 Sample",E116=""),"Sample request needs a TEST-ID","OK"))))))</f>
        <v/>
      </c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7"/>
      <c r="I117" s="17"/>
      <c r="J117" s="16"/>
      <c r="K117" s="18" t="str">
        <f aca="false">IFERROR(INDEX(Ref_CTRL!$C$2:$C$201,MATCH(C117,Ref_CTRL!$A$2:$A$201,0)),"")</f>
        <v/>
      </c>
      <c r="L117" s="17"/>
      <c r="M117" s="17"/>
      <c r="N117" s="16"/>
      <c r="O117" s="16"/>
      <c r="P117" s="16"/>
      <c r="Q117" s="18" t="str">
        <f aca="false">IF(J117="Population","Y","")</f>
        <v/>
      </c>
      <c r="R117" s="18" t="str">
        <f aca="true">IF(OR(A117="",M117="",O117="Received",O117="Closed"),"",IF(TODAY()&gt;M117,TODAY()-M117,0))</f>
        <v/>
      </c>
      <c r="S117" s="16"/>
      <c r="T117" s="18" t="str">
        <f aca="false">IF(A117="","",IF(OR(B117="",C117="",G117="",J117=""),"Wave, control, evidence description, type needed",IF(COUNTIF(Ref_CTRL!$A$2:$A$201,C117)=0,"CTRL-ID not in W05",IF(OR(H117="",I117=""),"Period / as-of dates needed",IF(AND(OR(O117="Received",O117="Closed"),P117=""),"EV-ID needed once received",IF(AND(B117="3 Sample",E117=""),"Sample request needs a TEST-ID","OK"))))))</f>
        <v/>
      </c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7"/>
      <c r="I118" s="17"/>
      <c r="J118" s="16"/>
      <c r="K118" s="18" t="str">
        <f aca="false">IFERROR(INDEX(Ref_CTRL!$C$2:$C$201,MATCH(C118,Ref_CTRL!$A$2:$A$201,0)),"")</f>
        <v/>
      </c>
      <c r="L118" s="17"/>
      <c r="M118" s="17"/>
      <c r="N118" s="16"/>
      <c r="O118" s="16"/>
      <c r="P118" s="16"/>
      <c r="Q118" s="18" t="str">
        <f aca="false">IF(J118="Population","Y","")</f>
        <v/>
      </c>
      <c r="R118" s="18" t="str">
        <f aca="true">IF(OR(A118="",M118="",O118="Received",O118="Closed"),"",IF(TODAY()&gt;M118,TODAY()-M118,0))</f>
        <v/>
      </c>
      <c r="S118" s="16"/>
      <c r="T118" s="18" t="str">
        <f aca="false">IF(A118="","",IF(OR(B118="",C118="",G118="",J118=""),"Wave, control, evidence description, type needed",IF(COUNTIF(Ref_CTRL!$A$2:$A$201,C118)=0,"CTRL-ID not in W05",IF(OR(H118="",I118=""),"Period / as-of dates needed",IF(AND(OR(O118="Received",O118="Closed"),P118=""),"EV-ID needed once received",IF(AND(B118="3 Sample",E118=""),"Sample request needs a TEST-ID","OK"))))))</f>
        <v/>
      </c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7"/>
      <c r="I119" s="17"/>
      <c r="J119" s="16"/>
      <c r="K119" s="18" t="str">
        <f aca="false">IFERROR(INDEX(Ref_CTRL!$C$2:$C$201,MATCH(C119,Ref_CTRL!$A$2:$A$201,0)),"")</f>
        <v/>
      </c>
      <c r="L119" s="17"/>
      <c r="M119" s="17"/>
      <c r="N119" s="16"/>
      <c r="O119" s="16"/>
      <c r="P119" s="16"/>
      <c r="Q119" s="18" t="str">
        <f aca="false">IF(J119="Population","Y","")</f>
        <v/>
      </c>
      <c r="R119" s="18" t="str">
        <f aca="true">IF(OR(A119="",M119="",O119="Received",O119="Closed"),"",IF(TODAY()&gt;M119,TODAY()-M119,0))</f>
        <v/>
      </c>
      <c r="S119" s="16"/>
      <c r="T119" s="18" t="str">
        <f aca="false">IF(A119="","",IF(OR(B119="",C119="",G119="",J119=""),"Wave, control, evidence description, type needed",IF(COUNTIF(Ref_CTRL!$A$2:$A$201,C119)=0,"CTRL-ID not in W05",IF(OR(H119="",I119=""),"Period / as-of dates needed",IF(AND(OR(O119="Received",O119="Closed"),P119=""),"EV-ID needed once received",IF(AND(B119="3 Sample",E119=""),"Sample request needs a TEST-ID","OK"))))))</f>
        <v/>
      </c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7"/>
      <c r="I120" s="17"/>
      <c r="J120" s="16"/>
      <c r="K120" s="18" t="str">
        <f aca="false">IFERROR(INDEX(Ref_CTRL!$C$2:$C$201,MATCH(C120,Ref_CTRL!$A$2:$A$201,0)),"")</f>
        <v/>
      </c>
      <c r="L120" s="17"/>
      <c r="M120" s="17"/>
      <c r="N120" s="16"/>
      <c r="O120" s="16"/>
      <c r="P120" s="16"/>
      <c r="Q120" s="18" t="str">
        <f aca="false">IF(J120="Population","Y","")</f>
        <v/>
      </c>
      <c r="R120" s="18" t="str">
        <f aca="true">IF(OR(A120="",M120="",O120="Received",O120="Closed"),"",IF(TODAY()&gt;M120,TODAY()-M120,0))</f>
        <v/>
      </c>
      <c r="S120" s="16"/>
      <c r="T120" s="18" t="str">
        <f aca="false">IF(A120="","",IF(OR(B120="",C120="",G120="",J120=""),"Wave, control, evidence description, type needed",IF(COUNTIF(Ref_CTRL!$A$2:$A$201,C120)=0,"CTRL-ID not in W05",IF(OR(H120="",I120=""),"Period / as-of dates needed",IF(AND(OR(O120="Received",O120="Closed"),P120=""),"EV-ID needed once received",IF(AND(B120="3 Sample",E120=""),"Sample request needs a TEST-ID","OK"))))))</f>
        <v/>
      </c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7"/>
      <c r="I121" s="17"/>
      <c r="J121" s="16"/>
      <c r="K121" s="18" t="str">
        <f aca="false">IFERROR(INDEX(Ref_CTRL!$C$2:$C$201,MATCH(C121,Ref_CTRL!$A$2:$A$201,0)),"")</f>
        <v/>
      </c>
      <c r="L121" s="17"/>
      <c r="M121" s="17"/>
      <c r="N121" s="16"/>
      <c r="O121" s="16"/>
      <c r="P121" s="16"/>
      <c r="Q121" s="18" t="str">
        <f aca="false">IF(J121="Population","Y","")</f>
        <v/>
      </c>
      <c r="R121" s="18" t="str">
        <f aca="true">IF(OR(A121="",M121="",O121="Received",O121="Closed"),"",IF(TODAY()&gt;M121,TODAY()-M121,0))</f>
        <v/>
      </c>
      <c r="S121" s="16"/>
      <c r="T121" s="18" t="str">
        <f aca="false">IF(A121="","",IF(OR(B121="",C121="",G121="",J121=""),"Wave, control, evidence description, type needed",IF(COUNTIF(Ref_CTRL!$A$2:$A$201,C121)=0,"CTRL-ID not in W05",IF(OR(H121="",I121=""),"Period / as-of dates needed",IF(AND(OR(O121="Received",O121="Closed"),P121=""),"EV-ID needed once received",IF(AND(B121="3 Sample",E121=""),"Sample request needs a TEST-ID","OK"))))))</f>
        <v/>
      </c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7"/>
      <c r="I122" s="17"/>
      <c r="J122" s="16"/>
      <c r="K122" s="18" t="str">
        <f aca="false">IFERROR(INDEX(Ref_CTRL!$C$2:$C$201,MATCH(C122,Ref_CTRL!$A$2:$A$201,0)),"")</f>
        <v/>
      </c>
      <c r="L122" s="17"/>
      <c r="M122" s="17"/>
      <c r="N122" s="16"/>
      <c r="O122" s="16"/>
      <c r="P122" s="16"/>
      <c r="Q122" s="18" t="str">
        <f aca="false">IF(J122="Population","Y","")</f>
        <v/>
      </c>
      <c r="R122" s="18" t="str">
        <f aca="true">IF(OR(A122="",M122="",O122="Received",O122="Closed"),"",IF(TODAY()&gt;M122,TODAY()-M122,0))</f>
        <v/>
      </c>
      <c r="S122" s="16"/>
      <c r="T122" s="18" t="str">
        <f aca="false">IF(A122="","",IF(OR(B122="",C122="",G122="",J122=""),"Wave, control, evidence description, type needed",IF(COUNTIF(Ref_CTRL!$A$2:$A$201,C122)=0,"CTRL-ID not in W05",IF(OR(H122="",I122=""),"Period / as-of dates needed",IF(AND(OR(O122="Received",O122="Closed"),P122=""),"EV-ID needed once received",IF(AND(B122="3 Sample",E122=""),"Sample request needs a TEST-ID","OK"))))))</f>
        <v/>
      </c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7"/>
      <c r="I123" s="17"/>
      <c r="J123" s="16"/>
      <c r="K123" s="18" t="str">
        <f aca="false">IFERROR(INDEX(Ref_CTRL!$C$2:$C$201,MATCH(C123,Ref_CTRL!$A$2:$A$201,0)),"")</f>
        <v/>
      </c>
      <c r="L123" s="17"/>
      <c r="M123" s="17"/>
      <c r="N123" s="16"/>
      <c r="O123" s="16"/>
      <c r="P123" s="16"/>
      <c r="Q123" s="18" t="str">
        <f aca="false">IF(J123="Population","Y","")</f>
        <v/>
      </c>
      <c r="R123" s="18" t="str">
        <f aca="true">IF(OR(A123="",M123="",O123="Received",O123="Closed"),"",IF(TODAY()&gt;M123,TODAY()-M123,0))</f>
        <v/>
      </c>
      <c r="S123" s="16"/>
      <c r="T123" s="18" t="str">
        <f aca="false">IF(A123="","",IF(OR(B123="",C123="",G123="",J123=""),"Wave, control, evidence description, type needed",IF(COUNTIF(Ref_CTRL!$A$2:$A$201,C123)=0,"CTRL-ID not in W05",IF(OR(H123="",I123=""),"Period / as-of dates needed",IF(AND(OR(O123="Received",O123="Closed"),P123=""),"EV-ID needed once received",IF(AND(B123="3 Sample",E123=""),"Sample request needs a TEST-ID","OK"))))))</f>
        <v/>
      </c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7"/>
      <c r="I124" s="17"/>
      <c r="J124" s="16"/>
      <c r="K124" s="18" t="str">
        <f aca="false">IFERROR(INDEX(Ref_CTRL!$C$2:$C$201,MATCH(C124,Ref_CTRL!$A$2:$A$201,0)),"")</f>
        <v/>
      </c>
      <c r="L124" s="17"/>
      <c r="M124" s="17"/>
      <c r="N124" s="16"/>
      <c r="O124" s="16"/>
      <c r="P124" s="16"/>
      <c r="Q124" s="18" t="str">
        <f aca="false">IF(J124="Population","Y","")</f>
        <v/>
      </c>
      <c r="R124" s="18" t="str">
        <f aca="true">IF(OR(A124="",M124="",O124="Received",O124="Closed"),"",IF(TODAY()&gt;M124,TODAY()-M124,0))</f>
        <v/>
      </c>
      <c r="S124" s="16"/>
      <c r="T124" s="18" t="str">
        <f aca="false">IF(A124="","",IF(OR(B124="",C124="",G124="",J124=""),"Wave, control, evidence description, type needed",IF(COUNTIF(Ref_CTRL!$A$2:$A$201,C124)=0,"CTRL-ID not in W05",IF(OR(H124="",I124=""),"Period / as-of dates needed",IF(AND(OR(O124="Received",O124="Closed"),P124=""),"EV-ID needed once received",IF(AND(B124="3 Sample",E124=""),"Sample request needs a TEST-ID","OK"))))))</f>
        <v/>
      </c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7"/>
      <c r="I125" s="17"/>
      <c r="J125" s="16"/>
      <c r="K125" s="18" t="str">
        <f aca="false">IFERROR(INDEX(Ref_CTRL!$C$2:$C$201,MATCH(C125,Ref_CTRL!$A$2:$A$201,0)),"")</f>
        <v/>
      </c>
      <c r="L125" s="17"/>
      <c r="M125" s="17"/>
      <c r="N125" s="16"/>
      <c r="O125" s="16"/>
      <c r="P125" s="16"/>
      <c r="Q125" s="18" t="str">
        <f aca="false">IF(J125="Population","Y","")</f>
        <v/>
      </c>
      <c r="R125" s="18" t="str">
        <f aca="true">IF(OR(A125="",M125="",O125="Received",O125="Closed"),"",IF(TODAY()&gt;M125,TODAY()-M125,0))</f>
        <v/>
      </c>
      <c r="S125" s="16"/>
      <c r="T125" s="18" t="str">
        <f aca="false">IF(A125="","",IF(OR(B125="",C125="",G125="",J125=""),"Wave, control, evidence description, type needed",IF(COUNTIF(Ref_CTRL!$A$2:$A$201,C125)=0,"CTRL-ID not in W05",IF(OR(H125="",I125=""),"Period / as-of dates needed",IF(AND(OR(O125="Received",O125="Closed"),P125=""),"EV-ID needed once received",IF(AND(B125="3 Sample",E125=""),"Sample request needs a TEST-ID","OK"))))))</f>
        <v/>
      </c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7"/>
      <c r="I126" s="17"/>
      <c r="J126" s="16"/>
      <c r="K126" s="18" t="str">
        <f aca="false">IFERROR(INDEX(Ref_CTRL!$C$2:$C$201,MATCH(C126,Ref_CTRL!$A$2:$A$201,0)),"")</f>
        <v/>
      </c>
      <c r="L126" s="17"/>
      <c r="M126" s="17"/>
      <c r="N126" s="16"/>
      <c r="O126" s="16"/>
      <c r="P126" s="16"/>
      <c r="Q126" s="18" t="str">
        <f aca="false">IF(J126="Population","Y","")</f>
        <v/>
      </c>
      <c r="R126" s="18" t="str">
        <f aca="true">IF(OR(A126="",M126="",O126="Received",O126="Closed"),"",IF(TODAY()&gt;M126,TODAY()-M126,0))</f>
        <v/>
      </c>
      <c r="S126" s="16"/>
      <c r="T126" s="18" t="str">
        <f aca="false">IF(A126="","",IF(OR(B126="",C126="",G126="",J126=""),"Wave, control, evidence description, type needed",IF(COUNTIF(Ref_CTRL!$A$2:$A$201,C126)=0,"CTRL-ID not in W05",IF(OR(H126="",I126=""),"Period / as-of dates needed",IF(AND(OR(O126="Received",O126="Closed"),P126=""),"EV-ID needed once received",IF(AND(B126="3 Sample",E126=""),"Sample request needs a TEST-ID","OK"))))))</f>
        <v/>
      </c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7"/>
      <c r="I127" s="17"/>
      <c r="J127" s="16"/>
      <c r="K127" s="18" t="str">
        <f aca="false">IFERROR(INDEX(Ref_CTRL!$C$2:$C$201,MATCH(C127,Ref_CTRL!$A$2:$A$201,0)),"")</f>
        <v/>
      </c>
      <c r="L127" s="17"/>
      <c r="M127" s="17"/>
      <c r="N127" s="16"/>
      <c r="O127" s="16"/>
      <c r="P127" s="16"/>
      <c r="Q127" s="18" t="str">
        <f aca="false">IF(J127="Population","Y","")</f>
        <v/>
      </c>
      <c r="R127" s="18" t="str">
        <f aca="true">IF(OR(A127="",M127="",O127="Received",O127="Closed"),"",IF(TODAY()&gt;M127,TODAY()-M127,0))</f>
        <v/>
      </c>
      <c r="S127" s="16"/>
      <c r="T127" s="18" t="str">
        <f aca="false">IF(A127="","",IF(OR(B127="",C127="",G127="",J127=""),"Wave, control, evidence description, type needed",IF(COUNTIF(Ref_CTRL!$A$2:$A$201,C127)=0,"CTRL-ID not in W05",IF(OR(H127="",I127=""),"Period / as-of dates needed",IF(AND(OR(O127="Received",O127="Closed"),P127=""),"EV-ID needed once received",IF(AND(B127="3 Sample",E127=""),"Sample request needs a TEST-ID","OK"))))))</f>
        <v/>
      </c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7"/>
      <c r="I128" s="17"/>
      <c r="J128" s="16"/>
      <c r="K128" s="18" t="str">
        <f aca="false">IFERROR(INDEX(Ref_CTRL!$C$2:$C$201,MATCH(C128,Ref_CTRL!$A$2:$A$201,0)),"")</f>
        <v/>
      </c>
      <c r="L128" s="17"/>
      <c r="M128" s="17"/>
      <c r="N128" s="16"/>
      <c r="O128" s="16"/>
      <c r="P128" s="16"/>
      <c r="Q128" s="18" t="str">
        <f aca="false">IF(J128="Population","Y","")</f>
        <v/>
      </c>
      <c r="R128" s="18" t="str">
        <f aca="true">IF(OR(A128="",M128="",O128="Received",O128="Closed"),"",IF(TODAY()&gt;M128,TODAY()-M128,0))</f>
        <v/>
      </c>
      <c r="S128" s="16"/>
      <c r="T128" s="18" t="str">
        <f aca="false">IF(A128="","",IF(OR(B128="",C128="",G128="",J128=""),"Wave, control, evidence description, type needed",IF(COUNTIF(Ref_CTRL!$A$2:$A$201,C128)=0,"CTRL-ID not in W05",IF(OR(H128="",I128=""),"Period / as-of dates needed",IF(AND(OR(O128="Received",O128="Closed"),P128=""),"EV-ID needed once received",IF(AND(B128="3 Sample",E128=""),"Sample request needs a TEST-ID","OK"))))))</f>
        <v/>
      </c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7"/>
      <c r="I129" s="17"/>
      <c r="J129" s="16"/>
      <c r="K129" s="18" t="str">
        <f aca="false">IFERROR(INDEX(Ref_CTRL!$C$2:$C$201,MATCH(C129,Ref_CTRL!$A$2:$A$201,0)),"")</f>
        <v/>
      </c>
      <c r="L129" s="17"/>
      <c r="M129" s="17"/>
      <c r="N129" s="16"/>
      <c r="O129" s="16"/>
      <c r="P129" s="16"/>
      <c r="Q129" s="18" t="str">
        <f aca="false">IF(J129="Population","Y","")</f>
        <v/>
      </c>
      <c r="R129" s="18" t="str">
        <f aca="true">IF(OR(A129="",M129="",O129="Received",O129="Closed"),"",IF(TODAY()&gt;M129,TODAY()-M129,0))</f>
        <v/>
      </c>
      <c r="S129" s="16"/>
      <c r="T129" s="18" t="str">
        <f aca="false">IF(A129="","",IF(OR(B129="",C129="",G129="",J129=""),"Wave, control, evidence description, type needed",IF(COUNTIF(Ref_CTRL!$A$2:$A$201,C129)=0,"CTRL-ID not in W05",IF(OR(H129="",I129=""),"Period / as-of dates needed",IF(AND(OR(O129="Received",O129="Closed"),P129=""),"EV-ID needed once received",IF(AND(B129="3 Sample",E129=""),"Sample request needs a TEST-ID","OK"))))))</f>
        <v/>
      </c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7"/>
      <c r="I130" s="17"/>
      <c r="J130" s="16"/>
      <c r="K130" s="18" t="str">
        <f aca="false">IFERROR(INDEX(Ref_CTRL!$C$2:$C$201,MATCH(C130,Ref_CTRL!$A$2:$A$201,0)),"")</f>
        <v/>
      </c>
      <c r="L130" s="17"/>
      <c r="M130" s="17"/>
      <c r="N130" s="16"/>
      <c r="O130" s="16"/>
      <c r="P130" s="16"/>
      <c r="Q130" s="18" t="str">
        <f aca="false">IF(J130="Population","Y","")</f>
        <v/>
      </c>
      <c r="R130" s="18" t="str">
        <f aca="true">IF(OR(A130="",M130="",O130="Received",O130="Closed"),"",IF(TODAY()&gt;M130,TODAY()-M130,0))</f>
        <v/>
      </c>
      <c r="S130" s="16"/>
      <c r="T130" s="18" t="str">
        <f aca="false">IF(A130="","",IF(OR(B130="",C130="",G130="",J130=""),"Wave, control, evidence description, type needed",IF(COUNTIF(Ref_CTRL!$A$2:$A$201,C130)=0,"CTRL-ID not in W05",IF(OR(H130="",I130=""),"Period / as-of dates needed",IF(AND(OR(O130="Received",O130="Closed"),P130=""),"EV-ID needed once received",IF(AND(B130="3 Sample",E130=""),"Sample request needs a TEST-ID","OK"))))))</f>
        <v/>
      </c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7"/>
      <c r="I131" s="17"/>
      <c r="J131" s="16"/>
      <c r="K131" s="18" t="str">
        <f aca="false">IFERROR(INDEX(Ref_CTRL!$C$2:$C$201,MATCH(C131,Ref_CTRL!$A$2:$A$201,0)),"")</f>
        <v/>
      </c>
      <c r="L131" s="17"/>
      <c r="M131" s="17"/>
      <c r="N131" s="16"/>
      <c r="O131" s="16"/>
      <c r="P131" s="16"/>
      <c r="Q131" s="18" t="str">
        <f aca="false">IF(J131="Population","Y","")</f>
        <v/>
      </c>
      <c r="R131" s="18" t="str">
        <f aca="true">IF(OR(A131="",M131="",O131="Received",O131="Closed"),"",IF(TODAY()&gt;M131,TODAY()-M131,0))</f>
        <v/>
      </c>
      <c r="S131" s="16"/>
      <c r="T131" s="18" t="str">
        <f aca="false">IF(A131="","",IF(OR(B131="",C131="",G131="",J131=""),"Wave, control, evidence description, type needed",IF(COUNTIF(Ref_CTRL!$A$2:$A$201,C131)=0,"CTRL-ID not in W05",IF(OR(H131="",I131=""),"Period / as-of dates needed",IF(AND(OR(O131="Received",O131="Closed"),P131=""),"EV-ID needed once received",IF(AND(B131="3 Sample",E131=""),"Sample request needs a TEST-ID","OK"))))))</f>
        <v/>
      </c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7"/>
      <c r="I132" s="17"/>
      <c r="J132" s="16"/>
      <c r="K132" s="18" t="str">
        <f aca="false">IFERROR(INDEX(Ref_CTRL!$C$2:$C$201,MATCH(C132,Ref_CTRL!$A$2:$A$201,0)),"")</f>
        <v/>
      </c>
      <c r="L132" s="17"/>
      <c r="M132" s="17"/>
      <c r="N132" s="16"/>
      <c r="O132" s="16"/>
      <c r="P132" s="16"/>
      <c r="Q132" s="18" t="str">
        <f aca="false">IF(J132="Population","Y","")</f>
        <v/>
      </c>
      <c r="R132" s="18" t="str">
        <f aca="true">IF(OR(A132="",M132="",O132="Received",O132="Closed"),"",IF(TODAY()&gt;M132,TODAY()-M132,0))</f>
        <v/>
      </c>
      <c r="S132" s="16"/>
      <c r="T132" s="18" t="str">
        <f aca="false">IF(A132="","",IF(OR(B132="",C132="",G132="",J132=""),"Wave, control, evidence description, type needed",IF(COUNTIF(Ref_CTRL!$A$2:$A$201,C132)=0,"CTRL-ID not in W05",IF(OR(H132="",I132=""),"Period / as-of dates needed",IF(AND(OR(O132="Received",O132="Closed"),P132=""),"EV-ID needed once received",IF(AND(B132="3 Sample",E132=""),"Sample request needs a TEST-ID","OK"))))))</f>
        <v/>
      </c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7"/>
      <c r="I133" s="17"/>
      <c r="J133" s="16"/>
      <c r="K133" s="18" t="str">
        <f aca="false">IFERROR(INDEX(Ref_CTRL!$C$2:$C$201,MATCH(C133,Ref_CTRL!$A$2:$A$201,0)),"")</f>
        <v/>
      </c>
      <c r="L133" s="17"/>
      <c r="M133" s="17"/>
      <c r="N133" s="16"/>
      <c r="O133" s="16"/>
      <c r="P133" s="16"/>
      <c r="Q133" s="18" t="str">
        <f aca="false">IF(J133="Population","Y","")</f>
        <v/>
      </c>
      <c r="R133" s="18" t="str">
        <f aca="true">IF(OR(A133="",M133="",O133="Received",O133="Closed"),"",IF(TODAY()&gt;M133,TODAY()-M133,0))</f>
        <v/>
      </c>
      <c r="S133" s="16"/>
      <c r="T133" s="18" t="str">
        <f aca="false">IF(A133="","",IF(OR(B133="",C133="",G133="",J133=""),"Wave, control, evidence description, type needed",IF(COUNTIF(Ref_CTRL!$A$2:$A$201,C133)=0,"CTRL-ID not in W05",IF(OR(H133="",I133=""),"Period / as-of dates needed",IF(AND(OR(O133="Received",O133="Closed"),P133=""),"EV-ID needed once received",IF(AND(B133="3 Sample",E133=""),"Sample request needs a TEST-ID","OK"))))))</f>
        <v/>
      </c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7"/>
      <c r="I134" s="17"/>
      <c r="J134" s="16"/>
      <c r="K134" s="18" t="str">
        <f aca="false">IFERROR(INDEX(Ref_CTRL!$C$2:$C$201,MATCH(C134,Ref_CTRL!$A$2:$A$201,0)),"")</f>
        <v/>
      </c>
      <c r="L134" s="17"/>
      <c r="M134" s="17"/>
      <c r="N134" s="16"/>
      <c r="O134" s="16"/>
      <c r="P134" s="16"/>
      <c r="Q134" s="18" t="str">
        <f aca="false">IF(J134="Population","Y","")</f>
        <v/>
      </c>
      <c r="R134" s="18" t="str">
        <f aca="true">IF(OR(A134="",M134="",O134="Received",O134="Closed"),"",IF(TODAY()&gt;M134,TODAY()-M134,0))</f>
        <v/>
      </c>
      <c r="S134" s="16"/>
      <c r="T134" s="18" t="str">
        <f aca="false">IF(A134="","",IF(OR(B134="",C134="",G134="",J134=""),"Wave, control, evidence description, type needed",IF(COUNTIF(Ref_CTRL!$A$2:$A$201,C134)=0,"CTRL-ID not in W05",IF(OR(H134="",I134=""),"Period / as-of dates needed",IF(AND(OR(O134="Received",O134="Closed"),P134=""),"EV-ID needed once received",IF(AND(B134="3 Sample",E134=""),"Sample request needs a TEST-ID","OK"))))))</f>
        <v/>
      </c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7"/>
      <c r="I135" s="17"/>
      <c r="J135" s="16"/>
      <c r="K135" s="18" t="str">
        <f aca="false">IFERROR(INDEX(Ref_CTRL!$C$2:$C$201,MATCH(C135,Ref_CTRL!$A$2:$A$201,0)),"")</f>
        <v/>
      </c>
      <c r="L135" s="17"/>
      <c r="M135" s="17"/>
      <c r="N135" s="16"/>
      <c r="O135" s="16"/>
      <c r="P135" s="16"/>
      <c r="Q135" s="18" t="str">
        <f aca="false">IF(J135="Population","Y","")</f>
        <v/>
      </c>
      <c r="R135" s="18" t="str">
        <f aca="true">IF(OR(A135="",M135="",O135="Received",O135="Closed"),"",IF(TODAY()&gt;M135,TODAY()-M135,0))</f>
        <v/>
      </c>
      <c r="S135" s="16"/>
      <c r="T135" s="18" t="str">
        <f aca="false">IF(A135="","",IF(OR(B135="",C135="",G135="",J135=""),"Wave, control, evidence description, type needed",IF(COUNTIF(Ref_CTRL!$A$2:$A$201,C135)=0,"CTRL-ID not in W05",IF(OR(H135="",I135=""),"Period / as-of dates needed",IF(AND(OR(O135="Received",O135="Closed"),P135=""),"EV-ID needed once received",IF(AND(B135="3 Sample",E135=""),"Sample request needs a TEST-ID","OK"))))))</f>
        <v/>
      </c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7"/>
      <c r="I136" s="17"/>
      <c r="J136" s="16"/>
      <c r="K136" s="18" t="str">
        <f aca="false">IFERROR(INDEX(Ref_CTRL!$C$2:$C$201,MATCH(C136,Ref_CTRL!$A$2:$A$201,0)),"")</f>
        <v/>
      </c>
      <c r="L136" s="17"/>
      <c r="M136" s="17"/>
      <c r="N136" s="16"/>
      <c r="O136" s="16"/>
      <c r="P136" s="16"/>
      <c r="Q136" s="18" t="str">
        <f aca="false">IF(J136="Population","Y","")</f>
        <v/>
      </c>
      <c r="R136" s="18" t="str">
        <f aca="true">IF(OR(A136="",M136="",O136="Received",O136="Closed"),"",IF(TODAY()&gt;M136,TODAY()-M136,0))</f>
        <v/>
      </c>
      <c r="S136" s="16"/>
      <c r="T136" s="18" t="str">
        <f aca="false">IF(A136="","",IF(OR(B136="",C136="",G136="",J136=""),"Wave, control, evidence description, type needed",IF(COUNTIF(Ref_CTRL!$A$2:$A$201,C136)=0,"CTRL-ID not in W05",IF(OR(H136="",I136=""),"Period / as-of dates needed",IF(AND(OR(O136="Received",O136="Closed"),P136=""),"EV-ID needed once received",IF(AND(B136="3 Sample",E136=""),"Sample request needs a TEST-ID","OK"))))))</f>
        <v/>
      </c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7"/>
      <c r="I137" s="17"/>
      <c r="J137" s="16"/>
      <c r="K137" s="18" t="str">
        <f aca="false">IFERROR(INDEX(Ref_CTRL!$C$2:$C$201,MATCH(C137,Ref_CTRL!$A$2:$A$201,0)),"")</f>
        <v/>
      </c>
      <c r="L137" s="17"/>
      <c r="M137" s="17"/>
      <c r="N137" s="16"/>
      <c r="O137" s="16"/>
      <c r="P137" s="16"/>
      <c r="Q137" s="18" t="str">
        <f aca="false">IF(J137="Population","Y","")</f>
        <v/>
      </c>
      <c r="R137" s="18" t="str">
        <f aca="true">IF(OR(A137="",M137="",O137="Received",O137="Closed"),"",IF(TODAY()&gt;M137,TODAY()-M137,0))</f>
        <v/>
      </c>
      <c r="S137" s="16"/>
      <c r="T137" s="18" t="str">
        <f aca="false">IF(A137="","",IF(OR(B137="",C137="",G137="",J137=""),"Wave, control, evidence description, type needed",IF(COUNTIF(Ref_CTRL!$A$2:$A$201,C137)=0,"CTRL-ID not in W05",IF(OR(H137="",I137=""),"Period / as-of dates needed",IF(AND(OR(O137="Received",O137="Closed"),P137=""),"EV-ID needed once received",IF(AND(B137="3 Sample",E137=""),"Sample request needs a TEST-ID","OK"))))))</f>
        <v/>
      </c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7"/>
      <c r="I138" s="17"/>
      <c r="J138" s="16"/>
      <c r="K138" s="18" t="str">
        <f aca="false">IFERROR(INDEX(Ref_CTRL!$C$2:$C$201,MATCH(C138,Ref_CTRL!$A$2:$A$201,0)),"")</f>
        <v/>
      </c>
      <c r="L138" s="17"/>
      <c r="M138" s="17"/>
      <c r="N138" s="16"/>
      <c r="O138" s="16"/>
      <c r="P138" s="16"/>
      <c r="Q138" s="18" t="str">
        <f aca="false">IF(J138="Population","Y","")</f>
        <v/>
      </c>
      <c r="R138" s="18" t="str">
        <f aca="true">IF(OR(A138="",M138="",O138="Received",O138="Closed"),"",IF(TODAY()&gt;M138,TODAY()-M138,0))</f>
        <v/>
      </c>
      <c r="S138" s="16"/>
      <c r="T138" s="18" t="str">
        <f aca="false">IF(A138="","",IF(OR(B138="",C138="",G138="",J138=""),"Wave, control, evidence description, type needed",IF(COUNTIF(Ref_CTRL!$A$2:$A$201,C138)=0,"CTRL-ID not in W05",IF(OR(H138="",I138=""),"Period / as-of dates needed",IF(AND(OR(O138="Received",O138="Closed"),P138=""),"EV-ID needed once received",IF(AND(B138="3 Sample",E138=""),"Sample request needs a TEST-ID","OK"))))))</f>
        <v/>
      </c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7"/>
      <c r="I139" s="17"/>
      <c r="J139" s="16"/>
      <c r="K139" s="18" t="str">
        <f aca="false">IFERROR(INDEX(Ref_CTRL!$C$2:$C$201,MATCH(C139,Ref_CTRL!$A$2:$A$201,0)),"")</f>
        <v/>
      </c>
      <c r="L139" s="17"/>
      <c r="M139" s="17"/>
      <c r="N139" s="16"/>
      <c r="O139" s="16"/>
      <c r="P139" s="16"/>
      <c r="Q139" s="18" t="str">
        <f aca="false">IF(J139="Population","Y","")</f>
        <v/>
      </c>
      <c r="R139" s="18" t="str">
        <f aca="true">IF(OR(A139="",M139="",O139="Received",O139="Closed"),"",IF(TODAY()&gt;M139,TODAY()-M139,0))</f>
        <v/>
      </c>
      <c r="S139" s="16"/>
      <c r="T139" s="18" t="str">
        <f aca="false">IF(A139="","",IF(OR(B139="",C139="",G139="",J139=""),"Wave, control, evidence description, type needed",IF(COUNTIF(Ref_CTRL!$A$2:$A$201,C139)=0,"CTRL-ID not in W05",IF(OR(H139="",I139=""),"Period / as-of dates needed",IF(AND(OR(O139="Received",O139="Closed"),P139=""),"EV-ID needed once received",IF(AND(B139="3 Sample",E139=""),"Sample request needs a TEST-ID","OK"))))))</f>
        <v/>
      </c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7"/>
      <c r="I140" s="17"/>
      <c r="J140" s="16"/>
      <c r="K140" s="18" t="str">
        <f aca="false">IFERROR(INDEX(Ref_CTRL!$C$2:$C$201,MATCH(C140,Ref_CTRL!$A$2:$A$201,0)),"")</f>
        <v/>
      </c>
      <c r="L140" s="17"/>
      <c r="M140" s="17"/>
      <c r="N140" s="16"/>
      <c r="O140" s="16"/>
      <c r="P140" s="16"/>
      <c r="Q140" s="18" t="str">
        <f aca="false">IF(J140="Population","Y","")</f>
        <v/>
      </c>
      <c r="R140" s="18" t="str">
        <f aca="true">IF(OR(A140="",M140="",O140="Received",O140="Closed"),"",IF(TODAY()&gt;M140,TODAY()-M140,0))</f>
        <v/>
      </c>
      <c r="S140" s="16"/>
      <c r="T140" s="18" t="str">
        <f aca="false">IF(A140="","",IF(OR(B140="",C140="",G140="",J140=""),"Wave, control, evidence description, type needed",IF(COUNTIF(Ref_CTRL!$A$2:$A$201,C140)=0,"CTRL-ID not in W05",IF(OR(H140="",I140=""),"Period / as-of dates needed",IF(AND(OR(O140="Received",O140="Closed"),P140=""),"EV-ID needed once received",IF(AND(B140="3 Sample",E140=""),"Sample request needs a TEST-ID","OK"))))))</f>
        <v/>
      </c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7"/>
      <c r="I141" s="17"/>
      <c r="J141" s="16"/>
      <c r="K141" s="18" t="str">
        <f aca="false">IFERROR(INDEX(Ref_CTRL!$C$2:$C$201,MATCH(C141,Ref_CTRL!$A$2:$A$201,0)),"")</f>
        <v/>
      </c>
      <c r="L141" s="17"/>
      <c r="M141" s="17"/>
      <c r="N141" s="16"/>
      <c r="O141" s="16"/>
      <c r="P141" s="16"/>
      <c r="Q141" s="18" t="str">
        <f aca="false">IF(J141="Population","Y","")</f>
        <v/>
      </c>
      <c r="R141" s="18" t="str">
        <f aca="true">IF(OR(A141="",M141="",O141="Received",O141="Closed"),"",IF(TODAY()&gt;M141,TODAY()-M141,0))</f>
        <v/>
      </c>
      <c r="S141" s="16"/>
      <c r="T141" s="18" t="str">
        <f aca="false">IF(A141="","",IF(OR(B141="",C141="",G141="",J141=""),"Wave, control, evidence description, type needed",IF(COUNTIF(Ref_CTRL!$A$2:$A$201,C141)=0,"CTRL-ID not in W05",IF(OR(H141="",I141=""),"Period / as-of dates needed",IF(AND(OR(O141="Received",O141="Closed"),P141=""),"EV-ID needed once received",IF(AND(B141="3 Sample",E141=""),"Sample request needs a TEST-ID","OK"))))))</f>
        <v/>
      </c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7"/>
      <c r="I142" s="17"/>
      <c r="J142" s="16"/>
      <c r="K142" s="18" t="str">
        <f aca="false">IFERROR(INDEX(Ref_CTRL!$C$2:$C$201,MATCH(C142,Ref_CTRL!$A$2:$A$201,0)),"")</f>
        <v/>
      </c>
      <c r="L142" s="17"/>
      <c r="M142" s="17"/>
      <c r="N142" s="16"/>
      <c r="O142" s="16"/>
      <c r="P142" s="16"/>
      <c r="Q142" s="18" t="str">
        <f aca="false">IF(J142="Population","Y","")</f>
        <v/>
      </c>
      <c r="R142" s="18" t="str">
        <f aca="true">IF(OR(A142="",M142="",O142="Received",O142="Closed"),"",IF(TODAY()&gt;M142,TODAY()-M142,0))</f>
        <v/>
      </c>
      <c r="S142" s="16"/>
      <c r="T142" s="18" t="str">
        <f aca="false">IF(A142="","",IF(OR(B142="",C142="",G142="",J142=""),"Wave, control, evidence description, type needed",IF(COUNTIF(Ref_CTRL!$A$2:$A$201,C142)=0,"CTRL-ID not in W05",IF(OR(H142="",I142=""),"Period / as-of dates needed",IF(AND(OR(O142="Received",O142="Closed"),P142=""),"EV-ID needed once received",IF(AND(B142="3 Sample",E142=""),"Sample request needs a TEST-ID","OK"))))))</f>
        <v/>
      </c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7"/>
      <c r="I143" s="17"/>
      <c r="J143" s="16"/>
      <c r="K143" s="18" t="str">
        <f aca="false">IFERROR(INDEX(Ref_CTRL!$C$2:$C$201,MATCH(C143,Ref_CTRL!$A$2:$A$201,0)),"")</f>
        <v/>
      </c>
      <c r="L143" s="17"/>
      <c r="M143" s="17"/>
      <c r="N143" s="16"/>
      <c r="O143" s="16"/>
      <c r="P143" s="16"/>
      <c r="Q143" s="18" t="str">
        <f aca="false">IF(J143="Population","Y","")</f>
        <v/>
      </c>
      <c r="R143" s="18" t="str">
        <f aca="true">IF(OR(A143="",M143="",O143="Received",O143="Closed"),"",IF(TODAY()&gt;M143,TODAY()-M143,0))</f>
        <v/>
      </c>
      <c r="S143" s="16"/>
      <c r="T143" s="18" t="str">
        <f aca="false">IF(A143="","",IF(OR(B143="",C143="",G143="",J143=""),"Wave, control, evidence description, type needed",IF(COUNTIF(Ref_CTRL!$A$2:$A$201,C143)=0,"CTRL-ID not in W05",IF(OR(H143="",I143=""),"Period / as-of dates needed",IF(AND(OR(O143="Received",O143="Closed"),P143=""),"EV-ID needed once received",IF(AND(B143="3 Sample",E143=""),"Sample request needs a TEST-ID","OK"))))))</f>
        <v/>
      </c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7"/>
      <c r="I144" s="17"/>
      <c r="J144" s="16"/>
      <c r="K144" s="18" t="str">
        <f aca="false">IFERROR(INDEX(Ref_CTRL!$C$2:$C$201,MATCH(C144,Ref_CTRL!$A$2:$A$201,0)),"")</f>
        <v/>
      </c>
      <c r="L144" s="17"/>
      <c r="M144" s="17"/>
      <c r="N144" s="16"/>
      <c r="O144" s="16"/>
      <c r="P144" s="16"/>
      <c r="Q144" s="18" t="str">
        <f aca="false">IF(J144="Population","Y","")</f>
        <v/>
      </c>
      <c r="R144" s="18" t="str">
        <f aca="true">IF(OR(A144="",M144="",O144="Received",O144="Closed"),"",IF(TODAY()&gt;M144,TODAY()-M144,0))</f>
        <v/>
      </c>
      <c r="S144" s="16"/>
      <c r="T144" s="18" t="str">
        <f aca="false">IF(A144="","",IF(OR(B144="",C144="",G144="",J144=""),"Wave, control, evidence description, type needed",IF(COUNTIF(Ref_CTRL!$A$2:$A$201,C144)=0,"CTRL-ID not in W05",IF(OR(H144="",I144=""),"Period / as-of dates needed",IF(AND(OR(O144="Received",O144="Closed"),P144=""),"EV-ID needed once received",IF(AND(B144="3 Sample",E144=""),"Sample request needs a TEST-ID","OK"))))))</f>
        <v/>
      </c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7"/>
      <c r="I145" s="17"/>
      <c r="J145" s="16"/>
      <c r="K145" s="18" t="str">
        <f aca="false">IFERROR(INDEX(Ref_CTRL!$C$2:$C$201,MATCH(C145,Ref_CTRL!$A$2:$A$201,0)),"")</f>
        <v/>
      </c>
      <c r="L145" s="17"/>
      <c r="M145" s="17"/>
      <c r="N145" s="16"/>
      <c r="O145" s="16"/>
      <c r="P145" s="16"/>
      <c r="Q145" s="18" t="str">
        <f aca="false">IF(J145="Population","Y","")</f>
        <v/>
      </c>
      <c r="R145" s="18" t="str">
        <f aca="true">IF(OR(A145="",M145="",O145="Received",O145="Closed"),"",IF(TODAY()&gt;M145,TODAY()-M145,0))</f>
        <v/>
      </c>
      <c r="S145" s="16"/>
      <c r="T145" s="18" t="str">
        <f aca="false">IF(A145="","",IF(OR(B145="",C145="",G145="",J145=""),"Wave, control, evidence description, type needed",IF(COUNTIF(Ref_CTRL!$A$2:$A$201,C145)=0,"CTRL-ID not in W05",IF(OR(H145="",I145=""),"Period / as-of dates needed",IF(AND(OR(O145="Received",O145="Closed"),P145=""),"EV-ID needed once received",IF(AND(B145="3 Sample",E145=""),"Sample request needs a TEST-ID","OK"))))))</f>
        <v/>
      </c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7"/>
      <c r="I146" s="17"/>
      <c r="J146" s="16"/>
      <c r="K146" s="18" t="str">
        <f aca="false">IFERROR(INDEX(Ref_CTRL!$C$2:$C$201,MATCH(C146,Ref_CTRL!$A$2:$A$201,0)),"")</f>
        <v/>
      </c>
      <c r="L146" s="17"/>
      <c r="M146" s="17"/>
      <c r="N146" s="16"/>
      <c r="O146" s="16"/>
      <c r="P146" s="16"/>
      <c r="Q146" s="18" t="str">
        <f aca="false">IF(J146="Population","Y","")</f>
        <v/>
      </c>
      <c r="R146" s="18" t="str">
        <f aca="true">IF(OR(A146="",M146="",O146="Received",O146="Closed"),"",IF(TODAY()&gt;M146,TODAY()-M146,0))</f>
        <v/>
      </c>
      <c r="S146" s="16"/>
      <c r="T146" s="18" t="str">
        <f aca="false">IF(A146="","",IF(OR(B146="",C146="",G146="",J146=""),"Wave, control, evidence description, type needed",IF(COUNTIF(Ref_CTRL!$A$2:$A$201,C146)=0,"CTRL-ID not in W05",IF(OR(H146="",I146=""),"Period / as-of dates needed",IF(AND(OR(O146="Received",O146="Closed"),P146=""),"EV-ID needed once received",IF(AND(B146="3 Sample",E146=""),"Sample request needs a TEST-ID","OK"))))))</f>
        <v/>
      </c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7"/>
      <c r="I147" s="17"/>
      <c r="J147" s="16"/>
      <c r="K147" s="18" t="str">
        <f aca="false">IFERROR(INDEX(Ref_CTRL!$C$2:$C$201,MATCH(C147,Ref_CTRL!$A$2:$A$201,0)),"")</f>
        <v/>
      </c>
      <c r="L147" s="17"/>
      <c r="M147" s="17"/>
      <c r="N147" s="16"/>
      <c r="O147" s="16"/>
      <c r="P147" s="16"/>
      <c r="Q147" s="18" t="str">
        <f aca="false">IF(J147="Population","Y","")</f>
        <v/>
      </c>
      <c r="R147" s="18" t="str">
        <f aca="true">IF(OR(A147="",M147="",O147="Received",O147="Closed"),"",IF(TODAY()&gt;M147,TODAY()-M147,0))</f>
        <v/>
      </c>
      <c r="S147" s="16"/>
      <c r="T147" s="18" t="str">
        <f aca="false">IF(A147="","",IF(OR(B147="",C147="",G147="",J147=""),"Wave, control, evidence description, type needed",IF(COUNTIF(Ref_CTRL!$A$2:$A$201,C147)=0,"CTRL-ID not in W05",IF(OR(H147="",I147=""),"Period / as-of dates needed",IF(AND(OR(O147="Received",O147="Closed"),P147=""),"EV-ID needed once received",IF(AND(B147="3 Sample",E147=""),"Sample request needs a TEST-ID","OK"))))))</f>
        <v/>
      </c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7"/>
      <c r="I148" s="17"/>
      <c r="J148" s="16"/>
      <c r="K148" s="18" t="str">
        <f aca="false">IFERROR(INDEX(Ref_CTRL!$C$2:$C$201,MATCH(C148,Ref_CTRL!$A$2:$A$201,0)),"")</f>
        <v/>
      </c>
      <c r="L148" s="17"/>
      <c r="M148" s="17"/>
      <c r="N148" s="16"/>
      <c r="O148" s="16"/>
      <c r="P148" s="16"/>
      <c r="Q148" s="18" t="str">
        <f aca="false">IF(J148="Population","Y","")</f>
        <v/>
      </c>
      <c r="R148" s="18" t="str">
        <f aca="true">IF(OR(A148="",M148="",O148="Received",O148="Closed"),"",IF(TODAY()&gt;M148,TODAY()-M148,0))</f>
        <v/>
      </c>
      <c r="S148" s="16"/>
      <c r="T148" s="18" t="str">
        <f aca="false">IF(A148="","",IF(OR(B148="",C148="",G148="",J148=""),"Wave, control, evidence description, type needed",IF(COUNTIF(Ref_CTRL!$A$2:$A$201,C148)=0,"CTRL-ID not in W05",IF(OR(H148="",I148=""),"Period / as-of dates needed",IF(AND(OR(O148="Received",O148="Closed"),P148=""),"EV-ID needed once received",IF(AND(B148="3 Sample",E148=""),"Sample request needs a TEST-ID","OK"))))))</f>
        <v/>
      </c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7"/>
      <c r="I149" s="17"/>
      <c r="J149" s="16"/>
      <c r="K149" s="18" t="str">
        <f aca="false">IFERROR(INDEX(Ref_CTRL!$C$2:$C$201,MATCH(C149,Ref_CTRL!$A$2:$A$201,0)),"")</f>
        <v/>
      </c>
      <c r="L149" s="17"/>
      <c r="M149" s="17"/>
      <c r="N149" s="16"/>
      <c r="O149" s="16"/>
      <c r="P149" s="16"/>
      <c r="Q149" s="18" t="str">
        <f aca="false">IF(J149="Population","Y","")</f>
        <v/>
      </c>
      <c r="R149" s="18" t="str">
        <f aca="true">IF(OR(A149="",M149="",O149="Received",O149="Closed"),"",IF(TODAY()&gt;M149,TODAY()-M149,0))</f>
        <v/>
      </c>
      <c r="S149" s="16"/>
      <c r="T149" s="18" t="str">
        <f aca="false">IF(A149="","",IF(OR(B149="",C149="",G149="",J149=""),"Wave, control, evidence description, type needed",IF(COUNTIF(Ref_CTRL!$A$2:$A$201,C149)=0,"CTRL-ID not in W05",IF(OR(H149="",I149=""),"Period / as-of dates needed",IF(AND(OR(O149="Received",O149="Closed"),P149=""),"EV-ID needed once received",IF(AND(B149="3 Sample",E149=""),"Sample request needs a TEST-ID","OK"))))))</f>
        <v/>
      </c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7"/>
      <c r="I150" s="17"/>
      <c r="J150" s="16"/>
      <c r="K150" s="18" t="str">
        <f aca="false">IFERROR(INDEX(Ref_CTRL!$C$2:$C$201,MATCH(C150,Ref_CTRL!$A$2:$A$201,0)),"")</f>
        <v/>
      </c>
      <c r="L150" s="17"/>
      <c r="M150" s="17"/>
      <c r="N150" s="16"/>
      <c r="O150" s="16"/>
      <c r="P150" s="16"/>
      <c r="Q150" s="18" t="str">
        <f aca="false">IF(J150="Population","Y","")</f>
        <v/>
      </c>
      <c r="R150" s="18" t="str">
        <f aca="true">IF(OR(A150="",M150="",O150="Received",O150="Closed"),"",IF(TODAY()&gt;M150,TODAY()-M150,0))</f>
        <v/>
      </c>
      <c r="S150" s="16"/>
      <c r="T150" s="18" t="str">
        <f aca="false">IF(A150="","",IF(OR(B150="",C150="",G150="",J150=""),"Wave, control, evidence description, type needed",IF(COUNTIF(Ref_CTRL!$A$2:$A$201,C150)=0,"CTRL-ID not in W05",IF(OR(H150="",I150=""),"Period / as-of dates needed",IF(AND(OR(O150="Received",O150="Closed"),P150=""),"EV-ID needed once received",IF(AND(B150="3 Sample",E150=""),"Sample request needs a TEST-ID","OK"))))))</f>
        <v/>
      </c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7"/>
      <c r="I151" s="17"/>
      <c r="J151" s="16"/>
      <c r="K151" s="18" t="str">
        <f aca="false">IFERROR(INDEX(Ref_CTRL!$C$2:$C$201,MATCH(C151,Ref_CTRL!$A$2:$A$201,0)),"")</f>
        <v/>
      </c>
      <c r="L151" s="17"/>
      <c r="M151" s="17"/>
      <c r="N151" s="16"/>
      <c r="O151" s="16"/>
      <c r="P151" s="16"/>
      <c r="Q151" s="18" t="str">
        <f aca="false">IF(J151="Population","Y","")</f>
        <v/>
      </c>
      <c r="R151" s="18" t="str">
        <f aca="true">IF(OR(A151="",M151="",O151="Received",O151="Closed"),"",IF(TODAY()&gt;M151,TODAY()-M151,0))</f>
        <v/>
      </c>
      <c r="S151" s="16"/>
      <c r="T151" s="18" t="str">
        <f aca="false">IF(A151="","",IF(OR(B151="",C151="",G151="",J151=""),"Wave, control, evidence description, type needed",IF(COUNTIF(Ref_CTRL!$A$2:$A$201,C151)=0,"CTRL-ID not in W05",IF(OR(H151="",I151=""),"Period / as-of dates needed",IF(AND(OR(O151="Received",O151="Closed"),P151=""),"EV-ID needed once received",IF(AND(B151="3 Sample",E151=""),"Sample request needs a TEST-ID","OK"))))))</f>
        <v/>
      </c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7"/>
      <c r="I152" s="17"/>
      <c r="J152" s="16"/>
      <c r="K152" s="18" t="str">
        <f aca="false">IFERROR(INDEX(Ref_CTRL!$C$2:$C$201,MATCH(C152,Ref_CTRL!$A$2:$A$201,0)),"")</f>
        <v/>
      </c>
      <c r="L152" s="17"/>
      <c r="M152" s="17"/>
      <c r="N152" s="16"/>
      <c r="O152" s="16"/>
      <c r="P152" s="16"/>
      <c r="Q152" s="18" t="str">
        <f aca="false">IF(J152="Population","Y","")</f>
        <v/>
      </c>
      <c r="R152" s="18" t="str">
        <f aca="true">IF(OR(A152="",M152="",O152="Received",O152="Closed"),"",IF(TODAY()&gt;M152,TODAY()-M152,0))</f>
        <v/>
      </c>
      <c r="S152" s="16"/>
      <c r="T152" s="18" t="str">
        <f aca="false">IF(A152="","",IF(OR(B152="",C152="",G152="",J152=""),"Wave, control, evidence description, type needed",IF(COUNTIF(Ref_CTRL!$A$2:$A$201,C152)=0,"CTRL-ID not in W05",IF(OR(H152="",I152=""),"Period / as-of dates needed",IF(AND(OR(O152="Received",O152="Closed"),P152=""),"EV-ID needed once received",IF(AND(B152="3 Sample",E152=""),"Sample request needs a TEST-ID","OK"))))))</f>
        <v/>
      </c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7"/>
      <c r="I153" s="17"/>
      <c r="J153" s="16"/>
      <c r="K153" s="18" t="str">
        <f aca="false">IFERROR(INDEX(Ref_CTRL!$C$2:$C$201,MATCH(C153,Ref_CTRL!$A$2:$A$201,0)),"")</f>
        <v/>
      </c>
      <c r="L153" s="17"/>
      <c r="M153" s="17"/>
      <c r="N153" s="16"/>
      <c r="O153" s="16"/>
      <c r="P153" s="16"/>
      <c r="Q153" s="18" t="str">
        <f aca="false">IF(J153="Population","Y","")</f>
        <v/>
      </c>
      <c r="R153" s="18" t="str">
        <f aca="true">IF(OR(A153="",M153="",O153="Received",O153="Closed"),"",IF(TODAY()&gt;M153,TODAY()-M153,0))</f>
        <v/>
      </c>
      <c r="S153" s="16"/>
      <c r="T153" s="18" t="str">
        <f aca="false">IF(A153="","",IF(OR(B153="",C153="",G153="",J153=""),"Wave, control, evidence description, type needed",IF(COUNTIF(Ref_CTRL!$A$2:$A$201,C153)=0,"CTRL-ID not in W05",IF(OR(H153="",I153=""),"Period / as-of dates needed",IF(AND(OR(O153="Received",O153="Closed"),P153=""),"EV-ID needed once received",IF(AND(B153="3 Sample",E153=""),"Sample request needs a TEST-ID","OK"))))))</f>
        <v/>
      </c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7"/>
      <c r="I154" s="17"/>
      <c r="J154" s="16"/>
      <c r="K154" s="18" t="str">
        <f aca="false">IFERROR(INDEX(Ref_CTRL!$C$2:$C$201,MATCH(C154,Ref_CTRL!$A$2:$A$201,0)),"")</f>
        <v/>
      </c>
      <c r="L154" s="17"/>
      <c r="M154" s="17"/>
      <c r="N154" s="16"/>
      <c r="O154" s="16"/>
      <c r="P154" s="16"/>
      <c r="Q154" s="18" t="str">
        <f aca="false">IF(J154="Population","Y","")</f>
        <v/>
      </c>
      <c r="R154" s="18" t="str">
        <f aca="true">IF(OR(A154="",M154="",O154="Received",O154="Closed"),"",IF(TODAY()&gt;M154,TODAY()-M154,0))</f>
        <v/>
      </c>
      <c r="S154" s="16"/>
      <c r="T154" s="18" t="str">
        <f aca="false">IF(A154="","",IF(OR(B154="",C154="",G154="",J154=""),"Wave, control, evidence description, type needed",IF(COUNTIF(Ref_CTRL!$A$2:$A$201,C154)=0,"CTRL-ID not in W05",IF(OR(H154="",I154=""),"Period / as-of dates needed",IF(AND(OR(O154="Received",O154="Closed"),P154=""),"EV-ID needed once received",IF(AND(B154="3 Sample",E154=""),"Sample request needs a TEST-ID","OK"))))))</f>
        <v/>
      </c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7"/>
      <c r="I155" s="17"/>
      <c r="J155" s="16"/>
      <c r="K155" s="18" t="str">
        <f aca="false">IFERROR(INDEX(Ref_CTRL!$C$2:$C$201,MATCH(C155,Ref_CTRL!$A$2:$A$201,0)),"")</f>
        <v/>
      </c>
      <c r="L155" s="17"/>
      <c r="M155" s="17"/>
      <c r="N155" s="16"/>
      <c r="O155" s="16"/>
      <c r="P155" s="16"/>
      <c r="Q155" s="18" t="str">
        <f aca="false">IF(J155="Population","Y","")</f>
        <v/>
      </c>
      <c r="R155" s="18" t="str">
        <f aca="true">IF(OR(A155="",M155="",O155="Received",O155="Closed"),"",IF(TODAY()&gt;M155,TODAY()-M155,0))</f>
        <v/>
      </c>
      <c r="S155" s="16"/>
      <c r="T155" s="18" t="str">
        <f aca="false">IF(A155="","",IF(OR(B155="",C155="",G155="",J155=""),"Wave, control, evidence description, type needed",IF(COUNTIF(Ref_CTRL!$A$2:$A$201,C155)=0,"CTRL-ID not in W05",IF(OR(H155="",I155=""),"Period / as-of dates needed",IF(AND(OR(O155="Received",O155="Closed"),P155=""),"EV-ID needed once received",IF(AND(B155="3 Sample",E155=""),"Sample request needs a TEST-ID","OK"))))))</f>
        <v/>
      </c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7"/>
      <c r="I156" s="17"/>
      <c r="J156" s="16"/>
      <c r="K156" s="18" t="str">
        <f aca="false">IFERROR(INDEX(Ref_CTRL!$C$2:$C$201,MATCH(C156,Ref_CTRL!$A$2:$A$201,0)),"")</f>
        <v/>
      </c>
      <c r="L156" s="17"/>
      <c r="M156" s="17"/>
      <c r="N156" s="16"/>
      <c r="O156" s="16"/>
      <c r="P156" s="16"/>
      <c r="Q156" s="18" t="str">
        <f aca="false">IF(J156="Population","Y","")</f>
        <v/>
      </c>
      <c r="R156" s="18" t="str">
        <f aca="true">IF(OR(A156="",M156="",O156="Received",O156="Closed"),"",IF(TODAY()&gt;M156,TODAY()-M156,0))</f>
        <v/>
      </c>
      <c r="S156" s="16"/>
      <c r="T156" s="18" t="str">
        <f aca="false">IF(A156="","",IF(OR(B156="",C156="",G156="",J156=""),"Wave, control, evidence description, type needed",IF(COUNTIF(Ref_CTRL!$A$2:$A$201,C156)=0,"CTRL-ID not in W05",IF(OR(H156="",I156=""),"Period / as-of dates needed",IF(AND(OR(O156="Received",O156="Closed"),P156=""),"EV-ID needed once received",IF(AND(B156="3 Sample",E156=""),"Sample request needs a TEST-ID","OK"))))))</f>
        <v/>
      </c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7"/>
      <c r="I157" s="17"/>
      <c r="J157" s="16"/>
      <c r="K157" s="18" t="str">
        <f aca="false">IFERROR(INDEX(Ref_CTRL!$C$2:$C$201,MATCH(C157,Ref_CTRL!$A$2:$A$201,0)),"")</f>
        <v/>
      </c>
      <c r="L157" s="17"/>
      <c r="M157" s="17"/>
      <c r="N157" s="16"/>
      <c r="O157" s="16"/>
      <c r="P157" s="16"/>
      <c r="Q157" s="18" t="str">
        <f aca="false">IF(J157="Population","Y","")</f>
        <v/>
      </c>
      <c r="R157" s="18" t="str">
        <f aca="true">IF(OR(A157="",M157="",O157="Received",O157="Closed"),"",IF(TODAY()&gt;M157,TODAY()-M157,0))</f>
        <v/>
      </c>
      <c r="S157" s="16"/>
      <c r="T157" s="18" t="str">
        <f aca="false">IF(A157="","",IF(OR(B157="",C157="",G157="",J157=""),"Wave, control, evidence description, type needed",IF(COUNTIF(Ref_CTRL!$A$2:$A$201,C157)=0,"CTRL-ID not in W05",IF(OR(H157="",I157=""),"Period / as-of dates needed",IF(AND(OR(O157="Received",O157="Closed"),P157=""),"EV-ID needed once received",IF(AND(B157="3 Sample",E157=""),"Sample request needs a TEST-ID","OK"))))))</f>
        <v/>
      </c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7"/>
      <c r="I158" s="17"/>
      <c r="J158" s="16"/>
      <c r="K158" s="18" t="str">
        <f aca="false">IFERROR(INDEX(Ref_CTRL!$C$2:$C$201,MATCH(C158,Ref_CTRL!$A$2:$A$201,0)),"")</f>
        <v/>
      </c>
      <c r="L158" s="17"/>
      <c r="M158" s="17"/>
      <c r="N158" s="16"/>
      <c r="O158" s="16"/>
      <c r="P158" s="16"/>
      <c r="Q158" s="18" t="str">
        <f aca="false">IF(J158="Population","Y","")</f>
        <v/>
      </c>
      <c r="R158" s="18" t="str">
        <f aca="true">IF(OR(A158="",M158="",O158="Received",O158="Closed"),"",IF(TODAY()&gt;M158,TODAY()-M158,0))</f>
        <v/>
      </c>
      <c r="S158" s="16"/>
      <c r="T158" s="18" t="str">
        <f aca="false">IF(A158="","",IF(OR(B158="",C158="",G158="",J158=""),"Wave, control, evidence description, type needed",IF(COUNTIF(Ref_CTRL!$A$2:$A$201,C158)=0,"CTRL-ID not in W05",IF(OR(H158="",I158=""),"Period / as-of dates needed",IF(AND(OR(O158="Received",O158="Closed"),P158=""),"EV-ID needed once received",IF(AND(B158="3 Sample",E158=""),"Sample request needs a TEST-ID","OK"))))))</f>
        <v/>
      </c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7"/>
      <c r="I159" s="17"/>
      <c r="J159" s="16"/>
      <c r="K159" s="18" t="str">
        <f aca="false">IFERROR(INDEX(Ref_CTRL!$C$2:$C$201,MATCH(C159,Ref_CTRL!$A$2:$A$201,0)),"")</f>
        <v/>
      </c>
      <c r="L159" s="17"/>
      <c r="M159" s="17"/>
      <c r="N159" s="16"/>
      <c r="O159" s="16"/>
      <c r="P159" s="16"/>
      <c r="Q159" s="18" t="str">
        <f aca="false">IF(J159="Population","Y","")</f>
        <v/>
      </c>
      <c r="R159" s="18" t="str">
        <f aca="true">IF(OR(A159="",M159="",O159="Received",O159="Closed"),"",IF(TODAY()&gt;M159,TODAY()-M159,0))</f>
        <v/>
      </c>
      <c r="S159" s="16"/>
      <c r="T159" s="18" t="str">
        <f aca="false">IF(A159="","",IF(OR(B159="",C159="",G159="",J159=""),"Wave, control, evidence description, type needed",IF(COUNTIF(Ref_CTRL!$A$2:$A$201,C159)=0,"CTRL-ID not in W05",IF(OR(H159="",I159=""),"Period / as-of dates needed",IF(AND(OR(O159="Received",O159="Closed"),P159=""),"EV-ID needed once received",IF(AND(B159="3 Sample",E159=""),"Sample request needs a TEST-ID","OK"))))))</f>
        <v/>
      </c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7"/>
      <c r="I160" s="17"/>
      <c r="J160" s="16"/>
      <c r="K160" s="18" t="str">
        <f aca="false">IFERROR(INDEX(Ref_CTRL!$C$2:$C$201,MATCH(C160,Ref_CTRL!$A$2:$A$201,0)),"")</f>
        <v/>
      </c>
      <c r="L160" s="17"/>
      <c r="M160" s="17"/>
      <c r="N160" s="16"/>
      <c r="O160" s="16"/>
      <c r="P160" s="16"/>
      <c r="Q160" s="18" t="str">
        <f aca="false">IF(J160="Population","Y","")</f>
        <v/>
      </c>
      <c r="R160" s="18" t="str">
        <f aca="true">IF(OR(A160="",M160="",O160="Received",O160="Closed"),"",IF(TODAY()&gt;M160,TODAY()-M160,0))</f>
        <v/>
      </c>
      <c r="S160" s="16"/>
      <c r="T160" s="18" t="str">
        <f aca="false">IF(A160="","",IF(OR(B160="",C160="",G160="",J160=""),"Wave, control, evidence description, type needed",IF(COUNTIF(Ref_CTRL!$A$2:$A$201,C160)=0,"CTRL-ID not in W05",IF(OR(H160="",I160=""),"Period / as-of dates needed",IF(AND(OR(O160="Received",O160="Closed"),P160=""),"EV-ID needed once received",IF(AND(B160="3 Sample",E160=""),"Sample request needs a TEST-ID","OK"))))))</f>
        <v/>
      </c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7"/>
      <c r="I161" s="17"/>
      <c r="J161" s="16"/>
      <c r="K161" s="18" t="str">
        <f aca="false">IFERROR(INDEX(Ref_CTRL!$C$2:$C$201,MATCH(C161,Ref_CTRL!$A$2:$A$201,0)),"")</f>
        <v/>
      </c>
      <c r="L161" s="17"/>
      <c r="M161" s="17"/>
      <c r="N161" s="16"/>
      <c r="O161" s="16"/>
      <c r="P161" s="16"/>
      <c r="Q161" s="18" t="str">
        <f aca="false">IF(J161="Population","Y","")</f>
        <v/>
      </c>
      <c r="R161" s="18" t="str">
        <f aca="true">IF(OR(A161="",M161="",O161="Received",O161="Closed"),"",IF(TODAY()&gt;M161,TODAY()-M161,0))</f>
        <v/>
      </c>
      <c r="S161" s="16"/>
      <c r="T161" s="18" t="str">
        <f aca="false">IF(A161="","",IF(OR(B161="",C161="",G161="",J161=""),"Wave, control, evidence description, type needed",IF(COUNTIF(Ref_CTRL!$A$2:$A$201,C161)=0,"CTRL-ID not in W05",IF(OR(H161="",I161=""),"Period / as-of dates needed",IF(AND(OR(O161="Received",O161="Closed"),P161=""),"EV-ID needed once received",IF(AND(B161="3 Sample",E161=""),"Sample request needs a TEST-ID","OK"))))))</f>
        <v/>
      </c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7"/>
      <c r="I162" s="17"/>
      <c r="J162" s="16"/>
      <c r="K162" s="18" t="str">
        <f aca="false">IFERROR(INDEX(Ref_CTRL!$C$2:$C$201,MATCH(C162,Ref_CTRL!$A$2:$A$201,0)),"")</f>
        <v/>
      </c>
      <c r="L162" s="17"/>
      <c r="M162" s="17"/>
      <c r="N162" s="16"/>
      <c r="O162" s="16"/>
      <c r="P162" s="16"/>
      <c r="Q162" s="18" t="str">
        <f aca="false">IF(J162="Population","Y","")</f>
        <v/>
      </c>
      <c r="R162" s="18" t="str">
        <f aca="true">IF(OR(A162="",M162="",O162="Received",O162="Closed"),"",IF(TODAY()&gt;M162,TODAY()-M162,0))</f>
        <v/>
      </c>
      <c r="S162" s="16"/>
      <c r="T162" s="18" t="str">
        <f aca="false">IF(A162="","",IF(OR(B162="",C162="",G162="",J162=""),"Wave, control, evidence description, type needed",IF(COUNTIF(Ref_CTRL!$A$2:$A$201,C162)=0,"CTRL-ID not in W05",IF(OR(H162="",I162=""),"Period / as-of dates needed",IF(AND(OR(O162="Received",O162="Closed"),P162=""),"EV-ID needed once received",IF(AND(B162="3 Sample",E162=""),"Sample request needs a TEST-ID","OK"))))))</f>
        <v/>
      </c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7"/>
      <c r="I163" s="17"/>
      <c r="J163" s="16"/>
      <c r="K163" s="18" t="str">
        <f aca="false">IFERROR(INDEX(Ref_CTRL!$C$2:$C$201,MATCH(C163,Ref_CTRL!$A$2:$A$201,0)),"")</f>
        <v/>
      </c>
      <c r="L163" s="17"/>
      <c r="M163" s="17"/>
      <c r="N163" s="16"/>
      <c r="O163" s="16"/>
      <c r="P163" s="16"/>
      <c r="Q163" s="18" t="str">
        <f aca="false">IF(J163="Population","Y","")</f>
        <v/>
      </c>
      <c r="R163" s="18" t="str">
        <f aca="true">IF(OR(A163="",M163="",O163="Received",O163="Closed"),"",IF(TODAY()&gt;M163,TODAY()-M163,0))</f>
        <v/>
      </c>
      <c r="S163" s="16"/>
      <c r="T163" s="18" t="str">
        <f aca="false">IF(A163="","",IF(OR(B163="",C163="",G163="",J163=""),"Wave, control, evidence description, type needed",IF(COUNTIF(Ref_CTRL!$A$2:$A$201,C163)=0,"CTRL-ID not in W05",IF(OR(H163="",I163=""),"Period / as-of dates needed",IF(AND(OR(O163="Received",O163="Closed"),P163=""),"EV-ID needed once received",IF(AND(B163="3 Sample",E163=""),"Sample request needs a TEST-ID","OK"))))))</f>
        <v/>
      </c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7"/>
      <c r="I164" s="17"/>
      <c r="J164" s="16"/>
      <c r="K164" s="18" t="str">
        <f aca="false">IFERROR(INDEX(Ref_CTRL!$C$2:$C$201,MATCH(C164,Ref_CTRL!$A$2:$A$201,0)),"")</f>
        <v/>
      </c>
      <c r="L164" s="17"/>
      <c r="M164" s="17"/>
      <c r="N164" s="16"/>
      <c r="O164" s="16"/>
      <c r="P164" s="16"/>
      <c r="Q164" s="18" t="str">
        <f aca="false">IF(J164="Population","Y","")</f>
        <v/>
      </c>
      <c r="R164" s="18" t="str">
        <f aca="true">IF(OR(A164="",M164="",O164="Received",O164="Closed"),"",IF(TODAY()&gt;M164,TODAY()-M164,0))</f>
        <v/>
      </c>
      <c r="S164" s="16"/>
      <c r="T164" s="18" t="str">
        <f aca="false">IF(A164="","",IF(OR(B164="",C164="",G164="",J164=""),"Wave, control, evidence description, type needed",IF(COUNTIF(Ref_CTRL!$A$2:$A$201,C164)=0,"CTRL-ID not in W05",IF(OR(H164="",I164=""),"Period / as-of dates needed",IF(AND(OR(O164="Received",O164="Closed"),P164=""),"EV-ID needed once received",IF(AND(B164="3 Sample",E164=""),"Sample request needs a TEST-ID","OK"))))))</f>
        <v/>
      </c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7"/>
      <c r="I165" s="17"/>
      <c r="J165" s="16"/>
      <c r="K165" s="18" t="str">
        <f aca="false">IFERROR(INDEX(Ref_CTRL!$C$2:$C$201,MATCH(C165,Ref_CTRL!$A$2:$A$201,0)),"")</f>
        <v/>
      </c>
      <c r="L165" s="17"/>
      <c r="M165" s="17"/>
      <c r="N165" s="16"/>
      <c r="O165" s="16"/>
      <c r="P165" s="16"/>
      <c r="Q165" s="18" t="str">
        <f aca="false">IF(J165="Population","Y","")</f>
        <v/>
      </c>
      <c r="R165" s="18" t="str">
        <f aca="true">IF(OR(A165="",M165="",O165="Received",O165="Closed"),"",IF(TODAY()&gt;M165,TODAY()-M165,0))</f>
        <v/>
      </c>
      <c r="S165" s="16"/>
      <c r="T165" s="18" t="str">
        <f aca="false">IF(A165="","",IF(OR(B165="",C165="",G165="",J165=""),"Wave, control, evidence description, type needed",IF(COUNTIF(Ref_CTRL!$A$2:$A$201,C165)=0,"CTRL-ID not in W05",IF(OR(H165="",I165=""),"Period / as-of dates needed",IF(AND(OR(O165="Received",O165="Closed"),P165=""),"EV-ID needed once received",IF(AND(B165="3 Sample",E165=""),"Sample request needs a TEST-ID","OK"))))))</f>
        <v/>
      </c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7"/>
      <c r="I166" s="17"/>
      <c r="J166" s="16"/>
      <c r="K166" s="18" t="str">
        <f aca="false">IFERROR(INDEX(Ref_CTRL!$C$2:$C$201,MATCH(C166,Ref_CTRL!$A$2:$A$201,0)),"")</f>
        <v/>
      </c>
      <c r="L166" s="17"/>
      <c r="M166" s="17"/>
      <c r="N166" s="16"/>
      <c r="O166" s="16"/>
      <c r="P166" s="16"/>
      <c r="Q166" s="18" t="str">
        <f aca="false">IF(J166="Population","Y","")</f>
        <v/>
      </c>
      <c r="R166" s="18" t="str">
        <f aca="true">IF(OR(A166="",M166="",O166="Received",O166="Closed"),"",IF(TODAY()&gt;M166,TODAY()-M166,0))</f>
        <v/>
      </c>
      <c r="S166" s="16"/>
      <c r="T166" s="18" t="str">
        <f aca="false">IF(A166="","",IF(OR(B166="",C166="",G166="",J166=""),"Wave, control, evidence description, type needed",IF(COUNTIF(Ref_CTRL!$A$2:$A$201,C166)=0,"CTRL-ID not in W05",IF(OR(H166="",I166=""),"Period / as-of dates needed",IF(AND(OR(O166="Received",O166="Closed"),P166=""),"EV-ID needed once received",IF(AND(B166="3 Sample",E166=""),"Sample request needs a TEST-ID","OK"))))))</f>
        <v/>
      </c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7"/>
      <c r="I167" s="17"/>
      <c r="J167" s="16"/>
      <c r="K167" s="18" t="str">
        <f aca="false">IFERROR(INDEX(Ref_CTRL!$C$2:$C$201,MATCH(C167,Ref_CTRL!$A$2:$A$201,0)),"")</f>
        <v/>
      </c>
      <c r="L167" s="17"/>
      <c r="M167" s="17"/>
      <c r="N167" s="16"/>
      <c r="O167" s="16"/>
      <c r="P167" s="16"/>
      <c r="Q167" s="18" t="str">
        <f aca="false">IF(J167="Population","Y","")</f>
        <v/>
      </c>
      <c r="R167" s="18" t="str">
        <f aca="true">IF(OR(A167="",M167="",O167="Received",O167="Closed"),"",IF(TODAY()&gt;M167,TODAY()-M167,0))</f>
        <v/>
      </c>
      <c r="S167" s="16"/>
      <c r="T167" s="18" t="str">
        <f aca="false">IF(A167="","",IF(OR(B167="",C167="",G167="",J167=""),"Wave, control, evidence description, type needed",IF(COUNTIF(Ref_CTRL!$A$2:$A$201,C167)=0,"CTRL-ID not in W05",IF(OR(H167="",I167=""),"Period / as-of dates needed",IF(AND(OR(O167="Received",O167="Closed"),P167=""),"EV-ID needed once received",IF(AND(B167="3 Sample",E167=""),"Sample request needs a TEST-ID","OK"))))))</f>
        <v/>
      </c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7"/>
      <c r="I168" s="17"/>
      <c r="J168" s="16"/>
      <c r="K168" s="18" t="str">
        <f aca="false">IFERROR(INDEX(Ref_CTRL!$C$2:$C$201,MATCH(C168,Ref_CTRL!$A$2:$A$201,0)),"")</f>
        <v/>
      </c>
      <c r="L168" s="17"/>
      <c r="M168" s="17"/>
      <c r="N168" s="16"/>
      <c r="O168" s="16"/>
      <c r="P168" s="16"/>
      <c r="Q168" s="18" t="str">
        <f aca="false">IF(J168="Population","Y","")</f>
        <v/>
      </c>
      <c r="R168" s="18" t="str">
        <f aca="true">IF(OR(A168="",M168="",O168="Received",O168="Closed"),"",IF(TODAY()&gt;M168,TODAY()-M168,0))</f>
        <v/>
      </c>
      <c r="S168" s="16"/>
      <c r="T168" s="18" t="str">
        <f aca="false">IF(A168="","",IF(OR(B168="",C168="",G168="",J168=""),"Wave, control, evidence description, type needed",IF(COUNTIF(Ref_CTRL!$A$2:$A$201,C168)=0,"CTRL-ID not in W05",IF(OR(H168="",I168=""),"Period / as-of dates needed",IF(AND(OR(O168="Received",O168="Closed"),P168=""),"EV-ID needed once received",IF(AND(B168="3 Sample",E168=""),"Sample request needs a TEST-ID","OK"))))))</f>
        <v/>
      </c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7"/>
      <c r="I169" s="17"/>
      <c r="J169" s="16"/>
      <c r="K169" s="18" t="str">
        <f aca="false">IFERROR(INDEX(Ref_CTRL!$C$2:$C$201,MATCH(C169,Ref_CTRL!$A$2:$A$201,0)),"")</f>
        <v/>
      </c>
      <c r="L169" s="17"/>
      <c r="M169" s="17"/>
      <c r="N169" s="16"/>
      <c r="O169" s="16"/>
      <c r="P169" s="16"/>
      <c r="Q169" s="18" t="str">
        <f aca="false">IF(J169="Population","Y","")</f>
        <v/>
      </c>
      <c r="R169" s="18" t="str">
        <f aca="true">IF(OR(A169="",M169="",O169="Received",O169="Closed"),"",IF(TODAY()&gt;M169,TODAY()-M169,0))</f>
        <v/>
      </c>
      <c r="S169" s="16"/>
      <c r="T169" s="18" t="str">
        <f aca="false">IF(A169="","",IF(OR(B169="",C169="",G169="",J169=""),"Wave, control, evidence description, type needed",IF(COUNTIF(Ref_CTRL!$A$2:$A$201,C169)=0,"CTRL-ID not in W05",IF(OR(H169="",I169=""),"Period / as-of dates needed",IF(AND(OR(O169="Received",O169="Closed"),P169=""),"EV-ID needed once received",IF(AND(B169="3 Sample",E169=""),"Sample request needs a TEST-ID","OK"))))))</f>
        <v/>
      </c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7"/>
      <c r="I170" s="17"/>
      <c r="J170" s="16"/>
      <c r="K170" s="18" t="str">
        <f aca="false">IFERROR(INDEX(Ref_CTRL!$C$2:$C$201,MATCH(C170,Ref_CTRL!$A$2:$A$201,0)),"")</f>
        <v/>
      </c>
      <c r="L170" s="17"/>
      <c r="M170" s="17"/>
      <c r="N170" s="16"/>
      <c r="O170" s="16"/>
      <c r="P170" s="16"/>
      <c r="Q170" s="18" t="str">
        <f aca="false">IF(J170="Population","Y","")</f>
        <v/>
      </c>
      <c r="R170" s="18" t="str">
        <f aca="true">IF(OR(A170="",M170="",O170="Received",O170="Closed"),"",IF(TODAY()&gt;M170,TODAY()-M170,0))</f>
        <v/>
      </c>
      <c r="S170" s="16"/>
      <c r="T170" s="18" t="str">
        <f aca="false">IF(A170="","",IF(OR(B170="",C170="",G170="",J170=""),"Wave, control, evidence description, type needed",IF(COUNTIF(Ref_CTRL!$A$2:$A$201,C170)=0,"CTRL-ID not in W05",IF(OR(H170="",I170=""),"Period / as-of dates needed",IF(AND(OR(O170="Received",O170="Closed"),P170=""),"EV-ID needed once received",IF(AND(B170="3 Sample",E170=""),"Sample request needs a TEST-ID","OK"))))))</f>
        <v/>
      </c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7"/>
      <c r="I171" s="17"/>
      <c r="J171" s="16"/>
      <c r="K171" s="18" t="str">
        <f aca="false">IFERROR(INDEX(Ref_CTRL!$C$2:$C$201,MATCH(C171,Ref_CTRL!$A$2:$A$201,0)),"")</f>
        <v/>
      </c>
      <c r="L171" s="17"/>
      <c r="M171" s="17"/>
      <c r="N171" s="16"/>
      <c r="O171" s="16"/>
      <c r="P171" s="16"/>
      <c r="Q171" s="18" t="str">
        <f aca="false">IF(J171="Population","Y","")</f>
        <v/>
      </c>
      <c r="R171" s="18" t="str">
        <f aca="true">IF(OR(A171="",M171="",O171="Received",O171="Closed"),"",IF(TODAY()&gt;M171,TODAY()-M171,0))</f>
        <v/>
      </c>
      <c r="S171" s="16"/>
      <c r="T171" s="18" t="str">
        <f aca="false">IF(A171="","",IF(OR(B171="",C171="",G171="",J171=""),"Wave, control, evidence description, type needed",IF(COUNTIF(Ref_CTRL!$A$2:$A$201,C171)=0,"CTRL-ID not in W05",IF(OR(H171="",I171=""),"Period / as-of dates needed",IF(AND(OR(O171="Received",O171="Closed"),P171=""),"EV-ID needed once received",IF(AND(B171="3 Sample",E171=""),"Sample request needs a TEST-ID","OK"))))))</f>
        <v/>
      </c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7"/>
      <c r="I172" s="17"/>
      <c r="J172" s="16"/>
      <c r="K172" s="18" t="str">
        <f aca="false">IFERROR(INDEX(Ref_CTRL!$C$2:$C$201,MATCH(C172,Ref_CTRL!$A$2:$A$201,0)),"")</f>
        <v/>
      </c>
      <c r="L172" s="17"/>
      <c r="M172" s="17"/>
      <c r="N172" s="16"/>
      <c r="O172" s="16"/>
      <c r="P172" s="16"/>
      <c r="Q172" s="18" t="str">
        <f aca="false">IF(J172="Population","Y","")</f>
        <v/>
      </c>
      <c r="R172" s="18" t="str">
        <f aca="true">IF(OR(A172="",M172="",O172="Received",O172="Closed"),"",IF(TODAY()&gt;M172,TODAY()-M172,0))</f>
        <v/>
      </c>
      <c r="S172" s="16"/>
      <c r="T172" s="18" t="str">
        <f aca="false">IF(A172="","",IF(OR(B172="",C172="",G172="",J172=""),"Wave, control, evidence description, type needed",IF(COUNTIF(Ref_CTRL!$A$2:$A$201,C172)=0,"CTRL-ID not in W05",IF(OR(H172="",I172=""),"Period / as-of dates needed",IF(AND(OR(O172="Received",O172="Closed"),P172=""),"EV-ID needed once received",IF(AND(B172="3 Sample",E172=""),"Sample request needs a TEST-ID","OK"))))))</f>
        <v/>
      </c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7"/>
      <c r="I173" s="17"/>
      <c r="J173" s="16"/>
      <c r="K173" s="18" t="str">
        <f aca="false">IFERROR(INDEX(Ref_CTRL!$C$2:$C$201,MATCH(C173,Ref_CTRL!$A$2:$A$201,0)),"")</f>
        <v/>
      </c>
      <c r="L173" s="17"/>
      <c r="M173" s="17"/>
      <c r="N173" s="16"/>
      <c r="O173" s="16"/>
      <c r="P173" s="16"/>
      <c r="Q173" s="18" t="str">
        <f aca="false">IF(J173="Population","Y","")</f>
        <v/>
      </c>
      <c r="R173" s="18" t="str">
        <f aca="true">IF(OR(A173="",M173="",O173="Received",O173="Closed"),"",IF(TODAY()&gt;M173,TODAY()-M173,0))</f>
        <v/>
      </c>
      <c r="S173" s="16"/>
      <c r="T173" s="18" t="str">
        <f aca="false">IF(A173="","",IF(OR(B173="",C173="",G173="",J173=""),"Wave, control, evidence description, type needed",IF(COUNTIF(Ref_CTRL!$A$2:$A$201,C173)=0,"CTRL-ID not in W05",IF(OR(H173="",I173=""),"Period / as-of dates needed",IF(AND(OR(O173="Received",O173="Closed"),P173=""),"EV-ID needed once received",IF(AND(B173="3 Sample",E173=""),"Sample request needs a TEST-ID","OK"))))))</f>
        <v/>
      </c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7"/>
      <c r="I174" s="17"/>
      <c r="J174" s="16"/>
      <c r="K174" s="18" t="str">
        <f aca="false">IFERROR(INDEX(Ref_CTRL!$C$2:$C$201,MATCH(C174,Ref_CTRL!$A$2:$A$201,0)),"")</f>
        <v/>
      </c>
      <c r="L174" s="17"/>
      <c r="M174" s="17"/>
      <c r="N174" s="16"/>
      <c r="O174" s="16"/>
      <c r="P174" s="16"/>
      <c r="Q174" s="18" t="str">
        <f aca="false">IF(J174="Population","Y","")</f>
        <v/>
      </c>
      <c r="R174" s="18" t="str">
        <f aca="true">IF(OR(A174="",M174="",O174="Received",O174="Closed"),"",IF(TODAY()&gt;M174,TODAY()-M174,0))</f>
        <v/>
      </c>
      <c r="S174" s="16"/>
      <c r="T174" s="18" t="str">
        <f aca="false">IF(A174="","",IF(OR(B174="",C174="",G174="",J174=""),"Wave, control, evidence description, type needed",IF(COUNTIF(Ref_CTRL!$A$2:$A$201,C174)=0,"CTRL-ID not in W05",IF(OR(H174="",I174=""),"Period / as-of dates needed",IF(AND(OR(O174="Received",O174="Closed"),P174=""),"EV-ID needed once received",IF(AND(B174="3 Sample",E174=""),"Sample request needs a TEST-ID","OK"))))))</f>
        <v/>
      </c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7"/>
      <c r="I175" s="17"/>
      <c r="J175" s="16"/>
      <c r="K175" s="18" t="str">
        <f aca="false">IFERROR(INDEX(Ref_CTRL!$C$2:$C$201,MATCH(C175,Ref_CTRL!$A$2:$A$201,0)),"")</f>
        <v/>
      </c>
      <c r="L175" s="17"/>
      <c r="M175" s="17"/>
      <c r="N175" s="16"/>
      <c r="O175" s="16"/>
      <c r="P175" s="16"/>
      <c r="Q175" s="18" t="str">
        <f aca="false">IF(J175="Population","Y","")</f>
        <v/>
      </c>
      <c r="R175" s="18" t="str">
        <f aca="true">IF(OR(A175="",M175="",O175="Received",O175="Closed"),"",IF(TODAY()&gt;M175,TODAY()-M175,0))</f>
        <v/>
      </c>
      <c r="S175" s="16"/>
      <c r="T175" s="18" t="str">
        <f aca="false">IF(A175="","",IF(OR(B175="",C175="",G175="",J175=""),"Wave, control, evidence description, type needed",IF(COUNTIF(Ref_CTRL!$A$2:$A$201,C175)=0,"CTRL-ID not in W05",IF(OR(H175="",I175=""),"Period / as-of dates needed",IF(AND(OR(O175="Received",O175="Closed"),P175=""),"EV-ID needed once received",IF(AND(B175="3 Sample",E175=""),"Sample request needs a TEST-ID","OK"))))))</f>
        <v/>
      </c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7"/>
      <c r="I176" s="17"/>
      <c r="J176" s="16"/>
      <c r="K176" s="18" t="str">
        <f aca="false">IFERROR(INDEX(Ref_CTRL!$C$2:$C$201,MATCH(C176,Ref_CTRL!$A$2:$A$201,0)),"")</f>
        <v/>
      </c>
      <c r="L176" s="17"/>
      <c r="M176" s="17"/>
      <c r="N176" s="16"/>
      <c r="O176" s="16"/>
      <c r="P176" s="16"/>
      <c r="Q176" s="18" t="str">
        <f aca="false">IF(J176="Population","Y","")</f>
        <v/>
      </c>
      <c r="R176" s="18" t="str">
        <f aca="true">IF(OR(A176="",M176="",O176="Received",O176="Closed"),"",IF(TODAY()&gt;M176,TODAY()-M176,0))</f>
        <v/>
      </c>
      <c r="S176" s="16"/>
      <c r="T176" s="18" t="str">
        <f aca="false">IF(A176="","",IF(OR(B176="",C176="",G176="",J176=""),"Wave, control, evidence description, type needed",IF(COUNTIF(Ref_CTRL!$A$2:$A$201,C176)=0,"CTRL-ID not in W05",IF(OR(H176="",I176=""),"Period / as-of dates needed",IF(AND(OR(O176="Received",O176="Closed"),P176=""),"EV-ID needed once received",IF(AND(B176="3 Sample",E176=""),"Sample request needs a TEST-ID","OK"))))))</f>
        <v/>
      </c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7"/>
      <c r="I177" s="17"/>
      <c r="J177" s="16"/>
      <c r="K177" s="18" t="str">
        <f aca="false">IFERROR(INDEX(Ref_CTRL!$C$2:$C$201,MATCH(C177,Ref_CTRL!$A$2:$A$201,0)),"")</f>
        <v/>
      </c>
      <c r="L177" s="17"/>
      <c r="M177" s="17"/>
      <c r="N177" s="16"/>
      <c r="O177" s="16"/>
      <c r="P177" s="16"/>
      <c r="Q177" s="18" t="str">
        <f aca="false">IF(J177="Population","Y","")</f>
        <v/>
      </c>
      <c r="R177" s="18" t="str">
        <f aca="true">IF(OR(A177="",M177="",O177="Received",O177="Closed"),"",IF(TODAY()&gt;M177,TODAY()-M177,0))</f>
        <v/>
      </c>
      <c r="S177" s="16"/>
      <c r="T177" s="18" t="str">
        <f aca="false">IF(A177="","",IF(OR(B177="",C177="",G177="",J177=""),"Wave, control, evidence description, type needed",IF(COUNTIF(Ref_CTRL!$A$2:$A$201,C177)=0,"CTRL-ID not in W05",IF(OR(H177="",I177=""),"Period / as-of dates needed",IF(AND(OR(O177="Received",O177="Closed"),P177=""),"EV-ID needed once received",IF(AND(B177="3 Sample",E177=""),"Sample request needs a TEST-ID","OK"))))))</f>
        <v/>
      </c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7"/>
      <c r="I178" s="17"/>
      <c r="J178" s="16"/>
      <c r="K178" s="18" t="str">
        <f aca="false">IFERROR(INDEX(Ref_CTRL!$C$2:$C$201,MATCH(C178,Ref_CTRL!$A$2:$A$201,0)),"")</f>
        <v/>
      </c>
      <c r="L178" s="17"/>
      <c r="M178" s="17"/>
      <c r="N178" s="16"/>
      <c r="O178" s="16"/>
      <c r="P178" s="16"/>
      <c r="Q178" s="18" t="str">
        <f aca="false">IF(J178="Population","Y","")</f>
        <v/>
      </c>
      <c r="R178" s="18" t="str">
        <f aca="true">IF(OR(A178="",M178="",O178="Received",O178="Closed"),"",IF(TODAY()&gt;M178,TODAY()-M178,0))</f>
        <v/>
      </c>
      <c r="S178" s="16"/>
      <c r="T178" s="18" t="str">
        <f aca="false">IF(A178="","",IF(OR(B178="",C178="",G178="",J178=""),"Wave, control, evidence description, type needed",IF(COUNTIF(Ref_CTRL!$A$2:$A$201,C178)=0,"CTRL-ID not in W05",IF(OR(H178="",I178=""),"Period / as-of dates needed",IF(AND(OR(O178="Received",O178="Closed"),P178=""),"EV-ID needed once received",IF(AND(B178="3 Sample",E178=""),"Sample request needs a TEST-ID","OK"))))))</f>
        <v/>
      </c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7"/>
      <c r="I179" s="17"/>
      <c r="J179" s="16"/>
      <c r="K179" s="18" t="str">
        <f aca="false">IFERROR(INDEX(Ref_CTRL!$C$2:$C$201,MATCH(C179,Ref_CTRL!$A$2:$A$201,0)),"")</f>
        <v/>
      </c>
      <c r="L179" s="17"/>
      <c r="M179" s="17"/>
      <c r="N179" s="16"/>
      <c r="O179" s="16"/>
      <c r="P179" s="16"/>
      <c r="Q179" s="18" t="str">
        <f aca="false">IF(J179="Population","Y","")</f>
        <v/>
      </c>
      <c r="R179" s="18" t="str">
        <f aca="true">IF(OR(A179="",M179="",O179="Received",O179="Closed"),"",IF(TODAY()&gt;M179,TODAY()-M179,0))</f>
        <v/>
      </c>
      <c r="S179" s="16"/>
      <c r="T179" s="18" t="str">
        <f aca="false">IF(A179="","",IF(OR(B179="",C179="",G179="",J179=""),"Wave, control, evidence description, type needed",IF(COUNTIF(Ref_CTRL!$A$2:$A$201,C179)=0,"CTRL-ID not in W05",IF(OR(H179="",I179=""),"Period / as-of dates needed",IF(AND(OR(O179="Received",O179="Closed"),P179=""),"EV-ID needed once received",IF(AND(B179="3 Sample",E179=""),"Sample request needs a TEST-ID","OK"))))))</f>
        <v/>
      </c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7"/>
      <c r="I180" s="17"/>
      <c r="J180" s="16"/>
      <c r="K180" s="18" t="str">
        <f aca="false">IFERROR(INDEX(Ref_CTRL!$C$2:$C$201,MATCH(C180,Ref_CTRL!$A$2:$A$201,0)),"")</f>
        <v/>
      </c>
      <c r="L180" s="17"/>
      <c r="M180" s="17"/>
      <c r="N180" s="16"/>
      <c r="O180" s="16"/>
      <c r="P180" s="16"/>
      <c r="Q180" s="18" t="str">
        <f aca="false">IF(J180="Population","Y","")</f>
        <v/>
      </c>
      <c r="R180" s="18" t="str">
        <f aca="true">IF(OR(A180="",M180="",O180="Received",O180="Closed"),"",IF(TODAY()&gt;M180,TODAY()-M180,0))</f>
        <v/>
      </c>
      <c r="S180" s="16"/>
      <c r="T180" s="18" t="str">
        <f aca="false">IF(A180="","",IF(OR(B180="",C180="",G180="",J180=""),"Wave, control, evidence description, type needed",IF(COUNTIF(Ref_CTRL!$A$2:$A$201,C180)=0,"CTRL-ID not in W05",IF(OR(H180="",I180=""),"Period / as-of dates needed",IF(AND(OR(O180="Received",O180="Closed"),P180=""),"EV-ID needed once received",IF(AND(B180="3 Sample",E180=""),"Sample request needs a TEST-ID","OK"))))))</f>
        <v/>
      </c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7"/>
      <c r="I181" s="17"/>
      <c r="J181" s="16"/>
      <c r="K181" s="18" t="str">
        <f aca="false">IFERROR(INDEX(Ref_CTRL!$C$2:$C$201,MATCH(C181,Ref_CTRL!$A$2:$A$201,0)),"")</f>
        <v/>
      </c>
      <c r="L181" s="17"/>
      <c r="M181" s="17"/>
      <c r="N181" s="16"/>
      <c r="O181" s="16"/>
      <c r="P181" s="16"/>
      <c r="Q181" s="18" t="str">
        <f aca="false">IF(J181="Population","Y","")</f>
        <v/>
      </c>
      <c r="R181" s="18" t="str">
        <f aca="true">IF(OR(A181="",M181="",O181="Received",O181="Closed"),"",IF(TODAY()&gt;M181,TODAY()-M181,0))</f>
        <v/>
      </c>
      <c r="S181" s="16"/>
      <c r="T181" s="18" t="str">
        <f aca="false">IF(A181="","",IF(OR(B181="",C181="",G181="",J181=""),"Wave, control, evidence description, type needed",IF(COUNTIF(Ref_CTRL!$A$2:$A$201,C181)=0,"CTRL-ID not in W05",IF(OR(H181="",I181=""),"Period / as-of dates needed",IF(AND(OR(O181="Received",O181="Closed"),P181=""),"EV-ID needed once received",IF(AND(B181="3 Sample",E181=""),"Sample request needs a TEST-ID","OK"))))))</f>
        <v/>
      </c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7"/>
      <c r="I182" s="17"/>
      <c r="J182" s="16"/>
      <c r="K182" s="18" t="str">
        <f aca="false">IFERROR(INDEX(Ref_CTRL!$C$2:$C$201,MATCH(C182,Ref_CTRL!$A$2:$A$201,0)),"")</f>
        <v/>
      </c>
      <c r="L182" s="17"/>
      <c r="M182" s="17"/>
      <c r="N182" s="16"/>
      <c r="O182" s="16"/>
      <c r="P182" s="16"/>
      <c r="Q182" s="18" t="str">
        <f aca="false">IF(J182="Population","Y","")</f>
        <v/>
      </c>
      <c r="R182" s="18" t="str">
        <f aca="true">IF(OR(A182="",M182="",O182="Received",O182="Closed"),"",IF(TODAY()&gt;M182,TODAY()-M182,0))</f>
        <v/>
      </c>
      <c r="S182" s="16"/>
      <c r="T182" s="18" t="str">
        <f aca="false">IF(A182="","",IF(OR(B182="",C182="",G182="",J182=""),"Wave, control, evidence description, type needed",IF(COUNTIF(Ref_CTRL!$A$2:$A$201,C182)=0,"CTRL-ID not in W05",IF(OR(H182="",I182=""),"Period / as-of dates needed",IF(AND(OR(O182="Received",O182="Closed"),P182=""),"EV-ID needed once received",IF(AND(B182="3 Sample",E182=""),"Sample request needs a TEST-ID","OK"))))))</f>
        <v/>
      </c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7"/>
      <c r="I183" s="17"/>
      <c r="J183" s="16"/>
      <c r="K183" s="18" t="str">
        <f aca="false">IFERROR(INDEX(Ref_CTRL!$C$2:$C$201,MATCH(C183,Ref_CTRL!$A$2:$A$201,0)),"")</f>
        <v/>
      </c>
      <c r="L183" s="17"/>
      <c r="M183" s="17"/>
      <c r="N183" s="16"/>
      <c r="O183" s="16"/>
      <c r="P183" s="16"/>
      <c r="Q183" s="18" t="str">
        <f aca="false">IF(J183="Population","Y","")</f>
        <v/>
      </c>
      <c r="R183" s="18" t="str">
        <f aca="true">IF(OR(A183="",M183="",O183="Received",O183="Closed"),"",IF(TODAY()&gt;M183,TODAY()-M183,0))</f>
        <v/>
      </c>
      <c r="S183" s="16"/>
      <c r="T183" s="18" t="str">
        <f aca="false">IF(A183="","",IF(OR(B183="",C183="",G183="",J183=""),"Wave, control, evidence description, type needed",IF(COUNTIF(Ref_CTRL!$A$2:$A$201,C183)=0,"CTRL-ID not in W05",IF(OR(H183="",I183=""),"Period / as-of dates needed",IF(AND(OR(O183="Received",O183="Closed"),P183=""),"EV-ID needed once received",IF(AND(B183="3 Sample",E183=""),"Sample request needs a TEST-ID","OK"))))))</f>
        <v/>
      </c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7"/>
      <c r="I184" s="17"/>
      <c r="J184" s="16"/>
      <c r="K184" s="18" t="str">
        <f aca="false">IFERROR(INDEX(Ref_CTRL!$C$2:$C$201,MATCH(C184,Ref_CTRL!$A$2:$A$201,0)),"")</f>
        <v/>
      </c>
      <c r="L184" s="17"/>
      <c r="M184" s="17"/>
      <c r="N184" s="16"/>
      <c r="O184" s="16"/>
      <c r="P184" s="16"/>
      <c r="Q184" s="18" t="str">
        <f aca="false">IF(J184="Population","Y","")</f>
        <v/>
      </c>
      <c r="R184" s="18" t="str">
        <f aca="true">IF(OR(A184="",M184="",O184="Received",O184="Closed"),"",IF(TODAY()&gt;M184,TODAY()-M184,0))</f>
        <v/>
      </c>
      <c r="S184" s="16"/>
      <c r="T184" s="18" t="str">
        <f aca="false">IF(A184="","",IF(OR(B184="",C184="",G184="",J184=""),"Wave, control, evidence description, type needed",IF(COUNTIF(Ref_CTRL!$A$2:$A$201,C184)=0,"CTRL-ID not in W05",IF(OR(H184="",I184=""),"Period / as-of dates needed",IF(AND(OR(O184="Received",O184="Closed"),P184=""),"EV-ID needed once received",IF(AND(B184="3 Sample",E184=""),"Sample request needs a TEST-ID","OK"))))))</f>
        <v/>
      </c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7"/>
      <c r="I185" s="17"/>
      <c r="J185" s="16"/>
      <c r="K185" s="18" t="str">
        <f aca="false">IFERROR(INDEX(Ref_CTRL!$C$2:$C$201,MATCH(C185,Ref_CTRL!$A$2:$A$201,0)),"")</f>
        <v/>
      </c>
      <c r="L185" s="17"/>
      <c r="M185" s="17"/>
      <c r="N185" s="16"/>
      <c r="O185" s="16"/>
      <c r="P185" s="16"/>
      <c r="Q185" s="18" t="str">
        <f aca="false">IF(J185="Population","Y","")</f>
        <v/>
      </c>
      <c r="R185" s="18" t="str">
        <f aca="true">IF(OR(A185="",M185="",O185="Received",O185="Closed"),"",IF(TODAY()&gt;M185,TODAY()-M185,0))</f>
        <v/>
      </c>
      <c r="S185" s="16"/>
      <c r="T185" s="18" t="str">
        <f aca="false">IF(A185="","",IF(OR(B185="",C185="",G185="",J185=""),"Wave, control, evidence description, type needed",IF(COUNTIF(Ref_CTRL!$A$2:$A$201,C185)=0,"CTRL-ID not in W05",IF(OR(H185="",I185=""),"Period / as-of dates needed",IF(AND(OR(O185="Received",O185="Closed"),P185=""),"EV-ID needed once received",IF(AND(B185="3 Sample",E185=""),"Sample request needs a TEST-ID","OK"))))))</f>
        <v/>
      </c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7"/>
      <c r="I186" s="17"/>
      <c r="J186" s="16"/>
      <c r="K186" s="18" t="str">
        <f aca="false">IFERROR(INDEX(Ref_CTRL!$C$2:$C$201,MATCH(C186,Ref_CTRL!$A$2:$A$201,0)),"")</f>
        <v/>
      </c>
      <c r="L186" s="17"/>
      <c r="M186" s="17"/>
      <c r="N186" s="16"/>
      <c r="O186" s="16"/>
      <c r="P186" s="16"/>
      <c r="Q186" s="18" t="str">
        <f aca="false">IF(J186="Population","Y","")</f>
        <v/>
      </c>
      <c r="R186" s="18" t="str">
        <f aca="true">IF(OR(A186="",M186="",O186="Received",O186="Closed"),"",IF(TODAY()&gt;M186,TODAY()-M186,0))</f>
        <v/>
      </c>
      <c r="S186" s="16"/>
      <c r="T186" s="18" t="str">
        <f aca="false">IF(A186="","",IF(OR(B186="",C186="",G186="",J186=""),"Wave, control, evidence description, type needed",IF(COUNTIF(Ref_CTRL!$A$2:$A$201,C186)=0,"CTRL-ID not in W05",IF(OR(H186="",I186=""),"Period / as-of dates needed",IF(AND(OR(O186="Received",O186="Closed"),P186=""),"EV-ID needed once received",IF(AND(B186="3 Sample",E186=""),"Sample request needs a TEST-ID","OK"))))))</f>
        <v/>
      </c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7"/>
      <c r="I187" s="17"/>
      <c r="J187" s="16"/>
      <c r="K187" s="18" t="str">
        <f aca="false">IFERROR(INDEX(Ref_CTRL!$C$2:$C$201,MATCH(C187,Ref_CTRL!$A$2:$A$201,0)),"")</f>
        <v/>
      </c>
      <c r="L187" s="17"/>
      <c r="M187" s="17"/>
      <c r="N187" s="16"/>
      <c r="O187" s="16"/>
      <c r="P187" s="16"/>
      <c r="Q187" s="18" t="str">
        <f aca="false">IF(J187="Population","Y","")</f>
        <v/>
      </c>
      <c r="R187" s="18" t="str">
        <f aca="true">IF(OR(A187="",M187="",O187="Received",O187="Closed"),"",IF(TODAY()&gt;M187,TODAY()-M187,0))</f>
        <v/>
      </c>
      <c r="S187" s="16"/>
      <c r="T187" s="18" t="str">
        <f aca="false">IF(A187="","",IF(OR(B187="",C187="",G187="",J187=""),"Wave, control, evidence description, type needed",IF(COUNTIF(Ref_CTRL!$A$2:$A$201,C187)=0,"CTRL-ID not in W05",IF(OR(H187="",I187=""),"Period / as-of dates needed",IF(AND(OR(O187="Received",O187="Closed"),P187=""),"EV-ID needed once received",IF(AND(B187="3 Sample",E187=""),"Sample request needs a TEST-ID","OK"))))))</f>
        <v/>
      </c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7"/>
      <c r="I188" s="17"/>
      <c r="J188" s="16"/>
      <c r="K188" s="18" t="str">
        <f aca="false">IFERROR(INDEX(Ref_CTRL!$C$2:$C$201,MATCH(C188,Ref_CTRL!$A$2:$A$201,0)),"")</f>
        <v/>
      </c>
      <c r="L188" s="17"/>
      <c r="M188" s="17"/>
      <c r="N188" s="16"/>
      <c r="O188" s="16"/>
      <c r="P188" s="16"/>
      <c r="Q188" s="18" t="str">
        <f aca="false">IF(J188="Population","Y","")</f>
        <v/>
      </c>
      <c r="R188" s="18" t="str">
        <f aca="true">IF(OR(A188="",M188="",O188="Received",O188="Closed"),"",IF(TODAY()&gt;M188,TODAY()-M188,0))</f>
        <v/>
      </c>
      <c r="S188" s="16"/>
      <c r="T188" s="18" t="str">
        <f aca="false">IF(A188="","",IF(OR(B188="",C188="",G188="",J188=""),"Wave, control, evidence description, type needed",IF(COUNTIF(Ref_CTRL!$A$2:$A$201,C188)=0,"CTRL-ID not in W05",IF(OR(H188="",I188=""),"Period / as-of dates needed",IF(AND(OR(O188="Received",O188="Closed"),P188=""),"EV-ID needed once received",IF(AND(B188="3 Sample",E188=""),"Sample request needs a TEST-ID","OK"))))))</f>
        <v/>
      </c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7"/>
      <c r="I189" s="17"/>
      <c r="J189" s="16"/>
      <c r="K189" s="18" t="str">
        <f aca="false">IFERROR(INDEX(Ref_CTRL!$C$2:$C$201,MATCH(C189,Ref_CTRL!$A$2:$A$201,0)),"")</f>
        <v/>
      </c>
      <c r="L189" s="17"/>
      <c r="M189" s="17"/>
      <c r="N189" s="16"/>
      <c r="O189" s="16"/>
      <c r="P189" s="16"/>
      <c r="Q189" s="18" t="str">
        <f aca="false">IF(J189="Population","Y","")</f>
        <v/>
      </c>
      <c r="R189" s="18" t="str">
        <f aca="true">IF(OR(A189="",M189="",O189="Received",O189="Closed"),"",IF(TODAY()&gt;M189,TODAY()-M189,0))</f>
        <v/>
      </c>
      <c r="S189" s="16"/>
      <c r="T189" s="18" t="str">
        <f aca="false">IF(A189="","",IF(OR(B189="",C189="",G189="",J189=""),"Wave, control, evidence description, type needed",IF(COUNTIF(Ref_CTRL!$A$2:$A$201,C189)=0,"CTRL-ID not in W05",IF(OR(H189="",I189=""),"Period / as-of dates needed",IF(AND(OR(O189="Received",O189="Closed"),P189=""),"EV-ID needed once received",IF(AND(B189="3 Sample",E189=""),"Sample request needs a TEST-ID","OK"))))))</f>
        <v/>
      </c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7"/>
      <c r="I190" s="17"/>
      <c r="J190" s="16"/>
      <c r="K190" s="18" t="str">
        <f aca="false">IFERROR(INDEX(Ref_CTRL!$C$2:$C$201,MATCH(C190,Ref_CTRL!$A$2:$A$201,0)),"")</f>
        <v/>
      </c>
      <c r="L190" s="17"/>
      <c r="M190" s="17"/>
      <c r="N190" s="16"/>
      <c r="O190" s="16"/>
      <c r="P190" s="16"/>
      <c r="Q190" s="18" t="str">
        <f aca="false">IF(J190="Population","Y","")</f>
        <v/>
      </c>
      <c r="R190" s="18" t="str">
        <f aca="true">IF(OR(A190="",M190="",O190="Received",O190="Closed"),"",IF(TODAY()&gt;M190,TODAY()-M190,0))</f>
        <v/>
      </c>
      <c r="S190" s="16"/>
      <c r="T190" s="18" t="str">
        <f aca="false">IF(A190="","",IF(OR(B190="",C190="",G190="",J190=""),"Wave, control, evidence description, type needed",IF(COUNTIF(Ref_CTRL!$A$2:$A$201,C190)=0,"CTRL-ID not in W05",IF(OR(H190="",I190=""),"Period / as-of dates needed",IF(AND(OR(O190="Received",O190="Closed"),P190=""),"EV-ID needed once received",IF(AND(B190="3 Sample",E190=""),"Sample request needs a TEST-ID","OK"))))))</f>
        <v/>
      </c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7"/>
      <c r="I191" s="17"/>
      <c r="J191" s="16"/>
      <c r="K191" s="18" t="str">
        <f aca="false">IFERROR(INDEX(Ref_CTRL!$C$2:$C$201,MATCH(C191,Ref_CTRL!$A$2:$A$201,0)),"")</f>
        <v/>
      </c>
      <c r="L191" s="17"/>
      <c r="M191" s="17"/>
      <c r="N191" s="16"/>
      <c r="O191" s="16"/>
      <c r="P191" s="16"/>
      <c r="Q191" s="18" t="str">
        <f aca="false">IF(J191="Population","Y","")</f>
        <v/>
      </c>
      <c r="R191" s="18" t="str">
        <f aca="true">IF(OR(A191="",M191="",O191="Received",O191="Closed"),"",IF(TODAY()&gt;M191,TODAY()-M191,0))</f>
        <v/>
      </c>
      <c r="S191" s="16"/>
      <c r="T191" s="18" t="str">
        <f aca="false">IF(A191="","",IF(OR(B191="",C191="",G191="",J191=""),"Wave, control, evidence description, type needed",IF(COUNTIF(Ref_CTRL!$A$2:$A$201,C191)=0,"CTRL-ID not in W05",IF(OR(H191="",I191=""),"Period / as-of dates needed",IF(AND(OR(O191="Received",O191="Closed"),P191=""),"EV-ID needed once received",IF(AND(B191="3 Sample",E191=""),"Sample request needs a TEST-ID","OK"))))))</f>
        <v/>
      </c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7"/>
      <c r="I192" s="17"/>
      <c r="J192" s="16"/>
      <c r="K192" s="18" t="str">
        <f aca="false">IFERROR(INDEX(Ref_CTRL!$C$2:$C$201,MATCH(C192,Ref_CTRL!$A$2:$A$201,0)),"")</f>
        <v/>
      </c>
      <c r="L192" s="17"/>
      <c r="M192" s="17"/>
      <c r="N192" s="16"/>
      <c r="O192" s="16"/>
      <c r="P192" s="16"/>
      <c r="Q192" s="18" t="str">
        <f aca="false">IF(J192="Population","Y","")</f>
        <v/>
      </c>
      <c r="R192" s="18" t="str">
        <f aca="true">IF(OR(A192="",M192="",O192="Received",O192="Closed"),"",IF(TODAY()&gt;M192,TODAY()-M192,0))</f>
        <v/>
      </c>
      <c r="S192" s="16"/>
      <c r="T192" s="18" t="str">
        <f aca="false">IF(A192="","",IF(OR(B192="",C192="",G192="",J192=""),"Wave, control, evidence description, type needed",IF(COUNTIF(Ref_CTRL!$A$2:$A$201,C192)=0,"CTRL-ID not in W05",IF(OR(H192="",I192=""),"Period / as-of dates needed",IF(AND(OR(O192="Received",O192="Closed"),P192=""),"EV-ID needed once received",IF(AND(B192="3 Sample",E192=""),"Sample request needs a TEST-ID","OK"))))))</f>
        <v/>
      </c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7"/>
      <c r="I193" s="17"/>
      <c r="J193" s="16"/>
      <c r="K193" s="18" t="str">
        <f aca="false">IFERROR(INDEX(Ref_CTRL!$C$2:$C$201,MATCH(C193,Ref_CTRL!$A$2:$A$201,0)),"")</f>
        <v/>
      </c>
      <c r="L193" s="17"/>
      <c r="M193" s="17"/>
      <c r="N193" s="16"/>
      <c r="O193" s="16"/>
      <c r="P193" s="16"/>
      <c r="Q193" s="18" t="str">
        <f aca="false">IF(J193="Population","Y","")</f>
        <v/>
      </c>
      <c r="R193" s="18" t="str">
        <f aca="true">IF(OR(A193="",M193="",O193="Received",O193="Closed"),"",IF(TODAY()&gt;M193,TODAY()-M193,0))</f>
        <v/>
      </c>
      <c r="S193" s="16"/>
      <c r="T193" s="18" t="str">
        <f aca="false">IF(A193="","",IF(OR(B193="",C193="",G193="",J193=""),"Wave, control, evidence description, type needed",IF(COUNTIF(Ref_CTRL!$A$2:$A$201,C193)=0,"CTRL-ID not in W05",IF(OR(H193="",I193=""),"Period / as-of dates needed",IF(AND(OR(O193="Received",O193="Closed"),P193=""),"EV-ID needed once received",IF(AND(B193="3 Sample",E193=""),"Sample request needs a TEST-ID","OK"))))))</f>
        <v/>
      </c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7"/>
      <c r="I194" s="17"/>
      <c r="J194" s="16"/>
      <c r="K194" s="18" t="str">
        <f aca="false">IFERROR(INDEX(Ref_CTRL!$C$2:$C$201,MATCH(C194,Ref_CTRL!$A$2:$A$201,0)),"")</f>
        <v/>
      </c>
      <c r="L194" s="17"/>
      <c r="M194" s="17"/>
      <c r="N194" s="16"/>
      <c r="O194" s="16"/>
      <c r="P194" s="16"/>
      <c r="Q194" s="18" t="str">
        <f aca="false">IF(J194="Population","Y","")</f>
        <v/>
      </c>
      <c r="R194" s="18" t="str">
        <f aca="true">IF(OR(A194="",M194="",O194="Received",O194="Closed"),"",IF(TODAY()&gt;M194,TODAY()-M194,0))</f>
        <v/>
      </c>
      <c r="S194" s="16"/>
      <c r="T194" s="18" t="str">
        <f aca="false">IF(A194="","",IF(OR(B194="",C194="",G194="",J194=""),"Wave, control, evidence description, type needed",IF(COUNTIF(Ref_CTRL!$A$2:$A$201,C194)=0,"CTRL-ID not in W05",IF(OR(H194="",I194=""),"Period / as-of dates needed",IF(AND(OR(O194="Received",O194="Closed"),P194=""),"EV-ID needed once received",IF(AND(B194="3 Sample",E194=""),"Sample request needs a TEST-ID","OK"))))))</f>
        <v/>
      </c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7"/>
      <c r="I195" s="17"/>
      <c r="J195" s="16"/>
      <c r="K195" s="18" t="str">
        <f aca="false">IFERROR(INDEX(Ref_CTRL!$C$2:$C$201,MATCH(C195,Ref_CTRL!$A$2:$A$201,0)),"")</f>
        <v/>
      </c>
      <c r="L195" s="17"/>
      <c r="M195" s="17"/>
      <c r="N195" s="16"/>
      <c r="O195" s="16"/>
      <c r="P195" s="16"/>
      <c r="Q195" s="18" t="str">
        <f aca="false">IF(J195="Population","Y","")</f>
        <v/>
      </c>
      <c r="R195" s="18" t="str">
        <f aca="true">IF(OR(A195="",M195="",O195="Received",O195="Closed"),"",IF(TODAY()&gt;M195,TODAY()-M195,0))</f>
        <v/>
      </c>
      <c r="S195" s="16"/>
      <c r="T195" s="18" t="str">
        <f aca="false">IF(A195="","",IF(OR(B195="",C195="",G195="",J195=""),"Wave, control, evidence description, type needed",IF(COUNTIF(Ref_CTRL!$A$2:$A$201,C195)=0,"CTRL-ID not in W05",IF(OR(H195="",I195=""),"Period / as-of dates needed",IF(AND(OR(O195="Received",O195="Closed"),P195=""),"EV-ID needed once received",IF(AND(B195="3 Sample",E195=""),"Sample request needs a TEST-ID","OK"))))))</f>
        <v/>
      </c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7"/>
      <c r="I196" s="17"/>
      <c r="J196" s="16"/>
      <c r="K196" s="18" t="str">
        <f aca="false">IFERROR(INDEX(Ref_CTRL!$C$2:$C$201,MATCH(C196,Ref_CTRL!$A$2:$A$201,0)),"")</f>
        <v/>
      </c>
      <c r="L196" s="17"/>
      <c r="M196" s="17"/>
      <c r="N196" s="16"/>
      <c r="O196" s="16"/>
      <c r="P196" s="16"/>
      <c r="Q196" s="18" t="str">
        <f aca="false">IF(J196="Population","Y","")</f>
        <v/>
      </c>
      <c r="R196" s="18" t="str">
        <f aca="true">IF(OR(A196="",M196="",O196="Received",O196="Closed"),"",IF(TODAY()&gt;M196,TODAY()-M196,0))</f>
        <v/>
      </c>
      <c r="S196" s="16"/>
      <c r="T196" s="18" t="str">
        <f aca="false">IF(A196="","",IF(OR(B196="",C196="",G196="",J196=""),"Wave, control, evidence description, type needed",IF(COUNTIF(Ref_CTRL!$A$2:$A$201,C196)=0,"CTRL-ID not in W05",IF(OR(H196="",I196=""),"Period / as-of dates needed",IF(AND(OR(O196="Received",O196="Closed"),P196=""),"EV-ID needed once received",IF(AND(B196="3 Sample",E196=""),"Sample request needs a TEST-ID","OK"))))))</f>
        <v/>
      </c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7"/>
      <c r="I197" s="17"/>
      <c r="J197" s="16"/>
      <c r="K197" s="18" t="str">
        <f aca="false">IFERROR(INDEX(Ref_CTRL!$C$2:$C$201,MATCH(C197,Ref_CTRL!$A$2:$A$201,0)),"")</f>
        <v/>
      </c>
      <c r="L197" s="17"/>
      <c r="M197" s="17"/>
      <c r="N197" s="16"/>
      <c r="O197" s="16"/>
      <c r="P197" s="16"/>
      <c r="Q197" s="18" t="str">
        <f aca="false">IF(J197="Population","Y","")</f>
        <v/>
      </c>
      <c r="R197" s="18" t="str">
        <f aca="true">IF(OR(A197="",M197="",O197="Received",O197="Closed"),"",IF(TODAY()&gt;M197,TODAY()-M197,0))</f>
        <v/>
      </c>
      <c r="S197" s="16"/>
      <c r="T197" s="18" t="str">
        <f aca="false">IF(A197="","",IF(OR(B197="",C197="",G197="",J197=""),"Wave, control, evidence description, type needed",IF(COUNTIF(Ref_CTRL!$A$2:$A$201,C197)=0,"CTRL-ID not in W05",IF(OR(H197="",I197=""),"Period / as-of dates needed",IF(AND(OR(O197="Received",O197="Closed"),P197=""),"EV-ID needed once received",IF(AND(B197="3 Sample",E197=""),"Sample request needs a TEST-ID","OK"))))))</f>
        <v/>
      </c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7"/>
      <c r="I198" s="17"/>
      <c r="J198" s="16"/>
      <c r="K198" s="18" t="str">
        <f aca="false">IFERROR(INDEX(Ref_CTRL!$C$2:$C$201,MATCH(C198,Ref_CTRL!$A$2:$A$201,0)),"")</f>
        <v/>
      </c>
      <c r="L198" s="17"/>
      <c r="M198" s="17"/>
      <c r="N198" s="16"/>
      <c r="O198" s="16"/>
      <c r="P198" s="16"/>
      <c r="Q198" s="18" t="str">
        <f aca="false">IF(J198="Population","Y","")</f>
        <v/>
      </c>
      <c r="R198" s="18" t="str">
        <f aca="true">IF(OR(A198="",M198="",O198="Received",O198="Closed"),"",IF(TODAY()&gt;M198,TODAY()-M198,0))</f>
        <v/>
      </c>
      <c r="S198" s="16"/>
      <c r="T198" s="18" t="str">
        <f aca="false">IF(A198="","",IF(OR(B198="",C198="",G198="",J198=""),"Wave, control, evidence description, type needed",IF(COUNTIF(Ref_CTRL!$A$2:$A$201,C198)=0,"CTRL-ID not in W05",IF(OR(H198="",I198=""),"Period / as-of dates needed",IF(AND(OR(O198="Received",O198="Closed"),P198=""),"EV-ID needed once received",IF(AND(B198="3 Sample",E198=""),"Sample request needs a TEST-ID","OK"))))))</f>
        <v/>
      </c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7"/>
      <c r="I199" s="17"/>
      <c r="J199" s="16"/>
      <c r="K199" s="18" t="str">
        <f aca="false">IFERROR(INDEX(Ref_CTRL!$C$2:$C$201,MATCH(C199,Ref_CTRL!$A$2:$A$201,0)),"")</f>
        <v/>
      </c>
      <c r="L199" s="17"/>
      <c r="M199" s="17"/>
      <c r="N199" s="16"/>
      <c r="O199" s="16"/>
      <c r="P199" s="16"/>
      <c r="Q199" s="18" t="str">
        <f aca="false">IF(J199="Population","Y","")</f>
        <v/>
      </c>
      <c r="R199" s="18" t="str">
        <f aca="true">IF(OR(A199="",M199="",O199="Received",O199="Closed"),"",IF(TODAY()&gt;M199,TODAY()-M199,0))</f>
        <v/>
      </c>
      <c r="S199" s="16"/>
      <c r="T199" s="18" t="str">
        <f aca="false">IF(A199="","",IF(OR(B199="",C199="",G199="",J199=""),"Wave, control, evidence description, type needed",IF(COUNTIF(Ref_CTRL!$A$2:$A$201,C199)=0,"CTRL-ID not in W05",IF(OR(H199="",I199=""),"Period / as-of dates needed",IF(AND(OR(O199="Received",O199="Closed"),P199=""),"EV-ID needed once received",IF(AND(B199="3 Sample",E199=""),"Sample request needs a TEST-ID","OK"))))))</f>
        <v/>
      </c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7"/>
      <c r="I200" s="17"/>
      <c r="J200" s="16"/>
      <c r="K200" s="18" t="str">
        <f aca="false">IFERROR(INDEX(Ref_CTRL!$C$2:$C$201,MATCH(C200,Ref_CTRL!$A$2:$A$201,0)),"")</f>
        <v/>
      </c>
      <c r="L200" s="17"/>
      <c r="M200" s="17"/>
      <c r="N200" s="16"/>
      <c r="O200" s="16"/>
      <c r="P200" s="16"/>
      <c r="Q200" s="18" t="str">
        <f aca="false">IF(J200="Population","Y","")</f>
        <v/>
      </c>
      <c r="R200" s="18" t="str">
        <f aca="true">IF(OR(A200="",M200="",O200="Received",O200="Closed"),"",IF(TODAY()&gt;M200,TODAY()-M200,0))</f>
        <v/>
      </c>
      <c r="S200" s="16"/>
      <c r="T200" s="18" t="str">
        <f aca="false">IF(A200="","",IF(OR(B200="",C200="",G200="",J200=""),"Wave, control, evidence description, type needed",IF(COUNTIF(Ref_CTRL!$A$2:$A$201,C200)=0,"CTRL-ID not in W05",IF(OR(H200="",I200=""),"Period / as-of dates needed",IF(AND(OR(O200="Received",O200="Closed"),P200=""),"EV-ID needed once received",IF(AND(B200="3 Sample",E200=""),"Sample request needs a TEST-ID","OK"))))))</f>
        <v/>
      </c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7"/>
      <c r="I201" s="17"/>
      <c r="J201" s="16"/>
      <c r="K201" s="18" t="str">
        <f aca="false">IFERROR(INDEX(Ref_CTRL!$C$2:$C$201,MATCH(C201,Ref_CTRL!$A$2:$A$201,0)),"")</f>
        <v/>
      </c>
      <c r="L201" s="17"/>
      <c r="M201" s="17"/>
      <c r="N201" s="16"/>
      <c r="O201" s="16"/>
      <c r="P201" s="16"/>
      <c r="Q201" s="18" t="str">
        <f aca="false">IF(J201="Population","Y","")</f>
        <v/>
      </c>
      <c r="R201" s="18" t="str">
        <f aca="true">IF(OR(A201="",M201="",O201="Received",O201="Closed"),"",IF(TODAY()&gt;M201,TODAY()-M201,0))</f>
        <v/>
      </c>
      <c r="S201" s="16"/>
      <c r="T201" s="18" t="str">
        <f aca="false">IF(A201="","",IF(OR(B201="",C201="",G201="",J201=""),"Wave, control, evidence description, type needed",IF(COUNTIF(Ref_CTRL!$A$2:$A$201,C201)=0,"CTRL-ID not in W05",IF(OR(H201="",I201=""),"Period / as-of dates needed",IF(AND(OR(O201="Received",O201="Closed"),P201=""),"EV-ID needed once received",IF(AND(B201="3 Sample",E201=""),"Sample request needs a TEST-ID","OK"))))))</f>
        <v/>
      </c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7"/>
      <c r="I202" s="17"/>
      <c r="J202" s="16"/>
      <c r="K202" s="18" t="str">
        <f aca="false">IFERROR(INDEX(Ref_CTRL!$C$2:$C$201,MATCH(C202,Ref_CTRL!$A$2:$A$201,0)),"")</f>
        <v/>
      </c>
      <c r="L202" s="17"/>
      <c r="M202" s="17"/>
      <c r="N202" s="16"/>
      <c r="O202" s="16"/>
      <c r="P202" s="16"/>
      <c r="Q202" s="18" t="str">
        <f aca="false">IF(J202="Population","Y","")</f>
        <v/>
      </c>
      <c r="R202" s="18" t="str">
        <f aca="true">IF(OR(A202="",M202="",O202="Received",O202="Closed"),"",IF(TODAY()&gt;M202,TODAY()-M202,0))</f>
        <v/>
      </c>
      <c r="S202" s="16"/>
      <c r="T202" s="18" t="str">
        <f aca="false">IF(A202="","",IF(OR(B202="",C202="",G202="",J202=""),"Wave, control, evidence description, type needed",IF(COUNTIF(Ref_CTRL!$A$2:$A$201,C202)=0,"CTRL-ID not in W05",IF(OR(H202="",I202=""),"Period / as-of dates needed",IF(AND(OR(O202="Received",O202="Closed"),P202=""),"EV-ID needed once received",IF(AND(B202="3 Sample",E202=""),"Sample request needs a TEST-ID","OK"))))))</f>
        <v/>
      </c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7"/>
      <c r="I203" s="17"/>
      <c r="J203" s="16"/>
      <c r="K203" s="18" t="str">
        <f aca="false">IFERROR(INDEX(Ref_CTRL!$C$2:$C$201,MATCH(C203,Ref_CTRL!$A$2:$A$201,0)),"")</f>
        <v/>
      </c>
      <c r="L203" s="17"/>
      <c r="M203" s="17"/>
      <c r="N203" s="16"/>
      <c r="O203" s="16"/>
      <c r="P203" s="16"/>
      <c r="Q203" s="18" t="str">
        <f aca="false">IF(J203="Population","Y","")</f>
        <v/>
      </c>
      <c r="R203" s="18" t="str">
        <f aca="true">IF(OR(A203="",M203="",O203="Received",O203="Closed"),"",IF(TODAY()&gt;M203,TODAY()-M203,0))</f>
        <v/>
      </c>
      <c r="S203" s="16"/>
      <c r="T203" s="18" t="str">
        <f aca="false">IF(A203="","",IF(OR(B203="",C203="",G203="",J203=""),"Wave, control, evidence description, type needed",IF(COUNTIF(Ref_CTRL!$A$2:$A$201,C203)=0,"CTRL-ID not in W05",IF(OR(H203="",I203=""),"Period / as-of dates needed",IF(AND(OR(O203="Received",O203="Closed"),P203=""),"EV-ID needed once received",IF(AND(B203="3 Sample",E203=""),"Sample request needs a TEST-ID","OK"))))))</f>
        <v/>
      </c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7"/>
      <c r="I204" s="17"/>
      <c r="J204" s="16"/>
      <c r="K204" s="18" t="str">
        <f aca="false">IFERROR(INDEX(Ref_CTRL!$C$2:$C$201,MATCH(C204,Ref_CTRL!$A$2:$A$201,0)),"")</f>
        <v/>
      </c>
      <c r="L204" s="17"/>
      <c r="M204" s="17"/>
      <c r="N204" s="16"/>
      <c r="O204" s="16"/>
      <c r="P204" s="16"/>
      <c r="Q204" s="18" t="str">
        <f aca="false">IF(J204="Population","Y","")</f>
        <v/>
      </c>
      <c r="R204" s="18" t="str">
        <f aca="true">IF(OR(A204="",M204="",O204="Received",O204="Closed"),"",IF(TODAY()&gt;M204,TODAY()-M204,0))</f>
        <v/>
      </c>
      <c r="S204" s="16"/>
      <c r="T204" s="18" t="str">
        <f aca="false">IF(A204="","",IF(OR(B204="",C204="",G204="",J204=""),"Wave, control, evidence description, type needed",IF(COUNTIF(Ref_CTRL!$A$2:$A$201,C204)=0,"CTRL-ID not in W05",IF(OR(H204="",I204=""),"Period / as-of dates needed",IF(AND(OR(O204="Received",O204="Closed"),P204=""),"EV-ID needed once received",IF(AND(B204="3 Sample",E204=""),"Sample request needs a TEST-ID","OK"))))))</f>
        <v/>
      </c>
    </row>
  </sheetData>
  <autoFilter ref="A4:T204"/>
  <dataValidations count="5">
    <dataValidation allowBlank="true" error="Pick a value from the list." errorStyle="stop" operator="between" showDropDown="false" showErrorMessage="true" showInputMessage="false" sqref="B5:B204" type="list">
      <formula1>Lists!$A$2:$A$5</formula1>
      <formula2>0</formula2>
    </dataValidation>
    <dataValidation allowBlank="true" error="Pick a value from the list." errorStyle="warning" operator="between" showDropDown="false" showErrorMessage="true" showInputMessage="false" sqref="C5:C204" type="list">
      <formula1>Ref_CTRL!$A$2:$A$201</formula1>
      <formula2>0</formula2>
    </dataValidation>
    <dataValidation allowBlank="true" error="Pick a value from the list." errorStyle="stop" operator="between" showDropDown="false" showErrorMessage="true" showInputMessage="false" sqref="J5:J204" type="list">
      <formula1>Lists!$B$2:$B$5</formula1>
      <formula2>0</formula2>
    </dataValidation>
    <dataValidation allowBlank="true" error="Pick a value from the list." errorStyle="stop" operator="between" showDropDown="false" showErrorMessage="true" showInputMessage="false" sqref="N5:N204" type="list">
      <formula1>Lists!$C$2:$C$4</formula1>
      <formula2>0</formula2>
    </dataValidation>
    <dataValidation allowBlank="true" error="Pick a value from the list." errorStyle="stop" operator="between" showDropDown="false" showErrorMessage="true" showInputMessage="false" sqref="O5:O204" type="list">
      <formula1>Lists!$D$2:$D$6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44"/>
  </cols>
  <sheetData>
    <row r="1" customFormat="false" ht="31.5" hidden="false" customHeight="true" outlineLevel="0" collapsed="false">
      <c r="A1" s="19" t="s">
        <v>95</v>
      </c>
      <c r="B1" s="19" t="s">
        <v>96</v>
      </c>
      <c r="C1" s="19" t="s">
        <v>97</v>
      </c>
      <c r="D1" s="19" t="s">
        <v>98</v>
      </c>
      <c r="E1" s="19" t="s">
        <v>99</v>
      </c>
    </row>
    <row r="2" customFormat="false" ht="15" hidden="false" customHeight="false" outlineLevel="0" collapsed="false">
      <c r="A2" s="20" t="s">
        <v>100</v>
      </c>
      <c r="B2" s="20" t="s">
        <v>101</v>
      </c>
      <c r="C2" s="20" t="s">
        <v>102</v>
      </c>
      <c r="D2" s="20" t="s">
        <v>103</v>
      </c>
      <c r="E2" s="20" t="s">
        <v>104</v>
      </c>
    </row>
    <row r="3" customFormat="false" ht="15" hidden="false" customHeight="false" outlineLevel="0" collapsed="false">
      <c r="A3" s="20" t="s">
        <v>105</v>
      </c>
      <c r="B3" s="20" t="s">
        <v>106</v>
      </c>
      <c r="C3" s="20" t="s">
        <v>107</v>
      </c>
      <c r="D3" s="20" t="s">
        <v>108</v>
      </c>
      <c r="E3" s="20" t="s">
        <v>104</v>
      </c>
    </row>
    <row r="4" customFormat="false" ht="15" hidden="false" customHeight="false" outlineLevel="0" collapsed="false">
      <c r="A4" s="20" t="s">
        <v>109</v>
      </c>
      <c r="B4" s="20" t="s">
        <v>110</v>
      </c>
      <c r="C4" s="20" t="s">
        <v>111</v>
      </c>
      <c r="D4" s="20" t="s">
        <v>112</v>
      </c>
      <c r="E4" s="20" t="s">
        <v>104</v>
      </c>
    </row>
    <row r="5" customFormat="false" ht="15" hidden="false" customHeight="false" outlineLevel="0" collapsed="false">
      <c r="A5" s="20" t="s">
        <v>88</v>
      </c>
      <c r="B5" s="20" t="s">
        <v>113</v>
      </c>
      <c r="C5" s="20" t="s">
        <v>114</v>
      </c>
      <c r="D5" s="20" t="s">
        <v>115</v>
      </c>
      <c r="E5" s="20" t="s">
        <v>104</v>
      </c>
    </row>
    <row r="6" customFormat="false" ht="15" hidden="false" customHeight="false" outlineLevel="0" collapsed="false">
      <c r="A6" s="20"/>
      <c r="B6" s="20"/>
      <c r="C6" s="20"/>
      <c r="D6" s="20"/>
      <c r="E6" s="20"/>
    </row>
    <row r="7" customFormat="false" ht="15" hidden="false" customHeight="false" outlineLevel="0" collapsed="false">
      <c r="A7" s="20"/>
      <c r="B7" s="20"/>
      <c r="C7" s="20"/>
      <c r="D7" s="20"/>
      <c r="E7" s="20"/>
    </row>
    <row r="8" customFormat="false" ht="15" hidden="false" customHeight="false" outlineLevel="0" collapsed="false">
      <c r="A8" s="20"/>
      <c r="B8" s="20"/>
      <c r="C8" s="20"/>
      <c r="D8" s="20"/>
      <c r="E8" s="20"/>
    </row>
    <row r="9" customFormat="false" ht="15" hidden="false" customHeight="false" outlineLevel="0" collapsed="false">
      <c r="A9" s="20"/>
      <c r="B9" s="20"/>
      <c r="C9" s="20"/>
      <c r="D9" s="20"/>
      <c r="E9" s="20"/>
    </row>
    <row r="10" customFormat="false" ht="15" hidden="false" customHeight="false" outlineLevel="0" collapsed="false">
      <c r="A10" s="20"/>
      <c r="B10" s="20"/>
      <c r="C10" s="20"/>
      <c r="D10" s="20"/>
      <c r="E10" s="20"/>
    </row>
    <row r="11" customFormat="false" ht="15" hidden="false" customHeight="false" outlineLevel="0" collapsed="false">
      <c r="A11" s="20"/>
      <c r="B11" s="20"/>
      <c r="C11" s="20"/>
      <c r="D11" s="20"/>
      <c r="E11" s="20"/>
    </row>
    <row r="12" customFormat="false" ht="15" hidden="false" customHeight="false" outlineLevel="0" collapsed="false">
      <c r="A12" s="20"/>
      <c r="B12" s="20"/>
      <c r="C12" s="20"/>
      <c r="D12" s="20"/>
      <c r="E12" s="20"/>
    </row>
    <row r="13" customFormat="false" ht="15" hidden="false" customHeight="false" outlineLevel="0" collapsed="false">
      <c r="A13" s="20"/>
      <c r="B13" s="20"/>
      <c r="C13" s="20"/>
      <c r="D13" s="20"/>
      <c r="E13" s="20"/>
    </row>
    <row r="14" customFormat="false" ht="15" hidden="false" customHeight="false" outlineLevel="0" collapsed="false">
      <c r="A14" s="20"/>
      <c r="B14" s="20"/>
      <c r="C14" s="20"/>
      <c r="D14" s="20"/>
      <c r="E14" s="20"/>
    </row>
    <row r="15" customFormat="false" ht="15" hidden="false" customHeight="false" outlineLevel="0" collapsed="false">
      <c r="A15" s="20"/>
      <c r="B15" s="20"/>
      <c r="C15" s="20"/>
      <c r="D15" s="20"/>
      <c r="E15" s="20"/>
    </row>
    <row r="16" customFormat="false" ht="15" hidden="false" customHeight="false" outlineLevel="0" collapsed="false">
      <c r="A16" s="20"/>
      <c r="B16" s="20"/>
      <c r="C16" s="20"/>
      <c r="D16" s="20"/>
      <c r="E16" s="20"/>
    </row>
    <row r="17" customFormat="false" ht="15" hidden="false" customHeight="false" outlineLevel="0" collapsed="false">
      <c r="A17" s="20"/>
      <c r="B17" s="20"/>
      <c r="C17" s="20"/>
      <c r="D17" s="20"/>
      <c r="E17" s="20"/>
    </row>
    <row r="18" customFormat="false" ht="15" hidden="false" customHeight="false" outlineLevel="0" collapsed="false">
      <c r="A18" s="20"/>
      <c r="B18" s="20"/>
      <c r="C18" s="20"/>
      <c r="D18" s="20"/>
      <c r="E18" s="20"/>
    </row>
    <row r="19" customFormat="false" ht="15" hidden="false" customHeight="false" outlineLevel="0" collapsed="false">
      <c r="A19" s="20"/>
      <c r="B19" s="20"/>
      <c r="C19" s="20"/>
      <c r="D19" s="20"/>
      <c r="E19" s="20"/>
    </row>
    <row r="20" customFormat="false" ht="15" hidden="false" customHeight="false" outlineLevel="0" collapsed="false">
      <c r="A20" s="20"/>
      <c r="B20" s="20"/>
      <c r="C20" s="20"/>
      <c r="D20" s="20"/>
      <c r="E20" s="20"/>
    </row>
    <row r="21" customFormat="false" ht="15" hidden="false" customHeight="false" outlineLevel="0" collapsed="false">
      <c r="A21" s="20"/>
      <c r="B21" s="20"/>
      <c r="C21" s="20"/>
      <c r="D21" s="20"/>
      <c r="E21" s="20"/>
    </row>
    <row r="22" customFormat="false" ht="15" hidden="false" customHeight="false" outlineLevel="0" collapsed="false">
      <c r="A22" s="20"/>
      <c r="B22" s="20"/>
      <c r="C22" s="20"/>
      <c r="D22" s="20"/>
      <c r="E22" s="20"/>
    </row>
    <row r="23" customFormat="false" ht="15" hidden="false" customHeight="false" outlineLevel="0" collapsed="false">
      <c r="A23" s="20"/>
      <c r="B23" s="20"/>
      <c r="C23" s="20"/>
      <c r="D23" s="20"/>
      <c r="E23" s="20"/>
    </row>
    <row r="24" customFormat="false" ht="15" hidden="false" customHeight="false" outlineLevel="0" collapsed="false">
      <c r="A24" s="20"/>
      <c r="B24" s="20"/>
      <c r="C24" s="20"/>
      <c r="D24" s="20"/>
      <c r="E24" s="20"/>
    </row>
    <row r="25" customFormat="false" ht="15" hidden="false" customHeight="false" outlineLevel="0" collapsed="false">
      <c r="A25" s="20"/>
      <c r="B25" s="20"/>
      <c r="C25" s="20"/>
      <c r="D25" s="20"/>
      <c r="E25" s="20"/>
    </row>
    <row r="26" customFormat="false" ht="15" hidden="false" customHeight="false" outlineLevel="0" collapsed="false">
      <c r="A26" s="20"/>
      <c r="B26" s="20"/>
      <c r="C26" s="20"/>
      <c r="D26" s="20"/>
      <c r="E26" s="20"/>
    </row>
    <row r="27" customFormat="false" ht="15" hidden="false" customHeight="false" outlineLevel="0" collapsed="false">
      <c r="A27" s="20"/>
      <c r="B27" s="20"/>
      <c r="C27" s="20"/>
      <c r="D27" s="20"/>
      <c r="E27" s="20"/>
    </row>
    <row r="28" customFormat="false" ht="15" hidden="false" customHeight="false" outlineLevel="0" collapsed="false">
      <c r="A28" s="20"/>
      <c r="B28" s="20"/>
      <c r="C28" s="20"/>
      <c r="D28" s="20"/>
      <c r="E28" s="20"/>
    </row>
    <row r="29" customFormat="false" ht="15" hidden="false" customHeight="false" outlineLevel="0" collapsed="false">
      <c r="A29" s="20"/>
      <c r="B29" s="20"/>
      <c r="C29" s="20"/>
      <c r="D29" s="20"/>
      <c r="E29" s="20"/>
    </row>
    <row r="30" customFormat="false" ht="15" hidden="false" customHeight="false" outlineLevel="0" collapsed="false">
      <c r="A30" s="20"/>
      <c r="B30" s="20"/>
      <c r="C30" s="20"/>
      <c r="D30" s="20"/>
      <c r="E30" s="20"/>
    </row>
    <row r="31" customFormat="false" ht="15" hidden="false" customHeight="false" outlineLevel="0" collapsed="false">
      <c r="A31" s="20"/>
      <c r="B31" s="20"/>
      <c r="C31" s="20"/>
      <c r="D31" s="20"/>
      <c r="E31" s="20"/>
    </row>
    <row r="32" customFormat="false" ht="15" hidden="false" customHeight="false" outlineLevel="0" collapsed="false">
      <c r="A32" s="20"/>
      <c r="B32" s="20"/>
      <c r="C32" s="20"/>
      <c r="D32" s="20"/>
      <c r="E32" s="20"/>
    </row>
    <row r="33" customFormat="false" ht="15" hidden="false" customHeight="false" outlineLevel="0" collapsed="false">
      <c r="A33" s="20"/>
      <c r="B33" s="20"/>
      <c r="C33" s="20"/>
      <c r="D33" s="20"/>
      <c r="E33" s="20"/>
    </row>
    <row r="34" customFormat="false" ht="15" hidden="false" customHeight="false" outlineLevel="0" collapsed="false">
      <c r="A34" s="20"/>
      <c r="B34" s="20"/>
      <c r="C34" s="20"/>
      <c r="D34" s="20"/>
      <c r="E34" s="20"/>
    </row>
    <row r="35" customFormat="false" ht="15" hidden="false" customHeight="false" outlineLevel="0" collapsed="false">
      <c r="A35" s="20"/>
      <c r="B35" s="20"/>
      <c r="C35" s="20"/>
      <c r="D35" s="20"/>
      <c r="E35" s="20"/>
    </row>
    <row r="36" customFormat="false" ht="15" hidden="false" customHeight="false" outlineLevel="0" collapsed="false">
      <c r="A36" s="20"/>
      <c r="B36" s="20"/>
      <c r="C36" s="20"/>
      <c r="D36" s="20"/>
      <c r="E36" s="20"/>
    </row>
    <row r="37" customFormat="false" ht="15" hidden="false" customHeight="false" outlineLevel="0" collapsed="false">
      <c r="A37" s="20"/>
      <c r="B37" s="20"/>
      <c r="C37" s="20"/>
      <c r="D37" s="20"/>
      <c r="E37" s="20"/>
    </row>
    <row r="38" customFormat="false" ht="15" hidden="false" customHeight="false" outlineLevel="0" collapsed="false">
      <c r="A38" s="20"/>
      <c r="B38" s="20"/>
      <c r="C38" s="20"/>
      <c r="D38" s="20"/>
      <c r="E38" s="20"/>
    </row>
    <row r="39" customFormat="false" ht="15" hidden="false" customHeight="false" outlineLevel="0" collapsed="false">
      <c r="A39" s="20"/>
      <c r="B39" s="20"/>
      <c r="C39" s="20"/>
      <c r="D39" s="20"/>
      <c r="E39" s="20"/>
    </row>
    <row r="40" customFormat="false" ht="15" hidden="false" customHeight="false" outlineLevel="0" collapsed="false">
      <c r="A40" s="20"/>
      <c r="B40" s="20"/>
      <c r="C40" s="20"/>
      <c r="D40" s="20"/>
      <c r="E40" s="20"/>
    </row>
    <row r="41" customFormat="false" ht="15" hidden="false" customHeight="false" outlineLevel="0" collapsed="false">
      <c r="A41" s="20"/>
      <c r="B41" s="20"/>
      <c r="C41" s="20"/>
      <c r="D41" s="20"/>
      <c r="E41" s="20"/>
    </row>
    <row r="42" customFormat="false" ht="15" hidden="false" customHeight="false" outlineLevel="0" collapsed="false">
      <c r="A42" s="20"/>
      <c r="B42" s="20"/>
      <c r="C42" s="20"/>
      <c r="D42" s="20"/>
      <c r="E42" s="20"/>
    </row>
    <row r="43" customFormat="false" ht="15" hidden="false" customHeight="false" outlineLevel="0" collapsed="false">
      <c r="A43" s="20"/>
      <c r="B43" s="20"/>
      <c r="C43" s="20"/>
      <c r="D43" s="20"/>
      <c r="E43" s="20"/>
    </row>
    <row r="44" customFormat="false" ht="15" hidden="false" customHeight="false" outlineLevel="0" collapsed="false">
      <c r="A44" s="20"/>
      <c r="B44" s="20"/>
      <c r="C44" s="20"/>
      <c r="D44" s="20"/>
      <c r="E44" s="20"/>
    </row>
    <row r="45" customFormat="false" ht="15" hidden="false" customHeight="false" outlineLevel="0" collapsed="false">
      <c r="A45" s="20"/>
      <c r="B45" s="20"/>
      <c r="C45" s="20"/>
      <c r="D45" s="20"/>
      <c r="E45" s="20"/>
    </row>
    <row r="46" customFormat="false" ht="15" hidden="false" customHeight="false" outlineLevel="0" collapsed="false">
      <c r="A46" s="20"/>
      <c r="B46" s="20"/>
      <c r="C46" s="20"/>
      <c r="D46" s="20"/>
      <c r="E46" s="20"/>
    </row>
    <row r="47" customFormat="false" ht="15" hidden="false" customHeight="false" outlineLevel="0" collapsed="false">
      <c r="A47" s="20"/>
      <c r="B47" s="20"/>
      <c r="C47" s="20"/>
      <c r="D47" s="20"/>
      <c r="E47" s="20"/>
    </row>
    <row r="48" customFormat="false" ht="15" hidden="false" customHeight="false" outlineLevel="0" collapsed="false">
      <c r="A48" s="20"/>
      <c r="B48" s="20"/>
      <c r="C48" s="20"/>
      <c r="D48" s="20"/>
      <c r="E48" s="20"/>
    </row>
    <row r="49" customFormat="false" ht="15" hidden="false" customHeight="false" outlineLevel="0" collapsed="false">
      <c r="A49" s="20"/>
      <c r="B49" s="20"/>
      <c r="C49" s="20"/>
      <c r="D49" s="20"/>
      <c r="E49" s="20"/>
    </row>
    <row r="50" customFormat="false" ht="15" hidden="false" customHeight="false" outlineLevel="0" collapsed="false">
      <c r="A50" s="20"/>
      <c r="B50" s="20"/>
      <c r="C50" s="20"/>
      <c r="D50" s="20"/>
      <c r="E50" s="20"/>
    </row>
    <row r="51" customFormat="false" ht="15" hidden="false" customHeight="false" outlineLevel="0" collapsed="false">
      <c r="A51" s="20"/>
      <c r="B51" s="20"/>
      <c r="C51" s="20"/>
      <c r="D51" s="20"/>
      <c r="E51" s="20"/>
    </row>
    <row r="52" customFormat="false" ht="15" hidden="false" customHeight="false" outlineLevel="0" collapsed="false">
      <c r="A52" s="20"/>
      <c r="B52" s="20"/>
      <c r="C52" s="20"/>
      <c r="D52" s="20"/>
      <c r="E52" s="20"/>
    </row>
    <row r="53" customFormat="false" ht="15" hidden="false" customHeight="false" outlineLevel="0" collapsed="false">
      <c r="A53" s="20"/>
      <c r="B53" s="20"/>
      <c r="C53" s="20"/>
      <c r="D53" s="20"/>
      <c r="E53" s="20"/>
    </row>
    <row r="54" customFormat="false" ht="15" hidden="false" customHeight="false" outlineLevel="0" collapsed="false">
      <c r="A54" s="20"/>
      <c r="B54" s="20"/>
      <c r="C54" s="20"/>
      <c r="D54" s="20"/>
      <c r="E54" s="20"/>
    </row>
    <row r="55" customFormat="false" ht="15" hidden="false" customHeight="false" outlineLevel="0" collapsed="false">
      <c r="A55" s="20"/>
      <c r="B55" s="20"/>
      <c r="C55" s="20"/>
      <c r="D55" s="20"/>
      <c r="E55" s="20"/>
    </row>
    <row r="56" customFormat="false" ht="15" hidden="false" customHeight="false" outlineLevel="0" collapsed="false">
      <c r="A56" s="20"/>
      <c r="B56" s="20"/>
      <c r="C56" s="20"/>
      <c r="D56" s="20"/>
      <c r="E56" s="20"/>
    </row>
    <row r="57" customFormat="false" ht="15" hidden="false" customHeight="false" outlineLevel="0" collapsed="false">
      <c r="A57" s="20"/>
      <c r="B57" s="20"/>
      <c r="C57" s="20"/>
      <c r="D57" s="20"/>
      <c r="E57" s="20"/>
    </row>
    <row r="58" customFormat="false" ht="15" hidden="false" customHeight="false" outlineLevel="0" collapsed="false">
      <c r="A58" s="20"/>
      <c r="B58" s="20"/>
      <c r="C58" s="20"/>
      <c r="D58" s="20"/>
      <c r="E58" s="20"/>
    </row>
    <row r="59" customFormat="false" ht="15" hidden="false" customHeight="false" outlineLevel="0" collapsed="false">
      <c r="A59" s="20"/>
      <c r="B59" s="20"/>
      <c r="C59" s="20"/>
      <c r="D59" s="20"/>
      <c r="E59" s="20"/>
    </row>
    <row r="60" customFormat="false" ht="15" hidden="false" customHeight="false" outlineLevel="0" collapsed="false">
      <c r="A60" s="20"/>
      <c r="B60" s="20"/>
      <c r="C60" s="20"/>
      <c r="D60" s="20"/>
      <c r="E60" s="20"/>
    </row>
    <row r="61" customFormat="false" ht="15" hidden="false" customHeight="false" outlineLevel="0" collapsed="false">
      <c r="A61" s="20"/>
      <c r="B61" s="20"/>
      <c r="C61" s="20"/>
      <c r="D61" s="20"/>
      <c r="E61" s="20"/>
    </row>
    <row r="62" customFormat="false" ht="15" hidden="false" customHeight="false" outlineLevel="0" collapsed="false">
      <c r="A62" s="20"/>
      <c r="B62" s="20"/>
      <c r="C62" s="20"/>
      <c r="D62" s="20"/>
      <c r="E62" s="20"/>
    </row>
    <row r="63" customFormat="false" ht="15" hidden="false" customHeight="false" outlineLevel="0" collapsed="false">
      <c r="A63" s="20"/>
      <c r="B63" s="20"/>
      <c r="C63" s="20"/>
      <c r="D63" s="20"/>
      <c r="E63" s="20"/>
    </row>
    <row r="64" customFormat="false" ht="15" hidden="false" customHeight="false" outlineLevel="0" collapsed="false">
      <c r="A64" s="20"/>
      <c r="B64" s="20"/>
      <c r="C64" s="20"/>
      <c r="D64" s="20"/>
      <c r="E64" s="20"/>
    </row>
    <row r="65" customFormat="false" ht="15" hidden="false" customHeight="false" outlineLevel="0" collapsed="false">
      <c r="A65" s="20"/>
      <c r="B65" s="20"/>
      <c r="C65" s="20"/>
      <c r="D65" s="20"/>
      <c r="E65" s="20"/>
    </row>
    <row r="66" customFormat="false" ht="15" hidden="false" customHeight="false" outlineLevel="0" collapsed="false">
      <c r="A66" s="20"/>
      <c r="B66" s="20"/>
      <c r="C66" s="20"/>
      <c r="D66" s="20"/>
      <c r="E66" s="20"/>
    </row>
    <row r="67" customFormat="false" ht="15" hidden="false" customHeight="false" outlineLevel="0" collapsed="false">
      <c r="A67" s="20"/>
      <c r="B67" s="20"/>
      <c r="C67" s="20"/>
      <c r="D67" s="20"/>
      <c r="E67" s="20"/>
    </row>
    <row r="68" customFormat="false" ht="15" hidden="false" customHeight="false" outlineLevel="0" collapsed="false">
      <c r="A68" s="20"/>
      <c r="B68" s="20"/>
      <c r="C68" s="20"/>
      <c r="D68" s="20"/>
      <c r="E68" s="20"/>
    </row>
    <row r="69" customFormat="false" ht="15" hidden="false" customHeight="false" outlineLevel="0" collapsed="false">
      <c r="A69" s="20"/>
      <c r="B69" s="20"/>
      <c r="C69" s="20"/>
      <c r="D69" s="20"/>
      <c r="E69" s="20"/>
    </row>
    <row r="70" customFormat="false" ht="15" hidden="false" customHeight="false" outlineLevel="0" collapsed="false">
      <c r="A70" s="20"/>
      <c r="B70" s="20"/>
      <c r="C70" s="20"/>
      <c r="D70" s="20"/>
      <c r="E70" s="20"/>
    </row>
    <row r="71" customFormat="false" ht="15" hidden="false" customHeight="false" outlineLevel="0" collapsed="false">
      <c r="A71" s="20"/>
      <c r="B71" s="20"/>
      <c r="C71" s="20"/>
      <c r="D71" s="20"/>
      <c r="E71" s="20"/>
    </row>
    <row r="72" customFormat="false" ht="15" hidden="false" customHeight="false" outlineLevel="0" collapsed="false">
      <c r="A72" s="20"/>
      <c r="B72" s="20"/>
      <c r="C72" s="20"/>
      <c r="D72" s="20"/>
      <c r="E72" s="20"/>
    </row>
    <row r="73" customFormat="false" ht="15" hidden="false" customHeight="false" outlineLevel="0" collapsed="false">
      <c r="A73" s="20"/>
      <c r="B73" s="20"/>
      <c r="C73" s="20"/>
      <c r="D73" s="20"/>
      <c r="E73" s="20"/>
    </row>
    <row r="74" customFormat="false" ht="15" hidden="false" customHeight="false" outlineLevel="0" collapsed="false">
      <c r="A74" s="20"/>
      <c r="B74" s="20"/>
      <c r="C74" s="20"/>
      <c r="D74" s="20"/>
      <c r="E74" s="20"/>
    </row>
    <row r="75" customFormat="false" ht="15" hidden="false" customHeight="false" outlineLevel="0" collapsed="false">
      <c r="A75" s="20"/>
      <c r="B75" s="20"/>
      <c r="C75" s="20"/>
      <c r="D75" s="20"/>
      <c r="E75" s="20"/>
    </row>
    <row r="76" customFormat="false" ht="15" hidden="false" customHeight="false" outlineLevel="0" collapsed="false">
      <c r="A76" s="20"/>
      <c r="B76" s="20"/>
      <c r="C76" s="20"/>
      <c r="D76" s="20"/>
      <c r="E76" s="20"/>
    </row>
    <row r="77" customFormat="false" ht="15" hidden="false" customHeight="false" outlineLevel="0" collapsed="false">
      <c r="A77" s="20"/>
      <c r="B77" s="20"/>
      <c r="C77" s="20"/>
      <c r="D77" s="20"/>
      <c r="E77" s="20"/>
    </row>
    <row r="78" customFormat="false" ht="15" hidden="false" customHeight="false" outlineLevel="0" collapsed="false">
      <c r="A78" s="20"/>
      <c r="B78" s="20"/>
      <c r="C78" s="20"/>
      <c r="D78" s="20"/>
      <c r="E78" s="20"/>
    </row>
    <row r="79" customFormat="false" ht="15" hidden="false" customHeight="false" outlineLevel="0" collapsed="false">
      <c r="A79" s="20"/>
      <c r="B79" s="20"/>
      <c r="C79" s="20"/>
      <c r="D79" s="20"/>
      <c r="E79" s="20"/>
    </row>
    <row r="80" customFormat="false" ht="15" hidden="false" customHeight="false" outlineLevel="0" collapsed="false">
      <c r="A80" s="20"/>
      <c r="B80" s="20"/>
      <c r="C80" s="20"/>
      <c r="D80" s="20"/>
      <c r="E80" s="20"/>
    </row>
    <row r="81" customFormat="false" ht="15" hidden="false" customHeight="false" outlineLevel="0" collapsed="false">
      <c r="A81" s="20"/>
      <c r="B81" s="20"/>
      <c r="C81" s="20"/>
      <c r="D81" s="20"/>
      <c r="E81" s="20"/>
    </row>
    <row r="82" customFormat="false" ht="15" hidden="false" customHeight="false" outlineLevel="0" collapsed="false">
      <c r="A82" s="20"/>
      <c r="B82" s="20"/>
      <c r="C82" s="20"/>
      <c r="D82" s="20"/>
      <c r="E82" s="20"/>
    </row>
    <row r="83" customFormat="false" ht="15" hidden="false" customHeight="false" outlineLevel="0" collapsed="false">
      <c r="A83" s="20"/>
      <c r="B83" s="20"/>
      <c r="C83" s="20"/>
      <c r="D83" s="20"/>
      <c r="E83" s="20"/>
    </row>
    <row r="84" customFormat="false" ht="15" hidden="false" customHeight="false" outlineLevel="0" collapsed="false">
      <c r="A84" s="20"/>
      <c r="B84" s="20"/>
      <c r="C84" s="20"/>
      <c r="D84" s="20"/>
      <c r="E84" s="20"/>
    </row>
    <row r="85" customFormat="false" ht="15" hidden="false" customHeight="false" outlineLevel="0" collapsed="false">
      <c r="A85" s="20"/>
      <c r="B85" s="20"/>
      <c r="C85" s="20"/>
      <c r="D85" s="20"/>
      <c r="E85" s="20"/>
    </row>
    <row r="86" customFormat="false" ht="15" hidden="false" customHeight="false" outlineLevel="0" collapsed="false">
      <c r="A86" s="20"/>
      <c r="B86" s="20"/>
      <c r="C86" s="20"/>
      <c r="D86" s="20"/>
      <c r="E86" s="20"/>
    </row>
    <row r="87" customFormat="false" ht="15" hidden="false" customHeight="false" outlineLevel="0" collapsed="false">
      <c r="A87" s="20"/>
      <c r="B87" s="20"/>
      <c r="C87" s="20"/>
      <c r="D87" s="20"/>
      <c r="E87" s="20"/>
    </row>
    <row r="88" customFormat="false" ht="15" hidden="false" customHeight="false" outlineLevel="0" collapsed="false">
      <c r="A88" s="20"/>
      <c r="B88" s="20"/>
      <c r="C88" s="20"/>
      <c r="D88" s="20"/>
      <c r="E88" s="20"/>
    </row>
    <row r="89" customFormat="false" ht="15" hidden="false" customHeight="false" outlineLevel="0" collapsed="false">
      <c r="A89" s="20"/>
      <c r="B89" s="20"/>
      <c r="C89" s="20"/>
      <c r="D89" s="20"/>
      <c r="E89" s="20"/>
    </row>
    <row r="90" customFormat="false" ht="15" hidden="false" customHeight="false" outlineLevel="0" collapsed="false">
      <c r="A90" s="20"/>
      <c r="B90" s="20"/>
      <c r="C90" s="20"/>
      <c r="D90" s="20"/>
      <c r="E90" s="20"/>
    </row>
    <row r="91" customFormat="false" ht="15" hidden="false" customHeight="false" outlineLevel="0" collapsed="false">
      <c r="A91" s="20"/>
      <c r="B91" s="20"/>
      <c r="C91" s="20"/>
      <c r="D91" s="20"/>
      <c r="E91" s="20"/>
    </row>
    <row r="92" customFormat="false" ht="15" hidden="false" customHeight="false" outlineLevel="0" collapsed="false">
      <c r="A92" s="20"/>
      <c r="B92" s="20"/>
      <c r="C92" s="20"/>
      <c r="D92" s="20"/>
      <c r="E92" s="20"/>
    </row>
    <row r="93" customFormat="false" ht="15" hidden="false" customHeight="false" outlineLevel="0" collapsed="false">
      <c r="A93" s="20"/>
      <c r="B93" s="20"/>
      <c r="C93" s="20"/>
      <c r="D93" s="20"/>
      <c r="E93" s="20"/>
    </row>
    <row r="94" customFormat="false" ht="15" hidden="false" customHeight="false" outlineLevel="0" collapsed="false">
      <c r="A94" s="20"/>
      <c r="B94" s="20"/>
      <c r="C94" s="20"/>
      <c r="D94" s="20"/>
      <c r="E94" s="20"/>
    </row>
    <row r="95" customFormat="false" ht="15" hidden="false" customHeight="false" outlineLevel="0" collapsed="false">
      <c r="A95" s="20"/>
      <c r="B95" s="20"/>
      <c r="C95" s="20"/>
      <c r="D95" s="20"/>
      <c r="E95" s="20"/>
    </row>
    <row r="96" customFormat="false" ht="15" hidden="false" customHeight="false" outlineLevel="0" collapsed="false">
      <c r="A96" s="20"/>
      <c r="B96" s="20"/>
      <c r="C96" s="20"/>
      <c r="D96" s="20"/>
      <c r="E96" s="20"/>
    </row>
    <row r="97" customFormat="false" ht="15" hidden="false" customHeight="false" outlineLevel="0" collapsed="false">
      <c r="A97" s="20"/>
      <c r="B97" s="20"/>
      <c r="C97" s="20"/>
      <c r="D97" s="20"/>
      <c r="E97" s="20"/>
    </row>
    <row r="98" customFormat="false" ht="15" hidden="false" customHeight="false" outlineLevel="0" collapsed="false">
      <c r="A98" s="20"/>
      <c r="B98" s="20"/>
      <c r="C98" s="20"/>
      <c r="D98" s="20"/>
      <c r="E98" s="20"/>
    </row>
    <row r="99" customFormat="false" ht="15" hidden="false" customHeight="false" outlineLevel="0" collapsed="false">
      <c r="A99" s="20"/>
      <c r="B99" s="20"/>
      <c r="C99" s="20"/>
      <c r="D99" s="20"/>
      <c r="E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5" hidden="false" customHeight="false" outlineLevel="0" collapsed="false">
      <c r="A2" s="22" t="s">
        <v>120</v>
      </c>
      <c r="B2" s="22" t="s">
        <v>91</v>
      </c>
      <c r="C2" s="22" t="s">
        <v>92</v>
      </c>
      <c r="D2" s="22" t="s">
        <v>93</v>
      </c>
    </row>
    <row r="3" customFormat="false" ht="15" hidden="false" customHeight="false" outlineLevel="0" collapsed="false">
      <c r="A3" s="22" t="s">
        <v>87</v>
      </c>
      <c r="B3" s="22" t="s">
        <v>121</v>
      </c>
      <c r="C3" s="22" t="s">
        <v>122</v>
      </c>
      <c r="D3" s="22" t="s">
        <v>123</v>
      </c>
    </row>
    <row r="4" customFormat="false" ht="15" hidden="false" customHeight="false" outlineLevel="0" collapsed="false">
      <c r="A4" s="22" t="s">
        <v>124</v>
      </c>
      <c r="B4" s="22" t="s">
        <v>125</v>
      </c>
      <c r="C4" s="22" t="s">
        <v>126</v>
      </c>
      <c r="D4" s="22" t="s">
        <v>127</v>
      </c>
    </row>
    <row r="5" customFormat="false" ht="15" hidden="false" customHeight="false" outlineLevel="0" collapsed="false">
      <c r="A5" s="22" t="s">
        <v>128</v>
      </c>
      <c r="B5" s="22" t="s">
        <v>129</v>
      </c>
      <c r="D5" s="22" t="s">
        <v>130</v>
      </c>
    </row>
    <row r="6" customFormat="false" ht="15" hidden="false" customHeight="false" outlineLevel="0" collapsed="false">
      <c r="D6" s="2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132</v>
      </c>
    </row>
    <row r="2" customFormat="false" ht="15" hidden="false" customHeight="false" outlineLevel="0" collapsed="false">
      <c r="A2" s="10" t="s">
        <v>133</v>
      </c>
    </row>
    <row r="3" customFormat="false" ht="15" hidden="false" customHeight="false" outlineLevel="0" collapsed="false">
      <c r="A3" s="21" t="s">
        <v>134</v>
      </c>
      <c r="B3" s="23" t="str">
        <f aca="false">IF(COUNTIF(C6:C14,"REVIEW")=0,"ALL CHECKS PASS","REVIEW ITEMS: "&amp;COUNTIF(C6:C14,"REVIEW"))</f>
        <v>REVIEW ITEMS: 1</v>
      </c>
    </row>
    <row r="5" customFormat="false" ht="15" hidden="false" customHeight="false" outlineLevel="0" collapsed="false">
      <c r="A5" s="5" t="s">
        <v>135</v>
      </c>
      <c r="B5" s="5" t="s">
        <v>136</v>
      </c>
      <c r="C5" s="5" t="s">
        <v>66</v>
      </c>
      <c r="D5" s="5" t="s">
        <v>137</v>
      </c>
    </row>
    <row r="6" customFormat="false" ht="15" hidden="false" customHeight="false" outlineLevel="0" collapsed="false">
      <c r="A6" s="24" t="s">
        <v>138</v>
      </c>
      <c r="B6" s="24" t="n">
        <f aca="false">COUNTA(PBC_Register!A5:A204)</f>
        <v>1</v>
      </c>
      <c r="C6" s="24" t="s">
        <v>139</v>
      </c>
      <c r="D6" s="24" t="s">
        <v>140</v>
      </c>
    </row>
    <row r="7" customFormat="false" ht="15" hidden="false" customHeight="false" outlineLevel="0" collapsed="false">
      <c r="A7" s="24" t="s">
        <v>141</v>
      </c>
      <c r="B7" s="24" t="n">
        <f aca="false">SUMPRODUCT((PBC_Register!A5:A204&lt;&gt;"")*(COUNTIF(PBC_Register!A5:A204,PBC_Register!A5:A204)&gt;1))</f>
        <v>0</v>
      </c>
      <c r="C7" s="24" t="str">
        <f aca="false">IF(B7=0,"PASS","REVIEW")</f>
        <v>PASS</v>
      </c>
      <c r="D7" s="24" t="s">
        <v>142</v>
      </c>
    </row>
    <row r="8" customFormat="false" ht="15" hidden="false" customHeight="false" outlineLevel="0" collapsed="false">
      <c r="A8" s="24" t="s">
        <v>143</v>
      </c>
      <c r="B8" s="24" t="n">
        <f aca="false">SUMPRODUCT((PBC_Register!T5:T204&lt;&gt;"")*(PBC_Register!T5:T204&lt;&gt;"OK")*(LEFT(PBC_Register!T5:T204,2)&lt;&gt;"OK"))</f>
        <v>0</v>
      </c>
      <c r="C8" s="24" t="str">
        <f aca="false">IF(B8=0,"PASS","REVIEW")</f>
        <v>PASS</v>
      </c>
      <c r="D8" s="24" t="s">
        <v>144</v>
      </c>
    </row>
    <row r="9" customFormat="false" ht="23.85" hidden="false" customHeight="false" outlineLevel="0" collapsed="false">
      <c r="A9" s="24" t="s">
        <v>145</v>
      </c>
      <c r="B9" s="24" t="n">
        <f aca="false">SUMPRODUCT((Ref_CTRL!E2:E201="Y")*(COUNTIF(PBC_Register!C5:C204,Ref_CTRL!A2:A201)=0))</f>
        <v>3</v>
      </c>
      <c r="C9" s="24" t="str">
        <f aca="false">IF(B9=0,"PASS","REVIEW")</f>
        <v>REVIEW</v>
      </c>
      <c r="D9" s="24" t="s">
        <v>146</v>
      </c>
    </row>
    <row r="10" customFormat="false" ht="15" hidden="false" customHeight="false" outlineLevel="0" collapsed="false">
      <c r="A10" s="24" t="s">
        <v>147</v>
      </c>
      <c r="B10" s="24" t="n">
        <f aca="false">COUNTIF(PBC_Register!J5:J204,"Population")</f>
        <v>1</v>
      </c>
      <c r="C10" s="24" t="s">
        <v>139</v>
      </c>
      <c r="D10" s="24" t="s">
        <v>148</v>
      </c>
    </row>
    <row r="11" customFormat="false" ht="15" hidden="false" customHeight="false" outlineLevel="0" collapsed="false">
      <c r="A11" s="24" t="s">
        <v>149</v>
      </c>
      <c r="B11" s="24" t="n">
        <f aca="false">COUNTIF(PBC_Register!R5:R204,"&gt;0")</f>
        <v>0</v>
      </c>
      <c r="C11" s="24" t="s">
        <v>139</v>
      </c>
      <c r="D11" s="24" t="s">
        <v>150</v>
      </c>
    </row>
    <row r="12" customFormat="false" ht="15" hidden="false" customHeight="false" outlineLevel="0" collapsed="false">
      <c r="A12" s="24" t="s">
        <v>151</v>
      </c>
      <c r="B12" s="24" t="n">
        <f aca="false">COUNTIF(PBC_Register!O5:O204,"Requested")+COUNTIF(PBC_Register!O5:O204,"Partially received")</f>
        <v>1</v>
      </c>
      <c r="C12" s="24" t="s">
        <v>139</v>
      </c>
      <c r="D12" s="24" t="s">
        <v>152</v>
      </c>
    </row>
    <row r="13" customFormat="false" ht="15" hidden="false" customHeight="false" outlineLevel="0" collapsed="false">
      <c r="A13" s="24" t="s">
        <v>153</v>
      </c>
      <c r="B13" s="24" t="n">
        <f aca="false">COUNTIF(PBC_Register!O5:O204,"Rejected - incomplete")</f>
        <v>0</v>
      </c>
      <c r="C13" s="24" t="s">
        <v>139</v>
      </c>
      <c r="D13" s="24" t="s">
        <v>154</v>
      </c>
    </row>
    <row r="14" customFormat="false" ht="15" hidden="false" customHeight="false" outlineLevel="0" collapsed="false">
      <c r="A14" s="24" t="s">
        <v>155</v>
      </c>
      <c r="B14" s="24" t="n">
        <f aca="false">COUNTIF(PBC_Register!O5:O204,"Received")+COUNTIF(PBC_Register!O5:O204,"Closed")</f>
        <v>0</v>
      </c>
      <c r="C14" s="24" t="s">
        <v>139</v>
      </c>
      <c r="D14" s="2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2026-10-03T01:39:11Z</dcterms:created>
  <dc:creator>openpyxl</dc:creator>
  <dc:description/>
  <dc:language>en-US</dc:language>
  <cp:lastModifiedBy/>
  <dcterms:modified xsi:type="dcterms:W3CDTF">2026-10-03T01:39:12Z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