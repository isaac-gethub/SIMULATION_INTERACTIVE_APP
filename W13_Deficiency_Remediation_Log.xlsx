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ficiency_Log" sheetId="2" state="visible" r:id="rId4"/>
    <sheet name="Groups" sheetId="3" state="visible" r:id="rId5"/>
    <sheet name="Ref_TEST" sheetId="4" state="visible" r:id="rId6"/>
    <sheet name="Lists" sheetId="5" state="hidden" r:id="rId7"/>
    <sheet name="Checks" sheetId="6" state="visible" r:id="rId8"/>
  </sheets>
  <definedNames>
    <definedName function="false" hidden="true" localSheetId="1" name="_xlnm._FilterDatabase" vbProcedure="false">Deficiency_Log!$A$4:$V$204</definedName>
    <definedName function="false" hidden="true" localSheetId="2" name="_xlnm._FilterDatabase" vbProcedure="false">Groups!$A$4:$I$204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<sst xmlns="http://schemas.openxmlformats.org/spreadsheetml/2006/main" count="338" uniqueCount="210">
  <si>
    <t xml:space="preserve">TIB SYSTEMS LLC  |  SAP Controls Project Foundation Workbook Set</t>
  </si>
  <si>
    <t xml:space="preserve">W13 — Deficiency &amp; Remediation Log</t>
  </si>
  <si>
    <t xml:space="preserve">Purpose</t>
  </si>
  <si>
    <t xml:space="preserve">Records every confirmed test exception, evaluates its severity (condition, criteria, cause, effect), links it back through the thread to the risk and process, groups related deficiencies, and tracks remediation and retest.</t>
  </si>
  <si>
    <t xml:space="preserve">How to use this workbook</t>
  </si>
  <si>
    <t xml:space="preserve">1. Paste TEST-ID, CTRL-ID, RISK-ID, BP-ID and the W10 result into Ref_TEST.</t>
  </si>
  <si>
    <t xml:space="preserve">2. Validate each exception first: false positive, wrong population or later evidence? Only confirmed exceptions get a DEF-ID.</t>
  </si>
  <si>
    <t xml:space="preserve">3. Write the four-part statement, record compensating controls and dependent controls affected, and set severity.</t>
  </si>
  <si>
    <t xml:space="preserve">4. Aggregate related deficiencies in Groups (same user, date, process or cause) and evaluate the group.</t>
  </si>
  <si>
    <t xml:space="preserve">5. Record management response, owner and due date; add the retest TEST-ID. A deficiency closes only after a successful retest.</t>
  </si>
  <si>
    <t xml:space="preserve">Colour legend</t>
  </si>
  <si>
    <t xml:space="preserve">Yellow cells with blue text = you enter data here.   Grey cells = formulas (do not overwrite).   Row 5 of each register is a worked ABC Manufacturing example: overwrite it with your first record.</t>
  </si>
  <si>
    <t xml:space="preserve">Completion gate</t>
  </si>
  <si>
    <t xml:space="preserve">Every confirmed exception has a DEF-ID traced to test, control, risk and process.</t>
  </si>
  <si>
    <t xml:space="preserve">Severity is evaluated, including impact on dependent controls and compensating controls.</t>
  </si>
  <si>
    <t xml:space="preserve">Management response, owner and due date are recorded.</t>
  </si>
  <si>
    <t xml:space="preserve">Retest is planned for every remediated deficiency.</t>
  </si>
  <si>
    <t xml:space="preserve">Manual reference</t>
  </si>
  <si>
    <t xml:space="preserve">Part 4, Sessions 35–37 (W13).</t>
  </si>
  <si>
    <t xml:space="preserve">Column dictionary</t>
  </si>
  <si>
    <t xml:space="preserve">Tab</t>
  </si>
  <si>
    <t xml:space="preserve">Field</t>
  </si>
  <si>
    <t xml:space="preserve">Definition</t>
  </si>
  <si>
    <t xml:space="preserve">Allowed values / rule</t>
  </si>
  <si>
    <t xml:space="preserve">Type</t>
  </si>
  <si>
    <t xml:space="preserve">Deficiency_Log</t>
  </si>
  <si>
    <t xml:space="preserve">DEF-ID</t>
  </si>
  <si>
    <t xml:space="preserve">Unique key</t>
  </si>
  <si>
    <t xml:space="preserve">DEF-nnn</t>
  </si>
  <si>
    <t xml:space="preserve">Input</t>
  </si>
  <si>
    <t xml:space="preserve">TEST-ID</t>
  </si>
  <si>
    <t xml:space="preserve">Test where it was found</t>
  </si>
  <si>
    <t xml:space="preserve">From W10 (Ref_TEST)</t>
  </si>
  <si>
    <t xml:space="preserve">CTRL-ID</t>
  </si>
  <si>
    <t xml:space="preserve">Lookup</t>
  </si>
  <si>
    <t xml:space="preserve">Formula</t>
  </si>
  <si>
    <t xml:space="preserve">RISK-ID</t>
  </si>
  <si>
    <t xml:space="preserve">BP-ID</t>
  </si>
  <si>
    <t xml:space="preserve">Deficiency type</t>
  </si>
  <si>
    <t xml:space="preserve">Design or operating</t>
  </si>
  <si>
    <t xml:space="preserve">Design / Operating</t>
  </si>
  <si>
    <t xml:space="preserve">Condition</t>
  </si>
  <si>
    <t xml:space="preserve">What was found (facts, numbers, dates)</t>
  </si>
  <si>
    <t xml:space="preserve">Four-part statement</t>
  </si>
  <si>
    <t xml:space="preserve">Criteria</t>
  </si>
  <si>
    <t xml:space="preserve">What should have happened</t>
  </si>
  <si>
    <t xml:space="preserve">Control description or policy</t>
  </si>
  <si>
    <t xml:space="preserve">Cause</t>
  </si>
  <si>
    <t xml:space="preserve">Why it happened (from inquiry)</t>
  </si>
  <si>
    <t xml:space="preserve">Free text</t>
  </si>
  <si>
    <t xml:space="preserve">Effect</t>
  </si>
  <si>
    <t xml:space="preserve">What could go wrong; link to risk and assertion</t>
  </si>
  <si>
    <t xml:space="preserve">Exceptions</t>
  </si>
  <si>
    <t xml:space="preserve">Failed items out of sample</t>
  </si>
  <si>
    <t xml:space="preserve">e.g. 3 of 25</t>
  </si>
  <si>
    <t xml:space="preserve">Dependent controls affected</t>
  </si>
  <si>
    <t xml:space="preserve">ITAC / IPE / ITDM relying on this ITGC</t>
  </si>
  <si>
    <t xml:space="preserve">From W05 ITGC_Dependency</t>
  </si>
  <si>
    <t xml:space="preserve">Compensating controls</t>
  </si>
  <si>
    <t xml:space="preserve">Other controls reducing the exposure</t>
  </si>
  <si>
    <t xml:space="preserve">CTRL-ID list</t>
  </si>
  <si>
    <t xml:space="preserve">Compensating tested effective?</t>
  </si>
  <si>
    <t xml:space="preserve">Result of testing the compensating control</t>
  </si>
  <si>
    <t xml:space="preserve">Y / N / Pending</t>
  </si>
  <si>
    <t xml:space="preserve">Severity</t>
  </si>
  <si>
    <t xml:space="preserve">Evaluated level</t>
  </si>
  <si>
    <t xml:space="preserve">Control deficiency / Significant deficiency / Material weakness</t>
  </si>
  <si>
    <t xml:space="preserve">Group ID</t>
  </si>
  <si>
    <t xml:space="preserve">Aggregation group</t>
  </si>
  <si>
    <t xml:space="preserve">From Groups tab</t>
  </si>
  <si>
    <t xml:space="preserve">Management response</t>
  </si>
  <si>
    <t xml:space="preserve">Owner's agreed action</t>
  </si>
  <si>
    <t xml:space="preserve">Remediation owner</t>
  </si>
  <si>
    <t xml:space="preserve">Who fixes it</t>
  </si>
  <si>
    <t xml:space="preserve">Name / role</t>
  </si>
  <si>
    <t xml:space="preserve">Due date</t>
  </si>
  <si>
    <t xml:space="preserve">Remediation due</t>
  </si>
  <si>
    <t xml:space="preserve">Date</t>
  </si>
  <si>
    <t xml:space="preserve">Retest TEST-ID</t>
  </si>
  <si>
    <t xml:space="preserve">Test confirming the fix</t>
  </si>
  <si>
    <t xml:space="preserve">e.g. &lt;CTRL-ID&gt;-RT1</t>
  </si>
  <si>
    <t xml:space="preserve">Status</t>
  </si>
  <si>
    <t xml:space="preserve">Progress</t>
  </si>
  <si>
    <t xml:space="preserve">Dropdown</t>
  </si>
  <si>
    <t xml:space="preserve">Row check</t>
  </si>
  <si>
    <t xml:space="preserve">Automatic completeness test</t>
  </si>
  <si>
    <t xml:space="preserve">Groups</t>
  </si>
  <si>
    <t xml:space="preserve">GR-x</t>
  </si>
  <si>
    <t xml:space="preserve">Group name</t>
  </si>
  <si>
    <t xml:space="preserve">Short name</t>
  </si>
  <si>
    <t xml:space="preserve">e.g. Privileged access governance</t>
  </si>
  <si>
    <t xml:space="preserve">Common factor</t>
  </si>
  <si>
    <t xml:space="preserve">What links the deficiencies</t>
  </si>
  <si>
    <t xml:space="preserve">Same user, date, process, root cause</t>
  </si>
  <si>
    <t xml:space="preserve">Evaluated exposure</t>
  </si>
  <si>
    <t xml:space="preserve">Combined exposure after compensating controls and follow-up</t>
  </si>
  <si>
    <t xml:space="preserve">Group severity</t>
  </si>
  <si>
    <t xml:space="preserve">Severity of the group</t>
  </si>
  <si>
    <t xml:space="preserve">Reviewer approved</t>
  </si>
  <si>
    <t xml:space="preserve">Rationale</t>
  </si>
  <si>
    <t xml:space="preserve">Why this severity</t>
  </si>
  <si>
    <t xml:space="preserve">Magnitude, likelihood, compensating controls, reliance</t>
  </si>
  <si>
    <t xml:space="preserve">DEFs in group</t>
  </si>
  <si>
    <t xml:space="preserve">Count</t>
  </si>
  <si>
    <t xml:space="preserve">Highest individual severity</t>
  </si>
  <si>
    <t xml:space="preserve">Highest rating among its DEFs</t>
  </si>
  <si>
    <t xml:space="preserve">Check</t>
  </si>
  <si>
    <t xml:space="preserve">Automatic test</t>
  </si>
  <si>
    <t xml:space="preserve">Version history</t>
  </si>
  <si>
    <t xml:space="preserve">0.1 — October 2026 — initial template (TIB Systems LLC)</t>
  </si>
  <si>
    <t xml:space="preserve">Cross-workbook links: keys from other workbooks are pasted as values into the Ref_ tabs, so this file works on its own and never breaks when files are moved.</t>
  </si>
  <si>
    <t xml:space="preserve">W13 — Deficiency Log</t>
  </si>
  <si>
    <t xml:space="preserve">One row per deficiency. Rows 5–6 are worked examples (DEF-004, DEF-007). Overwrite them.</t>
  </si>
  <si>
    <t xml:space="preserve">DEF-004</t>
  </si>
  <si>
    <t xml:space="preserve">C-ITGC-AC-002-TOE</t>
  </si>
  <si>
    <t xml:space="preserve">Operating</t>
  </si>
  <si>
    <t xml:space="preserve">3 of 25 sampled leavers locked 6 to 14 business days after termination; one display-only logon after termination date</t>
  </si>
  <si>
    <t xml:space="preserve">Leavers locked within two business days of HR termination (C-ITGC-AC-002)</t>
  </si>
  <si>
    <t xml:space="preserve">HR leavers report is sent weekly, not daily</t>
  </si>
  <si>
    <t xml:space="preserve">Leavers retain ability to post transactions (R-TECH-001, Occurrence)</t>
  </si>
  <si>
    <t xml:space="preserve">3 of 25</t>
  </si>
  <si>
    <t xml:space="preserve">C-ITGC-AC-003</t>
  </si>
  <si>
    <t xml:space="preserve">Y</t>
  </si>
  <si>
    <t xml:space="preserve">Control deficiency</t>
  </si>
  <si>
    <t xml:space="preserve">GR-C</t>
  </si>
  <si>
    <t xml:space="preserve">Agreed: daily HR feed to GRC with automatic lock</t>
  </si>
  <si>
    <t xml:space="preserve">IT Security Manager</t>
  </si>
  <si>
    <t xml:space="preserve">C-ITGC-AC-002-RT1</t>
  </si>
  <si>
    <t xml:space="preserve">Open</t>
  </si>
  <si>
    <t xml:space="preserve">DEF-007</t>
  </si>
  <si>
    <t xml:space="preserve">C-ITGC-AC-005-TOE</t>
  </si>
  <si>
    <t xml:space="preserve">Dialog user FI_SUPPORT1 holds SAP_ALL; generic ID TRAINING01 active; June privileged-access review not evidenced</t>
  </si>
  <si>
    <t xml:space="preserve">Privileged access restricted to approved users and reviewed monthly (C-ITGC-AC-005)</t>
  </si>
  <si>
    <t xml:space="preserve">Emergency fix on 14-Mar outside the access process; no retrospective review</t>
  </si>
  <si>
    <t xml:space="preserve">Basis can bypass change and access controls (R-TECH-003, R-TECH-005)</t>
  </si>
  <si>
    <t xml:space="preserve">1 SAP_ALL holder; 1 generic ID; 1 of 3 reviews</t>
  </si>
  <si>
    <t xml:space="preserve">C-ITAC-004, C-ITAC-005</t>
  </si>
  <si>
    <t xml:space="preserve">Full-period table logs and usage analysis</t>
  </si>
  <si>
    <t xml:space="preserve">GR-A</t>
  </si>
  <si>
    <t xml:space="preserve">Agreed: remove SAP_ALL from dialog users; use Firefighter</t>
  </si>
  <si>
    <t xml:space="preserve">Basis Lead</t>
  </si>
  <si>
    <t xml:space="preserve">C-ITGC-AC-005-RT1</t>
  </si>
  <si>
    <t xml:space="preserve">W13 — Aggregation Groups</t>
  </si>
  <si>
    <t xml:space="preserve">Evaluate related deficiencies together. Rows 5–6 are worked examples.</t>
  </si>
  <si>
    <t xml:space="preserve">Privileged access governance</t>
  </si>
  <si>
    <t xml:space="preserve">Same user type (Basis), same date (14-Mar), emergency fix outside process</t>
  </si>
  <si>
    <t xml:space="preserve">Change and access controls can be bypassed by Basis; full-period table logs and usage analysis show no misuse</t>
  </si>
  <si>
    <t xml:space="preserve">Significant deficiency</t>
  </si>
  <si>
    <t xml:space="preserve">Pervasive potential to bypass change and access controls; no evidence of misuse; ITAC reliance restored, so not a material weakness</t>
  </si>
  <si>
    <t xml:space="preserve">Access hygiene</t>
  </si>
  <si>
    <t xml:space="preserve">Timeliness and precision of access controls</t>
  </si>
  <si>
    <t xml:space="preserve">Compensated by the effective quarterly access review</t>
  </si>
  <si>
    <t xml:space="preserve">Compensating control tested effective and precise within a quarter</t>
  </si>
  <si>
    <t xml:space="preserve">TEST-ID (from W10)</t>
  </si>
  <si>
    <t xml:space="preserve">CTRL-ID (W10)</t>
  </si>
  <si>
    <t xml:space="preserve">RISK-ID (W04 via W05)</t>
  </si>
  <si>
    <t xml:space="preserve">BP-ID (W04)</t>
  </si>
  <si>
    <t xml:space="preserve">Result (W10)</t>
  </si>
  <si>
    <t xml:space="preserve">C-ITGC-AC-002</t>
  </si>
  <si>
    <t xml:space="preserve">R-TECH-001</t>
  </si>
  <si>
    <t xml:space="preserve">BP-TECH-01</t>
  </si>
  <si>
    <t xml:space="preserve">Exception noted</t>
  </si>
  <si>
    <t xml:space="preserve">C-ITGC-AC-005</t>
  </si>
  <si>
    <t xml:space="preserve">R-TECH-005</t>
  </si>
  <si>
    <t xml:space="preserve">Ineffective</t>
  </si>
  <si>
    <t xml:space="preserve">C-ITGC-PC-001-TOE</t>
  </si>
  <si>
    <t xml:space="preserve">C-ITGC-PC-001</t>
  </si>
  <si>
    <t xml:space="preserve">R-TECH-003</t>
  </si>
  <si>
    <t xml:space="preserve">BP-TECH-02</t>
  </si>
  <si>
    <t xml:space="preserve">C-ITAC-004-TOE</t>
  </si>
  <si>
    <t xml:space="preserve">C-ITAC-004</t>
  </si>
  <si>
    <t xml:space="preserve">R-P2P-002</t>
  </si>
  <si>
    <t xml:space="preserve">BP-P2P-02</t>
  </si>
  <si>
    <t xml:space="preserve">Effective</t>
  </si>
  <si>
    <t xml:space="preserve">DType</t>
  </si>
  <si>
    <t xml:space="preserve">YNP</t>
  </si>
  <si>
    <t xml:space="preserve">Sev</t>
  </si>
  <si>
    <t xml:space="preserve">DStat</t>
  </si>
  <si>
    <t xml:space="preserve">Design</t>
  </si>
  <si>
    <t xml:space="preserve">Draft</t>
  </si>
  <si>
    <t xml:space="preserve">N</t>
  </si>
  <si>
    <t xml:space="preserve">Pending</t>
  </si>
  <si>
    <t xml:space="preserve">Material weakness</t>
  </si>
  <si>
    <t xml:space="preserve">Remediation in progress</t>
  </si>
  <si>
    <t xml:space="preserve">Retest</t>
  </si>
  <si>
    <t xml:space="preserve">Closed</t>
  </si>
  <si>
    <t xml:space="preserve">W13 — Completion checks</t>
  </si>
  <si>
    <t xml:space="preserve">All checks are formulas. A workbook passes its gate when every status reads PASS (INFO rows are counts for your information).</t>
  </si>
  <si>
    <t xml:space="preserve">Overall</t>
  </si>
  <si>
    <t xml:space="preserve">What to do if REVIEW</t>
  </si>
  <si>
    <t xml:space="preserve">Deficiencies logged</t>
  </si>
  <si>
    <t xml:space="preserve">INFO</t>
  </si>
  <si>
    <t xml:space="preserve">—</t>
  </si>
  <si>
    <t xml:space="preserve">Duplicate DEF-IDs</t>
  </si>
  <si>
    <t xml:space="preserve">Keys must be unique.</t>
  </si>
  <si>
    <t xml:space="preserve">Deficiency rows needing attention</t>
  </si>
  <si>
    <t xml:space="preserve">Read the Row check column.</t>
  </si>
  <si>
    <t xml:space="preserve">Group rows needing attention</t>
  </si>
  <si>
    <t xml:space="preserve">Read the Check column.</t>
  </si>
  <si>
    <t xml:space="preserve">Tests with an exception / ineffective result and NO DEF-ID</t>
  </si>
  <si>
    <t xml:space="preserve">Raise a DEF, or record a false-positive rationale in the W11 workpaper and clear the W10 result.</t>
  </si>
  <si>
    <t xml:space="preserve">Open material weaknesses</t>
  </si>
  <si>
    <t xml:space="preserve">Escalate to the partner and audit committee.</t>
  </si>
  <si>
    <t xml:space="preserve">Open significant deficiencies</t>
  </si>
  <si>
    <t xml:space="preserve">Report to those charged with governance.</t>
  </si>
  <si>
    <t xml:space="preserve">Open control deficiencies</t>
  </si>
  <si>
    <t xml:space="preserve">Remediation overdue</t>
  </si>
  <si>
    <t xml:space="preserve">Chase the remediation owner.</t>
  </si>
  <si>
    <t xml:space="preserve">Deficiencies awaiting retest</t>
  </si>
  <si>
    <t xml:space="preserve">Create the retest in W10.</t>
  </si>
</sst>
</file>

<file path=xl/styles.xml><?xml version="1.0" encoding="utf-8"?>
<styleSheet xmlns="http://schemas.openxmlformats.org/spreadsheetml/2006/main">
  <numFmts count="2">
    <numFmt numFmtId="164" formatCode="General"/>
    <numFmt numFmtId="165" formatCode="dd\-mmm\-yyyy"/>
  </numFmts>
  <fonts count="18">
    <font>
      <sz val="11"/>
      <color theme="1"/>
      <name val="Calibri"/>
      <family val="2"/>
      <charset val="1"/>
    </font>
    <font>
      <sz val="10"/>
      <name val="Arial"/>
      <family val="0"/>
    </font>
    <font>
      <sz val="10"/>
      <name val="Arial"/>
      <family val="0"/>
    </font>
    <font>
      <sz val="10"/>
      <name val="Arial"/>
      <family val="0"/>
    </font>
    <font>
      <b val="true"/>
      <sz val="9"/>
      <color rgb="FF0E7C86"/>
      <name val="Arial"/>
      <family val="0"/>
      <charset val="1"/>
    </font>
    <font>
      <b val="true"/>
      <sz val="16"/>
      <color rgb="FF1F3864"/>
      <name val="Arial"/>
      <family val="0"/>
      <charset val="1"/>
    </font>
    <font>
      <b val="true"/>
      <sz val="11"/>
      <color rgb="FF0E7C86"/>
      <name val="Arial"/>
      <family val="0"/>
      <charset val="1"/>
    </font>
    <font>
      <sz val="10"/>
      <name val="Arial"/>
      <family val="0"/>
      <charset val="1"/>
    </font>
    <font>
      <b val="true"/>
      <sz val="10"/>
      <color rgb="FFFFFFFF"/>
      <name val="Arial"/>
      <family val="0"/>
      <charset val="1"/>
    </font>
    <font>
      <sz val="9"/>
      <name val="Arial"/>
      <family val="0"/>
      <charset val="1"/>
    </font>
    <font>
      <i val="true"/>
      <sz val="9"/>
      <name val="Arial"/>
      <family val="0"/>
      <charset val="1"/>
    </font>
    <font>
      <b val="true"/>
      <sz val="14"/>
      <color rgb="FF1F3864"/>
      <name val="Arial"/>
      <family val="0"/>
      <charset val="1"/>
    </font>
    <font>
      <i val="true"/>
      <sz val="9"/>
      <color rgb="FF555555"/>
      <name val="Arial"/>
      <family val="0"/>
      <charset val="1"/>
    </font>
    <font>
      <i val="true"/>
      <sz val="10"/>
      <color rgb="FF0000FF"/>
      <name val="Arial"/>
      <family val="0"/>
      <charset val="1"/>
    </font>
    <font>
      <sz val="10"/>
      <color rgb="FF000000"/>
      <name val="Arial"/>
      <family val="0"/>
      <charset val="1"/>
    </font>
    <font>
      <sz val="10"/>
      <color rgb="FF0000FF"/>
      <name val="Arial"/>
      <family val="0"/>
      <charset val="1"/>
    </font>
    <font>
      <b val="true"/>
      <sz val="10"/>
      <name val="Arial"/>
      <family val="0"/>
      <charset val="1"/>
    </font>
    <font>
      <b val="true"/>
      <sz val="10"/>
      <color rgb="FF0E7C86"/>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5B6B82"/>
        <bgColor rgb="FF555555"/>
      </patternFill>
    </fill>
    <fill>
      <patternFill patternType="solid">
        <fgColor rgb="FFFFF2CC"/>
        <bgColor rgb="FFEDEFF3"/>
      </patternFill>
    </fill>
    <fill>
      <patternFill patternType="solid">
        <fgColor rgb="FFEDEFF3"/>
        <bgColor rgb="FFFFFFFF"/>
      </patternFill>
    </fill>
    <fill>
      <patternFill patternType="solid">
        <fgColor rgb="FF0E7C86"/>
        <bgColor rgb="FF008080"/>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15" fillId="4" borderId="1" xfId="0" applyFont="true" applyBorder="true" applyAlignment="true" applyProtection="false">
      <alignment horizontal="general" vertical="top" textRotation="0" wrapText="true" indent="0" shrinkToFit="false"/>
      <protection locked="true" hidden="false"/>
    </xf>
    <xf numFmtId="164" fontId="8" fillId="6" borderId="0" xfId="0" applyFont="true" applyBorder="false" applyAlignment="true" applyProtection="false">
      <alignment horizontal="general"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5B6B82"/>
          <bgColor rgb="FF000000"/>
        </patternFill>
      </fill>
    </dxf>
    <dxf>
      <fill>
        <patternFill patternType="solid">
          <fgColor rgb="FFEDEFF3"/>
          <bgColor rgb="FF000000"/>
        </patternFill>
      </fill>
    </dxf>
    <dxf>
      <fill>
        <patternFill patternType="solid">
          <fgColor rgb="FF000000"/>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7C86"/>
      <rgbColor rgb="FFBFC7D5"/>
      <rgbColor rgb="FF808080"/>
      <rgbColor rgb="FF9999FF"/>
      <rgbColor rgb="FF993366"/>
      <rgbColor rgb="FFFFF2CC"/>
      <rgbColor rgb="FFEDEFF3"/>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B82"/>
      <rgbColor rgb="FF969696"/>
      <rgbColor rgb="FF1F3864"/>
      <rgbColor rgb="FF339966"/>
      <rgbColor rgb="FF003300"/>
      <rgbColor rgb="FF333300"/>
      <rgbColor rgb="FF993300"/>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60"/>
    <col collapsed="false" customWidth="true" hidden="false" outlineLevel="0" max="4" min="4" style="0" width="44"/>
    <col collapsed="false" customWidth="true" hidden="false" outlineLevel="0" max="5" min="5" style="0" width="10"/>
  </cols>
  <sheetData>
    <row r="1" customFormat="false" ht="15" hidden="false" customHeight="false" outlineLevel="0" collapsed="false">
      <c r="A1" s="1" t="s">
        <v>0</v>
      </c>
    </row>
    <row r="2" customFormat="false" ht="19.7"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c r="C5" s="4"/>
      <c r="D5" s="4"/>
    </row>
    <row r="7" customFormat="false" ht="15" hidden="false" customHeight="false" outlineLevel="0" collapsed="false">
      <c r="A7" s="3" t="s">
        <v>4</v>
      </c>
    </row>
    <row r="8" customFormat="false" ht="15" hidden="false" customHeight="true" outlineLevel="0" collapsed="false">
      <c r="A8" s="4" t="s">
        <v>5</v>
      </c>
      <c r="B8" s="4"/>
      <c r="C8" s="4"/>
      <c r="D8" s="4"/>
    </row>
    <row r="9" customFormat="false" ht="30" hidden="false" customHeight="true" outlineLevel="0" collapsed="false">
      <c r="A9" s="4" t="s">
        <v>6</v>
      </c>
      <c r="B9" s="4"/>
      <c r="C9" s="4"/>
      <c r="D9" s="4"/>
    </row>
    <row r="10" customFormat="false" ht="15" hidden="false" customHeight="true" outlineLevel="0" collapsed="false">
      <c r="A10" s="4" t="s">
        <v>7</v>
      </c>
      <c r="B10" s="4"/>
      <c r="C10" s="4"/>
      <c r="D10" s="4"/>
    </row>
    <row r="11" customFormat="false" ht="15" hidden="false" customHeight="true" outlineLevel="0" collapsed="false">
      <c r="A11" s="4" t="s">
        <v>8</v>
      </c>
      <c r="B11" s="4"/>
      <c r="C11" s="4"/>
      <c r="D11" s="4"/>
    </row>
    <row r="12" customFormat="false" ht="30" hidden="false" customHeight="true" outlineLevel="0" collapsed="false">
      <c r="A12" s="4" t="s">
        <v>9</v>
      </c>
      <c r="B12" s="4"/>
      <c r="C12" s="4"/>
      <c r="D12" s="4"/>
    </row>
    <row r="14" customFormat="false" ht="15" hidden="false" customHeight="false" outlineLevel="0" collapsed="false">
      <c r="A14" s="3" t="s">
        <v>10</v>
      </c>
    </row>
    <row r="15" customFormat="false" ht="30" hidden="false" customHeight="true" outlineLevel="0" collapsed="false">
      <c r="A15" s="4" t="s">
        <v>11</v>
      </c>
      <c r="B15" s="4"/>
      <c r="C15" s="4"/>
      <c r="D15" s="4"/>
    </row>
    <row r="17" customFormat="false" ht="15" hidden="false" customHeight="false" outlineLevel="0" collapsed="false">
      <c r="A17" s="3" t="s">
        <v>12</v>
      </c>
    </row>
    <row r="18" customFormat="false" ht="15" hidden="false" customHeight="true" outlineLevel="0" collapsed="false">
      <c r="A18" s="4" t="s">
        <v>13</v>
      </c>
      <c r="B18" s="4"/>
      <c r="C18" s="4"/>
      <c r="D18" s="4"/>
    </row>
    <row r="19" customFormat="false" ht="15" hidden="false" customHeight="true" outlineLevel="0" collapsed="false">
      <c r="A19" s="4" t="s">
        <v>14</v>
      </c>
      <c r="B19" s="4"/>
      <c r="C19" s="4"/>
      <c r="D19" s="4"/>
    </row>
    <row r="20" customFormat="false" ht="15" hidden="false" customHeight="true" outlineLevel="0" collapsed="false">
      <c r="A20" s="4" t="s">
        <v>15</v>
      </c>
      <c r="B20" s="4"/>
      <c r="C20" s="4"/>
      <c r="D20" s="4"/>
    </row>
    <row r="21" customFormat="false" ht="15" hidden="false" customHeight="true" outlineLevel="0" collapsed="false">
      <c r="A21" s="4" t="s">
        <v>16</v>
      </c>
      <c r="B21" s="4"/>
      <c r="C21" s="4"/>
      <c r="D21" s="4"/>
    </row>
    <row r="23" customFormat="false" ht="15" hidden="false" customHeight="false" outlineLevel="0" collapsed="false">
      <c r="A23" s="3" t="s">
        <v>17</v>
      </c>
    </row>
    <row r="24" customFormat="false" ht="15" hidden="false" customHeight="true" outlineLevel="0" collapsed="false">
      <c r="A24" s="4" t="s">
        <v>18</v>
      </c>
      <c r="B24" s="4"/>
      <c r="C24" s="4"/>
      <c r="D24" s="4"/>
    </row>
    <row r="26" customFormat="false" ht="15" hidden="false" customHeight="false" outlineLevel="0" collapsed="false">
      <c r="A26" s="3" t="s">
        <v>19</v>
      </c>
    </row>
    <row r="27" customFormat="false" ht="15" hidden="false" customHeight="false" outlineLevel="0" collapsed="false">
      <c r="A27" s="5" t="s">
        <v>20</v>
      </c>
      <c r="B27" s="5" t="s">
        <v>21</v>
      </c>
      <c r="C27" s="5" t="s">
        <v>22</v>
      </c>
      <c r="D27" s="5" t="s">
        <v>23</v>
      </c>
      <c r="E27" s="5" t="s">
        <v>24</v>
      </c>
    </row>
    <row r="28" customFormat="false" ht="15" hidden="false" customHeight="false" outlineLevel="0" collapsed="false">
      <c r="A28" s="6" t="s">
        <v>25</v>
      </c>
      <c r="B28" s="6" t="s">
        <v>26</v>
      </c>
      <c r="C28" s="6" t="s">
        <v>27</v>
      </c>
      <c r="D28" s="6" t="s">
        <v>28</v>
      </c>
      <c r="E28" s="6" t="s">
        <v>29</v>
      </c>
    </row>
    <row r="29" customFormat="false" ht="15" hidden="false" customHeight="false" outlineLevel="0" collapsed="false">
      <c r="A29" s="6" t="s">
        <v>25</v>
      </c>
      <c r="B29" s="6" t="s">
        <v>30</v>
      </c>
      <c r="C29" s="6" t="s">
        <v>31</v>
      </c>
      <c r="D29" s="6" t="s">
        <v>32</v>
      </c>
      <c r="E29" s="6" t="s">
        <v>29</v>
      </c>
    </row>
    <row r="30" customFormat="false" ht="15" hidden="false" customHeight="false" outlineLevel="0" collapsed="false">
      <c r="A30" s="6" t="s">
        <v>25</v>
      </c>
      <c r="B30" s="6" t="s">
        <v>33</v>
      </c>
      <c r="C30" s="6" t="s">
        <v>34</v>
      </c>
      <c r="D30" s="6" t="s">
        <v>35</v>
      </c>
      <c r="E30" s="6" t="s">
        <v>35</v>
      </c>
    </row>
    <row r="31" customFormat="false" ht="15" hidden="false" customHeight="false" outlineLevel="0" collapsed="false">
      <c r="A31" s="6" t="s">
        <v>25</v>
      </c>
      <c r="B31" s="6" t="s">
        <v>36</v>
      </c>
      <c r="C31" s="6" t="s">
        <v>34</v>
      </c>
      <c r="D31" s="6" t="s">
        <v>35</v>
      </c>
      <c r="E31" s="6" t="s">
        <v>35</v>
      </c>
    </row>
    <row r="32" customFormat="false" ht="15" hidden="false" customHeight="false" outlineLevel="0" collapsed="false">
      <c r="A32" s="6" t="s">
        <v>25</v>
      </c>
      <c r="B32" s="6" t="s">
        <v>37</v>
      </c>
      <c r="C32" s="6" t="s">
        <v>34</v>
      </c>
      <c r="D32" s="6" t="s">
        <v>35</v>
      </c>
      <c r="E32" s="6" t="s">
        <v>35</v>
      </c>
    </row>
    <row r="33" customFormat="false" ht="15" hidden="false" customHeight="false" outlineLevel="0" collapsed="false">
      <c r="A33" s="6" t="s">
        <v>25</v>
      </c>
      <c r="B33" s="6" t="s">
        <v>38</v>
      </c>
      <c r="C33" s="6" t="s">
        <v>39</v>
      </c>
      <c r="D33" s="6" t="s">
        <v>40</v>
      </c>
      <c r="E33" s="6" t="s">
        <v>29</v>
      </c>
    </row>
    <row r="34" customFormat="false" ht="15" hidden="false" customHeight="false" outlineLevel="0" collapsed="false">
      <c r="A34" s="6" t="s">
        <v>25</v>
      </c>
      <c r="B34" s="6" t="s">
        <v>41</v>
      </c>
      <c r="C34" s="6" t="s">
        <v>42</v>
      </c>
      <c r="D34" s="6" t="s">
        <v>43</v>
      </c>
      <c r="E34" s="6" t="s">
        <v>29</v>
      </c>
    </row>
    <row r="35" customFormat="false" ht="15" hidden="false" customHeight="false" outlineLevel="0" collapsed="false">
      <c r="A35" s="6" t="s">
        <v>25</v>
      </c>
      <c r="B35" s="6" t="s">
        <v>44</v>
      </c>
      <c r="C35" s="6" t="s">
        <v>45</v>
      </c>
      <c r="D35" s="6" t="s">
        <v>46</v>
      </c>
      <c r="E35" s="6" t="s">
        <v>29</v>
      </c>
    </row>
    <row r="36" customFormat="false" ht="15" hidden="false" customHeight="false" outlineLevel="0" collapsed="false">
      <c r="A36" s="6" t="s">
        <v>25</v>
      </c>
      <c r="B36" s="6" t="s">
        <v>47</v>
      </c>
      <c r="C36" s="6" t="s">
        <v>48</v>
      </c>
      <c r="D36" s="6" t="s">
        <v>49</v>
      </c>
      <c r="E36" s="6" t="s">
        <v>29</v>
      </c>
    </row>
    <row r="37" customFormat="false" ht="15" hidden="false" customHeight="false" outlineLevel="0" collapsed="false">
      <c r="A37" s="6" t="s">
        <v>25</v>
      </c>
      <c r="B37" s="6" t="s">
        <v>50</v>
      </c>
      <c r="C37" s="6" t="s">
        <v>51</v>
      </c>
      <c r="D37" s="6" t="s">
        <v>49</v>
      </c>
      <c r="E37" s="6" t="s">
        <v>29</v>
      </c>
    </row>
    <row r="38" customFormat="false" ht="15" hidden="false" customHeight="false" outlineLevel="0" collapsed="false">
      <c r="A38" s="6" t="s">
        <v>25</v>
      </c>
      <c r="B38" s="6" t="s">
        <v>52</v>
      </c>
      <c r="C38" s="6" t="s">
        <v>53</v>
      </c>
      <c r="D38" s="6" t="s">
        <v>54</v>
      </c>
      <c r="E38" s="6" t="s">
        <v>29</v>
      </c>
    </row>
    <row r="39" customFormat="false" ht="15" hidden="false" customHeight="false" outlineLevel="0" collapsed="false">
      <c r="A39" s="6" t="s">
        <v>25</v>
      </c>
      <c r="B39" s="6" t="s">
        <v>55</v>
      </c>
      <c r="C39" s="6" t="s">
        <v>56</v>
      </c>
      <c r="D39" s="6" t="s">
        <v>57</v>
      </c>
      <c r="E39" s="6" t="s">
        <v>29</v>
      </c>
    </row>
    <row r="40" customFormat="false" ht="15" hidden="false" customHeight="false" outlineLevel="0" collapsed="false">
      <c r="A40" s="6" t="s">
        <v>25</v>
      </c>
      <c r="B40" s="6" t="s">
        <v>58</v>
      </c>
      <c r="C40" s="6" t="s">
        <v>59</v>
      </c>
      <c r="D40" s="6" t="s">
        <v>60</v>
      </c>
      <c r="E40" s="6" t="s">
        <v>29</v>
      </c>
    </row>
    <row r="41" customFormat="false" ht="15" hidden="false" customHeight="false" outlineLevel="0" collapsed="false">
      <c r="A41" s="6" t="s">
        <v>25</v>
      </c>
      <c r="B41" s="6" t="s">
        <v>61</v>
      </c>
      <c r="C41" s="6" t="s">
        <v>62</v>
      </c>
      <c r="D41" s="6" t="s">
        <v>63</v>
      </c>
      <c r="E41" s="6" t="s">
        <v>29</v>
      </c>
    </row>
    <row r="42" customFormat="false" ht="22.35" hidden="false" customHeight="false" outlineLevel="0" collapsed="false">
      <c r="A42" s="6" t="s">
        <v>25</v>
      </c>
      <c r="B42" s="6" t="s">
        <v>64</v>
      </c>
      <c r="C42" s="6" t="s">
        <v>65</v>
      </c>
      <c r="D42" s="6" t="s">
        <v>66</v>
      </c>
      <c r="E42" s="6" t="s">
        <v>29</v>
      </c>
    </row>
    <row r="43" customFormat="false" ht="15" hidden="false" customHeight="false" outlineLevel="0" collapsed="false">
      <c r="A43" s="6" t="s">
        <v>25</v>
      </c>
      <c r="B43" s="6" t="s">
        <v>67</v>
      </c>
      <c r="C43" s="6" t="s">
        <v>68</v>
      </c>
      <c r="D43" s="6" t="s">
        <v>69</v>
      </c>
      <c r="E43" s="6" t="s">
        <v>29</v>
      </c>
    </row>
    <row r="44" customFormat="false" ht="15" hidden="false" customHeight="false" outlineLevel="0" collapsed="false">
      <c r="A44" s="6" t="s">
        <v>25</v>
      </c>
      <c r="B44" s="6" t="s">
        <v>70</v>
      </c>
      <c r="C44" s="6" t="s">
        <v>71</v>
      </c>
      <c r="D44" s="6" t="s">
        <v>49</v>
      </c>
      <c r="E44" s="6" t="s">
        <v>29</v>
      </c>
    </row>
    <row r="45" customFormat="false" ht="15" hidden="false" customHeight="false" outlineLevel="0" collapsed="false">
      <c r="A45" s="6" t="s">
        <v>25</v>
      </c>
      <c r="B45" s="6" t="s">
        <v>72</v>
      </c>
      <c r="C45" s="6" t="s">
        <v>73</v>
      </c>
      <c r="D45" s="6" t="s">
        <v>74</v>
      </c>
      <c r="E45" s="6" t="s">
        <v>29</v>
      </c>
    </row>
    <row r="46" customFormat="false" ht="15" hidden="false" customHeight="false" outlineLevel="0" collapsed="false">
      <c r="A46" s="6" t="s">
        <v>25</v>
      </c>
      <c r="B46" s="6" t="s">
        <v>75</v>
      </c>
      <c r="C46" s="6" t="s">
        <v>76</v>
      </c>
      <c r="D46" s="6" t="s">
        <v>77</v>
      </c>
      <c r="E46" s="6" t="s">
        <v>29</v>
      </c>
    </row>
    <row r="47" customFormat="false" ht="15" hidden="false" customHeight="false" outlineLevel="0" collapsed="false">
      <c r="A47" s="6" t="s">
        <v>25</v>
      </c>
      <c r="B47" s="6" t="s">
        <v>78</v>
      </c>
      <c r="C47" s="6" t="s">
        <v>79</v>
      </c>
      <c r="D47" s="6" t="s">
        <v>80</v>
      </c>
      <c r="E47" s="6" t="s">
        <v>29</v>
      </c>
    </row>
    <row r="48" customFormat="false" ht="15" hidden="false" customHeight="false" outlineLevel="0" collapsed="false">
      <c r="A48" s="6" t="s">
        <v>25</v>
      </c>
      <c r="B48" s="6" t="s">
        <v>81</v>
      </c>
      <c r="C48" s="6" t="s">
        <v>82</v>
      </c>
      <c r="D48" s="6" t="s">
        <v>83</v>
      </c>
      <c r="E48" s="6" t="s">
        <v>29</v>
      </c>
    </row>
    <row r="49" customFormat="false" ht="15" hidden="false" customHeight="false" outlineLevel="0" collapsed="false">
      <c r="A49" s="6" t="s">
        <v>25</v>
      </c>
      <c r="B49" s="6" t="s">
        <v>84</v>
      </c>
      <c r="C49" s="6" t="s">
        <v>85</v>
      </c>
      <c r="D49" s="6" t="s">
        <v>35</v>
      </c>
      <c r="E49" s="6" t="s">
        <v>35</v>
      </c>
    </row>
    <row r="50" customFormat="false" ht="15" hidden="false" customHeight="false" outlineLevel="0" collapsed="false">
      <c r="A50" s="6" t="s">
        <v>86</v>
      </c>
      <c r="B50" s="6" t="s">
        <v>67</v>
      </c>
      <c r="C50" s="6" t="s">
        <v>27</v>
      </c>
      <c r="D50" s="6" t="s">
        <v>87</v>
      </c>
      <c r="E50" s="6" t="s">
        <v>29</v>
      </c>
    </row>
    <row r="51" customFormat="false" ht="15" hidden="false" customHeight="false" outlineLevel="0" collapsed="false">
      <c r="A51" s="6" t="s">
        <v>86</v>
      </c>
      <c r="B51" s="6" t="s">
        <v>88</v>
      </c>
      <c r="C51" s="6" t="s">
        <v>89</v>
      </c>
      <c r="D51" s="6" t="s">
        <v>90</v>
      </c>
      <c r="E51" s="6" t="s">
        <v>29</v>
      </c>
    </row>
    <row r="52" customFormat="false" ht="15" hidden="false" customHeight="false" outlineLevel="0" collapsed="false">
      <c r="A52" s="6" t="s">
        <v>86</v>
      </c>
      <c r="B52" s="6" t="s">
        <v>91</v>
      </c>
      <c r="C52" s="6" t="s">
        <v>92</v>
      </c>
      <c r="D52" s="6" t="s">
        <v>93</v>
      </c>
      <c r="E52" s="6" t="s">
        <v>29</v>
      </c>
    </row>
    <row r="53" customFormat="false" ht="15" hidden="false" customHeight="false" outlineLevel="0" collapsed="false">
      <c r="A53" s="6" t="s">
        <v>86</v>
      </c>
      <c r="B53" s="6" t="s">
        <v>94</v>
      </c>
      <c r="C53" s="6" t="s">
        <v>95</v>
      </c>
      <c r="D53" s="6" t="s">
        <v>49</v>
      </c>
      <c r="E53" s="6" t="s">
        <v>29</v>
      </c>
    </row>
    <row r="54" customFormat="false" ht="15" hidden="false" customHeight="false" outlineLevel="0" collapsed="false">
      <c r="A54" s="6" t="s">
        <v>86</v>
      </c>
      <c r="B54" s="6" t="s">
        <v>96</v>
      </c>
      <c r="C54" s="6" t="s">
        <v>97</v>
      </c>
      <c r="D54" s="6" t="s">
        <v>98</v>
      </c>
      <c r="E54" s="6" t="s">
        <v>29</v>
      </c>
    </row>
    <row r="55" customFormat="false" ht="15" hidden="false" customHeight="false" outlineLevel="0" collapsed="false">
      <c r="A55" s="6" t="s">
        <v>86</v>
      </c>
      <c r="B55" s="6" t="s">
        <v>99</v>
      </c>
      <c r="C55" s="6" t="s">
        <v>100</v>
      </c>
      <c r="D55" s="6" t="s">
        <v>101</v>
      </c>
      <c r="E55" s="6" t="s">
        <v>29</v>
      </c>
    </row>
    <row r="56" customFormat="false" ht="15" hidden="false" customHeight="false" outlineLevel="0" collapsed="false">
      <c r="A56" s="6" t="s">
        <v>86</v>
      </c>
      <c r="B56" s="6" t="s">
        <v>102</v>
      </c>
      <c r="C56" s="6" t="s">
        <v>103</v>
      </c>
      <c r="D56" s="6" t="s">
        <v>35</v>
      </c>
      <c r="E56" s="6" t="s">
        <v>35</v>
      </c>
    </row>
    <row r="57" customFormat="false" ht="15" hidden="false" customHeight="false" outlineLevel="0" collapsed="false">
      <c r="A57" s="6" t="s">
        <v>86</v>
      </c>
      <c r="B57" s="6" t="s">
        <v>104</v>
      </c>
      <c r="C57" s="6" t="s">
        <v>105</v>
      </c>
      <c r="D57" s="6" t="s">
        <v>35</v>
      </c>
      <c r="E57" s="6" t="s">
        <v>35</v>
      </c>
    </row>
    <row r="58" customFormat="false" ht="15" hidden="false" customHeight="false" outlineLevel="0" collapsed="false">
      <c r="A58" s="6" t="s">
        <v>86</v>
      </c>
      <c r="B58" s="6" t="s">
        <v>106</v>
      </c>
      <c r="C58" s="6" t="s">
        <v>107</v>
      </c>
      <c r="D58" s="6" t="s">
        <v>35</v>
      </c>
      <c r="E58" s="6" t="s">
        <v>35</v>
      </c>
    </row>
    <row r="60" customFormat="false" ht="15" hidden="false" customHeight="false" outlineLevel="0" collapsed="false">
      <c r="A60" s="3" t="s">
        <v>108</v>
      </c>
    </row>
    <row r="61" customFormat="false" ht="15" hidden="false" customHeight="false" outlineLevel="0" collapsed="false">
      <c r="A61" s="7" t="s">
        <v>109</v>
      </c>
    </row>
    <row r="62" customFormat="false" ht="15" hidden="false" customHeight="false" outlineLevel="0" collapsed="false">
      <c r="A62" s="8" t="s">
        <v>110</v>
      </c>
    </row>
  </sheetData>
  <mergeCells count="12">
    <mergeCell ref="A5:D5"/>
    <mergeCell ref="A8:D8"/>
    <mergeCell ref="A9:D9"/>
    <mergeCell ref="A10:D10"/>
    <mergeCell ref="A11:D11"/>
    <mergeCell ref="A12:D12"/>
    <mergeCell ref="A15:D15"/>
    <mergeCell ref="A18:D18"/>
    <mergeCell ref="A19:D19"/>
    <mergeCell ref="A20:D20"/>
    <mergeCell ref="A21:D21"/>
    <mergeCell ref="A24: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2"/>
    <col collapsed="false" customWidth="true" hidden="false" outlineLevel="0" max="3" min="3" style="0" width="16"/>
    <col collapsed="false" customWidth="true" hidden="false" outlineLevel="0" max="5" min="4" style="0" width="12"/>
    <col collapsed="false" customWidth="true" hidden="false" outlineLevel="0" max="6" min="6" style="0" width="10"/>
    <col collapsed="false" customWidth="true" hidden="false" outlineLevel="0" max="7" min="7" style="0" width="36"/>
    <col collapsed="false" customWidth="true" hidden="false" outlineLevel="0" max="10" min="8" style="0" width="30"/>
    <col collapsed="false" customWidth="true" hidden="false" outlineLevel="0" max="11" min="11" style="0" width="14"/>
    <col collapsed="false" customWidth="true" hidden="false" outlineLevel="0" max="13" min="12" style="0" width="22"/>
    <col collapsed="false" customWidth="true" hidden="false" outlineLevel="0" max="14" min="14" style="0" width="11"/>
    <col collapsed="false" customWidth="true" hidden="false" outlineLevel="0" max="15" min="15" style="0" width="18"/>
    <col collapsed="false" customWidth="true" hidden="false" outlineLevel="0" max="16" min="16" style="0" width="9"/>
    <col collapsed="false" customWidth="true" hidden="false" outlineLevel="0" max="17" min="17" style="0" width="30"/>
    <col collapsed="false" customWidth="true" hidden="false" outlineLevel="0" max="18" min="18" style="0" width="16"/>
    <col collapsed="false" customWidth="true" hidden="false" outlineLevel="0" max="19" min="19" style="0" width="12"/>
    <col collapsed="false" customWidth="true" hidden="false" outlineLevel="0" max="20" min="20" style="0" width="20"/>
    <col collapsed="false" customWidth="true" hidden="false" outlineLevel="0" max="21" min="21" style="0" width="18"/>
    <col collapsed="false" customWidth="true" hidden="false" outlineLevel="0" max="22" min="22" style="0" width="36"/>
  </cols>
  <sheetData>
    <row r="1" customFormat="false" ht="17.35" hidden="false" customHeight="false" outlineLevel="0" collapsed="false">
      <c r="A1" s="9" t="s">
        <v>111</v>
      </c>
    </row>
    <row r="2" customFormat="false" ht="15" hidden="false" customHeight="false" outlineLevel="0" collapsed="false">
      <c r="A2" s="10" t="s">
        <v>112</v>
      </c>
    </row>
    <row r="4" customFormat="false" ht="31.5" hidden="false" customHeight="true" outlineLevel="0" collapsed="false">
      <c r="A4" s="11" t="s">
        <v>26</v>
      </c>
      <c r="B4" s="11" t="s">
        <v>30</v>
      </c>
      <c r="C4" s="12" t="s">
        <v>33</v>
      </c>
      <c r="D4" s="12" t="s">
        <v>36</v>
      </c>
      <c r="E4" s="12" t="s">
        <v>37</v>
      </c>
      <c r="F4" s="11" t="s">
        <v>38</v>
      </c>
      <c r="G4" s="11" t="s">
        <v>41</v>
      </c>
      <c r="H4" s="11" t="s">
        <v>44</v>
      </c>
      <c r="I4" s="11" t="s">
        <v>47</v>
      </c>
      <c r="J4" s="11" t="s">
        <v>50</v>
      </c>
      <c r="K4" s="11" t="s">
        <v>52</v>
      </c>
      <c r="L4" s="11" t="s">
        <v>55</v>
      </c>
      <c r="M4" s="11" t="s">
        <v>58</v>
      </c>
      <c r="N4" s="11" t="s">
        <v>61</v>
      </c>
      <c r="O4" s="11" t="s">
        <v>64</v>
      </c>
      <c r="P4" s="11" t="s">
        <v>67</v>
      </c>
      <c r="Q4" s="11" t="s">
        <v>70</v>
      </c>
      <c r="R4" s="11" t="s">
        <v>72</v>
      </c>
      <c r="S4" s="11" t="s">
        <v>75</v>
      </c>
      <c r="T4" s="11" t="s">
        <v>78</v>
      </c>
      <c r="U4" s="11" t="s">
        <v>81</v>
      </c>
      <c r="V4" s="12" t="s">
        <v>84</v>
      </c>
    </row>
    <row r="5" customFormat="false" ht="35.05" hidden="false" customHeight="false" outlineLevel="0" collapsed="false">
      <c r="A5" s="13" t="s">
        <v>113</v>
      </c>
      <c r="B5" s="13" t="s">
        <v>114</v>
      </c>
      <c r="C5" s="14" t="str">
        <f aca="false">IFERROR(INDEX(Ref_TEST!$B$2:$B$201,MATCH(B5,Ref_TEST!$A$2:$A$201,0)),"")</f>
        <v>C-ITGC-AC-002</v>
      </c>
      <c r="D5" s="14" t="str">
        <f aca="false">IFERROR(INDEX(Ref_TEST!$C$2:$C$201,MATCH(B5,Ref_TEST!$A$2:$A$201,0)),"")</f>
        <v>R-TECH-001</v>
      </c>
      <c r="E5" s="14" t="str">
        <f aca="false">IFERROR(INDEX(Ref_TEST!$D$2:$D$201,MATCH(B5,Ref_TEST!$A$2:$A$201,0)),"")</f>
        <v>BP-TECH-01</v>
      </c>
      <c r="F5" s="13" t="s">
        <v>115</v>
      </c>
      <c r="G5" s="13" t="s">
        <v>116</v>
      </c>
      <c r="H5" s="13" t="s">
        <v>117</v>
      </c>
      <c r="I5" s="13" t="s">
        <v>118</v>
      </c>
      <c r="J5" s="13" t="s">
        <v>119</v>
      </c>
      <c r="K5" s="13" t="s">
        <v>120</v>
      </c>
      <c r="L5" s="13"/>
      <c r="M5" s="13" t="s">
        <v>121</v>
      </c>
      <c r="N5" s="13" t="s">
        <v>122</v>
      </c>
      <c r="O5" s="13" t="s">
        <v>123</v>
      </c>
      <c r="P5" s="13" t="s">
        <v>124</v>
      </c>
      <c r="Q5" s="13" t="s">
        <v>125</v>
      </c>
      <c r="R5" s="13" t="s">
        <v>126</v>
      </c>
      <c r="S5" s="15" t="n">
        <v>46387</v>
      </c>
      <c r="T5" s="13" t="s">
        <v>127</v>
      </c>
      <c r="U5" s="13" t="s">
        <v>128</v>
      </c>
      <c r="V5" s="14" t="str">
        <f aca="false">IF(A5="","",IF(COUNTIF(Ref_TEST!$A$2:$A$201,B5)=0,"TEST-ID not in W10",IF(OR(F5="",G5="",H5="",I5="",J5=""),"Type, condition, criteria, cause, effect needed",IF(O5="","Severity needed",IF(AND(M5&lt;&gt;"",N5=""),"Compensating control test result needed",IF(AND(O5&lt;&gt;"Control deficiency",P5=""),"Assign to an aggregation group",IF(AND(U5&lt;&gt;"Draft",OR(Q5="",R5="",S5="")),"Response, owner and due date needed",IF(AND(U5="Closed",T5=""),"Closed requires a retest TEST-ID","OK"))))))))</f>
        <v>OK</v>
      </c>
    </row>
    <row r="6" customFormat="false" ht="46.25" hidden="false" customHeight="false" outlineLevel="0" collapsed="false">
      <c r="A6" s="13" t="s">
        <v>129</v>
      </c>
      <c r="B6" s="13" t="s">
        <v>130</v>
      </c>
      <c r="C6" s="14" t="str">
        <f aca="false">IFERROR(INDEX(Ref_TEST!$B$2:$B$201,MATCH(B6,Ref_TEST!$A$2:$A$201,0)),"")</f>
        <v>C-ITGC-AC-005</v>
      </c>
      <c r="D6" s="14" t="str">
        <f aca="false">IFERROR(INDEX(Ref_TEST!$C$2:$C$201,MATCH(B6,Ref_TEST!$A$2:$A$201,0)),"")</f>
        <v>R-TECH-005</v>
      </c>
      <c r="E6" s="14" t="str">
        <f aca="false">IFERROR(INDEX(Ref_TEST!$D$2:$D$201,MATCH(B6,Ref_TEST!$A$2:$A$201,0)),"")</f>
        <v>BP-TECH-01</v>
      </c>
      <c r="F6" s="13" t="s">
        <v>115</v>
      </c>
      <c r="G6" s="13" t="s">
        <v>131</v>
      </c>
      <c r="H6" s="13" t="s">
        <v>132</v>
      </c>
      <c r="I6" s="13" t="s">
        <v>133</v>
      </c>
      <c r="J6" s="13" t="s">
        <v>134</v>
      </c>
      <c r="K6" s="13" t="s">
        <v>135</v>
      </c>
      <c r="L6" s="13" t="s">
        <v>136</v>
      </c>
      <c r="M6" s="13" t="s">
        <v>137</v>
      </c>
      <c r="N6" s="13" t="s">
        <v>122</v>
      </c>
      <c r="O6" s="13" t="s">
        <v>123</v>
      </c>
      <c r="P6" s="13" t="s">
        <v>138</v>
      </c>
      <c r="Q6" s="13" t="s">
        <v>139</v>
      </c>
      <c r="R6" s="13" t="s">
        <v>140</v>
      </c>
      <c r="S6" s="15" t="n">
        <v>46356</v>
      </c>
      <c r="T6" s="13" t="s">
        <v>141</v>
      </c>
      <c r="U6" s="13" t="s">
        <v>128</v>
      </c>
      <c r="V6" s="14" t="str">
        <f aca="false">IF(A6="","",IF(COUNTIF(Ref_TEST!$A$2:$A$201,B6)=0,"TEST-ID not in W10",IF(OR(F6="",G6="",H6="",I6="",J6=""),"Type, condition, criteria, cause, effect needed",IF(O6="","Severity needed",IF(AND(M6&lt;&gt;"",N6=""),"Compensating control test result needed",IF(AND(O6&lt;&gt;"Control deficiency",P6=""),"Assign to an aggregation group",IF(AND(U6&lt;&gt;"Draft",OR(Q6="",R6="",S6="")),"Response, owner and due date needed",IF(AND(U6="Closed",T6=""),"Closed requires a retest TEST-ID","OK"))))))))</f>
        <v>OK</v>
      </c>
    </row>
    <row r="7" customFormat="false" ht="15" hidden="false" customHeight="false" outlineLevel="0" collapsed="false">
      <c r="A7" s="16"/>
      <c r="B7" s="16"/>
      <c r="C7" s="17" t="str">
        <f aca="false">IFERROR(INDEX(Ref_TEST!$B$2:$B$201,MATCH(B7,Ref_TEST!$A$2:$A$201,0)),"")</f>
        <v/>
      </c>
      <c r="D7" s="17" t="str">
        <f aca="false">IFERROR(INDEX(Ref_TEST!$C$2:$C$201,MATCH(B7,Ref_TEST!$A$2:$A$201,0)),"")</f>
        <v/>
      </c>
      <c r="E7" s="17" t="str">
        <f aca="false">IFERROR(INDEX(Ref_TEST!$D$2:$D$201,MATCH(B7,Ref_TEST!$A$2:$A$201,0)),"")</f>
        <v/>
      </c>
      <c r="F7" s="16"/>
      <c r="G7" s="16"/>
      <c r="H7" s="16"/>
      <c r="I7" s="16"/>
      <c r="J7" s="16"/>
      <c r="K7" s="16"/>
      <c r="L7" s="16"/>
      <c r="M7" s="16"/>
      <c r="N7" s="16"/>
      <c r="O7" s="16"/>
      <c r="P7" s="16"/>
      <c r="Q7" s="16"/>
      <c r="R7" s="16"/>
      <c r="S7" s="18"/>
      <c r="T7" s="16"/>
      <c r="U7" s="16"/>
      <c r="V7" s="17" t="str">
        <f aca="false">IF(A7="","",IF(COUNTIF(Ref_TEST!$A$2:$A$201,B7)=0,"TEST-ID not in W10",IF(OR(F7="",G7="",H7="",I7="",J7=""),"Type, condition, criteria, cause, effect needed",IF(O7="","Severity needed",IF(AND(M7&lt;&gt;"",N7=""),"Compensating control test result needed",IF(AND(O7&lt;&gt;"Control deficiency",P7=""),"Assign to an aggregation group",IF(AND(U7&lt;&gt;"Draft",OR(Q7="",R7="",S7="")),"Response, owner and due date needed",IF(AND(U7="Closed",T7=""),"Closed requires a retest TEST-ID","OK"))))))))</f>
        <v/>
      </c>
    </row>
    <row r="8" customFormat="false" ht="15" hidden="false" customHeight="false" outlineLevel="0" collapsed="false">
      <c r="A8" s="16"/>
      <c r="B8" s="16"/>
      <c r="C8" s="17" t="str">
        <f aca="false">IFERROR(INDEX(Ref_TEST!$B$2:$B$201,MATCH(B8,Ref_TEST!$A$2:$A$201,0)),"")</f>
        <v/>
      </c>
      <c r="D8" s="17" t="str">
        <f aca="false">IFERROR(INDEX(Ref_TEST!$C$2:$C$201,MATCH(B8,Ref_TEST!$A$2:$A$201,0)),"")</f>
        <v/>
      </c>
      <c r="E8" s="17" t="str">
        <f aca="false">IFERROR(INDEX(Ref_TEST!$D$2:$D$201,MATCH(B8,Ref_TEST!$A$2:$A$201,0)),"")</f>
        <v/>
      </c>
      <c r="F8" s="16"/>
      <c r="G8" s="16"/>
      <c r="H8" s="16"/>
      <c r="I8" s="16"/>
      <c r="J8" s="16"/>
      <c r="K8" s="16"/>
      <c r="L8" s="16"/>
      <c r="M8" s="16"/>
      <c r="N8" s="16"/>
      <c r="O8" s="16"/>
      <c r="P8" s="16"/>
      <c r="Q8" s="16"/>
      <c r="R8" s="16"/>
      <c r="S8" s="18"/>
      <c r="T8" s="16"/>
      <c r="U8" s="16"/>
      <c r="V8" s="17" t="str">
        <f aca="false">IF(A8="","",IF(COUNTIF(Ref_TEST!$A$2:$A$201,B8)=0,"TEST-ID not in W10",IF(OR(F8="",G8="",H8="",I8="",J8=""),"Type, condition, criteria, cause, effect needed",IF(O8="","Severity needed",IF(AND(M8&lt;&gt;"",N8=""),"Compensating control test result needed",IF(AND(O8&lt;&gt;"Control deficiency",P8=""),"Assign to an aggregation group",IF(AND(U8&lt;&gt;"Draft",OR(Q8="",R8="",S8="")),"Response, owner and due date needed",IF(AND(U8="Closed",T8=""),"Closed requires a retest TEST-ID","OK"))))))))</f>
        <v/>
      </c>
    </row>
    <row r="9" customFormat="false" ht="15" hidden="false" customHeight="false" outlineLevel="0" collapsed="false">
      <c r="A9" s="16"/>
      <c r="B9" s="16"/>
      <c r="C9" s="17" t="str">
        <f aca="false">IFERROR(INDEX(Ref_TEST!$B$2:$B$201,MATCH(B9,Ref_TEST!$A$2:$A$201,0)),"")</f>
        <v/>
      </c>
      <c r="D9" s="17" t="str">
        <f aca="false">IFERROR(INDEX(Ref_TEST!$C$2:$C$201,MATCH(B9,Ref_TEST!$A$2:$A$201,0)),"")</f>
        <v/>
      </c>
      <c r="E9" s="17" t="str">
        <f aca="false">IFERROR(INDEX(Ref_TEST!$D$2:$D$201,MATCH(B9,Ref_TEST!$A$2:$A$201,0)),"")</f>
        <v/>
      </c>
      <c r="F9" s="16"/>
      <c r="G9" s="16"/>
      <c r="H9" s="16"/>
      <c r="I9" s="16"/>
      <c r="J9" s="16"/>
      <c r="K9" s="16"/>
      <c r="L9" s="16"/>
      <c r="M9" s="16"/>
      <c r="N9" s="16"/>
      <c r="O9" s="16"/>
      <c r="P9" s="16"/>
      <c r="Q9" s="16"/>
      <c r="R9" s="16"/>
      <c r="S9" s="18"/>
      <c r="T9" s="16"/>
      <c r="U9" s="16"/>
      <c r="V9" s="17" t="str">
        <f aca="false">IF(A9="","",IF(COUNTIF(Ref_TEST!$A$2:$A$201,B9)=0,"TEST-ID not in W10",IF(OR(F9="",G9="",H9="",I9="",J9=""),"Type, condition, criteria, cause, effect needed",IF(O9="","Severity needed",IF(AND(M9&lt;&gt;"",N9=""),"Compensating control test result needed",IF(AND(O9&lt;&gt;"Control deficiency",P9=""),"Assign to an aggregation group",IF(AND(U9&lt;&gt;"Draft",OR(Q9="",R9="",S9="")),"Response, owner and due date needed",IF(AND(U9="Closed",T9=""),"Closed requires a retest TEST-ID","OK"))))))))</f>
        <v/>
      </c>
    </row>
    <row r="10" customFormat="false" ht="15" hidden="false" customHeight="false" outlineLevel="0" collapsed="false">
      <c r="A10" s="16"/>
      <c r="B10" s="16"/>
      <c r="C10" s="17" t="str">
        <f aca="false">IFERROR(INDEX(Ref_TEST!$B$2:$B$201,MATCH(B10,Ref_TEST!$A$2:$A$201,0)),"")</f>
        <v/>
      </c>
      <c r="D10" s="17" t="str">
        <f aca="false">IFERROR(INDEX(Ref_TEST!$C$2:$C$201,MATCH(B10,Ref_TEST!$A$2:$A$201,0)),"")</f>
        <v/>
      </c>
      <c r="E10" s="17" t="str">
        <f aca="false">IFERROR(INDEX(Ref_TEST!$D$2:$D$201,MATCH(B10,Ref_TEST!$A$2:$A$201,0)),"")</f>
        <v/>
      </c>
      <c r="F10" s="16"/>
      <c r="G10" s="16"/>
      <c r="H10" s="16"/>
      <c r="I10" s="16"/>
      <c r="J10" s="16"/>
      <c r="K10" s="16"/>
      <c r="L10" s="16"/>
      <c r="M10" s="16"/>
      <c r="N10" s="16"/>
      <c r="O10" s="16"/>
      <c r="P10" s="16"/>
      <c r="Q10" s="16"/>
      <c r="R10" s="16"/>
      <c r="S10" s="18"/>
      <c r="T10" s="16"/>
      <c r="U10" s="16"/>
      <c r="V10" s="17" t="str">
        <f aca="false">IF(A10="","",IF(COUNTIF(Ref_TEST!$A$2:$A$201,B10)=0,"TEST-ID not in W10",IF(OR(F10="",G10="",H10="",I10="",J10=""),"Type, condition, criteria, cause, effect needed",IF(O10="","Severity needed",IF(AND(M10&lt;&gt;"",N10=""),"Compensating control test result needed",IF(AND(O10&lt;&gt;"Control deficiency",P10=""),"Assign to an aggregation group",IF(AND(U10&lt;&gt;"Draft",OR(Q10="",R10="",S10="")),"Response, owner and due date needed",IF(AND(U10="Closed",T10=""),"Closed requires a retest TEST-ID","OK"))))))))</f>
        <v/>
      </c>
    </row>
    <row r="11" customFormat="false" ht="15" hidden="false" customHeight="false" outlineLevel="0" collapsed="false">
      <c r="A11" s="16"/>
      <c r="B11" s="16"/>
      <c r="C11" s="17" t="str">
        <f aca="false">IFERROR(INDEX(Ref_TEST!$B$2:$B$201,MATCH(B11,Ref_TEST!$A$2:$A$201,0)),"")</f>
        <v/>
      </c>
      <c r="D11" s="17" t="str">
        <f aca="false">IFERROR(INDEX(Ref_TEST!$C$2:$C$201,MATCH(B11,Ref_TEST!$A$2:$A$201,0)),"")</f>
        <v/>
      </c>
      <c r="E11" s="17" t="str">
        <f aca="false">IFERROR(INDEX(Ref_TEST!$D$2:$D$201,MATCH(B11,Ref_TEST!$A$2:$A$201,0)),"")</f>
        <v/>
      </c>
      <c r="F11" s="16"/>
      <c r="G11" s="16"/>
      <c r="H11" s="16"/>
      <c r="I11" s="16"/>
      <c r="J11" s="16"/>
      <c r="K11" s="16"/>
      <c r="L11" s="16"/>
      <c r="M11" s="16"/>
      <c r="N11" s="16"/>
      <c r="O11" s="16"/>
      <c r="P11" s="16"/>
      <c r="Q11" s="16"/>
      <c r="R11" s="16"/>
      <c r="S11" s="18"/>
      <c r="T11" s="16"/>
      <c r="U11" s="16"/>
      <c r="V11" s="17" t="str">
        <f aca="false">IF(A11="","",IF(COUNTIF(Ref_TEST!$A$2:$A$201,B11)=0,"TEST-ID not in W10",IF(OR(F11="",G11="",H11="",I11="",J11=""),"Type, condition, criteria, cause, effect needed",IF(O11="","Severity needed",IF(AND(M11&lt;&gt;"",N11=""),"Compensating control test result needed",IF(AND(O11&lt;&gt;"Control deficiency",P11=""),"Assign to an aggregation group",IF(AND(U11&lt;&gt;"Draft",OR(Q11="",R11="",S11="")),"Response, owner and due date needed",IF(AND(U11="Closed",T11=""),"Closed requires a retest TEST-ID","OK"))))))))</f>
        <v/>
      </c>
    </row>
    <row r="12" customFormat="false" ht="15" hidden="false" customHeight="false" outlineLevel="0" collapsed="false">
      <c r="A12" s="16"/>
      <c r="B12" s="16"/>
      <c r="C12" s="17" t="str">
        <f aca="false">IFERROR(INDEX(Ref_TEST!$B$2:$B$201,MATCH(B12,Ref_TEST!$A$2:$A$201,0)),"")</f>
        <v/>
      </c>
      <c r="D12" s="17" t="str">
        <f aca="false">IFERROR(INDEX(Ref_TEST!$C$2:$C$201,MATCH(B12,Ref_TEST!$A$2:$A$201,0)),"")</f>
        <v/>
      </c>
      <c r="E12" s="17" t="str">
        <f aca="false">IFERROR(INDEX(Ref_TEST!$D$2:$D$201,MATCH(B12,Ref_TEST!$A$2:$A$201,0)),"")</f>
        <v/>
      </c>
      <c r="F12" s="16"/>
      <c r="G12" s="16"/>
      <c r="H12" s="16"/>
      <c r="I12" s="16"/>
      <c r="J12" s="16"/>
      <c r="K12" s="16"/>
      <c r="L12" s="16"/>
      <c r="M12" s="16"/>
      <c r="N12" s="16"/>
      <c r="O12" s="16"/>
      <c r="P12" s="16"/>
      <c r="Q12" s="16"/>
      <c r="R12" s="16"/>
      <c r="S12" s="18"/>
      <c r="T12" s="16"/>
      <c r="U12" s="16"/>
      <c r="V12" s="17" t="str">
        <f aca="false">IF(A12="","",IF(COUNTIF(Ref_TEST!$A$2:$A$201,B12)=0,"TEST-ID not in W10",IF(OR(F12="",G12="",H12="",I12="",J12=""),"Type, condition, criteria, cause, effect needed",IF(O12="","Severity needed",IF(AND(M12&lt;&gt;"",N12=""),"Compensating control test result needed",IF(AND(O12&lt;&gt;"Control deficiency",P12=""),"Assign to an aggregation group",IF(AND(U12&lt;&gt;"Draft",OR(Q12="",R12="",S12="")),"Response, owner and due date needed",IF(AND(U12="Closed",T12=""),"Closed requires a retest TEST-ID","OK"))))))))</f>
        <v/>
      </c>
    </row>
    <row r="13" customFormat="false" ht="15" hidden="false" customHeight="false" outlineLevel="0" collapsed="false">
      <c r="A13" s="16"/>
      <c r="B13" s="16"/>
      <c r="C13" s="17" t="str">
        <f aca="false">IFERROR(INDEX(Ref_TEST!$B$2:$B$201,MATCH(B13,Ref_TEST!$A$2:$A$201,0)),"")</f>
        <v/>
      </c>
      <c r="D13" s="17" t="str">
        <f aca="false">IFERROR(INDEX(Ref_TEST!$C$2:$C$201,MATCH(B13,Ref_TEST!$A$2:$A$201,0)),"")</f>
        <v/>
      </c>
      <c r="E13" s="17" t="str">
        <f aca="false">IFERROR(INDEX(Ref_TEST!$D$2:$D$201,MATCH(B13,Ref_TEST!$A$2:$A$201,0)),"")</f>
        <v/>
      </c>
      <c r="F13" s="16"/>
      <c r="G13" s="16"/>
      <c r="H13" s="16"/>
      <c r="I13" s="16"/>
      <c r="J13" s="16"/>
      <c r="K13" s="16"/>
      <c r="L13" s="16"/>
      <c r="M13" s="16"/>
      <c r="N13" s="16"/>
      <c r="O13" s="16"/>
      <c r="P13" s="16"/>
      <c r="Q13" s="16"/>
      <c r="R13" s="16"/>
      <c r="S13" s="18"/>
      <c r="T13" s="16"/>
      <c r="U13" s="16"/>
      <c r="V13" s="17" t="str">
        <f aca="false">IF(A13="","",IF(COUNTIF(Ref_TEST!$A$2:$A$201,B13)=0,"TEST-ID not in W10",IF(OR(F13="",G13="",H13="",I13="",J13=""),"Type, condition, criteria, cause, effect needed",IF(O13="","Severity needed",IF(AND(M13&lt;&gt;"",N13=""),"Compensating control test result needed",IF(AND(O13&lt;&gt;"Control deficiency",P13=""),"Assign to an aggregation group",IF(AND(U13&lt;&gt;"Draft",OR(Q13="",R13="",S13="")),"Response, owner and due date needed",IF(AND(U13="Closed",T13=""),"Closed requires a retest TEST-ID","OK"))))))))</f>
        <v/>
      </c>
    </row>
    <row r="14" customFormat="false" ht="15" hidden="false" customHeight="false" outlineLevel="0" collapsed="false">
      <c r="A14" s="16"/>
      <c r="B14" s="16"/>
      <c r="C14" s="17" t="str">
        <f aca="false">IFERROR(INDEX(Ref_TEST!$B$2:$B$201,MATCH(B14,Ref_TEST!$A$2:$A$201,0)),"")</f>
        <v/>
      </c>
      <c r="D14" s="17" t="str">
        <f aca="false">IFERROR(INDEX(Ref_TEST!$C$2:$C$201,MATCH(B14,Ref_TEST!$A$2:$A$201,0)),"")</f>
        <v/>
      </c>
      <c r="E14" s="17" t="str">
        <f aca="false">IFERROR(INDEX(Ref_TEST!$D$2:$D$201,MATCH(B14,Ref_TEST!$A$2:$A$201,0)),"")</f>
        <v/>
      </c>
      <c r="F14" s="16"/>
      <c r="G14" s="16"/>
      <c r="H14" s="16"/>
      <c r="I14" s="16"/>
      <c r="J14" s="16"/>
      <c r="K14" s="16"/>
      <c r="L14" s="16"/>
      <c r="M14" s="16"/>
      <c r="N14" s="16"/>
      <c r="O14" s="16"/>
      <c r="P14" s="16"/>
      <c r="Q14" s="16"/>
      <c r="R14" s="16"/>
      <c r="S14" s="18"/>
      <c r="T14" s="16"/>
      <c r="U14" s="16"/>
      <c r="V14" s="17" t="str">
        <f aca="false">IF(A14="","",IF(COUNTIF(Ref_TEST!$A$2:$A$201,B14)=0,"TEST-ID not in W10",IF(OR(F14="",G14="",H14="",I14="",J14=""),"Type, condition, criteria, cause, effect needed",IF(O14="","Severity needed",IF(AND(M14&lt;&gt;"",N14=""),"Compensating control test result needed",IF(AND(O14&lt;&gt;"Control deficiency",P14=""),"Assign to an aggregation group",IF(AND(U14&lt;&gt;"Draft",OR(Q14="",R14="",S14="")),"Response, owner and due date needed",IF(AND(U14="Closed",T14=""),"Closed requires a retest TEST-ID","OK"))))))))</f>
        <v/>
      </c>
    </row>
    <row r="15" customFormat="false" ht="15" hidden="false" customHeight="false" outlineLevel="0" collapsed="false">
      <c r="A15" s="16"/>
      <c r="B15" s="16"/>
      <c r="C15" s="17" t="str">
        <f aca="false">IFERROR(INDEX(Ref_TEST!$B$2:$B$201,MATCH(B15,Ref_TEST!$A$2:$A$201,0)),"")</f>
        <v/>
      </c>
      <c r="D15" s="17" t="str">
        <f aca="false">IFERROR(INDEX(Ref_TEST!$C$2:$C$201,MATCH(B15,Ref_TEST!$A$2:$A$201,0)),"")</f>
        <v/>
      </c>
      <c r="E15" s="17" t="str">
        <f aca="false">IFERROR(INDEX(Ref_TEST!$D$2:$D$201,MATCH(B15,Ref_TEST!$A$2:$A$201,0)),"")</f>
        <v/>
      </c>
      <c r="F15" s="16"/>
      <c r="G15" s="16"/>
      <c r="H15" s="16"/>
      <c r="I15" s="16"/>
      <c r="J15" s="16"/>
      <c r="K15" s="16"/>
      <c r="L15" s="16"/>
      <c r="M15" s="16"/>
      <c r="N15" s="16"/>
      <c r="O15" s="16"/>
      <c r="P15" s="16"/>
      <c r="Q15" s="16"/>
      <c r="R15" s="16"/>
      <c r="S15" s="18"/>
      <c r="T15" s="16"/>
      <c r="U15" s="16"/>
      <c r="V15" s="17" t="str">
        <f aca="false">IF(A15="","",IF(COUNTIF(Ref_TEST!$A$2:$A$201,B15)=0,"TEST-ID not in W10",IF(OR(F15="",G15="",H15="",I15="",J15=""),"Type, condition, criteria, cause, effect needed",IF(O15="","Severity needed",IF(AND(M15&lt;&gt;"",N15=""),"Compensating control test result needed",IF(AND(O15&lt;&gt;"Control deficiency",P15=""),"Assign to an aggregation group",IF(AND(U15&lt;&gt;"Draft",OR(Q15="",R15="",S15="")),"Response, owner and due date needed",IF(AND(U15="Closed",T15=""),"Closed requires a retest TEST-ID","OK"))))))))</f>
        <v/>
      </c>
    </row>
    <row r="16" customFormat="false" ht="15" hidden="false" customHeight="false" outlineLevel="0" collapsed="false">
      <c r="A16" s="16"/>
      <c r="B16" s="16"/>
      <c r="C16" s="17" t="str">
        <f aca="false">IFERROR(INDEX(Ref_TEST!$B$2:$B$201,MATCH(B16,Ref_TEST!$A$2:$A$201,0)),"")</f>
        <v/>
      </c>
      <c r="D16" s="17" t="str">
        <f aca="false">IFERROR(INDEX(Ref_TEST!$C$2:$C$201,MATCH(B16,Ref_TEST!$A$2:$A$201,0)),"")</f>
        <v/>
      </c>
      <c r="E16" s="17" t="str">
        <f aca="false">IFERROR(INDEX(Ref_TEST!$D$2:$D$201,MATCH(B16,Ref_TEST!$A$2:$A$201,0)),"")</f>
        <v/>
      </c>
      <c r="F16" s="16"/>
      <c r="G16" s="16"/>
      <c r="H16" s="16"/>
      <c r="I16" s="16"/>
      <c r="J16" s="16"/>
      <c r="K16" s="16"/>
      <c r="L16" s="16"/>
      <c r="M16" s="16"/>
      <c r="N16" s="16"/>
      <c r="O16" s="16"/>
      <c r="P16" s="16"/>
      <c r="Q16" s="16"/>
      <c r="R16" s="16"/>
      <c r="S16" s="18"/>
      <c r="T16" s="16"/>
      <c r="U16" s="16"/>
      <c r="V16" s="17" t="str">
        <f aca="false">IF(A16="","",IF(COUNTIF(Ref_TEST!$A$2:$A$201,B16)=0,"TEST-ID not in W10",IF(OR(F16="",G16="",H16="",I16="",J16=""),"Type, condition, criteria, cause, effect needed",IF(O16="","Severity needed",IF(AND(M16&lt;&gt;"",N16=""),"Compensating control test result needed",IF(AND(O16&lt;&gt;"Control deficiency",P16=""),"Assign to an aggregation group",IF(AND(U16&lt;&gt;"Draft",OR(Q16="",R16="",S16="")),"Response, owner and due date needed",IF(AND(U16="Closed",T16=""),"Closed requires a retest TEST-ID","OK"))))))))</f>
        <v/>
      </c>
    </row>
    <row r="17" customFormat="false" ht="15" hidden="false" customHeight="false" outlineLevel="0" collapsed="false">
      <c r="A17" s="16"/>
      <c r="B17" s="16"/>
      <c r="C17" s="17" t="str">
        <f aca="false">IFERROR(INDEX(Ref_TEST!$B$2:$B$201,MATCH(B17,Ref_TEST!$A$2:$A$201,0)),"")</f>
        <v/>
      </c>
      <c r="D17" s="17" t="str">
        <f aca="false">IFERROR(INDEX(Ref_TEST!$C$2:$C$201,MATCH(B17,Ref_TEST!$A$2:$A$201,0)),"")</f>
        <v/>
      </c>
      <c r="E17" s="17" t="str">
        <f aca="false">IFERROR(INDEX(Ref_TEST!$D$2:$D$201,MATCH(B17,Ref_TEST!$A$2:$A$201,0)),"")</f>
        <v/>
      </c>
      <c r="F17" s="16"/>
      <c r="G17" s="16"/>
      <c r="H17" s="16"/>
      <c r="I17" s="16"/>
      <c r="J17" s="16"/>
      <c r="K17" s="16"/>
      <c r="L17" s="16"/>
      <c r="M17" s="16"/>
      <c r="N17" s="16"/>
      <c r="O17" s="16"/>
      <c r="P17" s="16"/>
      <c r="Q17" s="16"/>
      <c r="R17" s="16"/>
      <c r="S17" s="18"/>
      <c r="T17" s="16"/>
      <c r="U17" s="16"/>
      <c r="V17" s="17" t="str">
        <f aca="false">IF(A17="","",IF(COUNTIF(Ref_TEST!$A$2:$A$201,B17)=0,"TEST-ID not in W10",IF(OR(F17="",G17="",H17="",I17="",J17=""),"Type, condition, criteria, cause, effect needed",IF(O17="","Severity needed",IF(AND(M17&lt;&gt;"",N17=""),"Compensating control test result needed",IF(AND(O17&lt;&gt;"Control deficiency",P17=""),"Assign to an aggregation group",IF(AND(U17&lt;&gt;"Draft",OR(Q17="",R17="",S17="")),"Response, owner and due date needed",IF(AND(U17="Closed",T17=""),"Closed requires a retest TEST-ID","OK"))))))))</f>
        <v/>
      </c>
    </row>
    <row r="18" customFormat="false" ht="15" hidden="false" customHeight="false" outlineLevel="0" collapsed="false">
      <c r="A18" s="16"/>
      <c r="B18" s="16"/>
      <c r="C18" s="17" t="str">
        <f aca="false">IFERROR(INDEX(Ref_TEST!$B$2:$B$201,MATCH(B18,Ref_TEST!$A$2:$A$201,0)),"")</f>
        <v/>
      </c>
      <c r="D18" s="17" t="str">
        <f aca="false">IFERROR(INDEX(Ref_TEST!$C$2:$C$201,MATCH(B18,Ref_TEST!$A$2:$A$201,0)),"")</f>
        <v/>
      </c>
      <c r="E18" s="17" t="str">
        <f aca="false">IFERROR(INDEX(Ref_TEST!$D$2:$D$201,MATCH(B18,Ref_TEST!$A$2:$A$201,0)),"")</f>
        <v/>
      </c>
      <c r="F18" s="16"/>
      <c r="G18" s="16"/>
      <c r="H18" s="16"/>
      <c r="I18" s="16"/>
      <c r="J18" s="16"/>
      <c r="K18" s="16"/>
      <c r="L18" s="16"/>
      <c r="M18" s="16"/>
      <c r="N18" s="16"/>
      <c r="O18" s="16"/>
      <c r="P18" s="16"/>
      <c r="Q18" s="16"/>
      <c r="R18" s="16"/>
      <c r="S18" s="18"/>
      <c r="T18" s="16"/>
      <c r="U18" s="16"/>
      <c r="V18" s="17" t="str">
        <f aca="false">IF(A18="","",IF(COUNTIF(Ref_TEST!$A$2:$A$201,B18)=0,"TEST-ID not in W10",IF(OR(F18="",G18="",H18="",I18="",J18=""),"Type, condition, criteria, cause, effect needed",IF(O18="","Severity needed",IF(AND(M18&lt;&gt;"",N18=""),"Compensating control test result needed",IF(AND(O18&lt;&gt;"Control deficiency",P18=""),"Assign to an aggregation group",IF(AND(U18&lt;&gt;"Draft",OR(Q18="",R18="",S18="")),"Response, owner and due date needed",IF(AND(U18="Closed",T18=""),"Closed requires a retest TEST-ID","OK"))))))))</f>
        <v/>
      </c>
    </row>
    <row r="19" customFormat="false" ht="15" hidden="false" customHeight="false" outlineLevel="0" collapsed="false">
      <c r="A19" s="16"/>
      <c r="B19" s="16"/>
      <c r="C19" s="17" t="str">
        <f aca="false">IFERROR(INDEX(Ref_TEST!$B$2:$B$201,MATCH(B19,Ref_TEST!$A$2:$A$201,0)),"")</f>
        <v/>
      </c>
      <c r="D19" s="17" t="str">
        <f aca="false">IFERROR(INDEX(Ref_TEST!$C$2:$C$201,MATCH(B19,Ref_TEST!$A$2:$A$201,0)),"")</f>
        <v/>
      </c>
      <c r="E19" s="17" t="str">
        <f aca="false">IFERROR(INDEX(Ref_TEST!$D$2:$D$201,MATCH(B19,Ref_TEST!$A$2:$A$201,0)),"")</f>
        <v/>
      </c>
      <c r="F19" s="16"/>
      <c r="G19" s="16"/>
      <c r="H19" s="16"/>
      <c r="I19" s="16"/>
      <c r="J19" s="16"/>
      <c r="K19" s="16"/>
      <c r="L19" s="16"/>
      <c r="M19" s="16"/>
      <c r="N19" s="16"/>
      <c r="O19" s="16"/>
      <c r="P19" s="16"/>
      <c r="Q19" s="16"/>
      <c r="R19" s="16"/>
      <c r="S19" s="18"/>
      <c r="T19" s="16"/>
      <c r="U19" s="16"/>
      <c r="V19" s="17" t="str">
        <f aca="false">IF(A19="","",IF(COUNTIF(Ref_TEST!$A$2:$A$201,B19)=0,"TEST-ID not in W10",IF(OR(F19="",G19="",H19="",I19="",J19=""),"Type, condition, criteria, cause, effect needed",IF(O19="","Severity needed",IF(AND(M19&lt;&gt;"",N19=""),"Compensating control test result needed",IF(AND(O19&lt;&gt;"Control deficiency",P19=""),"Assign to an aggregation group",IF(AND(U19&lt;&gt;"Draft",OR(Q19="",R19="",S19="")),"Response, owner and due date needed",IF(AND(U19="Closed",T19=""),"Closed requires a retest TEST-ID","OK"))))))))</f>
        <v/>
      </c>
    </row>
    <row r="20" customFormat="false" ht="15" hidden="false" customHeight="false" outlineLevel="0" collapsed="false">
      <c r="A20" s="16"/>
      <c r="B20" s="16"/>
      <c r="C20" s="17" t="str">
        <f aca="false">IFERROR(INDEX(Ref_TEST!$B$2:$B$201,MATCH(B20,Ref_TEST!$A$2:$A$201,0)),"")</f>
        <v/>
      </c>
      <c r="D20" s="17" t="str">
        <f aca="false">IFERROR(INDEX(Ref_TEST!$C$2:$C$201,MATCH(B20,Ref_TEST!$A$2:$A$201,0)),"")</f>
        <v/>
      </c>
      <c r="E20" s="17" t="str">
        <f aca="false">IFERROR(INDEX(Ref_TEST!$D$2:$D$201,MATCH(B20,Ref_TEST!$A$2:$A$201,0)),"")</f>
        <v/>
      </c>
      <c r="F20" s="16"/>
      <c r="G20" s="16"/>
      <c r="H20" s="16"/>
      <c r="I20" s="16"/>
      <c r="J20" s="16"/>
      <c r="K20" s="16"/>
      <c r="L20" s="16"/>
      <c r="M20" s="16"/>
      <c r="N20" s="16"/>
      <c r="O20" s="16"/>
      <c r="P20" s="16"/>
      <c r="Q20" s="16"/>
      <c r="R20" s="16"/>
      <c r="S20" s="18"/>
      <c r="T20" s="16"/>
      <c r="U20" s="16"/>
      <c r="V20" s="17" t="str">
        <f aca="false">IF(A20="","",IF(COUNTIF(Ref_TEST!$A$2:$A$201,B20)=0,"TEST-ID not in W10",IF(OR(F20="",G20="",H20="",I20="",J20=""),"Type, condition, criteria, cause, effect needed",IF(O20="","Severity needed",IF(AND(M20&lt;&gt;"",N20=""),"Compensating control test result needed",IF(AND(O20&lt;&gt;"Control deficiency",P20=""),"Assign to an aggregation group",IF(AND(U20&lt;&gt;"Draft",OR(Q20="",R20="",S20="")),"Response, owner and due date needed",IF(AND(U20="Closed",T20=""),"Closed requires a retest TEST-ID","OK"))))))))</f>
        <v/>
      </c>
    </row>
    <row r="21" customFormat="false" ht="15" hidden="false" customHeight="false" outlineLevel="0" collapsed="false">
      <c r="A21" s="16"/>
      <c r="B21" s="16"/>
      <c r="C21" s="17" t="str">
        <f aca="false">IFERROR(INDEX(Ref_TEST!$B$2:$B$201,MATCH(B21,Ref_TEST!$A$2:$A$201,0)),"")</f>
        <v/>
      </c>
      <c r="D21" s="17" t="str">
        <f aca="false">IFERROR(INDEX(Ref_TEST!$C$2:$C$201,MATCH(B21,Ref_TEST!$A$2:$A$201,0)),"")</f>
        <v/>
      </c>
      <c r="E21" s="17" t="str">
        <f aca="false">IFERROR(INDEX(Ref_TEST!$D$2:$D$201,MATCH(B21,Ref_TEST!$A$2:$A$201,0)),"")</f>
        <v/>
      </c>
      <c r="F21" s="16"/>
      <c r="G21" s="16"/>
      <c r="H21" s="16"/>
      <c r="I21" s="16"/>
      <c r="J21" s="16"/>
      <c r="K21" s="16"/>
      <c r="L21" s="16"/>
      <c r="M21" s="16"/>
      <c r="N21" s="16"/>
      <c r="O21" s="16"/>
      <c r="P21" s="16"/>
      <c r="Q21" s="16"/>
      <c r="R21" s="16"/>
      <c r="S21" s="18"/>
      <c r="T21" s="16"/>
      <c r="U21" s="16"/>
      <c r="V21" s="17" t="str">
        <f aca="false">IF(A21="","",IF(COUNTIF(Ref_TEST!$A$2:$A$201,B21)=0,"TEST-ID not in W10",IF(OR(F21="",G21="",H21="",I21="",J21=""),"Type, condition, criteria, cause, effect needed",IF(O21="","Severity needed",IF(AND(M21&lt;&gt;"",N21=""),"Compensating control test result needed",IF(AND(O21&lt;&gt;"Control deficiency",P21=""),"Assign to an aggregation group",IF(AND(U21&lt;&gt;"Draft",OR(Q21="",R21="",S21="")),"Response, owner and due date needed",IF(AND(U21="Closed",T21=""),"Closed requires a retest TEST-ID","OK"))))))))</f>
        <v/>
      </c>
    </row>
    <row r="22" customFormat="false" ht="15" hidden="false" customHeight="false" outlineLevel="0" collapsed="false">
      <c r="A22" s="16"/>
      <c r="B22" s="16"/>
      <c r="C22" s="17" t="str">
        <f aca="false">IFERROR(INDEX(Ref_TEST!$B$2:$B$201,MATCH(B22,Ref_TEST!$A$2:$A$201,0)),"")</f>
        <v/>
      </c>
      <c r="D22" s="17" t="str">
        <f aca="false">IFERROR(INDEX(Ref_TEST!$C$2:$C$201,MATCH(B22,Ref_TEST!$A$2:$A$201,0)),"")</f>
        <v/>
      </c>
      <c r="E22" s="17" t="str">
        <f aca="false">IFERROR(INDEX(Ref_TEST!$D$2:$D$201,MATCH(B22,Ref_TEST!$A$2:$A$201,0)),"")</f>
        <v/>
      </c>
      <c r="F22" s="16"/>
      <c r="G22" s="16"/>
      <c r="H22" s="16"/>
      <c r="I22" s="16"/>
      <c r="J22" s="16"/>
      <c r="K22" s="16"/>
      <c r="L22" s="16"/>
      <c r="M22" s="16"/>
      <c r="N22" s="16"/>
      <c r="O22" s="16"/>
      <c r="P22" s="16"/>
      <c r="Q22" s="16"/>
      <c r="R22" s="16"/>
      <c r="S22" s="18"/>
      <c r="T22" s="16"/>
      <c r="U22" s="16"/>
      <c r="V22" s="17" t="str">
        <f aca="false">IF(A22="","",IF(COUNTIF(Ref_TEST!$A$2:$A$201,B22)=0,"TEST-ID not in W10",IF(OR(F22="",G22="",H22="",I22="",J22=""),"Type, condition, criteria, cause, effect needed",IF(O22="","Severity needed",IF(AND(M22&lt;&gt;"",N22=""),"Compensating control test result needed",IF(AND(O22&lt;&gt;"Control deficiency",P22=""),"Assign to an aggregation group",IF(AND(U22&lt;&gt;"Draft",OR(Q22="",R22="",S22="")),"Response, owner and due date needed",IF(AND(U22="Closed",T22=""),"Closed requires a retest TEST-ID","OK"))))))))</f>
        <v/>
      </c>
    </row>
    <row r="23" customFormat="false" ht="15" hidden="false" customHeight="false" outlineLevel="0" collapsed="false">
      <c r="A23" s="16"/>
      <c r="B23" s="16"/>
      <c r="C23" s="17" t="str">
        <f aca="false">IFERROR(INDEX(Ref_TEST!$B$2:$B$201,MATCH(B23,Ref_TEST!$A$2:$A$201,0)),"")</f>
        <v/>
      </c>
      <c r="D23" s="17" t="str">
        <f aca="false">IFERROR(INDEX(Ref_TEST!$C$2:$C$201,MATCH(B23,Ref_TEST!$A$2:$A$201,0)),"")</f>
        <v/>
      </c>
      <c r="E23" s="17" t="str">
        <f aca="false">IFERROR(INDEX(Ref_TEST!$D$2:$D$201,MATCH(B23,Ref_TEST!$A$2:$A$201,0)),"")</f>
        <v/>
      </c>
      <c r="F23" s="16"/>
      <c r="G23" s="16"/>
      <c r="H23" s="16"/>
      <c r="I23" s="16"/>
      <c r="J23" s="16"/>
      <c r="K23" s="16"/>
      <c r="L23" s="16"/>
      <c r="M23" s="16"/>
      <c r="N23" s="16"/>
      <c r="O23" s="16"/>
      <c r="P23" s="16"/>
      <c r="Q23" s="16"/>
      <c r="R23" s="16"/>
      <c r="S23" s="18"/>
      <c r="T23" s="16"/>
      <c r="U23" s="16"/>
      <c r="V23" s="17" t="str">
        <f aca="false">IF(A23="","",IF(COUNTIF(Ref_TEST!$A$2:$A$201,B23)=0,"TEST-ID not in W10",IF(OR(F23="",G23="",H23="",I23="",J23=""),"Type, condition, criteria, cause, effect needed",IF(O23="","Severity needed",IF(AND(M23&lt;&gt;"",N23=""),"Compensating control test result needed",IF(AND(O23&lt;&gt;"Control deficiency",P23=""),"Assign to an aggregation group",IF(AND(U23&lt;&gt;"Draft",OR(Q23="",R23="",S23="")),"Response, owner and due date needed",IF(AND(U23="Closed",T23=""),"Closed requires a retest TEST-ID","OK"))))))))</f>
        <v/>
      </c>
    </row>
    <row r="24" customFormat="false" ht="15" hidden="false" customHeight="false" outlineLevel="0" collapsed="false">
      <c r="A24" s="16"/>
      <c r="B24" s="16"/>
      <c r="C24" s="17" t="str">
        <f aca="false">IFERROR(INDEX(Ref_TEST!$B$2:$B$201,MATCH(B24,Ref_TEST!$A$2:$A$201,0)),"")</f>
        <v/>
      </c>
      <c r="D24" s="17" t="str">
        <f aca="false">IFERROR(INDEX(Ref_TEST!$C$2:$C$201,MATCH(B24,Ref_TEST!$A$2:$A$201,0)),"")</f>
        <v/>
      </c>
      <c r="E24" s="17" t="str">
        <f aca="false">IFERROR(INDEX(Ref_TEST!$D$2:$D$201,MATCH(B24,Ref_TEST!$A$2:$A$201,0)),"")</f>
        <v/>
      </c>
      <c r="F24" s="16"/>
      <c r="G24" s="16"/>
      <c r="H24" s="16"/>
      <c r="I24" s="16"/>
      <c r="J24" s="16"/>
      <c r="K24" s="16"/>
      <c r="L24" s="16"/>
      <c r="M24" s="16"/>
      <c r="N24" s="16"/>
      <c r="O24" s="16"/>
      <c r="P24" s="16"/>
      <c r="Q24" s="16"/>
      <c r="R24" s="16"/>
      <c r="S24" s="18"/>
      <c r="T24" s="16"/>
      <c r="U24" s="16"/>
      <c r="V24" s="17" t="str">
        <f aca="false">IF(A24="","",IF(COUNTIF(Ref_TEST!$A$2:$A$201,B24)=0,"TEST-ID not in W10",IF(OR(F24="",G24="",H24="",I24="",J24=""),"Type, condition, criteria, cause, effect needed",IF(O24="","Severity needed",IF(AND(M24&lt;&gt;"",N24=""),"Compensating control test result needed",IF(AND(O24&lt;&gt;"Control deficiency",P24=""),"Assign to an aggregation group",IF(AND(U24&lt;&gt;"Draft",OR(Q24="",R24="",S24="")),"Response, owner and due date needed",IF(AND(U24="Closed",T24=""),"Closed requires a retest TEST-ID","OK"))))))))</f>
        <v/>
      </c>
    </row>
    <row r="25" customFormat="false" ht="15" hidden="false" customHeight="false" outlineLevel="0" collapsed="false">
      <c r="A25" s="16"/>
      <c r="B25" s="16"/>
      <c r="C25" s="17" t="str">
        <f aca="false">IFERROR(INDEX(Ref_TEST!$B$2:$B$201,MATCH(B25,Ref_TEST!$A$2:$A$201,0)),"")</f>
        <v/>
      </c>
      <c r="D25" s="17" t="str">
        <f aca="false">IFERROR(INDEX(Ref_TEST!$C$2:$C$201,MATCH(B25,Ref_TEST!$A$2:$A$201,0)),"")</f>
        <v/>
      </c>
      <c r="E25" s="17" t="str">
        <f aca="false">IFERROR(INDEX(Ref_TEST!$D$2:$D$201,MATCH(B25,Ref_TEST!$A$2:$A$201,0)),"")</f>
        <v/>
      </c>
      <c r="F25" s="16"/>
      <c r="G25" s="16"/>
      <c r="H25" s="16"/>
      <c r="I25" s="16"/>
      <c r="J25" s="16"/>
      <c r="K25" s="16"/>
      <c r="L25" s="16"/>
      <c r="M25" s="16"/>
      <c r="N25" s="16"/>
      <c r="O25" s="16"/>
      <c r="P25" s="16"/>
      <c r="Q25" s="16"/>
      <c r="R25" s="16"/>
      <c r="S25" s="18"/>
      <c r="T25" s="16"/>
      <c r="U25" s="16"/>
      <c r="V25" s="17" t="str">
        <f aca="false">IF(A25="","",IF(COUNTIF(Ref_TEST!$A$2:$A$201,B25)=0,"TEST-ID not in W10",IF(OR(F25="",G25="",H25="",I25="",J25=""),"Type, condition, criteria, cause, effect needed",IF(O25="","Severity needed",IF(AND(M25&lt;&gt;"",N25=""),"Compensating control test result needed",IF(AND(O25&lt;&gt;"Control deficiency",P25=""),"Assign to an aggregation group",IF(AND(U25&lt;&gt;"Draft",OR(Q25="",R25="",S25="")),"Response, owner and due date needed",IF(AND(U25="Closed",T25=""),"Closed requires a retest TEST-ID","OK"))))))))</f>
        <v/>
      </c>
    </row>
    <row r="26" customFormat="false" ht="15" hidden="false" customHeight="false" outlineLevel="0" collapsed="false">
      <c r="A26" s="16"/>
      <c r="B26" s="16"/>
      <c r="C26" s="17" t="str">
        <f aca="false">IFERROR(INDEX(Ref_TEST!$B$2:$B$201,MATCH(B26,Ref_TEST!$A$2:$A$201,0)),"")</f>
        <v/>
      </c>
      <c r="D26" s="17" t="str">
        <f aca="false">IFERROR(INDEX(Ref_TEST!$C$2:$C$201,MATCH(B26,Ref_TEST!$A$2:$A$201,0)),"")</f>
        <v/>
      </c>
      <c r="E26" s="17" t="str">
        <f aca="false">IFERROR(INDEX(Ref_TEST!$D$2:$D$201,MATCH(B26,Ref_TEST!$A$2:$A$201,0)),"")</f>
        <v/>
      </c>
      <c r="F26" s="16"/>
      <c r="G26" s="16"/>
      <c r="H26" s="16"/>
      <c r="I26" s="16"/>
      <c r="J26" s="16"/>
      <c r="K26" s="16"/>
      <c r="L26" s="16"/>
      <c r="M26" s="16"/>
      <c r="N26" s="16"/>
      <c r="O26" s="16"/>
      <c r="P26" s="16"/>
      <c r="Q26" s="16"/>
      <c r="R26" s="16"/>
      <c r="S26" s="18"/>
      <c r="T26" s="16"/>
      <c r="U26" s="16"/>
      <c r="V26" s="17" t="str">
        <f aca="false">IF(A26="","",IF(COUNTIF(Ref_TEST!$A$2:$A$201,B26)=0,"TEST-ID not in W10",IF(OR(F26="",G26="",H26="",I26="",J26=""),"Type, condition, criteria, cause, effect needed",IF(O26="","Severity needed",IF(AND(M26&lt;&gt;"",N26=""),"Compensating control test result needed",IF(AND(O26&lt;&gt;"Control deficiency",P26=""),"Assign to an aggregation group",IF(AND(U26&lt;&gt;"Draft",OR(Q26="",R26="",S26="")),"Response, owner and due date needed",IF(AND(U26="Closed",T26=""),"Closed requires a retest TEST-ID","OK"))))))))</f>
        <v/>
      </c>
    </row>
    <row r="27" customFormat="false" ht="15" hidden="false" customHeight="false" outlineLevel="0" collapsed="false">
      <c r="A27" s="16"/>
      <c r="B27" s="16"/>
      <c r="C27" s="17" t="str">
        <f aca="false">IFERROR(INDEX(Ref_TEST!$B$2:$B$201,MATCH(B27,Ref_TEST!$A$2:$A$201,0)),"")</f>
        <v/>
      </c>
      <c r="D27" s="17" t="str">
        <f aca="false">IFERROR(INDEX(Ref_TEST!$C$2:$C$201,MATCH(B27,Ref_TEST!$A$2:$A$201,0)),"")</f>
        <v/>
      </c>
      <c r="E27" s="17" t="str">
        <f aca="false">IFERROR(INDEX(Ref_TEST!$D$2:$D$201,MATCH(B27,Ref_TEST!$A$2:$A$201,0)),"")</f>
        <v/>
      </c>
      <c r="F27" s="16"/>
      <c r="G27" s="16"/>
      <c r="H27" s="16"/>
      <c r="I27" s="16"/>
      <c r="J27" s="16"/>
      <c r="K27" s="16"/>
      <c r="L27" s="16"/>
      <c r="M27" s="16"/>
      <c r="N27" s="16"/>
      <c r="O27" s="16"/>
      <c r="P27" s="16"/>
      <c r="Q27" s="16"/>
      <c r="R27" s="16"/>
      <c r="S27" s="18"/>
      <c r="T27" s="16"/>
      <c r="U27" s="16"/>
      <c r="V27" s="17" t="str">
        <f aca="false">IF(A27="","",IF(COUNTIF(Ref_TEST!$A$2:$A$201,B27)=0,"TEST-ID not in W10",IF(OR(F27="",G27="",H27="",I27="",J27=""),"Type, condition, criteria, cause, effect needed",IF(O27="","Severity needed",IF(AND(M27&lt;&gt;"",N27=""),"Compensating control test result needed",IF(AND(O27&lt;&gt;"Control deficiency",P27=""),"Assign to an aggregation group",IF(AND(U27&lt;&gt;"Draft",OR(Q27="",R27="",S27="")),"Response, owner and due date needed",IF(AND(U27="Closed",T27=""),"Closed requires a retest TEST-ID","OK"))))))))</f>
        <v/>
      </c>
    </row>
    <row r="28" customFormat="false" ht="15" hidden="false" customHeight="false" outlineLevel="0" collapsed="false">
      <c r="A28" s="16"/>
      <c r="B28" s="16"/>
      <c r="C28" s="17" t="str">
        <f aca="false">IFERROR(INDEX(Ref_TEST!$B$2:$B$201,MATCH(B28,Ref_TEST!$A$2:$A$201,0)),"")</f>
        <v/>
      </c>
      <c r="D28" s="17" t="str">
        <f aca="false">IFERROR(INDEX(Ref_TEST!$C$2:$C$201,MATCH(B28,Ref_TEST!$A$2:$A$201,0)),"")</f>
        <v/>
      </c>
      <c r="E28" s="17" t="str">
        <f aca="false">IFERROR(INDEX(Ref_TEST!$D$2:$D$201,MATCH(B28,Ref_TEST!$A$2:$A$201,0)),"")</f>
        <v/>
      </c>
      <c r="F28" s="16"/>
      <c r="G28" s="16"/>
      <c r="H28" s="16"/>
      <c r="I28" s="16"/>
      <c r="J28" s="16"/>
      <c r="K28" s="16"/>
      <c r="L28" s="16"/>
      <c r="M28" s="16"/>
      <c r="N28" s="16"/>
      <c r="O28" s="16"/>
      <c r="P28" s="16"/>
      <c r="Q28" s="16"/>
      <c r="R28" s="16"/>
      <c r="S28" s="18"/>
      <c r="T28" s="16"/>
      <c r="U28" s="16"/>
      <c r="V28" s="17" t="str">
        <f aca="false">IF(A28="","",IF(COUNTIF(Ref_TEST!$A$2:$A$201,B28)=0,"TEST-ID not in W10",IF(OR(F28="",G28="",H28="",I28="",J28=""),"Type, condition, criteria, cause, effect needed",IF(O28="","Severity needed",IF(AND(M28&lt;&gt;"",N28=""),"Compensating control test result needed",IF(AND(O28&lt;&gt;"Control deficiency",P28=""),"Assign to an aggregation group",IF(AND(U28&lt;&gt;"Draft",OR(Q28="",R28="",S28="")),"Response, owner and due date needed",IF(AND(U28="Closed",T28=""),"Closed requires a retest TEST-ID","OK"))))))))</f>
        <v/>
      </c>
    </row>
    <row r="29" customFormat="false" ht="15" hidden="false" customHeight="false" outlineLevel="0" collapsed="false">
      <c r="A29" s="16"/>
      <c r="B29" s="16"/>
      <c r="C29" s="17" t="str">
        <f aca="false">IFERROR(INDEX(Ref_TEST!$B$2:$B$201,MATCH(B29,Ref_TEST!$A$2:$A$201,0)),"")</f>
        <v/>
      </c>
      <c r="D29" s="17" t="str">
        <f aca="false">IFERROR(INDEX(Ref_TEST!$C$2:$C$201,MATCH(B29,Ref_TEST!$A$2:$A$201,0)),"")</f>
        <v/>
      </c>
      <c r="E29" s="17" t="str">
        <f aca="false">IFERROR(INDEX(Ref_TEST!$D$2:$D$201,MATCH(B29,Ref_TEST!$A$2:$A$201,0)),"")</f>
        <v/>
      </c>
      <c r="F29" s="16"/>
      <c r="G29" s="16"/>
      <c r="H29" s="16"/>
      <c r="I29" s="16"/>
      <c r="J29" s="16"/>
      <c r="K29" s="16"/>
      <c r="L29" s="16"/>
      <c r="M29" s="16"/>
      <c r="N29" s="16"/>
      <c r="O29" s="16"/>
      <c r="P29" s="16"/>
      <c r="Q29" s="16"/>
      <c r="R29" s="16"/>
      <c r="S29" s="18"/>
      <c r="T29" s="16"/>
      <c r="U29" s="16"/>
      <c r="V29" s="17" t="str">
        <f aca="false">IF(A29="","",IF(COUNTIF(Ref_TEST!$A$2:$A$201,B29)=0,"TEST-ID not in W10",IF(OR(F29="",G29="",H29="",I29="",J29=""),"Type, condition, criteria, cause, effect needed",IF(O29="","Severity needed",IF(AND(M29&lt;&gt;"",N29=""),"Compensating control test result needed",IF(AND(O29&lt;&gt;"Control deficiency",P29=""),"Assign to an aggregation group",IF(AND(U29&lt;&gt;"Draft",OR(Q29="",R29="",S29="")),"Response, owner and due date needed",IF(AND(U29="Closed",T29=""),"Closed requires a retest TEST-ID","OK"))))))))</f>
        <v/>
      </c>
    </row>
    <row r="30" customFormat="false" ht="15" hidden="false" customHeight="false" outlineLevel="0" collapsed="false">
      <c r="A30" s="16"/>
      <c r="B30" s="16"/>
      <c r="C30" s="17" t="str">
        <f aca="false">IFERROR(INDEX(Ref_TEST!$B$2:$B$201,MATCH(B30,Ref_TEST!$A$2:$A$201,0)),"")</f>
        <v/>
      </c>
      <c r="D30" s="17" t="str">
        <f aca="false">IFERROR(INDEX(Ref_TEST!$C$2:$C$201,MATCH(B30,Ref_TEST!$A$2:$A$201,0)),"")</f>
        <v/>
      </c>
      <c r="E30" s="17" t="str">
        <f aca="false">IFERROR(INDEX(Ref_TEST!$D$2:$D$201,MATCH(B30,Ref_TEST!$A$2:$A$201,0)),"")</f>
        <v/>
      </c>
      <c r="F30" s="16"/>
      <c r="G30" s="16"/>
      <c r="H30" s="16"/>
      <c r="I30" s="16"/>
      <c r="J30" s="16"/>
      <c r="K30" s="16"/>
      <c r="L30" s="16"/>
      <c r="M30" s="16"/>
      <c r="N30" s="16"/>
      <c r="O30" s="16"/>
      <c r="P30" s="16"/>
      <c r="Q30" s="16"/>
      <c r="R30" s="16"/>
      <c r="S30" s="18"/>
      <c r="T30" s="16"/>
      <c r="U30" s="16"/>
      <c r="V30" s="17" t="str">
        <f aca="false">IF(A30="","",IF(COUNTIF(Ref_TEST!$A$2:$A$201,B30)=0,"TEST-ID not in W10",IF(OR(F30="",G30="",H30="",I30="",J30=""),"Type, condition, criteria, cause, effect needed",IF(O30="","Severity needed",IF(AND(M30&lt;&gt;"",N30=""),"Compensating control test result needed",IF(AND(O30&lt;&gt;"Control deficiency",P30=""),"Assign to an aggregation group",IF(AND(U30&lt;&gt;"Draft",OR(Q30="",R30="",S30="")),"Response, owner and due date needed",IF(AND(U30="Closed",T30=""),"Closed requires a retest TEST-ID","OK"))))))))</f>
        <v/>
      </c>
    </row>
    <row r="31" customFormat="false" ht="15" hidden="false" customHeight="false" outlineLevel="0" collapsed="false">
      <c r="A31" s="16"/>
      <c r="B31" s="16"/>
      <c r="C31" s="17" t="str">
        <f aca="false">IFERROR(INDEX(Ref_TEST!$B$2:$B$201,MATCH(B31,Ref_TEST!$A$2:$A$201,0)),"")</f>
        <v/>
      </c>
      <c r="D31" s="17" t="str">
        <f aca="false">IFERROR(INDEX(Ref_TEST!$C$2:$C$201,MATCH(B31,Ref_TEST!$A$2:$A$201,0)),"")</f>
        <v/>
      </c>
      <c r="E31" s="17" t="str">
        <f aca="false">IFERROR(INDEX(Ref_TEST!$D$2:$D$201,MATCH(B31,Ref_TEST!$A$2:$A$201,0)),"")</f>
        <v/>
      </c>
      <c r="F31" s="16"/>
      <c r="G31" s="16"/>
      <c r="H31" s="16"/>
      <c r="I31" s="16"/>
      <c r="J31" s="16"/>
      <c r="K31" s="16"/>
      <c r="L31" s="16"/>
      <c r="M31" s="16"/>
      <c r="N31" s="16"/>
      <c r="O31" s="16"/>
      <c r="P31" s="16"/>
      <c r="Q31" s="16"/>
      <c r="R31" s="16"/>
      <c r="S31" s="18"/>
      <c r="T31" s="16"/>
      <c r="U31" s="16"/>
      <c r="V31" s="17" t="str">
        <f aca="false">IF(A31="","",IF(COUNTIF(Ref_TEST!$A$2:$A$201,B31)=0,"TEST-ID not in W10",IF(OR(F31="",G31="",H31="",I31="",J31=""),"Type, condition, criteria, cause, effect needed",IF(O31="","Severity needed",IF(AND(M31&lt;&gt;"",N31=""),"Compensating control test result needed",IF(AND(O31&lt;&gt;"Control deficiency",P31=""),"Assign to an aggregation group",IF(AND(U31&lt;&gt;"Draft",OR(Q31="",R31="",S31="")),"Response, owner and due date needed",IF(AND(U31="Closed",T31=""),"Closed requires a retest TEST-ID","OK"))))))))</f>
        <v/>
      </c>
    </row>
    <row r="32" customFormat="false" ht="15" hidden="false" customHeight="false" outlineLevel="0" collapsed="false">
      <c r="A32" s="16"/>
      <c r="B32" s="16"/>
      <c r="C32" s="17" t="str">
        <f aca="false">IFERROR(INDEX(Ref_TEST!$B$2:$B$201,MATCH(B32,Ref_TEST!$A$2:$A$201,0)),"")</f>
        <v/>
      </c>
      <c r="D32" s="17" t="str">
        <f aca="false">IFERROR(INDEX(Ref_TEST!$C$2:$C$201,MATCH(B32,Ref_TEST!$A$2:$A$201,0)),"")</f>
        <v/>
      </c>
      <c r="E32" s="17" t="str">
        <f aca="false">IFERROR(INDEX(Ref_TEST!$D$2:$D$201,MATCH(B32,Ref_TEST!$A$2:$A$201,0)),"")</f>
        <v/>
      </c>
      <c r="F32" s="16"/>
      <c r="G32" s="16"/>
      <c r="H32" s="16"/>
      <c r="I32" s="16"/>
      <c r="J32" s="16"/>
      <c r="K32" s="16"/>
      <c r="L32" s="16"/>
      <c r="M32" s="16"/>
      <c r="N32" s="16"/>
      <c r="O32" s="16"/>
      <c r="P32" s="16"/>
      <c r="Q32" s="16"/>
      <c r="R32" s="16"/>
      <c r="S32" s="18"/>
      <c r="T32" s="16"/>
      <c r="U32" s="16"/>
      <c r="V32" s="17" t="str">
        <f aca="false">IF(A32="","",IF(COUNTIF(Ref_TEST!$A$2:$A$201,B32)=0,"TEST-ID not in W10",IF(OR(F32="",G32="",H32="",I32="",J32=""),"Type, condition, criteria, cause, effect needed",IF(O32="","Severity needed",IF(AND(M32&lt;&gt;"",N32=""),"Compensating control test result needed",IF(AND(O32&lt;&gt;"Control deficiency",P32=""),"Assign to an aggregation group",IF(AND(U32&lt;&gt;"Draft",OR(Q32="",R32="",S32="")),"Response, owner and due date needed",IF(AND(U32="Closed",T32=""),"Closed requires a retest TEST-ID","OK"))))))))</f>
        <v/>
      </c>
    </row>
    <row r="33" customFormat="false" ht="15" hidden="false" customHeight="false" outlineLevel="0" collapsed="false">
      <c r="A33" s="16"/>
      <c r="B33" s="16"/>
      <c r="C33" s="17" t="str">
        <f aca="false">IFERROR(INDEX(Ref_TEST!$B$2:$B$201,MATCH(B33,Ref_TEST!$A$2:$A$201,0)),"")</f>
        <v/>
      </c>
      <c r="D33" s="17" t="str">
        <f aca="false">IFERROR(INDEX(Ref_TEST!$C$2:$C$201,MATCH(B33,Ref_TEST!$A$2:$A$201,0)),"")</f>
        <v/>
      </c>
      <c r="E33" s="17" t="str">
        <f aca="false">IFERROR(INDEX(Ref_TEST!$D$2:$D$201,MATCH(B33,Ref_TEST!$A$2:$A$201,0)),"")</f>
        <v/>
      </c>
      <c r="F33" s="16"/>
      <c r="G33" s="16"/>
      <c r="H33" s="16"/>
      <c r="I33" s="16"/>
      <c r="J33" s="16"/>
      <c r="K33" s="16"/>
      <c r="L33" s="16"/>
      <c r="M33" s="16"/>
      <c r="N33" s="16"/>
      <c r="O33" s="16"/>
      <c r="P33" s="16"/>
      <c r="Q33" s="16"/>
      <c r="R33" s="16"/>
      <c r="S33" s="18"/>
      <c r="T33" s="16"/>
      <c r="U33" s="16"/>
      <c r="V33" s="17" t="str">
        <f aca="false">IF(A33="","",IF(COUNTIF(Ref_TEST!$A$2:$A$201,B33)=0,"TEST-ID not in W10",IF(OR(F33="",G33="",H33="",I33="",J33=""),"Type, condition, criteria, cause, effect needed",IF(O33="","Severity needed",IF(AND(M33&lt;&gt;"",N33=""),"Compensating control test result needed",IF(AND(O33&lt;&gt;"Control deficiency",P33=""),"Assign to an aggregation group",IF(AND(U33&lt;&gt;"Draft",OR(Q33="",R33="",S33="")),"Response, owner and due date needed",IF(AND(U33="Closed",T33=""),"Closed requires a retest TEST-ID","OK"))))))))</f>
        <v/>
      </c>
    </row>
    <row r="34" customFormat="false" ht="15" hidden="false" customHeight="false" outlineLevel="0" collapsed="false">
      <c r="A34" s="16"/>
      <c r="B34" s="16"/>
      <c r="C34" s="17" t="str">
        <f aca="false">IFERROR(INDEX(Ref_TEST!$B$2:$B$201,MATCH(B34,Ref_TEST!$A$2:$A$201,0)),"")</f>
        <v/>
      </c>
      <c r="D34" s="17" t="str">
        <f aca="false">IFERROR(INDEX(Ref_TEST!$C$2:$C$201,MATCH(B34,Ref_TEST!$A$2:$A$201,0)),"")</f>
        <v/>
      </c>
      <c r="E34" s="17" t="str">
        <f aca="false">IFERROR(INDEX(Ref_TEST!$D$2:$D$201,MATCH(B34,Ref_TEST!$A$2:$A$201,0)),"")</f>
        <v/>
      </c>
      <c r="F34" s="16"/>
      <c r="G34" s="16"/>
      <c r="H34" s="16"/>
      <c r="I34" s="16"/>
      <c r="J34" s="16"/>
      <c r="K34" s="16"/>
      <c r="L34" s="16"/>
      <c r="M34" s="16"/>
      <c r="N34" s="16"/>
      <c r="O34" s="16"/>
      <c r="P34" s="16"/>
      <c r="Q34" s="16"/>
      <c r="R34" s="16"/>
      <c r="S34" s="18"/>
      <c r="T34" s="16"/>
      <c r="U34" s="16"/>
      <c r="V34" s="17" t="str">
        <f aca="false">IF(A34="","",IF(COUNTIF(Ref_TEST!$A$2:$A$201,B34)=0,"TEST-ID not in W10",IF(OR(F34="",G34="",H34="",I34="",J34=""),"Type, condition, criteria, cause, effect needed",IF(O34="","Severity needed",IF(AND(M34&lt;&gt;"",N34=""),"Compensating control test result needed",IF(AND(O34&lt;&gt;"Control deficiency",P34=""),"Assign to an aggregation group",IF(AND(U34&lt;&gt;"Draft",OR(Q34="",R34="",S34="")),"Response, owner and due date needed",IF(AND(U34="Closed",T34=""),"Closed requires a retest TEST-ID","OK"))))))))</f>
        <v/>
      </c>
    </row>
    <row r="35" customFormat="false" ht="15" hidden="false" customHeight="false" outlineLevel="0" collapsed="false">
      <c r="A35" s="16"/>
      <c r="B35" s="16"/>
      <c r="C35" s="17" t="str">
        <f aca="false">IFERROR(INDEX(Ref_TEST!$B$2:$B$201,MATCH(B35,Ref_TEST!$A$2:$A$201,0)),"")</f>
        <v/>
      </c>
      <c r="D35" s="17" t="str">
        <f aca="false">IFERROR(INDEX(Ref_TEST!$C$2:$C$201,MATCH(B35,Ref_TEST!$A$2:$A$201,0)),"")</f>
        <v/>
      </c>
      <c r="E35" s="17" t="str">
        <f aca="false">IFERROR(INDEX(Ref_TEST!$D$2:$D$201,MATCH(B35,Ref_TEST!$A$2:$A$201,0)),"")</f>
        <v/>
      </c>
      <c r="F35" s="16"/>
      <c r="G35" s="16"/>
      <c r="H35" s="16"/>
      <c r="I35" s="16"/>
      <c r="J35" s="16"/>
      <c r="K35" s="16"/>
      <c r="L35" s="16"/>
      <c r="M35" s="16"/>
      <c r="N35" s="16"/>
      <c r="O35" s="16"/>
      <c r="P35" s="16"/>
      <c r="Q35" s="16"/>
      <c r="R35" s="16"/>
      <c r="S35" s="18"/>
      <c r="T35" s="16"/>
      <c r="U35" s="16"/>
      <c r="V35" s="17" t="str">
        <f aca="false">IF(A35="","",IF(COUNTIF(Ref_TEST!$A$2:$A$201,B35)=0,"TEST-ID not in W10",IF(OR(F35="",G35="",H35="",I35="",J35=""),"Type, condition, criteria, cause, effect needed",IF(O35="","Severity needed",IF(AND(M35&lt;&gt;"",N35=""),"Compensating control test result needed",IF(AND(O35&lt;&gt;"Control deficiency",P35=""),"Assign to an aggregation group",IF(AND(U35&lt;&gt;"Draft",OR(Q35="",R35="",S35="")),"Response, owner and due date needed",IF(AND(U35="Closed",T35=""),"Closed requires a retest TEST-ID","OK"))))))))</f>
        <v/>
      </c>
    </row>
    <row r="36" customFormat="false" ht="15" hidden="false" customHeight="false" outlineLevel="0" collapsed="false">
      <c r="A36" s="16"/>
      <c r="B36" s="16"/>
      <c r="C36" s="17" t="str">
        <f aca="false">IFERROR(INDEX(Ref_TEST!$B$2:$B$201,MATCH(B36,Ref_TEST!$A$2:$A$201,0)),"")</f>
        <v/>
      </c>
      <c r="D36" s="17" t="str">
        <f aca="false">IFERROR(INDEX(Ref_TEST!$C$2:$C$201,MATCH(B36,Ref_TEST!$A$2:$A$201,0)),"")</f>
        <v/>
      </c>
      <c r="E36" s="17" t="str">
        <f aca="false">IFERROR(INDEX(Ref_TEST!$D$2:$D$201,MATCH(B36,Ref_TEST!$A$2:$A$201,0)),"")</f>
        <v/>
      </c>
      <c r="F36" s="16"/>
      <c r="G36" s="16"/>
      <c r="H36" s="16"/>
      <c r="I36" s="16"/>
      <c r="J36" s="16"/>
      <c r="K36" s="16"/>
      <c r="L36" s="16"/>
      <c r="M36" s="16"/>
      <c r="N36" s="16"/>
      <c r="O36" s="16"/>
      <c r="P36" s="16"/>
      <c r="Q36" s="16"/>
      <c r="R36" s="16"/>
      <c r="S36" s="18"/>
      <c r="T36" s="16"/>
      <c r="U36" s="16"/>
      <c r="V36" s="17" t="str">
        <f aca="false">IF(A36="","",IF(COUNTIF(Ref_TEST!$A$2:$A$201,B36)=0,"TEST-ID not in W10",IF(OR(F36="",G36="",H36="",I36="",J36=""),"Type, condition, criteria, cause, effect needed",IF(O36="","Severity needed",IF(AND(M36&lt;&gt;"",N36=""),"Compensating control test result needed",IF(AND(O36&lt;&gt;"Control deficiency",P36=""),"Assign to an aggregation group",IF(AND(U36&lt;&gt;"Draft",OR(Q36="",R36="",S36="")),"Response, owner and due date needed",IF(AND(U36="Closed",T36=""),"Closed requires a retest TEST-ID","OK"))))))))</f>
        <v/>
      </c>
    </row>
    <row r="37" customFormat="false" ht="15" hidden="false" customHeight="false" outlineLevel="0" collapsed="false">
      <c r="A37" s="16"/>
      <c r="B37" s="16"/>
      <c r="C37" s="17" t="str">
        <f aca="false">IFERROR(INDEX(Ref_TEST!$B$2:$B$201,MATCH(B37,Ref_TEST!$A$2:$A$201,0)),"")</f>
        <v/>
      </c>
      <c r="D37" s="17" t="str">
        <f aca="false">IFERROR(INDEX(Ref_TEST!$C$2:$C$201,MATCH(B37,Ref_TEST!$A$2:$A$201,0)),"")</f>
        <v/>
      </c>
      <c r="E37" s="17" t="str">
        <f aca="false">IFERROR(INDEX(Ref_TEST!$D$2:$D$201,MATCH(B37,Ref_TEST!$A$2:$A$201,0)),"")</f>
        <v/>
      </c>
      <c r="F37" s="16"/>
      <c r="G37" s="16"/>
      <c r="H37" s="16"/>
      <c r="I37" s="16"/>
      <c r="J37" s="16"/>
      <c r="K37" s="16"/>
      <c r="L37" s="16"/>
      <c r="M37" s="16"/>
      <c r="N37" s="16"/>
      <c r="O37" s="16"/>
      <c r="P37" s="16"/>
      <c r="Q37" s="16"/>
      <c r="R37" s="16"/>
      <c r="S37" s="18"/>
      <c r="T37" s="16"/>
      <c r="U37" s="16"/>
      <c r="V37" s="17" t="str">
        <f aca="false">IF(A37="","",IF(COUNTIF(Ref_TEST!$A$2:$A$201,B37)=0,"TEST-ID not in W10",IF(OR(F37="",G37="",H37="",I37="",J37=""),"Type, condition, criteria, cause, effect needed",IF(O37="","Severity needed",IF(AND(M37&lt;&gt;"",N37=""),"Compensating control test result needed",IF(AND(O37&lt;&gt;"Control deficiency",P37=""),"Assign to an aggregation group",IF(AND(U37&lt;&gt;"Draft",OR(Q37="",R37="",S37="")),"Response, owner and due date needed",IF(AND(U37="Closed",T37=""),"Closed requires a retest TEST-ID","OK"))))))))</f>
        <v/>
      </c>
    </row>
    <row r="38" customFormat="false" ht="15" hidden="false" customHeight="false" outlineLevel="0" collapsed="false">
      <c r="A38" s="16"/>
      <c r="B38" s="16"/>
      <c r="C38" s="17" t="str">
        <f aca="false">IFERROR(INDEX(Ref_TEST!$B$2:$B$201,MATCH(B38,Ref_TEST!$A$2:$A$201,0)),"")</f>
        <v/>
      </c>
      <c r="D38" s="17" t="str">
        <f aca="false">IFERROR(INDEX(Ref_TEST!$C$2:$C$201,MATCH(B38,Ref_TEST!$A$2:$A$201,0)),"")</f>
        <v/>
      </c>
      <c r="E38" s="17" t="str">
        <f aca="false">IFERROR(INDEX(Ref_TEST!$D$2:$D$201,MATCH(B38,Ref_TEST!$A$2:$A$201,0)),"")</f>
        <v/>
      </c>
      <c r="F38" s="16"/>
      <c r="G38" s="16"/>
      <c r="H38" s="16"/>
      <c r="I38" s="16"/>
      <c r="J38" s="16"/>
      <c r="K38" s="16"/>
      <c r="L38" s="16"/>
      <c r="M38" s="16"/>
      <c r="N38" s="16"/>
      <c r="O38" s="16"/>
      <c r="P38" s="16"/>
      <c r="Q38" s="16"/>
      <c r="R38" s="16"/>
      <c r="S38" s="18"/>
      <c r="T38" s="16"/>
      <c r="U38" s="16"/>
      <c r="V38" s="17" t="str">
        <f aca="false">IF(A38="","",IF(COUNTIF(Ref_TEST!$A$2:$A$201,B38)=0,"TEST-ID not in W10",IF(OR(F38="",G38="",H38="",I38="",J38=""),"Type, condition, criteria, cause, effect needed",IF(O38="","Severity needed",IF(AND(M38&lt;&gt;"",N38=""),"Compensating control test result needed",IF(AND(O38&lt;&gt;"Control deficiency",P38=""),"Assign to an aggregation group",IF(AND(U38&lt;&gt;"Draft",OR(Q38="",R38="",S38="")),"Response, owner and due date needed",IF(AND(U38="Closed",T38=""),"Closed requires a retest TEST-ID","OK"))))))))</f>
        <v/>
      </c>
    </row>
    <row r="39" customFormat="false" ht="15" hidden="false" customHeight="false" outlineLevel="0" collapsed="false">
      <c r="A39" s="16"/>
      <c r="B39" s="16"/>
      <c r="C39" s="17" t="str">
        <f aca="false">IFERROR(INDEX(Ref_TEST!$B$2:$B$201,MATCH(B39,Ref_TEST!$A$2:$A$201,0)),"")</f>
        <v/>
      </c>
      <c r="D39" s="17" t="str">
        <f aca="false">IFERROR(INDEX(Ref_TEST!$C$2:$C$201,MATCH(B39,Ref_TEST!$A$2:$A$201,0)),"")</f>
        <v/>
      </c>
      <c r="E39" s="17" t="str">
        <f aca="false">IFERROR(INDEX(Ref_TEST!$D$2:$D$201,MATCH(B39,Ref_TEST!$A$2:$A$201,0)),"")</f>
        <v/>
      </c>
      <c r="F39" s="16"/>
      <c r="G39" s="16"/>
      <c r="H39" s="16"/>
      <c r="I39" s="16"/>
      <c r="J39" s="16"/>
      <c r="K39" s="16"/>
      <c r="L39" s="16"/>
      <c r="M39" s="16"/>
      <c r="N39" s="16"/>
      <c r="O39" s="16"/>
      <c r="P39" s="16"/>
      <c r="Q39" s="16"/>
      <c r="R39" s="16"/>
      <c r="S39" s="18"/>
      <c r="T39" s="16"/>
      <c r="U39" s="16"/>
      <c r="V39" s="17" t="str">
        <f aca="false">IF(A39="","",IF(COUNTIF(Ref_TEST!$A$2:$A$201,B39)=0,"TEST-ID not in W10",IF(OR(F39="",G39="",H39="",I39="",J39=""),"Type, condition, criteria, cause, effect needed",IF(O39="","Severity needed",IF(AND(M39&lt;&gt;"",N39=""),"Compensating control test result needed",IF(AND(O39&lt;&gt;"Control deficiency",P39=""),"Assign to an aggregation group",IF(AND(U39&lt;&gt;"Draft",OR(Q39="",R39="",S39="")),"Response, owner and due date needed",IF(AND(U39="Closed",T39=""),"Closed requires a retest TEST-ID","OK"))))))))</f>
        <v/>
      </c>
    </row>
    <row r="40" customFormat="false" ht="15" hidden="false" customHeight="false" outlineLevel="0" collapsed="false">
      <c r="A40" s="16"/>
      <c r="B40" s="16"/>
      <c r="C40" s="17" t="str">
        <f aca="false">IFERROR(INDEX(Ref_TEST!$B$2:$B$201,MATCH(B40,Ref_TEST!$A$2:$A$201,0)),"")</f>
        <v/>
      </c>
      <c r="D40" s="17" t="str">
        <f aca="false">IFERROR(INDEX(Ref_TEST!$C$2:$C$201,MATCH(B40,Ref_TEST!$A$2:$A$201,0)),"")</f>
        <v/>
      </c>
      <c r="E40" s="17" t="str">
        <f aca="false">IFERROR(INDEX(Ref_TEST!$D$2:$D$201,MATCH(B40,Ref_TEST!$A$2:$A$201,0)),"")</f>
        <v/>
      </c>
      <c r="F40" s="16"/>
      <c r="G40" s="16"/>
      <c r="H40" s="16"/>
      <c r="I40" s="16"/>
      <c r="J40" s="16"/>
      <c r="K40" s="16"/>
      <c r="L40" s="16"/>
      <c r="M40" s="16"/>
      <c r="N40" s="16"/>
      <c r="O40" s="16"/>
      <c r="P40" s="16"/>
      <c r="Q40" s="16"/>
      <c r="R40" s="16"/>
      <c r="S40" s="18"/>
      <c r="T40" s="16"/>
      <c r="U40" s="16"/>
      <c r="V40" s="17" t="str">
        <f aca="false">IF(A40="","",IF(COUNTIF(Ref_TEST!$A$2:$A$201,B40)=0,"TEST-ID not in W10",IF(OR(F40="",G40="",H40="",I40="",J40=""),"Type, condition, criteria, cause, effect needed",IF(O40="","Severity needed",IF(AND(M40&lt;&gt;"",N40=""),"Compensating control test result needed",IF(AND(O40&lt;&gt;"Control deficiency",P40=""),"Assign to an aggregation group",IF(AND(U40&lt;&gt;"Draft",OR(Q40="",R40="",S40="")),"Response, owner and due date needed",IF(AND(U40="Closed",T40=""),"Closed requires a retest TEST-ID","OK"))))))))</f>
        <v/>
      </c>
    </row>
    <row r="41" customFormat="false" ht="15" hidden="false" customHeight="false" outlineLevel="0" collapsed="false">
      <c r="A41" s="16"/>
      <c r="B41" s="16"/>
      <c r="C41" s="17" t="str">
        <f aca="false">IFERROR(INDEX(Ref_TEST!$B$2:$B$201,MATCH(B41,Ref_TEST!$A$2:$A$201,0)),"")</f>
        <v/>
      </c>
      <c r="D41" s="17" t="str">
        <f aca="false">IFERROR(INDEX(Ref_TEST!$C$2:$C$201,MATCH(B41,Ref_TEST!$A$2:$A$201,0)),"")</f>
        <v/>
      </c>
      <c r="E41" s="17" t="str">
        <f aca="false">IFERROR(INDEX(Ref_TEST!$D$2:$D$201,MATCH(B41,Ref_TEST!$A$2:$A$201,0)),"")</f>
        <v/>
      </c>
      <c r="F41" s="16"/>
      <c r="G41" s="16"/>
      <c r="H41" s="16"/>
      <c r="I41" s="16"/>
      <c r="J41" s="16"/>
      <c r="K41" s="16"/>
      <c r="L41" s="16"/>
      <c r="M41" s="16"/>
      <c r="N41" s="16"/>
      <c r="O41" s="16"/>
      <c r="P41" s="16"/>
      <c r="Q41" s="16"/>
      <c r="R41" s="16"/>
      <c r="S41" s="18"/>
      <c r="T41" s="16"/>
      <c r="U41" s="16"/>
      <c r="V41" s="17" t="str">
        <f aca="false">IF(A41="","",IF(COUNTIF(Ref_TEST!$A$2:$A$201,B41)=0,"TEST-ID not in W10",IF(OR(F41="",G41="",H41="",I41="",J41=""),"Type, condition, criteria, cause, effect needed",IF(O41="","Severity needed",IF(AND(M41&lt;&gt;"",N41=""),"Compensating control test result needed",IF(AND(O41&lt;&gt;"Control deficiency",P41=""),"Assign to an aggregation group",IF(AND(U41&lt;&gt;"Draft",OR(Q41="",R41="",S41="")),"Response, owner and due date needed",IF(AND(U41="Closed",T41=""),"Closed requires a retest TEST-ID","OK"))))))))</f>
        <v/>
      </c>
    </row>
    <row r="42" customFormat="false" ht="15" hidden="false" customHeight="false" outlineLevel="0" collapsed="false">
      <c r="A42" s="16"/>
      <c r="B42" s="16"/>
      <c r="C42" s="17" t="str">
        <f aca="false">IFERROR(INDEX(Ref_TEST!$B$2:$B$201,MATCH(B42,Ref_TEST!$A$2:$A$201,0)),"")</f>
        <v/>
      </c>
      <c r="D42" s="17" t="str">
        <f aca="false">IFERROR(INDEX(Ref_TEST!$C$2:$C$201,MATCH(B42,Ref_TEST!$A$2:$A$201,0)),"")</f>
        <v/>
      </c>
      <c r="E42" s="17" t="str">
        <f aca="false">IFERROR(INDEX(Ref_TEST!$D$2:$D$201,MATCH(B42,Ref_TEST!$A$2:$A$201,0)),"")</f>
        <v/>
      </c>
      <c r="F42" s="16"/>
      <c r="G42" s="16"/>
      <c r="H42" s="16"/>
      <c r="I42" s="16"/>
      <c r="J42" s="16"/>
      <c r="K42" s="16"/>
      <c r="L42" s="16"/>
      <c r="M42" s="16"/>
      <c r="N42" s="16"/>
      <c r="O42" s="16"/>
      <c r="P42" s="16"/>
      <c r="Q42" s="16"/>
      <c r="R42" s="16"/>
      <c r="S42" s="18"/>
      <c r="T42" s="16"/>
      <c r="U42" s="16"/>
      <c r="V42" s="17" t="str">
        <f aca="false">IF(A42="","",IF(COUNTIF(Ref_TEST!$A$2:$A$201,B42)=0,"TEST-ID not in W10",IF(OR(F42="",G42="",H42="",I42="",J42=""),"Type, condition, criteria, cause, effect needed",IF(O42="","Severity needed",IF(AND(M42&lt;&gt;"",N42=""),"Compensating control test result needed",IF(AND(O42&lt;&gt;"Control deficiency",P42=""),"Assign to an aggregation group",IF(AND(U42&lt;&gt;"Draft",OR(Q42="",R42="",S42="")),"Response, owner and due date needed",IF(AND(U42="Closed",T42=""),"Closed requires a retest TEST-ID","OK"))))))))</f>
        <v/>
      </c>
    </row>
    <row r="43" customFormat="false" ht="15" hidden="false" customHeight="false" outlineLevel="0" collapsed="false">
      <c r="A43" s="16"/>
      <c r="B43" s="16"/>
      <c r="C43" s="17" t="str">
        <f aca="false">IFERROR(INDEX(Ref_TEST!$B$2:$B$201,MATCH(B43,Ref_TEST!$A$2:$A$201,0)),"")</f>
        <v/>
      </c>
      <c r="D43" s="17" t="str">
        <f aca="false">IFERROR(INDEX(Ref_TEST!$C$2:$C$201,MATCH(B43,Ref_TEST!$A$2:$A$201,0)),"")</f>
        <v/>
      </c>
      <c r="E43" s="17" t="str">
        <f aca="false">IFERROR(INDEX(Ref_TEST!$D$2:$D$201,MATCH(B43,Ref_TEST!$A$2:$A$201,0)),"")</f>
        <v/>
      </c>
      <c r="F43" s="16"/>
      <c r="G43" s="16"/>
      <c r="H43" s="16"/>
      <c r="I43" s="16"/>
      <c r="J43" s="16"/>
      <c r="K43" s="16"/>
      <c r="L43" s="16"/>
      <c r="M43" s="16"/>
      <c r="N43" s="16"/>
      <c r="O43" s="16"/>
      <c r="P43" s="16"/>
      <c r="Q43" s="16"/>
      <c r="R43" s="16"/>
      <c r="S43" s="18"/>
      <c r="T43" s="16"/>
      <c r="U43" s="16"/>
      <c r="V43" s="17" t="str">
        <f aca="false">IF(A43="","",IF(COUNTIF(Ref_TEST!$A$2:$A$201,B43)=0,"TEST-ID not in W10",IF(OR(F43="",G43="",H43="",I43="",J43=""),"Type, condition, criteria, cause, effect needed",IF(O43="","Severity needed",IF(AND(M43&lt;&gt;"",N43=""),"Compensating control test result needed",IF(AND(O43&lt;&gt;"Control deficiency",P43=""),"Assign to an aggregation group",IF(AND(U43&lt;&gt;"Draft",OR(Q43="",R43="",S43="")),"Response, owner and due date needed",IF(AND(U43="Closed",T43=""),"Closed requires a retest TEST-ID","OK"))))))))</f>
        <v/>
      </c>
    </row>
    <row r="44" customFormat="false" ht="15" hidden="false" customHeight="false" outlineLevel="0" collapsed="false">
      <c r="A44" s="16"/>
      <c r="B44" s="16"/>
      <c r="C44" s="17" t="str">
        <f aca="false">IFERROR(INDEX(Ref_TEST!$B$2:$B$201,MATCH(B44,Ref_TEST!$A$2:$A$201,0)),"")</f>
        <v/>
      </c>
      <c r="D44" s="17" t="str">
        <f aca="false">IFERROR(INDEX(Ref_TEST!$C$2:$C$201,MATCH(B44,Ref_TEST!$A$2:$A$201,0)),"")</f>
        <v/>
      </c>
      <c r="E44" s="17" t="str">
        <f aca="false">IFERROR(INDEX(Ref_TEST!$D$2:$D$201,MATCH(B44,Ref_TEST!$A$2:$A$201,0)),"")</f>
        <v/>
      </c>
      <c r="F44" s="16"/>
      <c r="G44" s="16"/>
      <c r="H44" s="16"/>
      <c r="I44" s="16"/>
      <c r="J44" s="16"/>
      <c r="K44" s="16"/>
      <c r="L44" s="16"/>
      <c r="M44" s="16"/>
      <c r="N44" s="16"/>
      <c r="O44" s="16"/>
      <c r="P44" s="16"/>
      <c r="Q44" s="16"/>
      <c r="R44" s="16"/>
      <c r="S44" s="18"/>
      <c r="T44" s="16"/>
      <c r="U44" s="16"/>
      <c r="V44" s="17" t="str">
        <f aca="false">IF(A44="","",IF(COUNTIF(Ref_TEST!$A$2:$A$201,B44)=0,"TEST-ID not in W10",IF(OR(F44="",G44="",H44="",I44="",J44=""),"Type, condition, criteria, cause, effect needed",IF(O44="","Severity needed",IF(AND(M44&lt;&gt;"",N44=""),"Compensating control test result needed",IF(AND(O44&lt;&gt;"Control deficiency",P44=""),"Assign to an aggregation group",IF(AND(U44&lt;&gt;"Draft",OR(Q44="",R44="",S44="")),"Response, owner and due date needed",IF(AND(U44="Closed",T44=""),"Closed requires a retest TEST-ID","OK"))))))))</f>
        <v/>
      </c>
    </row>
    <row r="45" customFormat="false" ht="15" hidden="false" customHeight="false" outlineLevel="0" collapsed="false">
      <c r="A45" s="16"/>
      <c r="B45" s="16"/>
      <c r="C45" s="17" t="str">
        <f aca="false">IFERROR(INDEX(Ref_TEST!$B$2:$B$201,MATCH(B45,Ref_TEST!$A$2:$A$201,0)),"")</f>
        <v/>
      </c>
      <c r="D45" s="17" t="str">
        <f aca="false">IFERROR(INDEX(Ref_TEST!$C$2:$C$201,MATCH(B45,Ref_TEST!$A$2:$A$201,0)),"")</f>
        <v/>
      </c>
      <c r="E45" s="17" t="str">
        <f aca="false">IFERROR(INDEX(Ref_TEST!$D$2:$D$201,MATCH(B45,Ref_TEST!$A$2:$A$201,0)),"")</f>
        <v/>
      </c>
      <c r="F45" s="16"/>
      <c r="G45" s="16"/>
      <c r="H45" s="16"/>
      <c r="I45" s="16"/>
      <c r="J45" s="16"/>
      <c r="K45" s="16"/>
      <c r="L45" s="16"/>
      <c r="M45" s="16"/>
      <c r="N45" s="16"/>
      <c r="O45" s="16"/>
      <c r="P45" s="16"/>
      <c r="Q45" s="16"/>
      <c r="R45" s="16"/>
      <c r="S45" s="18"/>
      <c r="T45" s="16"/>
      <c r="U45" s="16"/>
      <c r="V45" s="17" t="str">
        <f aca="false">IF(A45="","",IF(COUNTIF(Ref_TEST!$A$2:$A$201,B45)=0,"TEST-ID not in W10",IF(OR(F45="",G45="",H45="",I45="",J45=""),"Type, condition, criteria, cause, effect needed",IF(O45="","Severity needed",IF(AND(M45&lt;&gt;"",N45=""),"Compensating control test result needed",IF(AND(O45&lt;&gt;"Control deficiency",P45=""),"Assign to an aggregation group",IF(AND(U45&lt;&gt;"Draft",OR(Q45="",R45="",S45="")),"Response, owner and due date needed",IF(AND(U45="Closed",T45=""),"Closed requires a retest TEST-ID","OK"))))))))</f>
        <v/>
      </c>
    </row>
    <row r="46" customFormat="false" ht="15" hidden="false" customHeight="false" outlineLevel="0" collapsed="false">
      <c r="A46" s="16"/>
      <c r="B46" s="16"/>
      <c r="C46" s="17" t="str">
        <f aca="false">IFERROR(INDEX(Ref_TEST!$B$2:$B$201,MATCH(B46,Ref_TEST!$A$2:$A$201,0)),"")</f>
        <v/>
      </c>
      <c r="D46" s="17" t="str">
        <f aca="false">IFERROR(INDEX(Ref_TEST!$C$2:$C$201,MATCH(B46,Ref_TEST!$A$2:$A$201,0)),"")</f>
        <v/>
      </c>
      <c r="E46" s="17" t="str">
        <f aca="false">IFERROR(INDEX(Ref_TEST!$D$2:$D$201,MATCH(B46,Ref_TEST!$A$2:$A$201,0)),"")</f>
        <v/>
      </c>
      <c r="F46" s="16"/>
      <c r="G46" s="16"/>
      <c r="H46" s="16"/>
      <c r="I46" s="16"/>
      <c r="J46" s="16"/>
      <c r="K46" s="16"/>
      <c r="L46" s="16"/>
      <c r="M46" s="16"/>
      <c r="N46" s="16"/>
      <c r="O46" s="16"/>
      <c r="P46" s="16"/>
      <c r="Q46" s="16"/>
      <c r="R46" s="16"/>
      <c r="S46" s="18"/>
      <c r="T46" s="16"/>
      <c r="U46" s="16"/>
      <c r="V46" s="17" t="str">
        <f aca="false">IF(A46="","",IF(COUNTIF(Ref_TEST!$A$2:$A$201,B46)=0,"TEST-ID not in W10",IF(OR(F46="",G46="",H46="",I46="",J46=""),"Type, condition, criteria, cause, effect needed",IF(O46="","Severity needed",IF(AND(M46&lt;&gt;"",N46=""),"Compensating control test result needed",IF(AND(O46&lt;&gt;"Control deficiency",P46=""),"Assign to an aggregation group",IF(AND(U46&lt;&gt;"Draft",OR(Q46="",R46="",S46="")),"Response, owner and due date needed",IF(AND(U46="Closed",T46=""),"Closed requires a retest TEST-ID","OK"))))))))</f>
        <v/>
      </c>
    </row>
    <row r="47" customFormat="false" ht="15" hidden="false" customHeight="false" outlineLevel="0" collapsed="false">
      <c r="A47" s="16"/>
      <c r="B47" s="16"/>
      <c r="C47" s="17" t="str">
        <f aca="false">IFERROR(INDEX(Ref_TEST!$B$2:$B$201,MATCH(B47,Ref_TEST!$A$2:$A$201,0)),"")</f>
        <v/>
      </c>
      <c r="D47" s="17" t="str">
        <f aca="false">IFERROR(INDEX(Ref_TEST!$C$2:$C$201,MATCH(B47,Ref_TEST!$A$2:$A$201,0)),"")</f>
        <v/>
      </c>
      <c r="E47" s="17" t="str">
        <f aca="false">IFERROR(INDEX(Ref_TEST!$D$2:$D$201,MATCH(B47,Ref_TEST!$A$2:$A$201,0)),"")</f>
        <v/>
      </c>
      <c r="F47" s="16"/>
      <c r="G47" s="16"/>
      <c r="H47" s="16"/>
      <c r="I47" s="16"/>
      <c r="J47" s="16"/>
      <c r="K47" s="16"/>
      <c r="L47" s="16"/>
      <c r="M47" s="16"/>
      <c r="N47" s="16"/>
      <c r="O47" s="16"/>
      <c r="P47" s="16"/>
      <c r="Q47" s="16"/>
      <c r="R47" s="16"/>
      <c r="S47" s="18"/>
      <c r="T47" s="16"/>
      <c r="U47" s="16"/>
      <c r="V47" s="17" t="str">
        <f aca="false">IF(A47="","",IF(COUNTIF(Ref_TEST!$A$2:$A$201,B47)=0,"TEST-ID not in W10",IF(OR(F47="",G47="",H47="",I47="",J47=""),"Type, condition, criteria, cause, effect needed",IF(O47="","Severity needed",IF(AND(M47&lt;&gt;"",N47=""),"Compensating control test result needed",IF(AND(O47&lt;&gt;"Control deficiency",P47=""),"Assign to an aggregation group",IF(AND(U47&lt;&gt;"Draft",OR(Q47="",R47="",S47="")),"Response, owner and due date needed",IF(AND(U47="Closed",T47=""),"Closed requires a retest TEST-ID","OK"))))))))</f>
        <v/>
      </c>
    </row>
    <row r="48" customFormat="false" ht="15" hidden="false" customHeight="false" outlineLevel="0" collapsed="false">
      <c r="A48" s="16"/>
      <c r="B48" s="16"/>
      <c r="C48" s="17" t="str">
        <f aca="false">IFERROR(INDEX(Ref_TEST!$B$2:$B$201,MATCH(B48,Ref_TEST!$A$2:$A$201,0)),"")</f>
        <v/>
      </c>
      <c r="D48" s="17" t="str">
        <f aca="false">IFERROR(INDEX(Ref_TEST!$C$2:$C$201,MATCH(B48,Ref_TEST!$A$2:$A$201,0)),"")</f>
        <v/>
      </c>
      <c r="E48" s="17" t="str">
        <f aca="false">IFERROR(INDEX(Ref_TEST!$D$2:$D$201,MATCH(B48,Ref_TEST!$A$2:$A$201,0)),"")</f>
        <v/>
      </c>
      <c r="F48" s="16"/>
      <c r="G48" s="16"/>
      <c r="H48" s="16"/>
      <c r="I48" s="16"/>
      <c r="J48" s="16"/>
      <c r="K48" s="16"/>
      <c r="L48" s="16"/>
      <c r="M48" s="16"/>
      <c r="N48" s="16"/>
      <c r="O48" s="16"/>
      <c r="P48" s="16"/>
      <c r="Q48" s="16"/>
      <c r="R48" s="16"/>
      <c r="S48" s="18"/>
      <c r="T48" s="16"/>
      <c r="U48" s="16"/>
      <c r="V48" s="17" t="str">
        <f aca="false">IF(A48="","",IF(COUNTIF(Ref_TEST!$A$2:$A$201,B48)=0,"TEST-ID not in W10",IF(OR(F48="",G48="",H48="",I48="",J48=""),"Type, condition, criteria, cause, effect needed",IF(O48="","Severity needed",IF(AND(M48&lt;&gt;"",N48=""),"Compensating control test result needed",IF(AND(O48&lt;&gt;"Control deficiency",P48=""),"Assign to an aggregation group",IF(AND(U48&lt;&gt;"Draft",OR(Q48="",R48="",S48="")),"Response, owner and due date needed",IF(AND(U48="Closed",T48=""),"Closed requires a retest TEST-ID","OK"))))))))</f>
        <v/>
      </c>
    </row>
    <row r="49" customFormat="false" ht="15" hidden="false" customHeight="false" outlineLevel="0" collapsed="false">
      <c r="A49" s="16"/>
      <c r="B49" s="16"/>
      <c r="C49" s="17" t="str">
        <f aca="false">IFERROR(INDEX(Ref_TEST!$B$2:$B$201,MATCH(B49,Ref_TEST!$A$2:$A$201,0)),"")</f>
        <v/>
      </c>
      <c r="D49" s="17" t="str">
        <f aca="false">IFERROR(INDEX(Ref_TEST!$C$2:$C$201,MATCH(B49,Ref_TEST!$A$2:$A$201,0)),"")</f>
        <v/>
      </c>
      <c r="E49" s="17" t="str">
        <f aca="false">IFERROR(INDEX(Ref_TEST!$D$2:$D$201,MATCH(B49,Ref_TEST!$A$2:$A$201,0)),"")</f>
        <v/>
      </c>
      <c r="F49" s="16"/>
      <c r="G49" s="16"/>
      <c r="H49" s="16"/>
      <c r="I49" s="16"/>
      <c r="J49" s="16"/>
      <c r="K49" s="16"/>
      <c r="L49" s="16"/>
      <c r="M49" s="16"/>
      <c r="N49" s="16"/>
      <c r="O49" s="16"/>
      <c r="P49" s="16"/>
      <c r="Q49" s="16"/>
      <c r="R49" s="16"/>
      <c r="S49" s="18"/>
      <c r="T49" s="16"/>
      <c r="U49" s="16"/>
      <c r="V49" s="17" t="str">
        <f aca="false">IF(A49="","",IF(COUNTIF(Ref_TEST!$A$2:$A$201,B49)=0,"TEST-ID not in W10",IF(OR(F49="",G49="",H49="",I49="",J49=""),"Type, condition, criteria, cause, effect needed",IF(O49="","Severity needed",IF(AND(M49&lt;&gt;"",N49=""),"Compensating control test result needed",IF(AND(O49&lt;&gt;"Control deficiency",P49=""),"Assign to an aggregation group",IF(AND(U49&lt;&gt;"Draft",OR(Q49="",R49="",S49="")),"Response, owner and due date needed",IF(AND(U49="Closed",T49=""),"Closed requires a retest TEST-ID","OK"))))))))</f>
        <v/>
      </c>
    </row>
    <row r="50" customFormat="false" ht="15" hidden="false" customHeight="false" outlineLevel="0" collapsed="false">
      <c r="A50" s="16"/>
      <c r="B50" s="16"/>
      <c r="C50" s="17" t="str">
        <f aca="false">IFERROR(INDEX(Ref_TEST!$B$2:$B$201,MATCH(B50,Ref_TEST!$A$2:$A$201,0)),"")</f>
        <v/>
      </c>
      <c r="D50" s="17" t="str">
        <f aca="false">IFERROR(INDEX(Ref_TEST!$C$2:$C$201,MATCH(B50,Ref_TEST!$A$2:$A$201,0)),"")</f>
        <v/>
      </c>
      <c r="E50" s="17" t="str">
        <f aca="false">IFERROR(INDEX(Ref_TEST!$D$2:$D$201,MATCH(B50,Ref_TEST!$A$2:$A$201,0)),"")</f>
        <v/>
      </c>
      <c r="F50" s="16"/>
      <c r="G50" s="16"/>
      <c r="H50" s="16"/>
      <c r="I50" s="16"/>
      <c r="J50" s="16"/>
      <c r="K50" s="16"/>
      <c r="L50" s="16"/>
      <c r="M50" s="16"/>
      <c r="N50" s="16"/>
      <c r="O50" s="16"/>
      <c r="P50" s="16"/>
      <c r="Q50" s="16"/>
      <c r="R50" s="16"/>
      <c r="S50" s="18"/>
      <c r="T50" s="16"/>
      <c r="U50" s="16"/>
      <c r="V50" s="17" t="str">
        <f aca="false">IF(A50="","",IF(COUNTIF(Ref_TEST!$A$2:$A$201,B50)=0,"TEST-ID not in W10",IF(OR(F50="",G50="",H50="",I50="",J50=""),"Type, condition, criteria, cause, effect needed",IF(O50="","Severity needed",IF(AND(M50&lt;&gt;"",N50=""),"Compensating control test result needed",IF(AND(O50&lt;&gt;"Control deficiency",P50=""),"Assign to an aggregation group",IF(AND(U50&lt;&gt;"Draft",OR(Q50="",R50="",S50="")),"Response, owner and due date needed",IF(AND(U50="Closed",T50=""),"Closed requires a retest TEST-ID","OK"))))))))</f>
        <v/>
      </c>
    </row>
    <row r="51" customFormat="false" ht="15" hidden="false" customHeight="false" outlineLevel="0" collapsed="false">
      <c r="A51" s="16"/>
      <c r="B51" s="16"/>
      <c r="C51" s="17" t="str">
        <f aca="false">IFERROR(INDEX(Ref_TEST!$B$2:$B$201,MATCH(B51,Ref_TEST!$A$2:$A$201,0)),"")</f>
        <v/>
      </c>
      <c r="D51" s="17" t="str">
        <f aca="false">IFERROR(INDEX(Ref_TEST!$C$2:$C$201,MATCH(B51,Ref_TEST!$A$2:$A$201,0)),"")</f>
        <v/>
      </c>
      <c r="E51" s="17" t="str">
        <f aca="false">IFERROR(INDEX(Ref_TEST!$D$2:$D$201,MATCH(B51,Ref_TEST!$A$2:$A$201,0)),"")</f>
        <v/>
      </c>
      <c r="F51" s="16"/>
      <c r="G51" s="16"/>
      <c r="H51" s="16"/>
      <c r="I51" s="16"/>
      <c r="J51" s="16"/>
      <c r="K51" s="16"/>
      <c r="L51" s="16"/>
      <c r="M51" s="16"/>
      <c r="N51" s="16"/>
      <c r="O51" s="16"/>
      <c r="P51" s="16"/>
      <c r="Q51" s="16"/>
      <c r="R51" s="16"/>
      <c r="S51" s="18"/>
      <c r="T51" s="16"/>
      <c r="U51" s="16"/>
      <c r="V51" s="17" t="str">
        <f aca="false">IF(A51="","",IF(COUNTIF(Ref_TEST!$A$2:$A$201,B51)=0,"TEST-ID not in W10",IF(OR(F51="",G51="",H51="",I51="",J51=""),"Type, condition, criteria, cause, effect needed",IF(O51="","Severity needed",IF(AND(M51&lt;&gt;"",N51=""),"Compensating control test result needed",IF(AND(O51&lt;&gt;"Control deficiency",P51=""),"Assign to an aggregation group",IF(AND(U51&lt;&gt;"Draft",OR(Q51="",R51="",S51="")),"Response, owner and due date needed",IF(AND(U51="Closed",T51=""),"Closed requires a retest TEST-ID","OK"))))))))</f>
        <v/>
      </c>
    </row>
    <row r="52" customFormat="false" ht="15" hidden="false" customHeight="false" outlineLevel="0" collapsed="false">
      <c r="A52" s="16"/>
      <c r="B52" s="16"/>
      <c r="C52" s="17" t="str">
        <f aca="false">IFERROR(INDEX(Ref_TEST!$B$2:$B$201,MATCH(B52,Ref_TEST!$A$2:$A$201,0)),"")</f>
        <v/>
      </c>
      <c r="D52" s="17" t="str">
        <f aca="false">IFERROR(INDEX(Ref_TEST!$C$2:$C$201,MATCH(B52,Ref_TEST!$A$2:$A$201,0)),"")</f>
        <v/>
      </c>
      <c r="E52" s="17" t="str">
        <f aca="false">IFERROR(INDEX(Ref_TEST!$D$2:$D$201,MATCH(B52,Ref_TEST!$A$2:$A$201,0)),"")</f>
        <v/>
      </c>
      <c r="F52" s="16"/>
      <c r="G52" s="16"/>
      <c r="H52" s="16"/>
      <c r="I52" s="16"/>
      <c r="J52" s="16"/>
      <c r="K52" s="16"/>
      <c r="L52" s="16"/>
      <c r="M52" s="16"/>
      <c r="N52" s="16"/>
      <c r="O52" s="16"/>
      <c r="P52" s="16"/>
      <c r="Q52" s="16"/>
      <c r="R52" s="16"/>
      <c r="S52" s="18"/>
      <c r="T52" s="16"/>
      <c r="U52" s="16"/>
      <c r="V52" s="17" t="str">
        <f aca="false">IF(A52="","",IF(COUNTIF(Ref_TEST!$A$2:$A$201,B52)=0,"TEST-ID not in W10",IF(OR(F52="",G52="",H52="",I52="",J52=""),"Type, condition, criteria, cause, effect needed",IF(O52="","Severity needed",IF(AND(M52&lt;&gt;"",N52=""),"Compensating control test result needed",IF(AND(O52&lt;&gt;"Control deficiency",P52=""),"Assign to an aggregation group",IF(AND(U52&lt;&gt;"Draft",OR(Q52="",R52="",S52="")),"Response, owner and due date needed",IF(AND(U52="Closed",T52=""),"Closed requires a retest TEST-ID","OK"))))))))</f>
        <v/>
      </c>
    </row>
    <row r="53" customFormat="false" ht="15" hidden="false" customHeight="false" outlineLevel="0" collapsed="false">
      <c r="A53" s="16"/>
      <c r="B53" s="16"/>
      <c r="C53" s="17" t="str">
        <f aca="false">IFERROR(INDEX(Ref_TEST!$B$2:$B$201,MATCH(B53,Ref_TEST!$A$2:$A$201,0)),"")</f>
        <v/>
      </c>
      <c r="D53" s="17" t="str">
        <f aca="false">IFERROR(INDEX(Ref_TEST!$C$2:$C$201,MATCH(B53,Ref_TEST!$A$2:$A$201,0)),"")</f>
        <v/>
      </c>
      <c r="E53" s="17" t="str">
        <f aca="false">IFERROR(INDEX(Ref_TEST!$D$2:$D$201,MATCH(B53,Ref_TEST!$A$2:$A$201,0)),"")</f>
        <v/>
      </c>
      <c r="F53" s="16"/>
      <c r="G53" s="16"/>
      <c r="H53" s="16"/>
      <c r="I53" s="16"/>
      <c r="J53" s="16"/>
      <c r="K53" s="16"/>
      <c r="L53" s="16"/>
      <c r="M53" s="16"/>
      <c r="N53" s="16"/>
      <c r="O53" s="16"/>
      <c r="P53" s="16"/>
      <c r="Q53" s="16"/>
      <c r="R53" s="16"/>
      <c r="S53" s="18"/>
      <c r="T53" s="16"/>
      <c r="U53" s="16"/>
      <c r="V53" s="17" t="str">
        <f aca="false">IF(A53="","",IF(COUNTIF(Ref_TEST!$A$2:$A$201,B53)=0,"TEST-ID not in W10",IF(OR(F53="",G53="",H53="",I53="",J53=""),"Type, condition, criteria, cause, effect needed",IF(O53="","Severity needed",IF(AND(M53&lt;&gt;"",N53=""),"Compensating control test result needed",IF(AND(O53&lt;&gt;"Control deficiency",P53=""),"Assign to an aggregation group",IF(AND(U53&lt;&gt;"Draft",OR(Q53="",R53="",S53="")),"Response, owner and due date needed",IF(AND(U53="Closed",T53=""),"Closed requires a retest TEST-ID","OK"))))))))</f>
        <v/>
      </c>
    </row>
    <row r="54" customFormat="false" ht="15" hidden="false" customHeight="false" outlineLevel="0" collapsed="false">
      <c r="A54" s="16"/>
      <c r="B54" s="16"/>
      <c r="C54" s="17" t="str">
        <f aca="false">IFERROR(INDEX(Ref_TEST!$B$2:$B$201,MATCH(B54,Ref_TEST!$A$2:$A$201,0)),"")</f>
        <v/>
      </c>
      <c r="D54" s="17" t="str">
        <f aca="false">IFERROR(INDEX(Ref_TEST!$C$2:$C$201,MATCH(B54,Ref_TEST!$A$2:$A$201,0)),"")</f>
        <v/>
      </c>
      <c r="E54" s="17" t="str">
        <f aca="false">IFERROR(INDEX(Ref_TEST!$D$2:$D$201,MATCH(B54,Ref_TEST!$A$2:$A$201,0)),"")</f>
        <v/>
      </c>
      <c r="F54" s="16"/>
      <c r="G54" s="16"/>
      <c r="H54" s="16"/>
      <c r="I54" s="16"/>
      <c r="J54" s="16"/>
      <c r="K54" s="16"/>
      <c r="L54" s="16"/>
      <c r="M54" s="16"/>
      <c r="N54" s="16"/>
      <c r="O54" s="16"/>
      <c r="P54" s="16"/>
      <c r="Q54" s="16"/>
      <c r="R54" s="16"/>
      <c r="S54" s="18"/>
      <c r="T54" s="16"/>
      <c r="U54" s="16"/>
      <c r="V54" s="17" t="str">
        <f aca="false">IF(A54="","",IF(COUNTIF(Ref_TEST!$A$2:$A$201,B54)=0,"TEST-ID not in W10",IF(OR(F54="",G54="",H54="",I54="",J54=""),"Type, condition, criteria, cause, effect needed",IF(O54="","Severity needed",IF(AND(M54&lt;&gt;"",N54=""),"Compensating control test result needed",IF(AND(O54&lt;&gt;"Control deficiency",P54=""),"Assign to an aggregation group",IF(AND(U54&lt;&gt;"Draft",OR(Q54="",R54="",S54="")),"Response, owner and due date needed",IF(AND(U54="Closed",T54=""),"Closed requires a retest TEST-ID","OK"))))))))</f>
        <v/>
      </c>
    </row>
    <row r="55" customFormat="false" ht="15" hidden="false" customHeight="false" outlineLevel="0" collapsed="false">
      <c r="A55" s="16"/>
      <c r="B55" s="16"/>
      <c r="C55" s="17" t="str">
        <f aca="false">IFERROR(INDEX(Ref_TEST!$B$2:$B$201,MATCH(B55,Ref_TEST!$A$2:$A$201,0)),"")</f>
        <v/>
      </c>
      <c r="D55" s="17" t="str">
        <f aca="false">IFERROR(INDEX(Ref_TEST!$C$2:$C$201,MATCH(B55,Ref_TEST!$A$2:$A$201,0)),"")</f>
        <v/>
      </c>
      <c r="E55" s="17" t="str">
        <f aca="false">IFERROR(INDEX(Ref_TEST!$D$2:$D$201,MATCH(B55,Ref_TEST!$A$2:$A$201,0)),"")</f>
        <v/>
      </c>
      <c r="F55" s="16"/>
      <c r="G55" s="16"/>
      <c r="H55" s="16"/>
      <c r="I55" s="16"/>
      <c r="J55" s="16"/>
      <c r="K55" s="16"/>
      <c r="L55" s="16"/>
      <c r="M55" s="16"/>
      <c r="N55" s="16"/>
      <c r="O55" s="16"/>
      <c r="P55" s="16"/>
      <c r="Q55" s="16"/>
      <c r="R55" s="16"/>
      <c r="S55" s="18"/>
      <c r="T55" s="16"/>
      <c r="U55" s="16"/>
      <c r="V55" s="17" t="str">
        <f aca="false">IF(A55="","",IF(COUNTIF(Ref_TEST!$A$2:$A$201,B55)=0,"TEST-ID not in W10",IF(OR(F55="",G55="",H55="",I55="",J55=""),"Type, condition, criteria, cause, effect needed",IF(O55="","Severity needed",IF(AND(M55&lt;&gt;"",N55=""),"Compensating control test result needed",IF(AND(O55&lt;&gt;"Control deficiency",P55=""),"Assign to an aggregation group",IF(AND(U55&lt;&gt;"Draft",OR(Q55="",R55="",S55="")),"Response, owner and due date needed",IF(AND(U55="Closed",T55=""),"Closed requires a retest TEST-ID","OK"))))))))</f>
        <v/>
      </c>
    </row>
    <row r="56" customFormat="false" ht="15" hidden="false" customHeight="false" outlineLevel="0" collapsed="false">
      <c r="A56" s="16"/>
      <c r="B56" s="16"/>
      <c r="C56" s="17" t="str">
        <f aca="false">IFERROR(INDEX(Ref_TEST!$B$2:$B$201,MATCH(B56,Ref_TEST!$A$2:$A$201,0)),"")</f>
        <v/>
      </c>
      <c r="D56" s="17" t="str">
        <f aca="false">IFERROR(INDEX(Ref_TEST!$C$2:$C$201,MATCH(B56,Ref_TEST!$A$2:$A$201,0)),"")</f>
        <v/>
      </c>
      <c r="E56" s="17" t="str">
        <f aca="false">IFERROR(INDEX(Ref_TEST!$D$2:$D$201,MATCH(B56,Ref_TEST!$A$2:$A$201,0)),"")</f>
        <v/>
      </c>
      <c r="F56" s="16"/>
      <c r="G56" s="16"/>
      <c r="H56" s="16"/>
      <c r="I56" s="16"/>
      <c r="J56" s="16"/>
      <c r="K56" s="16"/>
      <c r="L56" s="16"/>
      <c r="M56" s="16"/>
      <c r="N56" s="16"/>
      <c r="O56" s="16"/>
      <c r="P56" s="16"/>
      <c r="Q56" s="16"/>
      <c r="R56" s="16"/>
      <c r="S56" s="18"/>
      <c r="T56" s="16"/>
      <c r="U56" s="16"/>
      <c r="V56" s="17" t="str">
        <f aca="false">IF(A56="","",IF(COUNTIF(Ref_TEST!$A$2:$A$201,B56)=0,"TEST-ID not in W10",IF(OR(F56="",G56="",H56="",I56="",J56=""),"Type, condition, criteria, cause, effect needed",IF(O56="","Severity needed",IF(AND(M56&lt;&gt;"",N56=""),"Compensating control test result needed",IF(AND(O56&lt;&gt;"Control deficiency",P56=""),"Assign to an aggregation group",IF(AND(U56&lt;&gt;"Draft",OR(Q56="",R56="",S56="")),"Response, owner and due date needed",IF(AND(U56="Closed",T56=""),"Closed requires a retest TEST-ID","OK"))))))))</f>
        <v/>
      </c>
    </row>
    <row r="57" customFormat="false" ht="15" hidden="false" customHeight="false" outlineLevel="0" collapsed="false">
      <c r="A57" s="16"/>
      <c r="B57" s="16"/>
      <c r="C57" s="17" t="str">
        <f aca="false">IFERROR(INDEX(Ref_TEST!$B$2:$B$201,MATCH(B57,Ref_TEST!$A$2:$A$201,0)),"")</f>
        <v/>
      </c>
      <c r="D57" s="17" t="str">
        <f aca="false">IFERROR(INDEX(Ref_TEST!$C$2:$C$201,MATCH(B57,Ref_TEST!$A$2:$A$201,0)),"")</f>
        <v/>
      </c>
      <c r="E57" s="17" t="str">
        <f aca="false">IFERROR(INDEX(Ref_TEST!$D$2:$D$201,MATCH(B57,Ref_TEST!$A$2:$A$201,0)),"")</f>
        <v/>
      </c>
      <c r="F57" s="16"/>
      <c r="G57" s="16"/>
      <c r="H57" s="16"/>
      <c r="I57" s="16"/>
      <c r="J57" s="16"/>
      <c r="K57" s="16"/>
      <c r="L57" s="16"/>
      <c r="M57" s="16"/>
      <c r="N57" s="16"/>
      <c r="O57" s="16"/>
      <c r="P57" s="16"/>
      <c r="Q57" s="16"/>
      <c r="R57" s="16"/>
      <c r="S57" s="18"/>
      <c r="T57" s="16"/>
      <c r="U57" s="16"/>
      <c r="V57" s="17" t="str">
        <f aca="false">IF(A57="","",IF(COUNTIF(Ref_TEST!$A$2:$A$201,B57)=0,"TEST-ID not in W10",IF(OR(F57="",G57="",H57="",I57="",J57=""),"Type, condition, criteria, cause, effect needed",IF(O57="","Severity needed",IF(AND(M57&lt;&gt;"",N57=""),"Compensating control test result needed",IF(AND(O57&lt;&gt;"Control deficiency",P57=""),"Assign to an aggregation group",IF(AND(U57&lt;&gt;"Draft",OR(Q57="",R57="",S57="")),"Response, owner and due date needed",IF(AND(U57="Closed",T57=""),"Closed requires a retest TEST-ID","OK"))))))))</f>
        <v/>
      </c>
    </row>
    <row r="58" customFormat="false" ht="15" hidden="false" customHeight="false" outlineLevel="0" collapsed="false">
      <c r="A58" s="16"/>
      <c r="B58" s="16"/>
      <c r="C58" s="17" t="str">
        <f aca="false">IFERROR(INDEX(Ref_TEST!$B$2:$B$201,MATCH(B58,Ref_TEST!$A$2:$A$201,0)),"")</f>
        <v/>
      </c>
      <c r="D58" s="17" t="str">
        <f aca="false">IFERROR(INDEX(Ref_TEST!$C$2:$C$201,MATCH(B58,Ref_TEST!$A$2:$A$201,0)),"")</f>
        <v/>
      </c>
      <c r="E58" s="17" t="str">
        <f aca="false">IFERROR(INDEX(Ref_TEST!$D$2:$D$201,MATCH(B58,Ref_TEST!$A$2:$A$201,0)),"")</f>
        <v/>
      </c>
      <c r="F58" s="16"/>
      <c r="G58" s="16"/>
      <c r="H58" s="16"/>
      <c r="I58" s="16"/>
      <c r="J58" s="16"/>
      <c r="K58" s="16"/>
      <c r="L58" s="16"/>
      <c r="M58" s="16"/>
      <c r="N58" s="16"/>
      <c r="O58" s="16"/>
      <c r="P58" s="16"/>
      <c r="Q58" s="16"/>
      <c r="R58" s="16"/>
      <c r="S58" s="18"/>
      <c r="T58" s="16"/>
      <c r="U58" s="16"/>
      <c r="V58" s="17" t="str">
        <f aca="false">IF(A58="","",IF(COUNTIF(Ref_TEST!$A$2:$A$201,B58)=0,"TEST-ID not in W10",IF(OR(F58="",G58="",H58="",I58="",J58=""),"Type, condition, criteria, cause, effect needed",IF(O58="","Severity needed",IF(AND(M58&lt;&gt;"",N58=""),"Compensating control test result needed",IF(AND(O58&lt;&gt;"Control deficiency",P58=""),"Assign to an aggregation group",IF(AND(U58&lt;&gt;"Draft",OR(Q58="",R58="",S58="")),"Response, owner and due date needed",IF(AND(U58="Closed",T58=""),"Closed requires a retest TEST-ID","OK"))))))))</f>
        <v/>
      </c>
    </row>
    <row r="59" customFormat="false" ht="15" hidden="false" customHeight="false" outlineLevel="0" collapsed="false">
      <c r="A59" s="16"/>
      <c r="B59" s="16"/>
      <c r="C59" s="17" t="str">
        <f aca="false">IFERROR(INDEX(Ref_TEST!$B$2:$B$201,MATCH(B59,Ref_TEST!$A$2:$A$201,0)),"")</f>
        <v/>
      </c>
      <c r="D59" s="17" t="str">
        <f aca="false">IFERROR(INDEX(Ref_TEST!$C$2:$C$201,MATCH(B59,Ref_TEST!$A$2:$A$201,0)),"")</f>
        <v/>
      </c>
      <c r="E59" s="17" t="str">
        <f aca="false">IFERROR(INDEX(Ref_TEST!$D$2:$D$201,MATCH(B59,Ref_TEST!$A$2:$A$201,0)),"")</f>
        <v/>
      </c>
      <c r="F59" s="16"/>
      <c r="G59" s="16"/>
      <c r="H59" s="16"/>
      <c r="I59" s="16"/>
      <c r="J59" s="16"/>
      <c r="K59" s="16"/>
      <c r="L59" s="16"/>
      <c r="M59" s="16"/>
      <c r="N59" s="16"/>
      <c r="O59" s="16"/>
      <c r="P59" s="16"/>
      <c r="Q59" s="16"/>
      <c r="R59" s="16"/>
      <c r="S59" s="18"/>
      <c r="T59" s="16"/>
      <c r="U59" s="16"/>
      <c r="V59" s="17" t="str">
        <f aca="false">IF(A59="","",IF(COUNTIF(Ref_TEST!$A$2:$A$201,B59)=0,"TEST-ID not in W10",IF(OR(F59="",G59="",H59="",I59="",J59=""),"Type, condition, criteria, cause, effect needed",IF(O59="","Severity needed",IF(AND(M59&lt;&gt;"",N59=""),"Compensating control test result needed",IF(AND(O59&lt;&gt;"Control deficiency",P59=""),"Assign to an aggregation group",IF(AND(U59&lt;&gt;"Draft",OR(Q59="",R59="",S59="")),"Response, owner and due date needed",IF(AND(U59="Closed",T59=""),"Closed requires a retest TEST-ID","OK"))))))))</f>
        <v/>
      </c>
    </row>
    <row r="60" customFormat="false" ht="15" hidden="false" customHeight="false" outlineLevel="0" collapsed="false">
      <c r="A60" s="16"/>
      <c r="B60" s="16"/>
      <c r="C60" s="17" t="str">
        <f aca="false">IFERROR(INDEX(Ref_TEST!$B$2:$B$201,MATCH(B60,Ref_TEST!$A$2:$A$201,0)),"")</f>
        <v/>
      </c>
      <c r="D60" s="17" t="str">
        <f aca="false">IFERROR(INDEX(Ref_TEST!$C$2:$C$201,MATCH(B60,Ref_TEST!$A$2:$A$201,0)),"")</f>
        <v/>
      </c>
      <c r="E60" s="17" t="str">
        <f aca="false">IFERROR(INDEX(Ref_TEST!$D$2:$D$201,MATCH(B60,Ref_TEST!$A$2:$A$201,0)),"")</f>
        <v/>
      </c>
      <c r="F60" s="16"/>
      <c r="G60" s="16"/>
      <c r="H60" s="16"/>
      <c r="I60" s="16"/>
      <c r="J60" s="16"/>
      <c r="K60" s="16"/>
      <c r="L60" s="16"/>
      <c r="M60" s="16"/>
      <c r="N60" s="16"/>
      <c r="O60" s="16"/>
      <c r="P60" s="16"/>
      <c r="Q60" s="16"/>
      <c r="R60" s="16"/>
      <c r="S60" s="18"/>
      <c r="T60" s="16"/>
      <c r="U60" s="16"/>
      <c r="V60" s="17" t="str">
        <f aca="false">IF(A60="","",IF(COUNTIF(Ref_TEST!$A$2:$A$201,B60)=0,"TEST-ID not in W10",IF(OR(F60="",G60="",H60="",I60="",J60=""),"Type, condition, criteria, cause, effect needed",IF(O60="","Severity needed",IF(AND(M60&lt;&gt;"",N60=""),"Compensating control test result needed",IF(AND(O60&lt;&gt;"Control deficiency",P60=""),"Assign to an aggregation group",IF(AND(U60&lt;&gt;"Draft",OR(Q60="",R60="",S60="")),"Response, owner and due date needed",IF(AND(U60="Closed",T60=""),"Closed requires a retest TEST-ID","OK"))))))))</f>
        <v/>
      </c>
    </row>
    <row r="61" customFormat="false" ht="15" hidden="false" customHeight="false" outlineLevel="0" collapsed="false">
      <c r="A61" s="16"/>
      <c r="B61" s="16"/>
      <c r="C61" s="17" t="str">
        <f aca="false">IFERROR(INDEX(Ref_TEST!$B$2:$B$201,MATCH(B61,Ref_TEST!$A$2:$A$201,0)),"")</f>
        <v/>
      </c>
      <c r="D61" s="17" t="str">
        <f aca="false">IFERROR(INDEX(Ref_TEST!$C$2:$C$201,MATCH(B61,Ref_TEST!$A$2:$A$201,0)),"")</f>
        <v/>
      </c>
      <c r="E61" s="17" t="str">
        <f aca="false">IFERROR(INDEX(Ref_TEST!$D$2:$D$201,MATCH(B61,Ref_TEST!$A$2:$A$201,0)),"")</f>
        <v/>
      </c>
      <c r="F61" s="16"/>
      <c r="G61" s="16"/>
      <c r="H61" s="16"/>
      <c r="I61" s="16"/>
      <c r="J61" s="16"/>
      <c r="K61" s="16"/>
      <c r="L61" s="16"/>
      <c r="M61" s="16"/>
      <c r="N61" s="16"/>
      <c r="O61" s="16"/>
      <c r="P61" s="16"/>
      <c r="Q61" s="16"/>
      <c r="R61" s="16"/>
      <c r="S61" s="18"/>
      <c r="T61" s="16"/>
      <c r="U61" s="16"/>
      <c r="V61" s="17" t="str">
        <f aca="false">IF(A61="","",IF(COUNTIF(Ref_TEST!$A$2:$A$201,B61)=0,"TEST-ID not in W10",IF(OR(F61="",G61="",H61="",I61="",J61=""),"Type, condition, criteria, cause, effect needed",IF(O61="","Severity needed",IF(AND(M61&lt;&gt;"",N61=""),"Compensating control test result needed",IF(AND(O61&lt;&gt;"Control deficiency",P61=""),"Assign to an aggregation group",IF(AND(U61&lt;&gt;"Draft",OR(Q61="",R61="",S61="")),"Response, owner and due date needed",IF(AND(U61="Closed",T61=""),"Closed requires a retest TEST-ID","OK"))))))))</f>
        <v/>
      </c>
    </row>
    <row r="62" customFormat="false" ht="15" hidden="false" customHeight="false" outlineLevel="0" collapsed="false">
      <c r="A62" s="16"/>
      <c r="B62" s="16"/>
      <c r="C62" s="17" t="str">
        <f aca="false">IFERROR(INDEX(Ref_TEST!$B$2:$B$201,MATCH(B62,Ref_TEST!$A$2:$A$201,0)),"")</f>
        <v/>
      </c>
      <c r="D62" s="17" t="str">
        <f aca="false">IFERROR(INDEX(Ref_TEST!$C$2:$C$201,MATCH(B62,Ref_TEST!$A$2:$A$201,0)),"")</f>
        <v/>
      </c>
      <c r="E62" s="17" t="str">
        <f aca="false">IFERROR(INDEX(Ref_TEST!$D$2:$D$201,MATCH(B62,Ref_TEST!$A$2:$A$201,0)),"")</f>
        <v/>
      </c>
      <c r="F62" s="16"/>
      <c r="G62" s="16"/>
      <c r="H62" s="16"/>
      <c r="I62" s="16"/>
      <c r="J62" s="16"/>
      <c r="K62" s="16"/>
      <c r="L62" s="16"/>
      <c r="M62" s="16"/>
      <c r="N62" s="16"/>
      <c r="O62" s="16"/>
      <c r="P62" s="16"/>
      <c r="Q62" s="16"/>
      <c r="R62" s="16"/>
      <c r="S62" s="18"/>
      <c r="T62" s="16"/>
      <c r="U62" s="16"/>
      <c r="V62" s="17" t="str">
        <f aca="false">IF(A62="","",IF(COUNTIF(Ref_TEST!$A$2:$A$201,B62)=0,"TEST-ID not in W10",IF(OR(F62="",G62="",H62="",I62="",J62=""),"Type, condition, criteria, cause, effect needed",IF(O62="","Severity needed",IF(AND(M62&lt;&gt;"",N62=""),"Compensating control test result needed",IF(AND(O62&lt;&gt;"Control deficiency",P62=""),"Assign to an aggregation group",IF(AND(U62&lt;&gt;"Draft",OR(Q62="",R62="",S62="")),"Response, owner and due date needed",IF(AND(U62="Closed",T62=""),"Closed requires a retest TEST-ID","OK"))))))))</f>
        <v/>
      </c>
    </row>
    <row r="63" customFormat="false" ht="15" hidden="false" customHeight="false" outlineLevel="0" collapsed="false">
      <c r="A63" s="16"/>
      <c r="B63" s="16"/>
      <c r="C63" s="17" t="str">
        <f aca="false">IFERROR(INDEX(Ref_TEST!$B$2:$B$201,MATCH(B63,Ref_TEST!$A$2:$A$201,0)),"")</f>
        <v/>
      </c>
      <c r="D63" s="17" t="str">
        <f aca="false">IFERROR(INDEX(Ref_TEST!$C$2:$C$201,MATCH(B63,Ref_TEST!$A$2:$A$201,0)),"")</f>
        <v/>
      </c>
      <c r="E63" s="17" t="str">
        <f aca="false">IFERROR(INDEX(Ref_TEST!$D$2:$D$201,MATCH(B63,Ref_TEST!$A$2:$A$201,0)),"")</f>
        <v/>
      </c>
      <c r="F63" s="16"/>
      <c r="G63" s="16"/>
      <c r="H63" s="16"/>
      <c r="I63" s="16"/>
      <c r="J63" s="16"/>
      <c r="K63" s="16"/>
      <c r="L63" s="16"/>
      <c r="M63" s="16"/>
      <c r="N63" s="16"/>
      <c r="O63" s="16"/>
      <c r="P63" s="16"/>
      <c r="Q63" s="16"/>
      <c r="R63" s="16"/>
      <c r="S63" s="18"/>
      <c r="T63" s="16"/>
      <c r="U63" s="16"/>
      <c r="V63" s="17" t="str">
        <f aca="false">IF(A63="","",IF(COUNTIF(Ref_TEST!$A$2:$A$201,B63)=0,"TEST-ID not in W10",IF(OR(F63="",G63="",H63="",I63="",J63=""),"Type, condition, criteria, cause, effect needed",IF(O63="","Severity needed",IF(AND(M63&lt;&gt;"",N63=""),"Compensating control test result needed",IF(AND(O63&lt;&gt;"Control deficiency",P63=""),"Assign to an aggregation group",IF(AND(U63&lt;&gt;"Draft",OR(Q63="",R63="",S63="")),"Response, owner and due date needed",IF(AND(U63="Closed",T63=""),"Closed requires a retest TEST-ID","OK"))))))))</f>
        <v/>
      </c>
    </row>
    <row r="64" customFormat="false" ht="15" hidden="false" customHeight="false" outlineLevel="0" collapsed="false">
      <c r="A64" s="16"/>
      <c r="B64" s="16"/>
      <c r="C64" s="17" t="str">
        <f aca="false">IFERROR(INDEX(Ref_TEST!$B$2:$B$201,MATCH(B64,Ref_TEST!$A$2:$A$201,0)),"")</f>
        <v/>
      </c>
      <c r="D64" s="17" t="str">
        <f aca="false">IFERROR(INDEX(Ref_TEST!$C$2:$C$201,MATCH(B64,Ref_TEST!$A$2:$A$201,0)),"")</f>
        <v/>
      </c>
      <c r="E64" s="17" t="str">
        <f aca="false">IFERROR(INDEX(Ref_TEST!$D$2:$D$201,MATCH(B64,Ref_TEST!$A$2:$A$201,0)),"")</f>
        <v/>
      </c>
      <c r="F64" s="16"/>
      <c r="G64" s="16"/>
      <c r="H64" s="16"/>
      <c r="I64" s="16"/>
      <c r="J64" s="16"/>
      <c r="K64" s="16"/>
      <c r="L64" s="16"/>
      <c r="M64" s="16"/>
      <c r="N64" s="16"/>
      <c r="O64" s="16"/>
      <c r="P64" s="16"/>
      <c r="Q64" s="16"/>
      <c r="R64" s="16"/>
      <c r="S64" s="18"/>
      <c r="T64" s="16"/>
      <c r="U64" s="16"/>
      <c r="V64" s="17" t="str">
        <f aca="false">IF(A64="","",IF(COUNTIF(Ref_TEST!$A$2:$A$201,B64)=0,"TEST-ID not in W10",IF(OR(F64="",G64="",H64="",I64="",J64=""),"Type, condition, criteria, cause, effect needed",IF(O64="","Severity needed",IF(AND(M64&lt;&gt;"",N64=""),"Compensating control test result needed",IF(AND(O64&lt;&gt;"Control deficiency",P64=""),"Assign to an aggregation group",IF(AND(U64&lt;&gt;"Draft",OR(Q64="",R64="",S64="")),"Response, owner and due date needed",IF(AND(U64="Closed",T64=""),"Closed requires a retest TEST-ID","OK"))))))))</f>
        <v/>
      </c>
    </row>
    <row r="65" customFormat="false" ht="15" hidden="false" customHeight="false" outlineLevel="0" collapsed="false">
      <c r="A65" s="16"/>
      <c r="B65" s="16"/>
      <c r="C65" s="17" t="str">
        <f aca="false">IFERROR(INDEX(Ref_TEST!$B$2:$B$201,MATCH(B65,Ref_TEST!$A$2:$A$201,0)),"")</f>
        <v/>
      </c>
      <c r="D65" s="17" t="str">
        <f aca="false">IFERROR(INDEX(Ref_TEST!$C$2:$C$201,MATCH(B65,Ref_TEST!$A$2:$A$201,0)),"")</f>
        <v/>
      </c>
      <c r="E65" s="17" t="str">
        <f aca="false">IFERROR(INDEX(Ref_TEST!$D$2:$D$201,MATCH(B65,Ref_TEST!$A$2:$A$201,0)),"")</f>
        <v/>
      </c>
      <c r="F65" s="16"/>
      <c r="G65" s="16"/>
      <c r="H65" s="16"/>
      <c r="I65" s="16"/>
      <c r="J65" s="16"/>
      <c r="K65" s="16"/>
      <c r="L65" s="16"/>
      <c r="M65" s="16"/>
      <c r="N65" s="16"/>
      <c r="O65" s="16"/>
      <c r="P65" s="16"/>
      <c r="Q65" s="16"/>
      <c r="R65" s="16"/>
      <c r="S65" s="18"/>
      <c r="T65" s="16"/>
      <c r="U65" s="16"/>
      <c r="V65" s="17" t="str">
        <f aca="false">IF(A65="","",IF(COUNTIF(Ref_TEST!$A$2:$A$201,B65)=0,"TEST-ID not in W10",IF(OR(F65="",G65="",H65="",I65="",J65=""),"Type, condition, criteria, cause, effect needed",IF(O65="","Severity needed",IF(AND(M65&lt;&gt;"",N65=""),"Compensating control test result needed",IF(AND(O65&lt;&gt;"Control deficiency",P65=""),"Assign to an aggregation group",IF(AND(U65&lt;&gt;"Draft",OR(Q65="",R65="",S65="")),"Response, owner and due date needed",IF(AND(U65="Closed",T65=""),"Closed requires a retest TEST-ID","OK"))))))))</f>
        <v/>
      </c>
    </row>
    <row r="66" customFormat="false" ht="15" hidden="false" customHeight="false" outlineLevel="0" collapsed="false">
      <c r="A66" s="16"/>
      <c r="B66" s="16"/>
      <c r="C66" s="17" t="str">
        <f aca="false">IFERROR(INDEX(Ref_TEST!$B$2:$B$201,MATCH(B66,Ref_TEST!$A$2:$A$201,0)),"")</f>
        <v/>
      </c>
      <c r="D66" s="17" t="str">
        <f aca="false">IFERROR(INDEX(Ref_TEST!$C$2:$C$201,MATCH(B66,Ref_TEST!$A$2:$A$201,0)),"")</f>
        <v/>
      </c>
      <c r="E66" s="17" t="str">
        <f aca="false">IFERROR(INDEX(Ref_TEST!$D$2:$D$201,MATCH(B66,Ref_TEST!$A$2:$A$201,0)),"")</f>
        <v/>
      </c>
      <c r="F66" s="16"/>
      <c r="G66" s="16"/>
      <c r="H66" s="16"/>
      <c r="I66" s="16"/>
      <c r="J66" s="16"/>
      <c r="K66" s="16"/>
      <c r="L66" s="16"/>
      <c r="M66" s="16"/>
      <c r="N66" s="16"/>
      <c r="O66" s="16"/>
      <c r="P66" s="16"/>
      <c r="Q66" s="16"/>
      <c r="R66" s="16"/>
      <c r="S66" s="18"/>
      <c r="T66" s="16"/>
      <c r="U66" s="16"/>
      <c r="V66" s="17" t="str">
        <f aca="false">IF(A66="","",IF(COUNTIF(Ref_TEST!$A$2:$A$201,B66)=0,"TEST-ID not in W10",IF(OR(F66="",G66="",H66="",I66="",J66=""),"Type, condition, criteria, cause, effect needed",IF(O66="","Severity needed",IF(AND(M66&lt;&gt;"",N66=""),"Compensating control test result needed",IF(AND(O66&lt;&gt;"Control deficiency",P66=""),"Assign to an aggregation group",IF(AND(U66&lt;&gt;"Draft",OR(Q66="",R66="",S66="")),"Response, owner and due date needed",IF(AND(U66="Closed",T66=""),"Closed requires a retest TEST-ID","OK"))))))))</f>
        <v/>
      </c>
    </row>
    <row r="67" customFormat="false" ht="15" hidden="false" customHeight="false" outlineLevel="0" collapsed="false">
      <c r="A67" s="16"/>
      <c r="B67" s="16"/>
      <c r="C67" s="17" t="str">
        <f aca="false">IFERROR(INDEX(Ref_TEST!$B$2:$B$201,MATCH(B67,Ref_TEST!$A$2:$A$201,0)),"")</f>
        <v/>
      </c>
      <c r="D67" s="17" t="str">
        <f aca="false">IFERROR(INDEX(Ref_TEST!$C$2:$C$201,MATCH(B67,Ref_TEST!$A$2:$A$201,0)),"")</f>
        <v/>
      </c>
      <c r="E67" s="17" t="str">
        <f aca="false">IFERROR(INDEX(Ref_TEST!$D$2:$D$201,MATCH(B67,Ref_TEST!$A$2:$A$201,0)),"")</f>
        <v/>
      </c>
      <c r="F67" s="16"/>
      <c r="G67" s="16"/>
      <c r="H67" s="16"/>
      <c r="I67" s="16"/>
      <c r="J67" s="16"/>
      <c r="K67" s="16"/>
      <c r="L67" s="16"/>
      <c r="M67" s="16"/>
      <c r="N67" s="16"/>
      <c r="O67" s="16"/>
      <c r="P67" s="16"/>
      <c r="Q67" s="16"/>
      <c r="R67" s="16"/>
      <c r="S67" s="18"/>
      <c r="T67" s="16"/>
      <c r="U67" s="16"/>
      <c r="V67" s="17" t="str">
        <f aca="false">IF(A67="","",IF(COUNTIF(Ref_TEST!$A$2:$A$201,B67)=0,"TEST-ID not in W10",IF(OR(F67="",G67="",H67="",I67="",J67=""),"Type, condition, criteria, cause, effect needed",IF(O67="","Severity needed",IF(AND(M67&lt;&gt;"",N67=""),"Compensating control test result needed",IF(AND(O67&lt;&gt;"Control deficiency",P67=""),"Assign to an aggregation group",IF(AND(U67&lt;&gt;"Draft",OR(Q67="",R67="",S67="")),"Response, owner and due date needed",IF(AND(U67="Closed",T67=""),"Closed requires a retest TEST-ID","OK"))))))))</f>
        <v/>
      </c>
    </row>
    <row r="68" customFormat="false" ht="15" hidden="false" customHeight="false" outlineLevel="0" collapsed="false">
      <c r="A68" s="16"/>
      <c r="B68" s="16"/>
      <c r="C68" s="17" t="str">
        <f aca="false">IFERROR(INDEX(Ref_TEST!$B$2:$B$201,MATCH(B68,Ref_TEST!$A$2:$A$201,0)),"")</f>
        <v/>
      </c>
      <c r="D68" s="17" t="str">
        <f aca="false">IFERROR(INDEX(Ref_TEST!$C$2:$C$201,MATCH(B68,Ref_TEST!$A$2:$A$201,0)),"")</f>
        <v/>
      </c>
      <c r="E68" s="17" t="str">
        <f aca="false">IFERROR(INDEX(Ref_TEST!$D$2:$D$201,MATCH(B68,Ref_TEST!$A$2:$A$201,0)),"")</f>
        <v/>
      </c>
      <c r="F68" s="16"/>
      <c r="G68" s="16"/>
      <c r="H68" s="16"/>
      <c r="I68" s="16"/>
      <c r="J68" s="16"/>
      <c r="K68" s="16"/>
      <c r="L68" s="16"/>
      <c r="M68" s="16"/>
      <c r="N68" s="16"/>
      <c r="O68" s="16"/>
      <c r="P68" s="16"/>
      <c r="Q68" s="16"/>
      <c r="R68" s="16"/>
      <c r="S68" s="18"/>
      <c r="T68" s="16"/>
      <c r="U68" s="16"/>
      <c r="V68" s="17" t="str">
        <f aca="false">IF(A68="","",IF(COUNTIF(Ref_TEST!$A$2:$A$201,B68)=0,"TEST-ID not in W10",IF(OR(F68="",G68="",H68="",I68="",J68=""),"Type, condition, criteria, cause, effect needed",IF(O68="","Severity needed",IF(AND(M68&lt;&gt;"",N68=""),"Compensating control test result needed",IF(AND(O68&lt;&gt;"Control deficiency",P68=""),"Assign to an aggregation group",IF(AND(U68&lt;&gt;"Draft",OR(Q68="",R68="",S68="")),"Response, owner and due date needed",IF(AND(U68="Closed",T68=""),"Closed requires a retest TEST-ID","OK"))))))))</f>
        <v/>
      </c>
    </row>
    <row r="69" customFormat="false" ht="15" hidden="false" customHeight="false" outlineLevel="0" collapsed="false">
      <c r="A69" s="16"/>
      <c r="B69" s="16"/>
      <c r="C69" s="17" t="str">
        <f aca="false">IFERROR(INDEX(Ref_TEST!$B$2:$B$201,MATCH(B69,Ref_TEST!$A$2:$A$201,0)),"")</f>
        <v/>
      </c>
      <c r="D69" s="17" t="str">
        <f aca="false">IFERROR(INDEX(Ref_TEST!$C$2:$C$201,MATCH(B69,Ref_TEST!$A$2:$A$201,0)),"")</f>
        <v/>
      </c>
      <c r="E69" s="17" t="str">
        <f aca="false">IFERROR(INDEX(Ref_TEST!$D$2:$D$201,MATCH(B69,Ref_TEST!$A$2:$A$201,0)),"")</f>
        <v/>
      </c>
      <c r="F69" s="16"/>
      <c r="G69" s="16"/>
      <c r="H69" s="16"/>
      <c r="I69" s="16"/>
      <c r="J69" s="16"/>
      <c r="K69" s="16"/>
      <c r="L69" s="16"/>
      <c r="M69" s="16"/>
      <c r="N69" s="16"/>
      <c r="O69" s="16"/>
      <c r="P69" s="16"/>
      <c r="Q69" s="16"/>
      <c r="R69" s="16"/>
      <c r="S69" s="18"/>
      <c r="T69" s="16"/>
      <c r="U69" s="16"/>
      <c r="V69" s="17" t="str">
        <f aca="false">IF(A69="","",IF(COUNTIF(Ref_TEST!$A$2:$A$201,B69)=0,"TEST-ID not in W10",IF(OR(F69="",G69="",H69="",I69="",J69=""),"Type, condition, criteria, cause, effect needed",IF(O69="","Severity needed",IF(AND(M69&lt;&gt;"",N69=""),"Compensating control test result needed",IF(AND(O69&lt;&gt;"Control deficiency",P69=""),"Assign to an aggregation group",IF(AND(U69&lt;&gt;"Draft",OR(Q69="",R69="",S69="")),"Response, owner and due date needed",IF(AND(U69="Closed",T69=""),"Closed requires a retest TEST-ID","OK"))))))))</f>
        <v/>
      </c>
    </row>
    <row r="70" customFormat="false" ht="15" hidden="false" customHeight="false" outlineLevel="0" collapsed="false">
      <c r="A70" s="16"/>
      <c r="B70" s="16"/>
      <c r="C70" s="17" t="str">
        <f aca="false">IFERROR(INDEX(Ref_TEST!$B$2:$B$201,MATCH(B70,Ref_TEST!$A$2:$A$201,0)),"")</f>
        <v/>
      </c>
      <c r="D70" s="17" t="str">
        <f aca="false">IFERROR(INDEX(Ref_TEST!$C$2:$C$201,MATCH(B70,Ref_TEST!$A$2:$A$201,0)),"")</f>
        <v/>
      </c>
      <c r="E70" s="17" t="str">
        <f aca="false">IFERROR(INDEX(Ref_TEST!$D$2:$D$201,MATCH(B70,Ref_TEST!$A$2:$A$201,0)),"")</f>
        <v/>
      </c>
      <c r="F70" s="16"/>
      <c r="G70" s="16"/>
      <c r="H70" s="16"/>
      <c r="I70" s="16"/>
      <c r="J70" s="16"/>
      <c r="K70" s="16"/>
      <c r="L70" s="16"/>
      <c r="M70" s="16"/>
      <c r="N70" s="16"/>
      <c r="O70" s="16"/>
      <c r="P70" s="16"/>
      <c r="Q70" s="16"/>
      <c r="R70" s="16"/>
      <c r="S70" s="18"/>
      <c r="T70" s="16"/>
      <c r="U70" s="16"/>
      <c r="V70" s="17" t="str">
        <f aca="false">IF(A70="","",IF(COUNTIF(Ref_TEST!$A$2:$A$201,B70)=0,"TEST-ID not in W10",IF(OR(F70="",G70="",H70="",I70="",J70=""),"Type, condition, criteria, cause, effect needed",IF(O70="","Severity needed",IF(AND(M70&lt;&gt;"",N70=""),"Compensating control test result needed",IF(AND(O70&lt;&gt;"Control deficiency",P70=""),"Assign to an aggregation group",IF(AND(U70&lt;&gt;"Draft",OR(Q70="",R70="",S70="")),"Response, owner and due date needed",IF(AND(U70="Closed",T70=""),"Closed requires a retest TEST-ID","OK"))))))))</f>
        <v/>
      </c>
    </row>
    <row r="71" customFormat="false" ht="15" hidden="false" customHeight="false" outlineLevel="0" collapsed="false">
      <c r="A71" s="16"/>
      <c r="B71" s="16"/>
      <c r="C71" s="17" t="str">
        <f aca="false">IFERROR(INDEX(Ref_TEST!$B$2:$B$201,MATCH(B71,Ref_TEST!$A$2:$A$201,0)),"")</f>
        <v/>
      </c>
      <c r="D71" s="17" t="str">
        <f aca="false">IFERROR(INDEX(Ref_TEST!$C$2:$C$201,MATCH(B71,Ref_TEST!$A$2:$A$201,0)),"")</f>
        <v/>
      </c>
      <c r="E71" s="17" t="str">
        <f aca="false">IFERROR(INDEX(Ref_TEST!$D$2:$D$201,MATCH(B71,Ref_TEST!$A$2:$A$201,0)),"")</f>
        <v/>
      </c>
      <c r="F71" s="16"/>
      <c r="G71" s="16"/>
      <c r="H71" s="16"/>
      <c r="I71" s="16"/>
      <c r="J71" s="16"/>
      <c r="K71" s="16"/>
      <c r="L71" s="16"/>
      <c r="M71" s="16"/>
      <c r="N71" s="16"/>
      <c r="O71" s="16"/>
      <c r="P71" s="16"/>
      <c r="Q71" s="16"/>
      <c r="R71" s="16"/>
      <c r="S71" s="18"/>
      <c r="T71" s="16"/>
      <c r="U71" s="16"/>
      <c r="V71" s="17" t="str">
        <f aca="false">IF(A71="","",IF(COUNTIF(Ref_TEST!$A$2:$A$201,B71)=0,"TEST-ID not in W10",IF(OR(F71="",G71="",H71="",I71="",J71=""),"Type, condition, criteria, cause, effect needed",IF(O71="","Severity needed",IF(AND(M71&lt;&gt;"",N71=""),"Compensating control test result needed",IF(AND(O71&lt;&gt;"Control deficiency",P71=""),"Assign to an aggregation group",IF(AND(U71&lt;&gt;"Draft",OR(Q71="",R71="",S71="")),"Response, owner and due date needed",IF(AND(U71="Closed",T71=""),"Closed requires a retest TEST-ID","OK"))))))))</f>
        <v/>
      </c>
    </row>
    <row r="72" customFormat="false" ht="15" hidden="false" customHeight="false" outlineLevel="0" collapsed="false">
      <c r="A72" s="16"/>
      <c r="B72" s="16"/>
      <c r="C72" s="17" t="str">
        <f aca="false">IFERROR(INDEX(Ref_TEST!$B$2:$B$201,MATCH(B72,Ref_TEST!$A$2:$A$201,0)),"")</f>
        <v/>
      </c>
      <c r="D72" s="17" t="str">
        <f aca="false">IFERROR(INDEX(Ref_TEST!$C$2:$C$201,MATCH(B72,Ref_TEST!$A$2:$A$201,0)),"")</f>
        <v/>
      </c>
      <c r="E72" s="17" t="str">
        <f aca="false">IFERROR(INDEX(Ref_TEST!$D$2:$D$201,MATCH(B72,Ref_TEST!$A$2:$A$201,0)),"")</f>
        <v/>
      </c>
      <c r="F72" s="16"/>
      <c r="G72" s="16"/>
      <c r="H72" s="16"/>
      <c r="I72" s="16"/>
      <c r="J72" s="16"/>
      <c r="K72" s="16"/>
      <c r="L72" s="16"/>
      <c r="M72" s="16"/>
      <c r="N72" s="16"/>
      <c r="O72" s="16"/>
      <c r="P72" s="16"/>
      <c r="Q72" s="16"/>
      <c r="R72" s="16"/>
      <c r="S72" s="18"/>
      <c r="T72" s="16"/>
      <c r="U72" s="16"/>
      <c r="V72" s="17" t="str">
        <f aca="false">IF(A72="","",IF(COUNTIF(Ref_TEST!$A$2:$A$201,B72)=0,"TEST-ID not in W10",IF(OR(F72="",G72="",H72="",I72="",J72=""),"Type, condition, criteria, cause, effect needed",IF(O72="","Severity needed",IF(AND(M72&lt;&gt;"",N72=""),"Compensating control test result needed",IF(AND(O72&lt;&gt;"Control deficiency",P72=""),"Assign to an aggregation group",IF(AND(U72&lt;&gt;"Draft",OR(Q72="",R72="",S72="")),"Response, owner and due date needed",IF(AND(U72="Closed",T72=""),"Closed requires a retest TEST-ID","OK"))))))))</f>
        <v/>
      </c>
    </row>
    <row r="73" customFormat="false" ht="15" hidden="false" customHeight="false" outlineLevel="0" collapsed="false">
      <c r="A73" s="16"/>
      <c r="B73" s="16"/>
      <c r="C73" s="17" t="str">
        <f aca="false">IFERROR(INDEX(Ref_TEST!$B$2:$B$201,MATCH(B73,Ref_TEST!$A$2:$A$201,0)),"")</f>
        <v/>
      </c>
      <c r="D73" s="17" t="str">
        <f aca="false">IFERROR(INDEX(Ref_TEST!$C$2:$C$201,MATCH(B73,Ref_TEST!$A$2:$A$201,0)),"")</f>
        <v/>
      </c>
      <c r="E73" s="17" t="str">
        <f aca="false">IFERROR(INDEX(Ref_TEST!$D$2:$D$201,MATCH(B73,Ref_TEST!$A$2:$A$201,0)),"")</f>
        <v/>
      </c>
      <c r="F73" s="16"/>
      <c r="G73" s="16"/>
      <c r="H73" s="16"/>
      <c r="I73" s="16"/>
      <c r="J73" s="16"/>
      <c r="K73" s="16"/>
      <c r="L73" s="16"/>
      <c r="M73" s="16"/>
      <c r="N73" s="16"/>
      <c r="O73" s="16"/>
      <c r="P73" s="16"/>
      <c r="Q73" s="16"/>
      <c r="R73" s="16"/>
      <c r="S73" s="18"/>
      <c r="T73" s="16"/>
      <c r="U73" s="16"/>
      <c r="V73" s="17" t="str">
        <f aca="false">IF(A73="","",IF(COUNTIF(Ref_TEST!$A$2:$A$201,B73)=0,"TEST-ID not in W10",IF(OR(F73="",G73="",H73="",I73="",J73=""),"Type, condition, criteria, cause, effect needed",IF(O73="","Severity needed",IF(AND(M73&lt;&gt;"",N73=""),"Compensating control test result needed",IF(AND(O73&lt;&gt;"Control deficiency",P73=""),"Assign to an aggregation group",IF(AND(U73&lt;&gt;"Draft",OR(Q73="",R73="",S73="")),"Response, owner and due date needed",IF(AND(U73="Closed",T73=""),"Closed requires a retest TEST-ID","OK"))))))))</f>
        <v/>
      </c>
    </row>
    <row r="74" customFormat="false" ht="15" hidden="false" customHeight="false" outlineLevel="0" collapsed="false">
      <c r="A74" s="16"/>
      <c r="B74" s="16"/>
      <c r="C74" s="17" t="str">
        <f aca="false">IFERROR(INDEX(Ref_TEST!$B$2:$B$201,MATCH(B74,Ref_TEST!$A$2:$A$201,0)),"")</f>
        <v/>
      </c>
      <c r="D74" s="17" t="str">
        <f aca="false">IFERROR(INDEX(Ref_TEST!$C$2:$C$201,MATCH(B74,Ref_TEST!$A$2:$A$201,0)),"")</f>
        <v/>
      </c>
      <c r="E74" s="17" t="str">
        <f aca="false">IFERROR(INDEX(Ref_TEST!$D$2:$D$201,MATCH(B74,Ref_TEST!$A$2:$A$201,0)),"")</f>
        <v/>
      </c>
      <c r="F74" s="16"/>
      <c r="G74" s="16"/>
      <c r="H74" s="16"/>
      <c r="I74" s="16"/>
      <c r="J74" s="16"/>
      <c r="K74" s="16"/>
      <c r="L74" s="16"/>
      <c r="M74" s="16"/>
      <c r="N74" s="16"/>
      <c r="O74" s="16"/>
      <c r="P74" s="16"/>
      <c r="Q74" s="16"/>
      <c r="R74" s="16"/>
      <c r="S74" s="18"/>
      <c r="T74" s="16"/>
      <c r="U74" s="16"/>
      <c r="V74" s="17" t="str">
        <f aca="false">IF(A74="","",IF(COUNTIF(Ref_TEST!$A$2:$A$201,B74)=0,"TEST-ID not in W10",IF(OR(F74="",G74="",H74="",I74="",J74=""),"Type, condition, criteria, cause, effect needed",IF(O74="","Severity needed",IF(AND(M74&lt;&gt;"",N74=""),"Compensating control test result needed",IF(AND(O74&lt;&gt;"Control deficiency",P74=""),"Assign to an aggregation group",IF(AND(U74&lt;&gt;"Draft",OR(Q74="",R74="",S74="")),"Response, owner and due date needed",IF(AND(U74="Closed",T74=""),"Closed requires a retest TEST-ID","OK"))))))))</f>
        <v/>
      </c>
    </row>
    <row r="75" customFormat="false" ht="15" hidden="false" customHeight="false" outlineLevel="0" collapsed="false">
      <c r="A75" s="16"/>
      <c r="B75" s="16"/>
      <c r="C75" s="17" t="str">
        <f aca="false">IFERROR(INDEX(Ref_TEST!$B$2:$B$201,MATCH(B75,Ref_TEST!$A$2:$A$201,0)),"")</f>
        <v/>
      </c>
      <c r="D75" s="17" t="str">
        <f aca="false">IFERROR(INDEX(Ref_TEST!$C$2:$C$201,MATCH(B75,Ref_TEST!$A$2:$A$201,0)),"")</f>
        <v/>
      </c>
      <c r="E75" s="17" t="str">
        <f aca="false">IFERROR(INDEX(Ref_TEST!$D$2:$D$201,MATCH(B75,Ref_TEST!$A$2:$A$201,0)),"")</f>
        <v/>
      </c>
      <c r="F75" s="16"/>
      <c r="G75" s="16"/>
      <c r="H75" s="16"/>
      <c r="I75" s="16"/>
      <c r="J75" s="16"/>
      <c r="K75" s="16"/>
      <c r="L75" s="16"/>
      <c r="M75" s="16"/>
      <c r="N75" s="16"/>
      <c r="O75" s="16"/>
      <c r="P75" s="16"/>
      <c r="Q75" s="16"/>
      <c r="R75" s="16"/>
      <c r="S75" s="18"/>
      <c r="T75" s="16"/>
      <c r="U75" s="16"/>
      <c r="V75" s="17" t="str">
        <f aca="false">IF(A75="","",IF(COUNTIF(Ref_TEST!$A$2:$A$201,B75)=0,"TEST-ID not in W10",IF(OR(F75="",G75="",H75="",I75="",J75=""),"Type, condition, criteria, cause, effect needed",IF(O75="","Severity needed",IF(AND(M75&lt;&gt;"",N75=""),"Compensating control test result needed",IF(AND(O75&lt;&gt;"Control deficiency",P75=""),"Assign to an aggregation group",IF(AND(U75&lt;&gt;"Draft",OR(Q75="",R75="",S75="")),"Response, owner and due date needed",IF(AND(U75="Closed",T75=""),"Closed requires a retest TEST-ID","OK"))))))))</f>
        <v/>
      </c>
    </row>
    <row r="76" customFormat="false" ht="15" hidden="false" customHeight="false" outlineLevel="0" collapsed="false">
      <c r="A76" s="16"/>
      <c r="B76" s="16"/>
      <c r="C76" s="17" t="str">
        <f aca="false">IFERROR(INDEX(Ref_TEST!$B$2:$B$201,MATCH(B76,Ref_TEST!$A$2:$A$201,0)),"")</f>
        <v/>
      </c>
      <c r="D76" s="17" t="str">
        <f aca="false">IFERROR(INDEX(Ref_TEST!$C$2:$C$201,MATCH(B76,Ref_TEST!$A$2:$A$201,0)),"")</f>
        <v/>
      </c>
      <c r="E76" s="17" t="str">
        <f aca="false">IFERROR(INDEX(Ref_TEST!$D$2:$D$201,MATCH(B76,Ref_TEST!$A$2:$A$201,0)),"")</f>
        <v/>
      </c>
      <c r="F76" s="16"/>
      <c r="G76" s="16"/>
      <c r="H76" s="16"/>
      <c r="I76" s="16"/>
      <c r="J76" s="16"/>
      <c r="K76" s="16"/>
      <c r="L76" s="16"/>
      <c r="M76" s="16"/>
      <c r="N76" s="16"/>
      <c r="O76" s="16"/>
      <c r="P76" s="16"/>
      <c r="Q76" s="16"/>
      <c r="R76" s="16"/>
      <c r="S76" s="18"/>
      <c r="T76" s="16"/>
      <c r="U76" s="16"/>
      <c r="V76" s="17" t="str">
        <f aca="false">IF(A76="","",IF(COUNTIF(Ref_TEST!$A$2:$A$201,B76)=0,"TEST-ID not in W10",IF(OR(F76="",G76="",H76="",I76="",J76=""),"Type, condition, criteria, cause, effect needed",IF(O76="","Severity needed",IF(AND(M76&lt;&gt;"",N76=""),"Compensating control test result needed",IF(AND(O76&lt;&gt;"Control deficiency",P76=""),"Assign to an aggregation group",IF(AND(U76&lt;&gt;"Draft",OR(Q76="",R76="",S76="")),"Response, owner and due date needed",IF(AND(U76="Closed",T76=""),"Closed requires a retest TEST-ID","OK"))))))))</f>
        <v/>
      </c>
    </row>
    <row r="77" customFormat="false" ht="15" hidden="false" customHeight="false" outlineLevel="0" collapsed="false">
      <c r="A77" s="16"/>
      <c r="B77" s="16"/>
      <c r="C77" s="17" t="str">
        <f aca="false">IFERROR(INDEX(Ref_TEST!$B$2:$B$201,MATCH(B77,Ref_TEST!$A$2:$A$201,0)),"")</f>
        <v/>
      </c>
      <c r="D77" s="17" t="str">
        <f aca="false">IFERROR(INDEX(Ref_TEST!$C$2:$C$201,MATCH(B77,Ref_TEST!$A$2:$A$201,0)),"")</f>
        <v/>
      </c>
      <c r="E77" s="17" t="str">
        <f aca="false">IFERROR(INDEX(Ref_TEST!$D$2:$D$201,MATCH(B77,Ref_TEST!$A$2:$A$201,0)),"")</f>
        <v/>
      </c>
      <c r="F77" s="16"/>
      <c r="G77" s="16"/>
      <c r="H77" s="16"/>
      <c r="I77" s="16"/>
      <c r="J77" s="16"/>
      <c r="K77" s="16"/>
      <c r="L77" s="16"/>
      <c r="M77" s="16"/>
      <c r="N77" s="16"/>
      <c r="O77" s="16"/>
      <c r="P77" s="16"/>
      <c r="Q77" s="16"/>
      <c r="R77" s="16"/>
      <c r="S77" s="18"/>
      <c r="T77" s="16"/>
      <c r="U77" s="16"/>
      <c r="V77" s="17" t="str">
        <f aca="false">IF(A77="","",IF(COUNTIF(Ref_TEST!$A$2:$A$201,B77)=0,"TEST-ID not in W10",IF(OR(F77="",G77="",H77="",I77="",J77=""),"Type, condition, criteria, cause, effect needed",IF(O77="","Severity needed",IF(AND(M77&lt;&gt;"",N77=""),"Compensating control test result needed",IF(AND(O77&lt;&gt;"Control deficiency",P77=""),"Assign to an aggregation group",IF(AND(U77&lt;&gt;"Draft",OR(Q77="",R77="",S77="")),"Response, owner and due date needed",IF(AND(U77="Closed",T77=""),"Closed requires a retest TEST-ID","OK"))))))))</f>
        <v/>
      </c>
    </row>
    <row r="78" customFormat="false" ht="15" hidden="false" customHeight="false" outlineLevel="0" collapsed="false">
      <c r="A78" s="16"/>
      <c r="B78" s="16"/>
      <c r="C78" s="17" t="str">
        <f aca="false">IFERROR(INDEX(Ref_TEST!$B$2:$B$201,MATCH(B78,Ref_TEST!$A$2:$A$201,0)),"")</f>
        <v/>
      </c>
      <c r="D78" s="17" t="str">
        <f aca="false">IFERROR(INDEX(Ref_TEST!$C$2:$C$201,MATCH(B78,Ref_TEST!$A$2:$A$201,0)),"")</f>
        <v/>
      </c>
      <c r="E78" s="17" t="str">
        <f aca="false">IFERROR(INDEX(Ref_TEST!$D$2:$D$201,MATCH(B78,Ref_TEST!$A$2:$A$201,0)),"")</f>
        <v/>
      </c>
      <c r="F78" s="16"/>
      <c r="G78" s="16"/>
      <c r="H78" s="16"/>
      <c r="I78" s="16"/>
      <c r="J78" s="16"/>
      <c r="K78" s="16"/>
      <c r="L78" s="16"/>
      <c r="M78" s="16"/>
      <c r="N78" s="16"/>
      <c r="O78" s="16"/>
      <c r="P78" s="16"/>
      <c r="Q78" s="16"/>
      <c r="R78" s="16"/>
      <c r="S78" s="18"/>
      <c r="T78" s="16"/>
      <c r="U78" s="16"/>
      <c r="V78" s="17" t="str">
        <f aca="false">IF(A78="","",IF(COUNTIF(Ref_TEST!$A$2:$A$201,B78)=0,"TEST-ID not in W10",IF(OR(F78="",G78="",H78="",I78="",J78=""),"Type, condition, criteria, cause, effect needed",IF(O78="","Severity needed",IF(AND(M78&lt;&gt;"",N78=""),"Compensating control test result needed",IF(AND(O78&lt;&gt;"Control deficiency",P78=""),"Assign to an aggregation group",IF(AND(U78&lt;&gt;"Draft",OR(Q78="",R78="",S78="")),"Response, owner and due date needed",IF(AND(U78="Closed",T78=""),"Closed requires a retest TEST-ID","OK"))))))))</f>
        <v/>
      </c>
    </row>
    <row r="79" customFormat="false" ht="15" hidden="false" customHeight="false" outlineLevel="0" collapsed="false">
      <c r="A79" s="16"/>
      <c r="B79" s="16"/>
      <c r="C79" s="17" t="str">
        <f aca="false">IFERROR(INDEX(Ref_TEST!$B$2:$B$201,MATCH(B79,Ref_TEST!$A$2:$A$201,0)),"")</f>
        <v/>
      </c>
      <c r="D79" s="17" t="str">
        <f aca="false">IFERROR(INDEX(Ref_TEST!$C$2:$C$201,MATCH(B79,Ref_TEST!$A$2:$A$201,0)),"")</f>
        <v/>
      </c>
      <c r="E79" s="17" t="str">
        <f aca="false">IFERROR(INDEX(Ref_TEST!$D$2:$D$201,MATCH(B79,Ref_TEST!$A$2:$A$201,0)),"")</f>
        <v/>
      </c>
      <c r="F79" s="16"/>
      <c r="G79" s="16"/>
      <c r="H79" s="16"/>
      <c r="I79" s="16"/>
      <c r="J79" s="16"/>
      <c r="K79" s="16"/>
      <c r="L79" s="16"/>
      <c r="M79" s="16"/>
      <c r="N79" s="16"/>
      <c r="O79" s="16"/>
      <c r="P79" s="16"/>
      <c r="Q79" s="16"/>
      <c r="R79" s="16"/>
      <c r="S79" s="18"/>
      <c r="T79" s="16"/>
      <c r="U79" s="16"/>
      <c r="V79" s="17" t="str">
        <f aca="false">IF(A79="","",IF(COUNTIF(Ref_TEST!$A$2:$A$201,B79)=0,"TEST-ID not in W10",IF(OR(F79="",G79="",H79="",I79="",J79=""),"Type, condition, criteria, cause, effect needed",IF(O79="","Severity needed",IF(AND(M79&lt;&gt;"",N79=""),"Compensating control test result needed",IF(AND(O79&lt;&gt;"Control deficiency",P79=""),"Assign to an aggregation group",IF(AND(U79&lt;&gt;"Draft",OR(Q79="",R79="",S79="")),"Response, owner and due date needed",IF(AND(U79="Closed",T79=""),"Closed requires a retest TEST-ID","OK"))))))))</f>
        <v/>
      </c>
    </row>
    <row r="80" customFormat="false" ht="15" hidden="false" customHeight="false" outlineLevel="0" collapsed="false">
      <c r="A80" s="16"/>
      <c r="B80" s="16"/>
      <c r="C80" s="17" t="str">
        <f aca="false">IFERROR(INDEX(Ref_TEST!$B$2:$B$201,MATCH(B80,Ref_TEST!$A$2:$A$201,0)),"")</f>
        <v/>
      </c>
      <c r="D80" s="17" t="str">
        <f aca="false">IFERROR(INDEX(Ref_TEST!$C$2:$C$201,MATCH(B80,Ref_TEST!$A$2:$A$201,0)),"")</f>
        <v/>
      </c>
      <c r="E80" s="17" t="str">
        <f aca="false">IFERROR(INDEX(Ref_TEST!$D$2:$D$201,MATCH(B80,Ref_TEST!$A$2:$A$201,0)),"")</f>
        <v/>
      </c>
      <c r="F80" s="16"/>
      <c r="G80" s="16"/>
      <c r="H80" s="16"/>
      <c r="I80" s="16"/>
      <c r="J80" s="16"/>
      <c r="K80" s="16"/>
      <c r="L80" s="16"/>
      <c r="M80" s="16"/>
      <c r="N80" s="16"/>
      <c r="O80" s="16"/>
      <c r="P80" s="16"/>
      <c r="Q80" s="16"/>
      <c r="R80" s="16"/>
      <c r="S80" s="18"/>
      <c r="T80" s="16"/>
      <c r="U80" s="16"/>
      <c r="V80" s="17" t="str">
        <f aca="false">IF(A80="","",IF(COUNTIF(Ref_TEST!$A$2:$A$201,B80)=0,"TEST-ID not in W10",IF(OR(F80="",G80="",H80="",I80="",J80=""),"Type, condition, criteria, cause, effect needed",IF(O80="","Severity needed",IF(AND(M80&lt;&gt;"",N80=""),"Compensating control test result needed",IF(AND(O80&lt;&gt;"Control deficiency",P80=""),"Assign to an aggregation group",IF(AND(U80&lt;&gt;"Draft",OR(Q80="",R80="",S80="")),"Response, owner and due date needed",IF(AND(U80="Closed",T80=""),"Closed requires a retest TEST-ID","OK"))))))))</f>
        <v/>
      </c>
    </row>
    <row r="81" customFormat="false" ht="15" hidden="false" customHeight="false" outlineLevel="0" collapsed="false">
      <c r="A81" s="16"/>
      <c r="B81" s="16"/>
      <c r="C81" s="17" t="str">
        <f aca="false">IFERROR(INDEX(Ref_TEST!$B$2:$B$201,MATCH(B81,Ref_TEST!$A$2:$A$201,0)),"")</f>
        <v/>
      </c>
      <c r="D81" s="17" t="str">
        <f aca="false">IFERROR(INDEX(Ref_TEST!$C$2:$C$201,MATCH(B81,Ref_TEST!$A$2:$A$201,0)),"")</f>
        <v/>
      </c>
      <c r="E81" s="17" t="str">
        <f aca="false">IFERROR(INDEX(Ref_TEST!$D$2:$D$201,MATCH(B81,Ref_TEST!$A$2:$A$201,0)),"")</f>
        <v/>
      </c>
      <c r="F81" s="16"/>
      <c r="G81" s="16"/>
      <c r="H81" s="16"/>
      <c r="I81" s="16"/>
      <c r="J81" s="16"/>
      <c r="K81" s="16"/>
      <c r="L81" s="16"/>
      <c r="M81" s="16"/>
      <c r="N81" s="16"/>
      <c r="O81" s="16"/>
      <c r="P81" s="16"/>
      <c r="Q81" s="16"/>
      <c r="R81" s="16"/>
      <c r="S81" s="18"/>
      <c r="T81" s="16"/>
      <c r="U81" s="16"/>
      <c r="V81" s="17" t="str">
        <f aca="false">IF(A81="","",IF(COUNTIF(Ref_TEST!$A$2:$A$201,B81)=0,"TEST-ID not in W10",IF(OR(F81="",G81="",H81="",I81="",J81=""),"Type, condition, criteria, cause, effect needed",IF(O81="","Severity needed",IF(AND(M81&lt;&gt;"",N81=""),"Compensating control test result needed",IF(AND(O81&lt;&gt;"Control deficiency",P81=""),"Assign to an aggregation group",IF(AND(U81&lt;&gt;"Draft",OR(Q81="",R81="",S81="")),"Response, owner and due date needed",IF(AND(U81="Closed",T81=""),"Closed requires a retest TEST-ID","OK"))))))))</f>
        <v/>
      </c>
    </row>
    <row r="82" customFormat="false" ht="15" hidden="false" customHeight="false" outlineLevel="0" collapsed="false">
      <c r="A82" s="16"/>
      <c r="B82" s="16"/>
      <c r="C82" s="17" t="str">
        <f aca="false">IFERROR(INDEX(Ref_TEST!$B$2:$B$201,MATCH(B82,Ref_TEST!$A$2:$A$201,0)),"")</f>
        <v/>
      </c>
      <c r="D82" s="17" t="str">
        <f aca="false">IFERROR(INDEX(Ref_TEST!$C$2:$C$201,MATCH(B82,Ref_TEST!$A$2:$A$201,0)),"")</f>
        <v/>
      </c>
      <c r="E82" s="17" t="str">
        <f aca="false">IFERROR(INDEX(Ref_TEST!$D$2:$D$201,MATCH(B82,Ref_TEST!$A$2:$A$201,0)),"")</f>
        <v/>
      </c>
      <c r="F82" s="16"/>
      <c r="G82" s="16"/>
      <c r="H82" s="16"/>
      <c r="I82" s="16"/>
      <c r="J82" s="16"/>
      <c r="K82" s="16"/>
      <c r="L82" s="16"/>
      <c r="M82" s="16"/>
      <c r="N82" s="16"/>
      <c r="O82" s="16"/>
      <c r="P82" s="16"/>
      <c r="Q82" s="16"/>
      <c r="R82" s="16"/>
      <c r="S82" s="18"/>
      <c r="T82" s="16"/>
      <c r="U82" s="16"/>
      <c r="V82" s="17" t="str">
        <f aca="false">IF(A82="","",IF(COUNTIF(Ref_TEST!$A$2:$A$201,B82)=0,"TEST-ID not in W10",IF(OR(F82="",G82="",H82="",I82="",J82=""),"Type, condition, criteria, cause, effect needed",IF(O82="","Severity needed",IF(AND(M82&lt;&gt;"",N82=""),"Compensating control test result needed",IF(AND(O82&lt;&gt;"Control deficiency",P82=""),"Assign to an aggregation group",IF(AND(U82&lt;&gt;"Draft",OR(Q82="",R82="",S82="")),"Response, owner and due date needed",IF(AND(U82="Closed",T82=""),"Closed requires a retest TEST-ID","OK"))))))))</f>
        <v/>
      </c>
    </row>
    <row r="83" customFormat="false" ht="15" hidden="false" customHeight="false" outlineLevel="0" collapsed="false">
      <c r="A83" s="16"/>
      <c r="B83" s="16"/>
      <c r="C83" s="17" t="str">
        <f aca="false">IFERROR(INDEX(Ref_TEST!$B$2:$B$201,MATCH(B83,Ref_TEST!$A$2:$A$201,0)),"")</f>
        <v/>
      </c>
      <c r="D83" s="17" t="str">
        <f aca="false">IFERROR(INDEX(Ref_TEST!$C$2:$C$201,MATCH(B83,Ref_TEST!$A$2:$A$201,0)),"")</f>
        <v/>
      </c>
      <c r="E83" s="17" t="str">
        <f aca="false">IFERROR(INDEX(Ref_TEST!$D$2:$D$201,MATCH(B83,Ref_TEST!$A$2:$A$201,0)),"")</f>
        <v/>
      </c>
      <c r="F83" s="16"/>
      <c r="G83" s="16"/>
      <c r="H83" s="16"/>
      <c r="I83" s="16"/>
      <c r="J83" s="16"/>
      <c r="K83" s="16"/>
      <c r="L83" s="16"/>
      <c r="M83" s="16"/>
      <c r="N83" s="16"/>
      <c r="O83" s="16"/>
      <c r="P83" s="16"/>
      <c r="Q83" s="16"/>
      <c r="R83" s="16"/>
      <c r="S83" s="18"/>
      <c r="T83" s="16"/>
      <c r="U83" s="16"/>
      <c r="V83" s="17" t="str">
        <f aca="false">IF(A83="","",IF(COUNTIF(Ref_TEST!$A$2:$A$201,B83)=0,"TEST-ID not in W10",IF(OR(F83="",G83="",H83="",I83="",J83=""),"Type, condition, criteria, cause, effect needed",IF(O83="","Severity needed",IF(AND(M83&lt;&gt;"",N83=""),"Compensating control test result needed",IF(AND(O83&lt;&gt;"Control deficiency",P83=""),"Assign to an aggregation group",IF(AND(U83&lt;&gt;"Draft",OR(Q83="",R83="",S83="")),"Response, owner and due date needed",IF(AND(U83="Closed",T83=""),"Closed requires a retest TEST-ID","OK"))))))))</f>
        <v/>
      </c>
    </row>
    <row r="84" customFormat="false" ht="15" hidden="false" customHeight="false" outlineLevel="0" collapsed="false">
      <c r="A84" s="16"/>
      <c r="B84" s="16"/>
      <c r="C84" s="17" t="str">
        <f aca="false">IFERROR(INDEX(Ref_TEST!$B$2:$B$201,MATCH(B84,Ref_TEST!$A$2:$A$201,0)),"")</f>
        <v/>
      </c>
      <c r="D84" s="17" t="str">
        <f aca="false">IFERROR(INDEX(Ref_TEST!$C$2:$C$201,MATCH(B84,Ref_TEST!$A$2:$A$201,0)),"")</f>
        <v/>
      </c>
      <c r="E84" s="17" t="str">
        <f aca="false">IFERROR(INDEX(Ref_TEST!$D$2:$D$201,MATCH(B84,Ref_TEST!$A$2:$A$201,0)),"")</f>
        <v/>
      </c>
      <c r="F84" s="16"/>
      <c r="G84" s="16"/>
      <c r="H84" s="16"/>
      <c r="I84" s="16"/>
      <c r="J84" s="16"/>
      <c r="K84" s="16"/>
      <c r="L84" s="16"/>
      <c r="M84" s="16"/>
      <c r="N84" s="16"/>
      <c r="O84" s="16"/>
      <c r="P84" s="16"/>
      <c r="Q84" s="16"/>
      <c r="R84" s="16"/>
      <c r="S84" s="18"/>
      <c r="T84" s="16"/>
      <c r="U84" s="16"/>
      <c r="V84" s="17" t="str">
        <f aca="false">IF(A84="","",IF(COUNTIF(Ref_TEST!$A$2:$A$201,B84)=0,"TEST-ID not in W10",IF(OR(F84="",G84="",H84="",I84="",J84=""),"Type, condition, criteria, cause, effect needed",IF(O84="","Severity needed",IF(AND(M84&lt;&gt;"",N84=""),"Compensating control test result needed",IF(AND(O84&lt;&gt;"Control deficiency",P84=""),"Assign to an aggregation group",IF(AND(U84&lt;&gt;"Draft",OR(Q84="",R84="",S84="")),"Response, owner and due date needed",IF(AND(U84="Closed",T84=""),"Closed requires a retest TEST-ID","OK"))))))))</f>
        <v/>
      </c>
    </row>
    <row r="85" customFormat="false" ht="15" hidden="false" customHeight="false" outlineLevel="0" collapsed="false">
      <c r="A85" s="16"/>
      <c r="B85" s="16"/>
      <c r="C85" s="17" t="str">
        <f aca="false">IFERROR(INDEX(Ref_TEST!$B$2:$B$201,MATCH(B85,Ref_TEST!$A$2:$A$201,0)),"")</f>
        <v/>
      </c>
      <c r="D85" s="17" t="str">
        <f aca="false">IFERROR(INDEX(Ref_TEST!$C$2:$C$201,MATCH(B85,Ref_TEST!$A$2:$A$201,0)),"")</f>
        <v/>
      </c>
      <c r="E85" s="17" t="str">
        <f aca="false">IFERROR(INDEX(Ref_TEST!$D$2:$D$201,MATCH(B85,Ref_TEST!$A$2:$A$201,0)),"")</f>
        <v/>
      </c>
      <c r="F85" s="16"/>
      <c r="G85" s="16"/>
      <c r="H85" s="16"/>
      <c r="I85" s="16"/>
      <c r="J85" s="16"/>
      <c r="K85" s="16"/>
      <c r="L85" s="16"/>
      <c r="M85" s="16"/>
      <c r="N85" s="16"/>
      <c r="O85" s="16"/>
      <c r="P85" s="16"/>
      <c r="Q85" s="16"/>
      <c r="R85" s="16"/>
      <c r="S85" s="18"/>
      <c r="T85" s="16"/>
      <c r="U85" s="16"/>
      <c r="V85" s="17" t="str">
        <f aca="false">IF(A85="","",IF(COUNTIF(Ref_TEST!$A$2:$A$201,B85)=0,"TEST-ID not in W10",IF(OR(F85="",G85="",H85="",I85="",J85=""),"Type, condition, criteria, cause, effect needed",IF(O85="","Severity needed",IF(AND(M85&lt;&gt;"",N85=""),"Compensating control test result needed",IF(AND(O85&lt;&gt;"Control deficiency",P85=""),"Assign to an aggregation group",IF(AND(U85&lt;&gt;"Draft",OR(Q85="",R85="",S85="")),"Response, owner and due date needed",IF(AND(U85="Closed",T85=""),"Closed requires a retest TEST-ID","OK"))))))))</f>
        <v/>
      </c>
    </row>
    <row r="86" customFormat="false" ht="15" hidden="false" customHeight="false" outlineLevel="0" collapsed="false">
      <c r="A86" s="16"/>
      <c r="B86" s="16"/>
      <c r="C86" s="17" t="str">
        <f aca="false">IFERROR(INDEX(Ref_TEST!$B$2:$B$201,MATCH(B86,Ref_TEST!$A$2:$A$201,0)),"")</f>
        <v/>
      </c>
      <c r="D86" s="17" t="str">
        <f aca="false">IFERROR(INDEX(Ref_TEST!$C$2:$C$201,MATCH(B86,Ref_TEST!$A$2:$A$201,0)),"")</f>
        <v/>
      </c>
      <c r="E86" s="17" t="str">
        <f aca="false">IFERROR(INDEX(Ref_TEST!$D$2:$D$201,MATCH(B86,Ref_TEST!$A$2:$A$201,0)),"")</f>
        <v/>
      </c>
      <c r="F86" s="16"/>
      <c r="G86" s="16"/>
      <c r="H86" s="16"/>
      <c r="I86" s="16"/>
      <c r="J86" s="16"/>
      <c r="K86" s="16"/>
      <c r="L86" s="16"/>
      <c r="M86" s="16"/>
      <c r="N86" s="16"/>
      <c r="O86" s="16"/>
      <c r="P86" s="16"/>
      <c r="Q86" s="16"/>
      <c r="R86" s="16"/>
      <c r="S86" s="18"/>
      <c r="T86" s="16"/>
      <c r="U86" s="16"/>
      <c r="V86" s="17" t="str">
        <f aca="false">IF(A86="","",IF(COUNTIF(Ref_TEST!$A$2:$A$201,B86)=0,"TEST-ID not in W10",IF(OR(F86="",G86="",H86="",I86="",J86=""),"Type, condition, criteria, cause, effect needed",IF(O86="","Severity needed",IF(AND(M86&lt;&gt;"",N86=""),"Compensating control test result needed",IF(AND(O86&lt;&gt;"Control deficiency",P86=""),"Assign to an aggregation group",IF(AND(U86&lt;&gt;"Draft",OR(Q86="",R86="",S86="")),"Response, owner and due date needed",IF(AND(U86="Closed",T86=""),"Closed requires a retest TEST-ID","OK"))))))))</f>
        <v/>
      </c>
    </row>
    <row r="87" customFormat="false" ht="15" hidden="false" customHeight="false" outlineLevel="0" collapsed="false">
      <c r="A87" s="16"/>
      <c r="B87" s="16"/>
      <c r="C87" s="17" t="str">
        <f aca="false">IFERROR(INDEX(Ref_TEST!$B$2:$B$201,MATCH(B87,Ref_TEST!$A$2:$A$201,0)),"")</f>
        <v/>
      </c>
      <c r="D87" s="17" t="str">
        <f aca="false">IFERROR(INDEX(Ref_TEST!$C$2:$C$201,MATCH(B87,Ref_TEST!$A$2:$A$201,0)),"")</f>
        <v/>
      </c>
      <c r="E87" s="17" t="str">
        <f aca="false">IFERROR(INDEX(Ref_TEST!$D$2:$D$201,MATCH(B87,Ref_TEST!$A$2:$A$201,0)),"")</f>
        <v/>
      </c>
      <c r="F87" s="16"/>
      <c r="G87" s="16"/>
      <c r="H87" s="16"/>
      <c r="I87" s="16"/>
      <c r="J87" s="16"/>
      <c r="K87" s="16"/>
      <c r="L87" s="16"/>
      <c r="M87" s="16"/>
      <c r="N87" s="16"/>
      <c r="O87" s="16"/>
      <c r="P87" s="16"/>
      <c r="Q87" s="16"/>
      <c r="R87" s="16"/>
      <c r="S87" s="18"/>
      <c r="T87" s="16"/>
      <c r="U87" s="16"/>
      <c r="V87" s="17" t="str">
        <f aca="false">IF(A87="","",IF(COUNTIF(Ref_TEST!$A$2:$A$201,B87)=0,"TEST-ID not in W10",IF(OR(F87="",G87="",H87="",I87="",J87=""),"Type, condition, criteria, cause, effect needed",IF(O87="","Severity needed",IF(AND(M87&lt;&gt;"",N87=""),"Compensating control test result needed",IF(AND(O87&lt;&gt;"Control deficiency",P87=""),"Assign to an aggregation group",IF(AND(U87&lt;&gt;"Draft",OR(Q87="",R87="",S87="")),"Response, owner and due date needed",IF(AND(U87="Closed",T87=""),"Closed requires a retest TEST-ID","OK"))))))))</f>
        <v/>
      </c>
    </row>
    <row r="88" customFormat="false" ht="15" hidden="false" customHeight="false" outlineLevel="0" collapsed="false">
      <c r="A88" s="16"/>
      <c r="B88" s="16"/>
      <c r="C88" s="17" t="str">
        <f aca="false">IFERROR(INDEX(Ref_TEST!$B$2:$B$201,MATCH(B88,Ref_TEST!$A$2:$A$201,0)),"")</f>
        <v/>
      </c>
      <c r="D88" s="17" t="str">
        <f aca="false">IFERROR(INDEX(Ref_TEST!$C$2:$C$201,MATCH(B88,Ref_TEST!$A$2:$A$201,0)),"")</f>
        <v/>
      </c>
      <c r="E88" s="17" t="str">
        <f aca="false">IFERROR(INDEX(Ref_TEST!$D$2:$D$201,MATCH(B88,Ref_TEST!$A$2:$A$201,0)),"")</f>
        <v/>
      </c>
      <c r="F88" s="16"/>
      <c r="G88" s="16"/>
      <c r="H88" s="16"/>
      <c r="I88" s="16"/>
      <c r="J88" s="16"/>
      <c r="K88" s="16"/>
      <c r="L88" s="16"/>
      <c r="M88" s="16"/>
      <c r="N88" s="16"/>
      <c r="O88" s="16"/>
      <c r="P88" s="16"/>
      <c r="Q88" s="16"/>
      <c r="R88" s="16"/>
      <c r="S88" s="18"/>
      <c r="T88" s="16"/>
      <c r="U88" s="16"/>
      <c r="V88" s="17" t="str">
        <f aca="false">IF(A88="","",IF(COUNTIF(Ref_TEST!$A$2:$A$201,B88)=0,"TEST-ID not in W10",IF(OR(F88="",G88="",H88="",I88="",J88=""),"Type, condition, criteria, cause, effect needed",IF(O88="","Severity needed",IF(AND(M88&lt;&gt;"",N88=""),"Compensating control test result needed",IF(AND(O88&lt;&gt;"Control deficiency",P88=""),"Assign to an aggregation group",IF(AND(U88&lt;&gt;"Draft",OR(Q88="",R88="",S88="")),"Response, owner and due date needed",IF(AND(U88="Closed",T88=""),"Closed requires a retest TEST-ID","OK"))))))))</f>
        <v/>
      </c>
    </row>
    <row r="89" customFormat="false" ht="15" hidden="false" customHeight="false" outlineLevel="0" collapsed="false">
      <c r="A89" s="16"/>
      <c r="B89" s="16"/>
      <c r="C89" s="17" t="str">
        <f aca="false">IFERROR(INDEX(Ref_TEST!$B$2:$B$201,MATCH(B89,Ref_TEST!$A$2:$A$201,0)),"")</f>
        <v/>
      </c>
      <c r="D89" s="17" t="str">
        <f aca="false">IFERROR(INDEX(Ref_TEST!$C$2:$C$201,MATCH(B89,Ref_TEST!$A$2:$A$201,0)),"")</f>
        <v/>
      </c>
      <c r="E89" s="17" t="str">
        <f aca="false">IFERROR(INDEX(Ref_TEST!$D$2:$D$201,MATCH(B89,Ref_TEST!$A$2:$A$201,0)),"")</f>
        <v/>
      </c>
      <c r="F89" s="16"/>
      <c r="G89" s="16"/>
      <c r="H89" s="16"/>
      <c r="I89" s="16"/>
      <c r="J89" s="16"/>
      <c r="K89" s="16"/>
      <c r="L89" s="16"/>
      <c r="M89" s="16"/>
      <c r="N89" s="16"/>
      <c r="O89" s="16"/>
      <c r="P89" s="16"/>
      <c r="Q89" s="16"/>
      <c r="R89" s="16"/>
      <c r="S89" s="18"/>
      <c r="T89" s="16"/>
      <c r="U89" s="16"/>
      <c r="V89" s="17" t="str">
        <f aca="false">IF(A89="","",IF(COUNTIF(Ref_TEST!$A$2:$A$201,B89)=0,"TEST-ID not in W10",IF(OR(F89="",G89="",H89="",I89="",J89=""),"Type, condition, criteria, cause, effect needed",IF(O89="","Severity needed",IF(AND(M89&lt;&gt;"",N89=""),"Compensating control test result needed",IF(AND(O89&lt;&gt;"Control deficiency",P89=""),"Assign to an aggregation group",IF(AND(U89&lt;&gt;"Draft",OR(Q89="",R89="",S89="")),"Response, owner and due date needed",IF(AND(U89="Closed",T89=""),"Closed requires a retest TEST-ID","OK"))))))))</f>
        <v/>
      </c>
    </row>
    <row r="90" customFormat="false" ht="15" hidden="false" customHeight="false" outlineLevel="0" collapsed="false">
      <c r="A90" s="16"/>
      <c r="B90" s="16"/>
      <c r="C90" s="17" t="str">
        <f aca="false">IFERROR(INDEX(Ref_TEST!$B$2:$B$201,MATCH(B90,Ref_TEST!$A$2:$A$201,0)),"")</f>
        <v/>
      </c>
      <c r="D90" s="17" t="str">
        <f aca="false">IFERROR(INDEX(Ref_TEST!$C$2:$C$201,MATCH(B90,Ref_TEST!$A$2:$A$201,0)),"")</f>
        <v/>
      </c>
      <c r="E90" s="17" t="str">
        <f aca="false">IFERROR(INDEX(Ref_TEST!$D$2:$D$201,MATCH(B90,Ref_TEST!$A$2:$A$201,0)),"")</f>
        <v/>
      </c>
      <c r="F90" s="16"/>
      <c r="G90" s="16"/>
      <c r="H90" s="16"/>
      <c r="I90" s="16"/>
      <c r="J90" s="16"/>
      <c r="K90" s="16"/>
      <c r="L90" s="16"/>
      <c r="M90" s="16"/>
      <c r="N90" s="16"/>
      <c r="O90" s="16"/>
      <c r="P90" s="16"/>
      <c r="Q90" s="16"/>
      <c r="R90" s="16"/>
      <c r="S90" s="18"/>
      <c r="T90" s="16"/>
      <c r="U90" s="16"/>
      <c r="V90" s="17" t="str">
        <f aca="false">IF(A90="","",IF(COUNTIF(Ref_TEST!$A$2:$A$201,B90)=0,"TEST-ID not in W10",IF(OR(F90="",G90="",H90="",I90="",J90=""),"Type, condition, criteria, cause, effect needed",IF(O90="","Severity needed",IF(AND(M90&lt;&gt;"",N90=""),"Compensating control test result needed",IF(AND(O90&lt;&gt;"Control deficiency",P90=""),"Assign to an aggregation group",IF(AND(U90&lt;&gt;"Draft",OR(Q90="",R90="",S90="")),"Response, owner and due date needed",IF(AND(U90="Closed",T90=""),"Closed requires a retest TEST-ID","OK"))))))))</f>
        <v/>
      </c>
    </row>
    <row r="91" customFormat="false" ht="15" hidden="false" customHeight="false" outlineLevel="0" collapsed="false">
      <c r="A91" s="16"/>
      <c r="B91" s="16"/>
      <c r="C91" s="17" t="str">
        <f aca="false">IFERROR(INDEX(Ref_TEST!$B$2:$B$201,MATCH(B91,Ref_TEST!$A$2:$A$201,0)),"")</f>
        <v/>
      </c>
      <c r="D91" s="17" t="str">
        <f aca="false">IFERROR(INDEX(Ref_TEST!$C$2:$C$201,MATCH(B91,Ref_TEST!$A$2:$A$201,0)),"")</f>
        <v/>
      </c>
      <c r="E91" s="17" t="str">
        <f aca="false">IFERROR(INDEX(Ref_TEST!$D$2:$D$201,MATCH(B91,Ref_TEST!$A$2:$A$201,0)),"")</f>
        <v/>
      </c>
      <c r="F91" s="16"/>
      <c r="G91" s="16"/>
      <c r="H91" s="16"/>
      <c r="I91" s="16"/>
      <c r="J91" s="16"/>
      <c r="K91" s="16"/>
      <c r="L91" s="16"/>
      <c r="M91" s="16"/>
      <c r="N91" s="16"/>
      <c r="O91" s="16"/>
      <c r="P91" s="16"/>
      <c r="Q91" s="16"/>
      <c r="R91" s="16"/>
      <c r="S91" s="18"/>
      <c r="T91" s="16"/>
      <c r="U91" s="16"/>
      <c r="V91" s="17" t="str">
        <f aca="false">IF(A91="","",IF(COUNTIF(Ref_TEST!$A$2:$A$201,B91)=0,"TEST-ID not in W10",IF(OR(F91="",G91="",H91="",I91="",J91=""),"Type, condition, criteria, cause, effect needed",IF(O91="","Severity needed",IF(AND(M91&lt;&gt;"",N91=""),"Compensating control test result needed",IF(AND(O91&lt;&gt;"Control deficiency",P91=""),"Assign to an aggregation group",IF(AND(U91&lt;&gt;"Draft",OR(Q91="",R91="",S91="")),"Response, owner and due date needed",IF(AND(U91="Closed",T91=""),"Closed requires a retest TEST-ID","OK"))))))))</f>
        <v/>
      </c>
    </row>
    <row r="92" customFormat="false" ht="15" hidden="false" customHeight="false" outlineLevel="0" collapsed="false">
      <c r="A92" s="16"/>
      <c r="B92" s="16"/>
      <c r="C92" s="17" t="str">
        <f aca="false">IFERROR(INDEX(Ref_TEST!$B$2:$B$201,MATCH(B92,Ref_TEST!$A$2:$A$201,0)),"")</f>
        <v/>
      </c>
      <c r="D92" s="17" t="str">
        <f aca="false">IFERROR(INDEX(Ref_TEST!$C$2:$C$201,MATCH(B92,Ref_TEST!$A$2:$A$201,0)),"")</f>
        <v/>
      </c>
      <c r="E92" s="17" t="str">
        <f aca="false">IFERROR(INDEX(Ref_TEST!$D$2:$D$201,MATCH(B92,Ref_TEST!$A$2:$A$201,0)),"")</f>
        <v/>
      </c>
      <c r="F92" s="16"/>
      <c r="G92" s="16"/>
      <c r="H92" s="16"/>
      <c r="I92" s="16"/>
      <c r="J92" s="16"/>
      <c r="K92" s="16"/>
      <c r="L92" s="16"/>
      <c r="M92" s="16"/>
      <c r="N92" s="16"/>
      <c r="O92" s="16"/>
      <c r="P92" s="16"/>
      <c r="Q92" s="16"/>
      <c r="R92" s="16"/>
      <c r="S92" s="18"/>
      <c r="T92" s="16"/>
      <c r="U92" s="16"/>
      <c r="V92" s="17" t="str">
        <f aca="false">IF(A92="","",IF(COUNTIF(Ref_TEST!$A$2:$A$201,B92)=0,"TEST-ID not in W10",IF(OR(F92="",G92="",H92="",I92="",J92=""),"Type, condition, criteria, cause, effect needed",IF(O92="","Severity needed",IF(AND(M92&lt;&gt;"",N92=""),"Compensating control test result needed",IF(AND(O92&lt;&gt;"Control deficiency",P92=""),"Assign to an aggregation group",IF(AND(U92&lt;&gt;"Draft",OR(Q92="",R92="",S92="")),"Response, owner and due date needed",IF(AND(U92="Closed",T92=""),"Closed requires a retest TEST-ID","OK"))))))))</f>
        <v/>
      </c>
    </row>
    <row r="93" customFormat="false" ht="15" hidden="false" customHeight="false" outlineLevel="0" collapsed="false">
      <c r="A93" s="16"/>
      <c r="B93" s="16"/>
      <c r="C93" s="17" t="str">
        <f aca="false">IFERROR(INDEX(Ref_TEST!$B$2:$B$201,MATCH(B93,Ref_TEST!$A$2:$A$201,0)),"")</f>
        <v/>
      </c>
      <c r="D93" s="17" t="str">
        <f aca="false">IFERROR(INDEX(Ref_TEST!$C$2:$C$201,MATCH(B93,Ref_TEST!$A$2:$A$201,0)),"")</f>
        <v/>
      </c>
      <c r="E93" s="17" t="str">
        <f aca="false">IFERROR(INDEX(Ref_TEST!$D$2:$D$201,MATCH(B93,Ref_TEST!$A$2:$A$201,0)),"")</f>
        <v/>
      </c>
      <c r="F93" s="16"/>
      <c r="G93" s="16"/>
      <c r="H93" s="16"/>
      <c r="I93" s="16"/>
      <c r="J93" s="16"/>
      <c r="K93" s="16"/>
      <c r="L93" s="16"/>
      <c r="M93" s="16"/>
      <c r="N93" s="16"/>
      <c r="O93" s="16"/>
      <c r="P93" s="16"/>
      <c r="Q93" s="16"/>
      <c r="R93" s="16"/>
      <c r="S93" s="18"/>
      <c r="T93" s="16"/>
      <c r="U93" s="16"/>
      <c r="V93" s="17" t="str">
        <f aca="false">IF(A93="","",IF(COUNTIF(Ref_TEST!$A$2:$A$201,B93)=0,"TEST-ID not in W10",IF(OR(F93="",G93="",H93="",I93="",J93=""),"Type, condition, criteria, cause, effect needed",IF(O93="","Severity needed",IF(AND(M93&lt;&gt;"",N93=""),"Compensating control test result needed",IF(AND(O93&lt;&gt;"Control deficiency",P93=""),"Assign to an aggregation group",IF(AND(U93&lt;&gt;"Draft",OR(Q93="",R93="",S93="")),"Response, owner and due date needed",IF(AND(U93="Closed",T93=""),"Closed requires a retest TEST-ID","OK"))))))))</f>
        <v/>
      </c>
    </row>
    <row r="94" customFormat="false" ht="15" hidden="false" customHeight="false" outlineLevel="0" collapsed="false">
      <c r="A94" s="16"/>
      <c r="B94" s="16"/>
      <c r="C94" s="17" t="str">
        <f aca="false">IFERROR(INDEX(Ref_TEST!$B$2:$B$201,MATCH(B94,Ref_TEST!$A$2:$A$201,0)),"")</f>
        <v/>
      </c>
      <c r="D94" s="17" t="str">
        <f aca="false">IFERROR(INDEX(Ref_TEST!$C$2:$C$201,MATCH(B94,Ref_TEST!$A$2:$A$201,0)),"")</f>
        <v/>
      </c>
      <c r="E94" s="17" t="str">
        <f aca="false">IFERROR(INDEX(Ref_TEST!$D$2:$D$201,MATCH(B94,Ref_TEST!$A$2:$A$201,0)),"")</f>
        <v/>
      </c>
      <c r="F94" s="16"/>
      <c r="G94" s="16"/>
      <c r="H94" s="16"/>
      <c r="I94" s="16"/>
      <c r="J94" s="16"/>
      <c r="K94" s="16"/>
      <c r="L94" s="16"/>
      <c r="M94" s="16"/>
      <c r="N94" s="16"/>
      <c r="O94" s="16"/>
      <c r="P94" s="16"/>
      <c r="Q94" s="16"/>
      <c r="R94" s="16"/>
      <c r="S94" s="18"/>
      <c r="T94" s="16"/>
      <c r="U94" s="16"/>
      <c r="V94" s="17" t="str">
        <f aca="false">IF(A94="","",IF(COUNTIF(Ref_TEST!$A$2:$A$201,B94)=0,"TEST-ID not in W10",IF(OR(F94="",G94="",H94="",I94="",J94=""),"Type, condition, criteria, cause, effect needed",IF(O94="","Severity needed",IF(AND(M94&lt;&gt;"",N94=""),"Compensating control test result needed",IF(AND(O94&lt;&gt;"Control deficiency",P94=""),"Assign to an aggregation group",IF(AND(U94&lt;&gt;"Draft",OR(Q94="",R94="",S94="")),"Response, owner and due date needed",IF(AND(U94="Closed",T94=""),"Closed requires a retest TEST-ID","OK"))))))))</f>
        <v/>
      </c>
    </row>
    <row r="95" customFormat="false" ht="15" hidden="false" customHeight="false" outlineLevel="0" collapsed="false">
      <c r="A95" s="16"/>
      <c r="B95" s="16"/>
      <c r="C95" s="17" t="str">
        <f aca="false">IFERROR(INDEX(Ref_TEST!$B$2:$B$201,MATCH(B95,Ref_TEST!$A$2:$A$201,0)),"")</f>
        <v/>
      </c>
      <c r="D95" s="17" t="str">
        <f aca="false">IFERROR(INDEX(Ref_TEST!$C$2:$C$201,MATCH(B95,Ref_TEST!$A$2:$A$201,0)),"")</f>
        <v/>
      </c>
      <c r="E95" s="17" t="str">
        <f aca="false">IFERROR(INDEX(Ref_TEST!$D$2:$D$201,MATCH(B95,Ref_TEST!$A$2:$A$201,0)),"")</f>
        <v/>
      </c>
      <c r="F95" s="16"/>
      <c r="G95" s="16"/>
      <c r="H95" s="16"/>
      <c r="I95" s="16"/>
      <c r="J95" s="16"/>
      <c r="K95" s="16"/>
      <c r="L95" s="16"/>
      <c r="M95" s="16"/>
      <c r="N95" s="16"/>
      <c r="O95" s="16"/>
      <c r="P95" s="16"/>
      <c r="Q95" s="16"/>
      <c r="R95" s="16"/>
      <c r="S95" s="18"/>
      <c r="T95" s="16"/>
      <c r="U95" s="16"/>
      <c r="V95" s="17" t="str">
        <f aca="false">IF(A95="","",IF(COUNTIF(Ref_TEST!$A$2:$A$201,B95)=0,"TEST-ID not in W10",IF(OR(F95="",G95="",H95="",I95="",J95=""),"Type, condition, criteria, cause, effect needed",IF(O95="","Severity needed",IF(AND(M95&lt;&gt;"",N95=""),"Compensating control test result needed",IF(AND(O95&lt;&gt;"Control deficiency",P95=""),"Assign to an aggregation group",IF(AND(U95&lt;&gt;"Draft",OR(Q95="",R95="",S95="")),"Response, owner and due date needed",IF(AND(U95="Closed",T95=""),"Closed requires a retest TEST-ID","OK"))))))))</f>
        <v/>
      </c>
    </row>
    <row r="96" customFormat="false" ht="15" hidden="false" customHeight="false" outlineLevel="0" collapsed="false">
      <c r="A96" s="16"/>
      <c r="B96" s="16"/>
      <c r="C96" s="17" t="str">
        <f aca="false">IFERROR(INDEX(Ref_TEST!$B$2:$B$201,MATCH(B96,Ref_TEST!$A$2:$A$201,0)),"")</f>
        <v/>
      </c>
      <c r="D96" s="17" t="str">
        <f aca="false">IFERROR(INDEX(Ref_TEST!$C$2:$C$201,MATCH(B96,Ref_TEST!$A$2:$A$201,0)),"")</f>
        <v/>
      </c>
      <c r="E96" s="17" t="str">
        <f aca="false">IFERROR(INDEX(Ref_TEST!$D$2:$D$201,MATCH(B96,Ref_TEST!$A$2:$A$201,0)),"")</f>
        <v/>
      </c>
      <c r="F96" s="16"/>
      <c r="G96" s="16"/>
      <c r="H96" s="16"/>
      <c r="I96" s="16"/>
      <c r="J96" s="16"/>
      <c r="K96" s="16"/>
      <c r="L96" s="16"/>
      <c r="M96" s="16"/>
      <c r="N96" s="16"/>
      <c r="O96" s="16"/>
      <c r="P96" s="16"/>
      <c r="Q96" s="16"/>
      <c r="R96" s="16"/>
      <c r="S96" s="18"/>
      <c r="T96" s="16"/>
      <c r="U96" s="16"/>
      <c r="V96" s="17" t="str">
        <f aca="false">IF(A96="","",IF(COUNTIF(Ref_TEST!$A$2:$A$201,B96)=0,"TEST-ID not in W10",IF(OR(F96="",G96="",H96="",I96="",J96=""),"Type, condition, criteria, cause, effect needed",IF(O96="","Severity needed",IF(AND(M96&lt;&gt;"",N96=""),"Compensating control test result needed",IF(AND(O96&lt;&gt;"Control deficiency",P96=""),"Assign to an aggregation group",IF(AND(U96&lt;&gt;"Draft",OR(Q96="",R96="",S96="")),"Response, owner and due date needed",IF(AND(U96="Closed",T96=""),"Closed requires a retest TEST-ID","OK"))))))))</f>
        <v/>
      </c>
    </row>
    <row r="97" customFormat="false" ht="15" hidden="false" customHeight="false" outlineLevel="0" collapsed="false">
      <c r="A97" s="16"/>
      <c r="B97" s="16"/>
      <c r="C97" s="17" t="str">
        <f aca="false">IFERROR(INDEX(Ref_TEST!$B$2:$B$201,MATCH(B97,Ref_TEST!$A$2:$A$201,0)),"")</f>
        <v/>
      </c>
      <c r="D97" s="17" t="str">
        <f aca="false">IFERROR(INDEX(Ref_TEST!$C$2:$C$201,MATCH(B97,Ref_TEST!$A$2:$A$201,0)),"")</f>
        <v/>
      </c>
      <c r="E97" s="17" t="str">
        <f aca="false">IFERROR(INDEX(Ref_TEST!$D$2:$D$201,MATCH(B97,Ref_TEST!$A$2:$A$201,0)),"")</f>
        <v/>
      </c>
      <c r="F97" s="16"/>
      <c r="G97" s="16"/>
      <c r="H97" s="16"/>
      <c r="I97" s="16"/>
      <c r="J97" s="16"/>
      <c r="K97" s="16"/>
      <c r="L97" s="16"/>
      <c r="M97" s="16"/>
      <c r="N97" s="16"/>
      <c r="O97" s="16"/>
      <c r="P97" s="16"/>
      <c r="Q97" s="16"/>
      <c r="R97" s="16"/>
      <c r="S97" s="18"/>
      <c r="T97" s="16"/>
      <c r="U97" s="16"/>
      <c r="V97" s="17" t="str">
        <f aca="false">IF(A97="","",IF(COUNTIF(Ref_TEST!$A$2:$A$201,B97)=0,"TEST-ID not in W10",IF(OR(F97="",G97="",H97="",I97="",J97=""),"Type, condition, criteria, cause, effect needed",IF(O97="","Severity needed",IF(AND(M97&lt;&gt;"",N97=""),"Compensating control test result needed",IF(AND(O97&lt;&gt;"Control deficiency",P97=""),"Assign to an aggregation group",IF(AND(U97&lt;&gt;"Draft",OR(Q97="",R97="",S97="")),"Response, owner and due date needed",IF(AND(U97="Closed",T97=""),"Closed requires a retest TEST-ID","OK"))))))))</f>
        <v/>
      </c>
    </row>
    <row r="98" customFormat="false" ht="15" hidden="false" customHeight="false" outlineLevel="0" collapsed="false">
      <c r="A98" s="16"/>
      <c r="B98" s="16"/>
      <c r="C98" s="17" t="str">
        <f aca="false">IFERROR(INDEX(Ref_TEST!$B$2:$B$201,MATCH(B98,Ref_TEST!$A$2:$A$201,0)),"")</f>
        <v/>
      </c>
      <c r="D98" s="17" t="str">
        <f aca="false">IFERROR(INDEX(Ref_TEST!$C$2:$C$201,MATCH(B98,Ref_TEST!$A$2:$A$201,0)),"")</f>
        <v/>
      </c>
      <c r="E98" s="17" t="str">
        <f aca="false">IFERROR(INDEX(Ref_TEST!$D$2:$D$201,MATCH(B98,Ref_TEST!$A$2:$A$201,0)),"")</f>
        <v/>
      </c>
      <c r="F98" s="16"/>
      <c r="G98" s="16"/>
      <c r="H98" s="16"/>
      <c r="I98" s="16"/>
      <c r="J98" s="16"/>
      <c r="K98" s="16"/>
      <c r="L98" s="16"/>
      <c r="M98" s="16"/>
      <c r="N98" s="16"/>
      <c r="O98" s="16"/>
      <c r="P98" s="16"/>
      <c r="Q98" s="16"/>
      <c r="R98" s="16"/>
      <c r="S98" s="18"/>
      <c r="T98" s="16"/>
      <c r="U98" s="16"/>
      <c r="V98" s="17" t="str">
        <f aca="false">IF(A98="","",IF(COUNTIF(Ref_TEST!$A$2:$A$201,B98)=0,"TEST-ID not in W10",IF(OR(F98="",G98="",H98="",I98="",J98=""),"Type, condition, criteria, cause, effect needed",IF(O98="","Severity needed",IF(AND(M98&lt;&gt;"",N98=""),"Compensating control test result needed",IF(AND(O98&lt;&gt;"Control deficiency",P98=""),"Assign to an aggregation group",IF(AND(U98&lt;&gt;"Draft",OR(Q98="",R98="",S98="")),"Response, owner and due date needed",IF(AND(U98="Closed",T98=""),"Closed requires a retest TEST-ID","OK"))))))))</f>
        <v/>
      </c>
    </row>
    <row r="99" customFormat="false" ht="15" hidden="false" customHeight="false" outlineLevel="0" collapsed="false">
      <c r="A99" s="16"/>
      <c r="B99" s="16"/>
      <c r="C99" s="17" t="str">
        <f aca="false">IFERROR(INDEX(Ref_TEST!$B$2:$B$201,MATCH(B99,Ref_TEST!$A$2:$A$201,0)),"")</f>
        <v/>
      </c>
      <c r="D99" s="17" t="str">
        <f aca="false">IFERROR(INDEX(Ref_TEST!$C$2:$C$201,MATCH(B99,Ref_TEST!$A$2:$A$201,0)),"")</f>
        <v/>
      </c>
      <c r="E99" s="17" t="str">
        <f aca="false">IFERROR(INDEX(Ref_TEST!$D$2:$D$201,MATCH(B99,Ref_TEST!$A$2:$A$201,0)),"")</f>
        <v/>
      </c>
      <c r="F99" s="16"/>
      <c r="G99" s="16"/>
      <c r="H99" s="16"/>
      <c r="I99" s="16"/>
      <c r="J99" s="16"/>
      <c r="K99" s="16"/>
      <c r="L99" s="16"/>
      <c r="M99" s="16"/>
      <c r="N99" s="16"/>
      <c r="O99" s="16"/>
      <c r="P99" s="16"/>
      <c r="Q99" s="16"/>
      <c r="R99" s="16"/>
      <c r="S99" s="18"/>
      <c r="T99" s="16"/>
      <c r="U99" s="16"/>
      <c r="V99" s="17" t="str">
        <f aca="false">IF(A99="","",IF(COUNTIF(Ref_TEST!$A$2:$A$201,B99)=0,"TEST-ID not in W10",IF(OR(F99="",G99="",H99="",I99="",J99=""),"Type, condition, criteria, cause, effect needed",IF(O99="","Severity needed",IF(AND(M99&lt;&gt;"",N99=""),"Compensating control test result needed",IF(AND(O99&lt;&gt;"Control deficiency",P99=""),"Assign to an aggregation group",IF(AND(U99&lt;&gt;"Draft",OR(Q99="",R99="",S99="")),"Response, owner and due date needed",IF(AND(U99="Closed",T99=""),"Closed requires a retest TEST-ID","OK"))))))))</f>
        <v/>
      </c>
    </row>
    <row r="100" customFormat="false" ht="15" hidden="false" customHeight="false" outlineLevel="0" collapsed="false">
      <c r="A100" s="16"/>
      <c r="B100" s="16"/>
      <c r="C100" s="17" t="str">
        <f aca="false">IFERROR(INDEX(Ref_TEST!$B$2:$B$201,MATCH(B100,Ref_TEST!$A$2:$A$201,0)),"")</f>
        <v/>
      </c>
      <c r="D100" s="17" t="str">
        <f aca="false">IFERROR(INDEX(Ref_TEST!$C$2:$C$201,MATCH(B100,Ref_TEST!$A$2:$A$201,0)),"")</f>
        <v/>
      </c>
      <c r="E100" s="17" t="str">
        <f aca="false">IFERROR(INDEX(Ref_TEST!$D$2:$D$201,MATCH(B100,Ref_TEST!$A$2:$A$201,0)),"")</f>
        <v/>
      </c>
      <c r="F100" s="16"/>
      <c r="G100" s="16"/>
      <c r="H100" s="16"/>
      <c r="I100" s="16"/>
      <c r="J100" s="16"/>
      <c r="K100" s="16"/>
      <c r="L100" s="16"/>
      <c r="M100" s="16"/>
      <c r="N100" s="16"/>
      <c r="O100" s="16"/>
      <c r="P100" s="16"/>
      <c r="Q100" s="16"/>
      <c r="R100" s="16"/>
      <c r="S100" s="18"/>
      <c r="T100" s="16"/>
      <c r="U100" s="16"/>
      <c r="V100" s="17" t="str">
        <f aca="false">IF(A100="","",IF(COUNTIF(Ref_TEST!$A$2:$A$201,B100)=0,"TEST-ID not in W10",IF(OR(F100="",G100="",H100="",I100="",J100=""),"Type, condition, criteria, cause, effect needed",IF(O100="","Severity needed",IF(AND(M100&lt;&gt;"",N100=""),"Compensating control test result needed",IF(AND(O100&lt;&gt;"Control deficiency",P100=""),"Assign to an aggregation group",IF(AND(U100&lt;&gt;"Draft",OR(Q100="",R100="",S100="")),"Response, owner and due date needed",IF(AND(U100="Closed",T100=""),"Closed requires a retest TEST-ID","OK"))))))))</f>
        <v/>
      </c>
    </row>
    <row r="101" customFormat="false" ht="15" hidden="false" customHeight="false" outlineLevel="0" collapsed="false">
      <c r="A101" s="16"/>
      <c r="B101" s="16"/>
      <c r="C101" s="17" t="str">
        <f aca="false">IFERROR(INDEX(Ref_TEST!$B$2:$B$201,MATCH(B101,Ref_TEST!$A$2:$A$201,0)),"")</f>
        <v/>
      </c>
      <c r="D101" s="17" t="str">
        <f aca="false">IFERROR(INDEX(Ref_TEST!$C$2:$C$201,MATCH(B101,Ref_TEST!$A$2:$A$201,0)),"")</f>
        <v/>
      </c>
      <c r="E101" s="17" t="str">
        <f aca="false">IFERROR(INDEX(Ref_TEST!$D$2:$D$201,MATCH(B101,Ref_TEST!$A$2:$A$201,0)),"")</f>
        <v/>
      </c>
      <c r="F101" s="16"/>
      <c r="G101" s="16"/>
      <c r="H101" s="16"/>
      <c r="I101" s="16"/>
      <c r="J101" s="16"/>
      <c r="K101" s="16"/>
      <c r="L101" s="16"/>
      <c r="M101" s="16"/>
      <c r="N101" s="16"/>
      <c r="O101" s="16"/>
      <c r="P101" s="16"/>
      <c r="Q101" s="16"/>
      <c r="R101" s="16"/>
      <c r="S101" s="18"/>
      <c r="T101" s="16"/>
      <c r="U101" s="16"/>
      <c r="V101" s="17" t="str">
        <f aca="false">IF(A101="","",IF(COUNTIF(Ref_TEST!$A$2:$A$201,B101)=0,"TEST-ID not in W10",IF(OR(F101="",G101="",H101="",I101="",J101=""),"Type, condition, criteria, cause, effect needed",IF(O101="","Severity needed",IF(AND(M101&lt;&gt;"",N101=""),"Compensating control test result needed",IF(AND(O101&lt;&gt;"Control deficiency",P101=""),"Assign to an aggregation group",IF(AND(U101&lt;&gt;"Draft",OR(Q101="",R101="",S101="")),"Response, owner and due date needed",IF(AND(U101="Closed",T101=""),"Closed requires a retest TEST-ID","OK"))))))))</f>
        <v/>
      </c>
    </row>
    <row r="102" customFormat="false" ht="15" hidden="false" customHeight="false" outlineLevel="0" collapsed="false">
      <c r="A102" s="16"/>
      <c r="B102" s="16"/>
      <c r="C102" s="17" t="str">
        <f aca="false">IFERROR(INDEX(Ref_TEST!$B$2:$B$201,MATCH(B102,Ref_TEST!$A$2:$A$201,0)),"")</f>
        <v/>
      </c>
      <c r="D102" s="17" t="str">
        <f aca="false">IFERROR(INDEX(Ref_TEST!$C$2:$C$201,MATCH(B102,Ref_TEST!$A$2:$A$201,0)),"")</f>
        <v/>
      </c>
      <c r="E102" s="17" t="str">
        <f aca="false">IFERROR(INDEX(Ref_TEST!$D$2:$D$201,MATCH(B102,Ref_TEST!$A$2:$A$201,0)),"")</f>
        <v/>
      </c>
      <c r="F102" s="16"/>
      <c r="G102" s="16"/>
      <c r="H102" s="16"/>
      <c r="I102" s="16"/>
      <c r="J102" s="16"/>
      <c r="K102" s="16"/>
      <c r="L102" s="16"/>
      <c r="M102" s="16"/>
      <c r="N102" s="16"/>
      <c r="O102" s="16"/>
      <c r="P102" s="16"/>
      <c r="Q102" s="16"/>
      <c r="R102" s="16"/>
      <c r="S102" s="18"/>
      <c r="T102" s="16"/>
      <c r="U102" s="16"/>
      <c r="V102" s="17" t="str">
        <f aca="false">IF(A102="","",IF(COUNTIF(Ref_TEST!$A$2:$A$201,B102)=0,"TEST-ID not in W10",IF(OR(F102="",G102="",H102="",I102="",J102=""),"Type, condition, criteria, cause, effect needed",IF(O102="","Severity needed",IF(AND(M102&lt;&gt;"",N102=""),"Compensating control test result needed",IF(AND(O102&lt;&gt;"Control deficiency",P102=""),"Assign to an aggregation group",IF(AND(U102&lt;&gt;"Draft",OR(Q102="",R102="",S102="")),"Response, owner and due date needed",IF(AND(U102="Closed",T102=""),"Closed requires a retest TEST-ID","OK"))))))))</f>
        <v/>
      </c>
    </row>
    <row r="103" customFormat="false" ht="15" hidden="false" customHeight="false" outlineLevel="0" collapsed="false">
      <c r="A103" s="16"/>
      <c r="B103" s="16"/>
      <c r="C103" s="17" t="str">
        <f aca="false">IFERROR(INDEX(Ref_TEST!$B$2:$B$201,MATCH(B103,Ref_TEST!$A$2:$A$201,0)),"")</f>
        <v/>
      </c>
      <c r="D103" s="17" t="str">
        <f aca="false">IFERROR(INDEX(Ref_TEST!$C$2:$C$201,MATCH(B103,Ref_TEST!$A$2:$A$201,0)),"")</f>
        <v/>
      </c>
      <c r="E103" s="17" t="str">
        <f aca="false">IFERROR(INDEX(Ref_TEST!$D$2:$D$201,MATCH(B103,Ref_TEST!$A$2:$A$201,0)),"")</f>
        <v/>
      </c>
      <c r="F103" s="16"/>
      <c r="G103" s="16"/>
      <c r="H103" s="16"/>
      <c r="I103" s="16"/>
      <c r="J103" s="16"/>
      <c r="K103" s="16"/>
      <c r="L103" s="16"/>
      <c r="M103" s="16"/>
      <c r="N103" s="16"/>
      <c r="O103" s="16"/>
      <c r="P103" s="16"/>
      <c r="Q103" s="16"/>
      <c r="R103" s="16"/>
      <c r="S103" s="18"/>
      <c r="T103" s="16"/>
      <c r="U103" s="16"/>
      <c r="V103" s="17" t="str">
        <f aca="false">IF(A103="","",IF(COUNTIF(Ref_TEST!$A$2:$A$201,B103)=0,"TEST-ID not in W10",IF(OR(F103="",G103="",H103="",I103="",J103=""),"Type, condition, criteria, cause, effect needed",IF(O103="","Severity needed",IF(AND(M103&lt;&gt;"",N103=""),"Compensating control test result needed",IF(AND(O103&lt;&gt;"Control deficiency",P103=""),"Assign to an aggregation group",IF(AND(U103&lt;&gt;"Draft",OR(Q103="",R103="",S103="")),"Response, owner and due date needed",IF(AND(U103="Closed",T103=""),"Closed requires a retest TEST-ID","OK"))))))))</f>
        <v/>
      </c>
    </row>
    <row r="104" customFormat="false" ht="15" hidden="false" customHeight="false" outlineLevel="0" collapsed="false">
      <c r="A104" s="16"/>
      <c r="B104" s="16"/>
      <c r="C104" s="17" t="str">
        <f aca="false">IFERROR(INDEX(Ref_TEST!$B$2:$B$201,MATCH(B104,Ref_TEST!$A$2:$A$201,0)),"")</f>
        <v/>
      </c>
      <c r="D104" s="17" t="str">
        <f aca="false">IFERROR(INDEX(Ref_TEST!$C$2:$C$201,MATCH(B104,Ref_TEST!$A$2:$A$201,0)),"")</f>
        <v/>
      </c>
      <c r="E104" s="17" t="str">
        <f aca="false">IFERROR(INDEX(Ref_TEST!$D$2:$D$201,MATCH(B104,Ref_TEST!$A$2:$A$201,0)),"")</f>
        <v/>
      </c>
      <c r="F104" s="16"/>
      <c r="G104" s="16"/>
      <c r="H104" s="16"/>
      <c r="I104" s="16"/>
      <c r="J104" s="16"/>
      <c r="K104" s="16"/>
      <c r="L104" s="16"/>
      <c r="M104" s="16"/>
      <c r="N104" s="16"/>
      <c r="O104" s="16"/>
      <c r="P104" s="16"/>
      <c r="Q104" s="16"/>
      <c r="R104" s="16"/>
      <c r="S104" s="18"/>
      <c r="T104" s="16"/>
      <c r="U104" s="16"/>
      <c r="V104" s="17" t="str">
        <f aca="false">IF(A104="","",IF(COUNTIF(Ref_TEST!$A$2:$A$201,B104)=0,"TEST-ID not in W10",IF(OR(F104="",G104="",H104="",I104="",J104=""),"Type, condition, criteria, cause, effect needed",IF(O104="","Severity needed",IF(AND(M104&lt;&gt;"",N104=""),"Compensating control test result needed",IF(AND(O104&lt;&gt;"Control deficiency",P104=""),"Assign to an aggregation group",IF(AND(U104&lt;&gt;"Draft",OR(Q104="",R104="",S104="")),"Response, owner and due date needed",IF(AND(U104="Closed",T104=""),"Closed requires a retest TEST-ID","OK"))))))))</f>
        <v/>
      </c>
    </row>
    <row r="105" customFormat="false" ht="15" hidden="false" customHeight="false" outlineLevel="0" collapsed="false">
      <c r="A105" s="16"/>
      <c r="B105" s="16"/>
      <c r="C105" s="17" t="str">
        <f aca="false">IFERROR(INDEX(Ref_TEST!$B$2:$B$201,MATCH(B105,Ref_TEST!$A$2:$A$201,0)),"")</f>
        <v/>
      </c>
      <c r="D105" s="17" t="str">
        <f aca="false">IFERROR(INDEX(Ref_TEST!$C$2:$C$201,MATCH(B105,Ref_TEST!$A$2:$A$201,0)),"")</f>
        <v/>
      </c>
      <c r="E105" s="17" t="str">
        <f aca="false">IFERROR(INDEX(Ref_TEST!$D$2:$D$201,MATCH(B105,Ref_TEST!$A$2:$A$201,0)),"")</f>
        <v/>
      </c>
      <c r="F105" s="16"/>
      <c r="G105" s="16"/>
      <c r="H105" s="16"/>
      <c r="I105" s="16"/>
      <c r="J105" s="16"/>
      <c r="K105" s="16"/>
      <c r="L105" s="16"/>
      <c r="M105" s="16"/>
      <c r="N105" s="16"/>
      <c r="O105" s="16"/>
      <c r="P105" s="16"/>
      <c r="Q105" s="16"/>
      <c r="R105" s="16"/>
      <c r="S105" s="18"/>
      <c r="T105" s="16"/>
      <c r="U105" s="16"/>
      <c r="V105" s="17" t="str">
        <f aca="false">IF(A105="","",IF(COUNTIF(Ref_TEST!$A$2:$A$201,B105)=0,"TEST-ID not in W10",IF(OR(F105="",G105="",H105="",I105="",J105=""),"Type, condition, criteria, cause, effect needed",IF(O105="","Severity needed",IF(AND(M105&lt;&gt;"",N105=""),"Compensating control test result needed",IF(AND(O105&lt;&gt;"Control deficiency",P105=""),"Assign to an aggregation group",IF(AND(U105&lt;&gt;"Draft",OR(Q105="",R105="",S105="")),"Response, owner and due date needed",IF(AND(U105="Closed",T105=""),"Closed requires a retest TEST-ID","OK"))))))))</f>
        <v/>
      </c>
    </row>
    <row r="106" customFormat="false" ht="15" hidden="false" customHeight="false" outlineLevel="0" collapsed="false">
      <c r="A106" s="16"/>
      <c r="B106" s="16"/>
      <c r="C106" s="17" t="str">
        <f aca="false">IFERROR(INDEX(Ref_TEST!$B$2:$B$201,MATCH(B106,Ref_TEST!$A$2:$A$201,0)),"")</f>
        <v/>
      </c>
      <c r="D106" s="17" t="str">
        <f aca="false">IFERROR(INDEX(Ref_TEST!$C$2:$C$201,MATCH(B106,Ref_TEST!$A$2:$A$201,0)),"")</f>
        <v/>
      </c>
      <c r="E106" s="17" t="str">
        <f aca="false">IFERROR(INDEX(Ref_TEST!$D$2:$D$201,MATCH(B106,Ref_TEST!$A$2:$A$201,0)),"")</f>
        <v/>
      </c>
      <c r="F106" s="16"/>
      <c r="G106" s="16"/>
      <c r="H106" s="16"/>
      <c r="I106" s="16"/>
      <c r="J106" s="16"/>
      <c r="K106" s="16"/>
      <c r="L106" s="16"/>
      <c r="M106" s="16"/>
      <c r="N106" s="16"/>
      <c r="O106" s="16"/>
      <c r="P106" s="16"/>
      <c r="Q106" s="16"/>
      <c r="R106" s="16"/>
      <c r="S106" s="18"/>
      <c r="T106" s="16"/>
      <c r="U106" s="16"/>
      <c r="V106" s="17" t="str">
        <f aca="false">IF(A106="","",IF(COUNTIF(Ref_TEST!$A$2:$A$201,B106)=0,"TEST-ID not in W10",IF(OR(F106="",G106="",H106="",I106="",J106=""),"Type, condition, criteria, cause, effect needed",IF(O106="","Severity needed",IF(AND(M106&lt;&gt;"",N106=""),"Compensating control test result needed",IF(AND(O106&lt;&gt;"Control deficiency",P106=""),"Assign to an aggregation group",IF(AND(U106&lt;&gt;"Draft",OR(Q106="",R106="",S106="")),"Response, owner and due date needed",IF(AND(U106="Closed",T106=""),"Closed requires a retest TEST-ID","OK"))))))))</f>
        <v/>
      </c>
    </row>
    <row r="107" customFormat="false" ht="15" hidden="false" customHeight="false" outlineLevel="0" collapsed="false">
      <c r="A107" s="16"/>
      <c r="B107" s="16"/>
      <c r="C107" s="17" t="str">
        <f aca="false">IFERROR(INDEX(Ref_TEST!$B$2:$B$201,MATCH(B107,Ref_TEST!$A$2:$A$201,0)),"")</f>
        <v/>
      </c>
      <c r="D107" s="17" t="str">
        <f aca="false">IFERROR(INDEX(Ref_TEST!$C$2:$C$201,MATCH(B107,Ref_TEST!$A$2:$A$201,0)),"")</f>
        <v/>
      </c>
      <c r="E107" s="17" t="str">
        <f aca="false">IFERROR(INDEX(Ref_TEST!$D$2:$D$201,MATCH(B107,Ref_TEST!$A$2:$A$201,0)),"")</f>
        <v/>
      </c>
      <c r="F107" s="16"/>
      <c r="G107" s="16"/>
      <c r="H107" s="16"/>
      <c r="I107" s="16"/>
      <c r="J107" s="16"/>
      <c r="K107" s="16"/>
      <c r="L107" s="16"/>
      <c r="M107" s="16"/>
      <c r="N107" s="16"/>
      <c r="O107" s="16"/>
      <c r="P107" s="16"/>
      <c r="Q107" s="16"/>
      <c r="R107" s="16"/>
      <c r="S107" s="18"/>
      <c r="T107" s="16"/>
      <c r="U107" s="16"/>
      <c r="V107" s="17" t="str">
        <f aca="false">IF(A107="","",IF(COUNTIF(Ref_TEST!$A$2:$A$201,B107)=0,"TEST-ID not in W10",IF(OR(F107="",G107="",H107="",I107="",J107=""),"Type, condition, criteria, cause, effect needed",IF(O107="","Severity needed",IF(AND(M107&lt;&gt;"",N107=""),"Compensating control test result needed",IF(AND(O107&lt;&gt;"Control deficiency",P107=""),"Assign to an aggregation group",IF(AND(U107&lt;&gt;"Draft",OR(Q107="",R107="",S107="")),"Response, owner and due date needed",IF(AND(U107="Closed",T107=""),"Closed requires a retest TEST-ID","OK"))))))))</f>
        <v/>
      </c>
    </row>
    <row r="108" customFormat="false" ht="15" hidden="false" customHeight="false" outlineLevel="0" collapsed="false">
      <c r="A108" s="16"/>
      <c r="B108" s="16"/>
      <c r="C108" s="17" t="str">
        <f aca="false">IFERROR(INDEX(Ref_TEST!$B$2:$B$201,MATCH(B108,Ref_TEST!$A$2:$A$201,0)),"")</f>
        <v/>
      </c>
      <c r="D108" s="17" t="str">
        <f aca="false">IFERROR(INDEX(Ref_TEST!$C$2:$C$201,MATCH(B108,Ref_TEST!$A$2:$A$201,0)),"")</f>
        <v/>
      </c>
      <c r="E108" s="17" t="str">
        <f aca="false">IFERROR(INDEX(Ref_TEST!$D$2:$D$201,MATCH(B108,Ref_TEST!$A$2:$A$201,0)),"")</f>
        <v/>
      </c>
      <c r="F108" s="16"/>
      <c r="G108" s="16"/>
      <c r="H108" s="16"/>
      <c r="I108" s="16"/>
      <c r="J108" s="16"/>
      <c r="K108" s="16"/>
      <c r="L108" s="16"/>
      <c r="M108" s="16"/>
      <c r="N108" s="16"/>
      <c r="O108" s="16"/>
      <c r="P108" s="16"/>
      <c r="Q108" s="16"/>
      <c r="R108" s="16"/>
      <c r="S108" s="18"/>
      <c r="T108" s="16"/>
      <c r="U108" s="16"/>
      <c r="V108" s="17" t="str">
        <f aca="false">IF(A108="","",IF(COUNTIF(Ref_TEST!$A$2:$A$201,B108)=0,"TEST-ID not in W10",IF(OR(F108="",G108="",H108="",I108="",J108=""),"Type, condition, criteria, cause, effect needed",IF(O108="","Severity needed",IF(AND(M108&lt;&gt;"",N108=""),"Compensating control test result needed",IF(AND(O108&lt;&gt;"Control deficiency",P108=""),"Assign to an aggregation group",IF(AND(U108&lt;&gt;"Draft",OR(Q108="",R108="",S108="")),"Response, owner and due date needed",IF(AND(U108="Closed",T108=""),"Closed requires a retest TEST-ID","OK"))))))))</f>
        <v/>
      </c>
    </row>
    <row r="109" customFormat="false" ht="15" hidden="false" customHeight="false" outlineLevel="0" collapsed="false">
      <c r="A109" s="16"/>
      <c r="B109" s="16"/>
      <c r="C109" s="17" t="str">
        <f aca="false">IFERROR(INDEX(Ref_TEST!$B$2:$B$201,MATCH(B109,Ref_TEST!$A$2:$A$201,0)),"")</f>
        <v/>
      </c>
      <c r="D109" s="17" t="str">
        <f aca="false">IFERROR(INDEX(Ref_TEST!$C$2:$C$201,MATCH(B109,Ref_TEST!$A$2:$A$201,0)),"")</f>
        <v/>
      </c>
      <c r="E109" s="17" t="str">
        <f aca="false">IFERROR(INDEX(Ref_TEST!$D$2:$D$201,MATCH(B109,Ref_TEST!$A$2:$A$201,0)),"")</f>
        <v/>
      </c>
      <c r="F109" s="16"/>
      <c r="G109" s="16"/>
      <c r="H109" s="16"/>
      <c r="I109" s="16"/>
      <c r="J109" s="16"/>
      <c r="K109" s="16"/>
      <c r="L109" s="16"/>
      <c r="M109" s="16"/>
      <c r="N109" s="16"/>
      <c r="O109" s="16"/>
      <c r="P109" s="16"/>
      <c r="Q109" s="16"/>
      <c r="R109" s="16"/>
      <c r="S109" s="18"/>
      <c r="T109" s="16"/>
      <c r="U109" s="16"/>
      <c r="V109" s="17" t="str">
        <f aca="false">IF(A109="","",IF(COUNTIF(Ref_TEST!$A$2:$A$201,B109)=0,"TEST-ID not in W10",IF(OR(F109="",G109="",H109="",I109="",J109=""),"Type, condition, criteria, cause, effect needed",IF(O109="","Severity needed",IF(AND(M109&lt;&gt;"",N109=""),"Compensating control test result needed",IF(AND(O109&lt;&gt;"Control deficiency",P109=""),"Assign to an aggregation group",IF(AND(U109&lt;&gt;"Draft",OR(Q109="",R109="",S109="")),"Response, owner and due date needed",IF(AND(U109="Closed",T109=""),"Closed requires a retest TEST-ID","OK"))))))))</f>
        <v/>
      </c>
    </row>
    <row r="110" customFormat="false" ht="15" hidden="false" customHeight="false" outlineLevel="0" collapsed="false">
      <c r="A110" s="16"/>
      <c r="B110" s="16"/>
      <c r="C110" s="17" t="str">
        <f aca="false">IFERROR(INDEX(Ref_TEST!$B$2:$B$201,MATCH(B110,Ref_TEST!$A$2:$A$201,0)),"")</f>
        <v/>
      </c>
      <c r="D110" s="17" t="str">
        <f aca="false">IFERROR(INDEX(Ref_TEST!$C$2:$C$201,MATCH(B110,Ref_TEST!$A$2:$A$201,0)),"")</f>
        <v/>
      </c>
      <c r="E110" s="17" t="str">
        <f aca="false">IFERROR(INDEX(Ref_TEST!$D$2:$D$201,MATCH(B110,Ref_TEST!$A$2:$A$201,0)),"")</f>
        <v/>
      </c>
      <c r="F110" s="16"/>
      <c r="G110" s="16"/>
      <c r="H110" s="16"/>
      <c r="I110" s="16"/>
      <c r="J110" s="16"/>
      <c r="K110" s="16"/>
      <c r="L110" s="16"/>
      <c r="M110" s="16"/>
      <c r="N110" s="16"/>
      <c r="O110" s="16"/>
      <c r="P110" s="16"/>
      <c r="Q110" s="16"/>
      <c r="R110" s="16"/>
      <c r="S110" s="18"/>
      <c r="T110" s="16"/>
      <c r="U110" s="16"/>
      <c r="V110" s="17" t="str">
        <f aca="false">IF(A110="","",IF(COUNTIF(Ref_TEST!$A$2:$A$201,B110)=0,"TEST-ID not in W10",IF(OR(F110="",G110="",H110="",I110="",J110=""),"Type, condition, criteria, cause, effect needed",IF(O110="","Severity needed",IF(AND(M110&lt;&gt;"",N110=""),"Compensating control test result needed",IF(AND(O110&lt;&gt;"Control deficiency",P110=""),"Assign to an aggregation group",IF(AND(U110&lt;&gt;"Draft",OR(Q110="",R110="",S110="")),"Response, owner and due date needed",IF(AND(U110="Closed",T110=""),"Closed requires a retest TEST-ID","OK"))))))))</f>
        <v/>
      </c>
    </row>
    <row r="111" customFormat="false" ht="15" hidden="false" customHeight="false" outlineLevel="0" collapsed="false">
      <c r="A111" s="16"/>
      <c r="B111" s="16"/>
      <c r="C111" s="17" t="str">
        <f aca="false">IFERROR(INDEX(Ref_TEST!$B$2:$B$201,MATCH(B111,Ref_TEST!$A$2:$A$201,0)),"")</f>
        <v/>
      </c>
      <c r="D111" s="17" t="str">
        <f aca="false">IFERROR(INDEX(Ref_TEST!$C$2:$C$201,MATCH(B111,Ref_TEST!$A$2:$A$201,0)),"")</f>
        <v/>
      </c>
      <c r="E111" s="17" t="str">
        <f aca="false">IFERROR(INDEX(Ref_TEST!$D$2:$D$201,MATCH(B111,Ref_TEST!$A$2:$A$201,0)),"")</f>
        <v/>
      </c>
      <c r="F111" s="16"/>
      <c r="G111" s="16"/>
      <c r="H111" s="16"/>
      <c r="I111" s="16"/>
      <c r="J111" s="16"/>
      <c r="K111" s="16"/>
      <c r="L111" s="16"/>
      <c r="M111" s="16"/>
      <c r="N111" s="16"/>
      <c r="O111" s="16"/>
      <c r="P111" s="16"/>
      <c r="Q111" s="16"/>
      <c r="R111" s="16"/>
      <c r="S111" s="18"/>
      <c r="T111" s="16"/>
      <c r="U111" s="16"/>
      <c r="V111" s="17" t="str">
        <f aca="false">IF(A111="","",IF(COUNTIF(Ref_TEST!$A$2:$A$201,B111)=0,"TEST-ID not in W10",IF(OR(F111="",G111="",H111="",I111="",J111=""),"Type, condition, criteria, cause, effect needed",IF(O111="","Severity needed",IF(AND(M111&lt;&gt;"",N111=""),"Compensating control test result needed",IF(AND(O111&lt;&gt;"Control deficiency",P111=""),"Assign to an aggregation group",IF(AND(U111&lt;&gt;"Draft",OR(Q111="",R111="",S111="")),"Response, owner and due date needed",IF(AND(U111="Closed",T111=""),"Closed requires a retest TEST-ID","OK"))))))))</f>
        <v/>
      </c>
    </row>
    <row r="112" customFormat="false" ht="15" hidden="false" customHeight="false" outlineLevel="0" collapsed="false">
      <c r="A112" s="16"/>
      <c r="B112" s="16"/>
      <c r="C112" s="17" t="str">
        <f aca="false">IFERROR(INDEX(Ref_TEST!$B$2:$B$201,MATCH(B112,Ref_TEST!$A$2:$A$201,0)),"")</f>
        <v/>
      </c>
      <c r="D112" s="17" t="str">
        <f aca="false">IFERROR(INDEX(Ref_TEST!$C$2:$C$201,MATCH(B112,Ref_TEST!$A$2:$A$201,0)),"")</f>
        <v/>
      </c>
      <c r="E112" s="17" t="str">
        <f aca="false">IFERROR(INDEX(Ref_TEST!$D$2:$D$201,MATCH(B112,Ref_TEST!$A$2:$A$201,0)),"")</f>
        <v/>
      </c>
      <c r="F112" s="16"/>
      <c r="G112" s="16"/>
      <c r="H112" s="16"/>
      <c r="I112" s="16"/>
      <c r="J112" s="16"/>
      <c r="K112" s="16"/>
      <c r="L112" s="16"/>
      <c r="M112" s="16"/>
      <c r="N112" s="16"/>
      <c r="O112" s="16"/>
      <c r="P112" s="16"/>
      <c r="Q112" s="16"/>
      <c r="R112" s="16"/>
      <c r="S112" s="18"/>
      <c r="T112" s="16"/>
      <c r="U112" s="16"/>
      <c r="V112" s="17" t="str">
        <f aca="false">IF(A112="","",IF(COUNTIF(Ref_TEST!$A$2:$A$201,B112)=0,"TEST-ID not in W10",IF(OR(F112="",G112="",H112="",I112="",J112=""),"Type, condition, criteria, cause, effect needed",IF(O112="","Severity needed",IF(AND(M112&lt;&gt;"",N112=""),"Compensating control test result needed",IF(AND(O112&lt;&gt;"Control deficiency",P112=""),"Assign to an aggregation group",IF(AND(U112&lt;&gt;"Draft",OR(Q112="",R112="",S112="")),"Response, owner and due date needed",IF(AND(U112="Closed",T112=""),"Closed requires a retest TEST-ID","OK"))))))))</f>
        <v/>
      </c>
    </row>
    <row r="113" customFormat="false" ht="15" hidden="false" customHeight="false" outlineLevel="0" collapsed="false">
      <c r="A113" s="16"/>
      <c r="B113" s="16"/>
      <c r="C113" s="17" t="str">
        <f aca="false">IFERROR(INDEX(Ref_TEST!$B$2:$B$201,MATCH(B113,Ref_TEST!$A$2:$A$201,0)),"")</f>
        <v/>
      </c>
      <c r="D113" s="17" t="str">
        <f aca="false">IFERROR(INDEX(Ref_TEST!$C$2:$C$201,MATCH(B113,Ref_TEST!$A$2:$A$201,0)),"")</f>
        <v/>
      </c>
      <c r="E113" s="17" t="str">
        <f aca="false">IFERROR(INDEX(Ref_TEST!$D$2:$D$201,MATCH(B113,Ref_TEST!$A$2:$A$201,0)),"")</f>
        <v/>
      </c>
      <c r="F113" s="16"/>
      <c r="G113" s="16"/>
      <c r="H113" s="16"/>
      <c r="I113" s="16"/>
      <c r="J113" s="16"/>
      <c r="K113" s="16"/>
      <c r="L113" s="16"/>
      <c r="M113" s="16"/>
      <c r="N113" s="16"/>
      <c r="O113" s="16"/>
      <c r="P113" s="16"/>
      <c r="Q113" s="16"/>
      <c r="R113" s="16"/>
      <c r="S113" s="18"/>
      <c r="T113" s="16"/>
      <c r="U113" s="16"/>
      <c r="V113" s="17" t="str">
        <f aca="false">IF(A113="","",IF(COUNTIF(Ref_TEST!$A$2:$A$201,B113)=0,"TEST-ID not in W10",IF(OR(F113="",G113="",H113="",I113="",J113=""),"Type, condition, criteria, cause, effect needed",IF(O113="","Severity needed",IF(AND(M113&lt;&gt;"",N113=""),"Compensating control test result needed",IF(AND(O113&lt;&gt;"Control deficiency",P113=""),"Assign to an aggregation group",IF(AND(U113&lt;&gt;"Draft",OR(Q113="",R113="",S113="")),"Response, owner and due date needed",IF(AND(U113="Closed",T113=""),"Closed requires a retest TEST-ID","OK"))))))))</f>
        <v/>
      </c>
    </row>
    <row r="114" customFormat="false" ht="15" hidden="false" customHeight="false" outlineLevel="0" collapsed="false">
      <c r="A114" s="16"/>
      <c r="B114" s="16"/>
      <c r="C114" s="17" t="str">
        <f aca="false">IFERROR(INDEX(Ref_TEST!$B$2:$B$201,MATCH(B114,Ref_TEST!$A$2:$A$201,0)),"")</f>
        <v/>
      </c>
      <c r="D114" s="17" t="str">
        <f aca="false">IFERROR(INDEX(Ref_TEST!$C$2:$C$201,MATCH(B114,Ref_TEST!$A$2:$A$201,0)),"")</f>
        <v/>
      </c>
      <c r="E114" s="17" t="str">
        <f aca="false">IFERROR(INDEX(Ref_TEST!$D$2:$D$201,MATCH(B114,Ref_TEST!$A$2:$A$201,0)),"")</f>
        <v/>
      </c>
      <c r="F114" s="16"/>
      <c r="G114" s="16"/>
      <c r="H114" s="16"/>
      <c r="I114" s="16"/>
      <c r="J114" s="16"/>
      <c r="K114" s="16"/>
      <c r="L114" s="16"/>
      <c r="M114" s="16"/>
      <c r="N114" s="16"/>
      <c r="O114" s="16"/>
      <c r="P114" s="16"/>
      <c r="Q114" s="16"/>
      <c r="R114" s="16"/>
      <c r="S114" s="18"/>
      <c r="T114" s="16"/>
      <c r="U114" s="16"/>
      <c r="V114" s="17" t="str">
        <f aca="false">IF(A114="","",IF(COUNTIF(Ref_TEST!$A$2:$A$201,B114)=0,"TEST-ID not in W10",IF(OR(F114="",G114="",H114="",I114="",J114=""),"Type, condition, criteria, cause, effect needed",IF(O114="","Severity needed",IF(AND(M114&lt;&gt;"",N114=""),"Compensating control test result needed",IF(AND(O114&lt;&gt;"Control deficiency",P114=""),"Assign to an aggregation group",IF(AND(U114&lt;&gt;"Draft",OR(Q114="",R114="",S114="")),"Response, owner and due date needed",IF(AND(U114="Closed",T114=""),"Closed requires a retest TEST-ID","OK"))))))))</f>
        <v/>
      </c>
    </row>
    <row r="115" customFormat="false" ht="15" hidden="false" customHeight="false" outlineLevel="0" collapsed="false">
      <c r="A115" s="16"/>
      <c r="B115" s="16"/>
      <c r="C115" s="17" t="str">
        <f aca="false">IFERROR(INDEX(Ref_TEST!$B$2:$B$201,MATCH(B115,Ref_TEST!$A$2:$A$201,0)),"")</f>
        <v/>
      </c>
      <c r="D115" s="17" t="str">
        <f aca="false">IFERROR(INDEX(Ref_TEST!$C$2:$C$201,MATCH(B115,Ref_TEST!$A$2:$A$201,0)),"")</f>
        <v/>
      </c>
      <c r="E115" s="17" t="str">
        <f aca="false">IFERROR(INDEX(Ref_TEST!$D$2:$D$201,MATCH(B115,Ref_TEST!$A$2:$A$201,0)),"")</f>
        <v/>
      </c>
      <c r="F115" s="16"/>
      <c r="G115" s="16"/>
      <c r="H115" s="16"/>
      <c r="I115" s="16"/>
      <c r="J115" s="16"/>
      <c r="K115" s="16"/>
      <c r="L115" s="16"/>
      <c r="M115" s="16"/>
      <c r="N115" s="16"/>
      <c r="O115" s="16"/>
      <c r="P115" s="16"/>
      <c r="Q115" s="16"/>
      <c r="R115" s="16"/>
      <c r="S115" s="18"/>
      <c r="T115" s="16"/>
      <c r="U115" s="16"/>
      <c r="V115" s="17" t="str">
        <f aca="false">IF(A115="","",IF(COUNTIF(Ref_TEST!$A$2:$A$201,B115)=0,"TEST-ID not in W10",IF(OR(F115="",G115="",H115="",I115="",J115=""),"Type, condition, criteria, cause, effect needed",IF(O115="","Severity needed",IF(AND(M115&lt;&gt;"",N115=""),"Compensating control test result needed",IF(AND(O115&lt;&gt;"Control deficiency",P115=""),"Assign to an aggregation group",IF(AND(U115&lt;&gt;"Draft",OR(Q115="",R115="",S115="")),"Response, owner and due date needed",IF(AND(U115="Closed",T115=""),"Closed requires a retest TEST-ID","OK"))))))))</f>
        <v/>
      </c>
    </row>
    <row r="116" customFormat="false" ht="15" hidden="false" customHeight="false" outlineLevel="0" collapsed="false">
      <c r="A116" s="16"/>
      <c r="B116" s="16"/>
      <c r="C116" s="17" t="str">
        <f aca="false">IFERROR(INDEX(Ref_TEST!$B$2:$B$201,MATCH(B116,Ref_TEST!$A$2:$A$201,0)),"")</f>
        <v/>
      </c>
      <c r="D116" s="17" t="str">
        <f aca="false">IFERROR(INDEX(Ref_TEST!$C$2:$C$201,MATCH(B116,Ref_TEST!$A$2:$A$201,0)),"")</f>
        <v/>
      </c>
      <c r="E116" s="17" t="str">
        <f aca="false">IFERROR(INDEX(Ref_TEST!$D$2:$D$201,MATCH(B116,Ref_TEST!$A$2:$A$201,0)),"")</f>
        <v/>
      </c>
      <c r="F116" s="16"/>
      <c r="G116" s="16"/>
      <c r="H116" s="16"/>
      <c r="I116" s="16"/>
      <c r="J116" s="16"/>
      <c r="K116" s="16"/>
      <c r="L116" s="16"/>
      <c r="M116" s="16"/>
      <c r="N116" s="16"/>
      <c r="O116" s="16"/>
      <c r="P116" s="16"/>
      <c r="Q116" s="16"/>
      <c r="R116" s="16"/>
      <c r="S116" s="18"/>
      <c r="T116" s="16"/>
      <c r="U116" s="16"/>
      <c r="V116" s="17" t="str">
        <f aca="false">IF(A116="","",IF(COUNTIF(Ref_TEST!$A$2:$A$201,B116)=0,"TEST-ID not in W10",IF(OR(F116="",G116="",H116="",I116="",J116=""),"Type, condition, criteria, cause, effect needed",IF(O116="","Severity needed",IF(AND(M116&lt;&gt;"",N116=""),"Compensating control test result needed",IF(AND(O116&lt;&gt;"Control deficiency",P116=""),"Assign to an aggregation group",IF(AND(U116&lt;&gt;"Draft",OR(Q116="",R116="",S116="")),"Response, owner and due date needed",IF(AND(U116="Closed",T116=""),"Closed requires a retest TEST-ID","OK"))))))))</f>
        <v/>
      </c>
    </row>
    <row r="117" customFormat="false" ht="15" hidden="false" customHeight="false" outlineLevel="0" collapsed="false">
      <c r="A117" s="16"/>
      <c r="B117" s="16"/>
      <c r="C117" s="17" t="str">
        <f aca="false">IFERROR(INDEX(Ref_TEST!$B$2:$B$201,MATCH(B117,Ref_TEST!$A$2:$A$201,0)),"")</f>
        <v/>
      </c>
      <c r="D117" s="17" t="str">
        <f aca="false">IFERROR(INDEX(Ref_TEST!$C$2:$C$201,MATCH(B117,Ref_TEST!$A$2:$A$201,0)),"")</f>
        <v/>
      </c>
      <c r="E117" s="17" t="str">
        <f aca="false">IFERROR(INDEX(Ref_TEST!$D$2:$D$201,MATCH(B117,Ref_TEST!$A$2:$A$201,0)),"")</f>
        <v/>
      </c>
      <c r="F117" s="16"/>
      <c r="G117" s="16"/>
      <c r="H117" s="16"/>
      <c r="I117" s="16"/>
      <c r="J117" s="16"/>
      <c r="K117" s="16"/>
      <c r="L117" s="16"/>
      <c r="M117" s="16"/>
      <c r="N117" s="16"/>
      <c r="O117" s="16"/>
      <c r="P117" s="16"/>
      <c r="Q117" s="16"/>
      <c r="R117" s="16"/>
      <c r="S117" s="18"/>
      <c r="T117" s="16"/>
      <c r="U117" s="16"/>
      <c r="V117" s="17" t="str">
        <f aca="false">IF(A117="","",IF(COUNTIF(Ref_TEST!$A$2:$A$201,B117)=0,"TEST-ID not in W10",IF(OR(F117="",G117="",H117="",I117="",J117=""),"Type, condition, criteria, cause, effect needed",IF(O117="","Severity needed",IF(AND(M117&lt;&gt;"",N117=""),"Compensating control test result needed",IF(AND(O117&lt;&gt;"Control deficiency",P117=""),"Assign to an aggregation group",IF(AND(U117&lt;&gt;"Draft",OR(Q117="",R117="",S117="")),"Response, owner and due date needed",IF(AND(U117="Closed",T117=""),"Closed requires a retest TEST-ID","OK"))))))))</f>
        <v/>
      </c>
    </row>
    <row r="118" customFormat="false" ht="15" hidden="false" customHeight="false" outlineLevel="0" collapsed="false">
      <c r="A118" s="16"/>
      <c r="B118" s="16"/>
      <c r="C118" s="17" t="str">
        <f aca="false">IFERROR(INDEX(Ref_TEST!$B$2:$B$201,MATCH(B118,Ref_TEST!$A$2:$A$201,0)),"")</f>
        <v/>
      </c>
      <c r="D118" s="17" t="str">
        <f aca="false">IFERROR(INDEX(Ref_TEST!$C$2:$C$201,MATCH(B118,Ref_TEST!$A$2:$A$201,0)),"")</f>
        <v/>
      </c>
      <c r="E118" s="17" t="str">
        <f aca="false">IFERROR(INDEX(Ref_TEST!$D$2:$D$201,MATCH(B118,Ref_TEST!$A$2:$A$201,0)),"")</f>
        <v/>
      </c>
      <c r="F118" s="16"/>
      <c r="G118" s="16"/>
      <c r="H118" s="16"/>
      <c r="I118" s="16"/>
      <c r="J118" s="16"/>
      <c r="K118" s="16"/>
      <c r="L118" s="16"/>
      <c r="M118" s="16"/>
      <c r="N118" s="16"/>
      <c r="O118" s="16"/>
      <c r="P118" s="16"/>
      <c r="Q118" s="16"/>
      <c r="R118" s="16"/>
      <c r="S118" s="18"/>
      <c r="T118" s="16"/>
      <c r="U118" s="16"/>
      <c r="V118" s="17" t="str">
        <f aca="false">IF(A118="","",IF(COUNTIF(Ref_TEST!$A$2:$A$201,B118)=0,"TEST-ID not in W10",IF(OR(F118="",G118="",H118="",I118="",J118=""),"Type, condition, criteria, cause, effect needed",IF(O118="","Severity needed",IF(AND(M118&lt;&gt;"",N118=""),"Compensating control test result needed",IF(AND(O118&lt;&gt;"Control deficiency",P118=""),"Assign to an aggregation group",IF(AND(U118&lt;&gt;"Draft",OR(Q118="",R118="",S118="")),"Response, owner and due date needed",IF(AND(U118="Closed",T118=""),"Closed requires a retest TEST-ID","OK"))))))))</f>
        <v/>
      </c>
    </row>
    <row r="119" customFormat="false" ht="15" hidden="false" customHeight="false" outlineLevel="0" collapsed="false">
      <c r="A119" s="16"/>
      <c r="B119" s="16"/>
      <c r="C119" s="17" t="str">
        <f aca="false">IFERROR(INDEX(Ref_TEST!$B$2:$B$201,MATCH(B119,Ref_TEST!$A$2:$A$201,0)),"")</f>
        <v/>
      </c>
      <c r="D119" s="17" t="str">
        <f aca="false">IFERROR(INDEX(Ref_TEST!$C$2:$C$201,MATCH(B119,Ref_TEST!$A$2:$A$201,0)),"")</f>
        <v/>
      </c>
      <c r="E119" s="17" t="str">
        <f aca="false">IFERROR(INDEX(Ref_TEST!$D$2:$D$201,MATCH(B119,Ref_TEST!$A$2:$A$201,0)),"")</f>
        <v/>
      </c>
      <c r="F119" s="16"/>
      <c r="G119" s="16"/>
      <c r="H119" s="16"/>
      <c r="I119" s="16"/>
      <c r="J119" s="16"/>
      <c r="K119" s="16"/>
      <c r="L119" s="16"/>
      <c r="M119" s="16"/>
      <c r="N119" s="16"/>
      <c r="O119" s="16"/>
      <c r="P119" s="16"/>
      <c r="Q119" s="16"/>
      <c r="R119" s="16"/>
      <c r="S119" s="18"/>
      <c r="T119" s="16"/>
      <c r="U119" s="16"/>
      <c r="V119" s="17" t="str">
        <f aca="false">IF(A119="","",IF(COUNTIF(Ref_TEST!$A$2:$A$201,B119)=0,"TEST-ID not in W10",IF(OR(F119="",G119="",H119="",I119="",J119=""),"Type, condition, criteria, cause, effect needed",IF(O119="","Severity needed",IF(AND(M119&lt;&gt;"",N119=""),"Compensating control test result needed",IF(AND(O119&lt;&gt;"Control deficiency",P119=""),"Assign to an aggregation group",IF(AND(U119&lt;&gt;"Draft",OR(Q119="",R119="",S119="")),"Response, owner and due date needed",IF(AND(U119="Closed",T119=""),"Closed requires a retest TEST-ID","OK"))))))))</f>
        <v/>
      </c>
    </row>
    <row r="120" customFormat="false" ht="15" hidden="false" customHeight="false" outlineLevel="0" collapsed="false">
      <c r="A120" s="16"/>
      <c r="B120" s="16"/>
      <c r="C120" s="17" t="str">
        <f aca="false">IFERROR(INDEX(Ref_TEST!$B$2:$B$201,MATCH(B120,Ref_TEST!$A$2:$A$201,0)),"")</f>
        <v/>
      </c>
      <c r="D120" s="17" t="str">
        <f aca="false">IFERROR(INDEX(Ref_TEST!$C$2:$C$201,MATCH(B120,Ref_TEST!$A$2:$A$201,0)),"")</f>
        <v/>
      </c>
      <c r="E120" s="17" t="str">
        <f aca="false">IFERROR(INDEX(Ref_TEST!$D$2:$D$201,MATCH(B120,Ref_TEST!$A$2:$A$201,0)),"")</f>
        <v/>
      </c>
      <c r="F120" s="16"/>
      <c r="G120" s="16"/>
      <c r="H120" s="16"/>
      <c r="I120" s="16"/>
      <c r="J120" s="16"/>
      <c r="K120" s="16"/>
      <c r="L120" s="16"/>
      <c r="M120" s="16"/>
      <c r="N120" s="16"/>
      <c r="O120" s="16"/>
      <c r="P120" s="16"/>
      <c r="Q120" s="16"/>
      <c r="R120" s="16"/>
      <c r="S120" s="18"/>
      <c r="T120" s="16"/>
      <c r="U120" s="16"/>
      <c r="V120" s="17" t="str">
        <f aca="false">IF(A120="","",IF(COUNTIF(Ref_TEST!$A$2:$A$201,B120)=0,"TEST-ID not in W10",IF(OR(F120="",G120="",H120="",I120="",J120=""),"Type, condition, criteria, cause, effect needed",IF(O120="","Severity needed",IF(AND(M120&lt;&gt;"",N120=""),"Compensating control test result needed",IF(AND(O120&lt;&gt;"Control deficiency",P120=""),"Assign to an aggregation group",IF(AND(U120&lt;&gt;"Draft",OR(Q120="",R120="",S120="")),"Response, owner and due date needed",IF(AND(U120="Closed",T120=""),"Closed requires a retest TEST-ID","OK"))))))))</f>
        <v/>
      </c>
    </row>
    <row r="121" customFormat="false" ht="15" hidden="false" customHeight="false" outlineLevel="0" collapsed="false">
      <c r="A121" s="16"/>
      <c r="B121" s="16"/>
      <c r="C121" s="17" t="str">
        <f aca="false">IFERROR(INDEX(Ref_TEST!$B$2:$B$201,MATCH(B121,Ref_TEST!$A$2:$A$201,0)),"")</f>
        <v/>
      </c>
      <c r="D121" s="17" t="str">
        <f aca="false">IFERROR(INDEX(Ref_TEST!$C$2:$C$201,MATCH(B121,Ref_TEST!$A$2:$A$201,0)),"")</f>
        <v/>
      </c>
      <c r="E121" s="17" t="str">
        <f aca="false">IFERROR(INDEX(Ref_TEST!$D$2:$D$201,MATCH(B121,Ref_TEST!$A$2:$A$201,0)),"")</f>
        <v/>
      </c>
      <c r="F121" s="16"/>
      <c r="G121" s="16"/>
      <c r="H121" s="16"/>
      <c r="I121" s="16"/>
      <c r="J121" s="16"/>
      <c r="K121" s="16"/>
      <c r="L121" s="16"/>
      <c r="M121" s="16"/>
      <c r="N121" s="16"/>
      <c r="O121" s="16"/>
      <c r="P121" s="16"/>
      <c r="Q121" s="16"/>
      <c r="R121" s="16"/>
      <c r="S121" s="18"/>
      <c r="T121" s="16"/>
      <c r="U121" s="16"/>
      <c r="V121" s="17" t="str">
        <f aca="false">IF(A121="","",IF(COUNTIF(Ref_TEST!$A$2:$A$201,B121)=0,"TEST-ID not in W10",IF(OR(F121="",G121="",H121="",I121="",J121=""),"Type, condition, criteria, cause, effect needed",IF(O121="","Severity needed",IF(AND(M121&lt;&gt;"",N121=""),"Compensating control test result needed",IF(AND(O121&lt;&gt;"Control deficiency",P121=""),"Assign to an aggregation group",IF(AND(U121&lt;&gt;"Draft",OR(Q121="",R121="",S121="")),"Response, owner and due date needed",IF(AND(U121="Closed",T121=""),"Closed requires a retest TEST-ID","OK"))))))))</f>
        <v/>
      </c>
    </row>
    <row r="122" customFormat="false" ht="15" hidden="false" customHeight="false" outlineLevel="0" collapsed="false">
      <c r="A122" s="16"/>
      <c r="B122" s="16"/>
      <c r="C122" s="17" t="str">
        <f aca="false">IFERROR(INDEX(Ref_TEST!$B$2:$B$201,MATCH(B122,Ref_TEST!$A$2:$A$201,0)),"")</f>
        <v/>
      </c>
      <c r="D122" s="17" t="str">
        <f aca="false">IFERROR(INDEX(Ref_TEST!$C$2:$C$201,MATCH(B122,Ref_TEST!$A$2:$A$201,0)),"")</f>
        <v/>
      </c>
      <c r="E122" s="17" t="str">
        <f aca="false">IFERROR(INDEX(Ref_TEST!$D$2:$D$201,MATCH(B122,Ref_TEST!$A$2:$A$201,0)),"")</f>
        <v/>
      </c>
      <c r="F122" s="16"/>
      <c r="G122" s="16"/>
      <c r="H122" s="16"/>
      <c r="I122" s="16"/>
      <c r="J122" s="16"/>
      <c r="K122" s="16"/>
      <c r="L122" s="16"/>
      <c r="M122" s="16"/>
      <c r="N122" s="16"/>
      <c r="O122" s="16"/>
      <c r="P122" s="16"/>
      <c r="Q122" s="16"/>
      <c r="R122" s="16"/>
      <c r="S122" s="18"/>
      <c r="T122" s="16"/>
      <c r="U122" s="16"/>
      <c r="V122" s="17" t="str">
        <f aca="false">IF(A122="","",IF(COUNTIF(Ref_TEST!$A$2:$A$201,B122)=0,"TEST-ID not in W10",IF(OR(F122="",G122="",H122="",I122="",J122=""),"Type, condition, criteria, cause, effect needed",IF(O122="","Severity needed",IF(AND(M122&lt;&gt;"",N122=""),"Compensating control test result needed",IF(AND(O122&lt;&gt;"Control deficiency",P122=""),"Assign to an aggregation group",IF(AND(U122&lt;&gt;"Draft",OR(Q122="",R122="",S122="")),"Response, owner and due date needed",IF(AND(U122="Closed",T122=""),"Closed requires a retest TEST-ID","OK"))))))))</f>
        <v/>
      </c>
    </row>
    <row r="123" customFormat="false" ht="15" hidden="false" customHeight="false" outlineLevel="0" collapsed="false">
      <c r="A123" s="16"/>
      <c r="B123" s="16"/>
      <c r="C123" s="17" t="str">
        <f aca="false">IFERROR(INDEX(Ref_TEST!$B$2:$B$201,MATCH(B123,Ref_TEST!$A$2:$A$201,0)),"")</f>
        <v/>
      </c>
      <c r="D123" s="17" t="str">
        <f aca="false">IFERROR(INDEX(Ref_TEST!$C$2:$C$201,MATCH(B123,Ref_TEST!$A$2:$A$201,0)),"")</f>
        <v/>
      </c>
      <c r="E123" s="17" t="str">
        <f aca="false">IFERROR(INDEX(Ref_TEST!$D$2:$D$201,MATCH(B123,Ref_TEST!$A$2:$A$201,0)),"")</f>
        <v/>
      </c>
      <c r="F123" s="16"/>
      <c r="G123" s="16"/>
      <c r="H123" s="16"/>
      <c r="I123" s="16"/>
      <c r="J123" s="16"/>
      <c r="K123" s="16"/>
      <c r="L123" s="16"/>
      <c r="M123" s="16"/>
      <c r="N123" s="16"/>
      <c r="O123" s="16"/>
      <c r="P123" s="16"/>
      <c r="Q123" s="16"/>
      <c r="R123" s="16"/>
      <c r="S123" s="18"/>
      <c r="T123" s="16"/>
      <c r="U123" s="16"/>
      <c r="V123" s="17" t="str">
        <f aca="false">IF(A123="","",IF(COUNTIF(Ref_TEST!$A$2:$A$201,B123)=0,"TEST-ID not in W10",IF(OR(F123="",G123="",H123="",I123="",J123=""),"Type, condition, criteria, cause, effect needed",IF(O123="","Severity needed",IF(AND(M123&lt;&gt;"",N123=""),"Compensating control test result needed",IF(AND(O123&lt;&gt;"Control deficiency",P123=""),"Assign to an aggregation group",IF(AND(U123&lt;&gt;"Draft",OR(Q123="",R123="",S123="")),"Response, owner and due date needed",IF(AND(U123="Closed",T123=""),"Closed requires a retest TEST-ID","OK"))))))))</f>
        <v/>
      </c>
    </row>
    <row r="124" customFormat="false" ht="15" hidden="false" customHeight="false" outlineLevel="0" collapsed="false">
      <c r="A124" s="16"/>
      <c r="B124" s="16"/>
      <c r="C124" s="17" t="str">
        <f aca="false">IFERROR(INDEX(Ref_TEST!$B$2:$B$201,MATCH(B124,Ref_TEST!$A$2:$A$201,0)),"")</f>
        <v/>
      </c>
      <c r="D124" s="17" t="str">
        <f aca="false">IFERROR(INDEX(Ref_TEST!$C$2:$C$201,MATCH(B124,Ref_TEST!$A$2:$A$201,0)),"")</f>
        <v/>
      </c>
      <c r="E124" s="17" t="str">
        <f aca="false">IFERROR(INDEX(Ref_TEST!$D$2:$D$201,MATCH(B124,Ref_TEST!$A$2:$A$201,0)),"")</f>
        <v/>
      </c>
      <c r="F124" s="16"/>
      <c r="G124" s="16"/>
      <c r="H124" s="16"/>
      <c r="I124" s="16"/>
      <c r="J124" s="16"/>
      <c r="K124" s="16"/>
      <c r="L124" s="16"/>
      <c r="M124" s="16"/>
      <c r="N124" s="16"/>
      <c r="O124" s="16"/>
      <c r="P124" s="16"/>
      <c r="Q124" s="16"/>
      <c r="R124" s="16"/>
      <c r="S124" s="18"/>
      <c r="T124" s="16"/>
      <c r="U124" s="16"/>
      <c r="V124" s="17" t="str">
        <f aca="false">IF(A124="","",IF(COUNTIF(Ref_TEST!$A$2:$A$201,B124)=0,"TEST-ID not in W10",IF(OR(F124="",G124="",H124="",I124="",J124=""),"Type, condition, criteria, cause, effect needed",IF(O124="","Severity needed",IF(AND(M124&lt;&gt;"",N124=""),"Compensating control test result needed",IF(AND(O124&lt;&gt;"Control deficiency",P124=""),"Assign to an aggregation group",IF(AND(U124&lt;&gt;"Draft",OR(Q124="",R124="",S124="")),"Response, owner and due date needed",IF(AND(U124="Closed",T124=""),"Closed requires a retest TEST-ID","OK"))))))))</f>
        <v/>
      </c>
    </row>
    <row r="125" customFormat="false" ht="15" hidden="false" customHeight="false" outlineLevel="0" collapsed="false">
      <c r="A125" s="16"/>
      <c r="B125" s="16"/>
      <c r="C125" s="17" t="str">
        <f aca="false">IFERROR(INDEX(Ref_TEST!$B$2:$B$201,MATCH(B125,Ref_TEST!$A$2:$A$201,0)),"")</f>
        <v/>
      </c>
      <c r="D125" s="17" t="str">
        <f aca="false">IFERROR(INDEX(Ref_TEST!$C$2:$C$201,MATCH(B125,Ref_TEST!$A$2:$A$201,0)),"")</f>
        <v/>
      </c>
      <c r="E125" s="17" t="str">
        <f aca="false">IFERROR(INDEX(Ref_TEST!$D$2:$D$201,MATCH(B125,Ref_TEST!$A$2:$A$201,0)),"")</f>
        <v/>
      </c>
      <c r="F125" s="16"/>
      <c r="G125" s="16"/>
      <c r="H125" s="16"/>
      <c r="I125" s="16"/>
      <c r="J125" s="16"/>
      <c r="K125" s="16"/>
      <c r="L125" s="16"/>
      <c r="M125" s="16"/>
      <c r="N125" s="16"/>
      <c r="O125" s="16"/>
      <c r="P125" s="16"/>
      <c r="Q125" s="16"/>
      <c r="R125" s="16"/>
      <c r="S125" s="18"/>
      <c r="T125" s="16"/>
      <c r="U125" s="16"/>
      <c r="V125" s="17" t="str">
        <f aca="false">IF(A125="","",IF(COUNTIF(Ref_TEST!$A$2:$A$201,B125)=0,"TEST-ID not in W10",IF(OR(F125="",G125="",H125="",I125="",J125=""),"Type, condition, criteria, cause, effect needed",IF(O125="","Severity needed",IF(AND(M125&lt;&gt;"",N125=""),"Compensating control test result needed",IF(AND(O125&lt;&gt;"Control deficiency",P125=""),"Assign to an aggregation group",IF(AND(U125&lt;&gt;"Draft",OR(Q125="",R125="",S125="")),"Response, owner and due date needed",IF(AND(U125="Closed",T125=""),"Closed requires a retest TEST-ID","OK"))))))))</f>
        <v/>
      </c>
    </row>
    <row r="126" customFormat="false" ht="15" hidden="false" customHeight="false" outlineLevel="0" collapsed="false">
      <c r="A126" s="16"/>
      <c r="B126" s="16"/>
      <c r="C126" s="17" t="str">
        <f aca="false">IFERROR(INDEX(Ref_TEST!$B$2:$B$201,MATCH(B126,Ref_TEST!$A$2:$A$201,0)),"")</f>
        <v/>
      </c>
      <c r="D126" s="17" t="str">
        <f aca="false">IFERROR(INDEX(Ref_TEST!$C$2:$C$201,MATCH(B126,Ref_TEST!$A$2:$A$201,0)),"")</f>
        <v/>
      </c>
      <c r="E126" s="17" t="str">
        <f aca="false">IFERROR(INDEX(Ref_TEST!$D$2:$D$201,MATCH(B126,Ref_TEST!$A$2:$A$201,0)),"")</f>
        <v/>
      </c>
      <c r="F126" s="16"/>
      <c r="G126" s="16"/>
      <c r="H126" s="16"/>
      <c r="I126" s="16"/>
      <c r="J126" s="16"/>
      <c r="K126" s="16"/>
      <c r="L126" s="16"/>
      <c r="M126" s="16"/>
      <c r="N126" s="16"/>
      <c r="O126" s="16"/>
      <c r="P126" s="16"/>
      <c r="Q126" s="16"/>
      <c r="R126" s="16"/>
      <c r="S126" s="18"/>
      <c r="T126" s="16"/>
      <c r="U126" s="16"/>
      <c r="V126" s="17" t="str">
        <f aca="false">IF(A126="","",IF(COUNTIF(Ref_TEST!$A$2:$A$201,B126)=0,"TEST-ID not in W10",IF(OR(F126="",G126="",H126="",I126="",J126=""),"Type, condition, criteria, cause, effect needed",IF(O126="","Severity needed",IF(AND(M126&lt;&gt;"",N126=""),"Compensating control test result needed",IF(AND(O126&lt;&gt;"Control deficiency",P126=""),"Assign to an aggregation group",IF(AND(U126&lt;&gt;"Draft",OR(Q126="",R126="",S126="")),"Response, owner and due date needed",IF(AND(U126="Closed",T126=""),"Closed requires a retest TEST-ID","OK"))))))))</f>
        <v/>
      </c>
    </row>
    <row r="127" customFormat="false" ht="15" hidden="false" customHeight="false" outlineLevel="0" collapsed="false">
      <c r="A127" s="16"/>
      <c r="B127" s="16"/>
      <c r="C127" s="17" t="str">
        <f aca="false">IFERROR(INDEX(Ref_TEST!$B$2:$B$201,MATCH(B127,Ref_TEST!$A$2:$A$201,0)),"")</f>
        <v/>
      </c>
      <c r="D127" s="17" t="str">
        <f aca="false">IFERROR(INDEX(Ref_TEST!$C$2:$C$201,MATCH(B127,Ref_TEST!$A$2:$A$201,0)),"")</f>
        <v/>
      </c>
      <c r="E127" s="17" t="str">
        <f aca="false">IFERROR(INDEX(Ref_TEST!$D$2:$D$201,MATCH(B127,Ref_TEST!$A$2:$A$201,0)),"")</f>
        <v/>
      </c>
      <c r="F127" s="16"/>
      <c r="G127" s="16"/>
      <c r="H127" s="16"/>
      <c r="I127" s="16"/>
      <c r="J127" s="16"/>
      <c r="K127" s="16"/>
      <c r="L127" s="16"/>
      <c r="M127" s="16"/>
      <c r="N127" s="16"/>
      <c r="O127" s="16"/>
      <c r="P127" s="16"/>
      <c r="Q127" s="16"/>
      <c r="R127" s="16"/>
      <c r="S127" s="18"/>
      <c r="T127" s="16"/>
      <c r="U127" s="16"/>
      <c r="V127" s="17" t="str">
        <f aca="false">IF(A127="","",IF(COUNTIF(Ref_TEST!$A$2:$A$201,B127)=0,"TEST-ID not in W10",IF(OR(F127="",G127="",H127="",I127="",J127=""),"Type, condition, criteria, cause, effect needed",IF(O127="","Severity needed",IF(AND(M127&lt;&gt;"",N127=""),"Compensating control test result needed",IF(AND(O127&lt;&gt;"Control deficiency",P127=""),"Assign to an aggregation group",IF(AND(U127&lt;&gt;"Draft",OR(Q127="",R127="",S127="")),"Response, owner and due date needed",IF(AND(U127="Closed",T127=""),"Closed requires a retest TEST-ID","OK"))))))))</f>
        <v/>
      </c>
    </row>
    <row r="128" customFormat="false" ht="15" hidden="false" customHeight="false" outlineLevel="0" collapsed="false">
      <c r="A128" s="16"/>
      <c r="B128" s="16"/>
      <c r="C128" s="17" t="str">
        <f aca="false">IFERROR(INDEX(Ref_TEST!$B$2:$B$201,MATCH(B128,Ref_TEST!$A$2:$A$201,0)),"")</f>
        <v/>
      </c>
      <c r="D128" s="17" t="str">
        <f aca="false">IFERROR(INDEX(Ref_TEST!$C$2:$C$201,MATCH(B128,Ref_TEST!$A$2:$A$201,0)),"")</f>
        <v/>
      </c>
      <c r="E128" s="17" t="str">
        <f aca="false">IFERROR(INDEX(Ref_TEST!$D$2:$D$201,MATCH(B128,Ref_TEST!$A$2:$A$201,0)),"")</f>
        <v/>
      </c>
      <c r="F128" s="16"/>
      <c r="G128" s="16"/>
      <c r="H128" s="16"/>
      <c r="I128" s="16"/>
      <c r="J128" s="16"/>
      <c r="K128" s="16"/>
      <c r="L128" s="16"/>
      <c r="M128" s="16"/>
      <c r="N128" s="16"/>
      <c r="O128" s="16"/>
      <c r="P128" s="16"/>
      <c r="Q128" s="16"/>
      <c r="R128" s="16"/>
      <c r="S128" s="18"/>
      <c r="T128" s="16"/>
      <c r="U128" s="16"/>
      <c r="V128" s="17" t="str">
        <f aca="false">IF(A128="","",IF(COUNTIF(Ref_TEST!$A$2:$A$201,B128)=0,"TEST-ID not in W10",IF(OR(F128="",G128="",H128="",I128="",J128=""),"Type, condition, criteria, cause, effect needed",IF(O128="","Severity needed",IF(AND(M128&lt;&gt;"",N128=""),"Compensating control test result needed",IF(AND(O128&lt;&gt;"Control deficiency",P128=""),"Assign to an aggregation group",IF(AND(U128&lt;&gt;"Draft",OR(Q128="",R128="",S128="")),"Response, owner and due date needed",IF(AND(U128="Closed",T128=""),"Closed requires a retest TEST-ID","OK"))))))))</f>
        <v/>
      </c>
    </row>
    <row r="129" customFormat="false" ht="15" hidden="false" customHeight="false" outlineLevel="0" collapsed="false">
      <c r="A129" s="16"/>
      <c r="B129" s="16"/>
      <c r="C129" s="17" t="str">
        <f aca="false">IFERROR(INDEX(Ref_TEST!$B$2:$B$201,MATCH(B129,Ref_TEST!$A$2:$A$201,0)),"")</f>
        <v/>
      </c>
      <c r="D129" s="17" t="str">
        <f aca="false">IFERROR(INDEX(Ref_TEST!$C$2:$C$201,MATCH(B129,Ref_TEST!$A$2:$A$201,0)),"")</f>
        <v/>
      </c>
      <c r="E129" s="17" t="str">
        <f aca="false">IFERROR(INDEX(Ref_TEST!$D$2:$D$201,MATCH(B129,Ref_TEST!$A$2:$A$201,0)),"")</f>
        <v/>
      </c>
      <c r="F129" s="16"/>
      <c r="G129" s="16"/>
      <c r="H129" s="16"/>
      <c r="I129" s="16"/>
      <c r="J129" s="16"/>
      <c r="K129" s="16"/>
      <c r="L129" s="16"/>
      <c r="M129" s="16"/>
      <c r="N129" s="16"/>
      <c r="O129" s="16"/>
      <c r="P129" s="16"/>
      <c r="Q129" s="16"/>
      <c r="R129" s="16"/>
      <c r="S129" s="18"/>
      <c r="T129" s="16"/>
      <c r="U129" s="16"/>
      <c r="V129" s="17" t="str">
        <f aca="false">IF(A129="","",IF(COUNTIF(Ref_TEST!$A$2:$A$201,B129)=0,"TEST-ID not in W10",IF(OR(F129="",G129="",H129="",I129="",J129=""),"Type, condition, criteria, cause, effect needed",IF(O129="","Severity needed",IF(AND(M129&lt;&gt;"",N129=""),"Compensating control test result needed",IF(AND(O129&lt;&gt;"Control deficiency",P129=""),"Assign to an aggregation group",IF(AND(U129&lt;&gt;"Draft",OR(Q129="",R129="",S129="")),"Response, owner and due date needed",IF(AND(U129="Closed",T129=""),"Closed requires a retest TEST-ID","OK"))))))))</f>
        <v/>
      </c>
    </row>
    <row r="130" customFormat="false" ht="15" hidden="false" customHeight="false" outlineLevel="0" collapsed="false">
      <c r="A130" s="16"/>
      <c r="B130" s="16"/>
      <c r="C130" s="17" t="str">
        <f aca="false">IFERROR(INDEX(Ref_TEST!$B$2:$B$201,MATCH(B130,Ref_TEST!$A$2:$A$201,0)),"")</f>
        <v/>
      </c>
      <c r="D130" s="17" t="str">
        <f aca="false">IFERROR(INDEX(Ref_TEST!$C$2:$C$201,MATCH(B130,Ref_TEST!$A$2:$A$201,0)),"")</f>
        <v/>
      </c>
      <c r="E130" s="17" t="str">
        <f aca="false">IFERROR(INDEX(Ref_TEST!$D$2:$D$201,MATCH(B130,Ref_TEST!$A$2:$A$201,0)),"")</f>
        <v/>
      </c>
      <c r="F130" s="16"/>
      <c r="G130" s="16"/>
      <c r="H130" s="16"/>
      <c r="I130" s="16"/>
      <c r="J130" s="16"/>
      <c r="K130" s="16"/>
      <c r="L130" s="16"/>
      <c r="M130" s="16"/>
      <c r="N130" s="16"/>
      <c r="O130" s="16"/>
      <c r="P130" s="16"/>
      <c r="Q130" s="16"/>
      <c r="R130" s="16"/>
      <c r="S130" s="18"/>
      <c r="T130" s="16"/>
      <c r="U130" s="16"/>
      <c r="V130" s="17" t="str">
        <f aca="false">IF(A130="","",IF(COUNTIF(Ref_TEST!$A$2:$A$201,B130)=0,"TEST-ID not in W10",IF(OR(F130="",G130="",H130="",I130="",J130=""),"Type, condition, criteria, cause, effect needed",IF(O130="","Severity needed",IF(AND(M130&lt;&gt;"",N130=""),"Compensating control test result needed",IF(AND(O130&lt;&gt;"Control deficiency",P130=""),"Assign to an aggregation group",IF(AND(U130&lt;&gt;"Draft",OR(Q130="",R130="",S130="")),"Response, owner and due date needed",IF(AND(U130="Closed",T130=""),"Closed requires a retest TEST-ID","OK"))))))))</f>
        <v/>
      </c>
    </row>
    <row r="131" customFormat="false" ht="15" hidden="false" customHeight="false" outlineLevel="0" collapsed="false">
      <c r="A131" s="16"/>
      <c r="B131" s="16"/>
      <c r="C131" s="17" t="str">
        <f aca="false">IFERROR(INDEX(Ref_TEST!$B$2:$B$201,MATCH(B131,Ref_TEST!$A$2:$A$201,0)),"")</f>
        <v/>
      </c>
      <c r="D131" s="17" t="str">
        <f aca="false">IFERROR(INDEX(Ref_TEST!$C$2:$C$201,MATCH(B131,Ref_TEST!$A$2:$A$201,0)),"")</f>
        <v/>
      </c>
      <c r="E131" s="17" t="str">
        <f aca="false">IFERROR(INDEX(Ref_TEST!$D$2:$D$201,MATCH(B131,Ref_TEST!$A$2:$A$201,0)),"")</f>
        <v/>
      </c>
      <c r="F131" s="16"/>
      <c r="G131" s="16"/>
      <c r="H131" s="16"/>
      <c r="I131" s="16"/>
      <c r="J131" s="16"/>
      <c r="K131" s="16"/>
      <c r="L131" s="16"/>
      <c r="M131" s="16"/>
      <c r="N131" s="16"/>
      <c r="O131" s="16"/>
      <c r="P131" s="16"/>
      <c r="Q131" s="16"/>
      <c r="R131" s="16"/>
      <c r="S131" s="18"/>
      <c r="T131" s="16"/>
      <c r="U131" s="16"/>
      <c r="V131" s="17" t="str">
        <f aca="false">IF(A131="","",IF(COUNTIF(Ref_TEST!$A$2:$A$201,B131)=0,"TEST-ID not in W10",IF(OR(F131="",G131="",H131="",I131="",J131=""),"Type, condition, criteria, cause, effect needed",IF(O131="","Severity needed",IF(AND(M131&lt;&gt;"",N131=""),"Compensating control test result needed",IF(AND(O131&lt;&gt;"Control deficiency",P131=""),"Assign to an aggregation group",IF(AND(U131&lt;&gt;"Draft",OR(Q131="",R131="",S131="")),"Response, owner and due date needed",IF(AND(U131="Closed",T131=""),"Closed requires a retest TEST-ID","OK"))))))))</f>
        <v/>
      </c>
    </row>
    <row r="132" customFormat="false" ht="15" hidden="false" customHeight="false" outlineLevel="0" collapsed="false">
      <c r="A132" s="16"/>
      <c r="B132" s="16"/>
      <c r="C132" s="17" t="str">
        <f aca="false">IFERROR(INDEX(Ref_TEST!$B$2:$B$201,MATCH(B132,Ref_TEST!$A$2:$A$201,0)),"")</f>
        <v/>
      </c>
      <c r="D132" s="17" t="str">
        <f aca="false">IFERROR(INDEX(Ref_TEST!$C$2:$C$201,MATCH(B132,Ref_TEST!$A$2:$A$201,0)),"")</f>
        <v/>
      </c>
      <c r="E132" s="17" t="str">
        <f aca="false">IFERROR(INDEX(Ref_TEST!$D$2:$D$201,MATCH(B132,Ref_TEST!$A$2:$A$201,0)),"")</f>
        <v/>
      </c>
      <c r="F132" s="16"/>
      <c r="G132" s="16"/>
      <c r="H132" s="16"/>
      <c r="I132" s="16"/>
      <c r="J132" s="16"/>
      <c r="K132" s="16"/>
      <c r="L132" s="16"/>
      <c r="M132" s="16"/>
      <c r="N132" s="16"/>
      <c r="O132" s="16"/>
      <c r="P132" s="16"/>
      <c r="Q132" s="16"/>
      <c r="R132" s="16"/>
      <c r="S132" s="18"/>
      <c r="T132" s="16"/>
      <c r="U132" s="16"/>
      <c r="V132" s="17" t="str">
        <f aca="false">IF(A132="","",IF(COUNTIF(Ref_TEST!$A$2:$A$201,B132)=0,"TEST-ID not in W10",IF(OR(F132="",G132="",H132="",I132="",J132=""),"Type, condition, criteria, cause, effect needed",IF(O132="","Severity needed",IF(AND(M132&lt;&gt;"",N132=""),"Compensating control test result needed",IF(AND(O132&lt;&gt;"Control deficiency",P132=""),"Assign to an aggregation group",IF(AND(U132&lt;&gt;"Draft",OR(Q132="",R132="",S132="")),"Response, owner and due date needed",IF(AND(U132="Closed",T132=""),"Closed requires a retest TEST-ID","OK"))))))))</f>
        <v/>
      </c>
    </row>
    <row r="133" customFormat="false" ht="15" hidden="false" customHeight="false" outlineLevel="0" collapsed="false">
      <c r="A133" s="16"/>
      <c r="B133" s="16"/>
      <c r="C133" s="17" t="str">
        <f aca="false">IFERROR(INDEX(Ref_TEST!$B$2:$B$201,MATCH(B133,Ref_TEST!$A$2:$A$201,0)),"")</f>
        <v/>
      </c>
      <c r="D133" s="17" t="str">
        <f aca="false">IFERROR(INDEX(Ref_TEST!$C$2:$C$201,MATCH(B133,Ref_TEST!$A$2:$A$201,0)),"")</f>
        <v/>
      </c>
      <c r="E133" s="17" t="str">
        <f aca="false">IFERROR(INDEX(Ref_TEST!$D$2:$D$201,MATCH(B133,Ref_TEST!$A$2:$A$201,0)),"")</f>
        <v/>
      </c>
      <c r="F133" s="16"/>
      <c r="G133" s="16"/>
      <c r="H133" s="16"/>
      <c r="I133" s="16"/>
      <c r="J133" s="16"/>
      <c r="K133" s="16"/>
      <c r="L133" s="16"/>
      <c r="M133" s="16"/>
      <c r="N133" s="16"/>
      <c r="O133" s="16"/>
      <c r="P133" s="16"/>
      <c r="Q133" s="16"/>
      <c r="R133" s="16"/>
      <c r="S133" s="18"/>
      <c r="T133" s="16"/>
      <c r="U133" s="16"/>
      <c r="V133" s="17" t="str">
        <f aca="false">IF(A133="","",IF(COUNTIF(Ref_TEST!$A$2:$A$201,B133)=0,"TEST-ID not in W10",IF(OR(F133="",G133="",H133="",I133="",J133=""),"Type, condition, criteria, cause, effect needed",IF(O133="","Severity needed",IF(AND(M133&lt;&gt;"",N133=""),"Compensating control test result needed",IF(AND(O133&lt;&gt;"Control deficiency",P133=""),"Assign to an aggregation group",IF(AND(U133&lt;&gt;"Draft",OR(Q133="",R133="",S133="")),"Response, owner and due date needed",IF(AND(U133="Closed",T133=""),"Closed requires a retest TEST-ID","OK"))))))))</f>
        <v/>
      </c>
    </row>
    <row r="134" customFormat="false" ht="15" hidden="false" customHeight="false" outlineLevel="0" collapsed="false">
      <c r="A134" s="16"/>
      <c r="B134" s="16"/>
      <c r="C134" s="17" t="str">
        <f aca="false">IFERROR(INDEX(Ref_TEST!$B$2:$B$201,MATCH(B134,Ref_TEST!$A$2:$A$201,0)),"")</f>
        <v/>
      </c>
      <c r="D134" s="17" t="str">
        <f aca="false">IFERROR(INDEX(Ref_TEST!$C$2:$C$201,MATCH(B134,Ref_TEST!$A$2:$A$201,0)),"")</f>
        <v/>
      </c>
      <c r="E134" s="17" t="str">
        <f aca="false">IFERROR(INDEX(Ref_TEST!$D$2:$D$201,MATCH(B134,Ref_TEST!$A$2:$A$201,0)),"")</f>
        <v/>
      </c>
      <c r="F134" s="16"/>
      <c r="G134" s="16"/>
      <c r="H134" s="16"/>
      <c r="I134" s="16"/>
      <c r="J134" s="16"/>
      <c r="K134" s="16"/>
      <c r="L134" s="16"/>
      <c r="M134" s="16"/>
      <c r="N134" s="16"/>
      <c r="O134" s="16"/>
      <c r="P134" s="16"/>
      <c r="Q134" s="16"/>
      <c r="R134" s="16"/>
      <c r="S134" s="18"/>
      <c r="T134" s="16"/>
      <c r="U134" s="16"/>
      <c r="V134" s="17" t="str">
        <f aca="false">IF(A134="","",IF(COUNTIF(Ref_TEST!$A$2:$A$201,B134)=0,"TEST-ID not in W10",IF(OR(F134="",G134="",H134="",I134="",J134=""),"Type, condition, criteria, cause, effect needed",IF(O134="","Severity needed",IF(AND(M134&lt;&gt;"",N134=""),"Compensating control test result needed",IF(AND(O134&lt;&gt;"Control deficiency",P134=""),"Assign to an aggregation group",IF(AND(U134&lt;&gt;"Draft",OR(Q134="",R134="",S134="")),"Response, owner and due date needed",IF(AND(U134="Closed",T134=""),"Closed requires a retest TEST-ID","OK"))))))))</f>
        <v/>
      </c>
    </row>
    <row r="135" customFormat="false" ht="15" hidden="false" customHeight="false" outlineLevel="0" collapsed="false">
      <c r="A135" s="16"/>
      <c r="B135" s="16"/>
      <c r="C135" s="17" t="str">
        <f aca="false">IFERROR(INDEX(Ref_TEST!$B$2:$B$201,MATCH(B135,Ref_TEST!$A$2:$A$201,0)),"")</f>
        <v/>
      </c>
      <c r="D135" s="17" t="str">
        <f aca="false">IFERROR(INDEX(Ref_TEST!$C$2:$C$201,MATCH(B135,Ref_TEST!$A$2:$A$201,0)),"")</f>
        <v/>
      </c>
      <c r="E135" s="17" t="str">
        <f aca="false">IFERROR(INDEX(Ref_TEST!$D$2:$D$201,MATCH(B135,Ref_TEST!$A$2:$A$201,0)),"")</f>
        <v/>
      </c>
      <c r="F135" s="16"/>
      <c r="G135" s="16"/>
      <c r="H135" s="16"/>
      <c r="I135" s="16"/>
      <c r="J135" s="16"/>
      <c r="K135" s="16"/>
      <c r="L135" s="16"/>
      <c r="M135" s="16"/>
      <c r="N135" s="16"/>
      <c r="O135" s="16"/>
      <c r="P135" s="16"/>
      <c r="Q135" s="16"/>
      <c r="R135" s="16"/>
      <c r="S135" s="18"/>
      <c r="T135" s="16"/>
      <c r="U135" s="16"/>
      <c r="V135" s="17" t="str">
        <f aca="false">IF(A135="","",IF(COUNTIF(Ref_TEST!$A$2:$A$201,B135)=0,"TEST-ID not in W10",IF(OR(F135="",G135="",H135="",I135="",J135=""),"Type, condition, criteria, cause, effect needed",IF(O135="","Severity needed",IF(AND(M135&lt;&gt;"",N135=""),"Compensating control test result needed",IF(AND(O135&lt;&gt;"Control deficiency",P135=""),"Assign to an aggregation group",IF(AND(U135&lt;&gt;"Draft",OR(Q135="",R135="",S135="")),"Response, owner and due date needed",IF(AND(U135="Closed",T135=""),"Closed requires a retest TEST-ID","OK"))))))))</f>
        <v/>
      </c>
    </row>
    <row r="136" customFormat="false" ht="15" hidden="false" customHeight="false" outlineLevel="0" collapsed="false">
      <c r="A136" s="16"/>
      <c r="B136" s="16"/>
      <c r="C136" s="17" t="str">
        <f aca="false">IFERROR(INDEX(Ref_TEST!$B$2:$B$201,MATCH(B136,Ref_TEST!$A$2:$A$201,0)),"")</f>
        <v/>
      </c>
      <c r="D136" s="17" t="str">
        <f aca="false">IFERROR(INDEX(Ref_TEST!$C$2:$C$201,MATCH(B136,Ref_TEST!$A$2:$A$201,0)),"")</f>
        <v/>
      </c>
      <c r="E136" s="17" t="str">
        <f aca="false">IFERROR(INDEX(Ref_TEST!$D$2:$D$201,MATCH(B136,Ref_TEST!$A$2:$A$201,0)),"")</f>
        <v/>
      </c>
      <c r="F136" s="16"/>
      <c r="G136" s="16"/>
      <c r="H136" s="16"/>
      <c r="I136" s="16"/>
      <c r="J136" s="16"/>
      <c r="K136" s="16"/>
      <c r="L136" s="16"/>
      <c r="M136" s="16"/>
      <c r="N136" s="16"/>
      <c r="O136" s="16"/>
      <c r="P136" s="16"/>
      <c r="Q136" s="16"/>
      <c r="R136" s="16"/>
      <c r="S136" s="18"/>
      <c r="T136" s="16"/>
      <c r="U136" s="16"/>
      <c r="V136" s="17" t="str">
        <f aca="false">IF(A136="","",IF(COUNTIF(Ref_TEST!$A$2:$A$201,B136)=0,"TEST-ID not in W10",IF(OR(F136="",G136="",H136="",I136="",J136=""),"Type, condition, criteria, cause, effect needed",IF(O136="","Severity needed",IF(AND(M136&lt;&gt;"",N136=""),"Compensating control test result needed",IF(AND(O136&lt;&gt;"Control deficiency",P136=""),"Assign to an aggregation group",IF(AND(U136&lt;&gt;"Draft",OR(Q136="",R136="",S136="")),"Response, owner and due date needed",IF(AND(U136="Closed",T136=""),"Closed requires a retest TEST-ID","OK"))))))))</f>
        <v/>
      </c>
    </row>
    <row r="137" customFormat="false" ht="15" hidden="false" customHeight="false" outlineLevel="0" collapsed="false">
      <c r="A137" s="16"/>
      <c r="B137" s="16"/>
      <c r="C137" s="17" t="str">
        <f aca="false">IFERROR(INDEX(Ref_TEST!$B$2:$B$201,MATCH(B137,Ref_TEST!$A$2:$A$201,0)),"")</f>
        <v/>
      </c>
      <c r="D137" s="17" t="str">
        <f aca="false">IFERROR(INDEX(Ref_TEST!$C$2:$C$201,MATCH(B137,Ref_TEST!$A$2:$A$201,0)),"")</f>
        <v/>
      </c>
      <c r="E137" s="17" t="str">
        <f aca="false">IFERROR(INDEX(Ref_TEST!$D$2:$D$201,MATCH(B137,Ref_TEST!$A$2:$A$201,0)),"")</f>
        <v/>
      </c>
      <c r="F137" s="16"/>
      <c r="G137" s="16"/>
      <c r="H137" s="16"/>
      <c r="I137" s="16"/>
      <c r="J137" s="16"/>
      <c r="K137" s="16"/>
      <c r="L137" s="16"/>
      <c r="M137" s="16"/>
      <c r="N137" s="16"/>
      <c r="O137" s="16"/>
      <c r="P137" s="16"/>
      <c r="Q137" s="16"/>
      <c r="R137" s="16"/>
      <c r="S137" s="18"/>
      <c r="T137" s="16"/>
      <c r="U137" s="16"/>
      <c r="V137" s="17" t="str">
        <f aca="false">IF(A137="","",IF(COUNTIF(Ref_TEST!$A$2:$A$201,B137)=0,"TEST-ID not in W10",IF(OR(F137="",G137="",H137="",I137="",J137=""),"Type, condition, criteria, cause, effect needed",IF(O137="","Severity needed",IF(AND(M137&lt;&gt;"",N137=""),"Compensating control test result needed",IF(AND(O137&lt;&gt;"Control deficiency",P137=""),"Assign to an aggregation group",IF(AND(U137&lt;&gt;"Draft",OR(Q137="",R137="",S137="")),"Response, owner and due date needed",IF(AND(U137="Closed",T137=""),"Closed requires a retest TEST-ID","OK"))))))))</f>
        <v/>
      </c>
    </row>
    <row r="138" customFormat="false" ht="15" hidden="false" customHeight="false" outlineLevel="0" collapsed="false">
      <c r="A138" s="16"/>
      <c r="B138" s="16"/>
      <c r="C138" s="17" t="str">
        <f aca="false">IFERROR(INDEX(Ref_TEST!$B$2:$B$201,MATCH(B138,Ref_TEST!$A$2:$A$201,0)),"")</f>
        <v/>
      </c>
      <c r="D138" s="17" t="str">
        <f aca="false">IFERROR(INDEX(Ref_TEST!$C$2:$C$201,MATCH(B138,Ref_TEST!$A$2:$A$201,0)),"")</f>
        <v/>
      </c>
      <c r="E138" s="17" t="str">
        <f aca="false">IFERROR(INDEX(Ref_TEST!$D$2:$D$201,MATCH(B138,Ref_TEST!$A$2:$A$201,0)),"")</f>
        <v/>
      </c>
      <c r="F138" s="16"/>
      <c r="G138" s="16"/>
      <c r="H138" s="16"/>
      <c r="I138" s="16"/>
      <c r="J138" s="16"/>
      <c r="K138" s="16"/>
      <c r="L138" s="16"/>
      <c r="M138" s="16"/>
      <c r="N138" s="16"/>
      <c r="O138" s="16"/>
      <c r="P138" s="16"/>
      <c r="Q138" s="16"/>
      <c r="R138" s="16"/>
      <c r="S138" s="18"/>
      <c r="T138" s="16"/>
      <c r="U138" s="16"/>
      <c r="V138" s="17" t="str">
        <f aca="false">IF(A138="","",IF(COUNTIF(Ref_TEST!$A$2:$A$201,B138)=0,"TEST-ID not in W10",IF(OR(F138="",G138="",H138="",I138="",J138=""),"Type, condition, criteria, cause, effect needed",IF(O138="","Severity needed",IF(AND(M138&lt;&gt;"",N138=""),"Compensating control test result needed",IF(AND(O138&lt;&gt;"Control deficiency",P138=""),"Assign to an aggregation group",IF(AND(U138&lt;&gt;"Draft",OR(Q138="",R138="",S138="")),"Response, owner and due date needed",IF(AND(U138="Closed",T138=""),"Closed requires a retest TEST-ID","OK"))))))))</f>
        <v/>
      </c>
    </row>
    <row r="139" customFormat="false" ht="15" hidden="false" customHeight="false" outlineLevel="0" collapsed="false">
      <c r="A139" s="16"/>
      <c r="B139" s="16"/>
      <c r="C139" s="17" t="str">
        <f aca="false">IFERROR(INDEX(Ref_TEST!$B$2:$B$201,MATCH(B139,Ref_TEST!$A$2:$A$201,0)),"")</f>
        <v/>
      </c>
      <c r="D139" s="17" t="str">
        <f aca="false">IFERROR(INDEX(Ref_TEST!$C$2:$C$201,MATCH(B139,Ref_TEST!$A$2:$A$201,0)),"")</f>
        <v/>
      </c>
      <c r="E139" s="17" t="str">
        <f aca="false">IFERROR(INDEX(Ref_TEST!$D$2:$D$201,MATCH(B139,Ref_TEST!$A$2:$A$201,0)),"")</f>
        <v/>
      </c>
      <c r="F139" s="16"/>
      <c r="G139" s="16"/>
      <c r="H139" s="16"/>
      <c r="I139" s="16"/>
      <c r="J139" s="16"/>
      <c r="K139" s="16"/>
      <c r="L139" s="16"/>
      <c r="M139" s="16"/>
      <c r="N139" s="16"/>
      <c r="O139" s="16"/>
      <c r="P139" s="16"/>
      <c r="Q139" s="16"/>
      <c r="R139" s="16"/>
      <c r="S139" s="18"/>
      <c r="T139" s="16"/>
      <c r="U139" s="16"/>
      <c r="V139" s="17" t="str">
        <f aca="false">IF(A139="","",IF(COUNTIF(Ref_TEST!$A$2:$A$201,B139)=0,"TEST-ID not in W10",IF(OR(F139="",G139="",H139="",I139="",J139=""),"Type, condition, criteria, cause, effect needed",IF(O139="","Severity needed",IF(AND(M139&lt;&gt;"",N139=""),"Compensating control test result needed",IF(AND(O139&lt;&gt;"Control deficiency",P139=""),"Assign to an aggregation group",IF(AND(U139&lt;&gt;"Draft",OR(Q139="",R139="",S139="")),"Response, owner and due date needed",IF(AND(U139="Closed",T139=""),"Closed requires a retest TEST-ID","OK"))))))))</f>
        <v/>
      </c>
    </row>
    <row r="140" customFormat="false" ht="15" hidden="false" customHeight="false" outlineLevel="0" collapsed="false">
      <c r="A140" s="16"/>
      <c r="B140" s="16"/>
      <c r="C140" s="17" t="str">
        <f aca="false">IFERROR(INDEX(Ref_TEST!$B$2:$B$201,MATCH(B140,Ref_TEST!$A$2:$A$201,0)),"")</f>
        <v/>
      </c>
      <c r="D140" s="17" t="str">
        <f aca="false">IFERROR(INDEX(Ref_TEST!$C$2:$C$201,MATCH(B140,Ref_TEST!$A$2:$A$201,0)),"")</f>
        <v/>
      </c>
      <c r="E140" s="17" t="str">
        <f aca="false">IFERROR(INDEX(Ref_TEST!$D$2:$D$201,MATCH(B140,Ref_TEST!$A$2:$A$201,0)),"")</f>
        <v/>
      </c>
      <c r="F140" s="16"/>
      <c r="G140" s="16"/>
      <c r="H140" s="16"/>
      <c r="I140" s="16"/>
      <c r="J140" s="16"/>
      <c r="K140" s="16"/>
      <c r="L140" s="16"/>
      <c r="M140" s="16"/>
      <c r="N140" s="16"/>
      <c r="O140" s="16"/>
      <c r="P140" s="16"/>
      <c r="Q140" s="16"/>
      <c r="R140" s="16"/>
      <c r="S140" s="18"/>
      <c r="T140" s="16"/>
      <c r="U140" s="16"/>
      <c r="V140" s="17" t="str">
        <f aca="false">IF(A140="","",IF(COUNTIF(Ref_TEST!$A$2:$A$201,B140)=0,"TEST-ID not in W10",IF(OR(F140="",G140="",H140="",I140="",J140=""),"Type, condition, criteria, cause, effect needed",IF(O140="","Severity needed",IF(AND(M140&lt;&gt;"",N140=""),"Compensating control test result needed",IF(AND(O140&lt;&gt;"Control deficiency",P140=""),"Assign to an aggregation group",IF(AND(U140&lt;&gt;"Draft",OR(Q140="",R140="",S140="")),"Response, owner and due date needed",IF(AND(U140="Closed",T140=""),"Closed requires a retest TEST-ID","OK"))))))))</f>
        <v/>
      </c>
    </row>
    <row r="141" customFormat="false" ht="15" hidden="false" customHeight="false" outlineLevel="0" collapsed="false">
      <c r="A141" s="16"/>
      <c r="B141" s="16"/>
      <c r="C141" s="17" t="str">
        <f aca="false">IFERROR(INDEX(Ref_TEST!$B$2:$B$201,MATCH(B141,Ref_TEST!$A$2:$A$201,0)),"")</f>
        <v/>
      </c>
      <c r="D141" s="17" t="str">
        <f aca="false">IFERROR(INDEX(Ref_TEST!$C$2:$C$201,MATCH(B141,Ref_TEST!$A$2:$A$201,0)),"")</f>
        <v/>
      </c>
      <c r="E141" s="17" t="str">
        <f aca="false">IFERROR(INDEX(Ref_TEST!$D$2:$D$201,MATCH(B141,Ref_TEST!$A$2:$A$201,0)),"")</f>
        <v/>
      </c>
      <c r="F141" s="16"/>
      <c r="G141" s="16"/>
      <c r="H141" s="16"/>
      <c r="I141" s="16"/>
      <c r="J141" s="16"/>
      <c r="K141" s="16"/>
      <c r="L141" s="16"/>
      <c r="M141" s="16"/>
      <c r="N141" s="16"/>
      <c r="O141" s="16"/>
      <c r="P141" s="16"/>
      <c r="Q141" s="16"/>
      <c r="R141" s="16"/>
      <c r="S141" s="18"/>
      <c r="T141" s="16"/>
      <c r="U141" s="16"/>
      <c r="V141" s="17" t="str">
        <f aca="false">IF(A141="","",IF(COUNTIF(Ref_TEST!$A$2:$A$201,B141)=0,"TEST-ID not in W10",IF(OR(F141="",G141="",H141="",I141="",J141=""),"Type, condition, criteria, cause, effect needed",IF(O141="","Severity needed",IF(AND(M141&lt;&gt;"",N141=""),"Compensating control test result needed",IF(AND(O141&lt;&gt;"Control deficiency",P141=""),"Assign to an aggregation group",IF(AND(U141&lt;&gt;"Draft",OR(Q141="",R141="",S141="")),"Response, owner and due date needed",IF(AND(U141="Closed",T141=""),"Closed requires a retest TEST-ID","OK"))))))))</f>
        <v/>
      </c>
    </row>
    <row r="142" customFormat="false" ht="15" hidden="false" customHeight="false" outlineLevel="0" collapsed="false">
      <c r="A142" s="16"/>
      <c r="B142" s="16"/>
      <c r="C142" s="17" t="str">
        <f aca="false">IFERROR(INDEX(Ref_TEST!$B$2:$B$201,MATCH(B142,Ref_TEST!$A$2:$A$201,0)),"")</f>
        <v/>
      </c>
      <c r="D142" s="17" t="str">
        <f aca="false">IFERROR(INDEX(Ref_TEST!$C$2:$C$201,MATCH(B142,Ref_TEST!$A$2:$A$201,0)),"")</f>
        <v/>
      </c>
      <c r="E142" s="17" t="str">
        <f aca="false">IFERROR(INDEX(Ref_TEST!$D$2:$D$201,MATCH(B142,Ref_TEST!$A$2:$A$201,0)),"")</f>
        <v/>
      </c>
      <c r="F142" s="16"/>
      <c r="G142" s="16"/>
      <c r="H142" s="16"/>
      <c r="I142" s="16"/>
      <c r="J142" s="16"/>
      <c r="K142" s="16"/>
      <c r="L142" s="16"/>
      <c r="M142" s="16"/>
      <c r="N142" s="16"/>
      <c r="O142" s="16"/>
      <c r="P142" s="16"/>
      <c r="Q142" s="16"/>
      <c r="R142" s="16"/>
      <c r="S142" s="18"/>
      <c r="T142" s="16"/>
      <c r="U142" s="16"/>
      <c r="V142" s="17" t="str">
        <f aca="false">IF(A142="","",IF(COUNTIF(Ref_TEST!$A$2:$A$201,B142)=0,"TEST-ID not in W10",IF(OR(F142="",G142="",H142="",I142="",J142=""),"Type, condition, criteria, cause, effect needed",IF(O142="","Severity needed",IF(AND(M142&lt;&gt;"",N142=""),"Compensating control test result needed",IF(AND(O142&lt;&gt;"Control deficiency",P142=""),"Assign to an aggregation group",IF(AND(U142&lt;&gt;"Draft",OR(Q142="",R142="",S142="")),"Response, owner and due date needed",IF(AND(U142="Closed",T142=""),"Closed requires a retest TEST-ID","OK"))))))))</f>
        <v/>
      </c>
    </row>
    <row r="143" customFormat="false" ht="15" hidden="false" customHeight="false" outlineLevel="0" collapsed="false">
      <c r="A143" s="16"/>
      <c r="B143" s="16"/>
      <c r="C143" s="17" t="str">
        <f aca="false">IFERROR(INDEX(Ref_TEST!$B$2:$B$201,MATCH(B143,Ref_TEST!$A$2:$A$201,0)),"")</f>
        <v/>
      </c>
      <c r="D143" s="17" t="str">
        <f aca="false">IFERROR(INDEX(Ref_TEST!$C$2:$C$201,MATCH(B143,Ref_TEST!$A$2:$A$201,0)),"")</f>
        <v/>
      </c>
      <c r="E143" s="17" t="str">
        <f aca="false">IFERROR(INDEX(Ref_TEST!$D$2:$D$201,MATCH(B143,Ref_TEST!$A$2:$A$201,0)),"")</f>
        <v/>
      </c>
      <c r="F143" s="16"/>
      <c r="G143" s="16"/>
      <c r="H143" s="16"/>
      <c r="I143" s="16"/>
      <c r="J143" s="16"/>
      <c r="K143" s="16"/>
      <c r="L143" s="16"/>
      <c r="M143" s="16"/>
      <c r="N143" s="16"/>
      <c r="O143" s="16"/>
      <c r="P143" s="16"/>
      <c r="Q143" s="16"/>
      <c r="R143" s="16"/>
      <c r="S143" s="18"/>
      <c r="T143" s="16"/>
      <c r="U143" s="16"/>
      <c r="V143" s="17" t="str">
        <f aca="false">IF(A143="","",IF(COUNTIF(Ref_TEST!$A$2:$A$201,B143)=0,"TEST-ID not in W10",IF(OR(F143="",G143="",H143="",I143="",J143=""),"Type, condition, criteria, cause, effect needed",IF(O143="","Severity needed",IF(AND(M143&lt;&gt;"",N143=""),"Compensating control test result needed",IF(AND(O143&lt;&gt;"Control deficiency",P143=""),"Assign to an aggregation group",IF(AND(U143&lt;&gt;"Draft",OR(Q143="",R143="",S143="")),"Response, owner and due date needed",IF(AND(U143="Closed",T143=""),"Closed requires a retest TEST-ID","OK"))))))))</f>
        <v/>
      </c>
    </row>
    <row r="144" customFormat="false" ht="15" hidden="false" customHeight="false" outlineLevel="0" collapsed="false">
      <c r="A144" s="16"/>
      <c r="B144" s="16"/>
      <c r="C144" s="17" t="str">
        <f aca="false">IFERROR(INDEX(Ref_TEST!$B$2:$B$201,MATCH(B144,Ref_TEST!$A$2:$A$201,0)),"")</f>
        <v/>
      </c>
      <c r="D144" s="17" t="str">
        <f aca="false">IFERROR(INDEX(Ref_TEST!$C$2:$C$201,MATCH(B144,Ref_TEST!$A$2:$A$201,0)),"")</f>
        <v/>
      </c>
      <c r="E144" s="17" t="str">
        <f aca="false">IFERROR(INDEX(Ref_TEST!$D$2:$D$201,MATCH(B144,Ref_TEST!$A$2:$A$201,0)),"")</f>
        <v/>
      </c>
      <c r="F144" s="16"/>
      <c r="G144" s="16"/>
      <c r="H144" s="16"/>
      <c r="I144" s="16"/>
      <c r="J144" s="16"/>
      <c r="K144" s="16"/>
      <c r="L144" s="16"/>
      <c r="M144" s="16"/>
      <c r="N144" s="16"/>
      <c r="O144" s="16"/>
      <c r="P144" s="16"/>
      <c r="Q144" s="16"/>
      <c r="R144" s="16"/>
      <c r="S144" s="18"/>
      <c r="T144" s="16"/>
      <c r="U144" s="16"/>
      <c r="V144" s="17" t="str">
        <f aca="false">IF(A144="","",IF(COUNTIF(Ref_TEST!$A$2:$A$201,B144)=0,"TEST-ID not in W10",IF(OR(F144="",G144="",H144="",I144="",J144=""),"Type, condition, criteria, cause, effect needed",IF(O144="","Severity needed",IF(AND(M144&lt;&gt;"",N144=""),"Compensating control test result needed",IF(AND(O144&lt;&gt;"Control deficiency",P144=""),"Assign to an aggregation group",IF(AND(U144&lt;&gt;"Draft",OR(Q144="",R144="",S144="")),"Response, owner and due date needed",IF(AND(U144="Closed",T144=""),"Closed requires a retest TEST-ID","OK"))))))))</f>
        <v/>
      </c>
    </row>
    <row r="145" customFormat="false" ht="15" hidden="false" customHeight="false" outlineLevel="0" collapsed="false">
      <c r="A145" s="16"/>
      <c r="B145" s="16"/>
      <c r="C145" s="17" t="str">
        <f aca="false">IFERROR(INDEX(Ref_TEST!$B$2:$B$201,MATCH(B145,Ref_TEST!$A$2:$A$201,0)),"")</f>
        <v/>
      </c>
      <c r="D145" s="17" t="str">
        <f aca="false">IFERROR(INDEX(Ref_TEST!$C$2:$C$201,MATCH(B145,Ref_TEST!$A$2:$A$201,0)),"")</f>
        <v/>
      </c>
      <c r="E145" s="17" t="str">
        <f aca="false">IFERROR(INDEX(Ref_TEST!$D$2:$D$201,MATCH(B145,Ref_TEST!$A$2:$A$201,0)),"")</f>
        <v/>
      </c>
      <c r="F145" s="16"/>
      <c r="G145" s="16"/>
      <c r="H145" s="16"/>
      <c r="I145" s="16"/>
      <c r="J145" s="16"/>
      <c r="K145" s="16"/>
      <c r="L145" s="16"/>
      <c r="M145" s="16"/>
      <c r="N145" s="16"/>
      <c r="O145" s="16"/>
      <c r="P145" s="16"/>
      <c r="Q145" s="16"/>
      <c r="R145" s="16"/>
      <c r="S145" s="18"/>
      <c r="T145" s="16"/>
      <c r="U145" s="16"/>
      <c r="V145" s="17" t="str">
        <f aca="false">IF(A145="","",IF(COUNTIF(Ref_TEST!$A$2:$A$201,B145)=0,"TEST-ID not in W10",IF(OR(F145="",G145="",H145="",I145="",J145=""),"Type, condition, criteria, cause, effect needed",IF(O145="","Severity needed",IF(AND(M145&lt;&gt;"",N145=""),"Compensating control test result needed",IF(AND(O145&lt;&gt;"Control deficiency",P145=""),"Assign to an aggregation group",IF(AND(U145&lt;&gt;"Draft",OR(Q145="",R145="",S145="")),"Response, owner and due date needed",IF(AND(U145="Closed",T145=""),"Closed requires a retest TEST-ID","OK"))))))))</f>
        <v/>
      </c>
    </row>
    <row r="146" customFormat="false" ht="15" hidden="false" customHeight="false" outlineLevel="0" collapsed="false">
      <c r="A146" s="16"/>
      <c r="B146" s="16"/>
      <c r="C146" s="17" t="str">
        <f aca="false">IFERROR(INDEX(Ref_TEST!$B$2:$B$201,MATCH(B146,Ref_TEST!$A$2:$A$201,0)),"")</f>
        <v/>
      </c>
      <c r="D146" s="17" t="str">
        <f aca="false">IFERROR(INDEX(Ref_TEST!$C$2:$C$201,MATCH(B146,Ref_TEST!$A$2:$A$201,0)),"")</f>
        <v/>
      </c>
      <c r="E146" s="17" t="str">
        <f aca="false">IFERROR(INDEX(Ref_TEST!$D$2:$D$201,MATCH(B146,Ref_TEST!$A$2:$A$201,0)),"")</f>
        <v/>
      </c>
      <c r="F146" s="16"/>
      <c r="G146" s="16"/>
      <c r="H146" s="16"/>
      <c r="I146" s="16"/>
      <c r="J146" s="16"/>
      <c r="K146" s="16"/>
      <c r="L146" s="16"/>
      <c r="M146" s="16"/>
      <c r="N146" s="16"/>
      <c r="O146" s="16"/>
      <c r="P146" s="16"/>
      <c r="Q146" s="16"/>
      <c r="R146" s="16"/>
      <c r="S146" s="18"/>
      <c r="T146" s="16"/>
      <c r="U146" s="16"/>
      <c r="V146" s="17" t="str">
        <f aca="false">IF(A146="","",IF(COUNTIF(Ref_TEST!$A$2:$A$201,B146)=0,"TEST-ID not in W10",IF(OR(F146="",G146="",H146="",I146="",J146=""),"Type, condition, criteria, cause, effect needed",IF(O146="","Severity needed",IF(AND(M146&lt;&gt;"",N146=""),"Compensating control test result needed",IF(AND(O146&lt;&gt;"Control deficiency",P146=""),"Assign to an aggregation group",IF(AND(U146&lt;&gt;"Draft",OR(Q146="",R146="",S146="")),"Response, owner and due date needed",IF(AND(U146="Closed",T146=""),"Closed requires a retest TEST-ID","OK"))))))))</f>
        <v/>
      </c>
    </row>
    <row r="147" customFormat="false" ht="15" hidden="false" customHeight="false" outlineLevel="0" collapsed="false">
      <c r="A147" s="16"/>
      <c r="B147" s="16"/>
      <c r="C147" s="17" t="str">
        <f aca="false">IFERROR(INDEX(Ref_TEST!$B$2:$B$201,MATCH(B147,Ref_TEST!$A$2:$A$201,0)),"")</f>
        <v/>
      </c>
      <c r="D147" s="17" t="str">
        <f aca="false">IFERROR(INDEX(Ref_TEST!$C$2:$C$201,MATCH(B147,Ref_TEST!$A$2:$A$201,0)),"")</f>
        <v/>
      </c>
      <c r="E147" s="17" t="str">
        <f aca="false">IFERROR(INDEX(Ref_TEST!$D$2:$D$201,MATCH(B147,Ref_TEST!$A$2:$A$201,0)),"")</f>
        <v/>
      </c>
      <c r="F147" s="16"/>
      <c r="G147" s="16"/>
      <c r="H147" s="16"/>
      <c r="I147" s="16"/>
      <c r="J147" s="16"/>
      <c r="K147" s="16"/>
      <c r="L147" s="16"/>
      <c r="M147" s="16"/>
      <c r="N147" s="16"/>
      <c r="O147" s="16"/>
      <c r="P147" s="16"/>
      <c r="Q147" s="16"/>
      <c r="R147" s="16"/>
      <c r="S147" s="18"/>
      <c r="T147" s="16"/>
      <c r="U147" s="16"/>
      <c r="V147" s="17" t="str">
        <f aca="false">IF(A147="","",IF(COUNTIF(Ref_TEST!$A$2:$A$201,B147)=0,"TEST-ID not in W10",IF(OR(F147="",G147="",H147="",I147="",J147=""),"Type, condition, criteria, cause, effect needed",IF(O147="","Severity needed",IF(AND(M147&lt;&gt;"",N147=""),"Compensating control test result needed",IF(AND(O147&lt;&gt;"Control deficiency",P147=""),"Assign to an aggregation group",IF(AND(U147&lt;&gt;"Draft",OR(Q147="",R147="",S147="")),"Response, owner and due date needed",IF(AND(U147="Closed",T147=""),"Closed requires a retest TEST-ID","OK"))))))))</f>
        <v/>
      </c>
    </row>
    <row r="148" customFormat="false" ht="15" hidden="false" customHeight="false" outlineLevel="0" collapsed="false">
      <c r="A148" s="16"/>
      <c r="B148" s="16"/>
      <c r="C148" s="17" t="str">
        <f aca="false">IFERROR(INDEX(Ref_TEST!$B$2:$B$201,MATCH(B148,Ref_TEST!$A$2:$A$201,0)),"")</f>
        <v/>
      </c>
      <c r="D148" s="17" t="str">
        <f aca="false">IFERROR(INDEX(Ref_TEST!$C$2:$C$201,MATCH(B148,Ref_TEST!$A$2:$A$201,0)),"")</f>
        <v/>
      </c>
      <c r="E148" s="17" t="str">
        <f aca="false">IFERROR(INDEX(Ref_TEST!$D$2:$D$201,MATCH(B148,Ref_TEST!$A$2:$A$201,0)),"")</f>
        <v/>
      </c>
      <c r="F148" s="16"/>
      <c r="G148" s="16"/>
      <c r="H148" s="16"/>
      <c r="I148" s="16"/>
      <c r="J148" s="16"/>
      <c r="K148" s="16"/>
      <c r="L148" s="16"/>
      <c r="M148" s="16"/>
      <c r="N148" s="16"/>
      <c r="O148" s="16"/>
      <c r="P148" s="16"/>
      <c r="Q148" s="16"/>
      <c r="R148" s="16"/>
      <c r="S148" s="18"/>
      <c r="T148" s="16"/>
      <c r="U148" s="16"/>
      <c r="V148" s="17" t="str">
        <f aca="false">IF(A148="","",IF(COUNTIF(Ref_TEST!$A$2:$A$201,B148)=0,"TEST-ID not in W10",IF(OR(F148="",G148="",H148="",I148="",J148=""),"Type, condition, criteria, cause, effect needed",IF(O148="","Severity needed",IF(AND(M148&lt;&gt;"",N148=""),"Compensating control test result needed",IF(AND(O148&lt;&gt;"Control deficiency",P148=""),"Assign to an aggregation group",IF(AND(U148&lt;&gt;"Draft",OR(Q148="",R148="",S148="")),"Response, owner and due date needed",IF(AND(U148="Closed",T148=""),"Closed requires a retest TEST-ID","OK"))))))))</f>
        <v/>
      </c>
    </row>
    <row r="149" customFormat="false" ht="15" hidden="false" customHeight="false" outlineLevel="0" collapsed="false">
      <c r="A149" s="16"/>
      <c r="B149" s="16"/>
      <c r="C149" s="17" t="str">
        <f aca="false">IFERROR(INDEX(Ref_TEST!$B$2:$B$201,MATCH(B149,Ref_TEST!$A$2:$A$201,0)),"")</f>
        <v/>
      </c>
      <c r="D149" s="17" t="str">
        <f aca="false">IFERROR(INDEX(Ref_TEST!$C$2:$C$201,MATCH(B149,Ref_TEST!$A$2:$A$201,0)),"")</f>
        <v/>
      </c>
      <c r="E149" s="17" t="str">
        <f aca="false">IFERROR(INDEX(Ref_TEST!$D$2:$D$201,MATCH(B149,Ref_TEST!$A$2:$A$201,0)),"")</f>
        <v/>
      </c>
      <c r="F149" s="16"/>
      <c r="G149" s="16"/>
      <c r="H149" s="16"/>
      <c r="I149" s="16"/>
      <c r="J149" s="16"/>
      <c r="K149" s="16"/>
      <c r="L149" s="16"/>
      <c r="M149" s="16"/>
      <c r="N149" s="16"/>
      <c r="O149" s="16"/>
      <c r="P149" s="16"/>
      <c r="Q149" s="16"/>
      <c r="R149" s="16"/>
      <c r="S149" s="18"/>
      <c r="T149" s="16"/>
      <c r="U149" s="16"/>
      <c r="V149" s="17" t="str">
        <f aca="false">IF(A149="","",IF(COUNTIF(Ref_TEST!$A$2:$A$201,B149)=0,"TEST-ID not in W10",IF(OR(F149="",G149="",H149="",I149="",J149=""),"Type, condition, criteria, cause, effect needed",IF(O149="","Severity needed",IF(AND(M149&lt;&gt;"",N149=""),"Compensating control test result needed",IF(AND(O149&lt;&gt;"Control deficiency",P149=""),"Assign to an aggregation group",IF(AND(U149&lt;&gt;"Draft",OR(Q149="",R149="",S149="")),"Response, owner and due date needed",IF(AND(U149="Closed",T149=""),"Closed requires a retest TEST-ID","OK"))))))))</f>
        <v/>
      </c>
    </row>
    <row r="150" customFormat="false" ht="15" hidden="false" customHeight="false" outlineLevel="0" collapsed="false">
      <c r="A150" s="16"/>
      <c r="B150" s="16"/>
      <c r="C150" s="17" t="str">
        <f aca="false">IFERROR(INDEX(Ref_TEST!$B$2:$B$201,MATCH(B150,Ref_TEST!$A$2:$A$201,0)),"")</f>
        <v/>
      </c>
      <c r="D150" s="17" t="str">
        <f aca="false">IFERROR(INDEX(Ref_TEST!$C$2:$C$201,MATCH(B150,Ref_TEST!$A$2:$A$201,0)),"")</f>
        <v/>
      </c>
      <c r="E150" s="17" t="str">
        <f aca="false">IFERROR(INDEX(Ref_TEST!$D$2:$D$201,MATCH(B150,Ref_TEST!$A$2:$A$201,0)),"")</f>
        <v/>
      </c>
      <c r="F150" s="16"/>
      <c r="G150" s="16"/>
      <c r="H150" s="16"/>
      <c r="I150" s="16"/>
      <c r="J150" s="16"/>
      <c r="K150" s="16"/>
      <c r="L150" s="16"/>
      <c r="M150" s="16"/>
      <c r="N150" s="16"/>
      <c r="O150" s="16"/>
      <c r="P150" s="16"/>
      <c r="Q150" s="16"/>
      <c r="R150" s="16"/>
      <c r="S150" s="18"/>
      <c r="T150" s="16"/>
      <c r="U150" s="16"/>
      <c r="V150" s="17" t="str">
        <f aca="false">IF(A150="","",IF(COUNTIF(Ref_TEST!$A$2:$A$201,B150)=0,"TEST-ID not in W10",IF(OR(F150="",G150="",H150="",I150="",J150=""),"Type, condition, criteria, cause, effect needed",IF(O150="","Severity needed",IF(AND(M150&lt;&gt;"",N150=""),"Compensating control test result needed",IF(AND(O150&lt;&gt;"Control deficiency",P150=""),"Assign to an aggregation group",IF(AND(U150&lt;&gt;"Draft",OR(Q150="",R150="",S150="")),"Response, owner and due date needed",IF(AND(U150="Closed",T150=""),"Closed requires a retest TEST-ID","OK"))))))))</f>
        <v/>
      </c>
    </row>
    <row r="151" customFormat="false" ht="15" hidden="false" customHeight="false" outlineLevel="0" collapsed="false">
      <c r="A151" s="16"/>
      <c r="B151" s="16"/>
      <c r="C151" s="17" t="str">
        <f aca="false">IFERROR(INDEX(Ref_TEST!$B$2:$B$201,MATCH(B151,Ref_TEST!$A$2:$A$201,0)),"")</f>
        <v/>
      </c>
      <c r="D151" s="17" t="str">
        <f aca="false">IFERROR(INDEX(Ref_TEST!$C$2:$C$201,MATCH(B151,Ref_TEST!$A$2:$A$201,0)),"")</f>
        <v/>
      </c>
      <c r="E151" s="17" t="str">
        <f aca="false">IFERROR(INDEX(Ref_TEST!$D$2:$D$201,MATCH(B151,Ref_TEST!$A$2:$A$201,0)),"")</f>
        <v/>
      </c>
      <c r="F151" s="16"/>
      <c r="G151" s="16"/>
      <c r="H151" s="16"/>
      <c r="I151" s="16"/>
      <c r="J151" s="16"/>
      <c r="K151" s="16"/>
      <c r="L151" s="16"/>
      <c r="M151" s="16"/>
      <c r="N151" s="16"/>
      <c r="O151" s="16"/>
      <c r="P151" s="16"/>
      <c r="Q151" s="16"/>
      <c r="R151" s="16"/>
      <c r="S151" s="18"/>
      <c r="T151" s="16"/>
      <c r="U151" s="16"/>
      <c r="V151" s="17" t="str">
        <f aca="false">IF(A151="","",IF(COUNTIF(Ref_TEST!$A$2:$A$201,B151)=0,"TEST-ID not in W10",IF(OR(F151="",G151="",H151="",I151="",J151=""),"Type, condition, criteria, cause, effect needed",IF(O151="","Severity needed",IF(AND(M151&lt;&gt;"",N151=""),"Compensating control test result needed",IF(AND(O151&lt;&gt;"Control deficiency",P151=""),"Assign to an aggregation group",IF(AND(U151&lt;&gt;"Draft",OR(Q151="",R151="",S151="")),"Response, owner and due date needed",IF(AND(U151="Closed",T151=""),"Closed requires a retest TEST-ID","OK"))))))))</f>
        <v/>
      </c>
    </row>
    <row r="152" customFormat="false" ht="15" hidden="false" customHeight="false" outlineLevel="0" collapsed="false">
      <c r="A152" s="16"/>
      <c r="B152" s="16"/>
      <c r="C152" s="17" t="str">
        <f aca="false">IFERROR(INDEX(Ref_TEST!$B$2:$B$201,MATCH(B152,Ref_TEST!$A$2:$A$201,0)),"")</f>
        <v/>
      </c>
      <c r="D152" s="17" t="str">
        <f aca="false">IFERROR(INDEX(Ref_TEST!$C$2:$C$201,MATCH(B152,Ref_TEST!$A$2:$A$201,0)),"")</f>
        <v/>
      </c>
      <c r="E152" s="17" t="str">
        <f aca="false">IFERROR(INDEX(Ref_TEST!$D$2:$D$201,MATCH(B152,Ref_TEST!$A$2:$A$201,0)),"")</f>
        <v/>
      </c>
      <c r="F152" s="16"/>
      <c r="G152" s="16"/>
      <c r="H152" s="16"/>
      <c r="I152" s="16"/>
      <c r="J152" s="16"/>
      <c r="K152" s="16"/>
      <c r="L152" s="16"/>
      <c r="M152" s="16"/>
      <c r="N152" s="16"/>
      <c r="O152" s="16"/>
      <c r="P152" s="16"/>
      <c r="Q152" s="16"/>
      <c r="R152" s="16"/>
      <c r="S152" s="18"/>
      <c r="T152" s="16"/>
      <c r="U152" s="16"/>
      <c r="V152" s="17" t="str">
        <f aca="false">IF(A152="","",IF(COUNTIF(Ref_TEST!$A$2:$A$201,B152)=0,"TEST-ID not in W10",IF(OR(F152="",G152="",H152="",I152="",J152=""),"Type, condition, criteria, cause, effect needed",IF(O152="","Severity needed",IF(AND(M152&lt;&gt;"",N152=""),"Compensating control test result needed",IF(AND(O152&lt;&gt;"Control deficiency",P152=""),"Assign to an aggregation group",IF(AND(U152&lt;&gt;"Draft",OR(Q152="",R152="",S152="")),"Response, owner and due date needed",IF(AND(U152="Closed",T152=""),"Closed requires a retest TEST-ID","OK"))))))))</f>
        <v/>
      </c>
    </row>
    <row r="153" customFormat="false" ht="15" hidden="false" customHeight="false" outlineLevel="0" collapsed="false">
      <c r="A153" s="16"/>
      <c r="B153" s="16"/>
      <c r="C153" s="17" t="str">
        <f aca="false">IFERROR(INDEX(Ref_TEST!$B$2:$B$201,MATCH(B153,Ref_TEST!$A$2:$A$201,0)),"")</f>
        <v/>
      </c>
      <c r="D153" s="17" t="str">
        <f aca="false">IFERROR(INDEX(Ref_TEST!$C$2:$C$201,MATCH(B153,Ref_TEST!$A$2:$A$201,0)),"")</f>
        <v/>
      </c>
      <c r="E153" s="17" t="str">
        <f aca="false">IFERROR(INDEX(Ref_TEST!$D$2:$D$201,MATCH(B153,Ref_TEST!$A$2:$A$201,0)),"")</f>
        <v/>
      </c>
      <c r="F153" s="16"/>
      <c r="G153" s="16"/>
      <c r="H153" s="16"/>
      <c r="I153" s="16"/>
      <c r="J153" s="16"/>
      <c r="K153" s="16"/>
      <c r="L153" s="16"/>
      <c r="M153" s="16"/>
      <c r="N153" s="16"/>
      <c r="O153" s="16"/>
      <c r="P153" s="16"/>
      <c r="Q153" s="16"/>
      <c r="R153" s="16"/>
      <c r="S153" s="18"/>
      <c r="T153" s="16"/>
      <c r="U153" s="16"/>
      <c r="V153" s="17" t="str">
        <f aca="false">IF(A153="","",IF(COUNTIF(Ref_TEST!$A$2:$A$201,B153)=0,"TEST-ID not in W10",IF(OR(F153="",G153="",H153="",I153="",J153=""),"Type, condition, criteria, cause, effect needed",IF(O153="","Severity needed",IF(AND(M153&lt;&gt;"",N153=""),"Compensating control test result needed",IF(AND(O153&lt;&gt;"Control deficiency",P153=""),"Assign to an aggregation group",IF(AND(U153&lt;&gt;"Draft",OR(Q153="",R153="",S153="")),"Response, owner and due date needed",IF(AND(U153="Closed",T153=""),"Closed requires a retest TEST-ID","OK"))))))))</f>
        <v/>
      </c>
    </row>
    <row r="154" customFormat="false" ht="15" hidden="false" customHeight="false" outlineLevel="0" collapsed="false">
      <c r="A154" s="16"/>
      <c r="B154" s="16"/>
      <c r="C154" s="17" t="str">
        <f aca="false">IFERROR(INDEX(Ref_TEST!$B$2:$B$201,MATCH(B154,Ref_TEST!$A$2:$A$201,0)),"")</f>
        <v/>
      </c>
      <c r="D154" s="17" t="str">
        <f aca="false">IFERROR(INDEX(Ref_TEST!$C$2:$C$201,MATCH(B154,Ref_TEST!$A$2:$A$201,0)),"")</f>
        <v/>
      </c>
      <c r="E154" s="17" t="str">
        <f aca="false">IFERROR(INDEX(Ref_TEST!$D$2:$D$201,MATCH(B154,Ref_TEST!$A$2:$A$201,0)),"")</f>
        <v/>
      </c>
      <c r="F154" s="16"/>
      <c r="G154" s="16"/>
      <c r="H154" s="16"/>
      <c r="I154" s="16"/>
      <c r="J154" s="16"/>
      <c r="K154" s="16"/>
      <c r="L154" s="16"/>
      <c r="M154" s="16"/>
      <c r="N154" s="16"/>
      <c r="O154" s="16"/>
      <c r="P154" s="16"/>
      <c r="Q154" s="16"/>
      <c r="R154" s="16"/>
      <c r="S154" s="18"/>
      <c r="T154" s="16"/>
      <c r="U154" s="16"/>
      <c r="V154" s="17" t="str">
        <f aca="false">IF(A154="","",IF(COUNTIF(Ref_TEST!$A$2:$A$201,B154)=0,"TEST-ID not in W10",IF(OR(F154="",G154="",H154="",I154="",J154=""),"Type, condition, criteria, cause, effect needed",IF(O154="","Severity needed",IF(AND(M154&lt;&gt;"",N154=""),"Compensating control test result needed",IF(AND(O154&lt;&gt;"Control deficiency",P154=""),"Assign to an aggregation group",IF(AND(U154&lt;&gt;"Draft",OR(Q154="",R154="",S154="")),"Response, owner and due date needed",IF(AND(U154="Closed",T154=""),"Closed requires a retest TEST-ID","OK"))))))))</f>
        <v/>
      </c>
    </row>
    <row r="155" customFormat="false" ht="15" hidden="false" customHeight="false" outlineLevel="0" collapsed="false">
      <c r="A155" s="16"/>
      <c r="B155" s="16"/>
      <c r="C155" s="17" t="str">
        <f aca="false">IFERROR(INDEX(Ref_TEST!$B$2:$B$201,MATCH(B155,Ref_TEST!$A$2:$A$201,0)),"")</f>
        <v/>
      </c>
      <c r="D155" s="17" t="str">
        <f aca="false">IFERROR(INDEX(Ref_TEST!$C$2:$C$201,MATCH(B155,Ref_TEST!$A$2:$A$201,0)),"")</f>
        <v/>
      </c>
      <c r="E155" s="17" t="str">
        <f aca="false">IFERROR(INDEX(Ref_TEST!$D$2:$D$201,MATCH(B155,Ref_TEST!$A$2:$A$201,0)),"")</f>
        <v/>
      </c>
      <c r="F155" s="16"/>
      <c r="G155" s="16"/>
      <c r="H155" s="16"/>
      <c r="I155" s="16"/>
      <c r="J155" s="16"/>
      <c r="K155" s="16"/>
      <c r="L155" s="16"/>
      <c r="M155" s="16"/>
      <c r="N155" s="16"/>
      <c r="O155" s="16"/>
      <c r="P155" s="16"/>
      <c r="Q155" s="16"/>
      <c r="R155" s="16"/>
      <c r="S155" s="18"/>
      <c r="T155" s="16"/>
      <c r="U155" s="16"/>
      <c r="V155" s="17" t="str">
        <f aca="false">IF(A155="","",IF(COUNTIF(Ref_TEST!$A$2:$A$201,B155)=0,"TEST-ID not in W10",IF(OR(F155="",G155="",H155="",I155="",J155=""),"Type, condition, criteria, cause, effect needed",IF(O155="","Severity needed",IF(AND(M155&lt;&gt;"",N155=""),"Compensating control test result needed",IF(AND(O155&lt;&gt;"Control deficiency",P155=""),"Assign to an aggregation group",IF(AND(U155&lt;&gt;"Draft",OR(Q155="",R155="",S155="")),"Response, owner and due date needed",IF(AND(U155="Closed",T155=""),"Closed requires a retest TEST-ID","OK"))))))))</f>
        <v/>
      </c>
    </row>
    <row r="156" customFormat="false" ht="15" hidden="false" customHeight="false" outlineLevel="0" collapsed="false">
      <c r="A156" s="16"/>
      <c r="B156" s="16"/>
      <c r="C156" s="17" t="str">
        <f aca="false">IFERROR(INDEX(Ref_TEST!$B$2:$B$201,MATCH(B156,Ref_TEST!$A$2:$A$201,0)),"")</f>
        <v/>
      </c>
      <c r="D156" s="17" t="str">
        <f aca="false">IFERROR(INDEX(Ref_TEST!$C$2:$C$201,MATCH(B156,Ref_TEST!$A$2:$A$201,0)),"")</f>
        <v/>
      </c>
      <c r="E156" s="17" t="str">
        <f aca="false">IFERROR(INDEX(Ref_TEST!$D$2:$D$201,MATCH(B156,Ref_TEST!$A$2:$A$201,0)),"")</f>
        <v/>
      </c>
      <c r="F156" s="16"/>
      <c r="G156" s="16"/>
      <c r="H156" s="16"/>
      <c r="I156" s="16"/>
      <c r="J156" s="16"/>
      <c r="K156" s="16"/>
      <c r="L156" s="16"/>
      <c r="M156" s="16"/>
      <c r="N156" s="16"/>
      <c r="O156" s="16"/>
      <c r="P156" s="16"/>
      <c r="Q156" s="16"/>
      <c r="R156" s="16"/>
      <c r="S156" s="18"/>
      <c r="T156" s="16"/>
      <c r="U156" s="16"/>
      <c r="V156" s="17" t="str">
        <f aca="false">IF(A156="","",IF(COUNTIF(Ref_TEST!$A$2:$A$201,B156)=0,"TEST-ID not in W10",IF(OR(F156="",G156="",H156="",I156="",J156=""),"Type, condition, criteria, cause, effect needed",IF(O156="","Severity needed",IF(AND(M156&lt;&gt;"",N156=""),"Compensating control test result needed",IF(AND(O156&lt;&gt;"Control deficiency",P156=""),"Assign to an aggregation group",IF(AND(U156&lt;&gt;"Draft",OR(Q156="",R156="",S156="")),"Response, owner and due date needed",IF(AND(U156="Closed",T156=""),"Closed requires a retest TEST-ID","OK"))))))))</f>
        <v/>
      </c>
    </row>
    <row r="157" customFormat="false" ht="15" hidden="false" customHeight="false" outlineLevel="0" collapsed="false">
      <c r="A157" s="16"/>
      <c r="B157" s="16"/>
      <c r="C157" s="17" t="str">
        <f aca="false">IFERROR(INDEX(Ref_TEST!$B$2:$B$201,MATCH(B157,Ref_TEST!$A$2:$A$201,0)),"")</f>
        <v/>
      </c>
      <c r="D157" s="17" t="str">
        <f aca="false">IFERROR(INDEX(Ref_TEST!$C$2:$C$201,MATCH(B157,Ref_TEST!$A$2:$A$201,0)),"")</f>
        <v/>
      </c>
      <c r="E157" s="17" t="str">
        <f aca="false">IFERROR(INDEX(Ref_TEST!$D$2:$D$201,MATCH(B157,Ref_TEST!$A$2:$A$201,0)),"")</f>
        <v/>
      </c>
      <c r="F157" s="16"/>
      <c r="G157" s="16"/>
      <c r="H157" s="16"/>
      <c r="I157" s="16"/>
      <c r="J157" s="16"/>
      <c r="K157" s="16"/>
      <c r="L157" s="16"/>
      <c r="M157" s="16"/>
      <c r="N157" s="16"/>
      <c r="O157" s="16"/>
      <c r="P157" s="16"/>
      <c r="Q157" s="16"/>
      <c r="R157" s="16"/>
      <c r="S157" s="18"/>
      <c r="T157" s="16"/>
      <c r="U157" s="16"/>
      <c r="V157" s="17" t="str">
        <f aca="false">IF(A157="","",IF(COUNTIF(Ref_TEST!$A$2:$A$201,B157)=0,"TEST-ID not in W10",IF(OR(F157="",G157="",H157="",I157="",J157=""),"Type, condition, criteria, cause, effect needed",IF(O157="","Severity needed",IF(AND(M157&lt;&gt;"",N157=""),"Compensating control test result needed",IF(AND(O157&lt;&gt;"Control deficiency",P157=""),"Assign to an aggregation group",IF(AND(U157&lt;&gt;"Draft",OR(Q157="",R157="",S157="")),"Response, owner and due date needed",IF(AND(U157="Closed",T157=""),"Closed requires a retest TEST-ID","OK"))))))))</f>
        <v/>
      </c>
    </row>
    <row r="158" customFormat="false" ht="15" hidden="false" customHeight="false" outlineLevel="0" collapsed="false">
      <c r="A158" s="16"/>
      <c r="B158" s="16"/>
      <c r="C158" s="17" t="str">
        <f aca="false">IFERROR(INDEX(Ref_TEST!$B$2:$B$201,MATCH(B158,Ref_TEST!$A$2:$A$201,0)),"")</f>
        <v/>
      </c>
      <c r="D158" s="17" t="str">
        <f aca="false">IFERROR(INDEX(Ref_TEST!$C$2:$C$201,MATCH(B158,Ref_TEST!$A$2:$A$201,0)),"")</f>
        <v/>
      </c>
      <c r="E158" s="17" t="str">
        <f aca="false">IFERROR(INDEX(Ref_TEST!$D$2:$D$201,MATCH(B158,Ref_TEST!$A$2:$A$201,0)),"")</f>
        <v/>
      </c>
      <c r="F158" s="16"/>
      <c r="G158" s="16"/>
      <c r="H158" s="16"/>
      <c r="I158" s="16"/>
      <c r="J158" s="16"/>
      <c r="K158" s="16"/>
      <c r="L158" s="16"/>
      <c r="M158" s="16"/>
      <c r="N158" s="16"/>
      <c r="O158" s="16"/>
      <c r="P158" s="16"/>
      <c r="Q158" s="16"/>
      <c r="R158" s="16"/>
      <c r="S158" s="18"/>
      <c r="T158" s="16"/>
      <c r="U158" s="16"/>
      <c r="V158" s="17" t="str">
        <f aca="false">IF(A158="","",IF(COUNTIF(Ref_TEST!$A$2:$A$201,B158)=0,"TEST-ID not in W10",IF(OR(F158="",G158="",H158="",I158="",J158=""),"Type, condition, criteria, cause, effect needed",IF(O158="","Severity needed",IF(AND(M158&lt;&gt;"",N158=""),"Compensating control test result needed",IF(AND(O158&lt;&gt;"Control deficiency",P158=""),"Assign to an aggregation group",IF(AND(U158&lt;&gt;"Draft",OR(Q158="",R158="",S158="")),"Response, owner and due date needed",IF(AND(U158="Closed",T158=""),"Closed requires a retest TEST-ID","OK"))))))))</f>
        <v/>
      </c>
    </row>
    <row r="159" customFormat="false" ht="15" hidden="false" customHeight="false" outlineLevel="0" collapsed="false">
      <c r="A159" s="16"/>
      <c r="B159" s="16"/>
      <c r="C159" s="17" t="str">
        <f aca="false">IFERROR(INDEX(Ref_TEST!$B$2:$B$201,MATCH(B159,Ref_TEST!$A$2:$A$201,0)),"")</f>
        <v/>
      </c>
      <c r="D159" s="17" t="str">
        <f aca="false">IFERROR(INDEX(Ref_TEST!$C$2:$C$201,MATCH(B159,Ref_TEST!$A$2:$A$201,0)),"")</f>
        <v/>
      </c>
      <c r="E159" s="17" t="str">
        <f aca="false">IFERROR(INDEX(Ref_TEST!$D$2:$D$201,MATCH(B159,Ref_TEST!$A$2:$A$201,0)),"")</f>
        <v/>
      </c>
      <c r="F159" s="16"/>
      <c r="G159" s="16"/>
      <c r="H159" s="16"/>
      <c r="I159" s="16"/>
      <c r="J159" s="16"/>
      <c r="K159" s="16"/>
      <c r="L159" s="16"/>
      <c r="M159" s="16"/>
      <c r="N159" s="16"/>
      <c r="O159" s="16"/>
      <c r="P159" s="16"/>
      <c r="Q159" s="16"/>
      <c r="R159" s="16"/>
      <c r="S159" s="18"/>
      <c r="T159" s="16"/>
      <c r="U159" s="16"/>
      <c r="V159" s="17" t="str">
        <f aca="false">IF(A159="","",IF(COUNTIF(Ref_TEST!$A$2:$A$201,B159)=0,"TEST-ID not in W10",IF(OR(F159="",G159="",H159="",I159="",J159=""),"Type, condition, criteria, cause, effect needed",IF(O159="","Severity needed",IF(AND(M159&lt;&gt;"",N159=""),"Compensating control test result needed",IF(AND(O159&lt;&gt;"Control deficiency",P159=""),"Assign to an aggregation group",IF(AND(U159&lt;&gt;"Draft",OR(Q159="",R159="",S159="")),"Response, owner and due date needed",IF(AND(U159="Closed",T159=""),"Closed requires a retest TEST-ID","OK"))))))))</f>
        <v/>
      </c>
    </row>
    <row r="160" customFormat="false" ht="15" hidden="false" customHeight="false" outlineLevel="0" collapsed="false">
      <c r="A160" s="16"/>
      <c r="B160" s="16"/>
      <c r="C160" s="17" t="str">
        <f aca="false">IFERROR(INDEX(Ref_TEST!$B$2:$B$201,MATCH(B160,Ref_TEST!$A$2:$A$201,0)),"")</f>
        <v/>
      </c>
      <c r="D160" s="17" t="str">
        <f aca="false">IFERROR(INDEX(Ref_TEST!$C$2:$C$201,MATCH(B160,Ref_TEST!$A$2:$A$201,0)),"")</f>
        <v/>
      </c>
      <c r="E160" s="17" t="str">
        <f aca="false">IFERROR(INDEX(Ref_TEST!$D$2:$D$201,MATCH(B160,Ref_TEST!$A$2:$A$201,0)),"")</f>
        <v/>
      </c>
      <c r="F160" s="16"/>
      <c r="G160" s="16"/>
      <c r="H160" s="16"/>
      <c r="I160" s="16"/>
      <c r="J160" s="16"/>
      <c r="K160" s="16"/>
      <c r="L160" s="16"/>
      <c r="M160" s="16"/>
      <c r="N160" s="16"/>
      <c r="O160" s="16"/>
      <c r="P160" s="16"/>
      <c r="Q160" s="16"/>
      <c r="R160" s="16"/>
      <c r="S160" s="18"/>
      <c r="T160" s="16"/>
      <c r="U160" s="16"/>
      <c r="V160" s="17" t="str">
        <f aca="false">IF(A160="","",IF(COUNTIF(Ref_TEST!$A$2:$A$201,B160)=0,"TEST-ID not in W10",IF(OR(F160="",G160="",H160="",I160="",J160=""),"Type, condition, criteria, cause, effect needed",IF(O160="","Severity needed",IF(AND(M160&lt;&gt;"",N160=""),"Compensating control test result needed",IF(AND(O160&lt;&gt;"Control deficiency",P160=""),"Assign to an aggregation group",IF(AND(U160&lt;&gt;"Draft",OR(Q160="",R160="",S160="")),"Response, owner and due date needed",IF(AND(U160="Closed",T160=""),"Closed requires a retest TEST-ID","OK"))))))))</f>
        <v/>
      </c>
    </row>
    <row r="161" customFormat="false" ht="15" hidden="false" customHeight="false" outlineLevel="0" collapsed="false">
      <c r="A161" s="16"/>
      <c r="B161" s="16"/>
      <c r="C161" s="17" t="str">
        <f aca="false">IFERROR(INDEX(Ref_TEST!$B$2:$B$201,MATCH(B161,Ref_TEST!$A$2:$A$201,0)),"")</f>
        <v/>
      </c>
      <c r="D161" s="17" t="str">
        <f aca="false">IFERROR(INDEX(Ref_TEST!$C$2:$C$201,MATCH(B161,Ref_TEST!$A$2:$A$201,0)),"")</f>
        <v/>
      </c>
      <c r="E161" s="17" t="str">
        <f aca="false">IFERROR(INDEX(Ref_TEST!$D$2:$D$201,MATCH(B161,Ref_TEST!$A$2:$A$201,0)),"")</f>
        <v/>
      </c>
      <c r="F161" s="16"/>
      <c r="G161" s="16"/>
      <c r="H161" s="16"/>
      <c r="I161" s="16"/>
      <c r="J161" s="16"/>
      <c r="K161" s="16"/>
      <c r="L161" s="16"/>
      <c r="M161" s="16"/>
      <c r="N161" s="16"/>
      <c r="O161" s="16"/>
      <c r="P161" s="16"/>
      <c r="Q161" s="16"/>
      <c r="R161" s="16"/>
      <c r="S161" s="18"/>
      <c r="T161" s="16"/>
      <c r="U161" s="16"/>
      <c r="V161" s="17" t="str">
        <f aca="false">IF(A161="","",IF(COUNTIF(Ref_TEST!$A$2:$A$201,B161)=0,"TEST-ID not in W10",IF(OR(F161="",G161="",H161="",I161="",J161=""),"Type, condition, criteria, cause, effect needed",IF(O161="","Severity needed",IF(AND(M161&lt;&gt;"",N161=""),"Compensating control test result needed",IF(AND(O161&lt;&gt;"Control deficiency",P161=""),"Assign to an aggregation group",IF(AND(U161&lt;&gt;"Draft",OR(Q161="",R161="",S161="")),"Response, owner and due date needed",IF(AND(U161="Closed",T161=""),"Closed requires a retest TEST-ID","OK"))))))))</f>
        <v/>
      </c>
    </row>
    <row r="162" customFormat="false" ht="15" hidden="false" customHeight="false" outlineLevel="0" collapsed="false">
      <c r="A162" s="16"/>
      <c r="B162" s="16"/>
      <c r="C162" s="17" t="str">
        <f aca="false">IFERROR(INDEX(Ref_TEST!$B$2:$B$201,MATCH(B162,Ref_TEST!$A$2:$A$201,0)),"")</f>
        <v/>
      </c>
      <c r="D162" s="17" t="str">
        <f aca="false">IFERROR(INDEX(Ref_TEST!$C$2:$C$201,MATCH(B162,Ref_TEST!$A$2:$A$201,0)),"")</f>
        <v/>
      </c>
      <c r="E162" s="17" t="str">
        <f aca="false">IFERROR(INDEX(Ref_TEST!$D$2:$D$201,MATCH(B162,Ref_TEST!$A$2:$A$201,0)),"")</f>
        <v/>
      </c>
      <c r="F162" s="16"/>
      <c r="G162" s="16"/>
      <c r="H162" s="16"/>
      <c r="I162" s="16"/>
      <c r="J162" s="16"/>
      <c r="K162" s="16"/>
      <c r="L162" s="16"/>
      <c r="M162" s="16"/>
      <c r="N162" s="16"/>
      <c r="O162" s="16"/>
      <c r="P162" s="16"/>
      <c r="Q162" s="16"/>
      <c r="R162" s="16"/>
      <c r="S162" s="18"/>
      <c r="T162" s="16"/>
      <c r="U162" s="16"/>
      <c r="V162" s="17" t="str">
        <f aca="false">IF(A162="","",IF(COUNTIF(Ref_TEST!$A$2:$A$201,B162)=0,"TEST-ID not in W10",IF(OR(F162="",G162="",H162="",I162="",J162=""),"Type, condition, criteria, cause, effect needed",IF(O162="","Severity needed",IF(AND(M162&lt;&gt;"",N162=""),"Compensating control test result needed",IF(AND(O162&lt;&gt;"Control deficiency",P162=""),"Assign to an aggregation group",IF(AND(U162&lt;&gt;"Draft",OR(Q162="",R162="",S162="")),"Response, owner and due date needed",IF(AND(U162="Closed",T162=""),"Closed requires a retest TEST-ID","OK"))))))))</f>
        <v/>
      </c>
    </row>
    <row r="163" customFormat="false" ht="15" hidden="false" customHeight="false" outlineLevel="0" collapsed="false">
      <c r="A163" s="16"/>
      <c r="B163" s="16"/>
      <c r="C163" s="17" t="str">
        <f aca="false">IFERROR(INDEX(Ref_TEST!$B$2:$B$201,MATCH(B163,Ref_TEST!$A$2:$A$201,0)),"")</f>
        <v/>
      </c>
      <c r="D163" s="17" t="str">
        <f aca="false">IFERROR(INDEX(Ref_TEST!$C$2:$C$201,MATCH(B163,Ref_TEST!$A$2:$A$201,0)),"")</f>
        <v/>
      </c>
      <c r="E163" s="17" t="str">
        <f aca="false">IFERROR(INDEX(Ref_TEST!$D$2:$D$201,MATCH(B163,Ref_TEST!$A$2:$A$201,0)),"")</f>
        <v/>
      </c>
      <c r="F163" s="16"/>
      <c r="G163" s="16"/>
      <c r="H163" s="16"/>
      <c r="I163" s="16"/>
      <c r="J163" s="16"/>
      <c r="K163" s="16"/>
      <c r="L163" s="16"/>
      <c r="M163" s="16"/>
      <c r="N163" s="16"/>
      <c r="O163" s="16"/>
      <c r="P163" s="16"/>
      <c r="Q163" s="16"/>
      <c r="R163" s="16"/>
      <c r="S163" s="18"/>
      <c r="T163" s="16"/>
      <c r="U163" s="16"/>
      <c r="V163" s="17" t="str">
        <f aca="false">IF(A163="","",IF(COUNTIF(Ref_TEST!$A$2:$A$201,B163)=0,"TEST-ID not in W10",IF(OR(F163="",G163="",H163="",I163="",J163=""),"Type, condition, criteria, cause, effect needed",IF(O163="","Severity needed",IF(AND(M163&lt;&gt;"",N163=""),"Compensating control test result needed",IF(AND(O163&lt;&gt;"Control deficiency",P163=""),"Assign to an aggregation group",IF(AND(U163&lt;&gt;"Draft",OR(Q163="",R163="",S163="")),"Response, owner and due date needed",IF(AND(U163="Closed",T163=""),"Closed requires a retest TEST-ID","OK"))))))))</f>
        <v/>
      </c>
    </row>
    <row r="164" customFormat="false" ht="15" hidden="false" customHeight="false" outlineLevel="0" collapsed="false">
      <c r="A164" s="16"/>
      <c r="B164" s="16"/>
      <c r="C164" s="17" t="str">
        <f aca="false">IFERROR(INDEX(Ref_TEST!$B$2:$B$201,MATCH(B164,Ref_TEST!$A$2:$A$201,0)),"")</f>
        <v/>
      </c>
      <c r="D164" s="17" t="str">
        <f aca="false">IFERROR(INDEX(Ref_TEST!$C$2:$C$201,MATCH(B164,Ref_TEST!$A$2:$A$201,0)),"")</f>
        <v/>
      </c>
      <c r="E164" s="17" t="str">
        <f aca="false">IFERROR(INDEX(Ref_TEST!$D$2:$D$201,MATCH(B164,Ref_TEST!$A$2:$A$201,0)),"")</f>
        <v/>
      </c>
      <c r="F164" s="16"/>
      <c r="G164" s="16"/>
      <c r="H164" s="16"/>
      <c r="I164" s="16"/>
      <c r="J164" s="16"/>
      <c r="K164" s="16"/>
      <c r="L164" s="16"/>
      <c r="M164" s="16"/>
      <c r="N164" s="16"/>
      <c r="O164" s="16"/>
      <c r="P164" s="16"/>
      <c r="Q164" s="16"/>
      <c r="R164" s="16"/>
      <c r="S164" s="18"/>
      <c r="T164" s="16"/>
      <c r="U164" s="16"/>
      <c r="V164" s="17" t="str">
        <f aca="false">IF(A164="","",IF(COUNTIF(Ref_TEST!$A$2:$A$201,B164)=0,"TEST-ID not in W10",IF(OR(F164="",G164="",H164="",I164="",J164=""),"Type, condition, criteria, cause, effect needed",IF(O164="","Severity needed",IF(AND(M164&lt;&gt;"",N164=""),"Compensating control test result needed",IF(AND(O164&lt;&gt;"Control deficiency",P164=""),"Assign to an aggregation group",IF(AND(U164&lt;&gt;"Draft",OR(Q164="",R164="",S164="")),"Response, owner and due date needed",IF(AND(U164="Closed",T164=""),"Closed requires a retest TEST-ID","OK"))))))))</f>
        <v/>
      </c>
    </row>
    <row r="165" customFormat="false" ht="15" hidden="false" customHeight="false" outlineLevel="0" collapsed="false">
      <c r="A165" s="16"/>
      <c r="B165" s="16"/>
      <c r="C165" s="17" t="str">
        <f aca="false">IFERROR(INDEX(Ref_TEST!$B$2:$B$201,MATCH(B165,Ref_TEST!$A$2:$A$201,0)),"")</f>
        <v/>
      </c>
      <c r="D165" s="17" t="str">
        <f aca="false">IFERROR(INDEX(Ref_TEST!$C$2:$C$201,MATCH(B165,Ref_TEST!$A$2:$A$201,0)),"")</f>
        <v/>
      </c>
      <c r="E165" s="17" t="str">
        <f aca="false">IFERROR(INDEX(Ref_TEST!$D$2:$D$201,MATCH(B165,Ref_TEST!$A$2:$A$201,0)),"")</f>
        <v/>
      </c>
      <c r="F165" s="16"/>
      <c r="G165" s="16"/>
      <c r="H165" s="16"/>
      <c r="I165" s="16"/>
      <c r="J165" s="16"/>
      <c r="K165" s="16"/>
      <c r="L165" s="16"/>
      <c r="M165" s="16"/>
      <c r="N165" s="16"/>
      <c r="O165" s="16"/>
      <c r="P165" s="16"/>
      <c r="Q165" s="16"/>
      <c r="R165" s="16"/>
      <c r="S165" s="18"/>
      <c r="T165" s="16"/>
      <c r="U165" s="16"/>
      <c r="V165" s="17" t="str">
        <f aca="false">IF(A165="","",IF(COUNTIF(Ref_TEST!$A$2:$A$201,B165)=0,"TEST-ID not in W10",IF(OR(F165="",G165="",H165="",I165="",J165=""),"Type, condition, criteria, cause, effect needed",IF(O165="","Severity needed",IF(AND(M165&lt;&gt;"",N165=""),"Compensating control test result needed",IF(AND(O165&lt;&gt;"Control deficiency",P165=""),"Assign to an aggregation group",IF(AND(U165&lt;&gt;"Draft",OR(Q165="",R165="",S165="")),"Response, owner and due date needed",IF(AND(U165="Closed",T165=""),"Closed requires a retest TEST-ID","OK"))))))))</f>
        <v/>
      </c>
    </row>
    <row r="166" customFormat="false" ht="15" hidden="false" customHeight="false" outlineLevel="0" collapsed="false">
      <c r="A166" s="16"/>
      <c r="B166" s="16"/>
      <c r="C166" s="17" t="str">
        <f aca="false">IFERROR(INDEX(Ref_TEST!$B$2:$B$201,MATCH(B166,Ref_TEST!$A$2:$A$201,0)),"")</f>
        <v/>
      </c>
      <c r="D166" s="17" t="str">
        <f aca="false">IFERROR(INDEX(Ref_TEST!$C$2:$C$201,MATCH(B166,Ref_TEST!$A$2:$A$201,0)),"")</f>
        <v/>
      </c>
      <c r="E166" s="17" t="str">
        <f aca="false">IFERROR(INDEX(Ref_TEST!$D$2:$D$201,MATCH(B166,Ref_TEST!$A$2:$A$201,0)),"")</f>
        <v/>
      </c>
      <c r="F166" s="16"/>
      <c r="G166" s="16"/>
      <c r="H166" s="16"/>
      <c r="I166" s="16"/>
      <c r="J166" s="16"/>
      <c r="K166" s="16"/>
      <c r="L166" s="16"/>
      <c r="M166" s="16"/>
      <c r="N166" s="16"/>
      <c r="O166" s="16"/>
      <c r="P166" s="16"/>
      <c r="Q166" s="16"/>
      <c r="R166" s="16"/>
      <c r="S166" s="18"/>
      <c r="T166" s="16"/>
      <c r="U166" s="16"/>
      <c r="V166" s="17" t="str">
        <f aca="false">IF(A166="","",IF(COUNTIF(Ref_TEST!$A$2:$A$201,B166)=0,"TEST-ID not in W10",IF(OR(F166="",G166="",H166="",I166="",J166=""),"Type, condition, criteria, cause, effect needed",IF(O166="","Severity needed",IF(AND(M166&lt;&gt;"",N166=""),"Compensating control test result needed",IF(AND(O166&lt;&gt;"Control deficiency",P166=""),"Assign to an aggregation group",IF(AND(U166&lt;&gt;"Draft",OR(Q166="",R166="",S166="")),"Response, owner and due date needed",IF(AND(U166="Closed",T166=""),"Closed requires a retest TEST-ID","OK"))))))))</f>
        <v/>
      </c>
    </row>
    <row r="167" customFormat="false" ht="15" hidden="false" customHeight="false" outlineLevel="0" collapsed="false">
      <c r="A167" s="16"/>
      <c r="B167" s="16"/>
      <c r="C167" s="17" t="str">
        <f aca="false">IFERROR(INDEX(Ref_TEST!$B$2:$B$201,MATCH(B167,Ref_TEST!$A$2:$A$201,0)),"")</f>
        <v/>
      </c>
      <c r="D167" s="17" t="str">
        <f aca="false">IFERROR(INDEX(Ref_TEST!$C$2:$C$201,MATCH(B167,Ref_TEST!$A$2:$A$201,0)),"")</f>
        <v/>
      </c>
      <c r="E167" s="17" t="str">
        <f aca="false">IFERROR(INDEX(Ref_TEST!$D$2:$D$201,MATCH(B167,Ref_TEST!$A$2:$A$201,0)),"")</f>
        <v/>
      </c>
      <c r="F167" s="16"/>
      <c r="G167" s="16"/>
      <c r="H167" s="16"/>
      <c r="I167" s="16"/>
      <c r="J167" s="16"/>
      <c r="K167" s="16"/>
      <c r="L167" s="16"/>
      <c r="M167" s="16"/>
      <c r="N167" s="16"/>
      <c r="O167" s="16"/>
      <c r="P167" s="16"/>
      <c r="Q167" s="16"/>
      <c r="R167" s="16"/>
      <c r="S167" s="18"/>
      <c r="T167" s="16"/>
      <c r="U167" s="16"/>
      <c r="V167" s="17" t="str">
        <f aca="false">IF(A167="","",IF(COUNTIF(Ref_TEST!$A$2:$A$201,B167)=0,"TEST-ID not in W10",IF(OR(F167="",G167="",H167="",I167="",J167=""),"Type, condition, criteria, cause, effect needed",IF(O167="","Severity needed",IF(AND(M167&lt;&gt;"",N167=""),"Compensating control test result needed",IF(AND(O167&lt;&gt;"Control deficiency",P167=""),"Assign to an aggregation group",IF(AND(U167&lt;&gt;"Draft",OR(Q167="",R167="",S167="")),"Response, owner and due date needed",IF(AND(U167="Closed",T167=""),"Closed requires a retest TEST-ID","OK"))))))))</f>
        <v/>
      </c>
    </row>
    <row r="168" customFormat="false" ht="15" hidden="false" customHeight="false" outlineLevel="0" collapsed="false">
      <c r="A168" s="16"/>
      <c r="B168" s="16"/>
      <c r="C168" s="17" t="str">
        <f aca="false">IFERROR(INDEX(Ref_TEST!$B$2:$B$201,MATCH(B168,Ref_TEST!$A$2:$A$201,0)),"")</f>
        <v/>
      </c>
      <c r="D168" s="17" t="str">
        <f aca="false">IFERROR(INDEX(Ref_TEST!$C$2:$C$201,MATCH(B168,Ref_TEST!$A$2:$A$201,0)),"")</f>
        <v/>
      </c>
      <c r="E168" s="17" t="str">
        <f aca="false">IFERROR(INDEX(Ref_TEST!$D$2:$D$201,MATCH(B168,Ref_TEST!$A$2:$A$201,0)),"")</f>
        <v/>
      </c>
      <c r="F168" s="16"/>
      <c r="G168" s="16"/>
      <c r="H168" s="16"/>
      <c r="I168" s="16"/>
      <c r="J168" s="16"/>
      <c r="K168" s="16"/>
      <c r="L168" s="16"/>
      <c r="M168" s="16"/>
      <c r="N168" s="16"/>
      <c r="O168" s="16"/>
      <c r="P168" s="16"/>
      <c r="Q168" s="16"/>
      <c r="R168" s="16"/>
      <c r="S168" s="18"/>
      <c r="T168" s="16"/>
      <c r="U168" s="16"/>
      <c r="V168" s="17" t="str">
        <f aca="false">IF(A168="","",IF(COUNTIF(Ref_TEST!$A$2:$A$201,B168)=0,"TEST-ID not in W10",IF(OR(F168="",G168="",H168="",I168="",J168=""),"Type, condition, criteria, cause, effect needed",IF(O168="","Severity needed",IF(AND(M168&lt;&gt;"",N168=""),"Compensating control test result needed",IF(AND(O168&lt;&gt;"Control deficiency",P168=""),"Assign to an aggregation group",IF(AND(U168&lt;&gt;"Draft",OR(Q168="",R168="",S168="")),"Response, owner and due date needed",IF(AND(U168="Closed",T168=""),"Closed requires a retest TEST-ID","OK"))))))))</f>
        <v/>
      </c>
    </row>
    <row r="169" customFormat="false" ht="15" hidden="false" customHeight="false" outlineLevel="0" collapsed="false">
      <c r="A169" s="16"/>
      <c r="B169" s="16"/>
      <c r="C169" s="17" t="str">
        <f aca="false">IFERROR(INDEX(Ref_TEST!$B$2:$B$201,MATCH(B169,Ref_TEST!$A$2:$A$201,0)),"")</f>
        <v/>
      </c>
      <c r="D169" s="17" t="str">
        <f aca="false">IFERROR(INDEX(Ref_TEST!$C$2:$C$201,MATCH(B169,Ref_TEST!$A$2:$A$201,0)),"")</f>
        <v/>
      </c>
      <c r="E169" s="17" t="str">
        <f aca="false">IFERROR(INDEX(Ref_TEST!$D$2:$D$201,MATCH(B169,Ref_TEST!$A$2:$A$201,0)),"")</f>
        <v/>
      </c>
      <c r="F169" s="16"/>
      <c r="G169" s="16"/>
      <c r="H169" s="16"/>
      <c r="I169" s="16"/>
      <c r="J169" s="16"/>
      <c r="K169" s="16"/>
      <c r="L169" s="16"/>
      <c r="M169" s="16"/>
      <c r="N169" s="16"/>
      <c r="O169" s="16"/>
      <c r="P169" s="16"/>
      <c r="Q169" s="16"/>
      <c r="R169" s="16"/>
      <c r="S169" s="18"/>
      <c r="T169" s="16"/>
      <c r="U169" s="16"/>
      <c r="V169" s="17" t="str">
        <f aca="false">IF(A169="","",IF(COUNTIF(Ref_TEST!$A$2:$A$201,B169)=0,"TEST-ID not in W10",IF(OR(F169="",G169="",H169="",I169="",J169=""),"Type, condition, criteria, cause, effect needed",IF(O169="","Severity needed",IF(AND(M169&lt;&gt;"",N169=""),"Compensating control test result needed",IF(AND(O169&lt;&gt;"Control deficiency",P169=""),"Assign to an aggregation group",IF(AND(U169&lt;&gt;"Draft",OR(Q169="",R169="",S169="")),"Response, owner and due date needed",IF(AND(U169="Closed",T169=""),"Closed requires a retest TEST-ID","OK"))))))))</f>
        <v/>
      </c>
    </row>
    <row r="170" customFormat="false" ht="15" hidden="false" customHeight="false" outlineLevel="0" collapsed="false">
      <c r="A170" s="16"/>
      <c r="B170" s="16"/>
      <c r="C170" s="17" t="str">
        <f aca="false">IFERROR(INDEX(Ref_TEST!$B$2:$B$201,MATCH(B170,Ref_TEST!$A$2:$A$201,0)),"")</f>
        <v/>
      </c>
      <c r="D170" s="17" t="str">
        <f aca="false">IFERROR(INDEX(Ref_TEST!$C$2:$C$201,MATCH(B170,Ref_TEST!$A$2:$A$201,0)),"")</f>
        <v/>
      </c>
      <c r="E170" s="17" t="str">
        <f aca="false">IFERROR(INDEX(Ref_TEST!$D$2:$D$201,MATCH(B170,Ref_TEST!$A$2:$A$201,0)),"")</f>
        <v/>
      </c>
      <c r="F170" s="16"/>
      <c r="G170" s="16"/>
      <c r="H170" s="16"/>
      <c r="I170" s="16"/>
      <c r="J170" s="16"/>
      <c r="K170" s="16"/>
      <c r="L170" s="16"/>
      <c r="M170" s="16"/>
      <c r="N170" s="16"/>
      <c r="O170" s="16"/>
      <c r="P170" s="16"/>
      <c r="Q170" s="16"/>
      <c r="R170" s="16"/>
      <c r="S170" s="18"/>
      <c r="T170" s="16"/>
      <c r="U170" s="16"/>
      <c r="V170" s="17" t="str">
        <f aca="false">IF(A170="","",IF(COUNTIF(Ref_TEST!$A$2:$A$201,B170)=0,"TEST-ID not in W10",IF(OR(F170="",G170="",H170="",I170="",J170=""),"Type, condition, criteria, cause, effect needed",IF(O170="","Severity needed",IF(AND(M170&lt;&gt;"",N170=""),"Compensating control test result needed",IF(AND(O170&lt;&gt;"Control deficiency",P170=""),"Assign to an aggregation group",IF(AND(U170&lt;&gt;"Draft",OR(Q170="",R170="",S170="")),"Response, owner and due date needed",IF(AND(U170="Closed",T170=""),"Closed requires a retest TEST-ID","OK"))))))))</f>
        <v/>
      </c>
    </row>
    <row r="171" customFormat="false" ht="15" hidden="false" customHeight="false" outlineLevel="0" collapsed="false">
      <c r="A171" s="16"/>
      <c r="B171" s="16"/>
      <c r="C171" s="17" t="str">
        <f aca="false">IFERROR(INDEX(Ref_TEST!$B$2:$B$201,MATCH(B171,Ref_TEST!$A$2:$A$201,0)),"")</f>
        <v/>
      </c>
      <c r="D171" s="17" t="str">
        <f aca="false">IFERROR(INDEX(Ref_TEST!$C$2:$C$201,MATCH(B171,Ref_TEST!$A$2:$A$201,0)),"")</f>
        <v/>
      </c>
      <c r="E171" s="17" t="str">
        <f aca="false">IFERROR(INDEX(Ref_TEST!$D$2:$D$201,MATCH(B171,Ref_TEST!$A$2:$A$201,0)),"")</f>
        <v/>
      </c>
      <c r="F171" s="16"/>
      <c r="G171" s="16"/>
      <c r="H171" s="16"/>
      <c r="I171" s="16"/>
      <c r="J171" s="16"/>
      <c r="K171" s="16"/>
      <c r="L171" s="16"/>
      <c r="M171" s="16"/>
      <c r="N171" s="16"/>
      <c r="O171" s="16"/>
      <c r="P171" s="16"/>
      <c r="Q171" s="16"/>
      <c r="R171" s="16"/>
      <c r="S171" s="18"/>
      <c r="T171" s="16"/>
      <c r="U171" s="16"/>
      <c r="V171" s="17" t="str">
        <f aca="false">IF(A171="","",IF(COUNTIF(Ref_TEST!$A$2:$A$201,B171)=0,"TEST-ID not in W10",IF(OR(F171="",G171="",H171="",I171="",J171=""),"Type, condition, criteria, cause, effect needed",IF(O171="","Severity needed",IF(AND(M171&lt;&gt;"",N171=""),"Compensating control test result needed",IF(AND(O171&lt;&gt;"Control deficiency",P171=""),"Assign to an aggregation group",IF(AND(U171&lt;&gt;"Draft",OR(Q171="",R171="",S171="")),"Response, owner and due date needed",IF(AND(U171="Closed",T171=""),"Closed requires a retest TEST-ID","OK"))))))))</f>
        <v/>
      </c>
    </row>
    <row r="172" customFormat="false" ht="15" hidden="false" customHeight="false" outlineLevel="0" collapsed="false">
      <c r="A172" s="16"/>
      <c r="B172" s="16"/>
      <c r="C172" s="17" t="str">
        <f aca="false">IFERROR(INDEX(Ref_TEST!$B$2:$B$201,MATCH(B172,Ref_TEST!$A$2:$A$201,0)),"")</f>
        <v/>
      </c>
      <c r="D172" s="17" t="str">
        <f aca="false">IFERROR(INDEX(Ref_TEST!$C$2:$C$201,MATCH(B172,Ref_TEST!$A$2:$A$201,0)),"")</f>
        <v/>
      </c>
      <c r="E172" s="17" t="str">
        <f aca="false">IFERROR(INDEX(Ref_TEST!$D$2:$D$201,MATCH(B172,Ref_TEST!$A$2:$A$201,0)),"")</f>
        <v/>
      </c>
      <c r="F172" s="16"/>
      <c r="G172" s="16"/>
      <c r="H172" s="16"/>
      <c r="I172" s="16"/>
      <c r="J172" s="16"/>
      <c r="K172" s="16"/>
      <c r="L172" s="16"/>
      <c r="M172" s="16"/>
      <c r="N172" s="16"/>
      <c r="O172" s="16"/>
      <c r="P172" s="16"/>
      <c r="Q172" s="16"/>
      <c r="R172" s="16"/>
      <c r="S172" s="18"/>
      <c r="T172" s="16"/>
      <c r="U172" s="16"/>
      <c r="V172" s="17" t="str">
        <f aca="false">IF(A172="","",IF(COUNTIF(Ref_TEST!$A$2:$A$201,B172)=0,"TEST-ID not in W10",IF(OR(F172="",G172="",H172="",I172="",J172=""),"Type, condition, criteria, cause, effect needed",IF(O172="","Severity needed",IF(AND(M172&lt;&gt;"",N172=""),"Compensating control test result needed",IF(AND(O172&lt;&gt;"Control deficiency",P172=""),"Assign to an aggregation group",IF(AND(U172&lt;&gt;"Draft",OR(Q172="",R172="",S172="")),"Response, owner and due date needed",IF(AND(U172="Closed",T172=""),"Closed requires a retest TEST-ID","OK"))))))))</f>
        <v/>
      </c>
    </row>
    <row r="173" customFormat="false" ht="15" hidden="false" customHeight="false" outlineLevel="0" collapsed="false">
      <c r="A173" s="16"/>
      <c r="B173" s="16"/>
      <c r="C173" s="17" t="str">
        <f aca="false">IFERROR(INDEX(Ref_TEST!$B$2:$B$201,MATCH(B173,Ref_TEST!$A$2:$A$201,0)),"")</f>
        <v/>
      </c>
      <c r="D173" s="17" t="str">
        <f aca="false">IFERROR(INDEX(Ref_TEST!$C$2:$C$201,MATCH(B173,Ref_TEST!$A$2:$A$201,0)),"")</f>
        <v/>
      </c>
      <c r="E173" s="17" t="str">
        <f aca="false">IFERROR(INDEX(Ref_TEST!$D$2:$D$201,MATCH(B173,Ref_TEST!$A$2:$A$201,0)),"")</f>
        <v/>
      </c>
      <c r="F173" s="16"/>
      <c r="G173" s="16"/>
      <c r="H173" s="16"/>
      <c r="I173" s="16"/>
      <c r="J173" s="16"/>
      <c r="K173" s="16"/>
      <c r="L173" s="16"/>
      <c r="M173" s="16"/>
      <c r="N173" s="16"/>
      <c r="O173" s="16"/>
      <c r="P173" s="16"/>
      <c r="Q173" s="16"/>
      <c r="R173" s="16"/>
      <c r="S173" s="18"/>
      <c r="T173" s="16"/>
      <c r="U173" s="16"/>
      <c r="V173" s="17" t="str">
        <f aca="false">IF(A173="","",IF(COUNTIF(Ref_TEST!$A$2:$A$201,B173)=0,"TEST-ID not in W10",IF(OR(F173="",G173="",H173="",I173="",J173=""),"Type, condition, criteria, cause, effect needed",IF(O173="","Severity needed",IF(AND(M173&lt;&gt;"",N173=""),"Compensating control test result needed",IF(AND(O173&lt;&gt;"Control deficiency",P173=""),"Assign to an aggregation group",IF(AND(U173&lt;&gt;"Draft",OR(Q173="",R173="",S173="")),"Response, owner and due date needed",IF(AND(U173="Closed",T173=""),"Closed requires a retest TEST-ID","OK"))))))))</f>
        <v/>
      </c>
    </row>
    <row r="174" customFormat="false" ht="15" hidden="false" customHeight="false" outlineLevel="0" collapsed="false">
      <c r="A174" s="16"/>
      <c r="B174" s="16"/>
      <c r="C174" s="17" t="str">
        <f aca="false">IFERROR(INDEX(Ref_TEST!$B$2:$B$201,MATCH(B174,Ref_TEST!$A$2:$A$201,0)),"")</f>
        <v/>
      </c>
      <c r="D174" s="17" t="str">
        <f aca="false">IFERROR(INDEX(Ref_TEST!$C$2:$C$201,MATCH(B174,Ref_TEST!$A$2:$A$201,0)),"")</f>
        <v/>
      </c>
      <c r="E174" s="17" t="str">
        <f aca="false">IFERROR(INDEX(Ref_TEST!$D$2:$D$201,MATCH(B174,Ref_TEST!$A$2:$A$201,0)),"")</f>
        <v/>
      </c>
      <c r="F174" s="16"/>
      <c r="G174" s="16"/>
      <c r="H174" s="16"/>
      <c r="I174" s="16"/>
      <c r="J174" s="16"/>
      <c r="K174" s="16"/>
      <c r="L174" s="16"/>
      <c r="M174" s="16"/>
      <c r="N174" s="16"/>
      <c r="O174" s="16"/>
      <c r="P174" s="16"/>
      <c r="Q174" s="16"/>
      <c r="R174" s="16"/>
      <c r="S174" s="18"/>
      <c r="T174" s="16"/>
      <c r="U174" s="16"/>
      <c r="V174" s="17" t="str">
        <f aca="false">IF(A174="","",IF(COUNTIF(Ref_TEST!$A$2:$A$201,B174)=0,"TEST-ID not in W10",IF(OR(F174="",G174="",H174="",I174="",J174=""),"Type, condition, criteria, cause, effect needed",IF(O174="","Severity needed",IF(AND(M174&lt;&gt;"",N174=""),"Compensating control test result needed",IF(AND(O174&lt;&gt;"Control deficiency",P174=""),"Assign to an aggregation group",IF(AND(U174&lt;&gt;"Draft",OR(Q174="",R174="",S174="")),"Response, owner and due date needed",IF(AND(U174="Closed",T174=""),"Closed requires a retest TEST-ID","OK"))))))))</f>
        <v/>
      </c>
    </row>
    <row r="175" customFormat="false" ht="15" hidden="false" customHeight="false" outlineLevel="0" collapsed="false">
      <c r="A175" s="16"/>
      <c r="B175" s="16"/>
      <c r="C175" s="17" t="str">
        <f aca="false">IFERROR(INDEX(Ref_TEST!$B$2:$B$201,MATCH(B175,Ref_TEST!$A$2:$A$201,0)),"")</f>
        <v/>
      </c>
      <c r="D175" s="17" t="str">
        <f aca="false">IFERROR(INDEX(Ref_TEST!$C$2:$C$201,MATCH(B175,Ref_TEST!$A$2:$A$201,0)),"")</f>
        <v/>
      </c>
      <c r="E175" s="17" t="str">
        <f aca="false">IFERROR(INDEX(Ref_TEST!$D$2:$D$201,MATCH(B175,Ref_TEST!$A$2:$A$201,0)),"")</f>
        <v/>
      </c>
      <c r="F175" s="16"/>
      <c r="G175" s="16"/>
      <c r="H175" s="16"/>
      <c r="I175" s="16"/>
      <c r="J175" s="16"/>
      <c r="K175" s="16"/>
      <c r="L175" s="16"/>
      <c r="M175" s="16"/>
      <c r="N175" s="16"/>
      <c r="O175" s="16"/>
      <c r="P175" s="16"/>
      <c r="Q175" s="16"/>
      <c r="R175" s="16"/>
      <c r="S175" s="18"/>
      <c r="T175" s="16"/>
      <c r="U175" s="16"/>
      <c r="V175" s="17" t="str">
        <f aca="false">IF(A175="","",IF(COUNTIF(Ref_TEST!$A$2:$A$201,B175)=0,"TEST-ID not in W10",IF(OR(F175="",G175="",H175="",I175="",J175=""),"Type, condition, criteria, cause, effect needed",IF(O175="","Severity needed",IF(AND(M175&lt;&gt;"",N175=""),"Compensating control test result needed",IF(AND(O175&lt;&gt;"Control deficiency",P175=""),"Assign to an aggregation group",IF(AND(U175&lt;&gt;"Draft",OR(Q175="",R175="",S175="")),"Response, owner and due date needed",IF(AND(U175="Closed",T175=""),"Closed requires a retest TEST-ID","OK"))))))))</f>
        <v/>
      </c>
    </row>
    <row r="176" customFormat="false" ht="15" hidden="false" customHeight="false" outlineLevel="0" collapsed="false">
      <c r="A176" s="16"/>
      <c r="B176" s="16"/>
      <c r="C176" s="17" t="str">
        <f aca="false">IFERROR(INDEX(Ref_TEST!$B$2:$B$201,MATCH(B176,Ref_TEST!$A$2:$A$201,0)),"")</f>
        <v/>
      </c>
      <c r="D176" s="17" t="str">
        <f aca="false">IFERROR(INDEX(Ref_TEST!$C$2:$C$201,MATCH(B176,Ref_TEST!$A$2:$A$201,0)),"")</f>
        <v/>
      </c>
      <c r="E176" s="17" t="str">
        <f aca="false">IFERROR(INDEX(Ref_TEST!$D$2:$D$201,MATCH(B176,Ref_TEST!$A$2:$A$201,0)),"")</f>
        <v/>
      </c>
      <c r="F176" s="16"/>
      <c r="G176" s="16"/>
      <c r="H176" s="16"/>
      <c r="I176" s="16"/>
      <c r="J176" s="16"/>
      <c r="K176" s="16"/>
      <c r="L176" s="16"/>
      <c r="M176" s="16"/>
      <c r="N176" s="16"/>
      <c r="O176" s="16"/>
      <c r="P176" s="16"/>
      <c r="Q176" s="16"/>
      <c r="R176" s="16"/>
      <c r="S176" s="18"/>
      <c r="T176" s="16"/>
      <c r="U176" s="16"/>
      <c r="V176" s="17" t="str">
        <f aca="false">IF(A176="","",IF(COUNTIF(Ref_TEST!$A$2:$A$201,B176)=0,"TEST-ID not in W10",IF(OR(F176="",G176="",H176="",I176="",J176=""),"Type, condition, criteria, cause, effect needed",IF(O176="","Severity needed",IF(AND(M176&lt;&gt;"",N176=""),"Compensating control test result needed",IF(AND(O176&lt;&gt;"Control deficiency",P176=""),"Assign to an aggregation group",IF(AND(U176&lt;&gt;"Draft",OR(Q176="",R176="",S176="")),"Response, owner and due date needed",IF(AND(U176="Closed",T176=""),"Closed requires a retest TEST-ID","OK"))))))))</f>
        <v/>
      </c>
    </row>
    <row r="177" customFormat="false" ht="15" hidden="false" customHeight="false" outlineLevel="0" collapsed="false">
      <c r="A177" s="16"/>
      <c r="B177" s="16"/>
      <c r="C177" s="17" t="str">
        <f aca="false">IFERROR(INDEX(Ref_TEST!$B$2:$B$201,MATCH(B177,Ref_TEST!$A$2:$A$201,0)),"")</f>
        <v/>
      </c>
      <c r="D177" s="17" t="str">
        <f aca="false">IFERROR(INDEX(Ref_TEST!$C$2:$C$201,MATCH(B177,Ref_TEST!$A$2:$A$201,0)),"")</f>
        <v/>
      </c>
      <c r="E177" s="17" t="str">
        <f aca="false">IFERROR(INDEX(Ref_TEST!$D$2:$D$201,MATCH(B177,Ref_TEST!$A$2:$A$201,0)),"")</f>
        <v/>
      </c>
      <c r="F177" s="16"/>
      <c r="G177" s="16"/>
      <c r="H177" s="16"/>
      <c r="I177" s="16"/>
      <c r="J177" s="16"/>
      <c r="K177" s="16"/>
      <c r="L177" s="16"/>
      <c r="M177" s="16"/>
      <c r="N177" s="16"/>
      <c r="O177" s="16"/>
      <c r="P177" s="16"/>
      <c r="Q177" s="16"/>
      <c r="R177" s="16"/>
      <c r="S177" s="18"/>
      <c r="T177" s="16"/>
      <c r="U177" s="16"/>
      <c r="V177" s="17" t="str">
        <f aca="false">IF(A177="","",IF(COUNTIF(Ref_TEST!$A$2:$A$201,B177)=0,"TEST-ID not in W10",IF(OR(F177="",G177="",H177="",I177="",J177=""),"Type, condition, criteria, cause, effect needed",IF(O177="","Severity needed",IF(AND(M177&lt;&gt;"",N177=""),"Compensating control test result needed",IF(AND(O177&lt;&gt;"Control deficiency",P177=""),"Assign to an aggregation group",IF(AND(U177&lt;&gt;"Draft",OR(Q177="",R177="",S177="")),"Response, owner and due date needed",IF(AND(U177="Closed",T177=""),"Closed requires a retest TEST-ID","OK"))))))))</f>
        <v/>
      </c>
    </row>
    <row r="178" customFormat="false" ht="15" hidden="false" customHeight="false" outlineLevel="0" collapsed="false">
      <c r="A178" s="16"/>
      <c r="B178" s="16"/>
      <c r="C178" s="17" t="str">
        <f aca="false">IFERROR(INDEX(Ref_TEST!$B$2:$B$201,MATCH(B178,Ref_TEST!$A$2:$A$201,0)),"")</f>
        <v/>
      </c>
      <c r="D178" s="17" t="str">
        <f aca="false">IFERROR(INDEX(Ref_TEST!$C$2:$C$201,MATCH(B178,Ref_TEST!$A$2:$A$201,0)),"")</f>
        <v/>
      </c>
      <c r="E178" s="17" t="str">
        <f aca="false">IFERROR(INDEX(Ref_TEST!$D$2:$D$201,MATCH(B178,Ref_TEST!$A$2:$A$201,0)),"")</f>
        <v/>
      </c>
      <c r="F178" s="16"/>
      <c r="G178" s="16"/>
      <c r="H178" s="16"/>
      <c r="I178" s="16"/>
      <c r="J178" s="16"/>
      <c r="K178" s="16"/>
      <c r="L178" s="16"/>
      <c r="M178" s="16"/>
      <c r="N178" s="16"/>
      <c r="O178" s="16"/>
      <c r="P178" s="16"/>
      <c r="Q178" s="16"/>
      <c r="R178" s="16"/>
      <c r="S178" s="18"/>
      <c r="T178" s="16"/>
      <c r="U178" s="16"/>
      <c r="V178" s="17" t="str">
        <f aca="false">IF(A178="","",IF(COUNTIF(Ref_TEST!$A$2:$A$201,B178)=0,"TEST-ID not in W10",IF(OR(F178="",G178="",H178="",I178="",J178=""),"Type, condition, criteria, cause, effect needed",IF(O178="","Severity needed",IF(AND(M178&lt;&gt;"",N178=""),"Compensating control test result needed",IF(AND(O178&lt;&gt;"Control deficiency",P178=""),"Assign to an aggregation group",IF(AND(U178&lt;&gt;"Draft",OR(Q178="",R178="",S178="")),"Response, owner and due date needed",IF(AND(U178="Closed",T178=""),"Closed requires a retest TEST-ID","OK"))))))))</f>
        <v/>
      </c>
    </row>
    <row r="179" customFormat="false" ht="15" hidden="false" customHeight="false" outlineLevel="0" collapsed="false">
      <c r="A179" s="16"/>
      <c r="B179" s="16"/>
      <c r="C179" s="17" t="str">
        <f aca="false">IFERROR(INDEX(Ref_TEST!$B$2:$B$201,MATCH(B179,Ref_TEST!$A$2:$A$201,0)),"")</f>
        <v/>
      </c>
      <c r="D179" s="17" t="str">
        <f aca="false">IFERROR(INDEX(Ref_TEST!$C$2:$C$201,MATCH(B179,Ref_TEST!$A$2:$A$201,0)),"")</f>
        <v/>
      </c>
      <c r="E179" s="17" t="str">
        <f aca="false">IFERROR(INDEX(Ref_TEST!$D$2:$D$201,MATCH(B179,Ref_TEST!$A$2:$A$201,0)),"")</f>
        <v/>
      </c>
      <c r="F179" s="16"/>
      <c r="G179" s="16"/>
      <c r="H179" s="16"/>
      <c r="I179" s="16"/>
      <c r="J179" s="16"/>
      <c r="K179" s="16"/>
      <c r="L179" s="16"/>
      <c r="M179" s="16"/>
      <c r="N179" s="16"/>
      <c r="O179" s="16"/>
      <c r="P179" s="16"/>
      <c r="Q179" s="16"/>
      <c r="R179" s="16"/>
      <c r="S179" s="18"/>
      <c r="T179" s="16"/>
      <c r="U179" s="16"/>
      <c r="V179" s="17" t="str">
        <f aca="false">IF(A179="","",IF(COUNTIF(Ref_TEST!$A$2:$A$201,B179)=0,"TEST-ID not in W10",IF(OR(F179="",G179="",H179="",I179="",J179=""),"Type, condition, criteria, cause, effect needed",IF(O179="","Severity needed",IF(AND(M179&lt;&gt;"",N179=""),"Compensating control test result needed",IF(AND(O179&lt;&gt;"Control deficiency",P179=""),"Assign to an aggregation group",IF(AND(U179&lt;&gt;"Draft",OR(Q179="",R179="",S179="")),"Response, owner and due date needed",IF(AND(U179="Closed",T179=""),"Closed requires a retest TEST-ID","OK"))))))))</f>
        <v/>
      </c>
    </row>
    <row r="180" customFormat="false" ht="15" hidden="false" customHeight="false" outlineLevel="0" collapsed="false">
      <c r="A180" s="16"/>
      <c r="B180" s="16"/>
      <c r="C180" s="17" t="str">
        <f aca="false">IFERROR(INDEX(Ref_TEST!$B$2:$B$201,MATCH(B180,Ref_TEST!$A$2:$A$201,0)),"")</f>
        <v/>
      </c>
      <c r="D180" s="17" t="str">
        <f aca="false">IFERROR(INDEX(Ref_TEST!$C$2:$C$201,MATCH(B180,Ref_TEST!$A$2:$A$201,0)),"")</f>
        <v/>
      </c>
      <c r="E180" s="17" t="str">
        <f aca="false">IFERROR(INDEX(Ref_TEST!$D$2:$D$201,MATCH(B180,Ref_TEST!$A$2:$A$201,0)),"")</f>
        <v/>
      </c>
      <c r="F180" s="16"/>
      <c r="G180" s="16"/>
      <c r="H180" s="16"/>
      <c r="I180" s="16"/>
      <c r="J180" s="16"/>
      <c r="K180" s="16"/>
      <c r="L180" s="16"/>
      <c r="M180" s="16"/>
      <c r="N180" s="16"/>
      <c r="O180" s="16"/>
      <c r="P180" s="16"/>
      <c r="Q180" s="16"/>
      <c r="R180" s="16"/>
      <c r="S180" s="18"/>
      <c r="T180" s="16"/>
      <c r="U180" s="16"/>
      <c r="V180" s="17" t="str">
        <f aca="false">IF(A180="","",IF(COUNTIF(Ref_TEST!$A$2:$A$201,B180)=0,"TEST-ID not in W10",IF(OR(F180="",G180="",H180="",I180="",J180=""),"Type, condition, criteria, cause, effect needed",IF(O180="","Severity needed",IF(AND(M180&lt;&gt;"",N180=""),"Compensating control test result needed",IF(AND(O180&lt;&gt;"Control deficiency",P180=""),"Assign to an aggregation group",IF(AND(U180&lt;&gt;"Draft",OR(Q180="",R180="",S180="")),"Response, owner and due date needed",IF(AND(U180="Closed",T180=""),"Closed requires a retest TEST-ID","OK"))))))))</f>
        <v/>
      </c>
    </row>
    <row r="181" customFormat="false" ht="15" hidden="false" customHeight="false" outlineLevel="0" collapsed="false">
      <c r="A181" s="16"/>
      <c r="B181" s="16"/>
      <c r="C181" s="17" t="str">
        <f aca="false">IFERROR(INDEX(Ref_TEST!$B$2:$B$201,MATCH(B181,Ref_TEST!$A$2:$A$201,0)),"")</f>
        <v/>
      </c>
      <c r="D181" s="17" t="str">
        <f aca="false">IFERROR(INDEX(Ref_TEST!$C$2:$C$201,MATCH(B181,Ref_TEST!$A$2:$A$201,0)),"")</f>
        <v/>
      </c>
      <c r="E181" s="17" t="str">
        <f aca="false">IFERROR(INDEX(Ref_TEST!$D$2:$D$201,MATCH(B181,Ref_TEST!$A$2:$A$201,0)),"")</f>
        <v/>
      </c>
      <c r="F181" s="16"/>
      <c r="G181" s="16"/>
      <c r="H181" s="16"/>
      <c r="I181" s="16"/>
      <c r="J181" s="16"/>
      <c r="K181" s="16"/>
      <c r="L181" s="16"/>
      <c r="M181" s="16"/>
      <c r="N181" s="16"/>
      <c r="O181" s="16"/>
      <c r="P181" s="16"/>
      <c r="Q181" s="16"/>
      <c r="R181" s="16"/>
      <c r="S181" s="18"/>
      <c r="T181" s="16"/>
      <c r="U181" s="16"/>
      <c r="V181" s="17" t="str">
        <f aca="false">IF(A181="","",IF(COUNTIF(Ref_TEST!$A$2:$A$201,B181)=0,"TEST-ID not in W10",IF(OR(F181="",G181="",H181="",I181="",J181=""),"Type, condition, criteria, cause, effect needed",IF(O181="","Severity needed",IF(AND(M181&lt;&gt;"",N181=""),"Compensating control test result needed",IF(AND(O181&lt;&gt;"Control deficiency",P181=""),"Assign to an aggregation group",IF(AND(U181&lt;&gt;"Draft",OR(Q181="",R181="",S181="")),"Response, owner and due date needed",IF(AND(U181="Closed",T181=""),"Closed requires a retest TEST-ID","OK"))))))))</f>
        <v/>
      </c>
    </row>
    <row r="182" customFormat="false" ht="15" hidden="false" customHeight="false" outlineLevel="0" collapsed="false">
      <c r="A182" s="16"/>
      <c r="B182" s="16"/>
      <c r="C182" s="17" t="str">
        <f aca="false">IFERROR(INDEX(Ref_TEST!$B$2:$B$201,MATCH(B182,Ref_TEST!$A$2:$A$201,0)),"")</f>
        <v/>
      </c>
      <c r="D182" s="17" t="str">
        <f aca="false">IFERROR(INDEX(Ref_TEST!$C$2:$C$201,MATCH(B182,Ref_TEST!$A$2:$A$201,0)),"")</f>
        <v/>
      </c>
      <c r="E182" s="17" t="str">
        <f aca="false">IFERROR(INDEX(Ref_TEST!$D$2:$D$201,MATCH(B182,Ref_TEST!$A$2:$A$201,0)),"")</f>
        <v/>
      </c>
      <c r="F182" s="16"/>
      <c r="G182" s="16"/>
      <c r="H182" s="16"/>
      <c r="I182" s="16"/>
      <c r="J182" s="16"/>
      <c r="K182" s="16"/>
      <c r="L182" s="16"/>
      <c r="M182" s="16"/>
      <c r="N182" s="16"/>
      <c r="O182" s="16"/>
      <c r="P182" s="16"/>
      <c r="Q182" s="16"/>
      <c r="R182" s="16"/>
      <c r="S182" s="18"/>
      <c r="T182" s="16"/>
      <c r="U182" s="16"/>
      <c r="V182" s="17" t="str">
        <f aca="false">IF(A182="","",IF(COUNTIF(Ref_TEST!$A$2:$A$201,B182)=0,"TEST-ID not in W10",IF(OR(F182="",G182="",H182="",I182="",J182=""),"Type, condition, criteria, cause, effect needed",IF(O182="","Severity needed",IF(AND(M182&lt;&gt;"",N182=""),"Compensating control test result needed",IF(AND(O182&lt;&gt;"Control deficiency",P182=""),"Assign to an aggregation group",IF(AND(U182&lt;&gt;"Draft",OR(Q182="",R182="",S182="")),"Response, owner and due date needed",IF(AND(U182="Closed",T182=""),"Closed requires a retest TEST-ID","OK"))))))))</f>
        <v/>
      </c>
    </row>
    <row r="183" customFormat="false" ht="15" hidden="false" customHeight="false" outlineLevel="0" collapsed="false">
      <c r="A183" s="16"/>
      <c r="B183" s="16"/>
      <c r="C183" s="17" t="str">
        <f aca="false">IFERROR(INDEX(Ref_TEST!$B$2:$B$201,MATCH(B183,Ref_TEST!$A$2:$A$201,0)),"")</f>
        <v/>
      </c>
      <c r="D183" s="17" t="str">
        <f aca="false">IFERROR(INDEX(Ref_TEST!$C$2:$C$201,MATCH(B183,Ref_TEST!$A$2:$A$201,0)),"")</f>
        <v/>
      </c>
      <c r="E183" s="17" t="str">
        <f aca="false">IFERROR(INDEX(Ref_TEST!$D$2:$D$201,MATCH(B183,Ref_TEST!$A$2:$A$201,0)),"")</f>
        <v/>
      </c>
      <c r="F183" s="16"/>
      <c r="G183" s="16"/>
      <c r="H183" s="16"/>
      <c r="I183" s="16"/>
      <c r="J183" s="16"/>
      <c r="K183" s="16"/>
      <c r="L183" s="16"/>
      <c r="M183" s="16"/>
      <c r="N183" s="16"/>
      <c r="O183" s="16"/>
      <c r="P183" s="16"/>
      <c r="Q183" s="16"/>
      <c r="R183" s="16"/>
      <c r="S183" s="18"/>
      <c r="T183" s="16"/>
      <c r="U183" s="16"/>
      <c r="V183" s="17" t="str">
        <f aca="false">IF(A183="","",IF(COUNTIF(Ref_TEST!$A$2:$A$201,B183)=0,"TEST-ID not in W10",IF(OR(F183="",G183="",H183="",I183="",J183=""),"Type, condition, criteria, cause, effect needed",IF(O183="","Severity needed",IF(AND(M183&lt;&gt;"",N183=""),"Compensating control test result needed",IF(AND(O183&lt;&gt;"Control deficiency",P183=""),"Assign to an aggregation group",IF(AND(U183&lt;&gt;"Draft",OR(Q183="",R183="",S183="")),"Response, owner and due date needed",IF(AND(U183="Closed",T183=""),"Closed requires a retest TEST-ID","OK"))))))))</f>
        <v/>
      </c>
    </row>
    <row r="184" customFormat="false" ht="15" hidden="false" customHeight="false" outlineLevel="0" collapsed="false">
      <c r="A184" s="16"/>
      <c r="B184" s="16"/>
      <c r="C184" s="17" t="str">
        <f aca="false">IFERROR(INDEX(Ref_TEST!$B$2:$B$201,MATCH(B184,Ref_TEST!$A$2:$A$201,0)),"")</f>
        <v/>
      </c>
      <c r="D184" s="17" t="str">
        <f aca="false">IFERROR(INDEX(Ref_TEST!$C$2:$C$201,MATCH(B184,Ref_TEST!$A$2:$A$201,0)),"")</f>
        <v/>
      </c>
      <c r="E184" s="17" t="str">
        <f aca="false">IFERROR(INDEX(Ref_TEST!$D$2:$D$201,MATCH(B184,Ref_TEST!$A$2:$A$201,0)),"")</f>
        <v/>
      </c>
      <c r="F184" s="16"/>
      <c r="G184" s="16"/>
      <c r="H184" s="16"/>
      <c r="I184" s="16"/>
      <c r="J184" s="16"/>
      <c r="K184" s="16"/>
      <c r="L184" s="16"/>
      <c r="M184" s="16"/>
      <c r="N184" s="16"/>
      <c r="O184" s="16"/>
      <c r="P184" s="16"/>
      <c r="Q184" s="16"/>
      <c r="R184" s="16"/>
      <c r="S184" s="18"/>
      <c r="T184" s="16"/>
      <c r="U184" s="16"/>
      <c r="V184" s="17" t="str">
        <f aca="false">IF(A184="","",IF(COUNTIF(Ref_TEST!$A$2:$A$201,B184)=0,"TEST-ID not in W10",IF(OR(F184="",G184="",H184="",I184="",J184=""),"Type, condition, criteria, cause, effect needed",IF(O184="","Severity needed",IF(AND(M184&lt;&gt;"",N184=""),"Compensating control test result needed",IF(AND(O184&lt;&gt;"Control deficiency",P184=""),"Assign to an aggregation group",IF(AND(U184&lt;&gt;"Draft",OR(Q184="",R184="",S184="")),"Response, owner and due date needed",IF(AND(U184="Closed",T184=""),"Closed requires a retest TEST-ID","OK"))))))))</f>
        <v/>
      </c>
    </row>
    <row r="185" customFormat="false" ht="15" hidden="false" customHeight="false" outlineLevel="0" collapsed="false">
      <c r="A185" s="16"/>
      <c r="B185" s="16"/>
      <c r="C185" s="17" t="str">
        <f aca="false">IFERROR(INDEX(Ref_TEST!$B$2:$B$201,MATCH(B185,Ref_TEST!$A$2:$A$201,0)),"")</f>
        <v/>
      </c>
      <c r="D185" s="17" t="str">
        <f aca="false">IFERROR(INDEX(Ref_TEST!$C$2:$C$201,MATCH(B185,Ref_TEST!$A$2:$A$201,0)),"")</f>
        <v/>
      </c>
      <c r="E185" s="17" t="str">
        <f aca="false">IFERROR(INDEX(Ref_TEST!$D$2:$D$201,MATCH(B185,Ref_TEST!$A$2:$A$201,0)),"")</f>
        <v/>
      </c>
      <c r="F185" s="16"/>
      <c r="G185" s="16"/>
      <c r="H185" s="16"/>
      <c r="I185" s="16"/>
      <c r="J185" s="16"/>
      <c r="K185" s="16"/>
      <c r="L185" s="16"/>
      <c r="M185" s="16"/>
      <c r="N185" s="16"/>
      <c r="O185" s="16"/>
      <c r="P185" s="16"/>
      <c r="Q185" s="16"/>
      <c r="R185" s="16"/>
      <c r="S185" s="18"/>
      <c r="T185" s="16"/>
      <c r="U185" s="16"/>
      <c r="V185" s="17" t="str">
        <f aca="false">IF(A185="","",IF(COUNTIF(Ref_TEST!$A$2:$A$201,B185)=0,"TEST-ID not in W10",IF(OR(F185="",G185="",H185="",I185="",J185=""),"Type, condition, criteria, cause, effect needed",IF(O185="","Severity needed",IF(AND(M185&lt;&gt;"",N185=""),"Compensating control test result needed",IF(AND(O185&lt;&gt;"Control deficiency",P185=""),"Assign to an aggregation group",IF(AND(U185&lt;&gt;"Draft",OR(Q185="",R185="",S185="")),"Response, owner and due date needed",IF(AND(U185="Closed",T185=""),"Closed requires a retest TEST-ID","OK"))))))))</f>
        <v/>
      </c>
    </row>
    <row r="186" customFormat="false" ht="15" hidden="false" customHeight="false" outlineLevel="0" collapsed="false">
      <c r="A186" s="16"/>
      <c r="B186" s="16"/>
      <c r="C186" s="17" t="str">
        <f aca="false">IFERROR(INDEX(Ref_TEST!$B$2:$B$201,MATCH(B186,Ref_TEST!$A$2:$A$201,0)),"")</f>
        <v/>
      </c>
      <c r="D186" s="17" t="str">
        <f aca="false">IFERROR(INDEX(Ref_TEST!$C$2:$C$201,MATCH(B186,Ref_TEST!$A$2:$A$201,0)),"")</f>
        <v/>
      </c>
      <c r="E186" s="17" t="str">
        <f aca="false">IFERROR(INDEX(Ref_TEST!$D$2:$D$201,MATCH(B186,Ref_TEST!$A$2:$A$201,0)),"")</f>
        <v/>
      </c>
      <c r="F186" s="16"/>
      <c r="G186" s="16"/>
      <c r="H186" s="16"/>
      <c r="I186" s="16"/>
      <c r="J186" s="16"/>
      <c r="K186" s="16"/>
      <c r="L186" s="16"/>
      <c r="M186" s="16"/>
      <c r="N186" s="16"/>
      <c r="O186" s="16"/>
      <c r="P186" s="16"/>
      <c r="Q186" s="16"/>
      <c r="R186" s="16"/>
      <c r="S186" s="18"/>
      <c r="T186" s="16"/>
      <c r="U186" s="16"/>
      <c r="V186" s="17" t="str">
        <f aca="false">IF(A186="","",IF(COUNTIF(Ref_TEST!$A$2:$A$201,B186)=0,"TEST-ID not in W10",IF(OR(F186="",G186="",H186="",I186="",J186=""),"Type, condition, criteria, cause, effect needed",IF(O186="","Severity needed",IF(AND(M186&lt;&gt;"",N186=""),"Compensating control test result needed",IF(AND(O186&lt;&gt;"Control deficiency",P186=""),"Assign to an aggregation group",IF(AND(U186&lt;&gt;"Draft",OR(Q186="",R186="",S186="")),"Response, owner and due date needed",IF(AND(U186="Closed",T186=""),"Closed requires a retest TEST-ID","OK"))))))))</f>
        <v/>
      </c>
    </row>
    <row r="187" customFormat="false" ht="15" hidden="false" customHeight="false" outlineLevel="0" collapsed="false">
      <c r="A187" s="16"/>
      <c r="B187" s="16"/>
      <c r="C187" s="17" t="str">
        <f aca="false">IFERROR(INDEX(Ref_TEST!$B$2:$B$201,MATCH(B187,Ref_TEST!$A$2:$A$201,0)),"")</f>
        <v/>
      </c>
      <c r="D187" s="17" t="str">
        <f aca="false">IFERROR(INDEX(Ref_TEST!$C$2:$C$201,MATCH(B187,Ref_TEST!$A$2:$A$201,0)),"")</f>
        <v/>
      </c>
      <c r="E187" s="17" t="str">
        <f aca="false">IFERROR(INDEX(Ref_TEST!$D$2:$D$201,MATCH(B187,Ref_TEST!$A$2:$A$201,0)),"")</f>
        <v/>
      </c>
      <c r="F187" s="16"/>
      <c r="G187" s="16"/>
      <c r="H187" s="16"/>
      <c r="I187" s="16"/>
      <c r="J187" s="16"/>
      <c r="K187" s="16"/>
      <c r="L187" s="16"/>
      <c r="M187" s="16"/>
      <c r="N187" s="16"/>
      <c r="O187" s="16"/>
      <c r="P187" s="16"/>
      <c r="Q187" s="16"/>
      <c r="R187" s="16"/>
      <c r="S187" s="18"/>
      <c r="T187" s="16"/>
      <c r="U187" s="16"/>
      <c r="V187" s="17" t="str">
        <f aca="false">IF(A187="","",IF(COUNTIF(Ref_TEST!$A$2:$A$201,B187)=0,"TEST-ID not in W10",IF(OR(F187="",G187="",H187="",I187="",J187=""),"Type, condition, criteria, cause, effect needed",IF(O187="","Severity needed",IF(AND(M187&lt;&gt;"",N187=""),"Compensating control test result needed",IF(AND(O187&lt;&gt;"Control deficiency",P187=""),"Assign to an aggregation group",IF(AND(U187&lt;&gt;"Draft",OR(Q187="",R187="",S187="")),"Response, owner and due date needed",IF(AND(U187="Closed",T187=""),"Closed requires a retest TEST-ID","OK"))))))))</f>
        <v/>
      </c>
    </row>
    <row r="188" customFormat="false" ht="15" hidden="false" customHeight="false" outlineLevel="0" collapsed="false">
      <c r="A188" s="16"/>
      <c r="B188" s="16"/>
      <c r="C188" s="17" t="str">
        <f aca="false">IFERROR(INDEX(Ref_TEST!$B$2:$B$201,MATCH(B188,Ref_TEST!$A$2:$A$201,0)),"")</f>
        <v/>
      </c>
      <c r="D188" s="17" t="str">
        <f aca="false">IFERROR(INDEX(Ref_TEST!$C$2:$C$201,MATCH(B188,Ref_TEST!$A$2:$A$201,0)),"")</f>
        <v/>
      </c>
      <c r="E188" s="17" t="str">
        <f aca="false">IFERROR(INDEX(Ref_TEST!$D$2:$D$201,MATCH(B188,Ref_TEST!$A$2:$A$201,0)),"")</f>
        <v/>
      </c>
      <c r="F188" s="16"/>
      <c r="G188" s="16"/>
      <c r="H188" s="16"/>
      <c r="I188" s="16"/>
      <c r="J188" s="16"/>
      <c r="K188" s="16"/>
      <c r="L188" s="16"/>
      <c r="M188" s="16"/>
      <c r="N188" s="16"/>
      <c r="O188" s="16"/>
      <c r="P188" s="16"/>
      <c r="Q188" s="16"/>
      <c r="R188" s="16"/>
      <c r="S188" s="18"/>
      <c r="T188" s="16"/>
      <c r="U188" s="16"/>
      <c r="V188" s="17" t="str">
        <f aca="false">IF(A188="","",IF(COUNTIF(Ref_TEST!$A$2:$A$201,B188)=0,"TEST-ID not in W10",IF(OR(F188="",G188="",H188="",I188="",J188=""),"Type, condition, criteria, cause, effect needed",IF(O188="","Severity needed",IF(AND(M188&lt;&gt;"",N188=""),"Compensating control test result needed",IF(AND(O188&lt;&gt;"Control deficiency",P188=""),"Assign to an aggregation group",IF(AND(U188&lt;&gt;"Draft",OR(Q188="",R188="",S188="")),"Response, owner and due date needed",IF(AND(U188="Closed",T188=""),"Closed requires a retest TEST-ID","OK"))))))))</f>
        <v/>
      </c>
    </row>
    <row r="189" customFormat="false" ht="15" hidden="false" customHeight="false" outlineLevel="0" collapsed="false">
      <c r="A189" s="16"/>
      <c r="B189" s="16"/>
      <c r="C189" s="17" t="str">
        <f aca="false">IFERROR(INDEX(Ref_TEST!$B$2:$B$201,MATCH(B189,Ref_TEST!$A$2:$A$201,0)),"")</f>
        <v/>
      </c>
      <c r="D189" s="17" t="str">
        <f aca="false">IFERROR(INDEX(Ref_TEST!$C$2:$C$201,MATCH(B189,Ref_TEST!$A$2:$A$201,0)),"")</f>
        <v/>
      </c>
      <c r="E189" s="17" t="str">
        <f aca="false">IFERROR(INDEX(Ref_TEST!$D$2:$D$201,MATCH(B189,Ref_TEST!$A$2:$A$201,0)),"")</f>
        <v/>
      </c>
      <c r="F189" s="16"/>
      <c r="G189" s="16"/>
      <c r="H189" s="16"/>
      <c r="I189" s="16"/>
      <c r="J189" s="16"/>
      <c r="K189" s="16"/>
      <c r="L189" s="16"/>
      <c r="M189" s="16"/>
      <c r="N189" s="16"/>
      <c r="O189" s="16"/>
      <c r="P189" s="16"/>
      <c r="Q189" s="16"/>
      <c r="R189" s="16"/>
      <c r="S189" s="18"/>
      <c r="T189" s="16"/>
      <c r="U189" s="16"/>
      <c r="V189" s="17" t="str">
        <f aca="false">IF(A189="","",IF(COUNTIF(Ref_TEST!$A$2:$A$201,B189)=0,"TEST-ID not in W10",IF(OR(F189="",G189="",H189="",I189="",J189=""),"Type, condition, criteria, cause, effect needed",IF(O189="","Severity needed",IF(AND(M189&lt;&gt;"",N189=""),"Compensating control test result needed",IF(AND(O189&lt;&gt;"Control deficiency",P189=""),"Assign to an aggregation group",IF(AND(U189&lt;&gt;"Draft",OR(Q189="",R189="",S189="")),"Response, owner and due date needed",IF(AND(U189="Closed",T189=""),"Closed requires a retest TEST-ID","OK"))))))))</f>
        <v/>
      </c>
    </row>
    <row r="190" customFormat="false" ht="15" hidden="false" customHeight="false" outlineLevel="0" collapsed="false">
      <c r="A190" s="16"/>
      <c r="B190" s="16"/>
      <c r="C190" s="17" t="str">
        <f aca="false">IFERROR(INDEX(Ref_TEST!$B$2:$B$201,MATCH(B190,Ref_TEST!$A$2:$A$201,0)),"")</f>
        <v/>
      </c>
      <c r="D190" s="17" t="str">
        <f aca="false">IFERROR(INDEX(Ref_TEST!$C$2:$C$201,MATCH(B190,Ref_TEST!$A$2:$A$201,0)),"")</f>
        <v/>
      </c>
      <c r="E190" s="17" t="str">
        <f aca="false">IFERROR(INDEX(Ref_TEST!$D$2:$D$201,MATCH(B190,Ref_TEST!$A$2:$A$201,0)),"")</f>
        <v/>
      </c>
      <c r="F190" s="16"/>
      <c r="G190" s="16"/>
      <c r="H190" s="16"/>
      <c r="I190" s="16"/>
      <c r="J190" s="16"/>
      <c r="K190" s="16"/>
      <c r="L190" s="16"/>
      <c r="M190" s="16"/>
      <c r="N190" s="16"/>
      <c r="O190" s="16"/>
      <c r="P190" s="16"/>
      <c r="Q190" s="16"/>
      <c r="R190" s="16"/>
      <c r="S190" s="18"/>
      <c r="T190" s="16"/>
      <c r="U190" s="16"/>
      <c r="V190" s="17" t="str">
        <f aca="false">IF(A190="","",IF(COUNTIF(Ref_TEST!$A$2:$A$201,B190)=0,"TEST-ID not in W10",IF(OR(F190="",G190="",H190="",I190="",J190=""),"Type, condition, criteria, cause, effect needed",IF(O190="","Severity needed",IF(AND(M190&lt;&gt;"",N190=""),"Compensating control test result needed",IF(AND(O190&lt;&gt;"Control deficiency",P190=""),"Assign to an aggregation group",IF(AND(U190&lt;&gt;"Draft",OR(Q190="",R190="",S190="")),"Response, owner and due date needed",IF(AND(U190="Closed",T190=""),"Closed requires a retest TEST-ID","OK"))))))))</f>
        <v/>
      </c>
    </row>
    <row r="191" customFormat="false" ht="15" hidden="false" customHeight="false" outlineLevel="0" collapsed="false">
      <c r="A191" s="16"/>
      <c r="B191" s="16"/>
      <c r="C191" s="17" t="str">
        <f aca="false">IFERROR(INDEX(Ref_TEST!$B$2:$B$201,MATCH(B191,Ref_TEST!$A$2:$A$201,0)),"")</f>
        <v/>
      </c>
      <c r="D191" s="17" t="str">
        <f aca="false">IFERROR(INDEX(Ref_TEST!$C$2:$C$201,MATCH(B191,Ref_TEST!$A$2:$A$201,0)),"")</f>
        <v/>
      </c>
      <c r="E191" s="17" t="str">
        <f aca="false">IFERROR(INDEX(Ref_TEST!$D$2:$D$201,MATCH(B191,Ref_TEST!$A$2:$A$201,0)),"")</f>
        <v/>
      </c>
      <c r="F191" s="16"/>
      <c r="G191" s="16"/>
      <c r="H191" s="16"/>
      <c r="I191" s="16"/>
      <c r="J191" s="16"/>
      <c r="K191" s="16"/>
      <c r="L191" s="16"/>
      <c r="M191" s="16"/>
      <c r="N191" s="16"/>
      <c r="O191" s="16"/>
      <c r="P191" s="16"/>
      <c r="Q191" s="16"/>
      <c r="R191" s="16"/>
      <c r="S191" s="18"/>
      <c r="T191" s="16"/>
      <c r="U191" s="16"/>
      <c r="V191" s="17" t="str">
        <f aca="false">IF(A191="","",IF(COUNTIF(Ref_TEST!$A$2:$A$201,B191)=0,"TEST-ID not in W10",IF(OR(F191="",G191="",H191="",I191="",J191=""),"Type, condition, criteria, cause, effect needed",IF(O191="","Severity needed",IF(AND(M191&lt;&gt;"",N191=""),"Compensating control test result needed",IF(AND(O191&lt;&gt;"Control deficiency",P191=""),"Assign to an aggregation group",IF(AND(U191&lt;&gt;"Draft",OR(Q191="",R191="",S191="")),"Response, owner and due date needed",IF(AND(U191="Closed",T191=""),"Closed requires a retest TEST-ID","OK"))))))))</f>
        <v/>
      </c>
    </row>
    <row r="192" customFormat="false" ht="15" hidden="false" customHeight="false" outlineLevel="0" collapsed="false">
      <c r="A192" s="16"/>
      <c r="B192" s="16"/>
      <c r="C192" s="17" t="str">
        <f aca="false">IFERROR(INDEX(Ref_TEST!$B$2:$B$201,MATCH(B192,Ref_TEST!$A$2:$A$201,0)),"")</f>
        <v/>
      </c>
      <c r="D192" s="17" t="str">
        <f aca="false">IFERROR(INDEX(Ref_TEST!$C$2:$C$201,MATCH(B192,Ref_TEST!$A$2:$A$201,0)),"")</f>
        <v/>
      </c>
      <c r="E192" s="17" t="str">
        <f aca="false">IFERROR(INDEX(Ref_TEST!$D$2:$D$201,MATCH(B192,Ref_TEST!$A$2:$A$201,0)),"")</f>
        <v/>
      </c>
      <c r="F192" s="16"/>
      <c r="G192" s="16"/>
      <c r="H192" s="16"/>
      <c r="I192" s="16"/>
      <c r="J192" s="16"/>
      <c r="K192" s="16"/>
      <c r="L192" s="16"/>
      <c r="M192" s="16"/>
      <c r="N192" s="16"/>
      <c r="O192" s="16"/>
      <c r="P192" s="16"/>
      <c r="Q192" s="16"/>
      <c r="R192" s="16"/>
      <c r="S192" s="18"/>
      <c r="T192" s="16"/>
      <c r="U192" s="16"/>
      <c r="V192" s="17" t="str">
        <f aca="false">IF(A192="","",IF(COUNTIF(Ref_TEST!$A$2:$A$201,B192)=0,"TEST-ID not in W10",IF(OR(F192="",G192="",H192="",I192="",J192=""),"Type, condition, criteria, cause, effect needed",IF(O192="","Severity needed",IF(AND(M192&lt;&gt;"",N192=""),"Compensating control test result needed",IF(AND(O192&lt;&gt;"Control deficiency",P192=""),"Assign to an aggregation group",IF(AND(U192&lt;&gt;"Draft",OR(Q192="",R192="",S192="")),"Response, owner and due date needed",IF(AND(U192="Closed",T192=""),"Closed requires a retest TEST-ID","OK"))))))))</f>
        <v/>
      </c>
    </row>
    <row r="193" customFormat="false" ht="15" hidden="false" customHeight="false" outlineLevel="0" collapsed="false">
      <c r="A193" s="16"/>
      <c r="B193" s="16"/>
      <c r="C193" s="17" t="str">
        <f aca="false">IFERROR(INDEX(Ref_TEST!$B$2:$B$201,MATCH(B193,Ref_TEST!$A$2:$A$201,0)),"")</f>
        <v/>
      </c>
      <c r="D193" s="17" t="str">
        <f aca="false">IFERROR(INDEX(Ref_TEST!$C$2:$C$201,MATCH(B193,Ref_TEST!$A$2:$A$201,0)),"")</f>
        <v/>
      </c>
      <c r="E193" s="17" t="str">
        <f aca="false">IFERROR(INDEX(Ref_TEST!$D$2:$D$201,MATCH(B193,Ref_TEST!$A$2:$A$201,0)),"")</f>
        <v/>
      </c>
      <c r="F193" s="16"/>
      <c r="G193" s="16"/>
      <c r="H193" s="16"/>
      <c r="I193" s="16"/>
      <c r="J193" s="16"/>
      <c r="K193" s="16"/>
      <c r="L193" s="16"/>
      <c r="M193" s="16"/>
      <c r="N193" s="16"/>
      <c r="O193" s="16"/>
      <c r="P193" s="16"/>
      <c r="Q193" s="16"/>
      <c r="R193" s="16"/>
      <c r="S193" s="18"/>
      <c r="T193" s="16"/>
      <c r="U193" s="16"/>
      <c r="V193" s="17" t="str">
        <f aca="false">IF(A193="","",IF(COUNTIF(Ref_TEST!$A$2:$A$201,B193)=0,"TEST-ID not in W10",IF(OR(F193="",G193="",H193="",I193="",J193=""),"Type, condition, criteria, cause, effect needed",IF(O193="","Severity needed",IF(AND(M193&lt;&gt;"",N193=""),"Compensating control test result needed",IF(AND(O193&lt;&gt;"Control deficiency",P193=""),"Assign to an aggregation group",IF(AND(U193&lt;&gt;"Draft",OR(Q193="",R193="",S193="")),"Response, owner and due date needed",IF(AND(U193="Closed",T193=""),"Closed requires a retest TEST-ID","OK"))))))))</f>
        <v/>
      </c>
    </row>
    <row r="194" customFormat="false" ht="15" hidden="false" customHeight="false" outlineLevel="0" collapsed="false">
      <c r="A194" s="16"/>
      <c r="B194" s="16"/>
      <c r="C194" s="17" t="str">
        <f aca="false">IFERROR(INDEX(Ref_TEST!$B$2:$B$201,MATCH(B194,Ref_TEST!$A$2:$A$201,0)),"")</f>
        <v/>
      </c>
      <c r="D194" s="17" t="str">
        <f aca="false">IFERROR(INDEX(Ref_TEST!$C$2:$C$201,MATCH(B194,Ref_TEST!$A$2:$A$201,0)),"")</f>
        <v/>
      </c>
      <c r="E194" s="17" t="str">
        <f aca="false">IFERROR(INDEX(Ref_TEST!$D$2:$D$201,MATCH(B194,Ref_TEST!$A$2:$A$201,0)),"")</f>
        <v/>
      </c>
      <c r="F194" s="16"/>
      <c r="G194" s="16"/>
      <c r="H194" s="16"/>
      <c r="I194" s="16"/>
      <c r="J194" s="16"/>
      <c r="K194" s="16"/>
      <c r="L194" s="16"/>
      <c r="M194" s="16"/>
      <c r="N194" s="16"/>
      <c r="O194" s="16"/>
      <c r="P194" s="16"/>
      <c r="Q194" s="16"/>
      <c r="R194" s="16"/>
      <c r="S194" s="18"/>
      <c r="T194" s="16"/>
      <c r="U194" s="16"/>
      <c r="V194" s="17" t="str">
        <f aca="false">IF(A194="","",IF(COUNTIF(Ref_TEST!$A$2:$A$201,B194)=0,"TEST-ID not in W10",IF(OR(F194="",G194="",H194="",I194="",J194=""),"Type, condition, criteria, cause, effect needed",IF(O194="","Severity needed",IF(AND(M194&lt;&gt;"",N194=""),"Compensating control test result needed",IF(AND(O194&lt;&gt;"Control deficiency",P194=""),"Assign to an aggregation group",IF(AND(U194&lt;&gt;"Draft",OR(Q194="",R194="",S194="")),"Response, owner and due date needed",IF(AND(U194="Closed",T194=""),"Closed requires a retest TEST-ID","OK"))))))))</f>
        <v/>
      </c>
    </row>
    <row r="195" customFormat="false" ht="15" hidden="false" customHeight="false" outlineLevel="0" collapsed="false">
      <c r="A195" s="16"/>
      <c r="B195" s="16"/>
      <c r="C195" s="17" t="str">
        <f aca="false">IFERROR(INDEX(Ref_TEST!$B$2:$B$201,MATCH(B195,Ref_TEST!$A$2:$A$201,0)),"")</f>
        <v/>
      </c>
      <c r="D195" s="17" t="str">
        <f aca="false">IFERROR(INDEX(Ref_TEST!$C$2:$C$201,MATCH(B195,Ref_TEST!$A$2:$A$201,0)),"")</f>
        <v/>
      </c>
      <c r="E195" s="17" t="str">
        <f aca="false">IFERROR(INDEX(Ref_TEST!$D$2:$D$201,MATCH(B195,Ref_TEST!$A$2:$A$201,0)),"")</f>
        <v/>
      </c>
      <c r="F195" s="16"/>
      <c r="G195" s="16"/>
      <c r="H195" s="16"/>
      <c r="I195" s="16"/>
      <c r="J195" s="16"/>
      <c r="K195" s="16"/>
      <c r="L195" s="16"/>
      <c r="M195" s="16"/>
      <c r="N195" s="16"/>
      <c r="O195" s="16"/>
      <c r="P195" s="16"/>
      <c r="Q195" s="16"/>
      <c r="R195" s="16"/>
      <c r="S195" s="18"/>
      <c r="T195" s="16"/>
      <c r="U195" s="16"/>
      <c r="V195" s="17" t="str">
        <f aca="false">IF(A195="","",IF(COUNTIF(Ref_TEST!$A$2:$A$201,B195)=0,"TEST-ID not in W10",IF(OR(F195="",G195="",H195="",I195="",J195=""),"Type, condition, criteria, cause, effect needed",IF(O195="","Severity needed",IF(AND(M195&lt;&gt;"",N195=""),"Compensating control test result needed",IF(AND(O195&lt;&gt;"Control deficiency",P195=""),"Assign to an aggregation group",IF(AND(U195&lt;&gt;"Draft",OR(Q195="",R195="",S195="")),"Response, owner and due date needed",IF(AND(U195="Closed",T195=""),"Closed requires a retest TEST-ID","OK"))))))))</f>
        <v/>
      </c>
    </row>
    <row r="196" customFormat="false" ht="15" hidden="false" customHeight="false" outlineLevel="0" collapsed="false">
      <c r="A196" s="16"/>
      <c r="B196" s="16"/>
      <c r="C196" s="17" t="str">
        <f aca="false">IFERROR(INDEX(Ref_TEST!$B$2:$B$201,MATCH(B196,Ref_TEST!$A$2:$A$201,0)),"")</f>
        <v/>
      </c>
      <c r="D196" s="17" t="str">
        <f aca="false">IFERROR(INDEX(Ref_TEST!$C$2:$C$201,MATCH(B196,Ref_TEST!$A$2:$A$201,0)),"")</f>
        <v/>
      </c>
      <c r="E196" s="17" t="str">
        <f aca="false">IFERROR(INDEX(Ref_TEST!$D$2:$D$201,MATCH(B196,Ref_TEST!$A$2:$A$201,0)),"")</f>
        <v/>
      </c>
      <c r="F196" s="16"/>
      <c r="G196" s="16"/>
      <c r="H196" s="16"/>
      <c r="I196" s="16"/>
      <c r="J196" s="16"/>
      <c r="K196" s="16"/>
      <c r="L196" s="16"/>
      <c r="M196" s="16"/>
      <c r="N196" s="16"/>
      <c r="O196" s="16"/>
      <c r="P196" s="16"/>
      <c r="Q196" s="16"/>
      <c r="R196" s="16"/>
      <c r="S196" s="18"/>
      <c r="T196" s="16"/>
      <c r="U196" s="16"/>
      <c r="V196" s="17" t="str">
        <f aca="false">IF(A196="","",IF(COUNTIF(Ref_TEST!$A$2:$A$201,B196)=0,"TEST-ID not in W10",IF(OR(F196="",G196="",H196="",I196="",J196=""),"Type, condition, criteria, cause, effect needed",IF(O196="","Severity needed",IF(AND(M196&lt;&gt;"",N196=""),"Compensating control test result needed",IF(AND(O196&lt;&gt;"Control deficiency",P196=""),"Assign to an aggregation group",IF(AND(U196&lt;&gt;"Draft",OR(Q196="",R196="",S196="")),"Response, owner and due date needed",IF(AND(U196="Closed",T196=""),"Closed requires a retest TEST-ID","OK"))))))))</f>
        <v/>
      </c>
    </row>
    <row r="197" customFormat="false" ht="15" hidden="false" customHeight="false" outlineLevel="0" collapsed="false">
      <c r="A197" s="16"/>
      <c r="B197" s="16"/>
      <c r="C197" s="17" t="str">
        <f aca="false">IFERROR(INDEX(Ref_TEST!$B$2:$B$201,MATCH(B197,Ref_TEST!$A$2:$A$201,0)),"")</f>
        <v/>
      </c>
      <c r="D197" s="17" t="str">
        <f aca="false">IFERROR(INDEX(Ref_TEST!$C$2:$C$201,MATCH(B197,Ref_TEST!$A$2:$A$201,0)),"")</f>
        <v/>
      </c>
      <c r="E197" s="17" t="str">
        <f aca="false">IFERROR(INDEX(Ref_TEST!$D$2:$D$201,MATCH(B197,Ref_TEST!$A$2:$A$201,0)),"")</f>
        <v/>
      </c>
      <c r="F197" s="16"/>
      <c r="G197" s="16"/>
      <c r="H197" s="16"/>
      <c r="I197" s="16"/>
      <c r="J197" s="16"/>
      <c r="K197" s="16"/>
      <c r="L197" s="16"/>
      <c r="M197" s="16"/>
      <c r="N197" s="16"/>
      <c r="O197" s="16"/>
      <c r="P197" s="16"/>
      <c r="Q197" s="16"/>
      <c r="R197" s="16"/>
      <c r="S197" s="18"/>
      <c r="T197" s="16"/>
      <c r="U197" s="16"/>
      <c r="V197" s="17" t="str">
        <f aca="false">IF(A197="","",IF(COUNTIF(Ref_TEST!$A$2:$A$201,B197)=0,"TEST-ID not in W10",IF(OR(F197="",G197="",H197="",I197="",J197=""),"Type, condition, criteria, cause, effect needed",IF(O197="","Severity needed",IF(AND(M197&lt;&gt;"",N197=""),"Compensating control test result needed",IF(AND(O197&lt;&gt;"Control deficiency",P197=""),"Assign to an aggregation group",IF(AND(U197&lt;&gt;"Draft",OR(Q197="",R197="",S197="")),"Response, owner and due date needed",IF(AND(U197="Closed",T197=""),"Closed requires a retest TEST-ID","OK"))))))))</f>
        <v/>
      </c>
    </row>
    <row r="198" customFormat="false" ht="15" hidden="false" customHeight="false" outlineLevel="0" collapsed="false">
      <c r="A198" s="16"/>
      <c r="B198" s="16"/>
      <c r="C198" s="17" t="str">
        <f aca="false">IFERROR(INDEX(Ref_TEST!$B$2:$B$201,MATCH(B198,Ref_TEST!$A$2:$A$201,0)),"")</f>
        <v/>
      </c>
      <c r="D198" s="17" t="str">
        <f aca="false">IFERROR(INDEX(Ref_TEST!$C$2:$C$201,MATCH(B198,Ref_TEST!$A$2:$A$201,0)),"")</f>
        <v/>
      </c>
      <c r="E198" s="17" t="str">
        <f aca="false">IFERROR(INDEX(Ref_TEST!$D$2:$D$201,MATCH(B198,Ref_TEST!$A$2:$A$201,0)),"")</f>
        <v/>
      </c>
      <c r="F198" s="16"/>
      <c r="G198" s="16"/>
      <c r="H198" s="16"/>
      <c r="I198" s="16"/>
      <c r="J198" s="16"/>
      <c r="K198" s="16"/>
      <c r="L198" s="16"/>
      <c r="M198" s="16"/>
      <c r="N198" s="16"/>
      <c r="O198" s="16"/>
      <c r="P198" s="16"/>
      <c r="Q198" s="16"/>
      <c r="R198" s="16"/>
      <c r="S198" s="18"/>
      <c r="T198" s="16"/>
      <c r="U198" s="16"/>
      <c r="V198" s="17" t="str">
        <f aca="false">IF(A198="","",IF(COUNTIF(Ref_TEST!$A$2:$A$201,B198)=0,"TEST-ID not in W10",IF(OR(F198="",G198="",H198="",I198="",J198=""),"Type, condition, criteria, cause, effect needed",IF(O198="","Severity needed",IF(AND(M198&lt;&gt;"",N198=""),"Compensating control test result needed",IF(AND(O198&lt;&gt;"Control deficiency",P198=""),"Assign to an aggregation group",IF(AND(U198&lt;&gt;"Draft",OR(Q198="",R198="",S198="")),"Response, owner and due date needed",IF(AND(U198="Closed",T198=""),"Closed requires a retest TEST-ID","OK"))))))))</f>
        <v/>
      </c>
    </row>
    <row r="199" customFormat="false" ht="15" hidden="false" customHeight="false" outlineLevel="0" collapsed="false">
      <c r="A199" s="16"/>
      <c r="B199" s="16"/>
      <c r="C199" s="17" t="str">
        <f aca="false">IFERROR(INDEX(Ref_TEST!$B$2:$B$201,MATCH(B199,Ref_TEST!$A$2:$A$201,0)),"")</f>
        <v/>
      </c>
      <c r="D199" s="17" t="str">
        <f aca="false">IFERROR(INDEX(Ref_TEST!$C$2:$C$201,MATCH(B199,Ref_TEST!$A$2:$A$201,0)),"")</f>
        <v/>
      </c>
      <c r="E199" s="17" t="str">
        <f aca="false">IFERROR(INDEX(Ref_TEST!$D$2:$D$201,MATCH(B199,Ref_TEST!$A$2:$A$201,0)),"")</f>
        <v/>
      </c>
      <c r="F199" s="16"/>
      <c r="G199" s="16"/>
      <c r="H199" s="16"/>
      <c r="I199" s="16"/>
      <c r="J199" s="16"/>
      <c r="K199" s="16"/>
      <c r="L199" s="16"/>
      <c r="M199" s="16"/>
      <c r="N199" s="16"/>
      <c r="O199" s="16"/>
      <c r="P199" s="16"/>
      <c r="Q199" s="16"/>
      <c r="R199" s="16"/>
      <c r="S199" s="18"/>
      <c r="T199" s="16"/>
      <c r="U199" s="16"/>
      <c r="V199" s="17" t="str">
        <f aca="false">IF(A199="","",IF(COUNTIF(Ref_TEST!$A$2:$A$201,B199)=0,"TEST-ID not in W10",IF(OR(F199="",G199="",H199="",I199="",J199=""),"Type, condition, criteria, cause, effect needed",IF(O199="","Severity needed",IF(AND(M199&lt;&gt;"",N199=""),"Compensating control test result needed",IF(AND(O199&lt;&gt;"Control deficiency",P199=""),"Assign to an aggregation group",IF(AND(U199&lt;&gt;"Draft",OR(Q199="",R199="",S199="")),"Response, owner and due date needed",IF(AND(U199="Closed",T199=""),"Closed requires a retest TEST-ID","OK"))))))))</f>
        <v/>
      </c>
    </row>
    <row r="200" customFormat="false" ht="15" hidden="false" customHeight="false" outlineLevel="0" collapsed="false">
      <c r="A200" s="16"/>
      <c r="B200" s="16"/>
      <c r="C200" s="17" t="str">
        <f aca="false">IFERROR(INDEX(Ref_TEST!$B$2:$B$201,MATCH(B200,Ref_TEST!$A$2:$A$201,0)),"")</f>
        <v/>
      </c>
      <c r="D200" s="17" t="str">
        <f aca="false">IFERROR(INDEX(Ref_TEST!$C$2:$C$201,MATCH(B200,Ref_TEST!$A$2:$A$201,0)),"")</f>
        <v/>
      </c>
      <c r="E200" s="17" t="str">
        <f aca="false">IFERROR(INDEX(Ref_TEST!$D$2:$D$201,MATCH(B200,Ref_TEST!$A$2:$A$201,0)),"")</f>
        <v/>
      </c>
      <c r="F200" s="16"/>
      <c r="G200" s="16"/>
      <c r="H200" s="16"/>
      <c r="I200" s="16"/>
      <c r="J200" s="16"/>
      <c r="K200" s="16"/>
      <c r="L200" s="16"/>
      <c r="M200" s="16"/>
      <c r="N200" s="16"/>
      <c r="O200" s="16"/>
      <c r="P200" s="16"/>
      <c r="Q200" s="16"/>
      <c r="R200" s="16"/>
      <c r="S200" s="18"/>
      <c r="T200" s="16"/>
      <c r="U200" s="16"/>
      <c r="V200" s="17" t="str">
        <f aca="false">IF(A200="","",IF(COUNTIF(Ref_TEST!$A$2:$A$201,B200)=0,"TEST-ID not in W10",IF(OR(F200="",G200="",H200="",I200="",J200=""),"Type, condition, criteria, cause, effect needed",IF(O200="","Severity needed",IF(AND(M200&lt;&gt;"",N200=""),"Compensating control test result needed",IF(AND(O200&lt;&gt;"Control deficiency",P200=""),"Assign to an aggregation group",IF(AND(U200&lt;&gt;"Draft",OR(Q200="",R200="",S200="")),"Response, owner and due date needed",IF(AND(U200="Closed",T200=""),"Closed requires a retest TEST-ID","OK"))))))))</f>
        <v/>
      </c>
    </row>
    <row r="201" customFormat="false" ht="15" hidden="false" customHeight="false" outlineLevel="0" collapsed="false">
      <c r="A201" s="16"/>
      <c r="B201" s="16"/>
      <c r="C201" s="17" t="str">
        <f aca="false">IFERROR(INDEX(Ref_TEST!$B$2:$B$201,MATCH(B201,Ref_TEST!$A$2:$A$201,0)),"")</f>
        <v/>
      </c>
      <c r="D201" s="17" t="str">
        <f aca="false">IFERROR(INDEX(Ref_TEST!$C$2:$C$201,MATCH(B201,Ref_TEST!$A$2:$A$201,0)),"")</f>
        <v/>
      </c>
      <c r="E201" s="17" t="str">
        <f aca="false">IFERROR(INDEX(Ref_TEST!$D$2:$D$201,MATCH(B201,Ref_TEST!$A$2:$A$201,0)),"")</f>
        <v/>
      </c>
      <c r="F201" s="16"/>
      <c r="G201" s="16"/>
      <c r="H201" s="16"/>
      <c r="I201" s="16"/>
      <c r="J201" s="16"/>
      <c r="K201" s="16"/>
      <c r="L201" s="16"/>
      <c r="M201" s="16"/>
      <c r="N201" s="16"/>
      <c r="O201" s="16"/>
      <c r="P201" s="16"/>
      <c r="Q201" s="16"/>
      <c r="R201" s="16"/>
      <c r="S201" s="18"/>
      <c r="T201" s="16"/>
      <c r="U201" s="16"/>
      <c r="V201" s="17" t="str">
        <f aca="false">IF(A201="","",IF(COUNTIF(Ref_TEST!$A$2:$A$201,B201)=0,"TEST-ID not in W10",IF(OR(F201="",G201="",H201="",I201="",J201=""),"Type, condition, criteria, cause, effect needed",IF(O201="","Severity needed",IF(AND(M201&lt;&gt;"",N201=""),"Compensating control test result needed",IF(AND(O201&lt;&gt;"Control deficiency",P201=""),"Assign to an aggregation group",IF(AND(U201&lt;&gt;"Draft",OR(Q201="",R201="",S201="")),"Response, owner and due date needed",IF(AND(U201="Closed",T201=""),"Closed requires a retest TEST-ID","OK"))))))))</f>
        <v/>
      </c>
    </row>
    <row r="202" customFormat="false" ht="15" hidden="false" customHeight="false" outlineLevel="0" collapsed="false">
      <c r="A202" s="16"/>
      <c r="B202" s="16"/>
      <c r="C202" s="17" t="str">
        <f aca="false">IFERROR(INDEX(Ref_TEST!$B$2:$B$201,MATCH(B202,Ref_TEST!$A$2:$A$201,0)),"")</f>
        <v/>
      </c>
      <c r="D202" s="17" t="str">
        <f aca="false">IFERROR(INDEX(Ref_TEST!$C$2:$C$201,MATCH(B202,Ref_TEST!$A$2:$A$201,0)),"")</f>
        <v/>
      </c>
      <c r="E202" s="17" t="str">
        <f aca="false">IFERROR(INDEX(Ref_TEST!$D$2:$D$201,MATCH(B202,Ref_TEST!$A$2:$A$201,0)),"")</f>
        <v/>
      </c>
      <c r="F202" s="16"/>
      <c r="G202" s="16"/>
      <c r="H202" s="16"/>
      <c r="I202" s="16"/>
      <c r="J202" s="16"/>
      <c r="K202" s="16"/>
      <c r="L202" s="16"/>
      <c r="M202" s="16"/>
      <c r="N202" s="16"/>
      <c r="O202" s="16"/>
      <c r="P202" s="16"/>
      <c r="Q202" s="16"/>
      <c r="R202" s="16"/>
      <c r="S202" s="18"/>
      <c r="T202" s="16"/>
      <c r="U202" s="16"/>
      <c r="V202" s="17" t="str">
        <f aca="false">IF(A202="","",IF(COUNTIF(Ref_TEST!$A$2:$A$201,B202)=0,"TEST-ID not in W10",IF(OR(F202="",G202="",H202="",I202="",J202=""),"Type, condition, criteria, cause, effect needed",IF(O202="","Severity needed",IF(AND(M202&lt;&gt;"",N202=""),"Compensating control test result needed",IF(AND(O202&lt;&gt;"Control deficiency",P202=""),"Assign to an aggregation group",IF(AND(U202&lt;&gt;"Draft",OR(Q202="",R202="",S202="")),"Response, owner and due date needed",IF(AND(U202="Closed",T202=""),"Closed requires a retest TEST-ID","OK"))))))))</f>
        <v/>
      </c>
    </row>
    <row r="203" customFormat="false" ht="15" hidden="false" customHeight="false" outlineLevel="0" collapsed="false">
      <c r="A203" s="16"/>
      <c r="B203" s="16"/>
      <c r="C203" s="17" t="str">
        <f aca="false">IFERROR(INDEX(Ref_TEST!$B$2:$B$201,MATCH(B203,Ref_TEST!$A$2:$A$201,0)),"")</f>
        <v/>
      </c>
      <c r="D203" s="17" t="str">
        <f aca="false">IFERROR(INDEX(Ref_TEST!$C$2:$C$201,MATCH(B203,Ref_TEST!$A$2:$A$201,0)),"")</f>
        <v/>
      </c>
      <c r="E203" s="17" t="str">
        <f aca="false">IFERROR(INDEX(Ref_TEST!$D$2:$D$201,MATCH(B203,Ref_TEST!$A$2:$A$201,0)),"")</f>
        <v/>
      </c>
      <c r="F203" s="16"/>
      <c r="G203" s="16"/>
      <c r="H203" s="16"/>
      <c r="I203" s="16"/>
      <c r="J203" s="16"/>
      <c r="K203" s="16"/>
      <c r="L203" s="16"/>
      <c r="M203" s="16"/>
      <c r="N203" s="16"/>
      <c r="O203" s="16"/>
      <c r="P203" s="16"/>
      <c r="Q203" s="16"/>
      <c r="R203" s="16"/>
      <c r="S203" s="18"/>
      <c r="T203" s="16"/>
      <c r="U203" s="16"/>
      <c r="V203" s="17" t="str">
        <f aca="false">IF(A203="","",IF(COUNTIF(Ref_TEST!$A$2:$A$201,B203)=0,"TEST-ID not in W10",IF(OR(F203="",G203="",H203="",I203="",J203=""),"Type, condition, criteria, cause, effect needed",IF(O203="","Severity needed",IF(AND(M203&lt;&gt;"",N203=""),"Compensating control test result needed",IF(AND(O203&lt;&gt;"Control deficiency",P203=""),"Assign to an aggregation group",IF(AND(U203&lt;&gt;"Draft",OR(Q203="",R203="",S203="")),"Response, owner and due date needed",IF(AND(U203="Closed",T203=""),"Closed requires a retest TEST-ID","OK"))))))))</f>
        <v/>
      </c>
    </row>
    <row r="204" customFormat="false" ht="15" hidden="false" customHeight="false" outlineLevel="0" collapsed="false">
      <c r="A204" s="16"/>
      <c r="B204" s="16"/>
      <c r="C204" s="17" t="str">
        <f aca="false">IFERROR(INDEX(Ref_TEST!$B$2:$B$201,MATCH(B204,Ref_TEST!$A$2:$A$201,0)),"")</f>
        <v/>
      </c>
      <c r="D204" s="17" t="str">
        <f aca="false">IFERROR(INDEX(Ref_TEST!$C$2:$C$201,MATCH(B204,Ref_TEST!$A$2:$A$201,0)),"")</f>
        <v/>
      </c>
      <c r="E204" s="17" t="str">
        <f aca="false">IFERROR(INDEX(Ref_TEST!$D$2:$D$201,MATCH(B204,Ref_TEST!$A$2:$A$201,0)),"")</f>
        <v/>
      </c>
      <c r="F204" s="16"/>
      <c r="G204" s="16"/>
      <c r="H204" s="16"/>
      <c r="I204" s="16"/>
      <c r="J204" s="16"/>
      <c r="K204" s="16"/>
      <c r="L204" s="16"/>
      <c r="M204" s="16"/>
      <c r="N204" s="16"/>
      <c r="O204" s="16"/>
      <c r="P204" s="16"/>
      <c r="Q204" s="16"/>
      <c r="R204" s="16"/>
      <c r="S204" s="18"/>
      <c r="T204" s="16"/>
      <c r="U204" s="16"/>
      <c r="V204" s="17" t="str">
        <f aca="false">IF(A204="","",IF(COUNTIF(Ref_TEST!$A$2:$A$201,B204)=0,"TEST-ID not in W10",IF(OR(F204="",G204="",H204="",I204="",J204=""),"Type, condition, criteria, cause, effect needed",IF(O204="","Severity needed",IF(AND(M204&lt;&gt;"",N204=""),"Compensating control test result needed",IF(AND(O204&lt;&gt;"Control deficiency",P204=""),"Assign to an aggregation group",IF(AND(U204&lt;&gt;"Draft",OR(Q204="",R204="",S204="")),"Response, owner and due date needed",IF(AND(U204="Closed",T204=""),"Closed requires a retest TEST-ID","OK"))))))))</f>
        <v/>
      </c>
    </row>
  </sheetData>
  <autoFilter ref="A4:V204"/>
  <dataValidations count="6">
    <dataValidation allowBlank="true" error="Pick a value from the list." errorStyle="warning" operator="between" showDropDown="false" showErrorMessage="true" showInputMessage="false" sqref="B5:B204" type="list">
      <formula1>Ref_TEST!$A$2:$A$201</formula1>
      <formula2>0</formula2>
    </dataValidation>
    <dataValidation allowBlank="true" error="Pick a value from the list." errorStyle="stop" operator="between" showDropDown="false" showErrorMessage="true" showInputMessage="false" sqref="F5:F204" type="list">
      <formula1>Lists!$A$2:$A$3</formula1>
      <formula2>0</formula2>
    </dataValidation>
    <dataValidation allowBlank="true" error="Pick a value from the list." errorStyle="stop" operator="between" showDropDown="false" showErrorMessage="true" showInputMessage="false" sqref="N5:N204" type="list">
      <formula1>Lists!$B$2:$B$4</formula1>
      <formula2>0</formula2>
    </dataValidation>
    <dataValidation allowBlank="true" error="Pick a value from the list." errorStyle="stop" operator="between" showDropDown="false" showErrorMessage="true" showInputMessage="false" sqref="O5:O204" type="list">
      <formula1>Lists!$C$2:$C$4</formula1>
      <formula2>0</formula2>
    </dataValidation>
    <dataValidation allowBlank="true" error="Pick a value from the list." errorStyle="warning" operator="between" showDropDown="false" showErrorMessage="true" showInputMessage="false" sqref="P5:P204" type="list">
      <formula1>Groups!$A$5:$A$204</formula1>
      <formula2>0</formula2>
    </dataValidation>
    <dataValidation allowBlank="true" error="Pick a value from the list." errorStyle="stop" operator="between" showDropDown="false" showErrorMessage="true" showInputMessage="false" sqref="U5:U204" type="list">
      <formula1>Lists!$D$2:$D$6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34"/>
    <col collapsed="false" customWidth="true" hidden="false" outlineLevel="0" max="4" min="4" style="0" width="36"/>
    <col collapsed="false" customWidth="true" hidden="false" outlineLevel="0" max="5" min="5" style="0" width="18"/>
    <col collapsed="false" customWidth="true" hidden="false" outlineLevel="0" max="6" min="6" style="0" width="40"/>
    <col collapsed="false" customWidth="true" hidden="false" outlineLevel="0" max="7" min="7" style="0" width="8"/>
    <col collapsed="false" customWidth="true" hidden="false" outlineLevel="0" max="8" min="8" style="0" width="18"/>
    <col collapsed="false" customWidth="true" hidden="false" outlineLevel="0" max="9" min="9" style="0" width="36"/>
  </cols>
  <sheetData>
    <row r="1" customFormat="false" ht="17.35" hidden="false" customHeight="false" outlineLevel="0" collapsed="false">
      <c r="A1" s="9" t="s">
        <v>142</v>
      </c>
    </row>
    <row r="2" customFormat="false" ht="15" hidden="false" customHeight="false" outlineLevel="0" collapsed="false">
      <c r="A2" s="10" t="s">
        <v>143</v>
      </c>
    </row>
    <row r="4" customFormat="false" ht="31.5" hidden="false" customHeight="true" outlineLevel="0" collapsed="false">
      <c r="A4" s="11" t="s">
        <v>67</v>
      </c>
      <c r="B4" s="11" t="s">
        <v>88</v>
      </c>
      <c r="C4" s="11" t="s">
        <v>91</v>
      </c>
      <c r="D4" s="11" t="s">
        <v>94</v>
      </c>
      <c r="E4" s="11" t="s">
        <v>96</v>
      </c>
      <c r="F4" s="11" t="s">
        <v>99</v>
      </c>
      <c r="G4" s="12" t="s">
        <v>102</v>
      </c>
      <c r="H4" s="12" t="s">
        <v>104</v>
      </c>
      <c r="I4" s="12" t="s">
        <v>106</v>
      </c>
    </row>
    <row r="5" customFormat="false" ht="35.05" hidden="false" customHeight="false" outlineLevel="0" collapsed="false">
      <c r="A5" s="13" t="s">
        <v>138</v>
      </c>
      <c r="B5" s="13" t="s">
        <v>144</v>
      </c>
      <c r="C5" s="13" t="s">
        <v>145</v>
      </c>
      <c r="D5" s="13" t="s">
        <v>146</v>
      </c>
      <c r="E5" s="13" t="s">
        <v>147</v>
      </c>
      <c r="F5" s="13" t="s">
        <v>148</v>
      </c>
      <c r="G5" s="14" t="n">
        <f aca="false">IF(A5="","",COUNTIF(Deficiency_Log!$P$5:$P$204,A5))</f>
        <v>1</v>
      </c>
      <c r="H5" s="14" t="str">
        <f aca="false">IF(A5="","",IF(COUNTIFS(Deficiency_Log!$P$5:$P$204,A5,Deficiency_Log!$O$5:$O$204,"Material weakness")&gt;0,"Material weakness",IF(COUNTIFS(Deficiency_Log!$P$5:$P$204,A5,Deficiency_Log!$O$5:$O$204,"Significant deficiency")&gt;0,"Significant deficiency",IF(COUNTIFS(Deficiency_Log!$P$5:$P$204,A5,Deficiency_Log!$O$5:$O$204,"Control deficiency")&gt;0,"Control deficiency","—"))))</f>
        <v>Control deficiency</v>
      </c>
      <c r="I5" s="14" t="str">
        <f aca="false">IF(A5="","",IF(G5=0,"No DEF assigned to group",IF(E5="","Group severity needed",IF(AND(IF(E5="Material weakness",3,IF(E5="Significant deficiency",2,1))&lt;IF(H5="Material weakness",3,IF(H5="Significant deficiency",2,IF(H5="Control deficiency",1,0))),F5=""),"Group below highest individual: justify",IF(F5="","Rationale needed","OK")))))</f>
        <v>OK</v>
      </c>
    </row>
    <row r="6" customFormat="false" ht="23.85" hidden="false" customHeight="false" outlineLevel="0" collapsed="false">
      <c r="A6" s="13" t="s">
        <v>124</v>
      </c>
      <c r="B6" s="13" t="s">
        <v>149</v>
      </c>
      <c r="C6" s="13" t="s">
        <v>150</v>
      </c>
      <c r="D6" s="13" t="s">
        <v>151</v>
      </c>
      <c r="E6" s="13" t="s">
        <v>123</v>
      </c>
      <c r="F6" s="13" t="s">
        <v>152</v>
      </c>
      <c r="G6" s="14" t="n">
        <f aca="false">IF(A6="","",COUNTIF(Deficiency_Log!$P$5:$P$204,A6))</f>
        <v>1</v>
      </c>
      <c r="H6" s="14" t="str">
        <f aca="false">IF(A6="","",IF(COUNTIFS(Deficiency_Log!$P$5:$P$204,A6,Deficiency_Log!$O$5:$O$204,"Material weakness")&gt;0,"Material weakness",IF(COUNTIFS(Deficiency_Log!$P$5:$P$204,A6,Deficiency_Log!$O$5:$O$204,"Significant deficiency")&gt;0,"Significant deficiency",IF(COUNTIFS(Deficiency_Log!$P$5:$P$204,A6,Deficiency_Log!$O$5:$O$204,"Control deficiency")&gt;0,"Control deficiency","—"))))</f>
        <v>Control deficiency</v>
      </c>
      <c r="I6" s="14" t="str">
        <f aca="false">IF(A6="","",IF(G6=0,"No DEF assigned to group",IF(E6="","Group severity needed",IF(AND(IF(E6="Material weakness",3,IF(E6="Significant deficiency",2,1))&lt;IF(H6="Material weakness",3,IF(H6="Significant deficiency",2,IF(H6="Control deficiency",1,0))),F6=""),"Group below highest individual: justify",IF(F6="","Rationale needed","OK")))))</f>
        <v>OK</v>
      </c>
    </row>
    <row r="7" customFormat="false" ht="15" hidden="false" customHeight="false" outlineLevel="0" collapsed="false">
      <c r="A7" s="16"/>
      <c r="B7" s="16"/>
      <c r="C7" s="16"/>
      <c r="D7" s="16"/>
      <c r="E7" s="16"/>
      <c r="F7" s="16"/>
      <c r="G7" s="17" t="str">
        <f aca="false">IF(A7="","",COUNTIF(Deficiency_Log!$P$5:$P$204,A7))</f>
        <v/>
      </c>
      <c r="H7" s="17" t="str">
        <f aca="false">IF(A7="","",IF(COUNTIFS(Deficiency_Log!$P$5:$P$204,A7,Deficiency_Log!$O$5:$O$204,"Material weakness")&gt;0,"Material weakness",IF(COUNTIFS(Deficiency_Log!$P$5:$P$204,A7,Deficiency_Log!$O$5:$O$204,"Significant deficiency")&gt;0,"Significant deficiency",IF(COUNTIFS(Deficiency_Log!$P$5:$P$204,A7,Deficiency_Log!$O$5:$O$204,"Control deficiency")&gt;0,"Control deficiency","—"))))</f>
        <v/>
      </c>
      <c r="I7" s="17" t="str">
        <f aca="false">IF(A7="","",IF(G7=0,"No DEF assigned to group",IF(E7="","Group severity needed",IF(AND(IF(E7="Material weakness",3,IF(E7="Significant deficiency",2,1))&lt;IF(H7="Material weakness",3,IF(H7="Significant deficiency",2,IF(H7="Control deficiency",1,0))),F7=""),"Group below highest individual: justify",IF(F7="","Rationale needed","OK")))))</f>
        <v/>
      </c>
    </row>
    <row r="8" customFormat="false" ht="15" hidden="false" customHeight="false" outlineLevel="0" collapsed="false">
      <c r="A8" s="16"/>
      <c r="B8" s="16"/>
      <c r="C8" s="16"/>
      <c r="D8" s="16"/>
      <c r="E8" s="16"/>
      <c r="F8" s="16"/>
      <c r="G8" s="17" t="str">
        <f aca="false">IF(A8="","",COUNTIF(Deficiency_Log!$P$5:$P$204,A8))</f>
        <v/>
      </c>
      <c r="H8" s="17" t="str">
        <f aca="false">IF(A8="","",IF(COUNTIFS(Deficiency_Log!$P$5:$P$204,A8,Deficiency_Log!$O$5:$O$204,"Material weakness")&gt;0,"Material weakness",IF(COUNTIFS(Deficiency_Log!$P$5:$P$204,A8,Deficiency_Log!$O$5:$O$204,"Significant deficiency")&gt;0,"Significant deficiency",IF(COUNTIFS(Deficiency_Log!$P$5:$P$204,A8,Deficiency_Log!$O$5:$O$204,"Control deficiency")&gt;0,"Control deficiency","—"))))</f>
        <v/>
      </c>
      <c r="I8" s="17" t="str">
        <f aca="false">IF(A8="","",IF(G8=0,"No DEF assigned to group",IF(E8="","Group severity needed",IF(AND(IF(E8="Material weakness",3,IF(E8="Significant deficiency",2,1))&lt;IF(H8="Material weakness",3,IF(H8="Significant deficiency",2,IF(H8="Control deficiency",1,0))),F8=""),"Group below highest individual: justify",IF(F8="","Rationale needed","OK")))))</f>
        <v/>
      </c>
    </row>
    <row r="9" customFormat="false" ht="15" hidden="false" customHeight="false" outlineLevel="0" collapsed="false">
      <c r="A9" s="16"/>
      <c r="B9" s="16"/>
      <c r="C9" s="16"/>
      <c r="D9" s="16"/>
      <c r="E9" s="16"/>
      <c r="F9" s="16"/>
      <c r="G9" s="17" t="str">
        <f aca="false">IF(A9="","",COUNTIF(Deficiency_Log!$P$5:$P$204,A9))</f>
        <v/>
      </c>
      <c r="H9" s="17" t="str">
        <f aca="false">IF(A9="","",IF(COUNTIFS(Deficiency_Log!$P$5:$P$204,A9,Deficiency_Log!$O$5:$O$204,"Material weakness")&gt;0,"Material weakness",IF(COUNTIFS(Deficiency_Log!$P$5:$P$204,A9,Deficiency_Log!$O$5:$O$204,"Significant deficiency")&gt;0,"Significant deficiency",IF(COUNTIFS(Deficiency_Log!$P$5:$P$204,A9,Deficiency_Log!$O$5:$O$204,"Control deficiency")&gt;0,"Control deficiency","—"))))</f>
        <v/>
      </c>
      <c r="I9" s="17" t="str">
        <f aca="false">IF(A9="","",IF(G9=0,"No DEF assigned to group",IF(E9="","Group severity needed",IF(AND(IF(E9="Material weakness",3,IF(E9="Significant deficiency",2,1))&lt;IF(H9="Material weakness",3,IF(H9="Significant deficiency",2,IF(H9="Control deficiency",1,0))),F9=""),"Group below highest individual: justify",IF(F9="","Rationale needed","OK")))))</f>
        <v/>
      </c>
    </row>
    <row r="10" customFormat="false" ht="15" hidden="false" customHeight="false" outlineLevel="0" collapsed="false">
      <c r="A10" s="16"/>
      <c r="B10" s="16"/>
      <c r="C10" s="16"/>
      <c r="D10" s="16"/>
      <c r="E10" s="16"/>
      <c r="F10" s="16"/>
      <c r="G10" s="17" t="str">
        <f aca="false">IF(A10="","",COUNTIF(Deficiency_Log!$P$5:$P$204,A10))</f>
        <v/>
      </c>
      <c r="H10" s="17" t="str">
        <f aca="false">IF(A10="","",IF(COUNTIFS(Deficiency_Log!$P$5:$P$204,A10,Deficiency_Log!$O$5:$O$204,"Material weakness")&gt;0,"Material weakness",IF(COUNTIFS(Deficiency_Log!$P$5:$P$204,A10,Deficiency_Log!$O$5:$O$204,"Significant deficiency")&gt;0,"Significant deficiency",IF(COUNTIFS(Deficiency_Log!$P$5:$P$204,A10,Deficiency_Log!$O$5:$O$204,"Control deficiency")&gt;0,"Control deficiency","—"))))</f>
        <v/>
      </c>
      <c r="I10" s="17" t="str">
        <f aca="false">IF(A10="","",IF(G10=0,"No DEF assigned to group",IF(E10="","Group severity needed",IF(AND(IF(E10="Material weakness",3,IF(E10="Significant deficiency",2,1))&lt;IF(H10="Material weakness",3,IF(H10="Significant deficiency",2,IF(H10="Control deficiency",1,0))),F10=""),"Group below highest individual: justify",IF(F10="","Rationale needed","OK")))))</f>
        <v/>
      </c>
    </row>
    <row r="11" customFormat="false" ht="15" hidden="false" customHeight="false" outlineLevel="0" collapsed="false">
      <c r="A11" s="16"/>
      <c r="B11" s="16"/>
      <c r="C11" s="16"/>
      <c r="D11" s="16"/>
      <c r="E11" s="16"/>
      <c r="F11" s="16"/>
      <c r="G11" s="17" t="str">
        <f aca="false">IF(A11="","",COUNTIF(Deficiency_Log!$P$5:$P$204,A11))</f>
        <v/>
      </c>
      <c r="H11" s="17" t="str">
        <f aca="false">IF(A11="","",IF(COUNTIFS(Deficiency_Log!$P$5:$P$204,A11,Deficiency_Log!$O$5:$O$204,"Material weakness")&gt;0,"Material weakness",IF(COUNTIFS(Deficiency_Log!$P$5:$P$204,A11,Deficiency_Log!$O$5:$O$204,"Significant deficiency")&gt;0,"Significant deficiency",IF(COUNTIFS(Deficiency_Log!$P$5:$P$204,A11,Deficiency_Log!$O$5:$O$204,"Control deficiency")&gt;0,"Control deficiency","—"))))</f>
        <v/>
      </c>
      <c r="I11" s="17" t="str">
        <f aca="false">IF(A11="","",IF(G11=0,"No DEF assigned to group",IF(E11="","Group severity needed",IF(AND(IF(E11="Material weakness",3,IF(E11="Significant deficiency",2,1))&lt;IF(H11="Material weakness",3,IF(H11="Significant deficiency",2,IF(H11="Control deficiency",1,0))),F11=""),"Group below highest individual: justify",IF(F11="","Rationale needed","OK")))))</f>
        <v/>
      </c>
    </row>
    <row r="12" customFormat="false" ht="15" hidden="false" customHeight="false" outlineLevel="0" collapsed="false">
      <c r="A12" s="16"/>
      <c r="B12" s="16"/>
      <c r="C12" s="16"/>
      <c r="D12" s="16"/>
      <c r="E12" s="16"/>
      <c r="F12" s="16"/>
      <c r="G12" s="17" t="str">
        <f aca="false">IF(A12="","",COUNTIF(Deficiency_Log!$P$5:$P$204,A12))</f>
        <v/>
      </c>
      <c r="H12" s="17" t="str">
        <f aca="false">IF(A12="","",IF(COUNTIFS(Deficiency_Log!$P$5:$P$204,A12,Deficiency_Log!$O$5:$O$204,"Material weakness")&gt;0,"Material weakness",IF(COUNTIFS(Deficiency_Log!$P$5:$P$204,A12,Deficiency_Log!$O$5:$O$204,"Significant deficiency")&gt;0,"Significant deficiency",IF(COUNTIFS(Deficiency_Log!$P$5:$P$204,A12,Deficiency_Log!$O$5:$O$204,"Control deficiency")&gt;0,"Control deficiency","—"))))</f>
        <v/>
      </c>
      <c r="I12" s="17" t="str">
        <f aca="false">IF(A12="","",IF(G12=0,"No DEF assigned to group",IF(E12="","Group severity needed",IF(AND(IF(E12="Material weakness",3,IF(E12="Significant deficiency",2,1))&lt;IF(H12="Material weakness",3,IF(H12="Significant deficiency",2,IF(H12="Control deficiency",1,0))),F12=""),"Group below highest individual: justify",IF(F12="","Rationale needed","OK")))))</f>
        <v/>
      </c>
    </row>
    <row r="13" customFormat="false" ht="15" hidden="false" customHeight="false" outlineLevel="0" collapsed="false">
      <c r="A13" s="16"/>
      <c r="B13" s="16"/>
      <c r="C13" s="16"/>
      <c r="D13" s="16"/>
      <c r="E13" s="16"/>
      <c r="F13" s="16"/>
      <c r="G13" s="17" t="str">
        <f aca="false">IF(A13="","",COUNTIF(Deficiency_Log!$P$5:$P$204,A13))</f>
        <v/>
      </c>
      <c r="H13" s="17" t="str">
        <f aca="false">IF(A13="","",IF(COUNTIFS(Deficiency_Log!$P$5:$P$204,A13,Deficiency_Log!$O$5:$O$204,"Material weakness")&gt;0,"Material weakness",IF(COUNTIFS(Deficiency_Log!$P$5:$P$204,A13,Deficiency_Log!$O$5:$O$204,"Significant deficiency")&gt;0,"Significant deficiency",IF(COUNTIFS(Deficiency_Log!$P$5:$P$204,A13,Deficiency_Log!$O$5:$O$204,"Control deficiency")&gt;0,"Control deficiency","—"))))</f>
        <v/>
      </c>
      <c r="I13" s="17" t="str">
        <f aca="false">IF(A13="","",IF(G13=0,"No DEF assigned to group",IF(E13="","Group severity needed",IF(AND(IF(E13="Material weakness",3,IF(E13="Significant deficiency",2,1))&lt;IF(H13="Material weakness",3,IF(H13="Significant deficiency",2,IF(H13="Control deficiency",1,0))),F13=""),"Group below highest individual: justify",IF(F13="","Rationale needed","OK")))))</f>
        <v/>
      </c>
    </row>
    <row r="14" customFormat="false" ht="15" hidden="false" customHeight="false" outlineLevel="0" collapsed="false">
      <c r="A14" s="16"/>
      <c r="B14" s="16"/>
      <c r="C14" s="16"/>
      <c r="D14" s="16"/>
      <c r="E14" s="16"/>
      <c r="F14" s="16"/>
      <c r="G14" s="17" t="str">
        <f aca="false">IF(A14="","",COUNTIF(Deficiency_Log!$P$5:$P$204,A14))</f>
        <v/>
      </c>
      <c r="H14" s="17" t="str">
        <f aca="false">IF(A14="","",IF(COUNTIFS(Deficiency_Log!$P$5:$P$204,A14,Deficiency_Log!$O$5:$O$204,"Material weakness")&gt;0,"Material weakness",IF(COUNTIFS(Deficiency_Log!$P$5:$P$204,A14,Deficiency_Log!$O$5:$O$204,"Significant deficiency")&gt;0,"Significant deficiency",IF(COUNTIFS(Deficiency_Log!$P$5:$P$204,A14,Deficiency_Log!$O$5:$O$204,"Control deficiency")&gt;0,"Control deficiency","—"))))</f>
        <v/>
      </c>
      <c r="I14" s="17" t="str">
        <f aca="false">IF(A14="","",IF(G14=0,"No DEF assigned to group",IF(E14="","Group severity needed",IF(AND(IF(E14="Material weakness",3,IF(E14="Significant deficiency",2,1))&lt;IF(H14="Material weakness",3,IF(H14="Significant deficiency",2,IF(H14="Control deficiency",1,0))),F14=""),"Group below highest individual: justify",IF(F14="","Rationale needed","OK")))))</f>
        <v/>
      </c>
    </row>
    <row r="15" customFormat="false" ht="15" hidden="false" customHeight="false" outlineLevel="0" collapsed="false">
      <c r="A15" s="16"/>
      <c r="B15" s="16"/>
      <c r="C15" s="16"/>
      <c r="D15" s="16"/>
      <c r="E15" s="16"/>
      <c r="F15" s="16"/>
      <c r="G15" s="17" t="str">
        <f aca="false">IF(A15="","",COUNTIF(Deficiency_Log!$P$5:$P$204,A15))</f>
        <v/>
      </c>
      <c r="H15" s="17" t="str">
        <f aca="false">IF(A15="","",IF(COUNTIFS(Deficiency_Log!$P$5:$P$204,A15,Deficiency_Log!$O$5:$O$204,"Material weakness")&gt;0,"Material weakness",IF(COUNTIFS(Deficiency_Log!$P$5:$P$204,A15,Deficiency_Log!$O$5:$O$204,"Significant deficiency")&gt;0,"Significant deficiency",IF(COUNTIFS(Deficiency_Log!$P$5:$P$204,A15,Deficiency_Log!$O$5:$O$204,"Control deficiency")&gt;0,"Control deficiency","—"))))</f>
        <v/>
      </c>
      <c r="I15" s="17" t="str">
        <f aca="false">IF(A15="","",IF(G15=0,"No DEF assigned to group",IF(E15="","Group severity needed",IF(AND(IF(E15="Material weakness",3,IF(E15="Significant deficiency",2,1))&lt;IF(H15="Material weakness",3,IF(H15="Significant deficiency",2,IF(H15="Control deficiency",1,0))),F15=""),"Group below highest individual: justify",IF(F15="","Rationale needed","OK")))))</f>
        <v/>
      </c>
    </row>
    <row r="16" customFormat="false" ht="15" hidden="false" customHeight="false" outlineLevel="0" collapsed="false">
      <c r="A16" s="16"/>
      <c r="B16" s="16"/>
      <c r="C16" s="16"/>
      <c r="D16" s="16"/>
      <c r="E16" s="16"/>
      <c r="F16" s="16"/>
      <c r="G16" s="17" t="str">
        <f aca="false">IF(A16="","",COUNTIF(Deficiency_Log!$P$5:$P$204,A16))</f>
        <v/>
      </c>
      <c r="H16" s="17" t="str">
        <f aca="false">IF(A16="","",IF(COUNTIFS(Deficiency_Log!$P$5:$P$204,A16,Deficiency_Log!$O$5:$O$204,"Material weakness")&gt;0,"Material weakness",IF(COUNTIFS(Deficiency_Log!$P$5:$P$204,A16,Deficiency_Log!$O$5:$O$204,"Significant deficiency")&gt;0,"Significant deficiency",IF(COUNTIFS(Deficiency_Log!$P$5:$P$204,A16,Deficiency_Log!$O$5:$O$204,"Control deficiency")&gt;0,"Control deficiency","—"))))</f>
        <v/>
      </c>
      <c r="I16" s="17" t="str">
        <f aca="false">IF(A16="","",IF(G16=0,"No DEF assigned to group",IF(E16="","Group severity needed",IF(AND(IF(E16="Material weakness",3,IF(E16="Significant deficiency",2,1))&lt;IF(H16="Material weakness",3,IF(H16="Significant deficiency",2,IF(H16="Control deficiency",1,0))),F16=""),"Group below highest individual: justify",IF(F16="","Rationale needed","OK")))))</f>
        <v/>
      </c>
    </row>
    <row r="17" customFormat="false" ht="15" hidden="false" customHeight="false" outlineLevel="0" collapsed="false">
      <c r="A17" s="16"/>
      <c r="B17" s="16"/>
      <c r="C17" s="16"/>
      <c r="D17" s="16"/>
      <c r="E17" s="16"/>
      <c r="F17" s="16"/>
      <c r="G17" s="17" t="str">
        <f aca="false">IF(A17="","",COUNTIF(Deficiency_Log!$P$5:$P$204,A17))</f>
        <v/>
      </c>
      <c r="H17" s="17" t="str">
        <f aca="false">IF(A17="","",IF(COUNTIFS(Deficiency_Log!$P$5:$P$204,A17,Deficiency_Log!$O$5:$O$204,"Material weakness")&gt;0,"Material weakness",IF(COUNTIFS(Deficiency_Log!$P$5:$P$204,A17,Deficiency_Log!$O$5:$O$204,"Significant deficiency")&gt;0,"Significant deficiency",IF(COUNTIFS(Deficiency_Log!$P$5:$P$204,A17,Deficiency_Log!$O$5:$O$204,"Control deficiency")&gt;0,"Control deficiency","—"))))</f>
        <v/>
      </c>
      <c r="I17" s="17" t="str">
        <f aca="false">IF(A17="","",IF(G17=0,"No DEF assigned to group",IF(E17="","Group severity needed",IF(AND(IF(E17="Material weakness",3,IF(E17="Significant deficiency",2,1))&lt;IF(H17="Material weakness",3,IF(H17="Significant deficiency",2,IF(H17="Control deficiency",1,0))),F17=""),"Group below highest individual: justify",IF(F17="","Rationale needed","OK")))))</f>
        <v/>
      </c>
    </row>
    <row r="18" customFormat="false" ht="15" hidden="false" customHeight="false" outlineLevel="0" collapsed="false">
      <c r="A18" s="16"/>
      <c r="B18" s="16"/>
      <c r="C18" s="16"/>
      <c r="D18" s="16"/>
      <c r="E18" s="16"/>
      <c r="F18" s="16"/>
      <c r="G18" s="17" t="str">
        <f aca="false">IF(A18="","",COUNTIF(Deficiency_Log!$P$5:$P$204,A18))</f>
        <v/>
      </c>
      <c r="H18" s="17" t="str">
        <f aca="false">IF(A18="","",IF(COUNTIFS(Deficiency_Log!$P$5:$P$204,A18,Deficiency_Log!$O$5:$O$204,"Material weakness")&gt;0,"Material weakness",IF(COUNTIFS(Deficiency_Log!$P$5:$P$204,A18,Deficiency_Log!$O$5:$O$204,"Significant deficiency")&gt;0,"Significant deficiency",IF(COUNTIFS(Deficiency_Log!$P$5:$P$204,A18,Deficiency_Log!$O$5:$O$204,"Control deficiency")&gt;0,"Control deficiency","—"))))</f>
        <v/>
      </c>
      <c r="I18" s="17" t="str">
        <f aca="false">IF(A18="","",IF(G18=0,"No DEF assigned to group",IF(E18="","Group severity needed",IF(AND(IF(E18="Material weakness",3,IF(E18="Significant deficiency",2,1))&lt;IF(H18="Material weakness",3,IF(H18="Significant deficiency",2,IF(H18="Control deficiency",1,0))),F18=""),"Group below highest individual: justify",IF(F18="","Rationale needed","OK")))))</f>
        <v/>
      </c>
    </row>
    <row r="19" customFormat="false" ht="15" hidden="false" customHeight="false" outlineLevel="0" collapsed="false">
      <c r="A19" s="16"/>
      <c r="B19" s="16"/>
      <c r="C19" s="16"/>
      <c r="D19" s="16"/>
      <c r="E19" s="16"/>
      <c r="F19" s="16"/>
      <c r="G19" s="17" t="str">
        <f aca="false">IF(A19="","",COUNTIF(Deficiency_Log!$P$5:$P$204,A19))</f>
        <v/>
      </c>
      <c r="H19" s="17" t="str">
        <f aca="false">IF(A19="","",IF(COUNTIFS(Deficiency_Log!$P$5:$P$204,A19,Deficiency_Log!$O$5:$O$204,"Material weakness")&gt;0,"Material weakness",IF(COUNTIFS(Deficiency_Log!$P$5:$P$204,A19,Deficiency_Log!$O$5:$O$204,"Significant deficiency")&gt;0,"Significant deficiency",IF(COUNTIFS(Deficiency_Log!$P$5:$P$204,A19,Deficiency_Log!$O$5:$O$204,"Control deficiency")&gt;0,"Control deficiency","—"))))</f>
        <v/>
      </c>
      <c r="I19" s="17" t="str">
        <f aca="false">IF(A19="","",IF(G19=0,"No DEF assigned to group",IF(E19="","Group severity needed",IF(AND(IF(E19="Material weakness",3,IF(E19="Significant deficiency",2,1))&lt;IF(H19="Material weakness",3,IF(H19="Significant deficiency",2,IF(H19="Control deficiency",1,0))),F19=""),"Group below highest individual: justify",IF(F19="","Rationale needed","OK")))))</f>
        <v/>
      </c>
    </row>
    <row r="20" customFormat="false" ht="15" hidden="false" customHeight="false" outlineLevel="0" collapsed="false">
      <c r="A20" s="16"/>
      <c r="B20" s="16"/>
      <c r="C20" s="16"/>
      <c r="D20" s="16"/>
      <c r="E20" s="16"/>
      <c r="F20" s="16"/>
      <c r="G20" s="17" t="str">
        <f aca="false">IF(A20="","",COUNTIF(Deficiency_Log!$P$5:$P$204,A20))</f>
        <v/>
      </c>
      <c r="H20" s="17" t="str">
        <f aca="false">IF(A20="","",IF(COUNTIFS(Deficiency_Log!$P$5:$P$204,A20,Deficiency_Log!$O$5:$O$204,"Material weakness")&gt;0,"Material weakness",IF(COUNTIFS(Deficiency_Log!$P$5:$P$204,A20,Deficiency_Log!$O$5:$O$204,"Significant deficiency")&gt;0,"Significant deficiency",IF(COUNTIFS(Deficiency_Log!$P$5:$P$204,A20,Deficiency_Log!$O$5:$O$204,"Control deficiency")&gt;0,"Control deficiency","—"))))</f>
        <v/>
      </c>
      <c r="I20" s="17" t="str">
        <f aca="false">IF(A20="","",IF(G20=0,"No DEF assigned to group",IF(E20="","Group severity needed",IF(AND(IF(E20="Material weakness",3,IF(E20="Significant deficiency",2,1))&lt;IF(H20="Material weakness",3,IF(H20="Significant deficiency",2,IF(H20="Control deficiency",1,0))),F20=""),"Group below highest individual: justify",IF(F20="","Rationale needed","OK")))))</f>
        <v/>
      </c>
    </row>
    <row r="21" customFormat="false" ht="15" hidden="false" customHeight="false" outlineLevel="0" collapsed="false">
      <c r="A21" s="16"/>
      <c r="B21" s="16"/>
      <c r="C21" s="16"/>
      <c r="D21" s="16"/>
      <c r="E21" s="16"/>
      <c r="F21" s="16"/>
      <c r="G21" s="17" t="str">
        <f aca="false">IF(A21="","",COUNTIF(Deficiency_Log!$P$5:$P$204,A21))</f>
        <v/>
      </c>
      <c r="H21" s="17" t="str">
        <f aca="false">IF(A21="","",IF(COUNTIFS(Deficiency_Log!$P$5:$P$204,A21,Deficiency_Log!$O$5:$O$204,"Material weakness")&gt;0,"Material weakness",IF(COUNTIFS(Deficiency_Log!$P$5:$P$204,A21,Deficiency_Log!$O$5:$O$204,"Significant deficiency")&gt;0,"Significant deficiency",IF(COUNTIFS(Deficiency_Log!$P$5:$P$204,A21,Deficiency_Log!$O$5:$O$204,"Control deficiency")&gt;0,"Control deficiency","—"))))</f>
        <v/>
      </c>
      <c r="I21" s="17" t="str">
        <f aca="false">IF(A21="","",IF(G21=0,"No DEF assigned to group",IF(E21="","Group severity needed",IF(AND(IF(E21="Material weakness",3,IF(E21="Significant deficiency",2,1))&lt;IF(H21="Material weakness",3,IF(H21="Significant deficiency",2,IF(H21="Control deficiency",1,0))),F21=""),"Group below highest individual: justify",IF(F21="","Rationale needed","OK")))))</f>
        <v/>
      </c>
    </row>
    <row r="22" customFormat="false" ht="15" hidden="false" customHeight="false" outlineLevel="0" collapsed="false">
      <c r="A22" s="16"/>
      <c r="B22" s="16"/>
      <c r="C22" s="16"/>
      <c r="D22" s="16"/>
      <c r="E22" s="16"/>
      <c r="F22" s="16"/>
      <c r="G22" s="17" t="str">
        <f aca="false">IF(A22="","",COUNTIF(Deficiency_Log!$P$5:$P$204,A22))</f>
        <v/>
      </c>
      <c r="H22" s="17" t="str">
        <f aca="false">IF(A22="","",IF(COUNTIFS(Deficiency_Log!$P$5:$P$204,A22,Deficiency_Log!$O$5:$O$204,"Material weakness")&gt;0,"Material weakness",IF(COUNTIFS(Deficiency_Log!$P$5:$P$204,A22,Deficiency_Log!$O$5:$O$204,"Significant deficiency")&gt;0,"Significant deficiency",IF(COUNTIFS(Deficiency_Log!$P$5:$P$204,A22,Deficiency_Log!$O$5:$O$204,"Control deficiency")&gt;0,"Control deficiency","—"))))</f>
        <v/>
      </c>
      <c r="I22" s="17" t="str">
        <f aca="false">IF(A22="","",IF(G22=0,"No DEF assigned to group",IF(E22="","Group severity needed",IF(AND(IF(E22="Material weakness",3,IF(E22="Significant deficiency",2,1))&lt;IF(H22="Material weakness",3,IF(H22="Significant deficiency",2,IF(H22="Control deficiency",1,0))),F22=""),"Group below highest individual: justify",IF(F22="","Rationale needed","OK")))))</f>
        <v/>
      </c>
    </row>
    <row r="23" customFormat="false" ht="15" hidden="false" customHeight="false" outlineLevel="0" collapsed="false">
      <c r="A23" s="16"/>
      <c r="B23" s="16"/>
      <c r="C23" s="16"/>
      <c r="D23" s="16"/>
      <c r="E23" s="16"/>
      <c r="F23" s="16"/>
      <c r="G23" s="17" t="str">
        <f aca="false">IF(A23="","",COUNTIF(Deficiency_Log!$P$5:$P$204,A23))</f>
        <v/>
      </c>
      <c r="H23" s="17" t="str">
        <f aca="false">IF(A23="","",IF(COUNTIFS(Deficiency_Log!$P$5:$P$204,A23,Deficiency_Log!$O$5:$O$204,"Material weakness")&gt;0,"Material weakness",IF(COUNTIFS(Deficiency_Log!$P$5:$P$204,A23,Deficiency_Log!$O$5:$O$204,"Significant deficiency")&gt;0,"Significant deficiency",IF(COUNTIFS(Deficiency_Log!$P$5:$P$204,A23,Deficiency_Log!$O$5:$O$204,"Control deficiency")&gt;0,"Control deficiency","—"))))</f>
        <v/>
      </c>
      <c r="I23" s="17" t="str">
        <f aca="false">IF(A23="","",IF(G23=0,"No DEF assigned to group",IF(E23="","Group severity needed",IF(AND(IF(E23="Material weakness",3,IF(E23="Significant deficiency",2,1))&lt;IF(H23="Material weakness",3,IF(H23="Significant deficiency",2,IF(H23="Control deficiency",1,0))),F23=""),"Group below highest individual: justify",IF(F23="","Rationale needed","OK")))))</f>
        <v/>
      </c>
    </row>
    <row r="24" customFormat="false" ht="15" hidden="false" customHeight="false" outlineLevel="0" collapsed="false">
      <c r="A24" s="16"/>
      <c r="B24" s="16"/>
      <c r="C24" s="16"/>
      <c r="D24" s="16"/>
      <c r="E24" s="16"/>
      <c r="F24" s="16"/>
      <c r="G24" s="17" t="str">
        <f aca="false">IF(A24="","",COUNTIF(Deficiency_Log!$P$5:$P$204,A24))</f>
        <v/>
      </c>
      <c r="H24" s="17" t="str">
        <f aca="false">IF(A24="","",IF(COUNTIFS(Deficiency_Log!$P$5:$P$204,A24,Deficiency_Log!$O$5:$O$204,"Material weakness")&gt;0,"Material weakness",IF(COUNTIFS(Deficiency_Log!$P$5:$P$204,A24,Deficiency_Log!$O$5:$O$204,"Significant deficiency")&gt;0,"Significant deficiency",IF(COUNTIFS(Deficiency_Log!$P$5:$P$204,A24,Deficiency_Log!$O$5:$O$204,"Control deficiency")&gt;0,"Control deficiency","—"))))</f>
        <v/>
      </c>
      <c r="I24" s="17" t="str">
        <f aca="false">IF(A24="","",IF(G24=0,"No DEF assigned to group",IF(E24="","Group severity needed",IF(AND(IF(E24="Material weakness",3,IF(E24="Significant deficiency",2,1))&lt;IF(H24="Material weakness",3,IF(H24="Significant deficiency",2,IF(H24="Control deficiency",1,0))),F24=""),"Group below highest individual: justify",IF(F24="","Rationale needed","OK")))))</f>
        <v/>
      </c>
    </row>
    <row r="25" customFormat="false" ht="15" hidden="false" customHeight="false" outlineLevel="0" collapsed="false">
      <c r="A25" s="16"/>
      <c r="B25" s="16"/>
      <c r="C25" s="16"/>
      <c r="D25" s="16"/>
      <c r="E25" s="16"/>
      <c r="F25" s="16"/>
      <c r="G25" s="17" t="str">
        <f aca="false">IF(A25="","",COUNTIF(Deficiency_Log!$P$5:$P$204,A25))</f>
        <v/>
      </c>
      <c r="H25" s="17" t="str">
        <f aca="false">IF(A25="","",IF(COUNTIFS(Deficiency_Log!$P$5:$P$204,A25,Deficiency_Log!$O$5:$O$204,"Material weakness")&gt;0,"Material weakness",IF(COUNTIFS(Deficiency_Log!$P$5:$P$204,A25,Deficiency_Log!$O$5:$O$204,"Significant deficiency")&gt;0,"Significant deficiency",IF(COUNTIFS(Deficiency_Log!$P$5:$P$204,A25,Deficiency_Log!$O$5:$O$204,"Control deficiency")&gt;0,"Control deficiency","—"))))</f>
        <v/>
      </c>
      <c r="I25" s="17" t="str">
        <f aca="false">IF(A25="","",IF(G25=0,"No DEF assigned to group",IF(E25="","Group severity needed",IF(AND(IF(E25="Material weakness",3,IF(E25="Significant deficiency",2,1))&lt;IF(H25="Material weakness",3,IF(H25="Significant deficiency",2,IF(H25="Control deficiency",1,0))),F25=""),"Group below highest individual: justify",IF(F25="","Rationale needed","OK")))))</f>
        <v/>
      </c>
    </row>
    <row r="26" customFormat="false" ht="15" hidden="false" customHeight="false" outlineLevel="0" collapsed="false">
      <c r="A26" s="16"/>
      <c r="B26" s="16"/>
      <c r="C26" s="16"/>
      <c r="D26" s="16"/>
      <c r="E26" s="16"/>
      <c r="F26" s="16"/>
      <c r="G26" s="17" t="str">
        <f aca="false">IF(A26="","",COUNTIF(Deficiency_Log!$P$5:$P$204,A26))</f>
        <v/>
      </c>
      <c r="H26" s="17" t="str">
        <f aca="false">IF(A26="","",IF(COUNTIFS(Deficiency_Log!$P$5:$P$204,A26,Deficiency_Log!$O$5:$O$204,"Material weakness")&gt;0,"Material weakness",IF(COUNTIFS(Deficiency_Log!$P$5:$P$204,A26,Deficiency_Log!$O$5:$O$204,"Significant deficiency")&gt;0,"Significant deficiency",IF(COUNTIFS(Deficiency_Log!$P$5:$P$204,A26,Deficiency_Log!$O$5:$O$204,"Control deficiency")&gt;0,"Control deficiency","—"))))</f>
        <v/>
      </c>
      <c r="I26" s="17" t="str">
        <f aca="false">IF(A26="","",IF(G26=0,"No DEF assigned to group",IF(E26="","Group severity needed",IF(AND(IF(E26="Material weakness",3,IF(E26="Significant deficiency",2,1))&lt;IF(H26="Material weakness",3,IF(H26="Significant deficiency",2,IF(H26="Control deficiency",1,0))),F26=""),"Group below highest individual: justify",IF(F26="","Rationale needed","OK")))))</f>
        <v/>
      </c>
    </row>
    <row r="27" customFormat="false" ht="15" hidden="false" customHeight="false" outlineLevel="0" collapsed="false">
      <c r="A27" s="16"/>
      <c r="B27" s="16"/>
      <c r="C27" s="16"/>
      <c r="D27" s="16"/>
      <c r="E27" s="16"/>
      <c r="F27" s="16"/>
      <c r="G27" s="17" t="str">
        <f aca="false">IF(A27="","",COUNTIF(Deficiency_Log!$P$5:$P$204,A27))</f>
        <v/>
      </c>
      <c r="H27" s="17" t="str">
        <f aca="false">IF(A27="","",IF(COUNTIFS(Deficiency_Log!$P$5:$P$204,A27,Deficiency_Log!$O$5:$O$204,"Material weakness")&gt;0,"Material weakness",IF(COUNTIFS(Deficiency_Log!$P$5:$P$204,A27,Deficiency_Log!$O$5:$O$204,"Significant deficiency")&gt;0,"Significant deficiency",IF(COUNTIFS(Deficiency_Log!$P$5:$P$204,A27,Deficiency_Log!$O$5:$O$204,"Control deficiency")&gt;0,"Control deficiency","—"))))</f>
        <v/>
      </c>
      <c r="I27" s="17" t="str">
        <f aca="false">IF(A27="","",IF(G27=0,"No DEF assigned to group",IF(E27="","Group severity needed",IF(AND(IF(E27="Material weakness",3,IF(E27="Significant deficiency",2,1))&lt;IF(H27="Material weakness",3,IF(H27="Significant deficiency",2,IF(H27="Control deficiency",1,0))),F27=""),"Group below highest individual: justify",IF(F27="","Rationale needed","OK")))))</f>
        <v/>
      </c>
    </row>
    <row r="28" customFormat="false" ht="15" hidden="false" customHeight="false" outlineLevel="0" collapsed="false">
      <c r="A28" s="16"/>
      <c r="B28" s="16"/>
      <c r="C28" s="16"/>
      <c r="D28" s="16"/>
      <c r="E28" s="16"/>
      <c r="F28" s="16"/>
      <c r="G28" s="17" t="str">
        <f aca="false">IF(A28="","",COUNTIF(Deficiency_Log!$P$5:$P$204,A28))</f>
        <v/>
      </c>
      <c r="H28" s="17" t="str">
        <f aca="false">IF(A28="","",IF(COUNTIFS(Deficiency_Log!$P$5:$P$204,A28,Deficiency_Log!$O$5:$O$204,"Material weakness")&gt;0,"Material weakness",IF(COUNTIFS(Deficiency_Log!$P$5:$P$204,A28,Deficiency_Log!$O$5:$O$204,"Significant deficiency")&gt;0,"Significant deficiency",IF(COUNTIFS(Deficiency_Log!$P$5:$P$204,A28,Deficiency_Log!$O$5:$O$204,"Control deficiency")&gt;0,"Control deficiency","—"))))</f>
        <v/>
      </c>
      <c r="I28" s="17" t="str">
        <f aca="false">IF(A28="","",IF(G28=0,"No DEF assigned to group",IF(E28="","Group severity needed",IF(AND(IF(E28="Material weakness",3,IF(E28="Significant deficiency",2,1))&lt;IF(H28="Material weakness",3,IF(H28="Significant deficiency",2,IF(H28="Control deficiency",1,0))),F28=""),"Group below highest individual: justify",IF(F28="","Rationale needed","OK")))))</f>
        <v/>
      </c>
    </row>
    <row r="29" customFormat="false" ht="15" hidden="false" customHeight="false" outlineLevel="0" collapsed="false">
      <c r="A29" s="16"/>
      <c r="B29" s="16"/>
      <c r="C29" s="16"/>
      <c r="D29" s="16"/>
      <c r="E29" s="16"/>
      <c r="F29" s="16"/>
      <c r="G29" s="17" t="str">
        <f aca="false">IF(A29="","",COUNTIF(Deficiency_Log!$P$5:$P$204,A29))</f>
        <v/>
      </c>
      <c r="H29" s="17" t="str">
        <f aca="false">IF(A29="","",IF(COUNTIFS(Deficiency_Log!$P$5:$P$204,A29,Deficiency_Log!$O$5:$O$204,"Material weakness")&gt;0,"Material weakness",IF(COUNTIFS(Deficiency_Log!$P$5:$P$204,A29,Deficiency_Log!$O$5:$O$204,"Significant deficiency")&gt;0,"Significant deficiency",IF(COUNTIFS(Deficiency_Log!$P$5:$P$204,A29,Deficiency_Log!$O$5:$O$204,"Control deficiency")&gt;0,"Control deficiency","—"))))</f>
        <v/>
      </c>
      <c r="I29" s="17" t="str">
        <f aca="false">IF(A29="","",IF(G29=0,"No DEF assigned to group",IF(E29="","Group severity needed",IF(AND(IF(E29="Material weakness",3,IF(E29="Significant deficiency",2,1))&lt;IF(H29="Material weakness",3,IF(H29="Significant deficiency",2,IF(H29="Control deficiency",1,0))),F29=""),"Group below highest individual: justify",IF(F29="","Rationale needed","OK")))))</f>
        <v/>
      </c>
    </row>
    <row r="30" customFormat="false" ht="15" hidden="false" customHeight="false" outlineLevel="0" collapsed="false">
      <c r="A30" s="16"/>
      <c r="B30" s="16"/>
      <c r="C30" s="16"/>
      <c r="D30" s="16"/>
      <c r="E30" s="16"/>
      <c r="F30" s="16"/>
      <c r="G30" s="17" t="str">
        <f aca="false">IF(A30="","",COUNTIF(Deficiency_Log!$P$5:$P$204,A30))</f>
        <v/>
      </c>
      <c r="H30" s="17" t="str">
        <f aca="false">IF(A30="","",IF(COUNTIFS(Deficiency_Log!$P$5:$P$204,A30,Deficiency_Log!$O$5:$O$204,"Material weakness")&gt;0,"Material weakness",IF(COUNTIFS(Deficiency_Log!$P$5:$P$204,A30,Deficiency_Log!$O$5:$O$204,"Significant deficiency")&gt;0,"Significant deficiency",IF(COUNTIFS(Deficiency_Log!$P$5:$P$204,A30,Deficiency_Log!$O$5:$O$204,"Control deficiency")&gt;0,"Control deficiency","—"))))</f>
        <v/>
      </c>
      <c r="I30" s="17" t="str">
        <f aca="false">IF(A30="","",IF(G30=0,"No DEF assigned to group",IF(E30="","Group severity needed",IF(AND(IF(E30="Material weakness",3,IF(E30="Significant deficiency",2,1))&lt;IF(H30="Material weakness",3,IF(H30="Significant deficiency",2,IF(H30="Control deficiency",1,0))),F30=""),"Group below highest individual: justify",IF(F30="","Rationale needed","OK")))))</f>
        <v/>
      </c>
    </row>
    <row r="31" customFormat="false" ht="15" hidden="false" customHeight="false" outlineLevel="0" collapsed="false">
      <c r="A31" s="16"/>
      <c r="B31" s="16"/>
      <c r="C31" s="16"/>
      <c r="D31" s="16"/>
      <c r="E31" s="16"/>
      <c r="F31" s="16"/>
      <c r="G31" s="17" t="str">
        <f aca="false">IF(A31="","",COUNTIF(Deficiency_Log!$P$5:$P$204,A31))</f>
        <v/>
      </c>
      <c r="H31" s="17" t="str">
        <f aca="false">IF(A31="","",IF(COUNTIFS(Deficiency_Log!$P$5:$P$204,A31,Deficiency_Log!$O$5:$O$204,"Material weakness")&gt;0,"Material weakness",IF(COUNTIFS(Deficiency_Log!$P$5:$P$204,A31,Deficiency_Log!$O$5:$O$204,"Significant deficiency")&gt;0,"Significant deficiency",IF(COUNTIFS(Deficiency_Log!$P$5:$P$204,A31,Deficiency_Log!$O$5:$O$204,"Control deficiency")&gt;0,"Control deficiency","—"))))</f>
        <v/>
      </c>
      <c r="I31" s="17" t="str">
        <f aca="false">IF(A31="","",IF(G31=0,"No DEF assigned to group",IF(E31="","Group severity needed",IF(AND(IF(E31="Material weakness",3,IF(E31="Significant deficiency",2,1))&lt;IF(H31="Material weakness",3,IF(H31="Significant deficiency",2,IF(H31="Control deficiency",1,0))),F31=""),"Group below highest individual: justify",IF(F31="","Rationale needed","OK")))))</f>
        <v/>
      </c>
    </row>
    <row r="32" customFormat="false" ht="15" hidden="false" customHeight="false" outlineLevel="0" collapsed="false">
      <c r="A32" s="16"/>
      <c r="B32" s="16"/>
      <c r="C32" s="16"/>
      <c r="D32" s="16"/>
      <c r="E32" s="16"/>
      <c r="F32" s="16"/>
      <c r="G32" s="17" t="str">
        <f aca="false">IF(A32="","",COUNTIF(Deficiency_Log!$P$5:$P$204,A32))</f>
        <v/>
      </c>
      <c r="H32" s="17" t="str">
        <f aca="false">IF(A32="","",IF(COUNTIFS(Deficiency_Log!$P$5:$P$204,A32,Deficiency_Log!$O$5:$O$204,"Material weakness")&gt;0,"Material weakness",IF(COUNTIFS(Deficiency_Log!$P$5:$P$204,A32,Deficiency_Log!$O$5:$O$204,"Significant deficiency")&gt;0,"Significant deficiency",IF(COUNTIFS(Deficiency_Log!$P$5:$P$204,A32,Deficiency_Log!$O$5:$O$204,"Control deficiency")&gt;0,"Control deficiency","—"))))</f>
        <v/>
      </c>
      <c r="I32" s="17" t="str">
        <f aca="false">IF(A32="","",IF(G32=0,"No DEF assigned to group",IF(E32="","Group severity needed",IF(AND(IF(E32="Material weakness",3,IF(E32="Significant deficiency",2,1))&lt;IF(H32="Material weakness",3,IF(H32="Significant deficiency",2,IF(H32="Control deficiency",1,0))),F32=""),"Group below highest individual: justify",IF(F32="","Rationale needed","OK")))))</f>
        <v/>
      </c>
    </row>
    <row r="33" customFormat="false" ht="15" hidden="false" customHeight="false" outlineLevel="0" collapsed="false">
      <c r="A33" s="16"/>
      <c r="B33" s="16"/>
      <c r="C33" s="16"/>
      <c r="D33" s="16"/>
      <c r="E33" s="16"/>
      <c r="F33" s="16"/>
      <c r="G33" s="17" t="str">
        <f aca="false">IF(A33="","",COUNTIF(Deficiency_Log!$P$5:$P$204,A33))</f>
        <v/>
      </c>
      <c r="H33" s="17" t="str">
        <f aca="false">IF(A33="","",IF(COUNTIFS(Deficiency_Log!$P$5:$P$204,A33,Deficiency_Log!$O$5:$O$204,"Material weakness")&gt;0,"Material weakness",IF(COUNTIFS(Deficiency_Log!$P$5:$P$204,A33,Deficiency_Log!$O$5:$O$204,"Significant deficiency")&gt;0,"Significant deficiency",IF(COUNTIFS(Deficiency_Log!$P$5:$P$204,A33,Deficiency_Log!$O$5:$O$204,"Control deficiency")&gt;0,"Control deficiency","—"))))</f>
        <v/>
      </c>
      <c r="I33" s="17" t="str">
        <f aca="false">IF(A33="","",IF(G33=0,"No DEF assigned to group",IF(E33="","Group severity needed",IF(AND(IF(E33="Material weakness",3,IF(E33="Significant deficiency",2,1))&lt;IF(H33="Material weakness",3,IF(H33="Significant deficiency",2,IF(H33="Control deficiency",1,0))),F33=""),"Group below highest individual: justify",IF(F33="","Rationale needed","OK")))))</f>
        <v/>
      </c>
    </row>
    <row r="34" customFormat="false" ht="15" hidden="false" customHeight="false" outlineLevel="0" collapsed="false">
      <c r="A34" s="16"/>
      <c r="B34" s="16"/>
      <c r="C34" s="16"/>
      <c r="D34" s="16"/>
      <c r="E34" s="16"/>
      <c r="F34" s="16"/>
      <c r="G34" s="17" t="str">
        <f aca="false">IF(A34="","",COUNTIF(Deficiency_Log!$P$5:$P$204,A34))</f>
        <v/>
      </c>
      <c r="H34" s="17" t="str">
        <f aca="false">IF(A34="","",IF(COUNTIFS(Deficiency_Log!$P$5:$P$204,A34,Deficiency_Log!$O$5:$O$204,"Material weakness")&gt;0,"Material weakness",IF(COUNTIFS(Deficiency_Log!$P$5:$P$204,A34,Deficiency_Log!$O$5:$O$204,"Significant deficiency")&gt;0,"Significant deficiency",IF(COUNTIFS(Deficiency_Log!$P$5:$P$204,A34,Deficiency_Log!$O$5:$O$204,"Control deficiency")&gt;0,"Control deficiency","—"))))</f>
        <v/>
      </c>
      <c r="I34" s="17" t="str">
        <f aca="false">IF(A34="","",IF(G34=0,"No DEF assigned to group",IF(E34="","Group severity needed",IF(AND(IF(E34="Material weakness",3,IF(E34="Significant deficiency",2,1))&lt;IF(H34="Material weakness",3,IF(H34="Significant deficiency",2,IF(H34="Control deficiency",1,0))),F34=""),"Group below highest individual: justify",IF(F34="","Rationale needed","OK")))))</f>
        <v/>
      </c>
    </row>
    <row r="35" customFormat="false" ht="15" hidden="false" customHeight="false" outlineLevel="0" collapsed="false">
      <c r="A35" s="16"/>
      <c r="B35" s="16"/>
      <c r="C35" s="16"/>
      <c r="D35" s="16"/>
      <c r="E35" s="16"/>
      <c r="F35" s="16"/>
      <c r="G35" s="17" t="str">
        <f aca="false">IF(A35="","",COUNTIF(Deficiency_Log!$P$5:$P$204,A35))</f>
        <v/>
      </c>
      <c r="H35" s="17" t="str">
        <f aca="false">IF(A35="","",IF(COUNTIFS(Deficiency_Log!$P$5:$P$204,A35,Deficiency_Log!$O$5:$O$204,"Material weakness")&gt;0,"Material weakness",IF(COUNTIFS(Deficiency_Log!$P$5:$P$204,A35,Deficiency_Log!$O$5:$O$204,"Significant deficiency")&gt;0,"Significant deficiency",IF(COUNTIFS(Deficiency_Log!$P$5:$P$204,A35,Deficiency_Log!$O$5:$O$204,"Control deficiency")&gt;0,"Control deficiency","—"))))</f>
        <v/>
      </c>
      <c r="I35" s="17" t="str">
        <f aca="false">IF(A35="","",IF(G35=0,"No DEF assigned to group",IF(E35="","Group severity needed",IF(AND(IF(E35="Material weakness",3,IF(E35="Significant deficiency",2,1))&lt;IF(H35="Material weakness",3,IF(H35="Significant deficiency",2,IF(H35="Control deficiency",1,0))),F35=""),"Group below highest individual: justify",IF(F35="","Rationale needed","OK")))))</f>
        <v/>
      </c>
    </row>
    <row r="36" customFormat="false" ht="15" hidden="false" customHeight="false" outlineLevel="0" collapsed="false">
      <c r="A36" s="16"/>
      <c r="B36" s="16"/>
      <c r="C36" s="16"/>
      <c r="D36" s="16"/>
      <c r="E36" s="16"/>
      <c r="F36" s="16"/>
      <c r="G36" s="17" t="str">
        <f aca="false">IF(A36="","",COUNTIF(Deficiency_Log!$P$5:$P$204,A36))</f>
        <v/>
      </c>
      <c r="H36" s="17" t="str">
        <f aca="false">IF(A36="","",IF(COUNTIFS(Deficiency_Log!$P$5:$P$204,A36,Deficiency_Log!$O$5:$O$204,"Material weakness")&gt;0,"Material weakness",IF(COUNTIFS(Deficiency_Log!$P$5:$P$204,A36,Deficiency_Log!$O$5:$O$204,"Significant deficiency")&gt;0,"Significant deficiency",IF(COUNTIFS(Deficiency_Log!$P$5:$P$204,A36,Deficiency_Log!$O$5:$O$204,"Control deficiency")&gt;0,"Control deficiency","—"))))</f>
        <v/>
      </c>
      <c r="I36" s="17" t="str">
        <f aca="false">IF(A36="","",IF(G36=0,"No DEF assigned to group",IF(E36="","Group severity needed",IF(AND(IF(E36="Material weakness",3,IF(E36="Significant deficiency",2,1))&lt;IF(H36="Material weakness",3,IF(H36="Significant deficiency",2,IF(H36="Control deficiency",1,0))),F36=""),"Group below highest individual: justify",IF(F36="","Rationale needed","OK")))))</f>
        <v/>
      </c>
    </row>
    <row r="37" customFormat="false" ht="15" hidden="false" customHeight="false" outlineLevel="0" collapsed="false">
      <c r="A37" s="16"/>
      <c r="B37" s="16"/>
      <c r="C37" s="16"/>
      <c r="D37" s="16"/>
      <c r="E37" s="16"/>
      <c r="F37" s="16"/>
      <c r="G37" s="17" t="str">
        <f aca="false">IF(A37="","",COUNTIF(Deficiency_Log!$P$5:$P$204,A37))</f>
        <v/>
      </c>
      <c r="H37" s="17" t="str">
        <f aca="false">IF(A37="","",IF(COUNTIFS(Deficiency_Log!$P$5:$P$204,A37,Deficiency_Log!$O$5:$O$204,"Material weakness")&gt;0,"Material weakness",IF(COUNTIFS(Deficiency_Log!$P$5:$P$204,A37,Deficiency_Log!$O$5:$O$204,"Significant deficiency")&gt;0,"Significant deficiency",IF(COUNTIFS(Deficiency_Log!$P$5:$P$204,A37,Deficiency_Log!$O$5:$O$204,"Control deficiency")&gt;0,"Control deficiency","—"))))</f>
        <v/>
      </c>
      <c r="I37" s="17" t="str">
        <f aca="false">IF(A37="","",IF(G37=0,"No DEF assigned to group",IF(E37="","Group severity needed",IF(AND(IF(E37="Material weakness",3,IF(E37="Significant deficiency",2,1))&lt;IF(H37="Material weakness",3,IF(H37="Significant deficiency",2,IF(H37="Control deficiency",1,0))),F37=""),"Group below highest individual: justify",IF(F37="","Rationale needed","OK")))))</f>
        <v/>
      </c>
    </row>
    <row r="38" customFormat="false" ht="15" hidden="false" customHeight="false" outlineLevel="0" collapsed="false">
      <c r="A38" s="16"/>
      <c r="B38" s="16"/>
      <c r="C38" s="16"/>
      <c r="D38" s="16"/>
      <c r="E38" s="16"/>
      <c r="F38" s="16"/>
      <c r="G38" s="17" t="str">
        <f aca="false">IF(A38="","",COUNTIF(Deficiency_Log!$P$5:$P$204,A38))</f>
        <v/>
      </c>
      <c r="H38" s="17" t="str">
        <f aca="false">IF(A38="","",IF(COUNTIFS(Deficiency_Log!$P$5:$P$204,A38,Deficiency_Log!$O$5:$O$204,"Material weakness")&gt;0,"Material weakness",IF(COUNTIFS(Deficiency_Log!$P$5:$P$204,A38,Deficiency_Log!$O$5:$O$204,"Significant deficiency")&gt;0,"Significant deficiency",IF(COUNTIFS(Deficiency_Log!$P$5:$P$204,A38,Deficiency_Log!$O$5:$O$204,"Control deficiency")&gt;0,"Control deficiency","—"))))</f>
        <v/>
      </c>
      <c r="I38" s="17" t="str">
        <f aca="false">IF(A38="","",IF(G38=0,"No DEF assigned to group",IF(E38="","Group severity needed",IF(AND(IF(E38="Material weakness",3,IF(E38="Significant deficiency",2,1))&lt;IF(H38="Material weakness",3,IF(H38="Significant deficiency",2,IF(H38="Control deficiency",1,0))),F38=""),"Group below highest individual: justify",IF(F38="","Rationale needed","OK")))))</f>
        <v/>
      </c>
    </row>
    <row r="39" customFormat="false" ht="15" hidden="false" customHeight="false" outlineLevel="0" collapsed="false">
      <c r="A39" s="16"/>
      <c r="B39" s="16"/>
      <c r="C39" s="16"/>
      <c r="D39" s="16"/>
      <c r="E39" s="16"/>
      <c r="F39" s="16"/>
      <c r="G39" s="17" t="str">
        <f aca="false">IF(A39="","",COUNTIF(Deficiency_Log!$P$5:$P$204,A39))</f>
        <v/>
      </c>
      <c r="H39" s="17" t="str">
        <f aca="false">IF(A39="","",IF(COUNTIFS(Deficiency_Log!$P$5:$P$204,A39,Deficiency_Log!$O$5:$O$204,"Material weakness")&gt;0,"Material weakness",IF(COUNTIFS(Deficiency_Log!$P$5:$P$204,A39,Deficiency_Log!$O$5:$O$204,"Significant deficiency")&gt;0,"Significant deficiency",IF(COUNTIFS(Deficiency_Log!$P$5:$P$204,A39,Deficiency_Log!$O$5:$O$204,"Control deficiency")&gt;0,"Control deficiency","—"))))</f>
        <v/>
      </c>
      <c r="I39" s="17" t="str">
        <f aca="false">IF(A39="","",IF(G39=0,"No DEF assigned to group",IF(E39="","Group severity needed",IF(AND(IF(E39="Material weakness",3,IF(E39="Significant deficiency",2,1))&lt;IF(H39="Material weakness",3,IF(H39="Significant deficiency",2,IF(H39="Control deficiency",1,0))),F39=""),"Group below highest individual: justify",IF(F39="","Rationale needed","OK")))))</f>
        <v/>
      </c>
    </row>
    <row r="40" customFormat="false" ht="15" hidden="false" customHeight="false" outlineLevel="0" collapsed="false">
      <c r="A40" s="16"/>
      <c r="B40" s="16"/>
      <c r="C40" s="16"/>
      <c r="D40" s="16"/>
      <c r="E40" s="16"/>
      <c r="F40" s="16"/>
      <c r="G40" s="17" t="str">
        <f aca="false">IF(A40="","",COUNTIF(Deficiency_Log!$P$5:$P$204,A40))</f>
        <v/>
      </c>
      <c r="H40" s="17" t="str">
        <f aca="false">IF(A40="","",IF(COUNTIFS(Deficiency_Log!$P$5:$P$204,A40,Deficiency_Log!$O$5:$O$204,"Material weakness")&gt;0,"Material weakness",IF(COUNTIFS(Deficiency_Log!$P$5:$P$204,A40,Deficiency_Log!$O$5:$O$204,"Significant deficiency")&gt;0,"Significant deficiency",IF(COUNTIFS(Deficiency_Log!$P$5:$P$204,A40,Deficiency_Log!$O$5:$O$204,"Control deficiency")&gt;0,"Control deficiency","—"))))</f>
        <v/>
      </c>
      <c r="I40" s="17" t="str">
        <f aca="false">IF(A40="","",IF(G40=0,"No DEF assigned to group",IF(E40="","Group severity needed",IF(AND(IF(E40="Material weakness",3,IF(E40="Significant deficiency",2,1))&lt;IF(H40="Material weakness",3,IF(H40="Significant deficiency",2,IF(H40="Control deficiency",1,0))),F40=""),"Group below highest individual: justify",IF(F40="","Rationale needed","OK")))))</f>
        <v/>
      </c>
    </row>
    <row r="41" customFormat="false" ht="15" hidden="false" customHeight="false" outlineLevel="0" collapsed="false">
      <c r="A41" s="16"/>
      <c r="B41" s="16"/>
      <c r="C41" s="16"/>
      <c r="D41" s="16"/>
      <c r="E41" s="16"/>
      <c r="F41" s="16"/>
      <c r="G41" s="17" t="str">
        <f aca="false">IF(A41="","",COUNTIF(Deficiency_Log!$P$5:$P$204,A41))</f>
        <v/>
      </c>
      <c r="H41" s="17" t="str">
        <f aca="false">IF(A41="","",IF(COUNTIFS(Deficiency_Log!$P$5:$P$204,A41,Deficiency_Log!$O$5:$O$204,"Material weakness")&gt;0,"Material weakness",IF(COUNTIFS(Deficiency_Log!$P$5:$P$204,A41,Deficiency_Log!$O$5:$O$204,"Significant deficiency")&gt;0,"Significant deficiency",IF(COUNTIFS(Deficiency_Log!$P$5:$P$204,A41,Deficiency_Log!$O$5:$O$204,"Control deficiency")&gt;0,"Control deficiency","—"))))</f>
        <v/>
      </c>
      <c r="I41" s="17" t="str">
        <f aca="false">IF(A41="","",IF(G41=0,"No DEF assigned to group",IF(E41="","Group severity needed",IF(AND(IF(E41="Material weakness",3,IF(E41="Significant deficiency",2,1))&lt;IF(H41="Material weakness",3,IF(H41="Significant deficiency",2,IF(H41="Control deficiency",1,0))),F41=""),"Group below highest individual: justify",IF(F41="","Rationale needed","OK")))))</f>
        <v/>
      </c>
    </row>
    <row r="42" customFormat="false" ht="15" hidden="false" customHeight="false" outlineLevel="0" collapsed="false">
      <c r="A42" s="16"/>
      <c r="B42" s="16"/>
      <c r="C42" s="16"/>
      <c r="D42" s="16"/>
      <c r="E42" s="16"/>
      <c r="F42" s="16"/>
      <c r="G42" s="17" t="str">
        <f aca="false">IF(A42="","",COUNTIF(Deficiency_Log!$P$5:$P$204,A42))</f>
        <v/>
      </c>
      <c r="H42" s="17" t="str">
        <f aca="false">IF(A42="","",IF(COUNTIFS(Deficiency_Log!$P$5:$P$204,A42,Deficiency_Log!$O$5:$O$204,"Material weakness")&gt;0,"Material weakness",IF(COUNTIFS(Deficiency_Log!$P$5:$P$204,A42,Deficiency_Log!$O$5:$O$204,"Significant deficiency")&gt;0,"Significant deficiency",IF(COUNTIFS(Deficiency_Log!$P$5:$P$204,A42,Deficiency_Log!$O$5:$O$204,"Control deficiency")&gt;0,"Control deficiency","—"))))</f>
        <v/>
      </c>
      <c r="I42" s="17" t="str">
        <f aca="false">IF(A42="","",IF(G42=0,"No DEF assigned to group",IF(E42="","Group severity needed",IF(AND(IF(E42="Material weakness",3,IF(E42="Significant deficiency",2,1))&lt;IF(H42="Material weakness",3,IF(H42="Significant deficiency",2,IF(H42="Control deficiency",1,0))),F42=""),"Group below highest individual: justify",IF(F42="","Rationale needed","OK")))))</f>
        <v/>
      </c>
    </row>
    <row r="43" customFormat="false" ht="15" hidden="false" customHeight="false" outlineLevel="0" collapsed="false">
      <c r="A43" s="16"/>
      <c r="B43" s="16"/>
      <c r="C43" s="16"/>
      <c r="D43" s="16"/>
      <c r="E43" s="16"/>
      <c r="F43" s="16"/>
      <c r="G43" s="17" t="str">
        <f aca="false">IF(A43="","",COUNTIF(Deficiency_Log!$P$5:$P$204,A43))</f>
        <v/>
      </c>
      <c r="H43" s="17" t="str">
        <f aca="false">IF(A43="","",IF(COUNTIFS(Deficiency_Log!$P$5:$P$204,A43,Deficiency_Log!$O$5:$O$204,"Material weakness")&gt;0,"Material weakness",IF(COUNTIFS(Deficiency_Log!$P$5:$P$204,A43,Deficiency_Log!$O$5:$O$204,"Significant deficiency")&gt;0,"Significant deficiency",IF(COUNTIFS(Deficiency_Log!$P$5:$P$204,A43,Deficiency_Log!$O$5:$O$204,"Control deficiency")&gt;0,"Control deficiency","—"))))</f>
        <v/>
      </c>
      <c r="I43" s="17" t="str">
        <f aca="false">IF(A43="","",IF(G43=0,"No DEF assigned to group",IF(E43="","Group severity needed",IF(AND(IF(E43="Material weakness",3,IF(E43="Significant deficiency",2,1))&lt;IF(H43="Material weakness",3,IF(H43="Significant deficiency",2,IF(H43="Control deficiency",1,0))),F43=""),"Group below highest individual: justify",IF(F43="","Rationale needed","OK")))))</f>
        <v/>
      </c>
    </row>
    <row r="44" customFormat="false" ht="15" hidden="false" customHeight="false" outlineLevel="0" collapsed="false">
      <c r="A44" s="16"/>
      <c r="B44" s="16"/>
      <c r="C44" s="16"/>
      <c r="D44" s="16"/>
      <c r="E44" s="16"/>
      <c r="F44" s="16"/>
      <c r="G44" s="17" t="str">
        <f aca="false">IF(A44="","",COUNTIF(Deficiency_Log!$P$5:$P$204,A44))</f>
        <v/>
      </c>
      <c r="H44" s="17" t="str">
        <f aca="false">IF(A44="","",IF(COUNTIFS(Deficiency_Log!$P$5:$P$204,A44,Deficiency_Log!$O$5:$O$204,"Material weakness")&gt;0,"Material weakness",IF(COUNTIFS(Deficiency_Log!$P$5:$P$204,A44,Deficiency_Log!$O$5:$O$204,"Significant deficiency")&gt;0,"Significant deficiency",IF(COUNTIFS(Deficiency_Log!$P$5:$P$204,A44,Deficiency_Log!$O$5:$O$204,"Control deficiency")&gt;0,"Control deficiency","—"))))</f>
        <v/>
      </c>
      <c r="I44" s="17" t="str">
        <f aca="false">IF(A44="","",IF(G44=0,"No DEF assigned to group",IF(E44="","Group severity needed",IF(AND(IF(E44="Material weakness",3,IF(E44="Significant deficiency",2,1))&lt;IF(H44="Material weakness",3,IF(H44="Significant deficiency",2,IF(H44="Control deficiency",1,0))),F44=""),"Group below highest individual: justify",IF(F44="","Rationale needed","OK")))))</f>
        <v/>
      </c>
    </row>
    <row r="45" customFormat="false" ht="15" hidden="false" customHeight="false" outlineLevel="0" collapsed="false">
      <c r="A45" s="16"/>
      <c r="B45" s="16"/>
      <c r="C45" s="16"/>
      <c r="D45" s="16"/>
      <c r="E45" s="16"/>
      <c r="F45" s="16"/>
      <c r="G45" s="17" t="str">
        <f aca="false">IF(A45="","",COUNTIF(Deficiency_Log!$P$5:$P$204,A45))</f>
        <v/>
      </c>
      <c r="H45" s="17" t="str">
        <f aca="false">IF(A45="","",IF(COUNTIFS(Deficiency_Log!$P$5:$P$204,A45,Deficiency_Log!$O$5:$O$204,"Material weakness")&gt;0,"Material weakness",IF(COUNTIFS(Deficiency_Log!$P$5:$P$204,A45,Deficiency_Log!$O$5:$O$204,"Significant deficiency")&gt;0,"Significant deficiency",IF(COUNTIFS(Deficiency_Log!$P$5:$P$204,A45,Deficiency_Log!$O$5:$O$204,"Control deficiency")&gt;0,"Control deficiency","—"))))</f>
        <v/>
      </c>
      <c r="I45" s="17" t="str">
        <f aca="false">IF(A45="","",IF(G45=0,"No DEF assigned to group",IF(E45="","Group severity needed",IF(AND(IF(E45="Material weakness",3,IF(E45="Significant deficiency",2,1))&lt;IF(H45="Material weakness",3,IF(H45="Significant deficiency",2,IF(H45="Control deficiency",1,0))),F45=""),"Group below highest individual: justify",IF(F45="","Rationale needed","OK")))))</f>
        <v/>
      </c>
    </row>
    <row r="46" customFormat="false" ht="15" hidden="false" customHeight="false" outlineLevel="0" collapsed="false">
      <c r="A46" s="16"/>
      <c r="B46" s="16"/>
      <c r="C46" s="16"/>
      <c r="D46" s="16"/>
      <c r="E46" s="16"/>
      <c r="F46" s="16"/>
      <c r="G46" s="17" t="str">
        <f aca="false">IF(A46="","",COUNTIF(Deficiency_Log!$P$5:$P$204,A46))</f>
        <v/>
      </c>
      <c r="H46" s="17" t="str">
        <f aca="false">IF(A46="","",IF(COUNTIFS(Deficiency_Log!$P$5:$P$204,A46,Deficiency_Log!$O$5:$O$204,"Material weakness")&gt;0,"Material weakness",IF(COUNTIFS(Deficiency_Log!$P$5:$P$204,A46,Deficiency_Log!$O$5:$O$204,"Significant deficiency")&gt;0,"Significant deficiency",IF(COUNTIFS(Deficiency_Log!$P$5:$P$204,A46,Deficiency_Log!$O$5:$O$204,"Control deficiency")&gt;0,"Control deficiency","—"))))</f>
        <v/>
      </c>
      <c r="I46" s="17" t="str">
        <f aca="false">IF(A46="","",IF(G46=0,"No DEF assigned to group",IF(E46="","Group severity needed",IF(AND(IF(E46="Material weakness",3,IF(E46="Significant deficiency",2,1))&lt;IF(H46="Material weakness",3,IF(H46="Significant deficiency",2,IF(H46="Control deficiency",1,0))),F46=""),"Group below highest individual: justify",IF(F46="","Rationale needed","OK")))))</f>
        <v/>
      </c>
    </row>
    <row r="47" customFormat="false" ht="15" hidden="false" customHeight="false" outlineLevel="0" collapsed="false">
      <c r="A47" s="16"/>
      <c r="B47" s="16"/>
      <c r="C47" s="16"/>
      <c r="D47" s="16"/>
      <c r="E47" s="16"/>
      <c r="F47" s="16"/>
      <c r="G47" s="17" t="str">
        <f aca="false">IF(A47="","",COUNTIF(Deficiency_Log!$P$5:$P$204,A47))</f>
        <v/>
      </c>
      <c r="H47" s="17" t="str">
        <f aca="false">IF(A47="","",IF(COUNTIFS(Deficiency_Log!$P$5:$P$204,A47,Deficiency_Log!$O$5:$O$204,"Material weakness")&gt;0,"Material weakness",IF(COUNTIFS(Deficiency_Log!$P$5:$P$204,A47,Deficiency_Log!$O$5:$O$204,"Significant deficiency")&gt;0,"Significant deficiency",IF(COUNTIFS(Deficiency_Log!$P$5:$P$204,A47,Deficiency_Log!$O$5:$O$204,"Control deficiency")&gt;0,"Control deficiency","—"))))</f>
        <v/>
      </c>
      <c r="I47" s="17" t="str">
        <f aca="false">IF(A47="","",IF(G47=0,"No DEF assigned to group",IF(E47="","Group severity needed",IF(AND(IF(E47="Material weakness",3,IF(E47="Significant deficiency",2,1))&lt;IF(H47="Material weakness",3,IF(H47="Significant deficiency",2,IF(H47="Control deficiency",1,0))),F47=""),"Group below highest individual: justify",IF(F47="","Rationale needed","OK")))))</f>
        <v/>
      </c>
    </row>
    <row r="48" customFormat="false" ht="15" hidden="false" customHeight="false" outlineLevel="0" collapsed="false">
      <c r="A48" s="16"/>
      <c r="B48" s="16"/>
      <c r="C48" s="16"/>
      <c r="D48" s="16"/>
      <c r="E48" s="16"/>
      <c r="F48" s="16"/>
      <c r="G48" s="17" t="str">
        <f aca="false">IF(A48="","",COUNTIF(Deficiency_Log!$P$5:$P$204,A48))</f>
        <v/>
      </c>
      <c r="H48" s="17" t="str">
        <f aca="false">IF(A48="","",IF(COUNTIFS(Deficiency_Log!$P$5:$P$204,A48,Deficiency_Log!$O$5:$O$204,"Material weakness")&gt;0,"Material weakness",IF(COUNTIFS(Deficiency_Log!$P$5:$P$204,A48,Deficiency_Log!$O$5:$O$204,"Significant deficiency")&gt;0,"Significant deficiency",IF(COUNTIFS(Deficiency_Log!$P$5:$P$204,A48,Deficiency_Log!$O$5:$O$204,"Control deficiency")&gt;0,"Control deficiency","—"))))</f>
        <v/>
      </c>
      <c r="I48" s="17" t="str">
        <f aca="false">IF(A48="","",IF(G48=0,"No DEF assigned to group",IF(E48="","Group severity needed",IF(AND(IF(E48="Material weakness",3,IF(E48="Significant deficiency",2,1))&lt;IF(H48="Material weakness",3,IF(H48="Significant deficiency",2,IF(H48="Control deficiency",1,0))),F48=""),"Group below highest individual: justify",IF(F48="","Rationale needed","OK")))))</f>
        <v/>
      </c>
    </row>
    <row r="49" customFormat="false" ht="15" hidden="false" customHeight="false" outlineLevel="0" collapsed="false">
      <c r="A49" s="16"/>
      <c r="B49" s="16"/>
      <c r="C49" s="16"/>
      <c r="D49" s="16"/>
      <c r="E49" s="16"/>
      <c r="F49" s="16"/>
      <c r="G49" s="17" t="str">
        <f aca="false">IF(A49="","",COUNTIF(Deficiency_Log!$P$5:$P$204,A49))</f>
        <v/>
      </c>
      <c r="H49" s="17" t="str">
        <f aca="false">IF(A49="","",IF(COUNTIFS(Deficiency_Log!$P$5:$P$204,A49,Deficiency_Log!$O$5:$O$204,"Material weakness")&gt;0,"Material weakness",IF(COUNTIFS(Deficiency_Log!$P$5:$P$204,A49,Deficiency_Log!$O$5:$O$204,"Significant deficiency")&gt;0,"Significant deficiency",IF(COUNTIFS(Deficiency_Log!$P$5:$P$204,A49,Deficiency_Log!$O$5:$O$204,"Control deficiency")&gt;0,"Control deficiency","—"))))</f>
        <v/>
      </c>
      <c r="I49" s="17" t="str">
        <f aca="false">IF(A49="","",IF(G49=0,"No DEF assigned to group",IF(E49="","Group severity needed",IF(AND(IF(E49="Material weakness",3,IF(E49="Significant deficiency",2,1))&lt;IF(H49="Material weakness",3,IF(H49="Significant deficiency",2,IF(H49="Control deficiency",1,0))),F49=""),"Group below highest individual: justify",IF(F49="","Rationale needed","OK")))))</f>
        <v/>
      </c>
    </row>
    <row r="50" customFormat="false" ht="15" hidden="false" customHeight="false" outlineLevel="0" collapsed="false">
      <c r="A50" s="16"/>
      <c r="B50" s="16"/>
      <c r="C50" s="16"/>
      <c r="D50" s="16"/>
      <c r="E50" s="16"/>
      <c r="F50" s="16"/>
      <c r="G50" s="17" t="str">
        <f aca="false">IF(A50="","",COUNTIF(Deficiency_Log!$P$5:$P$204,A50))</f>
        <v/>
      </c>
      <c r="H50" s="17" t="str">
        <f aca="false">IF(A50="","",IF(COUNTIFS(Deficiency_Log!$P$5:$P$204,A50,Deficiency_Log!$O$5:$O$204,"Material weakness")&gt;0,"Material weakness",IF(COUNTIFS(Deficiency_Log!$P$5:$P$204,A50,Deficiency_Log!$O$5:$O$204,"Significant deficiency")&gt;0,"Significant deficiency",IF(COUNTIFS(Deficiency_Log!$P$5:$P$204,A50,Deficiency_Log!$O$5:$O$204,"Control deficiency")&gt;0,"Control deficiency","—"))))</f>
        <v/>
      </c>
      <c r="I50" s="17" t="str">
        <f aca="false">IF(A50="","",IF(G50=0,"No DEF assigned to group",IF(E50="","Group severity needed",IF(AND(IF(E50="Material weakness",3,IF(E50="Significant deficiency",2,1))&lt;IF(H50="Material weakness",3,IF(H50="Significant deficiency",2,IF(H50="Control deficiency",1,0))),F50=""),"Group below highest individual: justify",IF(F50="","Rationale needed","OK")))))</f>
        <v/>
      </c>
    </row>
    <row r="51" customFormat="false" ht="15" hidden="false" customHeight="false" outlineLevel="0" collapsed="false">
      <c r="A51" s="16"/>
      <c r="B51" s="16"/>
      <c r="C51" s="16"/>
      <c r="D51" s="16"/>
      <c r="E51" s="16"/>
      <c r="F51" s="16"/>
      <c r="G51" s="17" t="str">
        <f aca="false">IF(A51="","",COUNTIF(Deficiency_Log!$P$5:$P$204,A51))</f>
        <v/>
      </c>
      <c r="H51" s="17" t="str">
        <f aca="false">IF(A51="","",IF(COUNTIFS(Deficiency_Log!$P$5:$P$204,A51,Deficiency_Log!$O$5:$O$204,"Material weakness")&gt;0,"Material weakness",IF(COUNTIFS(Deficiency_Log!$P$5:$P$204,A51,Deficiency_Log!$O$5:$O$204,"Significant deficiency")&gt;0,"Significant deficiency",IF(COUNTIFS(Deficiency_Log!$P$5:$P$204,A51,Deficiency_Log!$O$5:$O$204,"Control deficiency")&gt;0,"Control deficiency","—"))))</f>
        <v/>
      </c>
      <c r="I51" s="17" t="str">
        <f aca="false">IF(A51="","",IF(G51=0,"No DEF assigned to group",IF(E51="","Group severity needed",IF(AND(IF(E51="Material weakness",3,IF(E51="Significant deficiency",2,1))&lt;IF(H51="Material weakness",3,IF(H51="Significant deficiency",2,IF(H51="Control deficiency",1,0))),F51=""),"Group below highest individual: justify",IF(F51="","Rationale needed","OK")))))</f>
        <v/>
      </c>
    </row>
    <row r="52" customFormat="false" ht="15" hidden="false" customHeight="false" outlineLevel="0" collapsed="false">
      <c r="A52" s="16"/>
      <c r="B52" s="16"/>
      <c r="C52" s="16"/>
      <c r="D52" s="16"/>
      <c r="E52" s="16"/>
      <c r="F52" s="16"/>
      <c r="G52" s="17" t="str">
        <f aca="false">IF(A52="","",COUNTIF(Deficiency_Log!$P$5:$P$204,A52))</f>
        <v/>
      </c>
      <c r="H52" s="17" t="str">
        <f aca="false">IF(A52="","",IF(COUNTIFS(Deficiency_Log!$P$5:$P$204,A52,Deficiency_Log!$O$5:$O$204,"Material weakness")&gt;0,"Material weakness",IF(COUNTIFS(Deficiency_Log!$P$5:$P$204,A52,Deficiency_Log!$O$5:$O$204,"Significant deficiency")&gt;0,"Significant deficiency",IF(COUNTIFS(Deficiency_Log!$P$5:$P$204,A52,Deficiency_Log!$O$5:$O$204,"Control deficiency")&gt;0,"Control deficiency","—"))))</f>
        <v/>
      </c>
      <c r="I52" s="17" t="str">
        <f aca="false">IF(A52="","",IF(G52=0,"No DEF assigned to group",IF(E52="","Group severity needed",IF(AND(IF(E52="Material weakness",3,IF(E52="Significant deficiency",2,1))&lt;IF(H52="Material weakness",3,IF(H52="Significant deficiency",2,IF(H52="Control deficiency",1,0))),F52=""),"Group below highest individual: justify",IF(F52="","Rationale needed","OK")))))</f>
        <v/>
      </c>
    </row>
    <row r="53" customFormat="false" ht="15" hidden="false" customHeight="false" outlineLevel="0" collapsed="false">
      <c r="A53" s="16"/>
      <c r="B53" s="16"/>
      <c r="C53" s="16"/>
      <c r="D53" s="16"/>
      <c r="E53" s="16"/>
      <c r="F53" s="16"/>
      <c r="G53" s="17" t="str">
        <f aca="false">IF(A53="","",COUNTIF(Deficiency_Log!$P$5:$P$204,A53))</f>
        <v/>
      </c>
      <c r="H53" s="17" t="str">
        <f aca="false">IF(A53="","",IF(COUNTIFS(Deficiency_Log!$P$5:$P$204,A53,Deficiency_Log!$O$5:$O$204,"Material weakness")&gt;0,"Material weakness",IF(COUNTIFS(Deficiency_Log!$P$5:$P$204,A53,Deficiency_Log!$O$5:$O$204,"Significant deficiency")&gt;0,"Significant deficiency",IF(COUNTIFS(Deficiency_Log!$P$5:$P$204,A53,Deficiency_Log!$O$5:$O$204,"Control deficiency")&gt;0,"Control deficiency","—"))))</f>
        <v/>
      </c>
      <c r="I53" s="17" t="str">
        <f aca="false">IF(A53="","",IF(G53=0,"No DEF assigned to group",IF(E53="","Group severity needed",IF(AND(IF(E53="Material weakness",3,IF(E53="Significant deficiency",2,1))&lt;IF(H53="Material weakness",3,IF(H53="Significant deficiency",2,IF(H53="Control deficiency",1,0))),F53=""),"Group below highest individual: justify",IF(F53="","Rationale needed","OK")))))</f>
        <v/>
      </c>
    </row>
    <row r="54" customFormat="false" ht="15" hidden="false" customHeight="false" outlineLevel="0" collapsed="false">
      <c r="A54" s="16"/>
      <c r="B54" s="16"/>
      <c r="C54" s="16"/>
      <c r="D54" s="16"/>
      <c r="E54" s="16"/>
      <c r="F54" s="16"/>
      <c r="G54" s="17" t="str">
        <f aca="false">IF(A54="","",COUNTIF(Deficiency_Log!$P$5:$P$204,A54))</f>
        <v/>
      </c>
      <c r="H54" s="17" t="str">
        <f aca="false">IF(A54="","",IF(COUNTIFS(Deficiency_Log!$P$5:$P$204,A54,Deficiency_Log!$O$5:$O$204,"Material weakness")&gt;0,"Material weakness",IF(COUNTIFS(Deficiency_Log!$P$5:$P$204,A54,Deficiency_Log!$O$5:$O$204,"Significant deficiency")&gt;0,"Significant deficiency",IF(COUNTIFS(Deficiency_Log!$P$5:$P$204,A54,Deficiency_Log!$O$5:$O$204,"Control deficiency")&gt;0,"Control deficiency","—"))))</f>
        <v/>
      </c>
      <c r="I54" s="17" t="str">
        <f aca="false">IF(A54="","",IF(G54=0,"No DEF assigned to group",IF(E54="","Group severity needed",IF(AND(IF(E54="Material weakness",3,IF(E54="Significant deficiency",2,1))&lt;IF(H54="Material weakness",3,IF(H54="Significant deficiency",2,IF(H54="Control deficiency",1,0))),F54=""),"Group below highest individual: justify",IF(F54="","Rationale needed","OK")))))</f>
        <v/>
      </c>
    </row>
    <row r="55" customFormat="false" ht="15" hidden="false" customHeight="false" outlineLevel="0" collapsed="false">
      <c r="A55" s="16"/>
      <c r="B55" s="16"/>
      <c r="C55" s="16"/>
      <c r="D55" s="16"/>
      <c r="E55" s="16"/>
      <c r="F55" s="16"/>
      <c r="G55" s="17" t="str">
        <f aca="false">IF(A55="","",COUNTIF(Deficiency_Log!$P$5:$P$204,A55))</f>
        <v/>
      </c>
      <c r="H55" s="17" t="str">
        <f aca="false">IF(A55="","",IF(COUNTIFS(Deficiency_Log!$P$5:$P$204,A55,Deficiency_Log!$O$5:$O$204,"Material weakness")&gt;0,"Material weakness",IF(COUNTIFS(Deficiency_Log!$P$5:$P$204,A55,Deficiency_Log!$O$5:$O$204,"Significant deficiency")&gt;0,"Significant deficiency",IF(COUNTIFS(Deficiency_Log!$P$5:$P$204,A55,Deficiency_Log!$O$5:$O$204,"Control deficiency")&gt;0,"Control deficiency","—"))))</f>
        <v/>
      </c>
      <c r="I55" s="17" t="str">
        <f aca="false">IF(A55="","",IF(G55=0,"No DEF assigned to group",IF(E55="","Group severity needed",IF(AND(IF(E55="Material weakness",3,IF(E55="Significant deficiency",2,1))&lt;IF(H55="Material weakness",3,IF(H55="Significant deficiency",2,IF(H55="Control deficiency",1,0))),F55=""),"Group below highest individual: justify",IF(F55="","Rationale needed","OK")))))</f>
        <v/>
      </c>
    </row>
    <row r="56" customFormat="false" ht="15" hidden="false" customHeight="false" outlineLevel="0" collapsed="false">
      <c r="A56" s="16"/>
      <c r="B56" s="16"/>
      <c r="C56" s="16"/>
      <c r="D56" s="16"/>
      <c r="E56" s="16"/>
      <c r="F56" s="16"/>
      <c r="G56" s="17" t="str">
        <f aca="false">IF(A56="","",COUNTIF(Deficiency_Log!$P$5:$P$204,A56))</f>
        <v/>
      </c>
      <c r="H56" s="17" t="str">
        <f aca="false">IF(A56="","",IF(COUNTIFS(Deficiency_Log!$P$5:$P$204,A56,Deficiency_Log!$O$5:$O$204,"Material weakness")&gt;0,"Material weakness",IF(COUNTIFS(Deficiency_Log!$P$5:$P$204,A56,Deficiency_Log!$O$5:$O$204,"Significant deficiency")&gt;0,"Significant deficiency",IF(COUNTIFS(Deficiency_Log!$P$5:$P$204,A56,Deficiency_Log!$O$5:$O$204,"Control deficiency")&gt;0,"Control deficiency","—"))))</f>
        <v/>
      </c>
      <c r="I56" s="17" t="str">
        <f aca="false">IF(A56="","",IF(G56=0,"No DEF assigned to group",IF(E56="","Group severity needed",IF(AND(IF(E56="Material weakness",3,IF(E56="Significant deficiency",2,1))&lt;IF(H56="Material weakness",3,IF(H56="Significant deficiency",2,IF(H56="Control deficiency",1,0))),F56=""),"Group below highest individual: justify",IF(F56="","Rationale needed","OK")))))</f>
        <v/>
      </c>
    </row>
    <row r="57" customFormat="false" ht="15" hidden="false" customHeight="false" outlineLevel="0" collapsed="false">
      <c r="A57" s="16"/>
      <c r="B57" s="16"/>
      <c r="C57" s="16"/>
      <c r="D57" s="16"/>
      <c r="E57" s="16"/>
      <c r="F57" s="16"/>
      <c r="G57" s="17" t="str">
        <f aca="false">IF(A57="","",COUNTIF(Deficiency_Log!$P$5:$P$204,A57))</f>
        <v/>
      </c>
      <c r="H57" s="17" t="str">
        <f aca="false">IF(A57="","",IF(COUNTIFS(Deficiency_Log!$P$5:$P$204,A57,Deficiency_Log!$O$5:$O$204,"Material weakness")&gt;0,"Material weakness",IF(COUNTIFS(Deficiency_Log!$P$5:$P$204,A57,Deficiency_Log!$O$5:$O$204,"Significant deficiency")&gt;0,"Significant deficiency",IF(COUNTIFS(Deficiency_Log!$P$5:$P$204,A57,Deficiency_Log!$O$5:$O$204,"Control deficiency")&gt;0,"Control deficiency","—"))))</f>
        <v/>
      </c>
      <c r="I57" s="17" t="str">
        <f aca="false">IF(A57="","",IF(G57=0,"No DEF assigned to group",IF(E57="","Group severity needed",IF(AND(IF(E57="Material weakness",3,IF(E57="Significant deficiency",2,1))&lt;IF(H57="Material weakness",3,IF(H57="Significant deficiency",2,IF(H57="Control deficiency",1,0))),F57=""),"Group below highest individual: justify",IF(F57="","Rationale needed","OK")))))</f>
        <v/>
      </c>
    </row>
    <row r="58" customFormat="false" ht="15" hidden="false" customHeight="false" outlineLevel="0" collapsed="false">
      <c r="A58" s="16"/>
      <c r="B58" s="16"/>
      <c r="C58" s="16"/>
      <c r="D58" s="16"/>
      <c r="E58" s="16"/>
      <c r="F58" s="16"/>
      <c r="G58" s="17" t="str">
        <f aca="false">IF(A58="","",COUNTIF(Deficiency_Log!$P$5:$P$204,A58))</f>
        <v/>
      </c>
      <c r="H58" s="17" t="str">
        <f aca="false">IF(A58="","",IF(COUNTIFS(Deficiency_Log!$P$5:$P$204,A58,Deficiency_Log!$O$5:$O$204,"Material weakness")&gt;0,"Material weakness",IF(COUNTIFS(Deficiency_Log!$P$5:$P$204,A58,Deficiency_Log!$O$5:$O$204,"Significant deficiency")&gt;0,"Significant deficiency",IF(COUNTIFS(Deficiency_Log!$P$5:$P$204,A58,Deficiency_Log!$O$5:$O$204,"Control deficiency")&gt;0,"Control deficiency","—"))))</f>
        <v/>
      </c>
      <c r="I58" s="17" t="str">
        <f aca="false">IF(A58="","",IF(G58=0,"No DEF assigned to group",IF(E58="","Group severity needed",IF(AND(IF(E58="Material weakness",3,IF(E58="Significant deficiency",2,1))&lt;IF(H58="Material weakness",3,IF(H58="Significant deficiency",2,IF(H58="Control deficiency",1,0))),F58=""),"Group below highest individual: justify",IF(F58="","Rationale needed","OK")))))</f>
        <v/>
      </c>
    </row>
    <row r="59" customFormat="false" ht="15" hidden="false" customHeight="false" outlineLevel="0" collapsed="false">
      <c r="A59" s="16"/>
      <c r="B59" s="16"/>
      <c r="C59" s="16"/>
      <c r="D59" s="16"/>
      <c r="E59" s="16"/>
      <c r="F59" s="16"/>
      <c r="G59" s="17" t="str">
        <f aca="false">IF(A59="","",COUNTIF(Deficiency_Log!$P$5:$P$204,A59))</f>
        <v/>
      </c>
      <c r="H59" s="17" t="str">
        <f aca="false">IF(A59="","",IF(COUNTIFS(Deficiency_Log!$P$5:$P$204,A59,Deficiency_Log!$O$5:$O$204,"Material weakness")&gt;0,"Material weakness",IF(COUNTIFS(Deficiency_Log!$P$5:$P$204,A59,Deficiency_Log!$O$5:$O$204,"Significant deficiency")&gt;0,"Significant deficiency",IF(COUNTIFS(Deficiency_Log!$P$5:$P$204,A59,Deficiency_Log!$O$5:$O$204,"Control deficiency")&gt;0,"Control deficiency","—"))))</f>
        <v/>
      </c>
      <c r="I59" s="17" t="str">
        <f aca="false">IF(A59="","",IF(G59=0,"No DEF assigned to group",IF(E59="","Group severity needed",IF(AND(IF(E59="Material weakness",3,IF(E59="Significant deficiency",2,1))&lt;IF(H59="Material weakness",3,IF(H59="Significant deficiency",2,IF(H59="Control deficiency",1,0))),F59=""),"Group below highest individual: justify",IF(F59="","Rationale needed","OK")))))</f>
        <v/>
      </c>
    </row>
    <row r="60" customFormat="false" ht="15" hidden="false" customHeight="false" outlineLevel="0" collapsed="false">
      <c r="A60" s="16"/>
      <c r="B60" s="16"/>
      <c r="C60" s="16"/>
      <c r="D60" s="16"/>
      <c r="E60" s="16"/>
      <c r="F60" s="16"/>
      <c r="G60" s="17" t="str">
        <f aca="false">IF(A60="","",COUNTIF(Deficiency_Log!$P$5:$P$204,A60))</f>
        <v/>
      </c>
      <c r="H60" s="17" t="str">
        <f aca="false">IF(A60="","",IF(COUNTIFS(Deficiency_Log!$P$5:$P$204,A60,Deficiency_Log!$O$5:$O$204,"Material weakness")&gt;0,"Material weakness",IF(COUNTIFS(Deficiency_Log!$P$5:$P$204,A60,Deficiency_Log!$O$5:$O$204,"Significant deficiency")&gt;0,"Significant deficiency",IF(COUNTIFS(Deficiency_Log!$P$5:$P$204,A60,Deficiency_Log!$O$5:$O$204,"Control deficiency")&gt;0,"Control deficiency","—"))))</f>
        <v/>
      </c>
      <c r="I60" s="17" t="str">
        <f aca="false">IF(A60="","",IF(G60=0,"No DEF assigned to group",IF(E60="","Group severity needed",IF(AND(IF(E60="Material weakness",3,IF(E60="Significant deficiency",2,1))&lt;IF(H60="Material weakness",3,IF(H60="Significant deficiency",2,IF(H60="Control deficiency",1,0))),F60=""),"Group below highest individual: justify",IF(F60="","Rationale needed","OK")))))</f>
        <v/>
      </c>
    </row>
    <row r="61" customFormat="false" ht="15" hidden="false" customHeight="false" outlineLevel="0" collapsed="false">
      <c r="A61" s="16"/>
      <c r="B61" s="16"/>
      <c r="C61" s="16"/>
      <c r="D61" s="16"/>
      <c r="E61" s="16"/>
      <c r="F61" s="16"/>
      <c r="G61" s="17" t="str">
        <f aca="false">IF(A61="","",COUNTIF(Deficiency_Log!$P$5:$P$204,A61))</f>
        <v/>
      </c>
      <c r="H61" s="17" t="str">
        <f aca="false">IF(A61="","",IF(COUNTIFS(Deficiency_Log!$P$5:$P$204,A61,Deficiency_Log!$O$5:$O$204,"Material weakness")&gt;0,"Material weakness",IF(COUNTIFS(Deficiency_Log!$P$5:$P$204,A61,Deficiency_Log!$O$5:$O$204,"Significant deficiency")&gt;0,"Significant deficiency",IF(COUNTIFS(Deficiency_Log!$P$5:$P$204,A61,Deficiency_Log!$O$5:$O$204,"Control deficiency")&gt;0,"Control deficiency","—"))))</f>
        <v/>
      </c>
      <c r="I61" s="17" t="str">
        <f aca="false">IF(A61="","",IF(G61=0,"No DEF assigned to group",IF(E61="","Group severity needed",IF(AND(IF(E61="Material weakness",3,IF(E61="Significant deficiency",2,1))&lt;IF(H61="Material weakness",3,IF(H61="Significant deficiency",2,IF(H61="Control deficiency",1,0))),F61=""),"Group below highest individual: justify",IF(F61="","Rationale needed","OK")))))</f>
        <v/>
      </c>
    </row>
    <row r="62" customFormat="false" ht="15" hidden="false" customHeight="false" outlineLevel="0" collapsed="false">
      <c r="A62" s="16"/>
      <c r="B62" s="16"/>
      <c r="C62" s="16"/>
      <c r="D62" s="16"/>
      <c r="E62" s="16"/>
      <c r="F62" s="16"/>
      <c r="G62" s="17" t="str">
        <f aca="false">IF(A62="","",COUNTIF(Deficiency_Log!$P$5:$P$204,A62))</f>
        <v/>
      </c>
      <c r="H62" s="17" t="str">
        <f aca="false">IF(A62="","",IF(COUNTIFS(Deficiency_Log!$P$5:$P$204,A62,Deficiency_Log!$O$5:$O$204,"Material weakness")&gt;0,"Material weakness",IF(COUNTIFS(Deficiency_Log!$P$5:$P$204,A62,Deficiency_Log!$O$5:$O$204,"Significant deficiency")&gt;0,"Significant deficiency",IF(COUNTIFS(Deficiency_Log!$P$5:$P$204,A62,Deficiency_Log!$O$5:$O$204,"Control deficiency")&gt;0,"Control deficiency","—"))))</f>
        <v/>
      </c>
      <c r="I62" s="17" t="str">
        <f aca="false">IF(A62="","",IF(G62=0,"No DEF assigned to group",IF(E62="","Group severity needed",IF(AND(IF(E62="Material weakness",3,IF(E62="Significant deficiency",2,1))&lt;IF(H62="Material weakness",3,IF(H62="Significant deficiency",2,IF(H62="Control deficiency",1,0))),F62=""),"Group below highest individual: justify",IF(F62="","Rationale needed","OK")))))</f>
        <v/>
      </c>
    </row>
    <row r="63" customFormat="false" ht="15" hidden="false" customHeight="false" outlineLevel="0" collapsed="false">
      <c r="A63" s="16"/>
      <c r="B63" s="16"/>
      <c r="C63" s="16"/>
      <c r="D63" s="16"/>
      <c r="E63" s="16"/>
      <c r="F63" s="16"/>
      <c r="G63" s="17" t="str">
        <f aca="false">IF(A63="","",COUNTIF(Deficiency_Log!$P$5:$P$204,A63))</f>
        <v/>
      </c>
      <c r="H63" s="17" t="str">
        <f aca="false">IF(A63="","",IF(COUNTIFS(Deficiency_Log!$P$5:$P$204,A63,Deficiency_Log!$O$5:$O$204,"Material weakness")&gt;0,"Material weakness",IF(COUNTIFS(Deficiency_Log!$P$5:$P$204,A63,Deficiency_Log!$O$5:$O$204,"Significant deficiency")&gt;0,"Significant deficiency",IF(COUNTIFS(Deficiency_Log!$P$5:$P$204,A63,Deficiency_Log!$O$5:$O$204,"Control deficiency")&gt;0,"Control deficiency","—"))))</f>
        <v/>
      </c>
      <c r="I63" s="17" t="str">
        <f aca="false">IF(A63="","",IF(G63=0,"No DEF assigned to group",IF(E63="","Group severity needed",IF(AND(IF(E63="Material weakness",3,IF(E63="Significant deficiency",2,1))&lt;IF(H63="Material weakness",3,IF(H63="Significant deficiency",2,IF(H63="Control deficiency",1,0))),F63=""),"Group below highest individual: justify",IF(F63="","Rationale needed","OK")))))</f>
        <v/>
      </c>
    </row>
    <row r="64" customFormat="false" ht="15" hidden="false" customHeight="false" outlineLevel="0" collapsed="false">
      <c r="A64" s="16"/>
      <c r="B64" s="16"/>
      <c r="C64" s="16"/>
      <c r="D64" s="16"/>
      <c r="E64" s="16"/>
      <c r="F64" s="16"/>
      <c r="G64" s="17" t="str">
        <f aca="false">IF(A64="","",COUNTIF(Deficiency_Log!$P$5:$P$204,A64))</f>
        <v/>
      </c>
      <c r="H64" s="17" t="str">
        <f aca="false">IF(A64="","",IF(COUNTIFS(Deficiency_Log!$P$5:$P$204,A64,Deficiency_Log!$O$5:$O$204,"Material weakness")&gt;0,"Material weakness",IF(COUNTIFS(Deficiency_Log!$P$5:$P$204,A64,Deficiency_Log!$O$5:$O$204,"Significant deficiency")&gt;0,"Significant deficiency",IF(COUNTIFS(Deficiency_Log!$P$5:$P$204,A64,Deficiency_Log!$O$5:$O$204,"Control deficiency")&gt;0,"Control deficiency","—"))))</f>
        <v/>
      </c>
      <c r="I64" s="17" t="str">
        <f aca="false">IF(A64="","",IF(G64=0,"No DEF assigned to group",IF(E64="","Group severity needed",IF(AND(IF(E64="Material weakness",3,IF(E64="Significant deficiency",2,1))&lt;IF(H64="Material weakness",3,IF(H64="Significant deficiency",2,IF(H64="Control deficiency",1,0))),F64=""),"Group below highest individual: justify",IF(F64="","Rationale needed","OK")))))</f>
        <v/>
      </c>
    </row>
    <row r="65" customFormat="false" ht="15" hidden="false" customHeight="false" outlineLevel="0" collapsed="false">
      <c r="A65" s="16"/>
      <c r="B65" s="16"/>
      <c r="C65" s="16"/>
      <c r="D65" s="16"/>
      <c r="E65" s="16"/>
      <c r="F65" s="16"/>
      <c r="G65" s="17" t="str">
        <f aca="false">IF(A65="","",COUNTIF(Deficiency_Log!$P$5:$P$204,A65))</f>
        <v/>
      </c>
      <c r="H65" s="17" t="str">
        <f aca="false">IF(A65="","",IF(COUNTIFS(Deficiency_Log!$P$5:$P$204,A65,Deficiency_Log!$O$5:$O$204,"Material weakness")&gt;0,"Material weakness",IF(COUNTIFS(Deficiency_Log!$P$5:$P$204,A65,Deficiency_Log!$O$5:$O$204,"Significant deficiency")&gt;0,"Significant deficiency",IF(COUNTIFS(Deficiency_Log!$P$5:$P$204,A65,Deficiency_Log!$O$5:$O$204,"Control deficiency")&gt;0,"Control deficiency","—"))))</f>
        <v/>
      </c>
      <c r="I65" s="17" t="str">
        <f aca="false">IF(A65="","",IF(G65=0,"No DEF assigned to group",IF(E65="","Group severity needed",IF(AND(IF(E65="Material weakness",3,IF(E65="Significant deficiency",2,1))&lt;IF(H65="Material weakness",3,IF(H65="Significant deficiency",2,IF(H65="Control deficiency",1,0))),F65=""),"Group below highest individual: justify",IF(F65="","Rationale needed","OK")))))</f>
        <v/>
      </c>
    </row>
    <row r="66" customFormat="false" ht="15" hidden="false" customHeight="false" outlineLevel="0" collapsed="false">
      <c r="A66" s="16"/>
      <c r="B66" s="16"/>
      <c r="C66" s="16"/>
      <c r="D66" s="16"/>
      <c r="E66" s="16"/>
      <c r="F66" s="16"/>
      <c r="G66" s="17" t="str">
        <f aca="false">IF(A66="","",COUNTIF(Deficiency_Log!$P$5:$P$204,A66))</f>
        <v/>
      </c>
      <c r="H66" s="17" t="str">
        <f aca="false">IF(A66="","",IF(COUNTIFS(Deficiency_Log!$P$5:$P$204,A66,Deficiency_Log!$O$5:$O$204,"Material weakness")&gt;0,"Material weakness",IF(COUNTIFS(Deficiency_Log!$P$5:$P$204,A66,Deficiency_Log!$O$5:$O$204,"Significant deficiency")&gt;0,"Significant deficiency",IF(COUNTIFS(Deficiency_Log!$P$5:$P$204,A66,Deficiency_Log!$O$5:$O$204,"Control deficiency")&gt;0,"Control deficiency","—"))))</f>
        <v/>
      </c>
      <c r="I66" s="17" t="str">
        <f aca="false">IF(A66="","",IF(G66=0,"No DEF assigned to group",IF(E66="","Group severity needed",IF(AND(IF(E66="Material weakness",3,IF(E66="Significant deficiency",2,1))&lt;IF(H66="Material weakness",3,IF(H66="Significant deficiency",2,IF(H66="Control deficiency",1,0))),F66=""),"Group below highest individual: justify",IF(F66="","Rationale needed","OK")))))</f>
        <v/>
      </c>
    </row>
    <row r="67" customFormat="false" ht="15" hidden="false" customHeight="false" outlineLevel="0" collapsed="false">
      <c r="A67" s="16"/>
      <c r="B67" s="16"/>
      <c r="C67" s="16"/>
      <c r="D67" s="16"/>
      <c r="E67" s="16"/>
      <c r="F67" s="16"/>
      <c r="G67" s="17" t="str">
        <f aca="false">IF(A67="","",COUNTIF(Deficiency_Log!$P$5:$P$204,A67))</f>
        <v/>
      </c>
      <c r="H67" s="17" t="str">
        <f aca="false">IF(A67="","",IF(COUNTIFS(Deficiency_Log!$P$5:$P$204,A67,Deficiency_Log!$O$5:$O$204,"Material weakness")&gt;0,"Material weakness",IF(COUNTIFS(Deficiency_Log!$P$5:$P$204,A67,Deficiency_Log!$O$5:$O$204,"Significant deficiency")&gt;0,"Significant deficiency",IF(COUNTIFS(Deficiency_Log!$P$5:$P$204,A67,Deficiency_Log!$O$5:$O$204,"Control deficiency")&gt;0,"Control deficiency","—"))))</f>
        <v/>
      </c>
      <c r="I67" s="17" t="str">
        <f aca="false">IF(A67="","",IF(G67=0,"No DEF assigned to group",IF(E67="","Group severity needed",IF(AND(IF(E67="Material weakness",3,IF(E67="Significant deficiency",2,1))&lt;IF(H67="Material weakness",3,IF(H67="Significant deficiency",2,IF(H67="Control deficiency",1,0))),F67=""),"Group below highest individual: justify",IF(F67="","Rationale needed","OK")))))</f>
        <v/>
      </c>
    </row>
    <row r="68" customFormat="false" ht="15" hidden="false" customHeight="false" outlineLevel="0" collapsed="false">
      <c r="A68" s="16"/>
      <c r="B68" s="16"/>
      <c r="C68" s="16"/>
      <c r="D68" s="16"/>
      <c r="E68" s="16"/>
      <c r="F68" s="16"/>
      <c r="G68" s="17" t="str">
        <f aca="false">IF(A68="","",COUNTIF(Deficiency_Log!$P$5:$P$204,A68))</f>
        <v/>
      </c>
      <c r="H68" s="17" t="str">
        <f aca="false">IF(A68="","",IF(COUNTIFS(Deficiency_Log!$P$5:$P$204,A68,Deficiency_Log!$O$5:$O$204,"Material weakness")&gt;0,"Material weakness",IF(COUNTIFS(Deficiency_Log!$P$5:$P$204,A68,Deficiency_Log!$O$5:$O$204,"Significant deficiency")&gt;0,"Significant deficiency",IF(COUNTIFS(Deficiency_Log!$P$5:$P$204,A68,Deficiency_Log!$O$5:$O$204,"Control deficiency")&gt;0,"Control deficiency","—"))))</f>
        <v/>
      </c>
      <c r="I68" s="17" t="str">
        <f aca="false">IF(A68="","",IF(G68=0,"No DEF assigned to group",IF(E68="","Group severity needed",IF(AND(IF(E68="Material weakness",3,IF(E68="Significant deficiency",2,1))&lt;IF(H68="Material weakness",3,IF(H68="Significant deficiency",2,IF(H68="Control deficiency",1,0))),F68=""),"Group below highest individual: justify",IF(F68="","Rationale needed","OK")))))</f>
        <v/>
      </c>
    </row>
    <row r="69" customFormat="false" ht="15" hidden="false" customHeight="false" outlineLevel="0" collapsed="false">
      <c r="A69" s="16"/>
      <c r="B69" s="16"/>
      <c r="C69" s="16"/>
      <c r="D69" s="16"/>
      <c r="E69" s="16"/>
      <c r="F69" s="16"/>
      <c r="G69" s="17" t="str">
        <f aca="false">IF(A69="","",COUNTIF(Deficiency_Log!$P$5:$P$204,A69))</f>
        <v/>
      </c>
      <c r="H69" s="17" t="str">
        <f aca="false">IF(A69="","",IF(COUNTIFS(Deficiency_Log!$P$5:$P$204,A69,Deficiency_Log!$O$5:$O$204,"Material weakness")&gt;0,"Material weakness",IF(COUNTIFS(Deficiency_Log!$P$5:$P$204,A69,Deficiency_Log!$O$5:$O$204,"Significant deficiency")&gt;0,"Significant deficiency",IF(COUNTIFS(Deficiency_Log!$P$5:$P$204,A69,Deficiency_Log!$O$5:$O$204,"Control deficiency")&gt;0,"Control deficiency","—"))))</f>
        <v/>
      </c>
      <c r="I69" s="17" t="str">
        <f aca="false">IF(A69="","",IF(G69=0,"No DEF assigned to group",IF(E69="","Group severity needed",IF(AND(IF(E69="Material weakness",3,IF(E69="Significant deficiency",2,1))&lt;IF(H69="Material weakness",3,IF(H69="Significant deficiency",2,IF(H69="Control deficiency",1,0))),F69=""),"Group below highest individual: justify",IF(F69="","Rationale needed","OK")))))</f>
        <v/>
      </c>
    </row>
    <row r="70" customFormat="false" ht="15" hidden="false" customHeight="false" outlineLevel="0" collapsed="false">
      <c r="A70" s="16"/>
      <c r="B70" s="16"/>
      <c r="C70" s="16"/>
      <c r="D70" s="16"/>
      <c r="E70" s="16"/>
      <c r="F70" s="16"/>
      <c r="G70" s="17" t="str">
        <f aca="false">IF(A70="","",COUNTIF(Deficiency_Log!$P$5:$P$204,A70))</f>
        <v/>
      </c>
      <c r="H70" s="17" t="str">
        <f aca="false">IF(A70="","",IF(COUNTIFS(Deficiency_Log!$P$5:$P$204,A70,Deficiency_Log!$O$5:$O$204,"Material weakness")&gt;0,"Material weakness",IF(COUNTIFS(Deficiency_Log!$P$5:$P$204,A70,Deficiency_Log!$O$5:$O$204,"Significant deficiency")&gt;0,"Significant deficiency",IF(COUNTIFS(Deficiency_Log!$P$5:$P$204,A70,Deficiency_Log!$O$5:$O$204,"Control deficiency")&gt;0,"Control deficiency","—"))))</f>
        <v/>
      </c>
      <c r="I70" s="17" t="str">
        <f aca="false">IF(A70="","",IF(G70=0,"No DEF assigned to group",IF(E70="","Group severity needed",IF(AND(IF(E70="Material weakness",3,IF(E70="Significant deficiency",2,1))&lt;IF(H70="Material weakness",3,IF(H70="Significant deficiency",2,IF(H70="Control deficiency",1,0))),F70=""),"Group below highest individual: justify",IF(F70="","Rationale needed","OK")))))</f>
        <v/>
      </c>
    </row>
    <row r="71" customFormat="false" ht="15" hidden="false" customHeight="false" outlineLevel="0" collapsed="false">
      <c r="A71" s="16"/>
      <c r="B71" s="16"/>
      <c r="C71" s="16"/>
      <c r="D71" s="16"/>
      <c r="E71" s="16"/>
      <c r="F71" s="16"/>
      <c r="G71" s="17" t="str">
        <f aca="false">IF(A71="","",COUNTIF(Deficiency_Log!$P$5:$P$204,A71))</f>
        <v/>
      </c>
      <c r="H71" s="17" t="str">
        <f aca="false">IF(A71="","",IF(COUNTIFS(Deficiency_Log!$P$5:$P$204,A71,Deficiency_Log!$O$5:$O$204,"Material weakness")&gt;0,"Material weakness",IF(COUNTIFS(Deficiency_Log!$P$5:$P$204,A71,Deficiency_Log!$O$5:$O$204,"Significant deficiency")&gt;0,"Significant deficiency",IF(COUNTIFS(Deficiency_Log!$P$5:$P$204,A71,Deficiency_Log!$O$5:$O$204,"Control deficiency")&gt;0,"Control deficiency","—"))))</f>
        <v/>
      </c>
      <c r="I71" s="17" t="str">
        <f aca="false">IF(A71="","",IF(G71=0,"No DEF assigned to group",IF(E71="","Group severity needed",IF(AND(IF(E71="Material weakness",3,IF(E71="Significant deficiency",2,1))&lt;IF(H71="Material weakness",3,IF(H71="Significant deficiency",2,IF(H71="Control deficiency",1,0))),F71=""),"Group below highest individual: justify",IF(F71="","Rationale needed","OK")))))</f>
        <v/>
      </c>
    </row>
    <row r="72" customFormat="false" ht="15" hidden="false" customHeight="false" outlineLevel="0" collapsed="false">
      <c r="A72" s="16"/>
      <c r="B72" s="16"/>
      <c r="C72" s="16"/>
      <c r="D72" s="16"/>
      <c r="E72" s="16"/>
      <c r="F72" s="16"/>
      <c r="G72" s="17" t="str">
        <f aca="false">IF(A72="","",COUNTIF(Deficiency_Log!$P$5:$P$204,A72))</f>
        <v/>
      </c>
      <c r="H72" s="17" t="str">
        <f aca="false">IF(A72="","",IF(COUNTIFS(Deficiency_Log!$P$5:$P$204,A72,Deficiency_Log!$O$5:$O$204,"Material weakness")&gt;0,"Material weakness",IF(COUNTIFS(Deficiency_Log!$P$5:$P$204,A72,Deficiency_Log!$O$5:$O$204,"Significant deficiency")&gt;0,"Significant deficiency",IF(COUNTIFS(Deficiency_Log!$P$5:$P$204,A72,Deficiency_Log!$O$5:$O$204,"Control deficiency")&gt;0,"Control deficiency","—"))))</f>
        <v/>
      </c>
      <c r="I72" s="17" t="str">
        <f aca="false">IF(A72="","",IF(G72=0,"No DEF assigned to group",IF(E72="","Group severity needed",IF(AND(IF(E72="Material weakness",3,IF(E72="Significant deficiency",2,1))&lt;IF(H72="Material weakness",3,IF(H72="Significant deficiency",2,IF(H72="Control deficiency",1,0))),F72=""),"Group below highest individual: justify",IF(F72="","Rationale needed","OK")))))</f>
        <v/>
      </c>
    </row>
    <row r="73" customFormat="false" ht="15" hidden="false" customHeight="false" outlineLevel="0" collapsed="false">
      <c r="A73" s="16"/>
      <c r="B73" s="16"/>
      <c r="C73" s="16"/>
      <c r="D73" s="16"/>
      <c r="E73" s="16"/>
      <c r="F73" s="16"/>
      <c r="G73" s="17" t="str">
        <f aca="false">IF(A73="","",COUNTIF(Deficiency_Log!$P$5:$P$204,A73))</f>
        <v/>
      </c>
      <c r="H73" s="17" t="str">
        <f aca="false">IF(A73="","",IF(COUNTIFS(Deficiency_Log!$P$5:$P$204,A73,Deficiency_Log!$O$5:$O$204,"Material weakness")&gt;0,"Material weakness",IF(COUNTIFS(Deficiency_Log!$P$5:$P$204,A73,Deficiency_Log!$O$5:$O$204,"Significant deficiency")&gt;0,"Significant deficiency",IF(COUNTIFS(Deficiency_Log!$P$5:$P$204,A73,Deficiency_Log!$O$5:$O$204,"Control deficiency")&gt;0,"Control deficiency","—"))))</f>
        <v/>
      </c>
      <c r="I73" s="17" t="str">
        <f aca="false">IF(A73="","",IF(G73=0,"No DEF assigned to group",IF(E73="","Group severity needed",IF(AND(IF(E73="Material weakness",3,IF(E73="Significant deficiency",2,1))&lt;IF(H73="Material weakness",3,IF(H73="Significant deficiency",2,IF(H73="Control deficiency",1,0))),F73=""),"Group below highest individual: justify",IF(F73="","Rationale needed","OK")))))</f>
        <v/>
      </c>
    </row>
    <row r="74" customFormat="false" ht="15" hidden="false" customHeight="false" outlineLevel="0" collapsed="false">
      <c r="A74" s="16"/>
      <c r="B74" s="16"/>
      <c r="C74" s="16"/>
      <c r="D74" s="16"/>
      <c r="E74" s="16"/>
      <c r="F74" s="16"/>
      <c r="G74" s="17" t="str">
        <f aca="false">IF(A74="","",COUNTIF(Deficiency_Log!$P$5:$P$204,A74))</f>
        <v/>
      </c>
      <c r="H74" s="17" t="str">
        <f aca="false">IF(A74="","",IF(COUNTIFS(Deficiency_Log!$P$5:$P$204,A74,Deficiency_Log!$O$5:$O$204,"Material weakness")&gt;0,"Material weakness",IF(COUNTIFS(Deficiency_Log!$P$5:$P$204,A74,Deficiency_Log!$O$5:$O$204,"Significant deficiency")&gt;0,"Significant deficiency",IF(COUNTIFS(Deficiency_Log!$P$5:$P$204,A74,Deficiency_Log!$O$5:$O$204,"Control deficiency")&gt;0,"Control deficiency","—"))))</f>
        <v/>
      </c>
      <c r="I74" s="17" t="str">
        <f aca="false">IF(A74="","",IF(G74=0,"No DEF assigned to group",IF(E74="","Group severity needed",IF(AND(IF(E74="Material weakness",3,IF(E74="Significant deficiency",2,1))&lt;IF(H74="Material weakness",3,IF(H74="Significant deficiency",2,IF(H74="Control deficiency",1,0))),F74=""),"Group below highest individual: justify",IF(F74="","Rationale needed","OK")))))</f>
        <v/>
      </c>
    </row>
    <row r="75" customFormat="false" ht="15" hidden="false" customHeight="false" outlineLevel="0" collapsed="false">
      <c r="A75" s="16"/>
      <c r="B75" s="16"/>
      <c r="C75" s="16"/>
      <c r="D75" s="16"/>
      <c r="E75" s="16"/>
      <c r="F75" s="16"/>
      <c r="G75" s="17" t="str">
        <f aca="false">IF(A75="","",COUNTIF(Deficiency_Log!$P$5:$P$204,A75))</f>
        <v/>
      </c>
      <c r="H75" s="17" t="str">
        <f aca="false">IF(A75="","",IF(COUNTIFS(Deficiency_Log!$P$5:$P$204,A75,Deficiency_Log!$O$5:$O$204,"Material weakness")&gt;0,"Material weakness",IF(COUNTIFS(Deficiency_Log!$P$5:$P$204,A75,Deficiency_Log!$O$5:$O$204,"Significant deficiency")&gt;0,"Significant deficiency",IF(COUNTIFS(Deficiency_Log!$P$5:$P$204,A75,Deficiency_Log!$O$5:$O$204,"Control deficiency")&gt;0,"Control deficiency","—"))))</f>
        <v/>
      </c>
      <c r="I75" s="17" t="str">
        <f aca="false">IF(A75="","",IF(G75=0,"No DEF assigned to group",IF(E75="","Group severity needed",IF(AND(IF(E75="Material weakness",3,IF(E75="Significant deficiency",2,1))&lt;IF(H75="Material weakness",3,IF(H75="Significant deficiency",2,IF(H75="Control deficiency",1,0))),F75=""),"Group below highest individual: justify",IF(F75="","Rationale needed","OK")))))</f>
        <v/>
      </c>
    </row>
    <row r="76" customFormat="false" ht="15" hidden="false" customHeight="false" outlineLevel="0" collapsed="false">
      <c r="A76" s="16"/>
      <c r="B76" s="16"/>
      <c r="C76" s="16"/>
      <c r="D76" s="16"/>
      <c r="E76" s="16"/>
      <c r="F76" s="16"/>
      <c r="G76" s="17" t="str">
        <f aca="false">IF(A76="","",COUNTIF(Deficiency_Log!$P$5:$P$204,A76))</f>
        <v/>
      </c>
      <c r="H76" s="17" t="str">
        <f aca="false">IF(A76="","",IF(COUNTIFS(Deficiency_Log!$P$5:$P$204,A76,Deficiency_Log!$O$5:$O$204,"Material weakness")&gt;0,"Material weakness",IF(COUNTIFS(Deficiency_Log!$P$5:$P$204,A76,Deficiency_Log!$O$5:$O$204,"Significant deficiency")&gt;0,"Significant deficiency",IF(COUNTIFS(Deficiency_Log!$P$5:$P$204,A76,Deficiency_Log!$O$5:$O$204,"Control deficiency")&gt;0,"Control deficiency","—"))))</f>
        <v/>
      </c>
      <c r="I76" s="17" t="str">
        <f aca="false">IF(A76="","",IF(G76=0,"No DEF assigned to group",IF(E76="","Group severity needed",IF(AND(IF(E76="Material weakness",3,IF(E76="Significant deficiency",2,1))&lt;IF(H76="Material weakness",3,IF(H76="Significant deficiency",2,IF(H76="Control deficiency",1,0))),F76=""),"Group below highest individual: justify",IF(F76="","Rationale needed","OK")))))</f>
        <v/>
      </c>
    </row>
    <row r="77" customFormat="false" ht="15" hidden="false" customHeight="false" outlineLevel="0" collapsed="false">
      <c r="A77" s="16"/>
      <c r="B77" s="16"/>
      <c r="C77" s="16"/>
      <c r="D77" s="16"/>
      <c r="E77" s="16"/>
      <c r="F77" s="16"/>
      <c r="G77" s="17" t="str">
        <f aca="false">IF(A77="","",COUNTIF(Deficiency_Log!$P$5:$P$204,A77))</f>
        <v/>
      </c>
      <c r="H77" s="17" t="str">
        <f aca="false">IF(A77="","",IF(COUNTIFS(Deficiency_Log!$P$5:$P$204,A77,Deficiency_Log!$O$5:$O$204,"Material weakness")&gt;0,"Material weakness",IF(COUNTIFS(Deficiency_Log!$P$5:$P$204,A77,Deficiency_Log!$O$5:$O$204,"Significant deficiency")&gt;0,"Significant deficiency",IF(COUNTIFS(Deficiency_Log!$P$5:$P$204,A77,Deficiency_Log!$O$5:$O$204,"Control deficiency")&gt;0,"Control deficiency","—"))))</f>
        <v/>
      </c>
      <c r="I77" s="17" t="str">
        <f aca="false">IF(A77="","",IF(G77=0,"No DEF assigned to group",IF(E77="","Group severity needed",IF(AND(IF(E77="Material weakness",3,IF(E77="Significant deficiency",2,1))&lt;IF(H77="Material weakness",3,IF(H77="Significant deficiency",2,IF(H77="Control deficiency",1,0))),F77=""),"Group below highest individual: justify",IF(F77="","Rationale needed","OK")))))</f>
        <v/>
      </c>
    </row>
    <row r="78" customFormat="false" ht="15" hidden="false" customHeight="false" outlineLevel="0" collapsed="false">
      <c r="A78" s="16"/>
      <c r="B78" s="16"/>
      <c r="C78" s="16"/>
      <c r="D78" s="16"/>
      <c r="E78" s="16"/>
      <c r="F78" s="16"/>
      <c r="G78" s="17" t="str">
        <f aca="false">IF(A78="","",COUNTIF(Deficiency_Log!$P$5:$P$204,A78))</f>
        <v/>
      </c>
      <c r="H78" s="17" t="str">
        <f aca="false">IF(A78="","",IF(COUNTIFS(Deficiency_Log!$P$5:$P$204,A78,Deficiency_Log!$O$5:$O$204,"Material weakness")&gt;0,"Material weakness",IF(COUNTIFS(Deficiency_Log!$P$5:$P$204,A78,Deficiency_Log!$O$5:$O$204,"Significant deficiency")&gt;0,"Significant deficiency",IF(COUNTIFS(Deficiency_Log!$P$5:$P$204,A78,Deficiency_Log!$O$5:$O$204,"Control deficiency")&gt;0,"Control deficiency","—"))))</f>
        <v/>
      </c>
      <c r="I78" s="17" t="str">
        <f aca="false">IF(A78="","",IF(G78=0,"No DEF assigned to group",IF(E78="","Group severity needed",IF(AND(IF(E78="Material weakness",3,IF(E78="Significant deficiency",2,1))&lt;IF(H78="Material weakness",3,IF(H78="Significant deficiency",2,IF(H78="Control deficiency",1,0))),F78=""),"Group below highest individual: justify",IF(F78="","Rationale needed","OK")))))</f>
        <v/>
      </c>
    </row>
    <row r="79" customFormat="false" ht="15" hidden="false" customHeight="false" outlineLevel="0" collapsed="false">
      <c r="A79" s="16"/>
      <c r="B79" s="16"/>
      <c r="C79" s="16"/>
      <c r="D79" s="16"/>
      <c r="E79" s="16"/>
      <c r="F79" s="16"/>
      <c r="G79" s="17" t="str">
        <f aca="false">IF(A79="","",COUNTIF(Deficiency_Log!$P$5:$P$204,A79))</f>
        <v/>
      </c>
      <c r="H79" s="17" t="str">
        <f aca="false">IF(A79="","",IF(COUNTIFS(Deficiency_Log!$P$5:$P$204,A79,Deficiency_Log!$O$5:$O$204,"Material weakness")&gt;0,"Material weakness",IF(COUNTIFS(Deficiency_Log!$P$5:$P$204,A79,Deficiency_Log!$O$5:$O$204,"Significant deficiency")&gt;0,"Significant deficiency",IF(COUNTIFS(Deficiency_Log!$P$5:$P$204,A79,Deficiency_Log!$O$5:$O$204,"Control deficiency")&gt;0,"Control deficiency","—"))))</f>
        <v/>
      </c>
      <c r="I79" s="17" t="str">
        <f aca="false">IF(A79="","",IF(G79=0,"No DEF assigned to group",IF(E79="","Group severity needed",IF(AND(IF(E79="Material weakness",3,IF(E79="Significant deficiency",2,1))&lt;IF(H79="Material weakness",3,IF(H79="Significant deficiency",2,IF(H79="Control deficiency",1,0))),F79=""),"Group below highest individual: justify",IF(F79="","Rationale needed","OK")))))</f>
        <v/>
      </c>
    </row>
    <row r="80" customFormat="false" ht="15" hidden="false" customHeight="false" outlineLevel="0" collapsed="false">
      <c r="A80" s="16"/>
      <c r="B80" s="16"/>
      <c r="C80" s="16"/>
      <c r="D80" s="16"/>
      <c r="E80" s="16"/>
      <c r="F80" s="16"/>
      <c r="G80" s="17" t="str">
        <f aca="false">IF(A80="","",COUNTIF(Deficiency_Log!$P$5:$P$204,A80))</f>
        <v/>
      </c>
      <c r="H80" s="17" t="str">
        <f aca="false">IF(A80="","",IF(COUNTIFS(Deficiency_Log!$P$5:$P$204,A80,Deficiency_Log!$O$5:$O$204,"Material weakness")&gt;0,"Material weakness",IF(COUNTIFS(Deficiency_Log!$P$5:$P$204,A80,Deficiency_Log!$O$5:$O$204,"Significant deficiency")&gt;0,"Significant deficiency",IF(COUNTIFS(Deficiency_Log!$P$5:$P$204,A80,Deficiency_Log!$O$5:$O$204,"Control deficiency")&gt;0,"Control deficiency","—"))))</f>
        <v/>
      </c>
      <c r="I80" s="17" t="str">
        <f aca="false">IF(A80="","",IF(G80=0,"No DEF assigned to group",IF(E80="","Group severity needed",IF(AND(IF(E80="Material weakness",3,IF(E80="Significant deficiency",2,1))&lt;IF(H80="Material weakness",3,IF(H80="Significant deficiency",2,IF(H80="Control deficiency",1,0))),F80=""),"Group below highest individual: justify",IF(F80="","Rationale needed","OK")))))</f>
        <v/>
      </c>
    </row>
    <row r="81" customFormat="false" ht="15" hidden="false" customHeight="false" outlineLevel="0" collapsed="false">
      <c r="A81" s="16"/>
      <c r="B81" s="16"/>
      <c r="C81" s="16"/>
      <c r="D81" s="16"/>
      <c r="E81" s="16"/>
      <c r="F81" s="16"/>
      <c r="G81" s="17" t="str">
        <f aca="false">IF(A81="","",COUNTIF(Deficiency_Log!$P$5:$P$204,A81))</f>
        <v/>
      </c>
      <c r="H81" s="17" t="str">
        <f aca="false">IF(A81="","",IF(COUNTIFS(Deficiency_Log!$P$5:$P$204,A81,Deficiency_Log!$O$5:$O$204,"Material weakness")&gt;0,"Material weakness",IF(COUNTIFS(Deficiency_Log!$P$5:$P$204,A81,Deficiency_Log!$O$5:$O$204,"Significant deficiency")&gt;0,"Significant deficiency",IF(COUNTIFS(Deficiency_Log!$P$5:$P$204,A81,Deficiency_Log!$O$5:$O$204,"Control deficiency")&gt;0,"Control deficiency","—"))))</f>
        <v/>
      </c>
      <c r="I81" s="17" t="str">
        <f aca="false">IF(A81="","",IF(G81=0,"No DEF assigned to group",IF(E81="","Group severity needed",IF(AND(IF(E81="Material weakness",3,IF(E81="Significant deficiency",2,1))&lt;IF(H81="Material weakness",3,IF(H81="Significant deficiency",2,IF(H81="Control deficiency",1,0))),F81=""),"Group below highest individual: justify",IF(F81="","Rationale needed","OK")))))</f>
        <v/>
      </c>
    </row>
    <row r="82" customFormat="false" ht="15" hidden="false" customHeight="false" outlineLevel="0" collapsed="false">
      <c r="A82" s="16"/>
      <c r="B82" s="16"/>
      <c r="C82" s="16"/>
      <c r="D82" s="16"/>
      <c r="E82" s="16"/>
      <c r="F82" s="16"/>
      <c r="G82" s="17" t="str">
        <f aca="false">IF(A82="","",COUNTIF(Deficiency_Log!$P$5:$P$204,A82))</f>
        <v/>
      </c>
      <c r="H82" s="17" t="str">
        <f aca="false">IF(A82="","",IF(COUNTIFS(Deficiency_Log!$P$5:$P$204,A82,Deficiency_Log!$O$5:$O$204,"Material weakness")&gt;0,"Material weakness",IF(COUNTIFS(Deficiency_Log!$P$5:$P$204,A82,Deficiency_Log!$O$5:$O$204,"Significant deficiency")&gt;0,"Significant deficiency",IF(COUNTIFS(Deficiency_Log!$P$5:$P$204,A82,Deficiency_Log!$O$5:$O$204,"Control deficiency")&gt;0,"Control deficiency","—"))))</f>
        <v/>
      </c>
      <c r="I82" s="17" t="str">
        <f aca="false">IF(A82="","",IF(G82=0,"No DEF assigned to group",IF(E82="","Group severity needed",IF(AND(IF(E82="Material weakness",3,IF(E82="Significant deficiency",2,1))&lt;IF(H82="Material weakness",3,IF(H82="Significant deficiency",2,IF(H82="Control deficiency",1,0))),F82=""),"Group below highest individual: justify",IF(F82="","Rationale needed","OK")))))</f>
        <v/>
      </c>
    </row>
    <row r="83" customFormat="false" ht="15" hidden="false" customHeight="false" outlineLevel="0" collapsed="false">
      <c r="A83" s="16"/>
      <c r="B83" s="16"/>
      <c r="C83" s="16"/>
      <c r="D83" s="16"/>
      <c r="E83" s="16"/>
      <c r="F83" s="16"/>
      <c r="G83" s="17" t="str">
        <f aca="false">IF(A83="","",COUNTIF(Deficiency_Log!$P$5:$P$204,A83))</f>
        <v/>
      </c>
      <c r="H83" s="17" t="str">
        <f aca="false">IF(A83="","",IF(COUNTIFS(Deficiency_Log!$P$5:$P$204,A83,Deficiency_Log!$O$5:$O$204,"Material weakness")&gt;0,"Material weakness",IF(COUNTIFS(Deficiency_Log!$P$5:$P$204,A83,Deficiency_Log!$O$5:$O$204,"Significant deficiency")&gt;0,"Significant deficiency",IF(COUNTIFS(Deficiency_Log!$P$5:$P$204,A83,Deficiency_Log!$O$5:$O$204,"Control deficiency")&gt;0,"Control deficiency","—"))))</f>
        <v/>
      </c>
      <c r="I83" s="17" t="str">
        <f aca="false">IF(A83="","",IF(G83=0,"No DEF assigned to group",IF(E83="","Group severity needed",IF(AND(IF(E83="Material weakness",3,IF(E83="Significant deficiency",2,1))&lt;IF(H83="Material weakness",3,IF(H83="Significant deficiency",2,IF(H83="Control deficiency",1,0))),F83=""),"Group below highest individual: justify",IF(F83="","Rationale needed","OK")))))</f>
        <v/>
      </c>
    </row>
    <row r="84" customFormat="false" ht="15" hidden="false" customHeight="false" outlineLevel="0" collapsed="false">
      <c r="A84" s="16"/>
      <c r="B84" s="16"/>
      <c r="C84" s="16"/>
      <c r="D84" s="16"/>
      <c r="E84" s="16"/>
      <c r="F84" s="16"/>
      <c r="G84" s="17" t="str">
        <f aca="false">IF(A84="","",COUNTIF(Deficiency_Log!$P$5:$P$204,A84))</f>
        <v/>
      </c>
      <c r="H84" s="17" t="str">
        <f aca="false">IF(A84="","",IF(COUNTIFS(Deficiency_Log!$P$5:$P$204,A84,Deficiency_Log!$O$5:$O$204,"Material weakness")&gt;0,"Material weakness",IF(COUNTIFS(Deficiency_Log!$P$5:$P$204,A84,Deficiency_Log!$O$5:$O$204,"Significant deficiency")&gt;0,"Significant deficiency",IF(COUNTIFS(Deficiency_Log!$P$5:$P$204,A84,Deficiency_Log!$O$5:$O$204,"Control deficiency")&gt;0,"Control deficiency","—"))))</f>
        <v/>
      </c>
      <c r="I84" s="17" t="str">
        <f aca="false">IF(A84="","",IF(G84=0,"No DEF assigned to group",IF(E84="","Group severity needed",IF(AND(IF(E84="Material weakness",3,IF(E84="Significant deficiency",2,1))&lt;IF(H84="Material weakness",3,IF(H84="Significant deficiency",2,IF(H84="Control deficiency",1,0))),F84=""),"Group below highest individual: justify",IF(F84="","Rationale needed","OK")))))</f>
        <v/>
      </c>
    </row>
    <row r="85" customFormat="false" ht="15" hidden="false" customHeight="false" outlineLevel="0" collapsed="false">
      <c r="A85" s="16"/>
      <c r="B85" s="16"/>
      <c r="C85" s="16"/>
      <c r="D85" s="16"/>
      <c r="E85" s="16"/>
      <c r="F85" s="16"/>
      <c r="G85" s="17" t="str">
        <f aca="false">IF(A85="","",COUNTIF(Deficiency_Log!$P$5:$P$204,A85))</f>
        <v/>
      </c>
      <c r="H85" s="17" t="str">
        <f aca="false">IF(A85="","",IF(COUNTIFS(Deficiency_Log!$P$5:$P$204,A85,Deficiency_Log!$O$5:$O$204,"Material weakness")&gt;0,"Material weakness",IF(COUNTIFS(Deficiency_Log!$P$5:$P$204,A85,Deficiency_Log!$O$5:$O$204,"Significant deficiency")&gt;0,"Significant deficiency",IF(COUNTIFS(Deficiency_Log!$P$5:$P$204,A85,Deficiency_Log!$O$5:$O$204,"Control deficiency")&gt;0,"Control deficiency","—"))))</f>
        <v/>
      </c>
      <c r="I85" s="17" t="str">
        <f aca="false">IF(A85="","",IF(G85=0,"No DEF assigned to group",IF(E85="","Group severity needed",IF(AND(IF(E85="Material weakness",3,IF(E85="Significant deficiency",2,1))&lt;IF(H85="Material weakness",3,IF(H85="Significant deficiency",2,IF(H85="Control deficiency",1,0))),F85=""),"Group below highest individual: justify",IF(F85="","Rationale needed","OK")))))</f>
        <v/>
      </c>
    </row>
    <row r="86" customFormat="false" ht="15" hidden="false" customHeight="false" outlineLevel="0" collapsed="false">
      <c r="A86" s="16"/>
      <c r="B86" s="16"/>
      <c r="C86" s="16"/>
      <c r="D86" s="16"/>
      <c r="E86" s="16"/>
      <c r="F86" s="16"/>
      <c r="G86" s="17" t="str">
        <f aca="false">IF(A86="","",COUNTIF(Deficiency_Log!$P$5:$P$204,A86))</f>
        <v/>
      </c>
      <c r="H86" s="17" t="str">
        <f aca="false">IF(A86="","",IF(COUNTIFS(Deficiency_Log!$P$5:$P$204,A86,Deficiency_Log!$O$5:$O$204,"Material weakness")&gt;0,"Material weakness",IF(COUNTIFS(Deficiency_Log!$P$5:$P$204,A86,Deficiency_Log!$O$5:$O$204,"Significant deficiency")&gt;0,"Significant deficiency",IF(COUNTIFS(Deficiency_Log!$P$5:$P$204,A86,Deficiency_Log!$O$5:$O$204,"Control deficiency")&gt;0,"Control deficiency","—"))))</f>
        <v/>
      </c>
      <c r="I86" s="17" t="str">
        <f aca="false">IF(A86="","",IF(G86=0,"No DEF assigned to group",IF(E86="","Group severity needed",IF(AND(IF(E86="Material weakness",3,IF(E86="Significant deficiency",2,1))&lt;IF(H86="Material weakness",3,IF(H86="Significant deficiency",2,IF(H86="Control deficiency",1,0))),F86=""),"Group below highest individual: justify",IF(F86="","Rationale needed","OK")))))</f>
        <v/>
      </c>
    </row>
    <row r="87" customFormat="false" ht="15" hidden="false" customHeight="false" outlineLevel="0" collapsed="false">
      <c r="A87" s="16"/>
      <c r="B87" s="16"/>
      <c r="C87" s="16"/>
      <c r="D87" s="16"/>
      <c r="E87" s="16"/>
      <c r="F87" s="16"/>
      <c r="G87" s="17" t="str">
        <f aca="false">IF(A87="","",COUNTIF(Deficiency_Log!$P$5:$P$204,A87))</f>
        <v/>
      </c>
      <c r="H87" s="17" t="str">
        <f aca="false">IF(A87="","",IF(COUNTIFS(Deficiency_Log!$P$5:$P$204,A87,Deficiency_Log!$O$5:$O$204,"Material weakness")&gt;0,"Material weakness",IF(COUNTIFS(Deficiency_Log!$P$5:$P$204,A87,Deficiency_Log!$O$5:$O$204,"Significant deficiency")&gt;0,"Significant deficiency",IF(COUNTIFS(Deficiency_Log!$P$5:$P$204,A87,Deficiency_Log!$O$5:$O$204,"Control deficiency")&gt;0,"Control deficiency","—"))))</f>
        <v/>
      </c>
      <c r="I87" s="17" t="str">
        <f aca="false">IF(A87="","",IF(G87=0,"No DEF assigned to group",IF(E87="","Group severity needed",IF(AND(IF(E87="Material weakness",3,IF(E87="Significant deficiency",2,1))&lt;IF(H87="Material weakness",3,IF(H87="Significant deficiency",2,IF(H87="Control deficiency",1,0))),F87=""),"Group below highest individual: justify",IF(F87="","Rationale needed","OK")))))</f>
        <v/>
      </c>
    </row>
    <row r="88" customFormat="false" ht="15" hidden="false" customHeight="false" outlineLevel="0" collapsed="false">
      <c r="A88" s="16"/>
      <c r="B88" s="16"/>
      <c r="C88" s="16"/>
      <c r="D88" s="16"/>
      <c r="E88" s="16"/>
      <c r="F88" s="16"/>
      <c r="G88" s="17" t="str">
        <f aca="false">IF(A88="","",COUNTIF(Deficiency_Log!$P$5:$P$204,A88))</f>
        <v/>
      </c>
      <c r="H88" s="17" t="str">
        <f aca="false">IF(A88="","",IF(COUNTIFS(Deficiency_Log!$P$5:$P$204,A88,Deficiency_Log!$O$5:$O$204,"Material weakness")&gt;0,"Material weakness",IF(COUNTIFS(Deficiency_Log!$P$5:$P$204,A88,Deficiency_Log!$O$5:$O$204,"Significant deficiency")&gt;0,"Significant deficiency",IF(COUNTIFS(Deficiency_Log!$P$5:$P$204,A88,Deficiency_Log!$O$5:$O$204,"Control deficiency")&gt;0,"Control deficiency","—"))))</f>
        <v/>
      </c>
      <c r="I88" s="17" t="str">
        <f aca="false">IF(A88="","",IF(G88=0,"No DEF assigned to group",IF(E88="","Group severity needed",IF(AND(IF(E88="Material weakness",3,IF(E88="Significant deficiency",2,1))&lt;IF(H88="Material weakness",3,IF(H88="Significant deficiency",2,IF(H88="Control deficiency",1,0))),F88=""),"Group below highest individual: justify",IF(F88="","Rationale needed","OK")))))</f>
        <v/>
      </c>
    </row>
    <row r="89" customFormat="false" ht="15" hidden="false" customHeight="false" outlineLevel="0" collapsed="false">
      <c r="A89" s="16"/>
      <c r="B89" s="16"/>
      <c r="C89" s="16"/>
      <c r="D89" s="16"/>
      <c r="E89" s="16"/>
      <c r="F89" s="16"/>
      <c r="G89" s="17" t="str">
        <f aca="false">IF(A89="","",COUNTIF(Deficiency_Log!$P$5:$P$204,A89))</f>
        <v/>
      </c>
      <c r="H89" s="17" t="str">
        <f aca="false">IF(A89="","",IF(COUNTIFS(Deficiency_Log!$P$5:$P$204,A89,Deficiency_Log!$O$5:$O$204,"Material weakness")&gt;0,"Material weakness",IF(COUNTIFS(Deficiency_Log!$P$5:$P$204,A89,Deficiency_Log!$O$5:$O$204,"Significant deficiency")&gt;0,"Significant deficiency",IF(COUNTIFS(Deficiency_Log!$P$5:$P$204,A89,Deficiency_Log!$O$5:$O$204,"Control deficiency")&gt;0,"Control deficiency","—"))))</f>
        <v/>
      </c>
      <c r="I89" s="17" t="str">
        <f aca="false">IF(A89="","",IF(G89=0,"No DEF assigned to group",IF(E89="","Group severity needed",IF(AND(IF(E89="Material weakness",3,IF(E89="Significant deficiency",2,1))&lt;IF(H89="Material weakness",3,IF(H89="Significant deficiency",2,IF(H89="Control deficiency",1,0))),F89=""),"Group below highest individual: justify",IF(F89="","Rationale needed","OK")))))</f>
        <v/>
      </c>
    </row>
    <row r="90" customFormat="false" ht="15" hidden="false" customHeight="false" outlineLevel="0" collapsed="false">
      <c r="A90" s="16"/>
      <c r="B90" s="16"/>
      <c r="C90" s="16"/>
      <c r="D90" s="16"/>
      <c r="E90" s="16"/>
      <c r="F90" s="16"/>
      <c r="G90" s="17" t="str">
        <f aca="false">IF(A90="","",COUNTIF(Deficiency_Log!$P$5:$P$204,A90))</f>
        <v/>
      </c>
      <c r="H90" s="17" t="str">
        <f aca="false">IF(A90="","",IF(COUNTIFS(Deficiency_Log!$P$5:$P$204,A90,Deficiency_Log!$O$5:$O$204,"Material weakness")&gt;0,"Material weakness",IF(COUNTIFS(Deficiency_Log!$P$5:$P$204,A90,Deficiency_Log!$O$5:$O$204,"Significant deficiency")&gt;0,"Significant deficiency",IF(COUNTIFS(Deficiency_Log!$P$5:$P$204,A90,Deficiency_Log!$O$5:$O$204,"Control deficiency")&gt;0,"Control deficiency","—"))))</f>
        <v/>
      </c>
      <c r="I90" s="17" t="str">
        <f aca="false">IF(A90="","",IF(G90=0,"No DEF assigned to group",IF(E90="","Group severity needed",IF(AND(IF(E90="Material weakness",3,IF(E90="Significant deficiency",2,1))&lt;IF(H90="Material weakness",3,IF(H90="Significant deficiency",2,IF(H90="Control deficiency",1,0))),F90=""),"Group below highest individual: justify",IF(F90="","Rationale needed","OK")))))</f>
        <v/>
      </c>
    </row>
    <row r="91" customFormat="false" ht="15" hidden="false" customHeight="false" outlineLevel="0" collapsed="false">
      <c r="A91" s="16"/>
      <c r="B91" s="16"/>
      <c r="C91" s="16"/>
      <c r="D91" s="16"/>
      <c r="E91" s="16"/>
      <c r="F91" s="16"/>
      <c r="G91" s="17" t="str">
        <f aca="false">IF(A91="","",COUNTIF(Deficiency_Log!$P$5:$P$204,A91))</f>
        <v/>
      </c>
      <c r="H91" s="17" t="str">
        <f aca="false">IF(A91="","",IF(COUNTIFS(Deficiency_Log!$P$5:$P$204,A91,Deficiency_Log!$O$5:$O$204,"Material weakness")&gt;0,"Material weakness",IF(COUNTIFS(Deficiency_Log!$P$5:$P$204,A91,Deficiency_Log!$O$5:$O$204,"Significant deficiency")&gt;0,"Significant deficiency",IF(COUNTIFS(Deficiency_Log!$P$5:$P$204,A91,Deficiency_Log!$O$5:$O$204,"Control deficiency")&gt;0,"Control deficiency","—"))))</f>
        <v/>
      </c>
      <c r="I91" s="17" t="str">
        <f aca="false">IF(A91="","",IF(G91=0,"No DEF assigned to group",IF(E91="","Group severity needed",IF(AND(IF(E91="Material weakness",3,IF(E91="Significant deficiency",2,1))&lt;IF(H91="Material weakness",3,IF(H91="Significant deficiency",2,IF(H91="Control deficiency",1,0))),F91=""),"Group below highest individual: justify",IF(F91="","Rationale needed","OK")))))</f>
        <v/>
      </c>
    </row>
    <row r="92" customFormat="false" ht="15" hidden="false" customHeight="false" outlineLevel="0" collapsed="false">
      <c r="A92" s="16"/>
      <c r="B92" s="16"/>
      <c r="C92" s="16"/>
      <c r="D92" s="16"/>
      <c r="E92" s="16"/>
      <c r="F92" s="16"/>
      <c r="G92" s="17" t="str">
        <f aca="false">IF(A92="","",COUNTIF(Deficiency_Log!$P$5:$P$204,A92))</f>
        <v/>
      </c>
      <c r="H92" s="17" t="str">
        <f aca="false">IF(A92="","",IF(COUNTIFS(Deficiency_Log!$P$5:$P$204,A92,Deficiency_Log!$O$5:$O$204,"Material weakness")&gt;0,"Material weakness",IF(COUNTIFS(Deficiency_Log!$P$5:$P$204,A92,Deficiency_Log!$O$5:$O$204,"Significant deficiency")&gt;0,"Significant deficiency",IF(COUNTIFS(Deficiency_Log!$P$5:$P$204,A92,Deficiency_Log!$O$5:$O$204,"Control deficiency")&gt;0,"Control deficiency","—"))))</f>
        <v/>
      </c>
      <c r="I92" s="17" t="str">
        <f aca="false">IF(A92="","",IF(G92=0,"No DEF assigned to group",IF(E92="","Group severity needed",IF(AND(IF(E92="Material weakness",3,IF(E92="Significant deficiency",2,1))&lt;IF(H92="Material weakness",3,IF(H92="Significant deficiency",2,IF(H92="Control deficiency",1,0))),F92=""),"Group below highest individual: justify",IF(F92="","Rationale needed","OK")))))</f>
        <v/>
      </c>
    </row>
    <row r="93" customFormat="false" ht="15" hidden="false" customHeight="false" outlineLevel="0" collapsed="false">
      <c r="A93" s="16"/>
      <c r="B93" s="16"/>
      <c r="C93" s="16"/>
      <c r="D93" s="16"/>
      <c r="E93" s="16"/>
      <c r="F93" s="16"/>
      <c r="G93" s="17" t="str">
        <f aca="false">IF(A93="","",COUNTIF(Deficiency_Log!$P$5:$P$204,A93))</f>
        <v/>
      </c>
      <c r="H93" s="17" t="str">
        <f aca="false">IF(A93="","",IF(COUNTIFS(Deficiency_Log!$P$5:$P$204,A93,Deficiency_Log!$O$5:$O$204,"Material weakness")&gt;0,"Material weakness",IF(COUNTIFS(Deficiency_Log!$P$5:$P$204,A93,Deficiency_Log!$O$5:$O$204,"Significant deficiency")&gt;0,"Significant deficiency",IF(COUNTIFS(Deficiency_Log!$P$5:$P$204,A93,Deficiency_Log!$O$5:$O$204,"Control deficiency")&gt;0,"Control deficiency","—"))))</f>
        <v/>
      </c>
      <c r="I93" s="17" t="str">
        <f aca="false">IF(A93="","",IF(G93=0,"No DEF assigned to group",IF(E93="","Group severity needed",IF(AND(IF(E93="Material weakness",3,IF(E93="Significant deficiency",2,1))&lt;IF(H93="Material weakness",3,IF(H93="Significant deficiency",2,IF(H93="Control deficiency",1,0))),F93=""),"Group below highest individual: justify",IF(F93="","Rationale needed","OK")))))</f>
        <v/>
      </c>
    </row>
    <row r="94" customFormat="false" ht="15" hidden="false" customHeight="false" outlineLevel="0" collapsed="false">
      <c r="A94" s="16"/>
      <c r="B94" s="16"/>
      <c r="C94" s="16"/>
      <c r="D94" s="16"/>
      <c r="E94" s="16"/>
      <c r="F94" s="16"/>
      <c r="G94" s="17" t="str">
        <f aca="false">IF(A94="","",COUNTIF(Deficiency_Log!$P$5:$P$204,A94))</f>
        <v/>
      </c>
      <c r="H94" s="17" t="str">
        <f aca="false">IF(A94="","",IF(COUNTIFS(Deficiency_Log!$P$5:$P$204,A94,Deficiency_Log!$O$5:$O$204,"Material weakness")&gt;0,"Material weakness",IF(COUNTIFS(Deficiency_Log!$P$5:$P$204,A94,Deficiency_Log!$O$5:$O$204,"Significant deficiency")&gt;0,"Significant deficiency",IF(COUNTIFS(Deficiency_Log!$P$5:$P$204,A94,Deficiency_Log!$O$5:$O$204,"Control deficiency")&gt;0,"Control deficiency","—"))))</f>
        <v/>
      </c>
      <c r="I94" s="17" t="str">
        <f aca="false">IF(A94="","",IF(G94=0,"No DEF assigned to group",IF(E94="","Group severity needed",IF(AND(IF(E94="Material weakness",3,IF(E94="Significant deficiency",2,1))&lt;IF(H94="Material weakness",3,IF(H94="Significant deficiency",2,IF(H94="Control deficiency",1,0))),F94=""),"Group below highest individual: justify",IF(F94="","Rationale needed","OK")))))</f>
        <v/>
      </c>
    </row>
    <row r="95" customFormat="false" ht="15" hidden="false" customHeight="false" outlineLevel="0" collapsed="false">
      <c r="A95" s="16"/>
      <c r="B95" s="16"/>
      <c r="C95" s="16"/>
      <c r="D95" s="16"/>
      <c r="E95" s="16"/>
      <c r="F95" s="16"/>
      <c r="G95" s="17" t="str">
        <f aca="false">IF(A95="","",COUNTIF(Deficiency_Log!$P$5:$P$204,A95))</f>
        <v/>
      </c>
      <c r="H95" s="17" t="str">
        <f aca="false">IF(A95="","",IF(COUNTIFS(Deficiency_Log!$P$5:$P$204,A95,Deficiency_Log!$O$5:$O$204,"Material weakness")&gt;0,"Material weakness",IF(COUNTIFS(Deficiency_Log!$P$5:$P$204,A95,Deficiency_Log!$O$5:$O$204,"Significant deficiency")&gt;0,"Significant deficiency",IF(COUNTIFS(Deficiency_Log!$P$5:$P$204,A95,Deficiency_Log!$O$5:$O$204,"Control deficiency")&gt;0,"Control deficiency","—"))))</f>
        <v/>
      </c>
      <c r="I95" s="17" t="str">
        <f aca="false">IF(A95="","",IF(G95=0,"No DEF assigned to group",IF(E95="","Group severity needed",IF(AND(IF(E95="Material weakness",3,IF(E95="Significant deficiency",2,1))&lt;IF(H95="Material weakness",3,IF(H95="Significant deficiency",2,IF(H95="Control deficiency",1,0))),F95=""),"Group below highest individual: justify",IF(F95="","Rationale needed","OK")))))</f>
        <v/>
      </c>
    </row>
    <row r="96" customFormat="false" ht="15" hidden="false" customHeight="false" outlineLevel="0" collapsed="false">
      <c r="A96" s="16"/>
      <c r="B96" s="16"/>
      <c r="C96" s="16"/>
      <c r="D96" s="16"/>
      <c r="E96" s="16"/>
      <c r="F96" s="16"/>
      <c r="G96" s="17" t="str">
        <f aca="false">IF(A96="","",COUNTIF(Deficiency_Log!$P$5:$P$204,A96))</f>
        <v/>
      </c>
      <c r="H96" s="17" t="str">
        <f aca="false">IF(A96="","",IF(COUNTIFS(Deficiency_Log!$P$5:$P$204,A96,Deficiency_Log!$O$5:$O$204,"Material weakness")&gt;0,"Material weakness",IF(COUNTIFS(Deficiency_Log!$P$5:$P$204,A96,Deficiency_Log!$O$5:$O$204,"Significant deficiency")&gt;0,"Significant deficiency",IF(COUNTIFS(Deficiency_Log!$P$5:$P$204,A96,Deficiency_Log!$O$5:$O$204,"Control deficiency")&gt;0,"Control deficiency","—"))))</f>
        <v/>
      </c>
      <c r="I96" s="17" t="str">
        <f aca="false">IF(A96="","",IF(G96=0,"No DEF assigned to group",IF(E96="","Group severity needed",IF(AND(IF(E96="Material weakness",3,IF(E96="Significant deficiency",2,1))&lt;IF(H96="Material weakness",3,IF(H96="Significant deficiency",2,IF(H96="Control deficiency",1,0))),F96=""),"Group below highest individual: justify",IF(F96="","Rationale needed","OK")))))</f>
        <v/>
      </c>
    </row>
    <row r="97" customFormat="false" ht="15" hidden="false" customHeight="false" outlineLevel="0" collapsed="false">
      <c r="A97" s="16"/>
      <c r="B97" s="16"/>
      <c r="C97" s="16"/>
      <c r="D97" s="16"/>
      <c r="E97" s="16"/>
      <c r="F97" s="16"/>
      <c r="G97" s="17" t="str">
        <f aca="false">IF(A97="","",COUNTIF(Deficiency_Log!$P$5:$P$204,A97))</f>
        <v/>
      </c>
      <c r="H97" s="17" t="str">
        <f aca="false">IF(A97="","",IF(COUNTIFS(Deficiency_Log!$P$5:$P$204,A97,Deficiency_Log!$O$5:$O$204,"Material weakness")&gt;0,"Material weakness",IF(COUNTIFS(Deficiency_Log!$P$5:$P$204,A97,Deficiency_Log!$O$5:$O$204,"Significant deficiency")&gt;0,"Significant deficiency",IF(COUNTIFS(Deficiency_Log!$P$5:$P$204,A97,Deficiency_Log!$O$5:$O$204,"Control deficiency")&gt;0,"Control deficiency","—"))))</f>
        <v/>
      </c>
      <c r="I97" s="17" t="str">
        <f aca="false">IF(A97="","",IF(G97=0,"No DEF assigned to group",IF(E97="","Group severity needed",IF(AND(IF(E97="Material weakness",3,IF(E97="Significant deficiency",2,1))&lt;IF(H97="Material weakness",3,IF(H97="Significant deficiency",2,IF(H97="Control deficiency",1,0))),F97=""),"Group below highest individual: justify",IF(F97="","Rationale needed","OK")))))</f>
        <v/>
      </c>
    </row>
    <row r="98" customFormat="false" ht="15" hidden="false" customHeight="false" outlineLevel="0" collapsed="false">
      <c r="A98" s="16"/>
      <c r="B98" s="16"/>
      <c r="C98" s="16"/>
      <c r="D98" s="16"/>
      <c r="E98" s="16"/>
      <c r="F98" s="16"/>
      <c r="G98" s="17" t="str">
        <f aca="false">IF(A98="","",COUNTIF(Deficiency_Log!$P$5:$P$204,A98))</f>
        <v/>
      </c>
      <c r="H98" s="17" t="str">
        <f aca="false">IF(A98="","",IF(COUNTIFS(Deficiency_Log!$P$5:$P$204,A98,Deficiency_Log!$O$5:$O$204,"Material weakness")&gt;0,"Material weakness",IF(COUNTIFS(Deficiency_Log!$P$5:$P$204,A98,Deficiency_Log!$O$5:$O$204,"Significant deficiency")&gt;0,"Significant deficiency",IF(COUNTIFS(Deficiency_Log!$P$5:$P$204,A98,Deficiency_Log!$O$5:$O$204,"Control deficiency")&gt;0,"Control deficiency","—"))))</f>
        <v/>
      </c>
      <c r="I98" s="17" t="str">
        <f aca="false">IF(A98="","",IF(G98=0,"No DEF assigned to group",IF(E98="","Group severity needed",IF(AND(IF(E98="Material weakness",3,IF(E98="Significant deficiency",2,1))&lt;IF(H98="Material weakness",3,IF(H98="Significant deficiency",2,IF(H98="Control deficiency",1,0))),F98=""),"Group below highest individual: justify",IF(F98="","Rationale needed","OK")))))</f>
        <v/>
      </c>
    </row>
    <row r="99" customFormat="false" ht="15" hidden="false" customHeight="false" outlineLevel="0" collapsed="false">
      <c r="A99" s="16"/>
      <c r="B99" s="16"/>
      <c r="C99" s="16"/>
      <c r="D99" s="16"/>
      <c r="E99" s="16"/>
      <c r="F99" s="16"/>
      <c r="G99" s="17" t="str">
        <f aca="false">IF(A99="","",COUNTIF(Deficiency_Log!$P$5:$P$204,A99))</f>
        <v/>
      </c>
      <c r="H99" s="17" t="str">
        <f aca="false">IF(A99="","",IF(COUNTIFS(Deficiency_Log!$P$5:$P$204,A99,Deficiency_Log!$O$5:$O$204,"Material weakness")&gt;0,"Material weakness",IF(COUNTIFS(Deficiency_Log!$P$5:$P$204,A99,Deficiency_Log!$O$5:$O$204,"Significant deficiency")&gt;0,"Significant deficiency",IF(COUNTIFS(Deficiency_Log!$P$5:$P$204,A99,Deficiency_Log!$O$5:$O$204,"Control deficiency")&gt;0,"Control deficiency","—"))))</f>
        <v/>
      </c>
      <c r="I99" s="17" t="str">
        <f aca="false">IF(A99="","",IF(G99=0,"No DEF assigned to group",IF(E99="","Group severity needed",IF(AND(IF(E99="Material weakness",3,IF(E99="Significant deficiency",2,1))&lt;IF(H99="Material weakness",3,IF(H99="Significant deficiency",2,IF(H99="Control deficiency",1,0))),F99=""),"Group below highest individual: justify",IF(F99="","Rationale needed","OK")))))</f>
        <v/>
      </c>
    </row>
    <row r="100" customFormat="false" ht="15" hidden="false" customHeight="false" outlineLevel="0" collapsed="false">
      <c r="A100" s="16"/>
      <c r="B100" s="16"/>
      <c r="C100" s="16"/>
      <c r="D100" s="16"/>
      <c r="E100" s="16"/>
      <c r="F100" s="16"/>
      <c r="G100" s="17" t="str">
        <f aca="false">IF(A100="","",COUNTIF(Deficiency_Log!$P$5:$P$204,A100))</f>
        <v/>
      </c>
      <c r="H100" s="17" t="str">
        <f aca="false">IF(A100="","",IF(COUNTIFS(Deficiency_Log!$P$5:$P$204,A100,Deficiency_Log!$O$5:$O$204,"Material weakness")&gt;0,"Material weakness",IF(COUNTIFS(Deficiency_Log!$P$5:$P$204,A100,Deficiency_Log!$O$5:$O$204,"Significant deficiency")&gt;0,"Significant deficiency",IF(COUNTIFS(Deficiency_Log!$P$5:$P$204,A100,Deficiency_Log!$O$5:$O$204,"Control deficiency")&gt;0,"Control deficiency","—"))))</f>
        <v/>
      </c>
      <c r="I100" s="17" t="str">
        <f aca="false">IF(A100="","",IF(G100=0,"No DEF assigned to group",IF(E100="","Group severity needed",IF(AND(IF(E100="Material weakness",3,IF(E100="Significant deficiency",2,1))&lt;IF(H100="Material weakness",3,IF(H100="Significant deficiency",2,IF(H100="Control deficiency",1,0))),F100=""),"Group below highest individual: justify",IF(F100="","Rationale needed","OK")))))</f>
        <v/>
      </c>
    </row>
    <row r="101" customFormat="false" ht="15" hidden="false" customHeight="false" outlineLevel="0" collapsed="false">
      <c r="A101" s="16"/>
      <c r="B101" s="16"/>
      <c r="C101" s="16"/>
      <c r="D101" s="16"/>
      <c r="E101" s="16"/>
      <c r="F101" s="16"/>
      <c r="G101" s="17" t="str">
        <f aca="false">IF(A101="","",COUNTIF(Deficiency_Log!$P$5:$P$204,A101))</f>
        <v/>
      </c>
      <c r="H101" s="17" t="str">
        <f aca="false">IF(A101="","",IF(COUNTIFS(Deficiency_Log!$P$5:$P$204,A101,Deficiency_Log!$O$5:$O$204,"Material weakness")&gt;0,"Material weakness",IF(COUNTIFS(Deficiency_Log!$P$5:$P$204,A101,Deficiency_Log!$O$5:$O$204,"Significant deficiency")&gt;0,"Significant deficiency",IF(COUNTIFS(Deficiency_Log!$P$5:$P$204,A101,Deficiency_Log!$O$5:$O$204,"Control deficiency")&gt;0,"Control deficiency","—"))))</f>
        <v/>
      </c>
      <c r="I101" s="17" t="str">
        <f aca="false">IF(A101="","",IF(G101=0,"No DEF assigned to group",IF(E101="","Group severity needed",IF(AND(IF(E101="Material weakness",3,IF(E101="Significant deficiency",2,1))&lt;IF(H101="Material weakness",3,IF(H101="Significant deficiency",2,IF(H101="Control deficiency",1,0))),F101=""),"Group below highest individual: justify",IF(F101="","Rationale needed","OK")))))</f>
        <v/>
      </c>
    </row>
    <row r="102" customFormat="false" ht="15" hidden="false" customHeight="false" outlineLevel="0" collapsed="false">
      <c r="A102" s="16"/>
      <c r="B102" s="16"/>
      <c r="C102" s="16"/>
      <c r="D102" s="16"/>
      <c r="E102" s="16"/>
      <c r="F102" s="16"/>
      <c r="G102" s="17" t="str">
        <f aca="false">IF(A102="","",COUNTIF(Deficiency_Log!$P$5:$P$204,A102))</f>
        <v/>
      </c>
      <c r="H102" s="17" t="str">
        <f aca="false">IF(A102="","",IF(COUNTIFS(Deficiency_Log!$P$5:$P$204,A102,Deficiency_Log!$O$5:$O$204,"Material weakness")&gt;0,"Material weakness",IF(COUNTIFS(Deficiency_Log!$P$5:$P$204,A102,Deficiency_Log!$O$5:$O$204,"Significant deficiency")&gt;0,"Significant deficiency",IF(COUNTIFS(Deficiency_Log!$P$5:$P$204,A102,Deficiency_Log!$O$5:$O$204,"Control deficiency")&gt;0,"Control deficiency","—"))))</f>
        <v/>
      </c>
      <c r="I102" s="17" t="str">
        <f aca="false">IF(A102="","",IF(G102=0,"No DEF assigned to group",IF(E102="","Group severity needed",IF(AND(IF(E102="Material weakness",3,IF(E102="Significant deficiency",2,1))&lt;IF(H102="Material weakness",3,IF(H102="Significant deficiency",2,IF(H102="Control deficiency",1,0))),F102=""),"Group below highest individual: justify",IF(F102="","Rationale needed","OK")))))</f>
        <v/>
      </c>
    </row>
    <row r="103" customFormat="false" ht="15" hidden="false" customHeight="false" outlineLevel="0" collapsed="false">
      <c r="A103" s="16"/>
      <c r="B103" s="16"/>
      <c r="C103" s="16"/>
      <c r="D103" s="16"/>
      <c r="E103" s="16"/>
      <c r="F103" s="16"/>
      <c r="G103" s="17" t="str">
        <f aca="false">IF(A103="","",COUNTIF(Deficiency_Log!$P$5:$P$204,A103))</f>
        <v/>
      </c>
      <c r="H103" s="17" t="str">
        <f aca="false">IF(A103="","",IF(COUNTIFS(Deficiency_Log!$P$5:$P$204,A103,Deficiency_Log!$O$5:$O$204,"Material weakness")&gt;0,"Material weakness",IF(COUNTIFS(Deficiency_Log!$P$5:$P$204,A103,Deficiency_Log!$O$5:$O$204,"Significant deficiency")&gt;0,"Significant deficiency",IF(COUNTIFS(Deficiency_Log!$P$5:$P$204,A103,Deficiency_Log!$O$5:$O$204,"Control deficiency")&gt;0,"Control deficiency","—"))))</f>
        <v/>
      </c>
      <c r="I103" s="17" t="str">
        <f aca="false">IF(A103="","",IF(G103=0,"No DEF assigned to group",IF(E103="","Group severity needed",IF(AND(IF(E103="Material weakness",3,IF(E103="Significant deficiency",2,1))&lt;IF(H103="Material weakness",3,IF(H103="Significant deficiency",2,IF(H103="Control deficiency",1,0))),F103=""),"Group below highest individual: justify",IF(F103="","Rationale needed","OK")))))</f>
        <v/>
      </c>
    </row>
    <row r="104" customFormat="false" ht="15" hidden="false" customHeight="false" outlineLevel="0" collapsed="false">
      <c r="A104" s="16"/>
      <c r="B104" s="16"/>
      <c r="C104" s="16"/>
      <c r="D104" s="16"/>
      <c r="E104" s="16"/>
      <c r="F104" s="16"/>
      <c r="G104" s="17" t="str">
        <f aca="false">IF(A104="","",COUNTIF(Deficiency_Log!$P$5:$P$204,A104))</f>
        <v/>
      </c>
      <c r="H104" s="17" t="str">
        <f aca="false">IF(A104="","",IF(COUNTIFS(Deficiency_Log!$P$5:$P$204,A104,Deficiency_Log!$O$5:$O$204,"Material weakness")&gt;0,"Material weakness",IF(COUNTIFS(Deficiency_Log!$P$5:$P$204,A104,Deficiency_Log!$O$5:$O$204,"Significant deficiency")&gt;0,"Significant deficiency",IF(COUNTIFS(Deficiency_Log!$P$5:$P$204,A104,Deficiency_Log!$O$5:$O$204,"Control deficiency")&gt;0,"Control deficiency","—"))))</f>
        <v/>
      </c>
      <c r="I104" s="17" t="str">
        <f aca="false">IF(A104="","",IF(G104=0,"No DEF assigned to group",IF(E104="","Group severity needed",IF(AND(IF(E104="Material weakness",3,IF(E104="Significant deficiency",2,1))&lt;IF(H104="Material weakness",3,IF(H104="Significant deficiency",2,IF(H104="Control deficiency",1,0))),F104=""),"Group below highest individual: justify",IF(F104="","Rationale needed","OK")))))</f>
        <v/>
      </c>
    </row>
    <row r="105" customFormat="false" ht="15" hidden="false" customHeight="false" outlineLevel="0" collapsed="false">
      <c r="A105" s="16"/>
      <c r="B105" s="16"/>
      <c r="C105" s="16"/>
      <c r="D105" s="16"/>
      <c r="E105" s="16"/>
      <c r="F105" s="16"/>
      <c r="G105" s="17" t="str">
        <f aca="false">IF(A105="","",COUNTIF(Deficiency_Log!$P$5:$P$204,A105))</f>
        <v/>
      </c>
      <c r="H105" s="17" t="str">
        <f aca="false">IF(A105="","",IF(COUNTIFS(Deficiency_Log!$P$5:$P$204,A105,Deficiency_Log!$O$5:$O$204,"Material weakness")&gt;0,"Material weakness",IF(COUNTIFS(Deficiency_Log!$P$5:$P$204,A105,Deficiency_Log!$O$5:$O$204,"Significant deficiency")&gt;0,"Significant deficiency",IF(COUNTIFS(Deficiency_Log!$P$5:$P$204,A105,Deficiency_Log!$O$5:$O$204,"Control deficiency")&gt;0,"Control deficiency","—"))))</f>
        <v/>
      </c>
      <c r="I105" s="17" t="str">
        <f aca="false">IF(A105="","",IF(G105=0,"No DEF assigned to group",IF(E105="","Group severity needed",IF(AND(IF(E105="Material weakness",3,IF(E105="Significant deficiency",2,1))&lt;IF(H105="Material weakness",3,IF(H105="Significant deficiency",2,IF(H105="Control deficiency",1,0))),F105=""),"Group below highest individual: justify",IF(F105="","Rationale needed","OK")))))</f>
        <v/>
      </c>
    </row>
    <row r="106" customFormat="false" ht="15" hidden="false" customHeight="false" outlineLevel="0" collapsed="false">
      <c r="A106" s="16"/>
      <c r="B106" s="16"/>
      <c r="C106" s="16"/>
      <c r="D106" s="16"/>
      <c r="E106" s="16"/>
      <c r="F106" s="16"/>
      <c r="G106" s="17" t="str">
        <f aca="false">IF(A106="","",COUNTIF(Deficiency_Log!$P$5:$P$204,A106))</f>
        <v/>
      </c>
      <c r="H106" s="17" t="str">
        <f aca="false">IF(A106="","",IF(COUNTIFS(Deficiency_Log!$P$5:$P$204,A106,Deficiency_Log!$O$5:$O$204,"Material weakness")&gt;0,"Material weakness",IF(COUNTIFS(Deficiency_Log!$P$5:$P$204,A106,Deficiency_Log!$O$5:$O$204,"Significant deficiency")&gt;0,"Significant deficiency",IF(COUNTIFS(Deficiency_Log!$P$5:$P$204,A106,Deficiency_Log!$O$5:$O$204,"Control deficiency")&gt;0,"Control deficiency","—"))))</f>
        <v/>
      </c>
      <c r="I106" s="17" t="str">
        <f aca="false">IF(A106="","",IF(G106=0,"No DEF assigned to group",IF(E106="","Group severity needed",IF(AND(IF(E106="Material weakness",3,IF(E106="Significant deficiency",2,1))&lt;IF(H106="Material weakness",3,IF(H106="Significant deficiency",2,IF(H106="Control deficiency",1,0))),F106=""),"Group below highest individual: justify",IF(F106="","Rationale needed","OK")))))</f>
        <v/>
      </c>
    </row>
    <row r="107" customFormat="false" ht="15" hidden="false" customHeight="false" outlineLevel="0" collapsed="false">
      <c r="A107" s="16"/>
      <c r="B107" s="16"/>
      <c r="C107" s="16"/>
      <c r="D107" s="16"/>
      <c r="E107" s="16"/>
      <c r="F107" s="16"/>
      <c r="G107" s="17" t="str">
        <f aca="false">IF(A107="","",COUNTIF(Deficiency_Log!$P$5:$P$204,A107))</f>
        <v/>
      </c>
      <c r="H107" s="17" t="str">
        <f aca="false">IF(A107="","",IF(COUNTIFS(Deficiency_Log!$P$5:$P$204,A107,Deficiency_Log!$O$5:$O$204,"Material weakness")&gt;0,"Material weakness",IF(COUNTIFS(Deficiency_Log!$P$5:$P$204,A107,Deficiency_Log!$O$5:$O$204,"Significant deficiency")&gt;0,"Significant deficiency",IF(COUNTIFS(Deficiency_Log!$P$5:$P$204,A107,Deficiency_Log!$O$5:$O$204,"Control deficiency")&gt;0,"Control deficiency","—"))))</f>
        <v/>
      </c>
      <c r="I107" s="17" t="str">
        <f aca="false">IF(A107="","",IF(G107=0,"No DEF assigned to group",IF(E107="","Group severity needed",IF(AND(IF(E107="Material weakness",3,IF(E107="Significant deficiency",2,1))&lt;IF(H107="Material weakness",3,IF(H107="Significant deficiency",2,IF(H107="Control deficiency",1,0))),F107=""),"Group below highest individual: justify",IF(F107="","Rationale needed","OK")))))</f>
        <v/>
      </c>
    </row>
    <row r="108" customFormat="false" ht="15" hidden="false" customHeight="false" outlineLevel="0" collapsed="false">
      <c r="A108" s="16"/>
      <c r="B108" s="16"/>
      <c r="C108" s="16"/>
      <c r="D108" s="16"/>
      <c r="E108" s="16"/>
      <c r="F108" s="16"/>
      <c r="G108" s="17" t="str">
        <f aca="false">IF(A108="","",COUNTIF(Deficiency_Log!$P$5:$P$204,A108))</f>
        <v/>
      </c>
      <c r="H108" s="17" t="str">
        <f aca="false">IF(A108="","",IF(COUNTIFS(Deficiency_Log!$P$5:$P$204,A108,Deficiency_Log!$O$5:$O$204,"Material weakness")&gt;0,"Material weakness",IF(COUNTIFS(Deficiency_Log!$P$5:$P$204,A108,Deficiency_Log!$O$5:$O$204,"Significant deficiency")&gt;0,"Significant deficiency",IF(COUNTIFS(Deficiency_Log!$P$5:$P$204,A108,Deficiency_Log!$O$5:$O$204,"Control deficiency")&gt;0,"Control deficiency","—"))))</f>
        <v/>
      </c>
      <c r="I108" s="17" t="str">
        <f aca="false">IF(A108="","",IF(G108=0,"No DEF assigned to group",IF(E108="","Group severity needed",IF(AND(IF(E108="Material weakness",3,IF(E108="Significant deficiency",2,1))&lt;IF(H108="Material weakness",3,IF(H108="Significant deficiency",2,IF(H108="Control deficiency",1,0))),F108=""),"Group below highest individual: justify",IF(F108="","Rationale needed","OK")))))</f>
        <v/>
      </c>
    </row>
    <row r="109" customFormat="false" ht="15" hidden="false" customHeight="false" outlineLevel="0" collapsed="false">
      <c r="A109" s="16"/>
      <c r="B109" s="16"/>
      <c r="C109" s="16"/>
      <c r="D109" s="16"/>
      <c r="E109" s="16"/>
      <c r="F109" s="16"/>
      <c r="G109" s="17" t="str">
        <f aca="false">IF(A109="","",COUNTIF(Deficiency_Log!$P$5:$P$204,A109))</f>
        <v/>
      </c>
      <c r="H109" s="17" t="str">
        <f aca="false">IF(A109="","",IF(COUNTIFS(Deficiency_Log!$P$5:$P$204,A109,Deficiency_Log!$O$5:$O$204,"Material weakness")&gt;0,"Material weakness",IF(COUNTIFS(Deficiency_Log!$P$5:$P$204,A109,Deficiency_Log!$O$5:$O$204,"Significant deficiency")&gt;0,"Significant deficiency",IF(COUNTIFS(Deficiency_Log!$P$5:$P$204,A109,Deficiency_Log!$O$5:$O$204,"Control deficiency")&gt;0,"Control deficiency","—"))))</f>
        <v/>
      </c>
      <c r="I109" s="17" t="str">
        <f aca="false">IF(A109="","",IF(G109=0,"No DEF assigned to group",IF(E109="","Group severity needed",IF(AND(IF(E109="Material weakness",3,IF(E109="Significant deficiency",2,1))&lt;IF(H109="Material weakness",3,IF(H109="Significant deficiency",2,IF(H109="Control deficiency",1,0))),F109=""),"Group below highest individual: justify",IF(F109="","Rationale needed","OK")))))</f>
        <v/>
      </c>
    </row>
    <row r="110" customFormat="false" ht="15" hidden="false" customHeight="false" outlineLevel="0" collapsed="false">
      <c r="A110" s="16"/>
      <c r="B110" s="16"/>
      <c r="C110" s="16"/>
      <c r="D110" s="16"/>
      <c r="E110" s="16"/>
      <c r="F110" s="16"/>
      <c r="G110" s="17" t="str">
        <f aca="false">IF(A110="","",COUNTIF(Deficiency_Log!$P$5:$P$204,A110))</f>
        <v/>
      </c>
      <c r="H110" s="17" t="str">
        <f aca="false">IF(A110="","",IF(COUNTIFS(Deficiency_Log!$P$5:$P$204,A110,Deficiency_Log!$O$5:$O$204,"Material weakness")&gt;0,"Material weakness",IF(COUNTIFS(Deficiency_Log!$P$5:$P$204,A110,Deficiency_Log!$O$5:$O$204,"Significant deficiency")&gt;0,"Significant deficiency",IF(COUNTIFS(Deficiency_Log!$P$5:$P$204,A110,Deficiency_Log!$O$5:$O$204,"Control deficiency")&gt;0,"Control deficiency","—"))))</f>
        <v/>
      </c>
      <c r="I110" s="17" t="str">
        <f aca="false">IF(A110="","",IF(G110=0,"No DEF assigned to group",IF(E110="","Group severity needed",IF(AND(IF(E110="Material weakness",3,IF(E110="Significant deficiency",2,1))&lt;IF(H110="Material weakness",3,IF(H110="Significant deficiency",2,IF(H110="Control deficiency",1,0))),F110=""),"Group below highest individual: justify",IF(F110="","Rationale needed","OK")))))</f>
        <v/>
      </c>
    </row>
    <row r="111" customFormat="false" ht="15" hidden="false" customHeight="false" outlineLevel="0" collapsed="false">
      <c r="A111" s="16"/>
      <c r="B111" s="16"/>
      <c r="C111" s="16"/>
      <c r="D111" s="16"/>
      <c r="E111" s="16"/>
      <c r="F111" s="16"/>
      <c r="G111" s="17" t="str">
        <f aca="false">IF(A111="","",COUNTIF(Deficiency_Log!$P$5:$P$204,A111))</f>
        <v/>
      </c>
      <c r="H111" s="17" t="str">
        <f aca="false">IF(A111="","",IF(COUNTIFS(Deficiency_Log!$P$5:$P$204,A111,Deficiency_Log!$O$5:$O$204,"Material weakness")&gt;0,"Material weakness",IF(COUNTIFS(Deficiency_Log!$P$5:$P$204,A111,Deficiency_Log!$O$5:$O$204,"Significant deficiency")&gt;0,"Significant deficiency",IF(COUNTIFS(Deficiency_Log!$P$5:$P$204,A111,Deficiency_Log!$O$5:$O$204,"Control deficiency")&gt;0,"Control deficiency","—"))))</f>
        <v/>
      </c>
      <c r="I111" s="17" t="str">
        <f aca="false">IF(A111="","",IF(G111=0,"No DEF assigned to group",IF(E111="","Group severity needed",IF(AND(IF(E111="Material weakness",3,IF(E111="Significant deficiency",2,1))&lt;IF(H111="Material weakness",3,IF(H111="Significant deficiency",2,IF(H111="Control deficiency",1,0))),F111=""),"Group below highest individual: justify",IF(F111="","Rationale needed","OK")))))</f>
        <v/>
      </c>
    </row>
    <row r="112" customFormat="false" ht="15" hidden="false" customHeight="false" outlineLevel="0" collapsed="false">
      <c r="A112" s="16"/>
      <c r="B112" s="16"/>
      <c r="C112" s="16"/>
      <c r="D112" s="16"/>
      <c r="E112" s="16"/>
      <c r="F112" s="16"/>
      <c r="G112" s="17" t="str">
        <f aca="false">IF(A112="","",COUNTIF(Deficiency_Log!$P$5:$P$204,A112))</f>
        <v/>
      </c>
      <c r="H112" s="17" t="str">
        <f aca="false">IF(A112="","",IF(COUNTIFS(Deficiency_Log!$P$5:$P$204,A112,Deficiency_Log!$O$5:$O$204,"Material weakness")&gt;0,"Material weakness",IF(COUNTIFS(Deficiency_Log!$P$5:$P$204,A112,Deficiency_Log!$O$5:$O$204,"Significant deficiency")&gt;0,"Significant deficiency",IF(COUNTIFS(Deficiency_Log!$P$5:$P$204,A112,Deficiency_Log!$O$5:$O$204,"Control deficiency")&gt;0,"Control deficiency","—"))))</f>
        <v/>
      </c>
      <c r="I112" s="17" t="str">
        <f aca="false">IF(A112="","",IF(G112=0,"No DEF assigned to group",IF(E112="","Group severity needed",IF(AND(IF(E112="Material weakness",3,IF(E112="Significant deficiency",2,1))&lt;IF(H112="Material weakness",3,IF(H112="Significant deficiency",2,IF(H112="Control deficiency",1,0))),F112=""),"Group below highest individual: justify",IF(F112="","Rationale needed","OK")))))</f>
        <v/>
      </c>
    </row>
    <row r="113" customFormat="false" ht="15" hidden="false" customHeight="false" outlineLevel="0" collapsed="false">
      <c r="A113" s="16"/>
      <c r="B113" s="16"/>
      <c r="C113" s="16"/>
      <c r="D113" s="16"/>
      <c r="E113" s="16"/>
      <c r="F113" s="16"/>
      <c r="G113" s="17" t="str">
        <f aca="false">IF(A113="","",COUNTIF(Deficiency_Log!$P$5:$P$204,A113))</f>
        <v/>
      </c>
      <c r="H113" s="17" t="str">
        <f aca="false">IF(A113="","",IF(COUNTIFS(Deficiency_Log!$P$5:$P$204,A113,Deficiency_Log!$O$5:$O$204,"Material weakness")&gt;0,"Material weakness",IF(COUNTIFS(Deficiency_Log!$P$5:$P$204,A113,Deficiency_Log!$O$5:$O$204,"Significant deficiency")&gt;0,"Significant deficiency",IF(COUNTIFS(Deficiency_Log!$P$5:$P$204,A113,Deficiency_Log!$O$5:$O$204,"Control deficiency")&gt;0,"Control deficiency","—"))))</f>
        <v/>
      </c>
      <c r="I113" s="17" t="str">
        <f aca="false">IF(A113="","",IF(G113=0,"No DEF assigned to group",IF(E113="","Group severity needed",IF(AND(IF(E113="Material weakness",3,IF(E113="Significant deficiency",2,1))&lt;IF(H113="Material weakness",3,IF(H113="Significant deficiency",2,IF(H113="Control deficiency",1,0))),F113=""),"Group below highest individual: justify",IF(F113="","Rationale needed","OK")))))</f>
        <v/>
      </c>
    </row>
    <row r="114" customFormat="false" ht="15" hidden="false" customHeight="false" outlineLevel="0" collapsed="false">
      <c r="A114" s="16"/>
      <c r="B114" s="16"/>
      <c r="C114" s="16"/>
      <c r="D114" s="16"/>
      <c r="E114" s="16"/>
      <c r="F114" s="16"/>
      <c r="G114" s="17" t="str">
        <f aca="false">IF(A114="","",COUNTIF(Deficiency_Log!$P$5:$P$204,A114))</f>
        <v/>
      </c>
      <c r="H114" s="17" t="str">
        <f aca="false">IF(A114="","",IF(COUNTIFS(Deficiency_Log!$P$5:$P$204,A114,Deficiency_Log!$O$5:$O$204,"Material weakness")&gt;0,"Material weakness",IF(COUNTIFS(Deficiency_Log!$P$5:$P$204,A114,Deficiency_Log!$O$5:$O$204,"Significant deficiency")&gt;0,"Significant deficiency",IF(COUNTIFS(Deficiency_Log!$P$5:$P$204,A114,Deficiency_Log!$O$5:$O$204,"Control deficiency")&gt;0,"Control deficiency","—"))))</f>
        <v/>
      </c>
      <c r="I114" s="17" t="str">
        <f aca="false">IF(A114="","",IF(G114=0,"No DEF assigned to group",IF(E114="","Group severity needed",IF(AND(IF(E114="Material weakness",3,IF(E114="Significant deficiency",2,1))&lt;IF(H114="Material weakness",3,IF(H114="Significant deficiency",2,IF(H114="Control deficiency",1,0))),F114=""),"Group below highest individual: justify",IF(F114="","Rationale needed","OK")))))</f>
        <v/>
      </c>
    </row>
    <row r="115" customFormat="false" ht="15" hidden="false" customHeight="false" outlineLevel="0" collapsed="false">
      <c r="A115" s="16"/>
      <c r="B115" s="16"/>
      <c r="C115" s="16"/>
      <c r="D115" s="16"/>
      <c r="E115" s="16"/>
      <c r="F115" s="16"/>
      <c r="G115" s="17" t="str">
        <f aca="false">IF(A115="","",COUNTIF(Deficiency_Log!$P$5:$P$204,A115))</f>
        <v/>
      </c>
      <c r="H115" s="17" t="str">
        <f aca="false">IF(A115="","",IF(COUNTIFS(Deficiency_Log!$P$5:$P$204,A115,Deficiency_Log!$O$5:$O$204,"Material weakness")&gt;0,"Material weakness",IF(COUNTIFS(Deficiency_Log!$P$5:$P$204,A115,Deficiency_Log!$O$5:$O$204,"Significant deficiency")&gt;0,"Significant deficiency",IF(COUNTIFS(Deficiency_Log!$P$5:$P$204,A115,Deficiency_Log!$O$5:$O$204,"Control deficiency")&gt;0,"Control deficiency","—"))))</f>
        <v/>
      </c>
      <c r="I115" s="17" t="str">
        <f aca="false">IF(A115="","",IF(G115=0,"No DEF assigned to group",IF(E115="","Group severity needed",IF(AND(IF(E115="Material weakness",3,IF(E115="Significant deficiency",2,1))&lt;IF(H115="Material weakness",3,IF(H115="Significant deficiency",2,IF(H115="Control deficiency",1,0))),F115=""),"Group below highest individual: justify",IF(F115="","Rationale needed","OK")))))</f>
        <v/>
      </c>
    </row>
    <row r="116" customFormat="false" ht="15" hidden="false" customHeight="false" outlineLevel="0" collapsed="false">
      <c r="A116" s="16"/>
      <c r="B116" s="16"/>
      <c r="C116" s="16"/>
      <c r="D116" s="16"/>
      <c r="E116" s="16"/>
      <c r="F116" s="16"/>
      <c r="G116" s="17" t="str">
        <f aca="false">IF(A116="","",COUNTIF(Deficiency_Log!$P$5:$P$204,A116))</f>
        <v/>
      </c>
      <c r="H116" s="17" t="str">
        <f aca="false">IF(A116="","",IF(COUNTIFS(Deficiency_Log!$P$5:$P$204,A116,Deficiency_Log!$O$5:$O$204,"Material weakness")&gt;0,"Material weakness",IF(COUNTIFS(Deficiency_Log!$P$5:$P$204,A116,Deficiency_Log!$O$5:$O$204,"Significant deficiency")&gt;0,"Significant deficiency",IF(COUNTIFS(Deficiency_Log!$P$5:$P$204,A116,Deficiency_Log!$O$5:$O$204,"Control deficiency")&gt;0,"Control deficiency","—"))))</f>
        <v/>
      </c>
      <c r="I116" s="17" t="str">
        <f aca="false">IF(A116="","",IF(G116=0,"No DEF assigned to group",IF(E116="","Group severity needed",IF(AND(IF(E116="Material weakness",3,IF(E116="Significant deficiency",2,1))&lt;IF(H116="Material weakness",3,IF(H116="Significant deficiency",2,IF(H116="Control deficiency",1,0))),F116=""),"Group below highest individual: justify",IF(F116="","Rationale needed","OK")))))</f>
        <v/>
      </c>
    </row>
    <row r="117" customFormat="false" ht="15" hidden="false" customHeight="false" outlineLevel="0" collapsed="false">
      <c r="A117" s="16"/>
      <c r="B117" s="16"/>
      <c r="C117" s="16"/>
      <c r="D117" s="16"/>
      <c r="E117" s="16"/>
      <c r="F117" s="16"/>
      <c r="G117" s="17" t="str">
        <f aca="false">IF(A117="","",COUNTIF(Deficiency_Log!$P$5:$P$204,A117))</f>
        <v/>
      </c>
      <c r="H117" s="17" t="str">
        <f aca="false">IF(A117="","",IF(COUNTIFS(Deficiency_Log!$P$5:$P$204,A117,Deficiency_Log!$O$5:$O$204,"Material weakness")&gt;0,"Material weakness",IF(COUNTIFS(Deficiency_Log!$P$5:$P$204,A117,Deficiency_Log!$O$5:$O$204,"Significant deficiency")&gt;0,"Significant deficiency",IF(COUNTIFS(Deficiency_Log!$P$5:$P$204,A117,Deficiency_Log!$O$5:$O$204,"Control deficiency")&gt;0,"Control deficiency","—"))))</f>
        <v/>
      </c>
      <c r="I117" s="17" t="str">
        <f aca="false">IF(A117="","",IF(G117=0,"No DEF assigned to group",IF(E117="","Group severity needed",IF(AND(IF(E117="Material weakness",3,IF(E117="Significant deficiency",2,1))&lt;IF(H117="Material weakness",3,IF(H117="Significant deficiency",2,IF(H117="Control deficiency",1,0))),F117=""),"Group below highest individual: justify",IF(F117="","Rationale needed","OK")))))</f>
        <v/>
      </c>
    </row>
    <row r="118" customFormat="false" ht="15" hidden="false" customHeight="false" outlineLevel="0" collapsed="false">
      <c r="A118" s="16"/>
      <c r="B118" s="16"/>
      <c r="C118" s="16"/>
      <c r="D118" s="16"/>
      <c r="E118" s="16"/>
      <c r="F118" s="16"/>
      <c r="G118" s="17" t="str">
        <f aca="false">IF(A118="","",COUNTIF(Deficiency_Log!$P$5:$P$204,A118))</f>
        <v/>
      </c>
      <c r="H118" s="17" t="str">
        <f aca="false">IF(A118="","",IF(COUNTIFS(Deficiency_Log!$P$5:$P$204,A118,Deficiency_Log!$O$5:$O$204,"Material weakness")&gt;0,"Material weakness",IF(COUNTIFS(Deficiency_Log!$P$5:$P$204,A118,Deficiency_Log!$O$5:$O$204,"Significant deficiency")&gt;0,"Significant deficiency",IF(COUNTIFS(Deficiency_Log!$P$5:$P$204,A118,Deficiency_Log!$O$5:$O$204,"Control deficiency")&gt;0,"Control deficiency","—"))))</f>
        <v/>
      </c>
      <c r="I118" s="17" t="str">
        <f aca="false">IF(A118="","",IF(G118=0,"No DEF assigned to group",IF(E118="","Group severity needed",IF(AND(IF(E118="Material weakness",3,IF(E118="Significant deficiency",2,1))&lt;IF(H118="Material weakness",3,IF(H118="Significant deficiency",2,IF(H118="Control deficiency",1,0))),F118=""),"Group below highest individual: justify",IF(F118="","Rationale needed","OK")))))</f>
        <v/>
      </c>
    </row>
    <row r="119" customFormat="false" ht="15" hidden="false" customHeight="false" outlineLevel="0" collapsed="false">
      <c r="A119" s="16"/>
      <c r="B119" s="16"/>
      <c r="C119" s="16"/>
      <c r="D119" s="16"/>
      <c r="E119" s="16"/>
      <c r="F119" s="16"/>
      <c r="G119" s="17" t="str">
        <f aca="false">IF(A119="","",COUNTIF(Deficiency_Log!$P$5:$P$204,A119))</f>
        <v/>
      </c>
      <c r="H119" s="17" t="str">
        <f aca="false">IF(A119="","",IF(COUNTIFS(Deficiency_Log!$P$5:$P$204,A119,Deficiency_Log!$O$5:$O$204,"Material weakness")&gt;0,"Material weakness",IF(COUNTIFS(Deficiency_Log!$P$5:$P$204,A119,Deficiency_Log!$O$5:$O$204,"Significant deficiency")&gt;0,"Significant deficiency",IF(COUNTIFS(Deficiency_Log!$P$5:$P$204,A119,Deficiency_Log!$O$5:$O$204,"Control deficiency")&gt;0,"Control deficiency","—"))))</f>
        <v/>
      </c>
      <c r="I119" s="17" t="str">
        <f aca="false">IF(A119="","",IF(G119=0,"No DEF assigned to group",IF(E119="","Group severity needed",IF(AND(IF(E119="Material weakness",3,IF(E119="Significant deficiency",2,1))&lt;IF(H119="Material weakness",3,IF(H119="Significant deficiency",2,IF(H119="Control deficiency",1,0))),F119=""),"Group below highest individual: justify",IF(F119="","Rationale needed","OK")))))</f>
        <v/>
      </c>
    </row>
    <row r="120" customFormat="false" ht="15" hidden="false" customHeight="false" outlineLevel="0" collapsed="false">
      <c r="A120" s="16"/>
      <c r="B120" s="16"/>
      <c r="C120" s="16"/>
      <c r="D120" s="16"/>
      <c r="E120" s="16"/>
      <c r="F120" s="16"/>
      <c r="G120" s="17" t="str">
        <f aca="false">IF(A120="","",COUNTIF(Deficiency_Log!$P$5:$P$204,A120))</f>
        <v/>
      </c>
      <c r="H120" s="17" t="str">
        <f aca="false">IF(A120="","",IF(COUNTIFS(Deficiency_Log!$P$5:$P$204,A120,Deficiency_Log!$O$5:$O$204,"Material weakness")&gt;0,"Material weakness",IF(COUNTIFS(Deficiency_Log!$P$5:$P$204,A120,Deficiency_Log!$O$5:$O$204,"Significant deficiency")&gt;0,"Significant deficiency",IF(COUNTIFS(Deficiency_Log!$P$5:$P$204,A120,Deficiency_Log!$O$5:$O$204,"Control deficiency")&gt;0,"Control deficiency","—"))))</f>
        <v/>
      </c>
      <c r="I120" s="17" t="str">
        <f aca="false">IF(A120="","",IF(G120=0,"No DEF assigned to group",IF(E120="","Group severity needed",IF(AND(IF(E120="Material weakness",3,IF(E120="Significant deficiency",2,1))&lt;IF(H120="Material weakness",3,IF(H120="Significant deficiency",2,IF(H120="Control deficiency",1,0))),F120=""),"Group below highest individual: justify",IF(F120="","Rationale needed","OK")))))</f>
        <v/>
      </c>
    </row>
    <row r="121" customFormat="false" ht="15" hidden="false" customHeight="false" outlineLevel="0" collapsed="false">
      <c r="A121" s="16"/>
      <c r="B121" s="16"/>
      <c r="C121" s="16"/>
      <c r="D121" s="16"/>
      <c r="E121" s="16"/>
      <c r="F121" s="16"/>
      <c r="G121" s="17" t="str">
        <f aca="false">IF(A121="","",COUNTIF(Deficiency_Log!$P$5:$P$204,A121))</f>
        <v/>
      </c>
      <c r="H121" s="17" t="str">
        <f aca="false">IF(A121="","",IF(COUNTIFS(Deficiency_Log!$P$5:$P$204,A121,Deficiency_Log!$O$5:$O$204,"Material weakness")&gt;0,"Material weakness",IF(COUNTIFS(Deficiency_Log!$P$5:$P$204,A121,Deficiency_Log!$O$5:$O$204,"Significant deficiency")&gt;0,"Significant deficiency",IF(COUNTIFS(Deficiency_Log!$P$5:$P$204,A121,Deficiency_Log!$O$5:$O$204,"Control deficiency")&gt;0,"Control deficiency","—"))))</f>
        <v/>
      </c>
      <c r="I121" s="17" t="str">
        <f aca="false">IF(A121="","",IF(G121=0,"No DEF assigned to group",IF(E121="","Group severity needed",IF(AND(IF(E121="Material weakness",3,IF(E121="Significant deficiency",2,1))&lt;IF(H121="Material weakness",3,IF(H121="Significant deficiency",2,IF(H121="Control deficiency",1,0))),F121=""),"Group below highest individual: justify",IF(F121="","Rationale needed","OK")))))</f>
        <v/>
      </c>
    </row>
    <row r="122" customFormat="false" ht="15" hidden="false" customHeight="false" outlineLevel="0" collapsed="false">
      <c r="A122" s="16"/>
      <c r="B122" s="16"/>
      <c r="C122" s="16"/>
      <c r="D122" s="16"/>
      <c r="E122" s="16"/>
      <c r="F122" s="16"/>
      <c r="G122" s="17" t="str">
        <f aca="false">IF(A122="","",COUNTIF(Deficiency_Log!$P$5:$P$204,A122))</f>
        <v/>
      </c>
      <c r="H122" s="17" t="str">
        <f aca="false">IF(A122="","",IF(COUNTIFS(Deficiency_Log!$P$5:$P$204,A122,Deficiency_Log!$O$5:$O$204,"Material weakness")&gt;0,"Material weakness",IF(COUNTIFS(Deficiency_Log!$P$5:$P$204,A122,Deficiency_Log!$O$5:$O$204,"Significant deficiency")&gt;0,"Significant deficiency",IF(COUNTIFS(Deficiency_Log!$P$5:$P$204,A122,Deficiency_Log!$O$5:$O$204,"Control deficiency")&gt;0,"Control deficiency","—"))))</f>
        <v/>
      </c>
      <c r="I122" s="17" t="str">
        <f aca="false">IF(A122="","",IF(G122=0,"No DEF assigned to group",IF(E122="","Group severity needed",IF(AND(IF(E122="Material weakness",3,IF(E122="Significant deficiency",2,1))&lt;IF(H122="Material weakness",3,IF(H122="Significant deficiency",2,IF(H122="Control deficiency",1,0))),F122=""),"Group below highest individual: justify",IF(F122="","Rationale needed","OK")))))</f>
        <v/>
      </c>
    </row>
    <row r="123" customFormat="false" ht="15" hidden="false" customHeight="false" outlineLevel="0" collapsed="false">
      <c r="A123" s="16"/>
      <c r="B123" s="16"/>
      <c r="C123" s="16"/>
      <c r="D123" s="16"/>
      <c r="E123" s="16"/>
      <c r="F123" s="16"/>
      <c r="G123" s="17" t="str">
        <f aca="false">IF(A123="","",COUNTIF(Deficiency_Log!$P$5:$P$204,A123))</f>
        <v/>
      </c>
      <c r="H123" s="17" t="str">
        <f aca="false">IF(A123="","",IF(COUNTIFS(Deficiency_Log!$P$5:$P$204,A123,Deficiency_Log!$O$5:$O$204,"Material weakness")&gt;0,"Material weakness",IF(COUNTIFS(Deficiency_Log!$P$5:$P$204,A123,Deficiency_Log!$O$5:$O$204,"Significant deficiency")&gt;0,"Significant deficiency",IF(COUNTIFS(Deficiency_Log!$P$5:$P$204,A123,Deficiency_Log!$O$5:$O$204,"Control deficiency")&gt;0,"Control deficiency","—"))))</f>
        <v/>
      </c>
      <c r="I123" s="17" t="str">
        <f aca="false">IF(A123="","",IF(G123=0,"No DEF assigned to group",IF(E123="","Group severity needed",IF(AND(IF(E123="Material weakness",3,IF(E123="Significant deficiency",2,1))&lt;IF(H123="Material weakness",3,IF(H123="Significant deficiency",2,IF(H123="Control deficiency",1,0))),F123=""),"Group below highest individual: justify",IF(F123="","Rationale needed","OK")))))</f>
        <v/>
      </c>
    </row>
    <row r="124" customFormat="false" ht="15" hidden="false" customHeight="false" outlineLevel="0" collapsed="false">
      <c r="A124" s="16"/>
      <c r="B124" s="16"/>
      <c r="C124" s="16"/>
      <c r="D124" s="16"/>
      <c r="E124" s="16"/>
      <c r="F124" s="16"/>
      <c r="G124" s="17" t="str">
        <f aca="false">IF(A124="","",COUNTIF(Deficiency_Log!$P$5:$P$204,A124))</f>
        <v/>
      </c>
      <c r="H124" s="17" t="str">
        <f aca="false">IF(A124="","",IF(COUNTIFS(Deficiency_Log!$P$5:$P$204,A124,Deficiency_Log!$O$5:$O$204,"Material weakness")&gt;0,"Material weakness",IF(COUNTIFS(Deficiency_Log!$P$5:$P$204,A124,Deficiency_Log!$O$5:$O$204,"Significant deficiency")&gt;0,"Significant deficiency",IF(COUNTIFS(Deficiency_Log!$P$5:$P$204,A124,Deficiency_Log!$O$5:$O$204,"Control deficiency")&gt;0,"Control deficiency","—"))))</f>
        <v/>
      </c>
      <c r="I124" s="17" t="str">
        <f aca="false">IF(A124="","",IF(G124=0,"No DEF assigned to group",IF(E124="","Group severity needed",IF(AND(IF(E124="Material weakness",3,IF(E124="Significant deficiency",2,1))&lt;IF(H124="Material weakness",3,IF(H124="Significant deficiency",2,IF(H124="Control deficiency",1,0))),F124=""),"Group below highest individual: justify",IF(F124="","Rationale needed","OK")))))</f>
        <v/>
      </c>
    </row>
    <row r="125" customFormat="false" ht="15" hidden="false" customHeight="false" outlineLevel="0" collapsed="false">
      <c r="A125" s="16"/>
      <c r="B125" s="16"/>
      <c r="C125" s="16"/>
      <c r="D125" s="16"/>
      <c r="E125" s="16"/>
      <c r="F125" s="16"/>
      <c r="G125" s="17" t="str">
        <f aca="false">IF(A125="","",COUNTIF(Deficiency_Log!$P$5:$P$204,A125))</f>
        <v/>
      </c>
      <c r="H125" s="17" t="str">
        <f aca="false">IF(A125="","",IF(COUNTIFS(Deficiency_Log!$P$5:$P$204,A125,Deficiency_Log!$O$5:$O$204,"Material weakness")&gt;0,"Material weakness",IF(COUNTIFS(Deficiency_Log!$P$5:$P$204,A125,Deficiency_Log!$O$5:$O$204,"Significant deficiency")&gt;0,"Significant deficiency",IF(COUNTIFS(Deficiency_Log!$P$5:$P$204,A125,Deficiency_Log!$O$5:$O$204,"Control deficiency")&gt;0,"Control deficiency","—"))))</f>
        <v/>
      </c>
      <c r="I125" s="17" t="str">
        <f aca="false">IF(A125="","",IF(G125=0,"No DEF assigned to group",IF(E125="","Group severity needed",IF(AND(IF(E125="Material weakness",3,IF(E125="Significant deficiency",2,1))&lt;IF(H125="Material weakness",3,IF(H125="Significant deficiency",2,IF(H125="Control deficiency",1,0))),F125=""),"Group below highest individual: justify",IF(F125="","Rationale needed","OK")))))</f>
        <v/>
      </c>
    </row>
    <row r="126" customFormat="false" ht="15" hidden="false" customHeight="false" outlineLevel="0" collapsed="false">
      <c r="A126" s="16"/>
      <c r="B126" s="16"/>
      <c r="C126" s="16"/>
      <c r="D126" s="16"/>
      <c r="E126" s="16"/>
      <c r="F126" s="16"/>
      <c r="G126" s="17" t="str">
        <f aca="false">IF(A126="","",COUNTIF(Deficiency_Log!$P$5:$P$204,A126))</f>
        <v/>
      </c>
      <c r="H126" s="17" t="str">
        <f aca="false">IF(A126="","",IF(COUNTIFS(Deficiency_Log!$P$5:$P$204,A126,Deficiency_Log!$O$5:$O$204,"Material weakness")&gt;0,"Material weakness",IF(COUNTIFS(Deficiency_Log!$P$5:$P$204,A126,Deficiency_Log!$O$5:$O$204,"Significant deficiency")&gt;0,"Significant deficiency",IF(COUNTIFS(Deficiency_Log!$P$5:$P$204,A126,Deficiency_Log!$O$5:$O$204,"Control deficiency")&gt;0,"Control deficiency","—"))))</f>
        <v/>
      </c>
      <c r="I126" s="17" t="str">
        <f aca="false">IF(A126="","",IF(G126=0,"No DEF assigned to group",IF(E126="","Group severity needed",IF(AND(IF(E126="Material weakness",3,IF(E126="Significant deficiency",2,1))&lt;IF(H126="Material weakness",3,IF(H126="Significant deficiency",2,IF(H126="Control deficiency",1,0))),F126=""),"Group below highest individual: justify",IF(F126="","Rationale needed","OK")))))</f>
        <v/>
      </c>
    </row>
    <row r="127" customFormat="false" ht="15" hidden="false" customHeight="false" outlineLevel="0" collapsed="false">
      <c r="A127" s="16"/>
      <c r="B127" s="16"/>
      <c r="C127" s="16"/>
      <c r="D127" s="16"/>
      <c r="E127" s="16"/>
      <c r="F127" s="16"/>
      <c r="G127" s="17" t="str">
        <f aca="false">IF(A127="","",COUNTIF(Deficiency_Log!$P$5:$P$204,A127))</f>
        <v/>
      </c>
      <c r="H127" s="17" t="str">
        <f aca="false">IF(A127="","",IF(COUNTIFS(Deficiency_Log!$P$5:$P$204,A127,Deficiency_Log!$O$5:$O$204,"Material weakness")&gt;0,"Material weakness",IF(COUNTIFS(Deficiency_Log!$P$5:$P$204,A127,Deficiency_Log!$O$5:$O$204,"Significant deficiency")&gt;0,"Significant deficiency",IF(COUNTIFS(Deficiency_Log!$P$5:$P$204,A127,Deficiency_Log!$O$5:$O$204,"Control deficiency")&gt;0,"Control deficiency","—"))))</f>
        <v/>
      </c>
      <c r="I127" s="17" t="str">
        <f aca="false">IF(A127="","",IF(G127=0,"No DEF assigned to group",IF(E127="","Group severity needed",IF(AND(IF(E127="Material weakness",3,IF(E127="Significant deficiency",2,1))&lt;IF(H127="Material weakness",3,IF(H127="Significant deficiency",2,IF(H127="Control deficiency",1,0))),F127=""),"Group below highest individual: justify",IF(F127="","Rationale needed","OK")))))</f>
        <v/>
      </c>
    </row>
    <row r="128" customFormat="false" ht="15" hidden="false" customHeight="false" outlineLevel="0" collapsed="false">
      <c r="A128" s="16"/>
      <c r="B128" s="16"/>
      <c r="C128" s="16"/>
      <c r="D128" s="16"/>
      <c r="E128" s="16"/>
      <c r="F128" s="16"/>
      <c r="G128" s="17" t="str">
        <f aca="false">IF(A128="","",COUNTIF(Deficiency_Log!$P$5:$P$204,A128))</f>
        <v/>
      </c>
      <c r="H128" s="17" t="str">
        <f aca="false">IF(A128="","",IF(COUNTIFS(Deficiency_Log!$P$5:$P$204,A128,Deficiency_Log!$O$5:$O$204,"Material weakness")&gt;0,"Material weakness",IF(COUNTIFS(Deficiency_Log!$P$5:$P$204,A128,Deficiency_Log!$O$5:$O$204,"Significant deficiency")&gt;0,"Significant deficiency",IF(COUNTIFS(Deficiency_Log!$P$5:$P$204,A128,Deficiency_Log!$O$5:$O$204,"Control deficiency")&gt;0,"Control deficiency","—"))))</f>
        <v/>
      </c>
      <c r="I128" s="17" t="str">
        <f aca="false">IF(A128="","",IF(G128=0,"No DEF assigned to group",IF(E128="","Group severity needed",IF(AND(IF(E128="Material weakness",3,IF(E128="Significant deficiency",2,1))&lt;IF(H128="Material weakness",3,IF(H128="Significant deficiency",2,IF(H128="Control deficiency",1,0))),F128=""),"Group below highest individual: justify",IF(F128="","Rationale needed","OK")))))</f>
        <v/>
      </c>
    </row>
    <row r="129" customFormat="false" ht="15" hidden="false" customHeight="false" outlineLevel="0" collapsed="false">
      <c r="A129" s="16"/>
      <c r="B129" s="16"/>
      <c r="C129" s="16"/>
      <c r="D129" s="16"/>
      <c r="E129" s="16"/>
      <c r="F129" s="16"/>
      <c r="G129" s="17" t="str">
        <f aca="false">IF(A129="","",COUNTIF(Deficiency_Log!$P$5:$P$204,A129))</f>
        <v/>
      </c>
      <c r="H129" s="17" t="str">
        <f aca="false">IF(A129="","",IF(COUNTIFS(Deficiency_Log!$P$5:$P$204,A129,Deficiency_Log!$O$5:$O$204,"Material weakness")&gt;0,"Material weakness",IF(COUNTIFS(Deficiency_Log!$P$5:$P$204,A129,Deficiency_Log!$O$5:$O$204,"Significant deficiency")&gt;0,"Significant deficiency",IF(COUNTIFS(Deficiency_Log!$P$5:$P$204,A129,Deficiency_Log!$O$5:$O$204,"Control deficiency")&gt;0,"Control deficiency","—"))))</f>
        <v/>
      </c>
      <c r="I129" s="17" t="str">
        <f aca="false">IF(A129="","",IF(G129=0,"No DEF assigned to group",IF(E129="","Group severity needed",IF(AND(IF(E129="Material weakness",3,IF(E129="Significant deficiency",2,1))&lt;IF(H129="Material weakness",3,IF(H129="Significant deficiency",2,IF(H129="Control deficiency",1,0))),F129=""),"Group below highest individual: justify",IF(F129="","Rationale needed","OK")))))</f>
        <v/>
      </c>
    </row>
    <row r="130" customFormat="false" ht="15" hidden="false" customHeight="false" outlineLevel="0" collapsed="false">
      <c r="A130" s="16"/>
      <c r="B130" s="16"/>
      <c r="C130" s="16"/>
      <c r="D130" s="16"/>
      <c r="E130" s="16"/>
      <c r="F130" s="16"/>
      <c r="G130" s="17" t="str">
        <f aca="false">IF(A130="","",COUNTIF(Deficiency_Log!$P$5:$P$204,A130))</f>
        <v/>
      </c>
      <c r="H130" s="17" t="str">
        <f aca="false">IF(A130="","",IF(COUNTIFS(Deficiency_Log!$P$5:$P$204,A130,Deficiency_Log!$O$5:$O$204,"Material weakness")&gt;0,"Material weakness",IF(COUNTIFS(Deficiency_Log!$P$5:$P$204,A130,Deficiency_Log!$O$5:$O$204,"Significant deficiency")&gt;0,"Significant deficiency",IF(COUNTIFS(Deficiency_Log!$P$5:$P$204,A130,Deficiency_Log!$O$5:$O$204,"Control deficiency")&gt;0,"Control deficiency","—"))))</f>
        <v/>
      </c>
      <c r="I130" s="17" t="str">
        <f aca="false">IF(A130="","",IF(G130=0,"No DEF assigned to group",IF(E130="","Group severity needed",IF(AND(IF(E130="Material weakness",3,IF(E130="Significant deficiency",2,1))&lt;IF(H130="Material weakness",3,IF(H130="Significant deficiency",2,IF(H130="Control deficiency",1,0))),F130=""),"Group below highest individual: justify",IF(F130="","Rationale needed","OK")))))</f>
        <v/>
      </c>
    </row>
    <row r="131" customFormat="false" ht="15" hidden="false" customHeight="false" outlineLevel="0" collapsed="false">
      <c r="A131" s="16"/>
      <c r="B131" s="16"/>
      <c r="C131" s="16"/>
      <c r="D131" s="16"/>
      <c r="E131" s="16"/>
      <c r="F131" s="16"/>
      <c r="G131" s="17" t="str">
        <f aca="false">IF(A131="","",COUNTIF(Deficiency_Log!$P$5:$P$204,A131))</f>
        <v/>
      </c>
      <c r="H131" s="17" t="str">
        <f aca="false">IF(A131="","",IF(COUNTIFS(Deficiency_Log!$P$5:$P$204,A131,Deficiency_Log!$O$5:$O$204,"Material weakness")&gt;0,"Material weakness",IF(COUNTIFS(Deficiency_Log!$P$5:$P$204,A131,Deficiency_Log!$O$5:$O$204,"Significant deficiency")&gt;0,"Significant deficiency",IF(COUNTIFS(Deficiency_Log!$P$5:$P$204,A131,Deficiency_Log!$O$5:$O$204,"Control deficiency")&gt;0,"Control deficiency","—"))))</f>
        <v/>
      </c>
      <c r="I131" s="17" t="str">
        <f aca="false">IF(A131="","",IF(G131=0,"No DEF assigned to group",IF(E131="","Group severity needed",IF(AND(IF(E131="Material weakness",3,IF(E131="Significant deficiency",2,1))&lt;IF(H131="Material weakness",3,IF(H131="Significant deficiency",2,IF(H131="Control deficiency",1,0))),F131=""),"Group below highest individual: justify",IF(F131="","Rationale needed","OK")))))</f>
        <v/>
      </c>
    </row>
    <row r="132" customFormat="false" ht="15" hidden="false" customHeight="false" outlineLevel="0" collapsed="false">
      <c r="A132" s="16"/>
      <c r="B132" s="16"/>
      <c r="C132" s="16"/>
      <c r="D132" s="16"/>
      <c r="E132" s="16"/>
      <c r="F132" s="16"/>
      <c r="G132" s="17" t="str">
        <f aca="false">IF(A132="","",COUNTIF(Deficiency_Log!$P$5:$P$204,A132))</f>
        <v/>
      </c>
      <c r="H132" s="17" t="str">
        <f aca="false">IF(A132="","",IF(COUNTIFS(Deficiency_Log!$P$5:$P$204,A132,Deficiency_Log!$O$5:$O$204,"Material weakness")&gt;0,"Material weakness",IF(COUNTIFS(Deficiency_Log!$P$5:$P$204,A132,Deficiency_Log!$O$5:$O$204,"Significant deficiency")&gt;0,"Significant deficiency",IF(COUNTIFS(Deficiency_Log!$P$5:$P$204,A132,Deficiency_Log!$O$5:$O$204,"Control deficiency")&gt;0,"Control deficiency","—"))))</f>
        <v/>
      </c>
      <c r="I132" s="17" t="str">
        <f aca="false">IF(A132="","",IF(G132=0,"No DEF assigned to group",IF(E132="","Group severity needed",IF(AND(IF(E132="Material weakness",3,IF(E132="Significant deficiency",2,1))&lt;IF(H132="Material weakness",3,IF(H132="Significant deficiency",2,IF(H132="Control deficiency",1,0))),F132=""),"Group below highest individual: justify",IF(F132="","Rationale needed","OK")))))</f>
        <v/>
      </c>
    </row>
    <row r="133" customFormat="false" ht="15" hidden="false" customHeight="false" outlineLevel="0" collapsed="false">
      <c r="A133" s="16"/>
      <c r="B133" s="16"/>
      <c r="C133" s="16"/>
      <c r="D133" s="16"/>
      <c r="E133" s="16"/>
      <c r="F133" s="16"/>
      <c r="G133" s="17" t="str">
        <f aca="false">IF(A133="","",COUNTIF(Deficiency_Log!$P$5:$P$204,A133))</f>
        <v/>
      </c>
      <c r="H133" s="17" t="str">
        <f aca="false">IF(A133="","",IF(COUNTIFS(Deficiency_Log!$P$5:$P$204,A133,Deficiency_Log!$O$5:$O$204,"Material weakness")&gt;0,"Material weakness",IF(COUNTIFS(Deficiency_Log!$P$5:$P$204,A133,Deficiency_Log!$O$5:$O$204,"Significant deficiency")&gt;0,"Significant deficiency",IF(COUNTIFS(Deficiency_Log!$P$5:$P$204,A133,Deficiency_Log!$O$5:$O$204,"Control deficiency")&gt;0,"Control deficiency","—"))))</f>
        <v/>
      </c>
      <c r="I133" s="17" t="str">
        <f aca="false">IF(A133="","",IF(G133=0,"No DEF assigned to group",IF(E133="","Group severity needed",IF(AND(IF(E133="Material weakness",3,IF(E133="Significant deficiency",2,1))&lt;IF(H133="Material weakness",3,IF(H133="Significant deficiency",2,IF(H133="Control deficiency",1,0))),F133=""),"Group below highest individual: justify",IF(F133="","Rationale needed","OK")))))</f>
        <v/>
      </c>
    </row>
    <row r="134" customFormat="false" ht="15" hidden="false" customHeight="false" outlineLevel="0" collapsed="false">
      <c r="A134" s="16"/>
      <c r="B134" s="16"/>
      <c r="C134" s="16"/>
      <c r="D134" s="16"/>
      <c r="E134" s="16"/>
      <c r="F134" s="16"/>
      <c r="G134" s="17" t="str">
        <f aca="false">IF(A134="","",COUNTIF(Deficiency_Log!$P$5:$P$204,A134))</f>
        <v/>
      </c>
      <c r="H134" s="17" t="str">
        <f aca="false">IF(A134="","",IF(COUNTIFS(Deficiency_Log!$P$5:$P$204,A134,Deficiency_Log!$O$5:$O$204,"Material weakness")&gt;0,"Material weakness",IF(COUNTIFS(Deficiency_Log!$P$5:$P$204,A134,Deficiency_Log!$O$5:$O$204,"Significant deficiency")&gt;0,"Significant deficiency",IF(COUNTIFS(Deficiency_Log!$P$5:$P$204,A134,Deficiency_Log!$O$5:$O$204,"Control deficiency")&gt;0,"Control deficiency","—"))))</f>
        <v/>
      </c>
      <c r="I134" s="17" t="str">
        <f aca="false">IF(A134="","",IF(G134=0,"No DEF assigned to group",IF(E134="","Group severity needed",IF(AND(IF(E134="Material weakness",3,IF(E134="Significant deficiency",2,1))&lt;IF(H134="Material weakness",3,IF(H134="Significant deficiency",2,IF(H134="Control deficiency",1,0))),F134=""),"Group below highest individual: justify",IF(F134="","Rationale needed","OK")))))</f>
        <v/>
      </c>
    </row>
    <row r="135" customFormat="false" ht="15" hidden="false" customHeight="false" outlineLevel="0" collapsed="false">
      <c r="A135" s="16"/>
      <c r="B135" s="16"/>
      <c r="C135" s="16"/>
      <c r="D135" s="16"/>
      <c r="E135" s="16"/>
      <c r="F135" s="16"/>
      <c r="G135" s="17" t="str">
        <f aca="false">IF(A135="","",COUNTIF(Deficiency_Log!$P$5:$P$204,A135))</f>
        <v/>
      </c>
      <c r="H135" s="17" t="str">
        <f aca="false">IF(A135="","",IF(COUNTIFS(Deficiency_Log!$P$5:$P$204,A135,Deficiency_Log!$O$5:$O$204,"Material weakness")&gt;0,"Material weakness",IF(COUNTIFS(Deficiency_Log!$P$5:$P$204,A135,Deficiency_Log!$O$5:$O$204,"Significant deficiency")&gt;0,"Significant deficiency",IF(COUNTIFS(Deficiency_Log!$P$5:$P$204,A135,Deficiency_Log!$O$5:$O$204,"Control deficiency")&gt;0,"Control deficiency","—"))))</f>
        <v/>
      </c>
      <c r="I135" s="17" t="str">
        <f aca="false">IF(A135="","",IF(G135=0,"No DEF assigned to group",IF(E135="","Group severity needed",IF(AND(IF(E135="Material weakness",3,IF(E135="Significant deficiency",2,1))&lt;IF(H135="Material weakness",3,IF(H135="Significant deficiency",2,IF(H135="Control deficiency",1,0))),F135=""),"Group below highest individual: justify",IF(F135="","Rationale needed","OK")))))</f>
        <v/>
      </c>
    </row>
    <row r="136" customFormat="false" ht="15" hidden="false" customHeight="false" outlineLevel="0" collapsed="false">
      <c r="A136" s="16"/>
      <c r="B136" s="16"/>
      <c r="C136" s="16"/>
      <c r="D136" s="16"/>
      <c r="E136" s="16"/>
      <c r="F136" s="16"/>
      <c r="G136" s="17" t="str">
        <f aca="false">IF(A136="","",COUNTIF(Deficiency_Log!$P$5:$P$204,A136))</f>
        <v/>
      </c>
      <c r="H136" s="17" t="str">
        <f aca="false">IF(A136="","",IF(COUNTIFS(Deficiency_Log!$P$5:$P$204,A136,Deficiency_Log!$O$5:$O$204,"Material weakness")&gt;0,"Material weakness",IF(COUNTIFS(Deficiency_Log!$P$5:$P$204,A136,Deficiency_Log!$O$5:$O$204,"Significant deficiency")&gt;0,"Significant deficiency",IF(COUNTIFS(Deficiency_Log!$P$5:$P$204,A136,Deficiency_Log!$O$5:$O$204,"Control deficiency")&gt;0,"Control deficiency","—"))))</f>
        <v/>
      </c>
      <c r="I136" s="17" t="str">
        <f aca="false">IF(A136="","",IF(G136=0,"No DEF assigned to group",IF(E136="","Group severity needed",IF(AND(IF(E136="Material weakness",3,IF(E136="Significant deficiency",2,1))&lt;IF(H136="Material weakness",3,IF(H136="Significant deficiency",2,IF(H136="Control deficiency",1,0))),F136=""),"Group below highest individual: justify",IF(F136="","Rationale needed","OK")))))</f>
        <v/>
      </c>
    </row>
    <row r="137" customFormat="false" ht="15" hidden="false" customHeight="false" outlineLevel="0" collapsed="false">
      <c r="A137" s="16"/>
      <c r="B137" s="16"/>
      <c r="C137" s="16"/>
      <c r="D137" s="16"/>
      <c r="E137" s="16"/>
      <c r="F137" s="16"/>
      <c r="G137" s="17" t="str">
        <f aca="false">IF(A137="","",COUNTIF(Deficiency_Log!$P$5:$P$204,A137))</f>
        <v/>
      </c>
      <c r="H137" s="17" t="str">
        <f aca="false">IF(A137="","",IF(COUNTIFS(Deficiency_Log!$P$5:$P$204,A137,Deficiency_Log!$O$5:$O$204,"Material weakness")&gt;0,"Material weakness",IF(COUNTIFS(Deficiency_Log!$P$5:$P$204,A137,Deficiency_Log!$O$5:$O$204,"Significant deficiency")&gt;0,"Significant deficiency",IF(COUNTIFS(Deficiency_Log!$P$5:$P$204,A137,Deficiency_Log!$O$5:$O$204,"Control deficiency")&gt;0,"Control deficiency","—"))))</f>
        <v/>
      </c>
      <c r="I137" s="17" t="str">
        <f aca="false">IF(A137="","",IF(G137=0,"No DEF assigned to group",IF(E137="","Group severity needed",IF(AND(IF(E137="Material weakness",3,IF(E137="Significant deficiency",2,1))&lt;IF(H137="Material weakness",3,IF(H137="Significant deficiency",2,IF(H137="Control deficiency",1,0))),F137=""),"Group below highest individual: justify",IF(F137="","Rationale needed","OK")))))</f>
        <v/>
      </c>
    </row>
    <row r="138" customFormat="false" ht="15" hidden="false" customHeight="false" outlineLevel="0" collapsed="false">
      <c r="A138" s="16"/>
      <c r="B138" s="16"/>
      <c r="C138" s="16"/>
      <c r="D138" s="16"/>
      <c r="E138" s="16"/>
      <c r="F138" s="16"/>
      <c r="G138" s="17" t="str">
        <f aca="false">IF(A138="","",COUNTIF(Deficiency_Log!$P$5:$P$204,A138))</f>
        <v/>
      </c>
      <c r="H138" s="17" t="str">
        <f aca="false">IF(A138="","",IF(COUNTIFS(Deficiency_Log!$P$5:$P$204,A138,Deficiency_Log!$O$5:$O$204,"Material weakness")&gt;0,"Material weakness",IF(COUNTIFS(Deficiency_Log!$P$5:$P$204,A138,Deficiency_Log!$O$5:$O$204,"Significant deficiency")&gt;0,"Significant deficiency",IF(COUNTIFS(Deficiency_Log!$P$5:$P$204,A138,Deficiency_Log!$O$5:$O$204,"Control deficiency")&gt;0,"Control deficiency","—"))))</f>
        <v/>
      </c>
      <c r="I138" s="17" t="str">
        <f aca="false">IF(A138="","",IF(G138=0,"No DEF assigned to group",IF(E138="","Group severity needed",IF(AND(IF(E138="Material weakness",3,IF(E138="Significant deficiency",2,1))&lt;IF(H138="Material weakness",3,IF(H138="Significant deficiency",2,IF(H138="Control deficiency",1,0))),F138=""),"Group below highest individual: justify",IF(F138="","Rationale needed","OK")))))</f>
        <v/>
      </c>
    </row>
    <row r="139" customFormat="false" ht="15" hidden="false" customHeight="false" outlineLevel="0" collapsed="false">
      <c r="A139" s="16"/>
      <c r="B139" s="16"/>
      <c r="C139" s="16"/>
      <c r="D139" s="16"/>
      <c r="E139" s="16"/>
      <c r="F139" s="16"/>
      <c r="G139" s="17" t="str">
        <f aca="false">IF(A139="","",COUNTIF(Deficiency_Log!$P$5:$P$204,A139))</f>
        <v/>
      </c>
      <c r="H139" s="17" t="str">
        <f aca="false">IF(A139="","",IF(COUNTIFS(Deficiency_Log!$P$5:$P$204,A139,Deficiency_Log!$O$5:$O$204,"Material weakness")&gt;0,"Material weakness",IF(COUNTIFS(Deficiency_Log!$P$5:$P$204,A139,Deficiency_Log!$O$5:$O$204,"Significant deficiency")&gt;0,"Significant deficiency",IF(COUNTIFS(Deficiency_Log!$P$5:$P$204,A139,Deficiency_Log!$O$5:$O$204,"Control deficiency")&gt;0,"Control deficiency","—"))))</f>
        <v/>
      </c>
      <c r="I139" s="17" t="str">
        <f aca="false">IF(A139="","",IF(G139=0,"No DEF assigned to group",IF(E139="","Group severity needed",IF(AND(IF(E139="Material weakness",3,IF(E139="Significant deficiency",2,1))&lt;IF(H139="Material weakness",3,IF(H139="Significant deficiency",2,IF(H139="Control deficiency",1,0))),F139=""),"Group below highest individual: justify",IF(F139="","Rationale needed","OK")))))</f>
        <v/>
      </c>
    </row>
    <row r="140" customFormat="false" ht="15" hidden="false" customHeight="false" outlineLevel="0" collapsed="false">
      <c r="A140" s="16"/>
      <c r="B140" s="16"/>
      <c r="C140" s="16"/>
      <c r="D140" s="16"/>
      <c r="E140" s="16"/>
      <c r="F140" s="16"/>
      <c r="G140" s="17" t="str">
        <f aca="false">IF(A140="","",COUNTIF(Deficiency_Log!$P$5:$P$204,A140))</f>
        <v/>
      </c>
      <c r="H140" s="17" t="str">
        <f aca="false">IF(A140="","",IF(COUNTIFS(Deficiency_Log!$P$5:$P$204,A140,Deficiency_Log!$O$5:$O$204,"Material weakness")&gt;0,"Material weakness",IF(COUNTIFS(Deficiency_Log!$P$5:$P$204,A140,Deficiency_Log!$O$5:$O$204,"Significant deficiency")&gt;0,"Significant deficiency",IF(COUNTIFS(Deficiency_Log!$P$5:$P$204,A140,Deficiency_Log!$O$5:$O$204,"Control deficiency")&gt;0,"Control deficiency","—"))))</f>
        <v/>
      </c>
      <c r="I140" s="17" t="str">
        <f aca="false">IF(A140="","",IF(G140=0,"No DEF assigned to group",IF(E140="","Group severity needed",IF(AND(IF(E140="Material weakness",3,IF(E140="Significant deficiency",2,1))&lt;IF(H140="Material weakness",3,IF(H140="Significant deficiency",2,IF(H140="Control deficiency",1,0))),F140=""),"Group below highest individual: justify",IF(F140="","Rationale needed","OK")))))</f>
        <v/>
      </c>
    </row>
    <row r="141" customFormat="false" ht="15" hidden="false" customHeight="false" outlineLevel="0" collapsed="false">
      <c r="A141" s="16"/>
      <c r="B141" s="16"/>
      <c r="C141" s="16"/>
      <c r="D141" s="16"/>
      <c r="E141" s="16"/>
      <c r="F141" s="16"/>
      <c r="G141" s="17" t="str">
        <f aca="false">IF(A141="","",COUNTIF(Deficiency_Log!$P$5:$P$204,A141))</f>
        <v/>
      </c>
      <c r="H141" s="17" t="str">
        <f aca="false">IF(A141="","",IF(COUNTIFS(Deficiency_Log!$P$5:$P$204,A141,Deficiency_Log!$O$5:$O$204,"Material weakness")&gt;0,"Material weakness",IF(COUNTIFS(Deficiency_Log!$P$5:$P$204,A141,Deficiency_Log!$O$5:$O$204,"Significant deficiency")&gt;0,"Significant deficiency",IF(COUNTIFS(Deficiency_Log!$P$5:$P$204,A141,Deficiency_Log!$O$5:$O$204,"Control deficiency")&gt;0,"Control deficiency","—"))))</f>
        <v/>
      </c>
      <c r="I141" s="17" t="str">
        <f aca="false">IF(A141="","",IF(G141=0,"No DEF assigned to group",IF(E141="","Group severity needed",IF(AND(IF(E141="Material weakness",3,IF(E141="Significant deficiency",2,1))&lt;IF(H141="Material weakness",3,IF(H141="Significant deficiency",2,IF(H141="Control deficiency",1,0))),F141=""),"Group below highest individual: justify",IF(F141="","Rationale needed","OK")))))</f>
        <v/>
      </c>
    </row>
    <row r="142" customFormat="false" ht="15" hidden="false" customHeight="false" outlineLevel="0" collapsed="false">
      <c r="A142" s="16"/>
      <c r="B142" s="16"/>
      <c r="C142" s="16"/>
      <c r="D142" s="16"/>
      <c r="E142" s="16"/>
      <c r="F142" s="16"/>
      <c r="G142" s="17" t="str">
        <f aca="false">IF(A142="","",COUNTIF(Deficiency_Log!$P$5:$P$204,A142))</f>
        <v/>
      </c>
      <c r="H142" s="17" t="str">
        <f aca="false">IF(A142="","",IF(COUNTIFS(Deficiency_Log!$P$5:$P$204,A142,Deficiency_Log!$O$5:$O$204,"Material weakness")&gt;0,"Material weakness",IF(COUNTIFS(Deficiency_Log!$P$5:$P$204,A142,Deficiency_Log!$O$5:$O$204,"Significant deficiency")&gt;0,"Significant deficiency",IF(COUNTIFS(Deficiency_Log!$P$5:$P$204,A142,Deficiency_Log!$O$5:$O$204,"Control deficiency")&gt;0,"Control deficiency","—"))))</f>
        <v/>
      </c>
      <c r="I142" s="17" t="str">
        <f aca="false">IF(A142="","",IF(G142=0,"No DEF assigned to group",IF(E142="","Group severity needed",IF(AND(IF(E142="Material weakness",3,IF(E142="Significant deficiency",2,1))&lt;IF(H142="Material weakness",3,IF(H142="Significant deficiency",2,IF(H142="Control deficiency",1,0))),F142=""),"Group below highest individual: justify",IF(F142="","Rationale needed","OK")))))</f>
        <v/>
      </c>
    </row>
    <row r="143" customFormat="false" ht="15" hidden="false" customHeight="false" outlineLevel="0" collapsed="false">
      <c r="A143" s="16"/>
      <c r="B143" s="16"/>
      <c r="C143" s="16"/>
      <c r="D143" s="16"/>
      <c r="E143" s="16"/>
      <c r="F143" s="16"/>
      <c r="G143" s="17" t="str">
        <f aca="false">IF(A143="","",COUNTIF(Deficiency_Log!$P$5:$P$204,A143))</f>
        <v/>
      </c>
      <c r="H143" s="17" t="str">
        <f aca="false">IF(A143="","",IF(COUNTIFS(Deficiency_Log!$P$5:$P$204,A143,Deficiency_Log!$O$5:$O$204,"Material weakness")&gt;0,"Material weakness",IF(COUNTIFS(Deficiency_Log!$P$5:$P$204,A143,Deficiency_Log!$O$5:$O$204,"Significant deficiency")&gt;0,"Significant deficiency",IF(COUNTIFS(Deficiency_Log!$P$5:$P$204,A143,Deficiency_Log!$O$5:$O$204,"Control deficiency")&gt;0,"Control deficiency","—"))))</f>
        <v/>
      </c>
      <c r="I143" s="17" t="str">
        <f aca="false">IF(A143="","",IF(G143=0,"No DEF assigned to group",IF(E143="","Group severity needed",IF(AND(IF(E143="Material weakness",3,IF(E143="Significant deficiency",2,1))&lt;IF(H143="Material weakness",3,IF(H143="Significant deficiency",2,IF(H143="Control deficiency",1,0))),F143=""),"Group below highest individual: justify",IF(F143="","Rationale needed","OK")))))</f>
        <v/>
      </c>
    </row>
    <row r="144" customFormat="false" ht="15" hidden="false" customHeight="false" outlineLevel="0" collapsed="false">
      <c r="A144" s="16"/>
      <c r="B144" s="16"/>
      <c r="C144" s="16"/>
      <c r="D144" s="16"/>
      <c r="E144" s="16"/>
      <c r="F144" s="16"/>
      <c r="G144" s="17" t="str">
        <f aca="false">IF(A144="","",COUNTIF(Deficiency_Log!$P$5:$P$204,A144))</f>
        <v/>
      </c>
      <c r="H144" s="17" t="str">
        <f aca="false">IF(A144="","",IF(COUNTIFS(Deficiency_Log!$P$5:$P$204,A144,Deficiency_Log!$O$5:$O$204,"Material weakness")&gt;0,"Material weakness",IF(COUNTIFS(Deficiency_Log!$P$5:$P$204,A144,Deficiency_Log!$O$5:$O$204,"Significant deficiency")&gt;0,"Significant deficiency",IF(COUNTIFS(Deficiency_Log!$P$5:$P$204,A144,Deficiency_Log!$O$5:$O$204,"Control deficiency")&gt;0,"Control deficiency","—"))))</f>
        <v/>
      </c>
      <c r="I144" s="17" t="str">
        <f aca="false">IF(A144="","",IF(G144=0,"No DEF assigned to group",IF(E144="","Group severity needed",IF(AND(IF(E144="Material weakness",3,IF(E144="Significant deficiency",2,1))&lt;IF(H144="Material weakness",3,IF(H144="Significant deficiency",2,IF(H144="Control deficiency",1,0))),F144=""),"Group below highest individual: justify",IF(F144="","Rationale needed","OK")))))</f>
        <v/>
      </c>
    </row>
    <row r="145" customFormat="false" ht="15" hidden="false" customHeight="false" outlineLevel="0" collapsed="false">
      <c r="A145" s="16"/>
      <c r="B145" s="16"/>
      <c r="C145" s="16"/>
      <c r="D145" s="16"/>
      <c r="E145" s="16"/>
      <c r="F145" s="16"/>
      <c r="G145" s="17" t="str">
        <f aca="false">IF(A145="","",COUNTIF(Deficiency_Log!$P$5:$P$204,A145))</f>
        <v/>
      </c>
      <c r="H145" s="17" t="str">
        <f aca="false">IF(A145="","",IF(COUNTIFS(Deficiency_Log!$P$5:$P$204,A145,Deficiency_Log!$O$5:$O$204,"Material weakness")&gt;0,"Material weakness",IF(COUNTIFS(Deficiency_Log!$P$5:$P$204,A145,Deficiency_Log!$O$5:$O$204,"Significant deficiency")&gt;0,"Significant deficiency",IF(COUNTIFS(Deficiency_Log!$P$5:$P$204,A145,Deficiency_Log!$O$5:$O$204,"Control deficiency")&gt;0,"Control deficiency","—"))))</f>
        <v/>
      </c>
      <c r="I145" s="17" t="str">
        <f aca="false">IF(A145="","",IF(G145=0,"No DEF assigned to group",IF(E145="","Group severity needed",IF(AND(IF(E145="Material weakness",3,IF(E145="Significant deficiency",2,1))&lt;IF(H145="Material weakness",3,IF(H145="Significant deficiency",2,IF(H145="Control deficiency",1,0))),F145=""),"Group below highest individual: justify",IF(F145="","Rationale needed","OK")))))</f>
        <v/>
      </c>
    </row>
    <row r="146" customFormat="false" ht="15" hidden="false" customHeight="false" outlineLevel="0" collapsed="false">
      <c r="A146" s="16"/>
      <c r="B146" s="16"/>
      <c r="C146" s="16"/>
      <c r="D146" s="16"/>
      <c r="E146" s="16"/>
      <c r="F146" s="16"/>
      <c r="G146" s="17" t="str">
        <f aca="false">IF(A146="","",COUNTIF(Deficiency_Log!$P$5:$P$204,A146))</f>
        <v/>
      </c>
      <c r="H146" s="17" t="str">
        <f aca="false">IF(A146="","",IF(COUNTIFS(Deficiency_Log!$P$5:$P$204,A146,Deficiency_Log!$O$5:$O$204,"Material weakness")&gt;0,"Material weakness",IF(COUNTIFS(Deficiency_Log!$P$5:$P$204,A146,Deficiency_Log!$O$5:$O$204,"Significant deficiency")&gt;0,"Significant deficiency",IF(COUNTIFS(Deficiency_Log!$P$5:$P$204,A146,Deficiency_Log!$O$5:$O$204,"Control deficiency")&gt;0,"Control deficiency","—"))))</f>
        <v/>
      </c>
      <c r="I146" s="17" t="str">
        <f aca="false">IF(A146="","",IF(G146=0,"No DEF assigned to group",IF(E146="","Group severity needed",IF(AND(IF(E146="Material weakness",3,IF(E146="Significant deficiency",2,1))&lt;IF(H146="Material weakness",3,IF(H146="Significant deficiency",2,IF(H146="Control deficiency",1,0))),F146=""),"Group below highest individual: justify",IF(F146="","Rationale needed","OK")))))</f>
        <v/>
      </c>
    </row>
    <row r="147" customFormat="false" ht="15" hidden="false" customHeight="false" outlineLevel="0" collapsed="false">
      <c r="A147" s="16"/>
      <c r="B147" s="16"/>
      <c r="C147" s="16"/>
      <c r="D147" s="16"/>
      <c r="E147" s="16"/>
      <c r="F147" s="16"/>
      <c r="G147" s="17" t="str">
        <f aca="false">IF(A147="","",COUNTIF(Deficiency_Log!$P$5:$P$204,A147))</f>
        <v/>
      </c>
      <c r="H147" s="17" t="str">
        <f aca="false">IF(A147="","",IF(COUNTIFS(Deficiency_Log!$P$5:$P$204,A147,Deficiency_Log!$O$5:$O$204,"Material weakness")&gt;0,"Material weakness",IF(COUNTIFS(Deficiency_Log!$P$5:$P$204,A147,Deficiency_Log!$O$5:$O$204,"Significant deficiency")&gt;0,"Significant deficiency",IF(COUNTIFS(Deficiency_Log!$P$5:$P$204,A147,Deficiency_Log!$O$5:$O$204,"Control deficiency")&gt;0,"Control deficiency","—"))))</f>
        <v/>
      </c>
      <c r="I147" s="17" t="str">
        <f aca="false">IF(A147="","",IF(G147=0,"No DEF assigned to group",IF(E147="","Group severity needed",IF(AND(IF(E147="Material weakness",3,IF(E147="Significant deficiency",2,1))&lt;IF(H147="Material weakness",3,IF(H147="Significant deficiency",2,IF(H147="Control deficiency",1,0))),F147=""),"Group below highest individual: justify",IF(F147="","Rationale needed","OK")))))</f>
        <v/>
      </c>
    </row>
    <row r="148" customFormat="false" ht="15" hidden="false" customHeight="false" outlineLevel="0" collapsed="false">
      <c r="A148" s="16"/>
      <c r="B148" s="16"/>
      <c r="C148" s="16"/>
      <c r="D148" s="16"/>
      <c r="E148" s="16"/>
      <c r="F148" s="16"/>
      <c r="G148" s="17" t="str">
        <f aca="false">IF(A148="","",COUNTIF(Deficiency_Log!$P$5:$P$204,A148))</f>
        <v/>
      </c>
      <c r="H148" s="17" t="str">
        <f aca="false">IF(A148="","",IF(COUNTIFS(Deficiency_Log!$P$5:$P$204,A148,Deficiency_Log!$O$5:$O$204,"Material weakness")&gt;0,"Material weakness",IF(COUNTIFS(Deficiency_Log!$P$5:$P$204,A148,Deficiency_Log!$O$5:$O$204,"Significant deficiency")&gt;0,"Significant deficiency",IF(COUNTIFS(Deficiency_Log!$P$5:$P$204,A148,Deficiency_Log!$O$5:$O$204,"Control deficiency")&gt;0,"Control deficiency","—"))))</f>
        <v/>
      </c>
      <c r="I148" s="17" t="str">
        <f aca="false">IF(A148="","",IF(G148=0,"No DEF assigned to group",IF(E148="","Group severity needed",IF(AND(IF(E148="Material weakness",3,IF(E148="Significant deficiency",2,1))&lt;IF(H148="Material weakness",3,IF(H148="Significant deficiency",2,IF(H148="Control deficiency",1,0))),F148=""),"Group below highest individual: justify",IF(F148="","Rationale needed","OK")))))</f>
        <v/>
      </c>
    </row>
    <row r="149" customFormat="false" ht="15" hidden="false" customHeight="false" outlineLevel="0" collapsed="false">
      <c r="A149" s="16"/>
      <c r="B149" s="16"/>
      <c r="C149" s="16"/>
      <c r="D149" s="16"/>
      <c r="E149" s="16"/>
      <c r="F149" s="16"/>
      <c r="G149" s="17" t="str">
        <f aca="false">IF(A149="","",COUNTIF(Deficiency_Log!$P$5:$P$204,A149))</f>
        <v/>
      </c>
      <c r="H149" s="17" t="str">
        <f aca="false">IF(A149="","",IF(COUNTIFS(Deficiency_Log!$P$5:$P$204,A149,Deficiency_Log!$O$5:$O$204,"Material weakness")&gt;0,"Material weakness",IF(COUNTIFS(Deficiency_Log!$P$5:$P$204,A149,Deficiency_Log!$O$5:$O$204,"Significant deficiency")&gt;0,"Significant deficiency",IF(COUNTIFS(Deficiency_Log!$P$5:$P$204,A149,Deficiency_Log!$O$5:$O$204,"Control deficiency")&gt;0,"Control deficiency","—"))))</f>
        <v/>
      </c>
      <c r="I149" s="17" t="str">
        <f aca="false">IF(A149="","",IF(G149=0,"No DEF assigned to group",IF(E149="","Group severity needed",IF(AND(IF(E149="Material weakness",3,IF(E149="Significant deficiency",2,1))&lt;IF(H149="Material weakness",3,IF(H149="Significant deficiency",2,IF(H149="Control deficiency",1,0))),F149=""),"Group below highest individual: justify",IF(F149="","Rationale needed","OK")))))</f>
        <v/>
      </c>
    </row>
    <row r="150" customFormat="false" ht="15" hidden="false" customHeight="false" outlineLevel="0" collapsed="false">
      <c r="A150" s="16"/>
      <c r="B150" s="16"/>
      <c r="C150" s="16"/>
      <c r="D150" s="16"/>
      <c r="E150" s="16"/>
      <c r="F150" s="16"/>
      <c r="G150" s="17" t="str">
        <f aca="false">IF(A150="","",COUNTIF(Deficiency_Log!$P$5:$P$204,A150))</f>
        <v/>
      </c>
      <c r="H150" s="17" t="str">
        <f aca="false">IF(A150="","",IF(COUNTIFS(Deficiency_Log!$P$5:$P$204,A150,Deficiency_Log!$O$5:$O$204,"Material weakness")&gt;0,"Material weakness",IF(COUNTIFS(Deficiency_Log!$P$5:$P$204,A150,Deficiency_Log!$O$5:$O$204,"Significant deficiency")&gt;0,"Significant deficiency",IF(COUNTIFS(Deficiency_Log!$P$5:$P$204,A150,Deficiency_Log!$O$5:$O$204,"Control deficiency")&gt;0,"Control deficiency","—"))))</f>
        <v/>
      </c>
      <c r="I150" s="17" t="str">
        <f aca="false">IF(A150="","",IF(G150=0,"No DEF assigned to group",IF(E150="","Group severity needed",IF(AND(IF(E150="Material weakness",3,IF(E150="Significant deficiency",2,1))&lt;IF(H150="Material weakness",3,IF(H150="Significant deficiency",2,IF(H150="Control deficiency",1,0))),F150=""),"Group below highest individual: justify",IF(F150="","Rationale needed","OK")))))</f>
        <v/>
      </c>
    </row>
    <row r="151" customFormat="false" ht="15" hidden="false" customHeight="false" outlineLevel="0" collapsed="false">
      <c r="A151" s="16"/>
      <c r="B151" s="16"/>
      <c r="C151" s="16"/>
      <c r="D151" s="16"/>
      <c r="E151" s="16"/>
      <c r="F151" s="16"/>
      <c r="G151" s="17" t="str">
        <f aca="false">IF(A151="","",COUNTIF(Deficiency_Log!$P$5:$P$204,A151))</f>
        <v/>
      </c>
      <c r="H151" s="17" t="str">
        <f aca="false">IF(A151="","",IF(COUNTIFS(Deficiency_Log!$P$5:$P$204,A151,Deficiency_Log!$O$5:$O$204,"Material weakness")&gt;0,"Material weakness",IF(COUNTIFS(Deficiency_Log!$P$5:$P$204,A151,Deficiency_Log!$O$5:$O$204,"Significant deficiency")&gt;0,"Significant deficiency",IF(COUNTIFS(Deficiency_Log!$P$5:$P$204,A151,Deficiency_Log!$O$5:$O$204,"Control deficiency")&gt;0,"Control deficiency","—"))))</f>
        <v/>
      </c>
      <c r="I151" s="17" t="str">
        <f aca="false">IF(A151="","",IF(G151=0,"No DEF assigned to group",IF(E151="","Group severity needed",IF(AND(IF(E151="Material weakness",3,IF(E151="Significant deficiency",2,1))&lt;IF(H151="Material weakness",3,IF(H151="Significant deficiency",2,IF(H151="Control deficiency",1,0))),F151=""),"Group below highest individual: justify",IF(F151="","Rationale needed","OK")))))</f>
        <v/>
      </c>
    </row>
    <row r="152" customFormat="false" ht="15" hidden="false" customHeight="false" outlineLevel="0" collapsed="false">
      <c r="A152" s="16"/>
      <c r="B152" s="16"/>
      <c r="C152" s="16"/>
      <c r="D152" s="16"/>
      <c r="E152" s="16"/>
      <c r="F152" s="16"/>
      <c r="G152" s="17" t="str">
        <f aca="false">IF(A152="","",COUNTIF(Deficiency_Log!$P$5:$P$204,A152))</f>
        <v/>
      </c>
      <c r="H152" s="17" t="str">
        <f aca="false">IF(A152="","",IF(COUNTIFS(Deficiency_Log!$P$5:$P$204,A152,Deficiency_Log!$O$5:$O$204,"Material weakness")&gt;0,"Material weakness",IF(COUNTIFS(Deficiency_Log!$P$5:$P$204,A152,Deficiency_Log!$O$5:$O$204,"Significant deficiency")&gt;0,"Significant deficiency",IF(COUNTIFS(Deficiency_Log!$P$5:$P$204,A152,Deficiency_Log!$O$5:$O$204,"Control deficiency")&gt;0,"Control deficiency","—"))))</f>
        <v/>
      </c>
      <c r="I152" s="17" t="str">
        <f aca="false">IF(A152="","",IF(G152=0,"No DEF assigned to group",IF(E152="","Group severity needed",IF(AND(IF(E152="Material weakness",3,IF(E152="Significant deficiency",2,1))&lt;IF(H152="Material weakness",3,IF(H152="Significant deficiency",2,IF(H152="Control deficiency",1,0))),F152=""),"Group below highest individual: justify",IF(F152="","Rationale needed","OK")))))</f>
        <v/>
      </c>
    </row>
    <row r="153" customFormat="false" ht="15" hidden="false" customHeight="false" outlineLevel="0" collapsed="false">
      <c r="A153" s="16"/>
      <c r="B153" s="16"/>
      <c r="C153" s="16"/>
      <c r="D153" s="16"/>
      <c r="E153" s="16"/>
      <c r="F153" s="16"/>
      <c r="G153" s="17" t="str">
        <f aca="false">IF(A153="","",COUNTIF(Deficiency_Log!$P$5:$P$204,A153))</f>
        <v/>
      </c>
      <c r="H153" s="17" t="str">
        <f aca="false">IF(A153="","",IF(COUNTIFS(Deficiency_Log!$P$5:$P$204,A153,Deficiency_Log!$O$5:$O$204,"Material weakness")&gt;0,"Material weakness",IF(COUNTIFS(Deficiency_Log!$P$5:$P$204,A153,Deficiency_Log!$O$5:$O$204,"Significant deficiency")&gt;0,"Significant deficiency",IF(COUNTIFS(Deficiency_Log!$P$5:$P$204,A153,Deficiency_Log!$O$5:$O$204,"Control deficiency")&gt;0,"Control deficiency","—"))))</f>
        <v/>
      </c>
      <c r="I153" s="17" t="str">
        <f aca="false">IF(A153="","",IF(G153=0,"No DEF assigned to group",IF(E153="","Group severity needed",IF(AND(IF(E153="Material weakness",3,IF(E153="Significant deficiency",2,1))&lt;IF(H153="Material weakness",3,IF(H153="Significant deficiency",2,IF(H153="Control deficiency",1,0))),F153=""),"Group below highest individual: justify",IF(F153="","Rationale needed","OK")))))</f>
        <v/>
      </c>
    </row>
    <row r="154" customFormat="false" ht="15" hidden="false" customHeight="false" outlineLevel="0" collapsed="false">
      <c r="A154" s="16"/>
      <c r="B154" s="16"/>
      <c r="C154" s="16"/>
      <c r="D154" s="16"/>
      <c r="E154" s="16"/>
      <c r="F154" s="16"/>
      <c r="G154" s="17" t="str">
        <f aca="false">IF(A154="","",COUNTIF(Deficiency_Log!$P$5:$P$204,A154))</f>
        <v/>
      </c>
      <c r="H154" s="17" t="str">
        <f aca="false">IF(A154="","",IF(COUNTIFS(Deficiency_Log!$P$5:$P$204,A154,Deficiency_Log!$O$5:$O$204,"Material weakness")&gt;0,"Material weakness",IF(COUNTIFS(Deficiency_Log!$P$5:$P$204,A154,Deficiency_Log!$O$5:$O$204,"Significant deficiency")&gt;0,"Significant deficiency",IF(COUNTIFS(Deficiency_Log!$P$5:$P$204,A154,Deficiency_Log!$O$5:$O$204,"Control deficiency")&gt;0,"Control deficiency","—"))))</f>
        <v/>
      </c>
      <c r="I154" s="17" t="str">
        <f aca="false">IF(A154="","",IF(G154=0,"No DEF assigned to group",IF(E154="","Group severity needed",IF(AND(IF(E154="Material weakness",3,IF(E154="Significant deficiency",2,1))&lt;IF(H154="Material weakness",3,IF(H154="Significant deficiency",2,IF(H154="Control deficiency",1,0))),F154=""),"Group below highest individual: justify",IF(F154="","Rationale needed","OK")))))</f>
        <v/>
      </c>
    </row>
    <row r="155" customFormat="false" ht="15" hidden="false" customHeight="false" outlineLevel="0" collapsed="false">
      <c r="A155" s="16"/>
      <c r="B155" s="16"/>
      <c r="C155" s="16"/>
      <c r="D155" s="16"/>
      <c r="E155" s="16"/>
      <c r="F155" s="16"/>
      <c r="G155" s="17" t="str">
        <f aca="false">IF(A155="","",COUNTIF(Deficiency_Log!$P$5:$P$204,A155))</f>
        <v/>
      </c>
      <c r="H155" s="17" t="str">
        <f aca="false">IF(A155="","",IF(COUNTIFS(Deficiency_Log!$P$5:$P$204,A155,Deficiency_Log!$O$5:$O$204,"Material weakness")&gt;0,"Material weakness",IF(COUNTIFS(Deficiency_Log!$P$5:$P$204,A155,Deficiency_Log!$O$5:$O$204,"Significant deficiency")&gt;0,"Significant deficiency",IF(COUNTIFS(Deficiency_Log!$P$5:$P$204,A155,Deficiency_Log!$O$5:$O$204,"Control deficiency")&gt;0,"Control deficiency","—"))))</f>
        <v/>
      </c>
      <c r="I155" s="17" t="str">
        <f aca="false">IF(A155="","",IF(G155=0,"No DEF assigned to group",IF(E155="","Group severity needed",IF(AND(IF(E155="Material weakness",3,IF(E155="Significant deficiency",2,1))&lt;IF(H155="Material weakness",3,IF(H155="Significant deficiency",2,IF(H155="Control deficiency",1,0))),F155=""),"Group below highest individual: justify",IF(F155="","Rationale needed","OK")))))</f>
        <v/>
      </c>
    </row>
    <row r="156" customFormat="false" ht="15" hidden="false" customHeight="false" outlineLevel="0" collapsed="false">
      <c r="A156" s="16"/>
      <c r="B156" s="16"/>
      <c r="C156" s="16"/>
      <c r="D156" s="16"/>
      <c r="E156" s="16"/>
      <c r="F156" s="16"/>
      <c r="G156" s="17" t="str">
        <f aca="false">IF(A156="","",COUNTIF(Deficiency_Log!$P$5:$P$204,A156))</f>
        <v/>
      </c>
      <c r="H156" s="17" t="str">
        <f aca="false">IF(A156="","",IF(COUNTIFS(Deficiency_Log!$P$5:$P$204,A156,Deficiency_Log!$O$5:$O$204,"Material weakness")&gt;0,"Material weakness",IF(COUNTIFS(Deficiency_Log!$P$5:$P$204,A156,Deficiency_Log!$O$5:$O$204,"Significant deficiency")&gt;0,"Significant deficiency",IF(COUNTIFS(Deficiency_Log!$P$5:$P$204,A156,Deficiency_Log!$O$5:$O$204,"Control deficiency")&gt;0,"Control deficiency","—"))))</f>
        <v/>
      </c>
      <c r="I156" s="17" t="str">
        <f aca="false">IF(A156="","",IF(G156=0,"No DEF assigned to group",IF(E156="","Group severity needed",IF(AND(IF(E156="Material weakness",3,IF(E156="Significant deficiency",2,1))&lt;IF(H156="Material weakness",3,IF(H156="Significant deficiency",2,IF(H156="Control deficiency",1,0))),F156=""),"Group below highest individual: justify",IF(F156="","Rationale needed","OK")))))</f>
        <v/>
      </c>
    </row>
    <row r="157" customFormat="false" ht="15" hidden="false" customHeight="false" outlineLevel="0" collapsed="false">
      <c r="A157" s="16"/>
      <c r="B157" s="16"/>
      <c r="C157" s="16"/>
      <c r="D157" s="16"/>
      <c r="E157" s="16"/>
      <c r="F157" s="16"/>
      <c r="G157" s="17" t="str">
        <f aca="false">IF(A157="","",COUNTIF(Deficiency_Log!$P$5:$P$204,A157))</f>
        <v/>
      </c>
      <c r="H157" s="17" t="str">
        <f aca="false">IF(A157="","",IF(COUNTIFS(Deficiency_Log!$P$5:$P$204,A157,Deficiency_Log!$O$5:$O$204,"Material weakness")&gt;0,"Material weakness",IF(COUNTIFS(Deficiency_Log!$P$5:$P$204,A157,Deficiency_Log!$O$5:$O$204,"Significant deficiency")&gt;0,"Significant deficiency",IF(COUNTIFS(Deficiency_Log!$P$5:$P$204,A157,Deficiency_Log!$O$5:$O$204,"Control deficiency")&gt;0,"Control deficiency","—"))))</f>
        <v/>
      </c>
      <c r="I157" s="17" t="str">
        <f aca="false">IF(A157="","",IF(G157=0,"No DEF assigned to group",IF(E157="","Group severity needed",IF(AND(IF(E157="Material weakness",3,IF(E157="Significant deficiency",2,1))&lt;IF(H157="Material weakness",3,IF(H157="Significant deficiency",2,IF(H157="Control deficiency",1,0))),F157=""),"Group below highest individual: justify",IF(F157="","Rationale needed","OK")))))</f>
        <v/>
      </c>
    </row>
    <row r="158" customFormat="false" ht="15" hidden="false" customHeight="false" outlineLevel="0" collapsed="false">
      <c r="A158" s="16"/>
      <c r="B158" s="16"/>
      <c r="C158" s="16"/>
      <c r="D158" s="16"/>
      <c r="E158" s="16"/>
      <c r="F158" s="16"/>
      <c r="G158" s="17" t="str">
        <f aca="false">IF(A158="","",COUNTIF(Deficiency_Log!$P$5:$P$204,A158))</f>
        <v/>
      </c>
      <c r="H158" s="17" t="str">
        <f aca="false">IF(A158="","",IF(COUNTIFS(Deficiency_Log!$P$5:$P$204,A158,Deficiency_Log!$O$5:$O$204,"Material weakness")&gt;0,"Material weakness",IF(COUNTIFS(Deficiency_Log!$P$5:$P$204,A158,Deficiency_Log!$O$5:$O$204,"Significant deficiency")&gt;0,"Significant deficiency",IF(COUNTIFS(Deficiency_Log!$P$5:$P$204,A158,Deficiency_Log!$O$5:$O$204,"Control deficiency")&gt;0,"Control deficiency","—"))))</f>
        <v/>
      </c>
      <c r="I158" s="17" t="str">
        <f aca="false">IF(A158="","",IF(G158=0,"No DEF assigned to group",IF(E158="","Group severity needed",IF(AND(IF(E158="Material weakness",3,IF(E158="Significant deficiency",2,1))&lt;IF(H158="Material weakness",3,IF(H158="Significant deficiency",2,IF(H158="Control deficiency",1,0))),F158=""),"Group below highest individual: justify",IF(F158="","Rationale needed","OK")))))</f>
        <v/>
      </c>
    </row>
    <row r="159" customFormat="false" ht="15" hidden="false" customHeight="false" outlineLevel="0" collapsed="false">
      <c r="A159" s="16"/>
      <c r="B159" s="16"/>
      <c r="C159" s="16"/>
      <c r="D159" s="16"/>
      <c r="E159" s="16"/>
      <c r="F159" s="16"/>
      <c r="G159" s="17" t="str">
        <f aca="false">IF(A159="","",COUNTIF(Deficiency_Log!$P$5:$P$204,A159))</f>
        <v/>
      </c>
      <c r="H159" s="17" t="str">
        <f aca="false">IF(A159="","",IF(COUNTIFS(Deficiency_Log!$P$5:$P$204,A159,Deficiency_Log!$O$5:$O$204,"Material weakness")&gt;0,"Material weakness",IF(COUNTIFS(Deficiency_Log!$P$5:$P$204,A159,Deficiency_Log!$O$5:$O$204,"Significant deficiency")&gt;0,"Significant deficiency",IF(COUNTIFS(Deficiency_Log!$P$5:$P$204,A159,Deficiency_Log!$O$5:$O$204,"Control deficiency")&gt;0,"Control deficiency","—"))))</f>
        <v/>
      </c>
      <c r="I159" s="17" t="str">
        <f aca="false">IF(A159="","",IF(G159=0,"No DEF assigned to group",IF(E159="","Group severity needed",IF(AND(IF(E159="Material weakness",3,IF(E159="Significant deficiency",2,1))&lt;IF(H159="Material weakness",3,IF(H159="Significant deficiency",2,IF(H159="Control deficiency",1,0))),F159=""),"Group below highest individual: justify",IF(F159="","Rationale needed","OK")))))</f>
        <v/>
      </c>
    </row>
    <row r="160" customFormat="false" ht="15" hidden="false" customHeight="false" outlineLevel="0" collapsed="false">
      <c r="A160" s="16"/>
      <c r="B160" s="16"/>
      <c r="C160" s="16"/>
      <c r="D160" s="16"/>
      <c r="E160" s="16"/>
      <c r="F160" s="16"/>
      <c r="G160" s="17" t="str">
        <f aca="false">IF(A160="","",COUNTIF(Deficiency_Log!$P$5:$P$204,A160))</f>
        <v/>
      </c>
      <c r="H160" s="17" t="str">
        <f aca="false">IF(A160="","",IF(COUNTIFS(Deficiency_Log!$P$5:$P$204,A160,Deficiency_Log!$O$5:$O$204,"Material weakness")&gt;0,"Material weakness",IF(COUNTIFS(Deficiency_Log!$P$5:$P$204,A160,Deficiency_Log!$O$5:$O$204,"Significant deficiency")&gt;0,"Significant deficiency",IF(COUNTIFS(Deficiency_Log!$P$5:$P$204,A160,Deficiency_Log!$O$5:$O$204,"Control deficiency")&gt;0,"Control deficiency","—"))))</f>
        <v/>
      </c>
      <c r="I160" s="17" t="str">
        <f aca="false">IF(A160="","",IF(G160=0,"No DEF assigned to group",IF(E160="","Group severity needed",IF(AND(IF(E160="Material weakness",3,IF(E160="Significant deficiency",2,1))&lt;IF(H160="Material weakness",3,IF(H160="Significant deficiency",2,IF(H160="Control deficiency",1,0))),F160=""),"Group below highest individual: justify",IF(F160="","Rationale needed","OK")))))</f>
        <v/>
      </c>
    </row>
    <row r="161" customFormat="false" ht="15" hidden="false" customHeight="false" outlineLevel="0" collapsed="false">
      <c r="A161" s="16"/>
      <c r="B161" s="16"/>
      <c r="C161" s="16"/>
      <c r="D161" s="16"/>
      <c r="E161" s="16"/>
      <c r="F161" s="16"/>
      <c r="G161" s="17" t="str">
        <f aca="false">IF(A161="","",COUNTIF(Deficiency_Log!$P$5:$P$204,A161))</f>
        <v/>
      </c>
      <c r="H161" s="17" t="str">
        <f aca="false">IF(A161="","",IF(COUNTIFS(Deficiency_Log!$P$5:$P$204,A161,Deficiency_Log!$O$5:$O$204,"Material weakness")&gt;0,"Material weakness",IF(COUNTIFS(Deficiency_Log!$P$5:$P$204,A161,Deficiency_Log!$O$5:$O$204,"Significant deficiency")&gt;0,"Significant deficiency",IF(COUNTIFS(Deficiency_Log!$P$5:$P$204,A161,Deficiency_Log!$O$5:$O$204,"Control deficiency")&gt;0,"Control deficiency","—"))))</f>
        <v/>
      </c>
      <c r="I161" s="17" t="str">
        <f aca="false">IF(A161="","",IF(G161=0,"No DEF assigned to group",IF(E161="","Group severity needed",IF(AND(IF(E161="Material weakness",3,IF(E161="Significant deficiency",2,1))&lt;IF(H161="Material weakness",3,IF(H161="Significant deficiency",2,IF(H161="Control deficiency",1,0))),F161=""),"Group below highest individual: justify",IF(F161="","Rationale needed","OK")))))</f>
        <v/>
      </c>
    </row>
    <row r="162" customFormat="false" ht="15" hidden="false" customHeight="false" outlineLevel="0" collapsed="false">
      <c r="A162" s="16"/>
      <c r="B162" s="16"/>
      <c r="C162" s="16"/>
      <c r="D162" s="16"/>
      <c r="E162" s="16"/>
      <c r="F162" s="16"/>
      <c r="G162" s="17" t="str">
        <f aca="false">IF(A162="","",COUNTIF(Deficiency_Log!$P$5:$P$204,A162))</f>
        <v/>
      </c>
      <c r="H162" s="17" t="str">
        <f aca="false">IF(A162="","",IF(COUNTIFS(Deficiency_Log!$P$5:$P$204,A162,Deficiency_Log!$O$5:$O$204,"Material weakness")&gt;0,"Material weakness",IF(COUNTIFS(Deficiency_Log!$P$5:$P$204,A162,Deficiency_Log!$O$5:$O$204,"Significant deficiency")&gt;0,"Significant deficiency",IF(COUNTIFS(Deficiency_Log!$P$5:$P$204,A162,Deficiency_Log!$O$5:$O$204,"Control deficiency")&gt;0,"Control deficiency","—"))))</f>
        <v/>
      </c>
      <c r="I162" s="17" t="str">
        <f aca="false">IF(A162="","",IF(G162=0,"No DEF assigned to group",IF(E162="","Group severity needed",IF(AND(IF(E162="Material weakness",3,IF(E162="Significant deficiency",2,1))&lt;IF(H162="Material weakness",3,IF(H162="Significant deficiency",2,IF(H162="Control deficiency",1,0))),F162=""),"Group below highest individual: justify",IF(F162="","Rationale needed","OK")))))</f>
        <v/>
      </c>
    </row>
    <row r="163" customFormat="false" ht="15" hidden="false" customHeight="false" outlineLevel="0" collapsed="false">
      <c r="A163" s="16"/>
      <c r="B163" s="16"/>
      <c r="C163" s="16"/>
      <c r="D163" s="16"/>
      <c r="E163" s="16"/>
      <c r="F163" s="16"/>
      <c r="G163" s="17" t="str">
        <f aca="false">IF(A163="","",COUNTIF(Deficiency_Log!$P$5:$P$204,A163))</f>
        <v/>
      </c>
      <c r="H163" s="17" t="str">
        <f aca="false">IF(A163="","",IF(COUNTIFS(Deficiency_Log!$P$5:$P$204,A163,Deficiency_Log!$O$5:$O$204,"Material weakness")&gt;0,"Material weakness",IF(COUNTIFS(Deficiency_Log!$P$5:$P$204,A163,Deficiency_Log!$O$5:$O$204,"Significant deficiency")&gt;0,"Significant deficiency",IF(COUNTIFS(Deficiency_Log!$P$5:$P$204,A163,Deficiency_Log!$O$5:$O$204,"Control deficiency")&gt;0,"Control deficiency","—"))))</f>
        <v/>
      </c>
      <c r="I163" s="17" t="str">
        <f aca="false">IF(A163="","",IF(G163=0,"No DEF assigned to group",IF(E163="","Group severity needed",IF(AND(IF(E163="Material weakness",3,IF(E163="Significant deficiency",2,1))&lt;IF(H163="Material weakness",3,IF(H163="Significant deficiency",2,IF(H163="Control deficiency",1,0))),F163=""),"Group below highest individual: justify",IF(F163="","Rationale needed","OK")))))</f>
        <v/>
      </c>
    </row>
    <row r="164" customFormat="false" ht="15" hidden="false" customHeight="false" outlineLevel="0" collapsed="false">
      <c r="A164" s="16"/>
      <c r="B164" s="16"/>
      <c r="C164" s="16"/>
      <c r="D164" s="16"/>
      <c r="E164" s="16"/>
      <c r="F164" s="16"/>
      <c r="G164" s="17" t="str">
        <f aca="false">IF(A164="","",COUNTIF(Deficiency_Log!$P$5:$P$204,A164))</f>
        <v/>
      </c>
      <c r="H164" s="17" t="str">
        <f aca="false">IF(A164="","",IF(COUNTIFS(Deficiency_Log!$P$5:$P$204,A164,Deficiency_Log!$O$5:$O$204,"Material weakness")&gt;0,"Material weakness",IF(COUNTIFS(Deficiency_Log!$P$5:$P$204,A164,Deficiency_Log!$O$5:$O$204,"Significant deficiency")&gt;0,"Significant deficiency",IF(COUNTIFS(Deficiency_Log!$P$5:$P$204,A164,Deficiency_Log!$O$5:$O$204,"Control deficiency")&gt;0,"Control deficiency","—"))))</f>
        <v/>
      </c>
      <c r="I164" s="17" t="str">
        <f aca="false">IF(A164="","",IF(G164=0,"No DEF assigned to group",IF(E164="","Group severity needed",IF(AND(IF(E164="Material weakness",3,IF(E164="Significant deficiency",2,1))&lt;IF(H164="Material weakness",3,IF(H164="Significant deficiency",2,IF(H164="Control deficiency",1,0))),F164=""),"Group below highest individual: justify",IF(F164="","Rationale needed","OK")))))</f>
        <v/>
      </c>
    </row>
    <row r="165" customFormat="false" ht="15" hidden="false" customHeight="false" outlineLevel="0" collapsed="false">
      <c r="A165" s="16"/>
      <c r="B165" s="16"/>
      <c r="C165" s="16"/>
      <c r="D165" s="16"/>
      <c r="E165" s="16"/>
      <c r="F165" s="16"/>
      <c r="G165" s="17" t="str">
        <f aca="false">IF(A165="","",COUNTIF(Deficiency_Log!$P$5:$P$204,A165))</f>
        <v/>
      </c>
      <c r="H165" s="17" t="str">
        <f aca="false">IF(A165="","",IF(COUNTIFS(Deficiency_Log!$P$5:$P$204,A165,Deficiency_Log!$O$5:$O$204,"Material weakness")&gt;0,"Material weakness",IF(COUNTIFS(Deficiency_Log!$P$5:$P$204,A165,Deficiency_Log!$O$5:$O$204,"Significant deficiency")&gt;0,"Significant deficiency",IF(COUNTIFS(Deficiency_Log!$P$5:$P$204,A165,Deficiency_Log!$O$5:$O$204,"Control deficiency")&gt;0,"Control deficiency","—"))))</f>
        <v/>
      </c>
      <c r="I165" s="17" t="str">
        <f aca="false">IF(A165="","",IF(G165=0,"No DEF assigned to group",IF(E165="","Group severity needed",IF(AND(IF(E165="Material weakness",3,IF(E165="Significant deficiency",2,1))&lt;IF(H165="Material weakness",3,IF(H165="Significant deficiency",2,IF(H165="Control deficiency",1,0))),F165=""),"Group below highest individual: justify",IF(F165="","Rationale needed","OK")))))</f>
        <v/>
      </c>
    </row>
    <row r="166" customFormat="false" ht="15" hidden="false" customHeight="false" outlineLevel="0" collapsed="false">
      <c r="A166" s="16"/>
      <c r="B166" s="16"/>
      <c r="C166" s="16"/>
      <c r="D166" s="16"/>
      <c r="E166" s="16"/>
      <c r="F166" s="16"/>
      <c r="G166" s="17" t="str">
        <f aca="false">IF(A166="","",COUNTIF(Deficiency_Log!$P$5:$P$204,A166))</f>
        <v/>
      </c>
      <c r="H166" s="17" t="str">
        <f aca="false">IF(A166="","",IF(COUNTIFS(Deficiency_Log!$P$5:$P$204,A166,Deficiency_Log!$O$5:$O$204,"Material weakness")&gt;0,"Material weakness",IF(COUNTIFS(Deficiency_Log!$P$5:$P$204,A166,Deficiency_Log!$O$5:$O$204,"Significant deficiency")&gt;0,"Significant deficiency",IF(COUNTIFS(Deficiency_Log!$P$5:$P$204,A166,Deficiency_Log!$O$5:$O$204,"Control deficiency")&gt;0,"Control deficiency","—"))))</f>
        <v/>
      </c>
      <c r="I166" s="17" t="str">
        <f aca="false">IF(A166="","",IF(G166=0,"No DEF assigned to group",IF(E166="","Group severity needed",IF(AND(IF(E166="Material weakness",3,IF(E166="Significant deficiency",2,1))&lt;IF(H166="Material weakness",3,IF(H166="Significant deficiency",2,IF(H166="Control deficiency",1,0))),F166=""),"Group below highest individual: justify",IF(F166="","Rationale needed","OK")))))</f>
        <v/>
      </c>
    </row>
    <row r="167" customFormat="false" ht="15" hidden="false" customHeight="false" outlineLevel="0" collapsed="false">
      <c r="A167" s="16"/>
      <c r="B167" s="16"/>
      <c r="C167" s="16"/>
      <c r="D167" s="16"/>
      <c r="E167" s="16"/>
      <c r="F167" s="16"/>
      <c r="G167" s="17" t="str">
        <f aca="false">IF(A167="","",COUNTIF(Deficiency_Log!$P$5:$P$204,A167))</f>
        <v/>
      </c>
      <c r="H167" s="17" t="str">
        <f aca="false">IF(A167="","",IF(COUNTIFS(Deficiency_Log!$P$5:$P$204,A167,Deficiency_Log!$O$5:$O$204,"Material weakness")&gt;0,"Material weakness",IF(COUNTIFS(Deficiency_Log!$P$5:$P$204,A167,Deficiency_Log!$O$5:$O$204,"Significant deficiency")&gt;0,"Significant deficiency",IF(COUNTIFS(Deficiency_Log!$P$5:$P$204,A167,Deficiency_Log!$O$5:$O$204,"Control deficiency")&gt;0,"Control deficiency","—"))))</f>
        <v/>
      </c>
      <c r="I167" s="17" t="str">
        <f aca="false">IF(A167="","",IF(G167=0,"No DEF assigned to group",IF(E167="","Group severity needed",IF(AND(IF(E167="Material weakness",3,IF(E167="Significant deficiency",2,1))&lt;IF(H167="Material weakness",3,IF(H167="Significant deficiency",2,IF(H167="Control deficiency",1,0))),F167=""),"Group below highest individual: justify",IF(F167="","Rationale needed","OK")))))</f>
        <v/>
      </c>
    </row>
    <row r="168" customFormat="false" ht="15" hidden="false" customHeight="false" outlineLevel="0" collapsed="false">
      <c r="A168" s="16"/>
      <c r="B168" s="16"/>
      <c r="C168" s="16"/>
      <c r="D168" s="16"/>
      <c r="E168" s="16"/>
      <c r="F168" s="16"/>
      <c r="G168" s="17" t="str">
        <f aca="false">IF(A168="","",COUNTIF(Deficiency_Log!$P$5:$P$204,A168))</f>
        <v/>
      </c>
      <c r="H168" s="17" t="str">
        <f aca="false">IF(A168="","",IF(COUNTIFS(Deficiency_Log!$P$5:$P$204,A168,Deficiency_Log!$O$5:$O$204,"Material weakness")&gt;0,"Material weakness",IF(COUNTIFS(Deficiency_Log!$P$5:$P$204,A168,Deficiency_Log!$O$5:$O$204,"Significant deficiency")&gt;0,"Significant deficiency",IF(COUNTIFS(Deficiency_Log!$P$5:$P$204,A168,Deficiency_Log!$O$5:$O$204,"Control deficiency")&gt;0,"Control deficiency","—"))))</f>
        <v/>
      </c>
      <c r="I168" s="17" t="str">
        <f aca="false">IF(A168="","",IF(G168=0,"No DEF assigned to group",IF(E168="","Group severity needed",IF(AND(IF(E168="Material weakness",3,IF(E168="Significant deficiency",2,1))&lt;IF(H168="Material weakness",3,IF(H168="Significant deficiency",2,IF(H168="Control deficiency",1,0))),F168=""),"Group below highest individual: justify",IF(F168="","Rationale needed","OK")))))</f>
        <v/>
      </c>
    </row>
    <row r="169" customFormat="false" ht="15" hidden="false" customHeight="false" outlineLevel="0" collapsed="false">
      <c r="A169" s="16"/>
      <c r="B169" s="16"/>
      <c r="C169" s="16"/>
      <c r="D169" s="16"/>
      <c r="E169" s="16"/>
      <c r="F169" s="16"/>
      <c r="G169" s="17" t="str">
        <f aca="false">IF(A169="","",COUNTIF(Deficiency_Log!$P$5:$P$204,A169))</f>
        <v/>
      </c>
      <c r="H169" s="17" t="str">
        <f aca="false">IF(A169="","",IF(COUNTIFS(Deficiency_Log!$P$5:$P$204,A169,Deficiency_Log!$O$5:$O$204,"Material weakness")&gt;0,"Material weakness",IF(COUNTIFS(Deficiency_Log!$P$5:$P$204,A169,Deficiency_Log!$O$5:$O$204,"Significant deficiency")&gt;0,"Significant deficiency",IF(COUNTIFS(Deficiency_Log!$P$5:$P$204,A169,Deficiency_Log!$O$5:$O$204,"Control deficiency")&gt;0,"Control deficiency","—"))))</f>
        <v/>
      </c>
      <c r="I169" s="17" t="str">
        <f aca="false">IF(A169="","",IF(G169=0,"No DEF assigned to group",IF(E169="","Group severity needed",IF(AND(IF(E169="Material weakness",3,IF(E169="Significant deficiency",2,1))&lt;IF(H169="Material weakness",3,IF(H169="Significant deficiency",2,IF(H169="Control deficiency",1,0))),F169=""),"Group below highest individual: justify",IF(F169="","Rationale needed","OK")))))</f>
        <v/>
      </c>
    </row>
    <row r="170" customFormat="false" ht="15" hidden="false" customHeight="false" outlineLevel="0" collapsed="false">
      <c r="A170" s="16"/>
      <c r="B170" s="16"/>
      <c r="C170" s="16"/>
      <c r="D170" s="16"/>
      <c r="E170" s="16"/>
      <c r="F170" s="16"/>
      <c r="G170" s="17" t="str">
        <f aca="false">IF(A170="","",COUNTIF(Deficiency_Log!$P$5:$P$204,A170))</f>
        <v/>
      </c>
      <c r="H170" s="17" t="str">
        <f aca="false">IF(A170="","",IF(COUNTIFS(Deficiency_Log!$P$5:$P$204,A170,Deficiency_Log!$O$5:$O$204,"Material weakness")&gt;0,"Material weakness",IF(COUNTIFS(Deficiency_Log!$P$5:$P$204,A170,Deficiency_Log!$O$5:$O$204,"Significant deficiency")&gt;0,"Significant deficiency",IF(COUNTIFS(Deficiency_Log!$P$5:$P$204,A170,Deficiency_Log!$O$5:$O$204,"Control deficiency")&gt;0,"Control deficiency","—"))))</f>
        <v/>
      </c>
      <c r="I170" s="17" t="str">
        <f aca="false">IF(A170="","",IF(G170=0,"No DEF assigned to group",IF(E170="","Group severity needed",IF(AND(IF(E170="Material weakness",3,IF(E170="Significant deficiency",2,1))&lt;IF(H170="Material weakness",3,IF(H170="Significant deficiency",2,IF(H170="Control deficiency",1,0))),F170=""),"Group below highest individual: justify",IF(F170="","Rationale needed","OK")))))</f>
        <v/>
      </c>
    </row>
    <row r="171" customFormat="false" ht="15" hidden="false" customHeight="false" outlineLevel="0" collapsed="false">
      <c r="A171" s="16"/>
      <c r="B171" s="16"/>
      <c r="C171" s="16"/>
      <c r="D171" s="16"/>
      <c r="E171" s="16"/>
      <c r="F171" s="16"/>
      <c r="G171" s="17" t="str">
        <f aca="false">IF(A171="","",COUNTIF(Deficiency_Log!$P$5:$P$204,A171))</f>
        <v/>
      </c>
      <c r="H171" s="17" t="str">
        <f aca="false">IF(A171="","",IF(COUNTIFS(Deficiency_Log!$P$5:$P$204,A171,Deficiency_Log!$O$5:$O$204,"Material weakness")&gt;0,"Material weakness",IF(COUNTIFS(Deficiency_Log!$P$5:$P$204,A171,Deficiency_Log!$O$5:$O$204,"Significant deficiency")&gt;0,"Significant deficiency",IF(COUNTIFS(Deficiency_Log!$P$5:$P$204,A171,Deficiency_Log!$O$5:$O$204,"Control deficiency")&gt;0,"Control deficiency","—"))))</f>
        <v/>
      </c>
      <c r="I171" s="17" t="str">
        <f aca="false">IF(A171="","",IF(G171=0,"No DEF assigned to group",IF(E171="","Group severity needed",IF(AND(IF(E171="Material weakness",3,IF(E171="Significant deficiency",2,1))&lt;IF(H171="Material weakness",3,IF(H171="Significant deficiency",2,IF(H171="Control deficiency",1,0))),F171=""),"Group below highest individual: justify",IF(F171="","Rationale needed","OK")))))</f>
        <v/>
      </c>
    </row>
    <row r="172" customFormat="false" ht="15" hidden="false" customHeight="false" outlineLevel="0" collapsed="false">
      <c r="A172" s="16"/>
      <c r="B172" s="16"/>
      <c r="C172" s="16"/>
      <c r="D172" s="16"/>
      <c r="E172" s="16"/>
      <c r="F172" s="16"/>
      <c r="G172" s="17" t="str">
        <f aca="false">IF(A172="","",COUNTIF(Deficiency_Log!$P$5:$P$204,A172))</f>
        <v/>
      </c>
      <c r="H172" s="17" t="str">
        <f aca="false">IF(A172="","",IF(COUNTIFS(Deficiency_Log!$P$5:$P$204,A172,Deficiency_Log!$O$5:$O$204,"Material weakness")&gt;0,"Material weakness",IF(COUNTIFS(Deficiency_Log!$P$5:$P$204,A172,Deficiency_Log!$O$5:$O$204,"Significant deficiency")&gt;0,"Significant deficiency",IF(COUNTIFS(Deficiency_Log!$P$5:$P$204,A172,Deficiency_Log!$O$5:$O$204,"Control deficiency")&gt;0,"Control deficiency","—"))))</f>
        <v/>
      </c>
      <c r="I172" s="17" t="str">
        <f aca="false">IF(A172="","",IF(G172=0,"No DEF assigned to group",IF(E172="","Group severity needed",IF(AND(IF(E172="Material weakness",3,IF(E172="Significant deficiency",2,1))&lt;IF(H172="Material weakness",3,IF(H172="Significant deficiency",2,IF(H172="Control deficiency",1,0))),F172=""),"Group below highest individual: justify",IF(F172="","Rationale needed","OK")))))</f>
        <v/>
      </c>
    </row>
    <row r="173" customFormat="false" ht="15" hidden="false" customHeight="false" outlineLevel="0" collapsed="false">
      <c r="A173" s="16"/>
      <c r="B173" s="16"/>
      <c r="C173" s="16"/>
      <c r="D173" s="16"/>
      <c r="E173" s="16"/>
      <c r="F173" s="16"/>
      <c r="G173" s="17" t="str">
        <f aca="false">IF(A173="","",COUNTIF(Deficiency_Log!$P$5:$P$204,A173))</f>
        <v/>
      </c>
      <c r="H173" s="17" t="str">
        <f aca="false">IF(A173="","",IF(COUNTIFS(Deficiency_Log!$P$5:$P$204,A173,Deficiency_Log!$O$5:$O$204,"Material weakness")&gt;0,"Material weakness",IF(COUNTIFS(Deficiency_Log!$P$5:$P$204,A173,Deficiency_Log!$O$5:$O$204,"Significant deficiency")&gt;0,"Significant deficiency",IF(COUNTIFS(Deficiency_Log!$P$5:$P$204,A173,Deficiency_Log!$O$5:$O$204,"Control deficiency")&gt;0,"Control deficiency","—"))))</f>
        <v/>
      </c>
      <c r="I173" s="17" t="str">
        <f aca="false">IF(A173="","",IF(G173=0,"No DEF assigned to group",IF(E173="","Group severity needed",IF(AND(IF(E173="Material weakness",3,IF(E173="Significant deficiency",2,1))&lt;IF(H173="Material weakness",3,IF(H173="Significant deficiency",2,IF(H173="Control deficiency",1,0))),F173=""),"Group below highest individual: justify",IF(F173="","Rationale needed","OK")))))</f>
        <v/>
      </c>
    </row>
    <row r="174" customFormat="false" ht="15" hidden="false" customHeight="false" outlineLevel="0" collapsed="false">
      <c r="A174" s="16"/>
      <c r="B174" s="16"/>
      <c r="C174" s="16"/>
      <c r="D174" s="16"/>
      <c r="E174" s="16"/>
      <c r="F174" s="16"/>
      <c r="G174" s="17" t="str">
        <f aca="false">IF(A174="","",COUNTIF(Deficiency_Log!$P$5:$P$204,A174))</f>
        <v/>
      </c>
      <c r="H174" s="17" t="str">
        <f aca="false">IF(A174="","",IF(COUNTIFS(Deficiency_Log!$P$5:$P$204,A174,Deficiency_Log!$O$5:$O$204,"Material weakness")&gt;0,"Material weakness",IF(COUNTIFS(Deficiency_Log!$P$5:$P$204,A174,Deficiency_Log!$O$5:$O$204,"Significant deficiency")&gt;0,"Significant deficiency",IF(COUNTIFS(Deficiency_Log!$P$5:$P$204,A174,Deficiency_Log!$O$5:$O$204,"Control deficiency")&gt;0,"Control deficiency","—"))))</f>
        <v/>
      </c>
      <c r="I174" s="17" t="str">
        <f aca="false">IF(A174="","",IF(G174=0,"No DEF assigned to group",IF(E174="","Group severity needed",IF(AND(IF(E174="Material weakness",3,IF(E174="Significant deficiency",2,1))&lt;IF(H174="Material weakness",3,IF(H174="Significant deficiency",2,IF(H174="Control deficiency",1,0))),F174=""),"Group below highest individual: justify",IF(F174="","Rationale needed","OK")))))</f>
        <v/>
      </c>
    </row>
    <row r="175" customFormat="false" ht="15" hidden="false" customHeight="false" outlineLevel="0" collapsed="false">
      <c r="A175" s="16"/>
      <c r="B175" s="16"/>
      <c r="C175" s="16"/>
      <c r="D175" s="16"/>
      <c r="E175" s="16"/>
      <c r="F175" s="16"/>
      <c r="G175" s="17" t="str">
        <f aca="false">IF(A175="","",COUNTIF(Deficiency_Log!$P$5:$P$204,A175))</f>
        <v/>
      </c>
      <c r="H175" s="17" t="str">
        <f aca="false">IF(A175="","",IF(COUNTIFS(Deficiency_Log!$P$5:$P$204,A175,Deficiency_Log!$O$5:$O$204,"Material weakness")&gt;0,"Material weakness",IF(COUNTIFS(Deficiency_Log!$P$5:$P$204,A175,Deficiency_Log!$O$5:$O$204,"Significant deficiency")&gt;0,"Significant deficiency",IF(COUNTIFS(Deficiency_Log!$P$5:$P$204,A175,Deficiency_Log!$O$5:$O$204,"Control deficiency")&gt;0,"Control deficiency","—"))))</f>
        <v/>
      </c>
      <c r="I175" s="17" t="str">
        <f aca="false">IF(A175="","",IF(G175=0,"No DEF assigned to group",IF(E175="","Group severity needed",IF(AND(IF(E175="Material weakness",3,IF(E175="Significant deficiency",2,1))&lt;IF(H175="Material weakness",3,IF(H175="Significant deficiency",2,IF(H175="Control deficiency",1,0))),F175=""),"Group below highest individual: justify",IF(F175="","Rationale needed","OK")))))</f>
        <v/>
      </c>
    </row>
    <row r="176" customFormat="false" ht="15" hidden="false" customHeight="false" outlineLevel="0" collapsed="false">
      <c r="A176" s="16"/>
      <c r="B176" s="16"/>
      <c r="C176" s="16"/>
      <c r="D176" s="16"/>
      <c r="E176" s="16"/>
      <c r="F176" s="16"/>
      <c r="G176" s="17" t="str">
        <f aca="false">IF(A176="","",COUNTIF(Deficiency_Log!$P$5:$P$204,A176))</f>
        <v/>
      </c>
      <c r="H176" s="17" t="str">
        <f aca="false">IF(A176="","",IF(COUNTIFS(Deficiency_Log!$P$5:$P$204,A176,Deficiency_Log!$O$5:$O$204,"Material weakness")&gt;0,"Material weakness",IF(COUNTIFS(Deficiency_Log!$P$5:$P$204,A176,Deficiency_Log!$O$5:$O$204,"Significant deficiency")&gt;0,"Significant deficiency",IF(COUNTIFS(Deficiency_Log!$P$5:$P$204,A176,Deficiency_Log!$O$5:$O$204,"Control deficiency")&gt;0,"Control deficiency","—"))))</f>
        <v/>
      </c>
      <c r="I176" s="17" t="str">
        <f aca="false">IF(A176="","",IF(G176=0,"No DEF assigned to group",IF(E176="","Group severity needed",IF(AND(IF(E176="Material weakness",3,IF(E176="Significant deficiency",2,1))&lt;IF(H176="Material weakness",3,IF(H176="Significant deficiency",2,IF(H176="Control deficiency",1,0))),F176=""),"Group below highest individual: justify",IF(F176="","Rationale needed","OK")))))</f>
        <v/>
      </c>
    </row>
    <row r="177" customFormat="false" ht="15" hidden="false" customHeight="false" outlineLevel="0" collapsed="false">
      <c r="A177" s="16"/>
      <c r="B177" s="16"/>
      <c r="C177" s="16"/>
      <c r="D177" s="16"/>
      <c r="E177" s="16"/>
      <c r="F177" s="16"/>
      <c r="G177" s="17" t="str">
        <f aca="false">IF(A177="","",COUNTIF(Deficiency_Log!$P$5:$P$204,A177))</f>
        <v/>
      </c>
      <c r="H177" s="17" t="str">
        <f aca="false">IF(A177="","",IF(COUNTIFS(Deficiency_Log!$P$5:$P$204,A177,Deficiency_Log!$O$5:$O$204,"Material weakness")&gt;0,"Material weakness",IF(COUNTIFS(Deficiency_Log!$P$5:$P$204,A177,Deficiency_Log!$O$5:$O$204,"Significant deficiency")&gt;0,"Significant deficiency",IF(COUNTIFS(Deficiency_Log!$P$5:$P$204,A177,Deficiency_Log!$O$5:$O$204,"Control deficiency")&gt;0,"Control deficiency","—"))))</f>
        <v/>
      </c>
      <c r="I177" s="17" t="str">
        <f aca="false">IF(A177="","",IF(G177=0,"No DEF assigned to group",IF(E177="","Group severity needed",IF(AND(IF(E177="Material weakness",3,IF(E177="Significant deficiency",2,1))&lt;IF(H177="Material weakness",3,IF(H177="Significant deficiency",2,IF(H177="Control deficiency",1,0))),F177=""),"Group below highest individual: justify",IF(F177="","Rationale needed","OK")))))</f>
        <v/>
      </c>
    </row>
    <row r="178" customFormat="false" ht="15" hidden="false" customHeight="false" outlineLevel="0" collapsed="false">
      <c r="A178" s="16"/>
      <c r="B178" s="16"/>
      <c r="C178" s="16"/>
      <c r="D178" s="16"/>
      <c r="E178" s="16"/>
      <c r="F178" s="16"/>
      <c r="G178" s="17" t="str">
        <f aca="false">IF(A178="","",COUNTIF(Deficiency_Log!$P$5:$P$204,A178))</f>
        <v/>
      </c>
      <c r="H178" s="17" t="str">
        <f aca="false">IF(A178="","",IF(COUNTIFS(Deficiency_Log!$P$5:$P$204,A178,Deficiency_Log!$O$5:$O$204,"Material weakness")&gt;0,"Material weakness",IF(COUNTIFS(Deficiency_Log!$P$5:$P$204,A178,Deficiency_Log!$O$5:$O$204,"Significant deficiency")&gt;0,"Significant deficiency",IF(COUNTIFS(Deficiency_Log!$P$5:$P$204,A178,Deficiency_Log!$O$5:$O$204,"Control deficiency")&gt;0,"Control deficiency","—"))))</f>
        <v/>
      </c>
      <c r="I178" s="17" t="str">
        <f aca="false">IF(A178="","",IF(G178=0,"No DEF assigned to group",IF(E178="","Group severity needed",IF(AND(IF(E178="Material weakness",3,IF(E178="Significant deficiency",2,1))&lt;IF(H178="Material weakness",3,IF(H178="Significant deficiency",2,IF(H178="Control deficiency",1,0))),F178=""),"Group below highest individual: justify",IF(F178="","Rationale needed","OK")))))</f>
        <v/>
      </c>
    </row>
    <row r="179" customFormat="false" ht="15" hidden="false" customHeight="false" outlineLevel="0" collapsed="false">
      <c r="A179" s="16"/>
      <c r="B179" s="16"/>
      <c r="C179" s="16"/>
      <c r="D179" s="16"/>
      <c r="E179" s="16"/>
      <c r="F179" s="16"/>
      <c r="G179" s="17" t="str">
        <f aca="false">IF(A179="","",COUNTIF(Deficiency_Log!$P$5:$P$204,A179))</f>
        <v/>
      </c>
      <c r="H179" s="17" t="str">
        <f aca="false">IF(A179="","",IF(COUNTIFS(Deficiency_Log!$P$5:$P$204,A179,Deficiency_Log!$O$5:$O$204,"Material weakness")&gt;0,"Material weakness",IF(COUNTIFS(Deficiency_Log!$P$5:$P$204,A179,Deficiency_Log!$O$5:$O$204,"Significant deficiency")&gt;0,"Significant deficiency",IF(COUNTIFS(Deficiency_Log!$P$5:$P$204,A179,Deficiency_Log!$O$5:$O$204,"Control deficiency")&gt;0,"Control deficiency","—"))))</f>
        <v/>
      </c>
      <c r="I179" s="17" t="str">
        <f aca="false">IF(A179="","",IF(G179=0,"No DEF assigned to group",IF(E179="","Group severity needed",IF(AND(IF(E179="Material weakness",3,IF(E179="Significant deficiency",2,1))&lt;IF(H179="Material weakness",3,IF(H179="Significant deficiency",2,IF(H179="Control deficiency",1,0))),F179=""),"Group below highest individual: justify",IF(F179="","Rationale needed","OK")))))</f>
        <v/>
      </c>
    </row>
    <row r="180" customFormat="false" ht="15" hidden="false" customHeight="false" outlineLevel="0" collapsed="false">
      <c r="A180" s="16"/>
      <c r="B180" s="16"/>
      <c r="C180" s="16"/>
      <c r="D180" s="16"/>
      <c r="E180" s="16"/>
      <c r="F180" s="16"/>
      <c r="G180" s="17" t="str">
        <f aca="false">IF(A180="","",COUNTIF(Deficiency_Log!$P$5:$P$204,A180))</f>
        <v/>
      </c>
      <c r="H180" s="17" t="str">
        <f aca="false">IF(A180="","",IF(COUNTIFS(Deficiency_Log!$P$5:$P$204,A180,Deficiency_Log!$O$5:$O$204,"Material weakness")&gt;0,"Material weakness",IF(COUNTIFS(Deficiency_Log!$P$5:$P$204,A180,Deficiency_Log!$O$5:$O$204,"Significant deficiency")&gt;0,"Significant deficiency",IF(COUNTIFS(Deficiency_Log!$P$5:$P$204,A180,Deficiency_Log!$O$5:$O$204,"Control deficiency")&gt;0,"Control deficiency","—"))))</f>
        <v/>
      </c>
      <c r="I180" s="17" t="str">
        <f aca="false">IF(A180="","",IF(G180=0,"No DEF assigned to group",IF(E180="","Group severity needed",IF(AND(IF(E180="Material weakness",3,IF(E180="Significant deficiency",2,1))&lt;IF(H180="Material weakness",3,IF(H180="Significant deficiency",2,IF(H180="Control deficiency",1,0))),F180=""),"Group below highest individual: justify",IF(F180="","Rationale needed","OK")))))</f>
        <v/>
      </c>
    </row>
    <row r="181" customFormat="false" ht="15" hidden="false" customHeight="false" outlineLevel="0" collapsed="false">
      <c r="A181" s="16"/>
      <c r="B181" s="16"/>
      <c r="C181" s="16"/>
      <c r="D181" s="16"/>
      <c r="E181" s="16"/>
      <c r="F181" s="16"/>
      <c r="G181" s="17" t="str">
        <f aca="false">IF(A181="","",COUNTIF(Deficiency_Log!$P$5:$P$204,A181))</f>
        <v/>
      </c>
      <c r="H181" s="17" t="str">
        <f aca="false">IF(A181="","",IF(COUNTIFS(Deficiency_Log!$P$5:$P$204,A181,Deficiency_Log!$O$5:$O$204,"Material weakness")&gt;0,"Material weakness",IF(COUNTIFS(Deficiency_Log!$P$5:$P$204,A181,Deficiency_Log!$O$5:$O$204,"Significant deficiency")&gt;0,"Significant deficiency",IF(COUNTIFS(Deficiency_Log!$P$5:$P$204,A181,Deficiency_Log!$O$5:$O$204,"Control deficiency")&gt;0,"Control deficiency","—"))))</f>
        <v/>
      </c>
      <c r="I181" s="17" t="str">
        <f aca="false">IF(A181="","",IF(G181=0,"No DEF assigned to group",IF(E181="","Group severity needed",IF(AND(IF(E181="Material weakness",3,IF(E181="Significant deficiency",2,1))&lt;IF(H181="Material weakness",3,IF(H181="Significant deficiency",2,IF(H181="Control deficiency",1,0))),F181=""),"Group below highest individual: justify",IF(F181="","Rationale needed","OK")))))</f>
        <v/>
      </c>
    </row>
    <row r="182" customFormat="false" ht="15" hidden="false" customHeight="false" outlineLevel="0" collapsed="false">
      <c r="A182" s="16"/>
      <c r="B182" s="16"/>
      <c r="C182" s="16"/>
      <c r="D182" s="16"/>
      <c r="E182" s="16"/>
      <c r="F182" s="16"/>
      <c r="G182" s="17" t="str">
        <f aca="false">IF(A182="","",COUNTIF(Deficiency_Log!$P$5:$P$204,A182))</f>
        <v/>
      </c>
      <c r="H182" s="17" t="str">
        <f aca="false">IF(A182="","",IF(COUNTIFS(Deficiency_Log!$P$5:$P$204,A182,Deficiency_Log!$O$5:$O$204,"Material weakness")&gt;0,"Material weakness",IF(COUNTIFS(Deficiency_Log!$P$5:$P$204,A182,Deficiency_Log!$O$5:$O$204,"Significant deficiency")&gt;0,"Significant deficiency",IF(COUNTIFS(Deficiency_Log!$P$5:$P$204,A182,Deficiency_Log!$O$5:$O$204,"Control deficiency")&gt;0,"Control deficiency","—"))))</f>
        <v/>
      </c>
      <c r="I182" s="17" t="str">
        <f aca="false">IF(A182="","",IF(G182=0,"No DEF assigned to group",IF(E182="","Group severity needed",IF(AND(IF(E182="Material weakness",3,IF(E182="Significant deficiency",2,1))&lt;IF(H182="Material weakness",3,IF(H182="Significant deficiency",2,IF(H182="Control deficiency",1,0))),F182=""),"Group below highest individual: justify",IF(F182="","Rationale needed","OK")))))</f>
        <v/>
      </c>
    </row>
    <row r="183" customFormat="false" ht="15" hidden="false" customHeight="false" outlineLevel="0" collapsed="false">
      <c r="A183" s="16"/>
      <c r="B183" s="16"/>
      <c r="C183" s="16"/>
      <c r="D183" s="16"/>
      <c r="E183" s="16"/>
      <c r="F183" s="16"/>
      <c r="G183" s="17" t="str">
        <f aca="false">IF(A183="","",COUNTIF(Deficiency_Log!$P$5:$P$204,A183))</f>
        <v/>
      </c>
      <c r="H183" s="17" t="str">
        <f aca="false">IF(A183="","",IF(COUNTIFS(Deficiency_Log!$P$5:$P$204,A183,Deficiency_Log!$O$5:$O$204,"Material weakness")&gt;0,"Material weakness",IF(COUNTIFS(Deficiency_Log!$P$5:$P$204,A183,Deficiency_Log!$O$5:$O$204,"Significant deficiency")&gt;0,"Significant deficiency",IF(COUNTIFS(Deficiency_Log!$P$5:$P$204,A183,Deficiency_Log!$O$5:$O$204,"Control deficiency")&gt;0,"Control deficiency","—"))))</f>
        <v/>
      </c>
      <c r="I183" s="17" t="str">
        <f aca="false">IF(A183="","",IF(G183=0,"No DEF assigned to group",IF(E183="","Group severity needed",IF(AND(IF(E183="Material weakness",3,IF(E183="Significant deficiency",2,1))&lt;IF(H183="Material weakness",3,IF(H183="Significant deficiency",2,IF(H183="Control deficiency",1,0))),F183=""),"Group below highest individual: justify",IF(F183="","Rationale needed","OK")))))</f>
        <v/>
      </c>
    </row>
    <row r="184" customFormat="false" ht="15" hidden="false" customHeight="false" outlineLevel="0" collapsed="false">
      <c r="A184" s="16"/>
      <c r="B184" s="16"/>
      <c r="C184" s="16"/>
      <c r="D184" s="16"/>
      <c r="E184" s="16"/>
      <c r="F184" s="16"/>
      <c r="G184" s="17" t="str">
        <f aca="false">IF(A184="","",COUNTIF(Deficiency_Log!$P$5:$P$204,A184))</f>
        <v/>
      </c>
      <c r="H184" s="17" t="str">
        <f aca="false">IF(A184="","",IF(COUNTIFS(Deficiency_Log!$P$5:$P$204,A184,Deficiency_Log!$O$5:$O$204,"Material weakness")&gt;0,"Material weakness",IF(COUNTIFS(Deficiency_Log!$P$5:$P$204,A184,Deficiency_Log!$O$5:$O$204,"Significant deficiency")&gt;0,"Significant deficiency",IF(COUNTIFS(Deficiency_Log!$P$5:$P$204,A184,Deficiency_Log!$O$5:$O$204,"Control deficiency")&gt;0,"Control deficiency","—"))))</f>
        <v/>
      </c>
      <c r="I184" s="17" t="str">
        <f aca="false">IF(A184="","",IF(G184=0,"No DEF assigned to group",IF(E184="","Group severity needed",IF(AND(IF(E184="Material weakness",3,IF(E184="Significant deficiency",2,1))&lt;IF(H184="Material weakness",3,IF(H184="Significant deficiency",2,IF(H184="Control deficiency",1,0))),F184=""),"Group below highest individual: justify",IF(F184="","Rationale needed","OK")))))</f>
        <v/>
      </c>
    </row>
    <row r="185" customFormat="false" ht="15" hidden="false" customHeight="false" outlineLevel="0" collapsed="false">
      <c r="A185" s="16"/>
      <c r="B185" s="16"/>
      <c r="C185" s="16"/>
      <c r="D185" s="16"/>
      <c r="E185" s="16"/>
      <c r="F185" s="16"/>
      <c r="G185" s="17" t="str">
        <f aca="false">IF(A185="","",COUNTIF(Deficiency_Log!$P$5:$P$204,A185))</f>
        <v/>
      </c>
      <c r="H185" s="17" t="str">
        <f aca="false">IF(A185="","",IF(COUNTIFS(Deficiency_Log!$P$5:$P$204,A185,Deficiency_Log!$O$5:$O$204,"Material weakness")&gt;0,"Material weakness",IF(COUNTIFS(Deficiency_Log!$P$5:$P$204,A185,Deficiency_Log!$O$5:$O$204,"Significant deficiency")&gt;0,"Significant deficiency",IF(COUNTIFS(Deficiency_Log!$P$5:$P$204,A185,Deficiency_Log!$O$5:$O$204,"Control deficiency")&gt;0,"Control deficiency","—"))))</f>
        <v/>
      </c>
      <c r="I185" s="17" t="str">
        <f aca="false">IF(A185="","",IF(G185=0,"No DEF assigned to group",IF(E185="","Group severity needed",IF(AND(IF(E185="Material weakness",3,IF(E185="Significant deficiency",2,1))&lt;IF(H185="Material weakness",3,IF(H185="Significant deficiency",2,IF(H185="Control deficiency",1,0))),F185=""),"Group below highest individual: justify",IF(F185="","Rationale needed","OK")))))</f>
        <v/>
      </c>
    </row>
    <row r="186" customFormat="false" ht="15" hidden="false" customHeight="false" outlineLevel="0" collapsed="false">
      <c r="A186" s="16"/>
      <c r="B186" s="16"/>
      <c r="C186" s="16"/>
      <c r="D186" s="16"/>
      <c r="E186" s="16"/>
      <c r="F186" s="16"/>
      <c r="G186" s="17" t="str">
        <f aca="false">IF(A186="","",COUNTIF(Deficiency_Log!$P$5:$P$204,A186))</f>
        <v/>
      </c>
      <c r="H186" s="17" t="str">
        <f aca="false">IF(A186="","",IF(COUNTIFS(Deficiency_Log!$P$5:$P$204,A186,Deficiency_Log!$O$5:$O$204,"Material weakness")&gt;0,"Material weakness",IF(COUNTIFS(Deficiency_Log!$P$5:$P$204,A186,Deficiency_Log!$O$5:$O$204,"Significant deficiency")&gt;0,"Significant deficiency",IF(COUNTIFS(Deficiency_Log!$P$5:$P$204,A186,Deficiency_Log!$O$5:$O$204,"Control deficiency")&gt;0,"Control deficiency","—"))))</f>
        <v/>
      </c>
      <c r="I186" s="17" t="str">
        <f aca="false">IF(A186="","",IF(G186=0,"No DEF assigned to group",IF(E186="","Group severity needed",IF(AND(IF(E186="Material weakness",3,IF(E186="Significant deficiency",2,1))&lt;IF(H186="Material weakness",3,IF(H186="Significant deficiency",2,IF(H186="Control deficiency",1,0))),F186=""),"Group below highest individual: justify",IF(F186="","Rationale needed","OK")))))</f>
        <v/>
      </c>
    </row>
    <row r="187" customFormat="false" ht="15" hidden="false" customHeight="false" outlineLevel="0" collapsed="false">
      <c r="A187" s="16"/>
      <c r="B187" s="16"/>
      <c r="C187" s="16"/>
      <c r="D187" s="16"/>
      <c r="E187" s="16"/>
      <c r="F187" s="16"/>
      <c r="G187" s="17" t="str">
        <f aca="false">IF(A187="","",COUNTIF(Deficiency_Log!$P$5:$P$204,A187))</f>
        <v/>
      </c>
      <c r="H187" s="17" t="str">
        <f aca="false">IF(A187="","",IF(COUNTIFS(Deficiency_Log!$P$5:$P$204,A187,Deficiency_Log!$O$5:$O$204,"Material weakness")&gt;0,"Material weakness",IF(COUNTIFS(Deficiency_Log!$P$5:$P$204,A187,Deficiency_Log!$O$5:$O$204,"Significant deficiency")&gt;0,"Significant deficiency",IF(COUNTIFS(Deficiency_Log!$P$5:$P$204,A187,Deficiency_Log!$O$5:$O$204,"Control deficiency")&gt;0,"Control deficiency","—"))))</f>
        <v/>
      </c>
      <c r="I187" s="17" t="str">
        <f aca="false">IF(A187="","",IF(G187=0,"No DEF assigned to group",IF(E187="","Group severity needed",IF(AND(IF(E187="Material weakness",3,IF(E187="Significant deficiency",2,1))&lt;IF(H187="Material weakness",3,IF(H187="Significant deficiency",2,IF(H187="Control deficiency",1,0))),F187=""),"Group below highest individual: justify",IF(F187="","Rationale needed","OK")))))</f>
        <v/>
      </c>
    </row>
    <row r="188" customFormat="false" ht="15" hidden="false" customHeight="false" outlineLevel="0" collapsed="false">
      <c r="A188" s="16"/>
      <c r="B188" s="16"/>
      <c r="C188" s="16"/>
      <c r="D188" s="16"/>
      <c r="E188" s="16"/>
      <c r="F188" s="16"/>
      <c r="G188" s="17" t="str">
        <f aca="false">IF(A188="","",COUNTIF(Deficiency_Log!$P$5:$P$204,A188))</f>
        <v/>
      </c>
      <c r="H188" s="17" t="str">
        <f aca="false">IF(A188="","",IF(COUNTIFS(Deficiency_Log!$P$5:$P$204,A188,Deficiency_Log!$O$5:$O$204,"Material weakness")&gt;0,"Material weakness",IF(COUNTIFS(Deficiency_Log!$P$5:$P$204,A188,Deficiency_Log!$O$5:$O$204,"Significant deficiency")&gt;0,"Significant deficiency",IF(COUNTIFS(Deficiency_Log!$P$5:$P$204,A188,Deficiency_Log!$O$5:$O$204,"Control deficiency")&gt;0,"Control deficiency","—"))))</f>
        <v/>
      </c>
      <c r="I188" s="17" t="str">
        <f aca="false">IF(A188="","",IF(G188=0,"No DEF assigned to group",IF(E188="","Group severity needed",IF(AND(IF(E188="Material weakness",3,IF(E188="Significant deficiency",2,1))&lt;IF(H188="Material weakness",3,IF(H188="Significant deficiency",2,IF(H188="Control deficiency",1,0))),F188=""),"Group below highest individual: justify",IF(F188="","Rationale needed","OK")))))</f>
        <v/>
      </c>
    </row>
    <row r="189" customFormat="false" ht="15" hidden="false" customHeight="false" outlineLevel="0" collapsed="false">
      <c r="A189" s="16"/>
      <c r="B189" s="16"/>
      <c r="C189" s="16"/>
      <c r="D189" s="16"/>
      <c r="E189" s="16"/>
      <c r="F189" s="16"/>
      <c r="G189" s="17" t="str">
        <f aca="false">IF(A189="","",COUNTIF(Deficiency_Log!$P$5:$P$204,A189))</f>
        <v/>
      </c>
      <c r="H189" s="17" t="str">
        <f aca="false">IF(A189="","",IF(COUNTIFS(Deficiency_Log!$P$5:$P$204,A189,Deficiency_Log!$O$5:$O$204,"Material weakness")&gt;0,"Material weakness",IF(COUNTIFS(Deficiency_Log!$P$5:$P$204,A189,Deficiency_Log!$O$5:$O$204,"Significant deficiency")&gt;0,"Significant deficiency",IF(COUNTIFS(Deficiency_Log!$P$5:$P$204,A189,Deficiency_Log!$O$5:$O$204,"Control deficiency")&gt;0,"Control deficiency","—"))))</f>
        <v/>
      </c>
      <c r="I189" s="17" t="str">
        <f aca="false">IF(A189="","",IF(G189=0,"No DEF assigned to group",IF(E189="","Group severity needed",IF(AND(IF(E189="Material weakness",3,IF(E189="Significant deficiency",2,1))&lt;IF(H189="Material weakness",3,IF(H189="Significant deficiency",2,IF(H189="Control deficiency",1,0))),F189=""),"Group below highest individual: justify",IF(F189="","Rationale needed","OK")))))</f>
        <v/>
      </c>
    </row>
    <row r="190" customFormat="false" ht="15" hidden="false" customHeight="false" outlineLevel="0" collapsed="false">
      <c r="A190" s="16"/>
      <c r="B190" s="16"/>
      <c r="C190" s="16"/>
      <c r="D190" s="16"/>
      <c r="E190" s="16"/>
      <c r="F190" s="16"/>
      <c r="G190" s="17" t="str">
        <f aca="false">IF(A190="","",COUNTIF(Deficiency_Log!$P$5:$P$204,A190))</f>
        <v/>
      </c>
      <c r="H190" s="17" t="str">
        <f aca="false">IF(A190="","",IF(COUNTIFS(Deficiency_Log!$P$5:$P$204,A190,Deficiency_Log!$O$5:$O$204,"Material weakness")&gt;0,"Material weakness",IF(COUNTIFS(Deficiency_Log!$P$5:$P$204,A190,Deficiency_Log!$O$5:$O$204,"Significant deficiency")&gt;0,"Significant deficiency",IF(COUNTIFS(Deficiency_Log!$P$5:$P$204,A190,Deficiency_Log!$O$5:$O$204,"Control deficiency")&gt;0,"Control deficiency","—"))))</f>
        <v/>
      </c>
      <c r="I190" s="17" t="str">
        <f aca="false">IF(A190="","",IF(G190=0,"No DEF assigned to group",IF(E190="","Group severity needed",IF(AND(IF(E190="Material weakness",3,IF(E190="Significant deficiency",2,1))&lt;IF(H190="Material weakness",3,IF(H190="Significant deficiency",2,IF(H190="Control deficiency",1,0))),F190=""),"Group below highest individual: justify",IF(F190="","Rationale needed","OK")))))</f>
        <v/>
      </c>
    </row>
    <row r="191" customFormat="false" ht="15" hidden="false" customHeight="false" outlineLevel="0" collapsed="false">
      <c r="A191" s="16"/>
      <c r="B191" s="16"/>
      <c r="C191" s="16"/>
      <c r="D191" s="16"/>
      <c r="E191" s="16"/>
      <c r="F191" s="16"/>
      <c r="G191" s="17" t="str">
        <f aca="false">IF(A191="","",COUNTIF(Deficiency_Log!$P$5:$P$204,A191))</f>
        <v/>
      </c>
      <c r="H191" s="17" t="str">
        <f aca="false">IF(A191="","",IF(COUNTIFS(Deficiency_Log!$P$5:$P$204,A191,Deficiency_Log!$O$5:$O$204,"Material weakness")&gt;0,"Material weakness",IF(COUNTIFS(Deficiency_Log!$P$5:$P$204,A191,Deficiency_Log!$O$5:$O$204,"Significant deficiency")&gt;0,"Significant deficiency",IF(COUNTIFS(Deficiency_Log!$P$5:$P$204,A191,Deficiency_Log!$O$5:$O$204,"Control deficiency")&gt;0,"Control deficiency","—"))))</f>
        <v/>
      </c>
      <c r="I191" s="17" t="str">
        <f aca="false">IF(A191="","",IF(G191=0,"No DEF assigned to group",IF(E191="","Group severity needed",IF(AND(IF(E191="Material weakness",3,IF(E191="Significant deficiency",2,1))&lt;IF(H191="Material weakness",3,IF(H191="Significant deficiency",2,IF(H191="Control deficiency",1,0))),F191=""),"Group below highest individual: justify",IF(F191="","Rationale needed","OK")))))</f>
        <v/>
      </c>
    </row>
    <row r="192" customFormat="false" ht="15" hidden="false" customHeight="false" outlineLevel="0" collapsed="false">
      <c r="A192" s="16"/>
      <c r="B192" s="16"/>
      <c r="C192" s="16"/>
      <c r="D192" s="16"/>
      <c r="E192" s="16"/>
      <c r="F192" s="16"/>
      <c r="G192" s="17" t="str">
        <f aca="false">IF(A192="","",COUNTIF(Deficiency_Log!$P$5:$P$204,A192))</f>
        <v/>
      </c>
      <c r="H192" s="17" t="str">
        <f aca="false">IF(A192="","",IF(COUNTIFS(Deficiency_Log!$P$5:$P$204,A192,Deficiency_Log!$O$5:$O$204,"Material weakness")&gt;0,"Material weakness",IF(COUNTIFS(Deficiency_Log!$P$5:$P$204,A192,Deficiency_Log!$O$5:$O$204,"Significant deficiency")&gt;0,"Significant deficiency",IF(COUNTIFS(Deficiency_Log!$P$5:$P$204,A192,Deficiency_Log!$O$5:$O$204,"Control deficiency")&gt;0,"Control deficiency","—"))))</f>
        <v/>
      </c>
      <c r="I192" s="17" t="str">
        <f aca="false">IF(A192="","",IF(G192=0,"No DEF assigned to group",IF(E192="","Group severity needed",IF(AND(IF(E192="Material weakness",3,IF(E192="Significant deficiency",2,1))&lt;IF(H192="Material weakness",3,IF(H192="Significant deficiency",2,IF(H192="Control deficiency",1,0))),F192=""),"Group below highest individual: justify",IF(F192="","Rationale needed","OK")))))</f>
        <v/>
      </c>
    </row>
    <row r="193" customFormat="false" ht="15" hidden="false" customHeight="false" outlineLevel="0" collapsed="false">
      <c r="A193" s="16"/>
      <c r="B193" s="16"/>
      <c r="C193" s="16"/>
      <c r="D193" s="16"/>
      <c r="E193" s="16"/>
      <c r="F193" s="16"/>
      <c r="G193" s="17" t="str">
        <f aca="false">IF(A193="","",COUNTIF(Deficiency_Log!$P$5:$P$204,A193))</f>
        <v/>
      </c>
      <c r="H193" s="17" t="str">
        <f aca="false">IF(A193="","",IF(COUNTIFS(Deficiency_Log!$P$5:$P$204,A193,Deficiency_Log!$O$5:$O$204,"Material weakness")&gt;0,"Material weakness",IF(COUNTIFS(Deficiency_Log!$P$5:$P$204,A193,Deficiency_Log!$O$5:$O$204,"Significant deficiency")&gt;0,"Significant deficiency",IF(COUNTIFS(Deficiency_Log!$P$5:$P$204,A193,Deficiency_Log!$O$5:$O$204,"Control deficiency")&gt;0,"Control deficiency","—"))))</f>
        <v/>
      </c>
      <c r="I193" s="17" t="str">
        <f aca="false">IF(A193="","",IF(G193=0,"No DEF assigned to group",IF(E193="","Group severity needed",IF(AND(IF(E193="Material weakness",3,IF(E193="Significant deficiency",2,1))&lt;IF(H193="Material weakness",3,IF(H193="Significant deficiency",2,IF(H193="Control deficiency",1,0))),F193=""),"Group below highest individual: justify",IF(F193="","Rationale needed","OK")))))</f>
        <v/>
      </c>
    </row>
    <row r="194" customFormat="false" ht="15" hidden="false" customHeight="false" outlineLevel="0" collapsed="false">
      <c r="A194" s="16"/>
      <c r="B194" s="16"/>
      <c r="C194" s="16"/>
      <c r="D194" s="16"/>
      <c r="E194" s="16"/>
      <c r="F194" s="16"/>
      <c r="G194" s="17" t="str">
        <f aca="false">IF(A194="","",COUNTIF(Deficiency_Log!$P$5:$P$204,A194))</f>
        <v/>
      </c>
      <c r="H194" s="17" t="str">
        <f aca="false">IF(A194="","",IF(COUNTIFS(Deficiency_Log!$P$5:$P$204,A194,Deficiency_Log!$O$5:$O$204,"Material weakness")&gt;0,"Material weakness",IF(COUNTIFS(Deficiency_Log!$P$5:$P$204,A194,Deficiency_Log!$O$5:$O$204,"Significant deficiency")&gt;0,"Significant deficiency",IF(COUNTIFS(Deficiency_Log!$P$5:$P$204,A194,Deficiency_Log!$O$5:$O$204,"Control deficiency")&gt;0,"Control deficiency","—"))))</f>
        <v/>
      </c>
      <c r="I194" s="17" t="str">
        <f aca="false">IF(A194="","",IF(G194=0,"No DEF assigned to group",IF(E194="","Group severity needed",IF(AND(IF(E194="Material weakness",3,IF(E194="Significant deficiency",2,1))&lt;IF(H194="Material weakness",3,IF(H194="Significant deficiency",2,IF(H194="Control deficiency",1,0))),F194=""),"Group below highest individual: justify",IF(F194="","Rationale needed","OK")))))</f>
        <v/>
      </c>
    </row>
    <row r="195" customFormat="false" ht="15" hidden="false" customHeight="false" outlineLevel="0" collapsed="false">
      <c r="A195" s="16"/>
      <c r="B195" s="16"/>
      <c r="C195" s="16"/>
      <c r="D195" s="16"/>
      <c r="E195" s="16"/>
      <c r="F195" s="16"/>
      <c r="G195" s="17" t="str">
        <f aca="false">IF(A195="","",COUNTIF(Deficiency_Log!$P$5:$P$204,A195))</f>
        <v/>
      </c>
      <c r="H195" s="17" t="str">
        <f aca="false">IF(A195="","",IF(COUNTIFS(Deficiency_Log!$P$5:$P$204,A195,Deficiency_Log!$O$5:$O$204,"Material weakness")&gt;0,"Material weakness",IF(COUNTIFS(Deficiency_Log!$P$5:$P$204,A195,Deficiency_Log!$O$5:$O$204,"Significant deficiency")&gt;0,"Significant deficiency",IF(COUNTIFS(Deficiency_Log!$P$5:$P$204,A195,Deficiency_Log!$O$5:$O$204,"Control deficiency")&gt;0,"Control deficiency","—"))))</f>
        <v/>
      </c>
      <c r="I195" s="17" t="str">
        <f aca="false">IF(A195="","",IF(G195=0,"No DEF assigned to group",IF(E195="","Group severity needed",IF(AND(IF(E195="Material weakness",3,IF(E195="Significant deficiency",2,1))&lt;IF(H195="Material weakness",3,IF(H195="Significant deficiency",2,IF(H195="Control deficiency",1,0))),F195=""),"Group below highest individual: justify",IF(F195="","Rationale needed","OK")))))</f>
        <v/>
      </c>
    </row>
    <row r="196" customFormat="false" ht="15" hidden="false" customHeight="false" outlineLevel="0" collapsed="false">
      <c r="A196" s="16"/>
      <c r="B196" s="16"/>
      <c r="C196" s="16"/>
      <c r="D196" s="16"/>
      <c r="E196" s="16"/>
      <c r="F196" s="16"/>
      <c r="G196" s="17" t="str">
        <f aca="false">IF(A196="","",COUNTIF(Deficiency_Log!$P$5:$P$204,A196))</f>
        <v/>
      </c>
      <c r="H196" s="17" t="str">
        <f aca="false">IF(A196="","",IF(COUNTIFS(Deficiency_Log!$P$5:$P$204,A196,Deficiency_Log!$O$5:$O$204,"Material weakness")&gt;0,"Material weakness",IF(COUNTIFS(Deficiency_Log!$P$5:$P$204,A196,Deficiency_Log!$O$5:$O$204,"Significant deficiency")&gt;0,"Significant deficiency",IF(COUNTIFS(Deficiency_Log!$P$5:$P$204,A196,Deficiency_Log!$O$5:$O$204,"Control deficiency")&gt;0,"Control deficiency","—"))))</f>
        <v/>
      </c>
      <c r="I196" s="17" t="str">
        <f aca="false">IF(A196="","",IF(G196=0,"No DEF assigned to group",IF(E196="","Group severity needed",IF(AND(IF(E196="Material weakness",3,IF(E196="Significant deficiency",2,1))&lt;IF(H196="Material weakness",3,IF(H196="Significant deficiency",2,IF(H196="Control deficiency",1,0))),F196=""),"Group below highest individual: justify",IF(F196="","Rationale needed","OK")))))</f>
        <v/>
      </c>
    </row>
    <row r="197" customFormat="false" ht="15" hidden="false" customHeight="false" outlineLevel="0" collapsed="false">
      <c r="A197" s="16"/>
      <c r="B197" s="16"/>
      <c r="C197" s="16"/>
      <c r="D197" s="16"/>
      <c r="E197" s="16"/>
      <c r="F197" s="16"/>
      <c r="G197" s="17" t="str">
        <f aca="false">IF(A197="","",COUNTIF(Deficiency_Log!$P$5:$P$204,A197))</f>
        <v/>
      </c>
      <c r="H197" s="17" t="str">
        <f aca="false">IF(A197="","",IF(COUNTIFS(Deficiency_Log!$P$5:$P$204,A197,Deficiency_Log!$O$5:$O$204,"Material weakness")&gt;0,"Material weakness",IF(COUNTIFS(Deficiency_Log!$P$5:$P$204,A197,Deficiency_Log!$O$5:$O$204,"Significant deficiency")&gt;0,"Significant deficiency",IF(COUNTIFS(Deficiency_Log!$P$5:$P$204,A197,Deficiency_Log!$O$5:$O$204,"Control deficiency")&gt;0,"Control deficiency","—"))))</f>
        <v/>
      </c>
      <c r="I197" s="17" t="str">
        <f aca="false">IF(A197="","",IF(G197=0,"No DEF assigned to group",IF(E197="","Group severity needed",IF(AND(IF(E197="Material weakness",3,IF(E197="Significant deficiency",2,1))&lt;IF(H197="Material weakness",3,IF(H197="Significant deficiency",2,IF(H197="Control deficiency",1,0))),F197=""),"Group below highest individual: justify",IF(F197="","Rationale needed","OK")))))</f>
        <v/>
      </c>
    </row>
    <row r="198" customFormat="false" ht="15" hidden="false" customHeight="false" outlineLevel="0" collapsed="false">
      <c r="A198" s="16"/>
      <c r="B198" s="16"/>
      <c r="C198" s="16"/>
      <c r="D198" s="16"/>
      <c r="E198" s="16"/>
      <c r="F198" s="16"/>
      <c r="G198" s="17" t="str">
        <f aca="false">IF(A198="","",COUNTIF(Deficiency_Log!$P$5:$P$204,A198))</f>
        <v/>
      </c>
      <c r="H198" s="17" t="str">
        <f aca="false">IF(A198="","",IF(COUNTIFS(Deficiency_Log!$P$5:$P$204,A198,Deficiency_Log!$O$5:$O$204,"Material weakness")&gt;0,"Material weakness",IF(COUNTIFS(Deficiency_Log!$P$5:$P$204,A198,Deficiency_Log!$O$5:$O$204,"Significant deficiency")&gt;0,"Significant deficiency",IF(COUNTIFS(Deficiency_Log!$P$5:$P$204,A198,Deficiency_Log!$O$5:$O$204,"Control deficiency")&gt;0,"Control deficiency","—"))))</f>
        <v/>
      </c>
      <c r="I198" s="17" t="str">
        <f aca="false">IF(A198="","",IF(G198=0,"No DEF assigned to group",IF(E198="","Group severity needed",IF(AND(IF(E198="Material weakness",3,IF(E198="Significant deficiency",2,1))&lt;IF(H198="Material weakness",3,IF(H198="Significant deficiency",2,IF(H198="Control deficiency",1,0))),F198=""),"Group below highest individual: justify",IF(F198="","Rationale needed","OK")))))</f>
        <v/>
      </c>
    </row>
    <row r="199" customFormat="false" ht="15" hidden="false" customHeight="false" outlineLevel="0" collapsed="false">
      <c r="A199" s="16"/>
      <c r="B199" s="16"/>
      <c r="C199" s="16"/>
      <c r="D199" s="16"/>
      <c r="E199" s="16"/>
      <c r="F199" s="16"/>
      <c r="G199" s="17" t="str">
        <f aca="false">IF(A199="","",COUNTIF(Deficiency_Log!$P$5:$P$204,A199))</f>
        <v/>
      </c>
      <c r="H199" s="17" t="str">
        <f aca="false">IF(A199="","",IF(COUNTIFS(Deficiency_Log!$P$5:$P$204,A199,Deficiency_Log!$O$5:$O$204,"Material weakness")&gt;0,"Material weakness",IF(COUNTIFS(Deficiency_Log!$P$5:$P$204,A199,Deficiency_Log!$O$5:$O$204,"Significant deficiency")&gt;0,"Significant deficiency",IF(COUNTIFS(Deficiency_Log!$P$5:$P$204,A199,Deficiency_Log!$O$5:$O$204,"Control deficiency")&gt;0,"Control deficiency","—"))))</f>
        <v/>
      </c>
      <c r="I199" s="17" t="str">
        <f aca="false">IF(A199="","",IF(G199=0,"No DEF assigned to group",IF(E199="","Group severity needed",IF(AND(IF(E199="Material weakness",3,IF(E199="Significant deficiency",2,1))&lt;IF(H199="Material weakness",3,IF(H199="Significant deficiency",2,IF(H199="Control deficiency",1,0))),F199=""),"Group below highest individual: justify",IF(F199="","Rationale needed","OK")))))</f>
        <v/>
      </c>
    </row>
    <row r="200" customFormat="false" ht="15" hidden="false" customHeight="false" outlineLevel="0" collapsed="false">
      <c r="A200" s="16"/>
      <c r="B200" s="16"/>
      <c r="C200" s="16"/>
      <c r="D200" s="16"/>
      <c r="E200" s="16"/>
      <c r="F200" s="16"/>
      <c r="G200" s="17" t="str">
        <f aca="false">IF(A200="","",COUNTIF(Deficiency_Log!$P$5:$P$204,A200))</f>
        <v/>
      </c>
      <c r="H200" s="17" t="str">
        <f aca="false">IF(A200="","",IF(COUNTIFS(Deficiency_Log!$P$5:$P$204,A200,Deficiency_Log!$O$5:$O$204,"Material weakness")&gt;0,"Material weakness",IF(COUNTIFS(Deficiency_Log!$P$5:$P$204,A200,Deficiency_Log!$O$5:$O$204,"Significant deficiency")&gt;0,"Significant deficiency",IF(COUNTIFS(Deficiency_Log!$P$5:$P$204,A200,Deficiency_Log!$O$5:$O$204,"Control deficiency")&gt;0,"Control deficiency","—"))))</f>
        <v/>
      </c>
      <c r="I200" s="17" t="str">
        <f aca="false">IF(A200="","",IF(G200=0,"No DEF assigned to group",IF(E200="","Group severity needed",IF(AND(IF(E200="Material weakness",3,IF(E200="Significant deficiency",2,1))&lt;IF(H200="Material weakness",3,IF(H200="Significant deficiency",2,IF(H200="Control deficiency",1,0))),F200=""),"Group below highest individual: justify",IF(F200="","Rationale needed","OK")))))</f>
        <v/>
      </c>
    </row>
    <row r="201" customFormat="false" ht="15" hidden="false" customHeight="false" outlineLevel="0" collapsed="false">
      <c r="A201" s="16"/>
      <c r="B201" s="16"/>
      <c r="C201" s="16"/>
      <c r="D201" s="16"/>
      <c r="E201" s="16"/>
      <c r="F201" s="16"/>
      <c r="G201" s="17" t="str">
        <f aca="false">IF(A201="","",COUNTIF(Deficiency_Log!$P$5:$P$204,A201))</f>
        <v/>
      </c>
      <c r="H201" s="17" t="str">
        <f aca="false">IF(A201="","",IF(COUNTIFS(Deficiency_Log!$P$5:$P$204,A201,Deficiency_Log!$O$5:$O$204,"Material weakness")&gt;0,"Material weakness",IF(COUNTIFS(Deficiency_Log!$P$5:$P$204,A201,Deficiency_Log!$O$5:$O$204,"Significant deficiency")&gt;0,"Significant deficiency",IF(COUNTIFS(Deficiency_Log!$P$5:$P$204,A201,Deficiency_Log!$O$5:$O$204,"Control deficiency")&gt;0,"Control deficiency","—"))))</f>
        <v/>
      </c>
      <c r="I201" s="17" t="str">
        <f aca="false">IF(A201="","",IF(G201=0,"No DEF assigned to group",IF(E201="","Group severity needed",IF(AND(IF(E201="Material weakness",3,IF(E201="Significant deficiency",2,1))&lt;IF(H201="Material weakness",3,IF(H201="Significant deficiency",2,IF(H201="Control deficiency",1,0))),F201=""),"Group below highest individual: justify",IF(F201="","Rationale needed","OK")))))</f>
        <v/>
      </c>
    </row>
    <row r="202" customFormat="false" ht="15" hidden="false" customHeight="false" outlineLevel="0" collapsed="false">
      <c r="A202" s="16"/>
      <c r="B202" s="16"/>
      <c r="C202" s="16"/>
      <c r="D202" s="16"/>
      <c r="E202" s="16"/>
      <c r="F202" s="16"/>
      <c r="G202" s="17" t="str">
        <f aca="false">IF(A202="","",COUNTIF(Deficiency_Log!$P$5:$P$204,A202))</f>
        <v/>
      </c>
      <c r="H202" s="17" t="str">
        <f aca="false">IF(A202="","",IF(COUNTIFS(Deficiency_Log!$P$5:$P$204,A202,Deficiency_Log!$O$5:$O$204,"Material weakness")&gt;0,"Material weakness",IF(COUNTIFS(Deficiency_Log!$P$5:$P$204,A202,Deficiency_Log!$O$5:$O$204,"Significant deficiency")&gt;0,"Significant deficiency",IF(COUNTIFS(Deficiency_Log!$P$5:$P$204,A202,Deficiency_Log!$O$5:$O$204,"Control deficiency")&gt;0,"Control deficiency","—"))))</f>
        <v/>
      </c>
      <c r="I202" s="17" t="str">
        <f aca="false">IF(A202="","",IF(G202=0,"No DEF assigned to group",IF(E202="","Group severity needed",IF(AND(IF(E202="Material weakness",3,IF(E202="Significant deficiency",2,1))&lt;IF(H202="Material weakness",3,IF(H202="Significant deficiency",2,IF(H202="Control deficiency",1,0))),F202=""),"Group below highest individual: justify",IF(F202="","Rationale needed","OK")))))</f>
        <v/>
      </c>
    </row>
    <row r="203" customFormat="false" ht="15" hidden="false" customHeight="false" outlineLevel="0" collapsed="false">
      <c r="A203" s="16"/>
      <c r="B203" s="16"/>
      <c r="C203" s="16"/>
      <c r="D203" s="16"/>
      <c r="E203" s="16"/>
      <c r="F203" s="16"/>
      <c r="G203" s="17" t="str">
        <f aca="false">IF(A203="","",COUNTIF(Deficiency_Log!$P$5:$P$204,A203))</f>
        <v/>
      </c>
      <c r="H203" s="17" t="str">
        <f aca="false">IF(A203="","",IF(COUNTIFS(Deficiency_Log!$P$5:$P$204,A203,Deficiency_Log!$O$5:$O$204,"Material weakness")&gt;0,"Material weakness",IF(COUNTIFS(Deficiency_Log!$P$5:$P$204,A203,Deficiency_Log!$O$5:$O$204,"Significant deficiency")&gt;0,"Significant deficiency",IF(COUNTIFS(Deficiency_Log!$P$5:$P$204,A203,Deficiency_Log!$O$5:$O$204,"Control deficiency")&gt;0,"Control deficiency","—"))))</f>
        <v/>
      </c>
      <c r="I203" s="17" t="str">
        <f aca="false">IF(A203="","",IF(G203=0,"No DEF assigned to group",IF(E203="","Group severity needed",IF(AND(IF(E203="Material weakness",3,IF(E203="Significant deficiency",2,1))&lt;IF(H203="Material weakness",3,IF(H203="Significant deficiency",2,IF(H203="Control deficiency",1,0))),F203=""),"Group below highest individual: justify",IF(F203="","Rationale needed","OK")))))</f>
        <v/>
      </c>
    </row>
    <row r="204" customFormat="false" ht="15" hidden="false" customHeight="false" outlineLevel="0" collapsed="false">
      <c r="A204" s="16"/>
      <c r="B204" s="16"/>
      <c r="C204" s="16"/>
      <c r="D204" s="16"/>
      <c r="E204" s="16"/>
      <c r="F204" s="16"/>
      <c r="G204" s="17" t="str">
        <f aca="false">IF(A204="","",COUNTIF(Deficiency_Log!$P$5:$P$204,A204))</f>
        <v/>
      </c>
      <c r="H204" s="17" t="str">
        <f aca="false">IF(A204="","",IF(COUNTIFS(Deficiency_Log!$P$5:$P$204,A204,Deficiency_Log!$O$5:$O$204,"Material weakness")&gt;0,"Material weakness",IF(COUNTIFS(Deficiency_Log!$P$5:$P$204,A204,Deficiency_Log!$O$5:$O$204,"Significant deficiency")&gt;0,"Significant deficiency",IF(COUNTIFS(Deficiency_Log!$P$5:$P$204,A204,Deficiency_Log!$O$5:$O$204,"Control deficiency")&gt;0,"Control deficiency","—"))))</f>
        <v/>
      </c>
      <c r="I204" s="17" t="str">
        <f aca="false">IF(A204="","",IF(G204=0,"No DEF assigned to group",IF(E204="","Group severity needed",IF(AND(IF(E204="Material weakness",3,IF(E204="Significant deficiency",2,1))&lt;IF(H204="Material weakness",3,IF(H204="Significant deficiency",2,IF(H204="Control deficiency",1,0))),F204=""),"Group below highest individual: justify",IF(F204="","Rationale needed","OK")))))</f>
        <v/>
      </c>
    </row>
  </sheetData>
  <autoFilter ref="A4:I204"/>
  <dataValidations count="1">
    <dataValidation allowBlank="true" error="Pick a value from the list." errorStyle="stop" operator="between" showDropDown="false" showErrorMessage="true" showInputMessage="false" sqref="E5:E204" type="list">
      <formula1>Lists!$C$2:$C$4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5" min="2" style="0" width="44"/>
  </cols>
  <sheetData>
    <row r="1" customFormat="false" ht="31.5" hidden="false" customHeight="true" outlineLevel="0" collapsed="false">
      <c r="A1" s="19" t="s">
        <v>153</v>
      </c>
      <c r="B1" s="19" t="s">
        <v>154</v>
      </c>
      <c r="C1" s="19" t="s">
        <v>155</v>
      </c>
      <c r="D1" s="19" t="s">
        <v>156</v>
      </c>
      <c r="E1" s="19" t="s">
        <v>157</v>
      </c>
    </row>
    <row r="2" customFormat="false" ht="15" hidden="false" customHeight="false" outlineLevel="0" collapsed="false">
      <c r="A2" s="20" t="s">
        <v>114</v>
      </c>
      <c r="B2" s="20" t="s">
        <v>158</v>
      </c>
      <c r="C2" s="20" t="s">
        <v>159</v>
      </c>
      <c r="D2" s="20" t="s">
        <v>160</v>
      </c>
      <c r="E2" s="20" t="s">
        <v>161</v>
      </c>
    </row>
    <row r="3" customFormat="false" ht="15" hidden="false" customHeight="false" outlineLevel="0" collapsed="false">
      <c r="A3" s="20" t="s">
        <v>130</v>
      </c>
      <c r="B3" s="20" t="s">
        <v>162</v>
      </c>
      <c r="C3" s="20" t="s">
        <v>163</v>
      </c>
      <c r="D3" s="20" t="s">
        <v>160</v>
      </c>
      <c r="E3" s="20" t="s">
        <v>164</v>
      </c>
    </row>
    <row r="4" customFormat="false" ht="15" hidden="false" customHeight="false" outlineLevel="0" collapsed="false">
      <c r="A4" s="20" t="s">
        <v>165</v>
      </c>
      <c r="B4" s="20" t="s">
        <v>166</v>
      </c>
      <c r="C4" s="20" t="s">
        <v>167</v>
      </c>
      <c r="D4" s="20" t="s">
        <v>168</v>
      </c>
      <c r="E4" s="20" t="s">
        <v>161</v>
      </c>
    </row>
    <row r="5" customFormat="false" ht="15" hidden="false" customHeight="false" outlineLevel="0" collapsed="false">
      <c r="A5" s="20" t="s">
        <v>169</v>
      </c>
      <c r="B5" s="20" t="s">
        <v>170</v>
      </c>
      <c r="C5" s="20" t="s">
        <v>171</v>
      </c>
      <c r="D5" s="20" t="s">
        <v>172</v>
      </c>
      <c r="E5" s="20" t="s">
        <v>173</v>
      </c>
    </row>
    <row r="6" customFormat="false" ht="15" hidden="false" customHeight="false" outlineLevel="0" collapsed="false">
      <c r="A6" s="20"/>
      <c r="B6" s="20"/>
      <c r="C6" s="20"/>
      <c r="D6" s="20"/>
      <c r="E6" s="20"/>
    </row>
    <row r="7" customFormat="false" ht="15" hidden="false" customHeight="false" outlineLevel="0" collapsed="false">
      <c r="A7" s="20"/>
      <c r="B7" s="20"/>
      <c r="C7" s="20"/>
      <c r="D7" s="20"/>
      <c r="E7" s="20"/>
    </row>
    <row r="8" customFormat="false" ht="15" hidden="false" customHeight="false" outlineLevel="0" collapsed="false">
      <c r="A8" s="20"/>
      <c r="B8" s="20"/>
      <c r="C8" s="20"/>
      <c r="D8" s="20"/>
      <c r="E8" s="20"/>
    </row>
    <row r="9" customFormat="false" ht="15" hidden="false" customHeight="false" outlineLevel="0" collapsed="false">
      <c r="A9" s="20"/>
      <c r="B9" s="20"/>
      <c r="C9" s="20"/>
      <c r="D9" s="20"/>
      <c r="E9" s="20"/>
    </row>
    <row r="10" customFormat="false" ht="15" hidden="false" customHeight="false" outlineLevel="0" collapsed="false">
      <c r="A10" s="20"/>
      <c r="B10" s="20"/>
      <c r="C10" s="20"/>
      <c r="D10" s="20"/>
      <c r="E10" s="20"/>
    </row>
    <row r="11" customFormat="false" ht="15" hidden="false" customHeight="false" outlineLevel="0" collapsed="false">
      <c r="A11" s="20"/>
      <c r="B11" s="20"/>
      <c r="C11" s="20"/>
      <c r="D11" s="20"/>
      <c r="E11" s="20"/>
    </row>
    <row r="12" customFormat="false" ht="15" hidden="false" customHeight="false" outlineLevel="0" collapsed="false">
      <c r="A12" s="20"/>
      <c r="B12" s="20"/>
      <c r="C12" s="20"/>
      <c r="D12" s="20"/>
      <c r="E12" s="20"/>
    </row>
    <row r="13" customFormat="false" ht="15" hidden="false" customHeight="false" outlineLevel="0" collapsed="false">
      <c r="A13" s="20"/>
      <c r="B13" s="20"/>
      <c r="C13" s="20"/>
      <c r="D13" s="20"/>
      <c r="E13" s="20"/>
    </row>
    <row r="14" customFormat="false" ht="15" hidden="false" customHeight="false" outlineLevel="0" collapsed="false">
      <c r="A14" s="20"/>
      <c r="B14" s="20"/>
      <c r="C14" s="20"/>
      <c r="D14" s="20"/>
      <c r="E14" s="20"/>
    </row>
    <row r="15" customFormat="false" ht="15" hidden="false" customHeight="false" outlineLevel="0" collapsed="false">
      <c r="A15" s="20"/>
      <c r="B15" s="20"/>
      <c r="C15" s="20"/>
      <c r="D15" s="20"/>
      <c r="E15" s="20"/>
    </row>
    <row r="16" customFormat="false" ht="15" hidden="false" customHeight="false" outlineLevel="0" collapsed="false">
      <c r="A16" s="20"/>
      <c r="B16" s="20"/>
      <c r="C16" s="20"/>
      <c r="D16" s="20"/>
      <c r="E16" s="20"/>
    </row>
    <row r="17" customFormat="false" ht="15" hidden="false" customHeight="false" outlineLevel="0" collapsed="false">
      <c r="A17" s="20"/>
      <c r="B17" s="20"/>
      <c r="C17" s="20"/>
      <c r="D17" s="20"/>
      <c r="E17" s="20"/>
    </row>
    <row r="18" customFormat="false" ht="15" hidden="false" customHeight="false" outlineLevel="0" collapsed="false">
      <c r="A18" s="20"/>
      <c r="B18" s="20"/>
      <c r="C18" s="20"/>
      <c r="D18" s="20"/>
      <c r="E18" s="20"/>
    </row>
    <row r="19" customFormat="false" ht="15" hidden="false" customHeight="false" outlineLevel="0" collapsed="false">
      <c r="A19" s="20"/>
      <c r="B19" s="20"/>
      <c r="C19" s="20"/>
      <c r="D19" s="20"/>
      <c r="E19" s="20"/>
    </row>
    <row r="20" customFormat="false" ht="15" hidden="false" customHeight="false" outlineLevel="0" collapsed="false">
      <c r="A20" s="20"/>
      <c r="B20" s="20"/>
      <c r="C20" s="20"/>
      <c r="D20" s="20"/>
      <c r="E20" s="20"/>
    </row>
    <row r="21" customFormat="false" ht="15" hidden="false" customHeight="false" outlineLevel="0" collapsed="false">
      <c r="A21" s="20"/>
      <c r="B21" s="20"/>
      <c r="C21" s="20"/>
      <c r="D21" s="20"/>
      <c r="E21" s="20"/>
    </row>
    <row r="22" customFormat="false" ht="15" hidden="false" customHeight="false" outlineLevel="0" collapsed="false">
      <c r="A22" s="20"/>
      <c r="B22" s="20"/>
      <c r="C22" s="20"/>
      <c r="D22" s="20"/>
      <c r="E22" s="20"/>
    </row>
    <row r="23" customFormat="false" ht="15" hidden="false" customHeight="false" outlineLevel="0" collapsed="false">
      <c r="A23" s="20"/>
      <c r="B23" s="20"/>
      <c r="C23" s="20"/>
      <c r="D23" s="20"/>
      <c r="E23" s="20"/>
    </row>
    <row r="24" customFormat="false" ht="15" hidden="false" customHeight="false" outlineLevel="0" collapsed="false">
      <c r="A24" s="20"/>
      <c r="B24" s="20"/>
      <c r="C24" s="20"/>
      <c r="D24" s="20"/>
      <c r="E24" s="20"/>
    </row>
    <row r="25" customFormat="false" ht="15" hidden="false" customHeight="false" outlineLevel="0" collapsed="false">
      <c r="A25" s="20"/>
      <c r="B25" s="20"/>
      <c r="C25" s="20"/>
      <c r="D25" s="20"/>
      <c r="E25" s="20"/>
    </row>
    <row r="26" customFormat="false" ht="15" hidden="false" customHeight="false" outlineLevel="0" collapsed="false">
      <c r="A26" s="20"/>
      <c r="B26" s="20"/>
      <c r="C26" s="20"/>
      <c r="D26" s="20"/>
      <c r="E26" s="20"/>
    </row>
    <row r="27" customFormat="false" ht="15" hidden="false" customHeight="false" outlineLevel="0" collapsed="false">
      <c r="A27" s="20"/>
      <c r="B27" s="20"/>
      <c r="C27" s="20"/>
      <c r="D27" s="20"/>
      <c r="E27" s="20"/>
    </row>
    <row r="28" customFormat="false" ht="15" hidden="false" customHeight="false" outlineLevel="0" collapsed="false">
      <c r="A28" s="20"/>
      <c r="B28" s="20"/>
      <c r="C28" s="20"/>
      <c r="D28" s="20"/>
      <c r="E28" s="20"/>
    </row>
    <row r="29" customFormat="false" ht="15" hidden="false" customHeight="false" outlineLevel="0" collapsed="false">
      <c r="A29" s="20"/>
      <c r="B29" s="20"/>
      <c r="C29" s="20"/>
      <c r="D29" s="20"/>
      <c r="E29" s="20"/>
    </row>
    <row r="30" customFormat="false" ht="15" hidden="false" customHeight="false" outlineLevel="0" collapsed="false">
      <c r="A30" s="20"/>
      <c r="B30" s="20"/>
      <c r="C30" s="20"/>
      <c r="D30" s="20"/>
      <c r="E30" s="20"/>
    </row>
    <row r="31" customFormat="false" ht="15" hidden="false" customHeight="false" outlineLevel="0" collapsed="false">
      <c r="A31" s="20"/>
      <c r="B31" s="20"/>
      <c r="C31" s="20"/>
      <c r="D31" s="20"/>
      <c r="E31" s="20"/>
    </row>
    <row r="32" customFormat="false" ht="15" hidden="false" customHeight="false" outlineLevel="0" collapsed="false">
      <c r="A32" s="20"/>
      <c r="B32" s="20"/>
      <c r="C32" s="20"/>
      <c r="D32" s="20"/>
      <c r="E32" s="20"/>
    </row>
    <row r="33" customFormat="false" ht="15" hidden="false" customHeight="false" outlineLevel="0" collapsed="false">
      <c r="A33" s="20"/>
      <c r="B33" s="20"/>
      <c r="C33" s="20"/>
      <c r="D33" s="20"/>
      <c r="E33" s="20"/>
    </row>
    <row r="34" customFormat="false" ht="15" hidden="false" customHeight="false" outlineLevel="0" collapsed="false">
      <c r="A34" s="20"/>
      <c r="B34" s="20"/>
      <c r="C34" s="20"/>
      <c r="D34" s="20"/>
      <c r="E34" s="20"/>
    </row>
    <row r="35" customFormat="false" ht="15" hidden="false" customHeight="false" outlineLevel="0" collapsed="false">
      <c r="A35" s="20"/>
      <c r="B35" s="20"/>
      <c r="C35" s="20"/>
      <c r="D35" s="20"/>
      <c r="E35" s="20"/>
    </row>
    <row r="36" customFormat="false" ht="15" hidden="false" customHeight="false" outlineLevel="0" collapsed="false">
      <c r="A36" s="20"/>
      <c r="B36" s="20"/>
      <c r="C36" s="20"/>
      <c r="D36" s="20"/>
      <c r="E36" s="20"/>
    </row>
    <row r="37" customFormat="false" ht="15" hidden="false" customHeight="false" outlineLevel="0" collapsed="false">
      <c r="A37" s="20"/>
      <c r="B37" s="20"/>
      <c r="C37" s="20"/>
      <c r="D37" s="20"/>
      <c r="E37" s="20"/>
    </row>
    <row r="38" customFormat="false" ht="15" hidden="false" customHeight="false" outlineLevel="0" collapsed="false">
      <c r="A38" s="20"/>
      <c r="B38" s="20"/>
      <c r="C38" s="20"/>
      <c r="D38" s="20"/>
      <c r="E38" s="20"/>
    </row>
    <row r="39" customFormat="false" ht="15" hidden="false" customHeight="false" outlineLevel="0" collapsed="false">
      <c r="A39" s="20"/>
      <c r="B39" s="20"/>
      <c r="C39" s="20"/>
      <c r="D39" s="20"/>
      <c r="E39" s="20"/>
    </row>
    <row r="40" customFormat="false" ht="15" hidden="false" customHeight="false" outlineLevel="0" collapsed="false">
      <c r="A40" s="20"/>
      <c r="B40" s="20"/>
      <c r="C40" s="20"/>
      <c r="D40" s="20"/>
      <c r="E40" s="20"/>
    </row>
    <row r="41" customFormat="false" ht="15" hidden="false" customHeight="false" outlineLevel="0" collapsed="false">
      <c r="A41" s="20"/>
      <c r="B41" s="20"/>
      <c r="C41" s="20"/>
      <c r="D41" s="20"/>
      <c r="E41" s="20"/>
    </row>
    <row r="42" customFormat="false" ht="15" hidden="false" customHeight="false" outlineLevel="0" collapsed="false">
      <c r="A42" s="20"/>
      <c r="B42" s="20"/>
      <c r="C42" s="20"/>
      <c r="D42" s="20"/>
      <c r="E42" s="20"/>
    </row>
    <row r="43" customFormat="false" ht="15" hidden="false" customHeight="false" outlineLevel="0" collapsed="false">
      <c r="A43" s="20"/>
      <c r="B43" s="20"/>
      <c r="C43" s="20"/>
      <c r="D43" s="20"/>
      <c r="E43" s="20"/>
    </row>
    <row r="44" customFormat="false" ht="15" hidden="false" customHeight="false" outlineLevel="0" collapsed="false">
      <c r="A44" s="20"/>
      <c r="B44" s="20"/>
      <c r="C44" s="20"/>
      <c r="D44" s="20"/>
      <c r="E44" s="20"/>
    </row>
    <row r="45" customFormat="false" ht="15" hidden="false" customHeight="false" outlineLevel="0" collapsed="false">
      <c r="A45" s="20"/>
      <c r="B45" s="20"/>
      <c r="C45" s="20"/>
      <c r="D45" s="20"/>
      <c r="E45" s="20"/>
    </row>
    <row r="46" customFormat="false" ht="15" hidden="false" customHeight="false" outlineLevel="0" collapsed="false">
      <c r="A46" s="20"/>
      <c r="B46" s="20"/>
      <c r="C46" s="20"/>
      <c r="D46" s="20"/>
      <c r="E46" s="20"/>
    </row>
    <row r="47" customFormat="false" ht="15" hidden="false" customHeight="false" outlineLevel="0" collapsed="false">
      <c r="A47" s="20"/>
      <c r="B47" s="20"/>
      <c r="C47" s="20"/>
      <c r="D47" s="20"/>
      <c r="E47" s="20"/>
    </row>
    <row r="48" customFormat="false" ht="15" hidden="false" customHeight="false" outlineLevel="0" collapsed="false">
      <c r="A48" s="20"/>
      <c r="B48" s="20"/>
      <c r="C48" s="20"/>
      <c r="D48" s="20"/>
      <c r="E48" s="20"/>
    </row>
    <row r="49" customFormat="false" ht="15" hidden="false" customHeight="false" outlineLevel="0" collapsed="false">
      <c r="A49" s="20"/>
      <c r="B49" s="20"/>
      <c r="C49" s="20"/>
      <c r="D49" s="20"/>
      <c r="E49" s="20"/>
    </row>
    <row r="50" customFormat="false" ht="15" hidden="false" customHeight="false" outlineLevel="0" collapsed="false">
      <c r="A50" s="20"/>
      <c r="B50" s="20"/>
      <c r="C50" s="20"/>
      <c r="D50" s="20"/>
      <c r="E50" s="20"/>
    </row>
    <row r="51" customFormat="false" ht="15" hidden="false" customHeight="false" outlineLevel="0" collapsed="false">
      <c r="A51" s="20"/>
      <c r="B51" s="20"/>
      <c r="C51" s="20"/>
      <c r="D51" s="20"/>
      <c r="E51" s="20"/>
    </row>
    <row r="52" customFormat="false" ht="15" hidden="false" customHeight="false" outlineLevel="0" collapsed="false">
      <c r="A52" s="20"/>
      <c r="B52" s="20"/>
      <c r="C52" s="20"/>
      <c r="D52" s="20"/>
      <c r="E52" s="20"/>
    </row>
    <row r="53" customFormat="false" ht="15" hidden="false" customHeight="false" outlineLevel="0" collapsed="false">
      <c r="A53" s="20"/>
      <c r="B53" s="20"/>
      <c r="C53" s="20"/>
      <c r="D53" s="20"/>
      <c r="E53" s="20"/>
    </row>
    <row r="54" customFormat="false" ht="15" hidden="false" customHeight="false" outlineLevel="0" collapsed="false">
      <c r="A54" s="20"/>
      <c r="B54" s="20"/>
      <c r="C54" s="20"/>
      <c r="D54" s="20"/>
      <c r="E54" s="20"/>
    </row>
    <row r="55" customFormat="false" ht="15" hidden="false" customHeight="false" outlineLevel="0" collapsed="false">
      <c r="A55" s="20"/>
      <c r="B55" s="20"/>
      <c r="C55" s="20"/>
      <c r="D55" s="20"/>
      <c r="E55" s="20"/>
    </row>
    <row r="56" customFormat="false" ht="15" hidden="false" customHeight="false" outlineLevel="0" collapsed="false">
      <c r="A56" s="20"/>
      <c r="B56" s="20"/>
      <c r="C56" s="20"/>
      <c r="D56" s="20"/>
      <c r="E56" s="20"/>
    </row>
    <row r="57" customFormat="false" ht="15" hidden="false" customHeight="false" outlineLevel="0" collapsed="false">
      <c r="A57" s="20"/>
      <c r="B57" s="20"/>
      <c r="C57" s="20"/>
      <c r="D57" s="20"/>
      <c r="E57" s="20"/>
    </row>
    <row r="58" customFormat="false" ht="15" hidden="false" customHeight="false" outlineLevel="0" collapsed="false">
      <c r="A58" s="20"/>
      <c r="B58" s="20"/>
      <c r="C58" s="20"/>
      <c r="D58" s="20"/>
      <c r="E58" s="20"/>
    </row>
    <row r="59" customFormat="false" ht="15" hidden="false" customHeight="false" outlineLevel="0" collapsed="false">
      <c r="A59" s="20"/>
      <c r="B59" s="20"/>
      <c r="C59" s="20"/>
      <c r="D59" s="20"/>
      <c r="E59" s="20"/>
    </row>
    <row r="60" customFormat="false" ht="15" hidden="false" customHeight="false" outlineLevel="0" collapsed="false">
      <c r="A60" s="20"/>
      <c r="B60" s="20"/>
      <c r="C60" s="20"/>
      <c r="D60" s="20"/>
      <c r="E60" s="20"/>
    </row>
    <row r="61" customFormat="false" ht="15" hidden="false" customHeight="false" outlineLevel="0" collapsed="false">
      <c r="A61" s="20"/>
      <c r="B61" s="20"/>
      <c r="C61" s="20"/>
      <c r="D61" s="20"/>
      <c r="E61" s="20"/>
    </row>
    <row r="62" customFormat="false" ht="15" hidden="false" customHeight="false" outlineLevel="0" collapsed="false">
      <c r="A62" s="20"/>
      <c r="B62" s="20"/>
      <c r="C62" s="20"/>
      <c r="D62" s="20"/>
      <c r="E62" s="20"/>
    </row>
    <row r="63" customFormat="false" ht="15" hidden="false" customHeight="false" outlineLevel="0" collapsed="false">
      <c r="A63" s="20"/>
      <c r="B63" s="20"/>
      <c r="C63" s="20"/>
      <c r="D63" s="20"/>
      <c r="E63" s="20"/>
    </row>
    <row r="64" customFormat="false" ht="15" hidden="false" customHeight="false" outlineLevel="0" collapsed="false">
      <c r="A64" s="20"/>
      <c r="B64" s="20"/>
      <c r="C64" s="20"/>
      <c r="D64" s="20"/>
      <c r="E64" s="20"/>
    </row>
    <row r="65" customFormat="false" ht="15" hidden="false" customHeight="false" outlineLevel="0" collapsed="false">
      <c r="A65" s="20"/>
      <c r="B65" s="20"/>
      <c r="C65" s="20"/>
      <c r="D65" s="20"/>
      <c r="E65" s="20"/>
    </row>
    <row r="66" customFormat="false" ht="15" hidden="false" customHeight="false" outlineLevel="0" collapsed="false">
      <c r="A66" s="20"/>
      <c r="B66" s="20"/>
      <c r="C66" s="20"/>
      <c r="D66" s="20"/>
      <c r="E66" s="20"/>
    </row>
    <row r="67" customFormat="false" ht="15" hidden="false" customHeight="false" outlineLevel="0" collapsed="false">
      <c r="A67" s="20"/>
      <c r="B67" s="20"/>
      <c r="C67" s="20"/>
      <c r="D67" s="20"/>
      <c r="E67" s="20"/>
    </row>
    <row r="68" customFormat="false" ht="15" hidden="false" customHeight="false" outlineLevel="0" collapsed="false">
      <c r="A68" s="20"/>
      <c r="B68" s="20"/>
      <c r="C68" s="20"/>
      <c r="D68" s="20"/>
      <c r="E68" s="20"/>
    </row>
    <row r="69" customFormat="false" ht="15" hidden="false" customHeight="false" outlineLevel="0" collapsed="false">
      <c r="A69" s="20"/>
      <c r="B69" s="20"/>
      <c r="C69" s="20"/>
      <c r="D69" s="20"/>
      <c r="E69" s="20"/>
    </row>
    <row r="70" customFormat="false" ht="15" hidden="false" customHeight="false" outlineLevel="0" collapsed="false">
      <c r="A70" s="20"/>
      <c r="B70" s="20"/>
      <c r="C70" s="20"/>
      <c r="D70" s="20"/>
      <c r="E70" s="20"/>
    </row>
    <row r="71" customFormat="false" ht="15" hidden="false" customHeight="false" outlineLevel="0" collapsed="false">
      <c r="A71" s="20"/>
      <c r="B71" s="20"/>
      <c r="C71" s="20"/>
      <c r="D71" s="20"/>
      <c r="E71" s="20"/>
    </row>
    <row r="72" customFormat="false" ht="15" hidden="false" customHeight="false" outlineLevel="0" collapsed="false">
      <c r="A72" s="20"/>
      <c r="B72" s="20"/>
      <c r="C72" s="20"/>
      <c r="D72" s="20"/>
      <c r="E72" s="20"/>
    </row>
    <row r="73" customFormat="false" ht="15" hidden="false" customHeight="false" outlineLevel="0" collapsed="false">
      <c r="A73" s="20"/>
      <c r="B73" s="20"/>
      <c r="C73" s="20"/>
      <c r="D73" s="20"/>
      <c r="E73" s="20"/>
    </row>
    <row r="74" customFormat="false" ht="15" hidden="false" customHeight="false" outlineLevel="0" collapsed="false">
      <c r="A74" s="20"/>
      <c r="B74" s="20"/>
      <c r="C74" s="20"/>
      <c r="D74" s="20"/>
      <c r="E74" s="20"/>
    </row>
    <row r="75" customFormat="false" ht="15" hidden="false" customHeight="false" outlineLevel="0" collapsed="false">
      <c r="A75" s="20"/>
      <c r="B75" s="20"/>
      <c r="C75" s="20"/>
      <c r="D75" s="20"/>
      <c r="E75" s="20"/>
    </row>
    <row r="76" customFormat="false" ht="15" hidden="false" customHeight="false" outlineLevel="0" collapsed="false">
      <c r="A76" s="20"/>
      <c r="B76" s="20"/>
      <c r="C76" s="20"/>
      <c r="D76" s="20"/>
      <c r="E76" s="20"/>
    </row>
    <row r="77" customFormat="false" ht="15" hidden="false" customHeight="false" outlineLevel="0" collapsed="false">
      <c r="A77" s="20"/>
      <c r="B77" s="20"/>
      <c r="C77" s="20"/>
      <c r="D77" s="20"/>
      <c r="E77" s="20"/>
    </row>
    <row r="78" customFormat="false" ht="15" hidden="false" customHeight="false" outlineLevel="0" collapsed="false">
      <c r="A78" s="20"/>
      <c r="B78" s="20"/>
      <c r="C78" s="20"/>
      <c r="D78" s="20"/>
      <c r="E78" s="20"/>
    </row>
    <row r="79" customFormat="false" ht="15" hidden="false" customHeight="false" outlineLevel="0" collapsed="false">
      <c r="A79" s="20"/>
      <c r="B79" s="20"/>
      <c r="C79" s="20"/>
      <c r="D79" s="20"/>
      <c r="E79" s="20"/>
    </row>
    <row r="80" customFormat="false" ht="15" hidden="false" customHeight="false" outlineLevel="0" collapsed="false">
      <c r="A80" s="20"/>
      <c r="B80" s="20"/>
      <c r="C80" s="20"/>
      <c r="D80" s="20"/>
      <c r="E80" s="20"/>
    </row>
    <row r="81" customFormat="false" ht="15" hidden="false" customHeight="false" outlineLevel="0" collapsed="false">
      <c r="A81" s="20"/>
      <c r="B81" s="20"/>
      <c r="C81" s="20"/>
      <c r="D81" s="20"/>
      <c r="E81" s="20"/>
    </row>
    <row r="82" customFormat="false" ht="15" hidden="false" customHeight="false" outlineLevel="0" collapsed="false">
      <c r="A82" s="20"/>
      <c r="B82" s="20"/>
      <c r="C82" s="20"/>
      <c r="D82" s="20"/>
      <c r="E82" s="20"/>
    </row>
    <row r="83" customFormat="false" ht="15" hidden="false" customHeight="false" outlineLevel="0" collapsed="false">
      <c r="A83" s="20"/>
      <c r="B83" s="20"/>
      <c r="C83" s="20"/>
      <c r="D83" s="20"/>
      <c r="E83" s="20"/>
    </row>
    <row r="84" customFormat="false" ht="15" hidden="false" customHeight="false" outlineLevel="0" collapsed="false">
      <c r="A84" s="20"/>
      <c r="B84" s="20"/>
      <c r="C84" s="20"/>
      <c r="D84" s="20"/>
      <c r="E84" s="20"/>
    </row>
    <row r="85" customFormat="false" ht="15" hidden="false" customHeight="false" outlineLevel="0" collapsed="false">
      <c r="A85" s="20"/>
      <c r="B85" s="20"/>
      <c r="C85" s="20"/>
      <c r="D85" s="20"/>
      <c r="E85" s="20"/>
    </row>
    <row r="86" customFormat="false" ht="15" hidden="false" customHeight="false" outlineLevel="0" collapsed="false">
      <c r="A86" s="20"/>
      <c r="B86" s="20"/>
      <c r="C86" s="20"/>
      <c r="D86" s="20"/>
      <c r="E86" s="20"/>
    </row>
    <row r="87" customFormat="false" ht="15" hidden="false" customHeight="false" outlineLevel="0" collapsed="false">
      <c r="A87" s="20"/>
      <c r="B87" s="20"/>
      <c r="C87" s="20"/>
      <c r="D87" s="20"/>
      <c r="E87" s="20"/>
    </row>
    <row r="88" customFormat="false" ht="15" hidden="false" customHeight="false" outlineLevel="0" collapsed="false">
      <c r="A88" s="20"/>
      <c r="B88" s="20"/>
      <c r="C88" s="20"/>
      <c r="D88" s="20"/>
      <c r="E88" s="20"/>
    </row>
    <row r="89" customFormat="false" ht="15" hidden="false" customHeight="false" outlineLevel="0" collapsed="false">
      <c r="A89" s="20"/>
      <c r="B89" s="20"/>
      <c r="C89" s="20"/>
      <c r="D89" s="20"/>
      <c r="E89" s="20"/>
    </row>
    <row r="90" customFormat="false" ht="15" hidden="false" customHeight="false" outlineLevel="0" collapsed="false">
      <c r="A90" s="20"/>
      <c r="B90" s="20"/>
      <c r="C90" s="20"/>
      <c r="D90" s="20"/>
      <c r="E90" s="20"/>
    </row>
    <row r="91" customFormat="false" ht="15" hidden="false" customHeight="false" outlineLevel="0" collapsed="false">
      <c r="A91" s="20"/>
      <c r="B91" s="20"/>
      <c r="C91" s="20"/>
      <c r="D91" s="20"/>
      <c r="E91" s="20"/>
    </row>
    <row r="92" customFormat="false" ht="15" hidden="false" customHeight="false" outlineLevel="0" collapsed="false">
      <c r="A92" s="20"/>
      <c r="B92" s="20"/>
      <c r="C92" s="20"/>
      <c r="D92" s="20"/>
      <c r="E92" s="20"/>
    </row>
    <row r="93" customFormat="false" ht="15" hidden="false" customHeight="false" outlineLevel="0" collapsed="false">
      <c r="A93" s="20"/>
      <c r="B93" s="20"/>
      <c r="C93" s="20"/>
      <c r="D93" s="20"/>
      <c r="E93" s="20"/>
    </row>
    <row r="94" customFormat="false" ht="15" hidden="false" customHeight="false" outlineLevel="0" collapsed="false">
      <c r="A94" s="20"/>
      <c r="B94" s="20"/>
      <c r="C94" s="20"/>
      <c r="D94" s="20"/>
      <c r="E94" s="20"/>
    </row>
    <row r="95" customFormat="false" ht="15" hidden="false" customHeight="false" outlineLevel="0" collapsed="false">
      <c r="A95" s="20"/>
      <c r="B95" s="20"/>
      <c r="C95" s="20"/>
      <c r="D95" s="20"/>
      <c r="E95" s="20"/>
    </row>
    <row r="96" customFormat="false" ht="15" hidden="false" customHeight="false" outlineLevel="0" collapsed="false">
      <c r="A96" s="20"/>
      <c r="B96" s="20"/>
      <c r="C96" s="20"/>
      <c r="D96" s="20"/>
      <c r="E96" s="20"/>
    </row>
    <row r="97" customFormat="false" ht="15" hidden="false" customHeight="false" outlineLevel="0" collapsed="false">
      <c r="A97" s="20"/>
      <c r="B97" s="20"/>
      <c r="C97" s="20"/>
      <c r="D97" s="20"/>
      <c r="E97" s="20"/>
    </row>
    <row r="98" customFormat="false" ht="15" hidden="false" customHeight="false" outlineLevel="0" collapsed="false">
      <c r="A98" s="20"/>
      <c r="B98" s="20"/>
      <c r="C98" s="20"/>
      <c r="D98" s="20"/>
      <c r="E98" s="20"/>
    </row>
    <row r="99" customFormat="false" ht="15" hidden="false" customHeight="false" outlineLevel="0" collapsed="false">
      <c r="A99" s="20"/>
      <c r="B99" s="20"/>
      <c r="C99" s="20"/>
      <c r="D99" s="20"/>
      <c r="E99" s="20"/>
    </row>
    <row r="100" customFormat="false" ht="15" hidden="false" customHeight="false" outlineLevel="0" collapsed="false">
      <c r="A100" s="20"/>
      <c r="B100" s="20"/>
      <c r="C100" s="20"/>
      <c r="D100" s="20"/>
      <c r="E100" s="20"/>
    </row>
    <row r="101" customFormat="false" ht="15" hidden="false" customHeight="false" outlineLevel="0" collapsed="false">
      <c r="A101" s="20"/>
      <c r="B101" s="20"/>
      <c r="C101" s="20"/>
      <c r="D101" s="20"/>
      <c r="E101" s="20"/>
    </row>
    <row r="102" customFormat="false" ht="15" hidden="false" customHeight="false" outlineLevel="0" collapsed="false">
      <c r="A102" s="20"/>
      <c r="B102" s="20"/>
      <c r="C102" s="20"/>
      <c r="D102" s="20"/>
      <c r="E102" s="20"/>
    </row>
    <row r="103" customFormat="false" ht="15" hidden="false" customHeight="false" outlineLevel="0" collapsed="false">
      <c r="A103" s="20"/>
      <c r="B103" s="20"/>
      <c r="C103" s="20"/>
      <c r="D103" s="20"/>
      <c r="E103" s="20"/>
    </row>
    <row r="104" customFormat="false" ht="15" hidden="false" customHeight="false" outlineLevel="0" collapsed="false">
      <c r="A104" s="20"/>
      <c r="B104" s="20"/>
      <c r="C104" s="20"/>
      <c r="D104" s="20"/>
      <c r="E104" s="20"/>
    </row>
    <row r="105" customFormat="false" ht="15" hidden="false" customHeight="false" outlineLevel="0" collapsed="false">
      <c r="A105" s="20"/>
      <c r="B105" s="20"/>
      <c r="C105" s="20"/>
      <c r="D105" s="20"/>
      <c r="E105" s="20"/>
    </row>
    <row r="106" customFormat="false" ht="15" hidden="false" customHeight="false" outlineLevel="0" collapsed="false">
      <c r="A106" s="20"/>
      <c r="B106" s="20"/>
      <c r="C106" s="20"/>
      <c r="D106" s="20"/>
      <c r="E106" s="20"/>
    </row>
    <row r="107" customFormat="false" ht="15" hidden="false" customHeight="false" outlineLevel="0" collapsed="false">
      <c r="A107" s="20"/>
      <c r="B107" s="20"/>
      <c r="C107" s="20"/>
      <c r="D107" s="20"/>
      <c r="E107" s="20"/>
    </row>
    <row r="108" customFormat="false" ht="15" hidden="false" customHeight="false" outlineLevel="0" collapsed="false">
      <c r="A108" s="20"/>
      <c r="B108" s="20"/>
      <c r="C108" s="20"/>
      <c r="D108" s="20"/>
      <c r="E108" s="20"/>
    </row>
    <row r="109" customFormat="false" ht="15" hidden="false" customHeight="false" outlineLevel="0" collapsed="false">
      <c r="A109" s="20"/>
      <c r="B109" s="20"/>
      <c r="C109" s="20"/>
      <c r="D109" s="20"/>
      <c r="E109" s="20"/>
    </row>
    <row r="110" customFormat="false" ht="15" hidden="false" customHeight="false" outlineLevel="0" collapsed="false">
      <c r="A110" s="20"/>
      <c r="B110" s="20"/>
      <c r="C110" s="20"/>
      <c r="D110" s="20"/>
      <c r="E110" s="20"/>
    </row>
    <row r="111" customFormat="false" ht="15" hidden="false" customHeight="false" outlineLevel="0" collapsed="false">
      <c r="A111" s="20"/>
      <c r="B111" s="20"/>
      <c r="C111" s="20"/>
      <c r="D111" s="20"/>
      <c r="E111" s="20"/>
    </row>
    <row r="112" customFormat="false" ht="15" hidden="false" customHeight="false" outlineLevel="0" collapsed="false">
      <c r="A112" s="20"/>
      <c r="B112" s="20"/>
      <c r="C112" s="20"/>
      <c r="D112" s="20"/>
      <c r="E112" s="20"/>
    </row>
    <row r="113" customFormat="false" ht="15" hidden="false" customHeight="false" outlineLevel="0" collapsed="false">
      <c r="A113" s="20"/>
      <c r="B113" s="20"/>
      <c r="C113" s="20"/>
      <c r="D113" s="20"/>
      <c r="E113" s="20"/>
    </row>
    <row r="114" customFormat="false" ht="15" hidden="false" customHeight="false" outlineLevel="0" collapsed="false">
      <c r="A114" s="20"/>
      <c r="B114" s="20"/>
      <c r="C114" s="20"/>
      <c r="D114" s="20"/>
      <c r="E114" s="20"/>
    </row>
    <row r="115" customFormat="false" ht="15" hidden="false" customHeight="false" outlineLevel="0" collapsed="false">
      <c r="A115" s="20"/>
      <c r="B115" s="20"/>
      <c r="C115" s="20"/>
      <c r="D115" s="20"/>
      <c r="E115" s="20"/>
    </row>
    <row r="116" customFormat="false" ht="15" hidden="false" customHeight="false" outlineLevel="0" collapsed="false">
      <c r="A116" s="20"/>
      <c r="B116" s="20"/>
      <c r="C116" s="20"/>
      <c r="D116" s="20"/>
      <c r="E116" s="20"/>
    </row>
    <row r="117" customFormat="false" ht="15" hidden="false" customHeight="false" outlineLevel="0" collapsed="false">
      <c r="A117" s="20"/>
      <c r="B117" s="20"/>
      <c r="C117" s="20"/>
      <c r="D117" s="20"/>
      <c r="E117" s="20"/>
    </row>
    <row r="118" customFormat="false" ht="15" hidden="false" customHeight="false" outlineLevel="0" collapsed="false">
      <c r="A118" s="20"/>
      <c r="B118" s="20"/>
      <c r="C118" s="20"/>
      <c r="D118" s="20"/>
      <c r="E118" s="20"/>
    </row>
    <row r="119" customFormat="false" ht="15" hidden="false" customHeight="false" outlineLevel="0" collapsed="false">
      <c r="A119" s="20"/>
      <c r="B119" s="20"/>
      <c r="C119" s="20"/>
      <c r="D119" s="20"/>
      <c r="E119" s="20"/>
    </row>
    <row r="120" customFormat="false" ht="15" hidden="false" customHeight="false" outlineLevel="0" collapsed="false">
      <c r="A120" s="20"/>
      <c r="B120" s="20"/>
      <c r="C120" s="20"/>
      <c r="D120" s="20"/>
      <c r="E120" s="20"/>
    </row>
    <row r="121" customFormat="false" ht="15" hidden="false" customHeight="false" outlineLevel="0" collapsed="false">
      <c r="A121" s="20"/>
      <c r="B121" s="20"/>
      <c r="C121" s="20"/>
      <c r="D121" s="20"/>
      <c r="E121" s="20"/>
    </row>
    <row r="122" customFormat="false" ht="15" hidden="false" customHeight="false" outlineLevel="0" collapsed="false">
      <c r="A122" s="20"/>
      <c r="B122" s="20"/>
      <c r="C122" s="20"/>
      <c r="D122" s="20"/>
      <c r="E122" s="20"/>
    </row>
    <row r="123" customFormat="false" ht="15" hidden="false" customHeight="false" outlineLevel="0" collapsed="false">
      <c r="A123" s="20"/>
      <c r="B123" s="20"/>
      <c r="C123" s="20"/>
      <c r="D123" s="20"/>
      <c r="E123" s="20"/>
    </row>
    <row r="124" customFormat="false" ht="15" hidden="false" customHeight="false" outlineLevel="0" collapsed="false">
      <c r="A124" s="20"/>
      <c r="B124" s="20"/>
      <c r="C124" s="20"/>
      <c r="D124" s="20"/>
      <c r="E124" s="20"/>
    </row>
    <row r="125" customFormat="false" ht="15" hidden="false" customHeight="false" outlineLevel="0" collapsed="false">
      <c r="A125" s="20"/>
      <c r="B125" s="20"/>
      <c r="C125" s="20"/>
      <c r="D125" s="20"/>
      <c r="E125" s="20"/>
    </row>
    <row r="126" customFormat="false" ht="15" hidden="false" customHeight="false" outlineLevel="0" collapsed="false">
      <c r="A126" s="20"/>
      <c r="B126" s="20"/>
      <c r="C126" s="20"/>
      <c r="D126" s="20"/>
      <c r="E126" s="20"/>
    </row>
    <row r="127" customFormat="false" ht="15" hidden="false" customHeight="false" outlineLevel="0" collapsed="false">
      <c r="A127" s="20"/>
      <c r="B127" s="20"/>
      <c r="C127" s="20"/>
      <c r="D127" s="20"/>
      <c r="E127" s="20"/>
    </row>
    <row r="128" customFormat="false" ht="15" hidden="false" customHeight="false" outlineLevel="0" collapsed="false">
      <c r="A128" s="20"/>
      <c r="B128" s="20"/>
      <c r="C128" s="20"/>
      <c r="D128" s="20"/>
      <c r="E128" s="20"/>
    </row>
    <row r="129" customFormat="false" ht="15" hidden="false" customHeight="false" outlineLevel="0" collapsed="false">
      <c r="A129" s="20"/>
      <c r="B129" s="20"/>
      <c r="C129" s="20"/>
      <c r="D129" s="20"/>
      <c r="E129" s="20"/>
    </row>
    <row r="130" customFormat="false" ht="15" hidden="false" customHeight="false" outlineLevel="0" collapsed="false">
      <c r="A130" s="20"/>
      <c r="B130" s="20"/>
      <c r="C130" s="20"/>
      <c r="D130" s="20"/>
      <c r="E130" s="20"/>
    </row>
    <row r="131" customFormat="false" ht="15" hidden="false" customHeight="false" outlineLevel="0" collapsed="false">
      <c r="A131" s="20"/>
      <c r="B131" s="20"/>
      <c r="C131" s="20"/>
      <c r="D131" s="20"/>
      <c r="E131" s="20"/>
    </row>
    <row r="132" customFormat="false" ht="15" hidden="false" customHeight="false" outlineLevel="0" collapsed="false">
      <c r="A132" s="20"/>
      <c r="B132" s="20"/>
      <c r="C132" s="20"/>
      <c r="D132" s="20"/>
      <c r="E132" s="20"/>
    </row>
    <row r="133" customFormat="false" ht="15" hidden="false" customHeight="false" outlineLevel="0" collapsed="false">
      <c r="A133" s="20"/>
      <c r="B133" s="20"/>
      <c r="C133" s="20"/>
      <c r="D133" s="20"/>
      <c r="E133" s="20"/>
    </row>
    <row r="134" customFormat="false" ht="15" hidden="false" customHeight="false" outlineLevel="0" collapsed="false">
      <c r="A134" s="20"/>
      <c r="B134" s="20"/>
      <c r="C134" s="20"/>
      <c r="D134" s="20"/>
      <c r="E134" s="20"/>
    </row>
    <row r="135" customFormat="false" ht="15" hidden="false" customHeight="false" outlineLevel="0" collapsed="false">
      <c r="A135" s="20"/>
      <c r="B135" s="20"/>
      <c r="C135" s="20"/>
      <c r="D135" s="20"/>
      <c r="E135" s="20"/>
    </row>
    <row r="136" customFormat="false" ht="15" hidden="false" customHeight="false" outlineLevel="0" collapsed="false">
      <c r="A136" s="20"/>
      <c r="B136" s="20"/>
      <c r="C136" s="20"/>
      <c r="D136" s="20"/>
      <c r="E136" s="20"/>
    </row>
    <row r="137" customFormat="false" ht="15" hidden="false" customHeight="false" outlineLevel="0" collapsed="false">
      <c r="A137" s="20"/>
      <c r="B137" s="20"/>
      <c r="C137" s="20"/>
      <c r="D137" s="20"/>
      <c r="E137" s="20"/>
    </row>
    <row r="138" customFormat="false" ht="15" hidden="false" customHeight="false" outlineLevel="0" collapsed="false">
      <c r="A138" s="20"/>
      <c r="B138" s="20"/>
      <c r="C138" s="20"/>
      <c r="D138" s="20"/>
      <c r="E138" s="20"/>
    </row>
    <row r="139" customFormat="false" ht="15" hidden="false" customHeight="false" outlineLevel="0" collapsed="false">
      <c r="A139" s="20"/>
      <c r="B139" s="20"/>
      <c r="C139" s="20"/>
      <c r="D139" s="20"/>
      <c r="E139" s="20"/>
    </row>
    <row r="140" customFormat="false" ht="15" hidden="false" customHeight="false" outlineLevel="0" collapsed="false">
      <c r="A140" s="20"/>
      <c r="B140" s="20"/>
      <c r="C140" s="20"/>
      <c r="D140" s="20"/>
      <c r="E140" s="20"/>
    </row>
    <row r="141" customFormat="false" ht="15" hidden="false" customHeight="false" outlineLevel="0" collapsed="false">
      <c r="A141" s="20"/>
      <c r="B141" s="20"/>
      <c r="C141" s="20"/>
      <c r="D141" s="20"/>
      <c r="E141" s="20"/>
    </row>
    <row r="142" customFormat="false" ht="15" hidden="false" customHeight="false" outlineLevel="0" collapsed="false">
      <c r="A142" s="20"/>
      <c r="B142" s="20"/>
      <c r="C142" s="20"/>
      <c r="D142" s="20"/>
      <c r="E142" s="20"/>
    </row>
    <row r="143" customFormat="false" ht="15" hidden="false" customHeight="false" outlineLevel="0" collapsed="false">
      <c r="A143" s="20"/>
      <c r="B143" s="20"/>
      <c r="C143" s="20"/>
      <c r="D143" s="20"/>
      <c r="E143" s="20"/>
    </row>
    <row r="144" customFormat="false" ht="15" hidden="false" customHeight="false" outlineLevel="0" collapsed="false">
      <c r="A144" s="20"/>
      <c r="B144" s="20"/>
      <c r="C144" s="20"/>
      <c r="D144" s="20"/>
      <c r="E144" s="20"/>
    </row>
    <row r="145" customFormat="false" ht="15" hidden="false" customHeight="false" outlineLevel="0" collapsed="false">
      <c r="A145" s="20"/>
      <c r="B145" s="20"/>
      <c r="C145" s="20"/>
      <c r="D145" s="20"/>
      <c r="E145" s="20"/>
    </row>
    <row r="146" customFormat="false" ht="15" hidden="false" customHeight="false" outlineLevel="0" collapsed="false">
      <c r="A146" s="20"/>
      <c r="B146" s="20"/>
      <c r="C146" s="20"/>
      <c r="D146" s="20"/>
      <c r="E146" s="20"/>
    </row>
    <row r="147" customFormat="false" ht="15" hidden="false" customHeight="false" outlineLevel="0" collapsed="false">
      <c r="A147" s="20"/>
      <c r="B147" s="20"/>
      <c r="C147" s="20"/>
      <c r="D147" s="20"/>
      <c r="E147" s="20"/>
    </row>
    <row r="148" customFormat="false" ht="15" hidden="false" customHeight="false" outlineLevel="0" collapsed="false">
      <c r="A148" s="20"/>
      <c r="B148" s="20"/>
      <c r="C148" s="20"/>
      <c r="D148" s="20"/>
      <c r="E148" s="20"/>
    </row>
    <row r="149" customFormat="false" ht="15" hidden="false" customHeight="false" outlineLevel="0" collapsed="false">
      <c r="A149" s="20"/>
      <c r="B149" s="20"/>
      <c r="C149" s="20"/>
      <c r="D149" s="20"/>
      <c r="E149" s="20"/>
    </row>
    <row r="150" customFormat="false" ht="15" hidden="false" customHeight="false" outlineLevel="0" collapsed="false">
      <c r="A150" s="20"/>
      <c r="B150" s="20"/>
      <c r="C150" s="20"/>
      <c r="D150" s="20"/>
      <c r="E150" s="20"/>
    </row>
    <row r="151" customFormat="false" ht="15" hidden="false" customHeight="false" outlineLevel="0" collapsed="false">
      <c r="A151" s="20"/>
      <c r="B151" s="20"/>
      <c r="C151" s="20"/>
      <c r="D151" s="20"/>
      <c r="E151" s="20"/>
    </row>
    <row r="152" customFormat="false" ht="15" hidden="false" customHeight="false" outlineLevel="0" collapsed="false">
      <c r="A152" s="20"/>
      <c r="B152" s="20"/>
      <c r="C152" s="20"/>
      <c r="D152" s="20"/>
      <c r="E152" s="20"/>
    </row>
    <row r="153" customFormat="false" ht="15" hidden="false" customHeight="false" outlineLevel="0" collapsed="false">
      <c r="A153" s="20"/>
      <c r="B153" s="20"/>
      <c r="C153" s="20"/>
      <c r="D153" s="20"/>
      <c r="E153" s="20"/>
    </row>
    <row r="154" customFormat="false" ht="15" hidden="false" customHeight="false" outlineLevel="0" collapsed="false">
      <c r="A154" s="20"/>
      <c r="B154" s="20"/>
      <c r="C154" s="20"/>
      <c r="D154" s="20"/>
      <c r="E154" s="20"/>
    </row>
    <row r="155" customFormat="false" ht="15" hidden="false" customHeight="false" outlineLevel="0" collapsed="false">
      <c r="A155" s="20"/>
      <c r="B155" s="20"/>
      <c r="C155" s="20"/>
      <c r="D155" s="20"/>
      <c r="E155" s="20"/>
    </row>
    <row r="156" customFormat="false" ht="15" hidden="false" customHeight="false" outlineLevel="0" collapsed="false">
      <c r="A156" s="20"/>
      <c r="B156" s="20"/>
      <c r="C156" s="20"/>
      <c r="D156" s="20"/>
      <c r="E156" s="20"/>
    </row>
    <row r="157" customFormat="false" ht="15" hidden="false" customHeight="false" outlineLevel="0" collapsed="false">
      <c r="A157" s="20"/>
      <c r="B157" s="20"/>
      <c r="C157" s="20"/>
      <c r="D157" s="20"/>
      <c r="E157" s="20"/>
    </row>
    <row r="158" customFormat="false" ht="15" hidden="false" customHeight="false" outlineLevel="0" collapsed="false">
      <c r="A158" s="20"/>
      <c r="B158" s="20"/>
      <c r="C158" s="20"/>
      <c r="D158" s="20"/>
      <c r="E158" s="20"/>
    </row>
    <row r="159" customFormat="false" ht="15" hidden="false" customHeight="false" outlineLevel="0" collapsed="false">
      <c r="A159" s="20"/>
      <c r="B159" s="20"/>
      <c r="C159" s="20"/>
      <c r="D159" s="20"/>
      <c r="E159" s="20"/>
    </row>
    <row r="160" customFormat="false" ht="15" hidden="false" customHeight="false" outlineLevel="0" collapsed="false">
      <c r="A160" s="20"/>
      <c r="B160" s="20"/>
      <c r="C160" s="20"/>
      <c r="D160" s="20"/>
      <c r="E160" s="20"/>
    </row>
    <row r="161" customFormat="false" ht="15" hidden="false" customHeight="false" outlineLevel="0" collapsed="false">
      <c r="A161" s="20"/>
      <c r="B161" s="20"/>
      <c r="C161" s="20"/>
      <c r="D161" s="20"/>
      <c r="E161" s="20"/>
    </row>
    <row r="162" customFormat="false" ht="15" hidden="false" customHeight="false" outlineLevel="0" collapsed="false">
      <c r="A162" s="20"/>
      <c r="B162" s="20"/>
      <c r="C162" s="20"/>
      <c r="D162" s="20"/>
      <c r="E162" s="20"/>
    </row>
    <row r="163" customFormat="false" ht="15" hidden="false" customHeight="false" outlineLevel="0" collapsed="false">
      <c r="A163" s="20"/>
      <c r="B163" s="20"/>
      <c r="C163" s="20"/>
      <c r="D163" s="20"/>
      <c r="E163" s="20"/>
    </row>
    <row r="164" customFormat="false" ht="15" hidden="false" customHeight="false" outlineLevel="0" collapsed="false">
      <c r="A164" s="20"/>
      <c r="B164" s="20"/>
      <c r="C164" s="20"/>
      <c r="D164" s="20"/>
      <c r="E164" s="20"/>
    </row>
    <row r="165" customFormat="false" ht="15" hidden="false" customHeight="false" outlineLevel="0" collapsed="false">
      <c r="A165" s="20"/>
      <c r="B165" s="20"/>
      <c r="C165" s="20"/>
      <c r="D165" s="20"/>
      <c r="E165" s="20"/>
    </row>
    <row r="166" customFormat="false" ht="15" hidden="false" customHeight="false" outlineLevel="0" collapsed="false">
      <c r="A166" s="20"/>
      <c r="B166" s="20"/>
      <c r="C166" s="20"/>
      <c r="D166" s="20"/>
      <c r="E166" s="20"/>
    </row>
    <row r="167" customFormat="false" ht="15" hidden="false" customHeight="false" outlineLevel="0" collapsed="false">
      <c r="A167" s="20"/>
      <c r="B167" s="20"/>
      <c r="C167" s="20"/>
      <c r="D167" s="20"/>
      <c r="E167" s="20"/>
    </row>
    <row r="168" customFormat="false" ht="15" hidden="false" customHeight="false" outlineLevel="0" collapsed="false">
      <c r="A168" s="20"/>
      <c r="B168" s="20"/>
      <c r="C168" s="20"/>
      <c r="D168" s="20"/>
      <c r="E168" s="20"/>
    </row>
    <row r="169" customFormat="false" ht="15" hidden="false" customHeight="false" outlineLevel="0" collapsed="false">
      <c r="A169" s="20"/>
      <c r="B169" s="20"/>
      <c r="C169" s="20"/>
      <c r="D169" s="20"/>
      <c r="E169" s="20"/>
    </row>
    <row r="170" customFormat="false" ht="15" hidden="false" customHeight="false" outlineLevel="0" collapsed="false">
      <c r="A170" s="20"/>
      <c r="B170" s="20"/>
      <c r="C170" s="20"/>
      <c r="D170" s="20"/>
      <c r="E170" s="20"/>
    </row>
    <row r="171" customFormat="false" ht="15" hidden="false" customHeight="false" outlineLevel="0" collapsed="false">
      <c r="A171" s="20"/>
      <c r="B171" s="20"/>
      <c r="C171" s="20"/>
      <c r="D171" s="20"/>
      <c r="E171" s="20"/>
    </row>
    <row r="172" customFormat="false" ht="15" hidden="false" customHeight="false" outlineLevel="0" collapsed="false">
      <c r="A172" s="20"/>
      <c r="B172" s="20"/>
      <c r="C172" s="20"/>
      <c r="D172" s="20"/>
      <c r="E172" s="20"/>
    </row>
    <row r="173" customFormat="false" ht="15" hidden="false" customHeight="false" outlineLevel="0" collapsed="false">
      <c r="A173" s="20"/>
      <c r="B173" s="20"/>
      <c r="C173" s="20"/>
      <c r="D173" s="20"/>
      <c r="E173" s="20"/>
    </row>
    <row r="174" customFormat="false" ht="15" hidden="false" customHeight="false" outlineLevel="0" collapsed="false">
      <c r="A174" s="20"/>
      <c r="B174" s="20"/>
      <c r="C174" s="20"/>
      <c r="D174" s="20"/>
      <c r="E174" s="20"/>
    </row>
    <row r="175" customFormat="false" ht="15" hidden="false" customHeight="false" outlineLevel="0" collapsed="false">
      <c r="A175" s="20"/>
      <c r="B175" s="20"/>
      <c r="C175" s="20"/>
      <c r="D175" s="20"/>
      <c r="E175" s="20"/>
    </row>
    <row r="176" customFormat="false" ht="15" hidden="false" customHeight="false" outlineLevel="0" collapsed="false">
      <c r="A176" s="20"/>
      <c r="B176" s="20"/>
      <c r="C176" s="20"/>
      <c r="D176" s="20"/>
      <c r="E176" s="20"/>
    </row>
    <row r="177" customFormat="false" ht="15" hidden="false" customHeight="false" outlineLevel="0" collapsed="false">
      <c r="A177" s="20"/>
      <c r="B177" s="20"/>
      <c r="C177" s="20"/>
      <c r="D177" s="20"/>
      <c r="E177" s="20"/>
    </row>
    <row r="178" customFormat="false" ht="15" hidden="false" customHeight="false" outlineLevel="0" collapsed="false">
      <c r="A178" s="20"/>
      <c r="B178" s="20"/>
      <c r="C178" s="20"/>
      <c r="D178" s="20"/>
      <c r="E178" s="20"/>
    </row>
    <row r="179" customFormat="false" ht="15" hidden="false" customHeight="false" outlineLevel="0" collapsed="false">
      <c r="A179" s="20"/>
      <c r="B179" s="20"/>
      <c r="C179" s="20"/>
      <c r="D179" s="20"/>
      <c r="E179" s="20"/>
    </row>
    <row r="180" customFormat="false" ht="15" hidden="false" customHeight="false" outlineLevel="0" collapsed="false">
      <c r="A180" s="20"/>
      <c r="B180" s="20"/>
      <c r="C180" s="20"/>
      <c r="D180" s="20"/>
      <c r="E180" s="20"/>
    </row>
    <row r="181" customFormat="false" ht="15" hidden="false" customHeight="false" outlineLevel="0" collapsed="false">
      <c r="A181" s="20"/>
      <c r="B181" s="20"/>
      <c r="C181" s="20"/>
      <c r="D181" s="20"/>
      <c r="E181" s="20"/>
    </row>
    <row r="182" customFormat="false" ht="15" hidden="false" customHeight="false" outlineLevel="0" collapsed="false">
      <c r="A182" s="20"/>
      <c r="B182" s="20"/>
      <c r="C182" s="20"/>
      <c r="D182" s="20"/>
      <c r="E182" s="20"/>
    </row>
    <row r="183" customFormat="false" ht="15" hidden="false" customHeight="false" outlineLevel="0" collapsed="false">
      <c r="A183" s="20"/>
      <c r="B183" s="20"/>
      <c r="C183" s="20"/>
      <c r="D183" s="20"/>
      <c r="E183" s="20"/>
    </row>
    <row r="184" customFormat="false" ht="15" hidden="false" customHeight="false" outlineLevel="0" collapsed="false">
      <c r="A184" s="20"/>
      <c r="B184" s="20"/>
      <c r="C184" s="20"/>
      <c r="D184" s="20"/>
      <c r="E184" s="20"/>
    </row>
    <row r="185" customFormat="false" ht="15" hidden="false" customHeight="false" outlineLevel="0" collapsed="false">
      <c r="A185" s="20"/>
      <c r="B185" s="20"/>
      <c r="C185" s="20"/>
      <c r="D185" s="20"/>
      <c r="E185" s="20"/>
    </row>
    <row r="186" customFormat="false" ht="15" hidden="false" customHeight="false" outlineLevel="0" collapsed="false">
      <c r="A186" s="20"/>
      <c r="B186" s="20"/>
      <c r="C186" s="20"/>
      <c r="D186" s="20"/>
      <c r="E186" s="20"/>
    </row>
    <row r="187" customFormat="false" ht="15" hidden="false" customHeight="false" outlineLevel="0" collapsed="false">
      <c r="A187" s="20"/>
      <c r="B187" s="20"/>
      <c r="C187" s="20"/>
      <c r="D187" s="20"/>
      <c r="E187" s="20"/>
    </row>
    <row r="188" customFormat="false" ht="15" hidden="false" customHeight="false" outlineLevel="0" collapsed="false">
      <c r="A188" s="20"/>
      <c r="B188" s="20"/>
      <c r="C188" s="20"/>
      <c r="D188" s="20"/>
      <c r="E188" s="20"/>
    </row>
    <row r="189" customFormat="false" ht="15" hidden="false" customHeight="false" outlineLevel="0" collapsed="false">
      <c r="A189" s="20"/>
      <c r="B189" s="20"/>
      <c r="C189" s="20"/>
      <c r="D189" s="20"/>
      <c r="E189" s="20"/>
    </row>
    <row r="190" customFormat="false" ht="15" hidden="false" customHeight="false" outlineLevel="0" collapsed="false">
      <c r="A190" s="20"/>
      <c r="B190" s="20"/>
      <c r="C190" s="20"/>
      <c r="D190" s="20"/>
      <c r="E190" s="20"/>
    </row>
    <row r="191" customFormat="false" ht="15" hidden="false" customHeight="false" outlineLevel="0" collapsed="false">
      <c r="A191" s="20"/>
      <c r="B191" s="20"/>
      <c r="C191" s="20"/>
      <c r="D191" s="20"/>
      <c r="E191" s="20"/>
    </row>
    <row r="192" customFormat="false" ht="15" hidden="false" customHeight="false" outlineLevel="0" collapsed="false">
      <c r="A192" s="20"/>
      <c r="B192" s="20"/>
      <c r="C192" s="20"/>
      <c r="D192" s="20"/>
      <c r="E192" s="20"/>
    </row>
    <row r="193" customFormat="false" ht="15" hidden="false" customHeight="false" outlineLevel="0" collapsed="false">
      <c r="A193" s="20"/>
      <c r="B193" s="20"/>
      <c r="C193" s="20"/>
      <c r="D193" s="20"/>
      <c r="E193" s="20"/>
    </row>
    <row r="194" customFormat="false" ht="15" hidden="false" customHeight="false" outlineLevel="0" collapsed="false">
      <c r="A194" s="20"/>
      <c r="B194" s="20"/>
      <c r="C194" s="20"/>
      <c r="D194" s="20"/>
      <c r="E194" s="20"/>
    </row>
    <row r="195" customFormat="false" ht="15" hidden="false" customHeight="false" outlineLevel="0" collapsed="false">
      <c r="A195" s="20"/>
      <c r="B195" s="20"/>
      <c r="C195" s="20"/>
      <c r="D195" s="20"/>
      <c r="E195" s="20"/>
    </row>
    <row r="196" customFormat="false" ht="15" hidden="false" customHeight="false" outlineLevel="0" collapsed="false">
      <c r="A196" s="20"/>
      <c r="B196" s="20"/>
      <c r="C196" s="20"/>
      <c r="D196" s="20"/>
      <c r="E196" s="20"/>
    </row>
    <row r="197" customFormat="false" ht="15" hidden="false" customHeight="false" outlineLevel="0" collapsed="false">
      <c r="A197" s="20"/>
      <c r="B197" s="20"/>
      <c r="C197" s="20"/>
      <c r="D197" s="20"/>
      <c r="E197" s="20"/>
    </row>
    <row r="198" customFormat="false" ht="15" hidden="false" customHeight="false" outlineLevel="0" collapsed="false">
      <c r="A198" s="20"/>
      <c r="B198" s="20"/>
      <c r="C198" s="20"/>
      <c r="D198" s="20"/>
      <c r="E198" s="20"/>
    </row>
    <row r="199" customFormat="false" ht="15" hidden="false" customHeight="false" outlineLevel="0" collapsed="false">
      <c r="A199" s="20"/>
      <c r="B199" s="20"/>
      <c r="C199" s="20"/>
      <c r="D199" s="20"/>
      <c r="E199" s="20"/>
    </row>
    <row r="200" customFormat="false" ht="15" hidden="false" customHeight="false" outlineLevel="0" collapsed="false">
      <c r="A200" s="20"/>
      <c r="B200" s="20"/>
      <c r="C200" s="20"/>
      <c r="D200" s="20"/>
      <c r="E200" s="20"/>
    </row>
    <row r="201" customFormat="false" ht="15" hidden="false" customHeight="false" outlineLevel="0" collapsed="false">
      <c r="A201" s="20"/>
      <c r="B201" s="20"/>
      <c r="C201" s="20"/>
      <c r="D201" s="20"/>
      <c r="E201" s="2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6"/>
  </cols>
  <sheetData>
    <row r="1" customFormat="false" ht="15" hidden="false" customHeight="false" outlineLevel="0" collapsed="false">
      <c r="A1" s="21" t="s">
        <v>174</v>
      </c>
      <c r="B1" s="21" t="s">
        <v>175</v>
      </c>
      <c r="C1" s="21" t="s">
        <v>176</v>
      </c>
      <c r="D1" s="21" t="s">
        <v>177</v>
      </c>
    </row>
    <row r="2" customFormat="false" ht="15" hidden="false" customHeight="false" outlineLevel="0" collapsed="false">
      <c r="A2" s="22" t="s">
        <v>178</v>
      </c>
      <c r="B2" s="22" t="s">
        <v>122</v>
      </c>
      <c r="C2" s="22" t="s">
        <v>123</v>
      </c>
      <c r="D2" s="22" t="s">
        <v>179</v>
      </c>
    </row>
    <row r="3" customFormat="false" ht="15" hidden="false" customHeight="false" outlineLevel="0" collapsed="false">
      <c r="A3" s="22" t="s">
        <v>115</v>
      </c>
      <c r="B3" s="22" t="s">
        <v>180</v>
      </c>
      <c r="C3" s="22" t="s">
        <v>147</v>
      </c>
      <c r="D3" s="22" t="s">
        <v>128</v>
      </c>
    </row>
    <row r="4" customFormat="false" ht="15" hidden="false" customHeight="false" outlineLevel="0" collapsed="false">
      <c r="B4" s="22" t="s">
        <v>181</v>
      </c>
      <c r="C4" s="22" t="s">
        <v>182</v>
      </c>
      <c r="D4" s="22" t="s">
        <v>183</v>
      </c>
    </row>
    <row r="5" customFormat="false" ht="15" hidden="false" customHeight="false" outlineLevel="0" collapsed="false">
      <c r="D5" s="22" t="s">
        <v>184</v>
      </c>
    </row>
    <row r="6" customFormat="false" ht="15" hidden="false" customHeight="false" outlineLevel="0" collapsed="false">
      <c r="D6" s="22" t="s">
        <v>185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0"/>
    <col collapsed="false" customWidth="true" hidden="false" outlineLevel="0" max="3" min="3" style="0" width="12"/>
    <col collapsed="false" customWidth="true" hidden="false" outlineLevel="0" max="4" min="4" style="0" width="60"/>
  </cols>
  <sheetData>
    <row r="1" customFormat="false" ht="17.35" hidden="false" customHeight="false" outlineLevel="0" collapsed="false">
      <c r="A1" s="9" t="s">
        <v>186</v>
      </c>
    </row>
    <row r="2" customFormat="false" ht="15" hidden="false" customHeight="false" outlineLevel="0" collapsed="false">
      <c r="A2" s="10" t="s">
        <v>187</v>
      </c>
    </row>
    <row r="3" customFormat="false" ht="15" hidden="false" customHeight="false" outlineLevel="0" collapsed="false">
      <c r="A3" s="21" t="s">
        <v>188</v>
      </c>
      <c r="B3" s="23" t="str">
        <f aca="false">IF(COUNTIF(C6:C15,"REVIEW")=0,"ALL CHECKS PASS","REVIEW ITEMS: "&amp;COUNTIF(C6:C15,"REVIEW"))</f>
        <v>REVIEW ITEMS: 1</v>
      </c>
    </row>
    <row r="5" customFormat="false" ht="15" hidden="false" customHeight="false" outlineLevel="0" collapsed="false">
      <c r="A5" s="5" t="s">
        <v>106</v>
      </c>
      <c r="B5" s="5" t="s">
        <v>103</v>
      </c>
      <c r="C5" s="5" t="s">
        <v>81</v>
      </c>
      <c r="D5" s="5" t="s">
        <v>189</v>
      </c>
    </row>
    <row r="6" customFormat="false" ht="15" hidden="false" customHeight="false" outlineLevel="0" collapsed="false">
      <c r="A6" s="24" t="s">
        <v>190</v>
      </c>
      <c r="B6" s="24" t="n">
        <f aca="false">COUNTA(Deficiency_Log!A5:A204)</f>
        <v>2</v>
      </c>
      <c r="C6" s="24" t="s">
        <v>191</v>
      </c>
      <c r="D6" s="24" t="s">
        <v>192</v>
      </c>
    </row>
    <row r="7" customFormat="false" ht="15" hidden="false" customHeight="false" outlineLevel="0" collapsed="false">
      <c r="A7" s="24" t="s">
        <v>193</v>
      </c>
      <c r="B7" s="24" t="n">
        <f aca="false">SUMPRODUCT((Deficiency_Log!A5:A204&lt;&gt;"")*(COUNTIF(Deficiency_Log!A5:A204,Deficiency_Log!A5:A204)&gt;1))</f>
        <v>0</v>
      </c>
      <c r="C7" s="24" t="str">
        <f aca="false">IF(B7=0,"PASS","REVIEW")</f>
        <v>PASS</v>
      </c>
      <c r="D7" s="24" t="s">
        <v>194</v>
      </c>
    </row>
    <row r="8" customFormat="false" ht="15" hidden="false" customHeight="false" outlineLevel="0" collapsed="false">
      <c r="A8" s="24" t="s">
        <v>195</v>
      </c>
      <c r="B8" s="24" t="n">
        <f aca="false">SUMPRODUCT((Deficiency_Log!V5:V204&lt;&gt;"")*(Deficiency_Log!V5:V204&lt;&gt;"OK")*(LEFT(Deficiency_Log!V5:V204,2)&lt;&gt;"OK"))</f>
        <v>0</v>
      </c>
      <c r="C8" s="24" t="str">
        <f aca="false">IF(B8=0,"PASS","REVIEW")</f>
        <v>PASS</v>
      </c>
      <c r="D8" s="24" t="s">
        <v>196</v>
      </c>
    </row>
    <row r="9" customFormat="false" ht="15" hidden="false" customHeight="false" outlineLevel="0" collapsed="false">
      <c r="A9" s="24" t="s">
        <v>197</v>
      </c>
      <c r="B9" s="24" t="n">
        <f aca="false">SUMPRODUCT((Groups!I5:I204&lt;&gt;"")*(Groups!I5:I204&lt;&gt;"OK")*(LEFT(Groups!I5:I204,2)&lt;&gt;"OK"))</f>
        <v>0</v>
      </c>
      <c r="C9" s="24" t="str">
        <f aca="false">IF(B9=0,"PASS","REVIEW")</f>
        <v>PASS</v>
      </c>
      <c r="D9" s="24" t="s">
        <v>198</v>
      </c>
    </row>
    <row r="10" customFormat="false" ht="23.85" hidden="false" customHeight="false" outlineLevel="0" collapsed="false">
      <c r="A10" s="24" t="s">
        <v>199</v>
      </c>
      <c r="B10" s="24" t="n">
        <f aca="false">SUMPRODUCT(((Ref_TEST!E2:E201="Exception noted")+(Ref_TEST!E2:E201="Ineffective"))*(COUNTIF(Deficiency_Log!B5:B204,Ref_TEST!A2:A201)=0))</f>
        <v>1</v>
      </c>
      <c r="C10" s="24" t="str">
        <f aca="false">IF(B10=0,"PASS","REVIEW")</f>
        <v>REVIEW</v>
      </c>
      <c r="D10" s="24" t="s">
        <v>200</v>
      </c>
    </row>
    <row r="11" customFormat="false" ht="15" hidden="false" customHeight="false" outlineLevel="0" collapsed="false">
      <c r="A11" s="24" t="s">
        <v>201</v>
      </c>
      <c r="B11" s="24" t="n">
        <f aca="false">COUNTIFS(Deficiency_Log!O5:O204,"Material weakness",Deficiency_Log!U5:U204,"&lt;&gt;Closed")</f>
        <v>0</v>
      </c>
      <c r="C11" s="24" t="s">
        <v>191</v>
      </c>
      <c r="D11" s="24" t="s">
        <v>202</v>
      </c>
    </row>
    <row r="12" customFormat="false" ht="15" hidden="false" customHeight="false" outlineLevel="0" collapsed="false">
      <c r="A12" s="24" t="s">
        <v>203</v>
      </c>
      <c r="B12" s="24" t="n">
        <f aca="false">COUNTIFS(Deficiency_Log!O5:O204,"Significant deficiency",Deficiency_Log!U5:U204,"&lt;&gt;Closed")</f>
        <v>0</v>
      </c>
      <c r="C12" s="24" t="s">
        <v>191</v>
      </c>
      <c r="D12" s="24" t="s">
        <v>204</v>
      </c>
    </row>
    <row r="13" customFormat="false" ht="15" hidden="false" customHeight="false" outlineLevel="0" collapsed="false">
      <c r="A13" s="24" t="s">
        <v>205</v>
      </c>
      <c r="B13" s="24" t="n">
        <f aca="false">COUNTIFS(Deficiency_Log!O5:O204,"Control deficiency",Deficiency_Log!U5:U204,"&lt;&gt;Closed")</f>
        <v>2</v>
      </c>
      <c r="C13" s="24" t="s">
        <v>191</v>
      </c>
      <c r="D13" s="24" t="s">
        <v>192</v>
      </c>
    </row>
    <row r="14" customFormat="false" ht="15" hidden="false" customHeight="false" outlineLevel="0" collapsed="false">
      <c r="A14" s="24" t="s">
        <v>206</v>
      </c>
      <c r="B14" s="24" t="n">
        <f aca="true">SUMPRODUCT((Deficiency_Log!A5:A204&lt;&gt;"")*(Deficiency_Log!S5:S204&lt;&gt;"")*(Deficiency_Log!S5:S204&lt;TODAY())*(Deficiency_Log!U5:U204&lt;&gt;"Closed"))</f>
        <v>0</v>
      </c>
      <c r="C14" s="24" t="s">
        <v>191</v>
      </c>
      <c r="D14" s="24" t="s">
        <v>207</v>
      </c>
    </row>
    <row r="15" customFormat="false" ht="15" hidden="false" customHeight="false" outlineLevel="0" collapsed="false">
      <c r="A15" s="24" t="s">
        <v>208</v>
      </c>
      <c r="B15" s="24" t="n">
        <f aca="false">COUNTIF(Deficiency_Log!U5:U204,"Retest")</f>
        <v>0</v>
      </c>
      <c r="C15" s="24" t="s">
        <v>191</v>
      </c>
      <c r="D15" s="24" t="s">
        <v>209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2026-10-03T01:47:44Z</dcterms:created>
  <dc:creator>openpyxl</dc:creator>
  <dc:description/>
  <dc:language>en-US</dc:language>
  <cp:lastModifiedBy/>
  <dcterms:modified xsi:type="dcterms:W3CDTF">2026-10-03T01:47:45Z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