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ystem_Inventory" sheetId="2" state="visible" r:id="rId4"/>
    <sheet name="Server_Detail" sheetId="3" state="visible" r:id="rId5"/>
    <sheet name="Transport_Routes" sheetId="4" state="visible" r:id="rId6"/>
    <sheet name="Open_Items" sheetId="5" state="visible" r:id="rId7"/>
    <sheet name="Lists" sheetId="6" state="hidden" r:id="rId8"/>
    <sheet name="Checks" sheetId="7" state="visible" r:id="rId9"/>
  </sheets>
  <definedNames>
    <definedName function="false" hidden="true" localSheetId="4" name="_xlnm._FilterDatabase" vbProcedure="false">Open_Items!$A$4:$H$204</definedName>
    <definedName function="false" hidden="true" localSheetId="2" name="_xlnm._FilterDatabase" vbProcedure="false">Server_Detail!$A$4:$K$204</definedName>
    <definedName function="false" hidden="true" localSheetId="1" name="_xlnm._FilterDatabase" vbProcedure="false">System_Inventory!$A$4:$R$204</definedName>
    <definedName function="false" hidden="true" localSheetId="3" name="_xlnm._FilterDatabase" vbProcedure="false">Transport_Routes!$A$4:$J$204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<sst xmlns="http://schemas.openxmlformats.org/spreadsheetml/2006/main" count="428" uniqueCount="248">
  <si>
    <t xml:space="preserve">TIB SYSTEMS LLC  |  SAP Controls Project Foundation Workbook Set</t>
  </si>
  <si>
    <t xml:space="preserve">W01 — Landscape &amp; System Inventory</t>
  </si>
  <si>
    <t xml:space="preserve">Purpose</t>
  </si>
  <si>
    <t xml:space="preserve">Records every SAP system, client and supporting component that holds financial data or processes business transactions, and states whether each is in scope and whether it has actually been validated. W01 is the root of the golden thread: every other workbook points back to a SYS-ID.</t>
  </si>
  <si>
    <t xml:space="preserve">How to use this workbook</t>
  </si>
  <si>
    <t xml:space="preserve">1. Enter the client-provided landscape in System_Inventory with Validation status = Documented only.</t>
  </si>
  <si>
    <t xml:space="preserve">2. Validate directly (System &gt; Status, SCC4, SM51, DB02). Upgrade the status to Validated and add the evidence ref.</t>
  </si>
  <si>
    <t xml:space="preserve">3. Record application servers and hosts in Server_Detail, and the STMS route in Transport_Routes.</t>
  </si>
  <si>
    <t xml:space="preserve">4. Decide scope and record a rationale for every exclusion.</t>
  </si>
  <si>
    <t xml:space="preserve">5. Log every unresolved question in Open_Items. Finish by reading the Checks tab.</t>
  </si>
  <si>
    <t xml:space="preserve">Colour legend</t>
  </si>
  <si>
    <t xml:space="preserve">Yellow cells with blue text = you enter data here.   Grey cells = formulas (do not overwrite).   Row 5 of each register is a worked ABC Manufacturing example: overwrite it with your first record.</t>
  </si>
  <si>
    <t xml:space="preserve">Completion gate</t>
  </si>
  <si>
    <t xml:space="preserve">Every known component is listed with SID, client and environment.</t>
  </si>
  <si>
    <t xml:space="preserve">Every row has In scope = Y/N with a rationale for N.</t>
  </si>
  <si>
    <t xml:space="preserve">Every Validated row has an evidence reference; every other row has an open question.</t>
  </si>
  <si>
    <t xml:space="preserve">The PRD transport route is recorded.</t>
  </si>
  <si>
    <t xml:space="preserve">Manual reference</t>
  </si>
  <si>
    <t xml:space="preserve">Part 1, Session 2 (W01).</t>
  </si>
  <si>
    <t xml:space="preserve">Column dictionary</t>
  </si>
  <si>
    <t xml:space="preserve">Tab</t>
  </si>
  <si>
    <t xml:space="preserve">Field</t>
  </si>
  <si>
    <t xml:space="preserve">Definition</t>
  </si>
  <si>
    <t xml:space="preserve">Allowed values / rule</t>
  </si>
  <si>
    <t xml:space="preserve">Type</t>
  </si>
  <si>
    <t xml:space="preserve">System_Inventory</t>
  </si>
  <si>
    <t xml:space="preserve">SYS-ID</t>
  </si>
  <si>
    <t xml:space="preserve">Unique key for the system/client</t>
  </si>
  <si>
    <t xml:space="preserve">SYS-nn; unique; never reused</t>
  </si>
  <si>
    <t xml:space="preserve">Input</t>
  </si>
  <si>
    <t xml:space="preserve">SID</t>
  </si>
  <si>
    <t xml:space="preserve">SAP system identifier</t>
  </si>
  <si>
    <t xml:space="preserve">3 characters; must match System &gt; Status</t>
  </si>
  <si>
    <t xml:space="preserve">Client</t>
  </si>
  <si>
    <t xml:space="preserve">Logical client number</t>
  </si>
  <si>
    <t xml:space="preserve">3 digits; must exist in SCC4</t>
  </si>
  <si>
    <t xml:space="preserve">Environment</t>
  </si>
  <si>
    <t xml:space="preserve">Landscape tier</t>
  </si>
  <si>
    <t xml:space="preserve">DEV / QAS / PRD / SBX / TRN</t>
  </si>
  <si>
    <t xml:space="preserve">Product &amp; release</t>
  </si>
  <si>
    <t xml:space="preserve">Installed SAP product and release</t>
  </si>
  <si>
    <t xml:space="preserve">e.g. S/4HANA 2022 FPS02</t>
  </si>
  <si>
    <t xml:space="preserve">Component type</t>
  </si>
  <si>
    <t xml:space="preserve">Technical role of the component</t>
  </si>
  <si>
    <t xml:space="preserve">Dropdown</t>
  </si>
  <si>
    <t xml:space="preserve">Hosting model</t>
  </si>
  <si>
    <t xml:space="preserve">Where it runs; drives which ITGCs ABC vs the provider performs</t>
  </si>
  <si>
    <t xml:space="preserve">Database &amp; OS</t>
  </si>
  <si>
    <t xml:space="preserve">Underlying platform</t>
  </si>
  <si>
    <t xml:space="preserve">From DB02 / Basis</t>
  </si>
  <si>
    <t xml:space="preserve">Primary purpose</t>
  </si>
  <si>
    <t xml:space="preserve">Business use the system supports</t>
  </si>
  <si>
    <t xml:space="preserve">One line</t>
  </si>
  <si>
    <t xml:space="preserve">Financially relevant?</t>
  </si>
  <si>
    <t xml:space="preserve">Holds or processes data reaching the financial statements</t>
  </si>
  <si>
    <t xml:space="preserve">Y / N</t>
  </si>
  <si>
    <t xml:space="preserve">In scope?</t>
  </si>
  <si>
    <t xml:space="preserve">Included in this engagement</t>
  </si>
  <si>
    <t xml:space="preserve">Y / N / TBC; PRD financial system = Y unless justified</t>
  </si>
  <si>
    <t xml:space="preserve">Scope rationale</t>
  </si>
  <si>
    <t xml:space="preserve">Reason for inclusion or exclusion</t>
  </si>
  <si>
    <t xml:space="preserve">Mandatory if In scope = N</t>
  </si>
  <si>
    <t xml:space="preserve">System owner</t>
  </si>
  <si>
    <t xml:space="preserve">Accountable owner (usually Basis/IT lead)</t>
  </si>
  <si>
    <t xml:space="preserve">Name / role; TBC allowed</t>
  </si>
  <si>
    <t xml:space="preserve">Validation method</t>
  </si>
  <si>
    <t xml:space="preserve">How the row was confirmed</t>
  </si>
  <si>
    <t xml:space="preserve">System &gt; Status / SCC4 / SM51 / client inventory / interview</t>
  </si>
  <si>
    <t xml:space="preserve">Validation status</t>
  </si>
  <si>
    <t xml:space="preserve">Strength of confirmation</t>
  </si>
  <si>
    <t xml:space="preserve">Validated requires an evidence ref</t>
  </si>
  <si>
    <t xml:space="preserve">Evidence ref</t>
  </si>
  <si>
    <t xml:space="preserve">Screenshot or document supporting the row</t>
  </si>
  <si>
    <t xml:space="preserve">EV-ID or filename; mandatory if Validated</t>
  </si>
  <si>
    <t xml:space="preserve">Open question</t>
  </si>
  <si>
    <t xml:space="preserve">Anything still to confirm</t>
  </si>
  <si>
    <t xml:space="preserve">Mirror into Open_Items</t>
  </si>
  <si>
    <t xml:space="preserve">Row check</t>
  </si>
  <si>
    <t xml:space="preserve">Automatic completeness test</t>
  </si>
  <si>
    <t xml:space="preserve">Formula</t>
  </si>
  <si>
    <t xml:space="preserve">Server_Detail</t>
  </si>
  <si>
    <t xml:space="preserve">Server ID</t>
  </si>
  <si>
    <t xml:space="preserve">Unique key for the server record</t>
  </si>
  <si>
    <t xml:space="preserve">SRV-nn</t>
  </si>
  <si>
    <t xml:space="preserve">System the server belongs to</t>
  </si>
  <si>
    <t xml:space="preserve">Must exist in System_Inventory</t>
  </si>
  <si>
    <t xml:space="preserve">SID (lookup)</t>
  </si>
  <si>
    <t xml:space="preserve">SID pulled from System_Inventory</t>
  </si>
  <si>
    <t xml:space="preserve">Host name</t>
  </si>
  <si>
    <t xml:space="preserve">Server host name</t>
  </si>
  <si>
    <t xml:space="preserve">Free text</t>
  </si>
  <si>
    <t xml:space="preserve">Role</t>
  </si>
  <si>
    <t xml:space="preserve">Server role</t>
  </si>
  <si>
    <t xml:space="preserve">OS</t>
  </si>
  <si>
    <t xml:space="preserve">Operating system and version</t>
  </si>
  <si>
    <t xml:space="preserve">Location / hosting</t>
  </si>
  <si>
    <t xml:space="preserve">Data centre, site or cloud region</t>
  </si>
  <si>
    <t xml:space="preserve">Owner</t>
  </si>
  <si>
    <t xml:space="preserve">Accountable infrastructure owner</t>
  </si>
  <si>
    <t xml:space="preserve">Name / role</t>
  </si>
  <si>
    <t xml:space="preserve">Validated via</t>
  </si>
  <si>
    <t xml:space="preserve">Evidence source</t>
  </si>
  <si>
    <t xml:space="preserve">SM51 / DB02 / inventory</t>
  </si>
  <si>
    <t xml:space="preserve">Supporting evidence</t>
  </si>
  <si>
    <t xml:space="preserve">EV-ID or filename</t>
  </si>
  <si>
    <t xml:space="preserve">Note</t>
  </si>
  <si>
    <t xml:space="preserve">Anything relevant</t>
  </si>
  <si>
    <t xml:space="preserve">Transport_Routes</t>
  </si>
  <si>
    <t xml:space="preserve">Route ID</t>
  </si>
  <si>
    <t xml:space="preserve">Unique route reference</t>
  </si>
  <si>
    <t xml:space="preserve">TR-nn</t>
  </si>
  <si>
    <t xml:space="preserve">Landscape</t>
  </si>
  <si>
    <t xml:space="preserve">Landscape / transport group</t>
  </si>
  <si>
    <t xml:space="preserve">e.g. ECC-S4 landscape</t>
  </si>
  <si>
    <t xml:space="preserve">From SYS-ID</t>
  </si>
  <si>
    <t xml:space="preserve">Source system</t>
  </si>
  <si>
    <t xml:space="preserve">From env (lookup)</t>
  </si>
  <si>
    <t xml:space="preserve">Environment of source</t>
  </si>
  <si>
    <t xml:space="preserve">To SYS-ID</t>
  </si>
  <si>
    <t xml:space="preserve">Target system</t>
  </si>
  <si>
    <t xml:space="preserve">To env (lookup)</t>
  </si>
  <si>
    <t xml:space="preserve">Environment of target</t>
  </si>
  <si>
    <t xml:space="preserve">Route type</t>
  </si>
  <si>
    <t xml:space="preserve">STMS route type</t>
  </si>
  <si>
    <t xml:space="preserve">Consolidation / Delivery</t>
  </si>
  <si>
    <t xml:space="preserve">Direct DEV→PRD?</t>
  </si>
  <si>
    <t xml:space="preserve">Flags a route that bypasses QAS</t>
  </si>
  <si>
    <t xml:space="preserve">STMS route display screenshot</t>
  </si>
  <si>
    <t xml:space="preserve">Open_Items</t>
  </si>
  <si>
    <t xml:space="preserve">Item ID</t>
  </si>
  <si>
    <t xml:space="preserve">Unique open-item reference</t>
  </si>
  <si>
    <t xml:space="preserve">OI-nn</t>
  </si>
  <si>
    <t xml:space="preserve">Source</t>
  </si>
  <si>
    <t xml:space="preserve">Workbook and key the question comes from</t>
  </si>
  <si>
    <t xml:space="preserve">e.g. SYS-05</t>
  </si>
  <si>
    <t xml:space="preserve">Question / dependency</t>
  </si>
  <si>
    <t xml:space="preserve">What must still be confirmed</t>
  </si>
  <si>
    <t xml:space="preserve">Person who can answer</t>
  </si>
  <si>
    <t xml:space="preserve">Raised</t>
  </si>
  <si>
    <t xml:space="preserve">Date raised</t>
  </si>
  <si>
    <t xml:space="preserve">Date</t>
  </si>
  <si>
    <t xml:space="preserve">Target date</t>
  </si>
  <si>
    <t xml:space="preserve">Date needed by</t>
  </si>
  <si>
    <t xml:space="preserve">Status</t>
  </si>
  <si>
    <t xml:space="preserve">Progress</t>
  </si>
  <si>
    <t xml:space="preserve">Open / In progress / Closed</t>
  </si>
  <si>
    <t xml:space="preserve">Resolution</t>
  </si>
  <si>
    <t xml:space="preserve">How it was resolved</t>
  </si>
  <si>
    <t xml:space="preserve">Version history</t>
  </si>
  <si>
    <t xml:space="preserve">0.1 — October 2026 — initial template (TIB Systems LLC)</t>
  </si>
  <si>
    <t xml:space="preserve">Cross-workbook links: keys from other workbooks are pasted as values into the Ref_ tabs, so this file works on its own and never breaks when files are moved.</t>
  </si>
  <si>
    <t xml:space="preserve">W01 — System Inventory</t>
  </si>
  <si>
    <t xml:space="preserve">One row per system/client. Row 5 is a worked example (ECP/300). Overwrite it. Yellow = input, grey = formula.</t>
  </si>
  <si>
    <t xml:space="preserve">SYS-03</t>
  </si>
  <si>
    <t xml:space="preserve">ECP</t>
  </si>
  <si>
    <t xml:space="preserve">300</t>
  </si>
  <si>
    <t xml:space="preserve">PRD</t>
  </si>
  <si>
    <t xml:space="preserve">S/4HANA 2022 FPS02</t>
  </si>
  <si>
    <t xml:space="preserve">ABAP back end</t>
  </si>
  <si>
    <t xml:space="preserve">On-premise</t>
  </si>
  <si>
    <t xml:space="preserve">HANA 2.0 SPS07 / SLES 15</t>
  </si>
  <si>
    <t xml:space="preserve">Primary financial system: FI/CO, MM, SD</t>
  </si>
  <si>
    <t xml:space="preserve">Y</t>
  </si>
  <si>
    <t xml:space="preserve">Basis Lead</t>
  </si>
  <si>
    <t xml:space="preserve">System &gt; Status; SCC4</t>
  </si>
  <si>
    <t xml:space="preserve">Validated</t>
  </si>
  <si>
    <t xml:space="preserve">EV-001</t>
  </si>
  <si>
    <t xml:space="preserve">W01 — Server Detail</t>
  </si>
  <si>
    <t xml:space="preserve">One row per application server, DB host or web dispatcher, linked by SYS-ID.</t>
  </si>
  <si>
    <t xml:space="preserve">SRV-01</t>
  </si>
  <si>
    <t xml:space="preserve">ecp-app01</t>
  </si>
  <si>
    <t xml:space="preserve">Application server</t>
  </si>
  <si>
    <t xml:space="preserve">SLES 15</t>
  </si>
  <si>
    <t xml:space="preserve">Atlanta DC</t>
  </si>
  <si>
    <t xml:space="preserve">SM51</t>
  </si>
  <si>
    <t xml:space="preserve">EV-002</t>
  </si>
  <si>
    <t xml:space="preserve">W01 — Transport Routes</t>
  </si>
  <si>
    <t xml:space="preserve">The STMS route for each landscape; the starting point for Program Change testing.</t>
  </si>
  <si>
    <t xml:space="preserve">TR-01</t>
  </si>
  <si>
    <t xml:space="preserve">ECC-S4 landscape</t>
  </si>
  <si>
    <t xml:space="preserve">SYS-02</t>
  </si>
  <si>
    <t xml:space="preserve">Delivery</t>
  </si>
  <si>
    <t xml:space="preserve">EV-003</t>
  </si>
  <si>
    <t xml:space="preserve">W01 — Open Items</t>
  </si>
  <si>
    <t xml:space="preserve">Unresolved landscape questions, owner and target date.</t>
  </si>
  <si>
    <t xml:space="preserve">OI-01</t>
  </si>
  <si>
    <t xml:space="preserve">SYS-05</t>
  </si>
  <si>
    <t xml:space="preserve">Does the Fiori front-end server post financial transactions?</t>
  </si>
  <si>
    <t xml:space="preserve">Open</t>
  </si>
  <si>
    <t xml:space="preserve">Env</t>
  </si>
  <si>
    <t xml:space="preserve">CompType</t>
  </si>
  <si>
    <t xml:space="preserve">Hosting</t>
  </si>
  <si>
    <t xml:space="preserve">ValStatus</t>
  </si>
  <si>
    <t xml:space="preserve">YN</t>
  </si>
  <si>
    <t xml:space="preserve">YNT</t>
  </si>
  <si>
    <t xml:space="preserve">SrvRole</t>
  </si>
  <si>
    <t xml:space="preserve">RouteType</t>
  </si>
  <si>
    <t xml:space="preserve">OpenStatus</t>
  </si>
  <si>
    <t xml:space="preserve">DEV</t>
  </si>
  <si>
    <t xml:space="preserve">Consolidation</t>
  </si>
  <si>
    <t xml:space="preserve">QAS</t>
  </si>
  <si>
    <t xml:space="preserve">Fiori front-end server</t>
  </si>
  <si>
    <t xml:space="preserve">RISE with SAP</t>
  </si>
  <si>
    <t xml:space="preserve">Documented only</t>
  </si>
  <si>
    <t xml:space="preserve">N</t>
  </si>
  <si>
    <t xml:space="preserve">Database host</t>
  </si>
  <si>
    <t xml:space="preserve">In progress</t>
  </si>
  <si>
    <t xml:space="preserve">GRC</t>
  </si>
  <si>
    <t xml:space="preserve">Hyperscaler (IaaS)</t>
  </si>
  <si>
    <t xml:space="preserve">To confirm</t>
  </si>
  <si>
    <t xml:space="preserve">TBC</t>
  </si>
  <si>
    <t xml:space="preserve">Web dispatcher</t>
  </si>
  <si>
    <t xml:space="preserve">Closed</t>
  </si>
  <si>
    <t xml:space="preserve">SBX</t>
  </si>
  <si>
    <t xml:space="preserve">BW</t>
  </si>
  <si>
    <t xml:space="preserve">Other</t>
  </si>
  <si>
    <t xml:space="preserve">Message server</t>
  </si>
  <si>
    <t xml:space="preserve">TRN</t>
  </si>
  <si>
    <t xml:space="preserve">PI-PO / CPI</t>
  </si>
  <si>
    <t xml:space="preserve">HANA DB</t>
  </si>
  <si>
    <t xml:space="preserve">SolMan</t>
  </si>
  <si>
    <t xml:space="preserve">W01 — Completion checks</t>
  </si>
  <si>
    <t xml:space="preserve">All checks are formulas. A workbook passes its gate when every status reads PASS (INFO rows are counts for your information).</t>
  </si>
  <si>
    <t xml:space="preserve">Overall</t>
  </si>
  <si>
    <t xml:space="preserve">Check</t>
  </si>
  <si>
    <t xml:space="preserve">Count</t>
  </si>
  <si>
    <t xml:space="preserve">What to do if REVIEW</t>
  </si>
  <si>
    <t xml:space="preserve">Systems / clients listed</t>
  </si>
  <si>
    <t xml:space="preserve">INFO</t>
  </si>
  <si>
    <t xml:space="preserve">—</t>
  </si>
  <si>
    <t xml:space="preserve">Duplicate SYS-IDs</t>
  </si>
  <si>
    <t xml:space="preserve">Keys must be unique and never reused.</t>
  </si>
  <si>
    <t xml:space="preserve">Register rows needing attention</t>
  </si>
  <si>
    <t xml:space="preserve">Read the Row check column and fix each flagged row.</t>
  </si>
  <si>
    <t xml:space="preserve">"Validated" rows with no evidence ref</t>
  </si>
  <si>
    <t xml:space="preserve">Add the screenshot/document reference or downgrade the status.</t>
  </si>
  <si>
    <t xml:space="preserve">Rows not yet validated (documented only / to confirm)</t>
  </si>
  <si>
    <t xml:space="preserve">Each must have an open question and an Open_Items entry.</t>
  </si>
  <si>
    <t xml:space="preserve">Rows with scope still TBC</t>
  </si>
  <si>
    <t xml:space="preserve">Resolve before gate G1.</t>
  </si>
  <si>
    <t xml:space="preserve">Server rows whose SYS-ID is not in System_Inventory</t>
  </si>
  <si>
    <t xml:space="preserve">Correct the SYS-ID or add the system.</t>
  </si>
  <si>
    <t xml:space="preserve">Transport routes recorded</t>
  </si>
  <si>
    <t xml:space="preserve">Obtain the STMS route display from Basis.</t>
  </si>
  <si>
    <t xml:space="preserve">Routes that bypass QAS</t>
  </si>
  <si>
    <t xml:space="preserve">A direct DEV to PRD route is a Program Change finding for W04/W05.</t>
  </si>
  <si>
    <t xml:space="preserve">Open items still open</t>
  </si>
  <si>
    <t xml:space="preserve">Track to closure before G1.</t>
  </si>
</sst>
</file>

<file path=xl/styles.xml><?xml version="1.0" encoding="utf-8"?>
<styleSheet xmlns="http://schemas.openxmlformats.org/spreadsheetml/2006/main">
  <numFmts count="2">
    <numFmt numFmtId="164" formatCode="General"/>
    <numFmt numFmtId="165" formatCode="dd\-mmm\-yyyy"/>
  </numFmts>
  <fonts count="18">
    <font>
      <sz val="11"/>
      <color theme="1"/>
      <name val="Calibri"/>
      <family val="2"/>
      <charset val="1"/>
    </font>
    <font>
      <sz val="10"/>
      <name val="Arial"/>
      <family val="0"/>
    </font>
    <font>
      <sz val="10"/>
      <name val="Arial"/>
      <family val="0"/>
    </font>
    <font>
      <sz val="10"/>
      <name val="Arial"/>
      <family val="0"/>
    </font>
    <font>
      <b val="true"/>
      <sz val="9"/>
      <color rgb="FF0E7C86"/>
      <name val="Arial"/>
      <family val="0"/>
      <charset val="1"/>
    </font>
    <font>
      <b val="true"/>
      <sz val="16"/>
      <color rgb="FF1F3864"/>
      <name val="Arial"/>
      <family val="0"/>
      <charset val="1"/>
    </font>
    <font>
      <b val="true"/>
      <sz val="11"/>
      <color rgb="FF0E7C86"/>
      <name val="Arial"/>
      <family val="0"/>
      <charset val="1"/>
    </font>
    <font>
      <sz val="10"/>
      <name val="Arial"/>
      <family val="0"/>
      <charset val="1"/>
    </font>
    <font>
      <b val="true"/>
      <sz val="10"/>
      <color rgb="FFFFFFFF"/>
      <name val="Arial"/>
      <family val="0"/>
      <charset val="1"/>
    </font>
    <font>
      <sz val="9"/>
      <name val="Arial"/>
      <family val="0"/>
      <charset val="1"/>
    </font>
    <font>
      <i val="true"/>
      <sz val="9"/>
      <name val="Arial"/>
      <family val="0"/>
      <charset val="1"/>
    </font>
    <font>
      <b val="true"/>
      <sz val="14"/>
      <color rgb="FF1F3864"/>
      <name val="Arial"/>
      <family val="0"/>
      <charset val="1"/>
    </font>
    <font>
      <i val="true"/>
      <sz val="9"/>
      <color rgb="FF555555"/>
      <name val="Arial"/>
      <family val="0"/>
      <charset val="1"/>
    </font>
    <font>
      <i val="true"/>
      <sz val="10"/>
      <color rgb="FF0000FF"/>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0"/>
      <color rgb="FF0E7C86"/>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5B6B82"/>
        <bgColor rgb="FF555555"/>
      </patternFill>
    </fill>
    <fill>
      <patternFill patternType="solid">
        <fgColor rgb="FFFFF2CC"/>
        <bgColor rgb="FFEDEFF3"/>
      </patternFill>
    </fill>
    <fill>
      <patternFill patternType="solid">
        <fgColor rgb="FFEDEFF3"/>
        <bgColor rgb="FFFFFFFF"/>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true" applyProtection="false">
      <alignment horizontal="general" vertical="top" textRotation="0" wrapText="true" indent="0" shrinkToFit="false"/>
      <protection locked="true" hidden="false"/>
    </xf>
    <xf numFmtId="165" fontId="15" fillId="4"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B6B82"/>
          <bgColor rgb="FF000000"/>
        </patternFill>
      </fill>
    </dxf>
    <dxf>
      <fill>
        <patternFill patternType="solid">
          <fgColor rgb="FFEDEFF3"/>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BFC7D5"/>
      <rgbColor rgb="FF808080"/>
      <rgbColor rgb="FF9999FF"/>
      <rgbColor rgb="FF993366"/>
      <rgbColor rgb="FFFFF2CC"/>
      <rgbColor rgb="FFEDEF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2"/>
      <rgbColor rgb="FF96969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5" min="5" style="0" width="10"/>
  </cols>
  <sheetData>
    <row r="1" customFormat="false" ht="15" hidden="false" customHeight="false" outlineLevel="0" collapsed="false">
      <c r="A1" s="1" t="s">
        <v>0</v>
      </c>
    </row>
    <row r="2" customFormat="false" ht="19.7"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c r="B5" s="4"/>
      <c r="C5" s="4"/>
      <c r="D5" s="4"/>
    </row>
    <row r="7" customFormat="false" ht="15" hidden="false" customHeight="false" outlineLevel="0" collapsed="false">
      <c r="A7" s="3" t="s">
        <v>4</v>
      </c>
    </row>
    <row r="8" customFormat="false" ht="15" hidden="false" customHeight="true" outlineLevel="0" collapsed="false">
      <c r="A8" s="4" t="s">
        <v>5</v>
      </c>
      <c r="B8" s="4"/>
      <c r="C8" s="4"/>
      <c r="D8" s="4"/>
    </row>
    <row r="9" customFormat="false" ht="15" hidden="false" customHeight="true" outlineLevel="0" collapsed="false">
      <c r="A9" s="4" t="s">
        <v>6</v>
      </c>
      <c r="B9" s="4"/>
      <c r="C9" s="4"/>
      <c r="D9" s="4"/>
    </row>
    <row r="10" customFormat="false" ht="15" hidden="false" customHeight="true" outlineLevel="0" collapsed="false">
      <c r="A10" s="4" t="s">
        <v>7</v>
      </c>
      <c r="B10" s="4"/>
      <c r="C10" s="4"/>
      <c r="D10" s="4"/>
    </row>
    <row r="11" customFormat="false" ht="15" hidden="false" customHeight="true" outlineLevel="0" collapsed="false">
      <c r="A11" s="4" t="s">
        <v>8</v>
      </c>
      <c r="B11" s="4"/>
      <c r="C11" s="4"/>
      <c r="D11" s="4"/>
    </row>
    <row r="12" customFormat="false" ht="15" hidden="false" customHeight="true" outlineLevel="0" collapsed="false">
      <c r="A12" s="4" t="s">
        <v>9</v>
      </c>
      <c r="B12" s="4"/>
      <c r="C12" s="4"/>
      <c r="D12" s="4"/>
    </row>
    <row r="14" customFormat="false" ht="15" hidden="false" customHeight="false" outlineLevel="0" collapsed="false">
      <c r="A14" s="3" t="s">
        <v>10</v>
      </c>
    </row>
    <row r="15" customFormat="false" ht="30" hidden="false" customHeight="true" outlineLevel="0" collapsed="false">
      <c r="A15" s="4" t="s">
        <v>11</v>
      </c>
      <c r="B15" s="4"/>
      <c r="C15" s="4"/>
      <c r="D15" s="4"/>
    </row>
    <row r="17" customFormat="false" ht="15" hidden="false" customHeight="false" outlineLevel="0" collapsed="false">
      <c r="A17" s="3" t="s">
        <v>12</v>
      </c>
    </row>
    <row r="18" customFormat="false" ht="15" hidden="false" customHeight="true" outlineLevel="0" collapsed="false">
      <c r="A18" s="4" t="s">
        <v>13</v>
      </c>
      <c r="B18" s="4"/>
      <c r="C18" s="4"/>
      <c r="D18" s="4"/>
    </row>
    <row r="19" customFormat="false" ht="15" hidden="false" customHeight="true" outlineLevel="0" collapsed="false">
      <c r="A19" s="4" t="s">
        <v>14</v>
      </c>
      <c r="B19" s="4"/>
      <c r="C19" s="4"/>
      <c r="D19" s="4"/>
    </row>
    <row r="20" customFormat="false" ht="15" hidden="false" customHeight="true" outlineLevel="0" collapsed="false">
      <c r="A20" s="4" t="s">
        <v>15</v>
      </c>
      <c r="B20" s="4"/>
      <c r="C20" s="4"/>
      <c r="D20" s="4"/>
    </row>
    <row r="21" customFormat="false" ht="15" hidden="false" customHeight="true" outlineLevel="0" collapsed="false">
      <c r="A21" s="4" t="s">
        <v>16</v>
      </c>
      <c r="B21" s="4"/>
      <c r="C21" s="4"/>
      <c r="D21" s="4"/>
    </row>
    <row r="23" customFormat="false" ht="15" hidden="false" customHeight="false" outlineLevel="0" collapsed="false">
      <c r="A23" s="3" t="s">
        <v>17</v>
      </c>
    </row>
    <row r="24" customFormat="false" ht="15" hidden="false" customHeight="true" outlineLevel="0" collapsed="false">
      <c r="A24" s="4" t="s">
        <v>18</v>
      </c>
      <c r="B24" s="4"/>
      <c r="C24" s="4"/>
      <c r="D24" s="4"/>
    </row>
    <row r="26" customFormat="false" ht="15" hidden="false" customHeight="false" outlineLevel="0" collapsed="false">
      <c r="A26" s="3" t="s">
        <v>19</v>
      </c>
    </row>
    <row r="27" customFormat="false" ht="15" hidden="false" customHeight="false" outlineLevel="0" collapsed="false">
      <c r="A27" s="5" t="s">
        <v>20</v>
      </c>
      <c r="B27" s="5" t="s">
        <v>21</v>
      </c>
      <c r="C27" s="5" t="s">
        <v>22</v>
      </c>
      <c r="D27" s="5" t="s">
        <v>23</v>
      </c>
      <c r="E27" s="5" t="s">
        <v>24</v>
      </c>
    </row>
    <row r="28" customFormat="false" ht="15" hidden="false" customHeight="false" outlineLevel="0" collapsed="false">
      <c r="A28" s="6" t="s">
        <v>25</v>
      </c>
      <c r="B28" s="6" t="s">
        <v>26</v>
      </c>
      <c r="C28" s="6" t="s">
        <v>27</v>
      </c>
      <c r="D28" s="6" t="s">
        <v>28</v>
      </c>
      <c r="E28" s="6" t="s">
        <v>29</v>
      </c>
    </row>
    <row r="29" customFormat="false" ht="15" hidden="false" customHeight="false" outlineLevel="0" collapsed="false">
      <c r="A29" s="6" t="s">
        <v>25</v>
      </c>
      <c r="B29" s="6" t="s">
        <v>30</v>
      </c>
      <c r="C29" s="6" t="s">
        <v>31</v>
      </c>
      <c r="D29" s="6" t="s">
        <v>32</v>
      </c>
      <c r="E29" s="6" t="s">
        <v>29</v>
      </c>
    </row>
    <row r="30" customFormat="false" ht="15" hidden="false" customHeight="false" outlineLevel="0" collapsed="false">
      <c r="A30" s="6" t="s">
        <v>25</v>
      </c>
      <c r="B30" s="6" t="s">
        <v>33</v>
      </c>
      <c r="C30" s="6" t="s">
        <v>34</v>
      </c>
      <c r="D30" s="6" t="s">
        <v>35</v>
      </c>
      <c r="E30" s="6" t="s">
        <v>29</v>
      </c>
    </row>
    <row r="31" customFormat="false" ht="15" hidden="false" customHeight="false" outlineLevel="0" collapsed="false">
      <c r="A31" s="6" t="s">
        <v>25</v>
      </c>
      <c r="B31" s="6" t="s">
        <v>36</v>
      </c>
      <c r="C31" s="6" t="s">
        <v>37</v>
      </c>
      <c r="D31" s="6" t="s">
        <v>38</v>
      </c>
      <c r="E31" s="6" t="s">
        <v>29</v>
      </c>
    </row>
    <row r="32" customFormat="false" ht="15" hidden="false" customHeight="false" outlineLevel="0" collapsed="false">
      <c r="A32" s="6" t="s">
        <v>25</v>
      </c>
      <c r="B32" s="6" t="s">
        <v>39</v>
      </c>
      <c r="C32" s="6" t="s">
        <v>40</v>
      </c>
      <c r="D32" s="6" t="s">
        <v>41</v>
      </c>
      <c r="E32" s="6" t="s">
        <v>29</v>
      </c>
    </row>
    <row r="33" customFormat="false" ht="15" hidden="false" customHeight="false" outlineLevel="0" collapsed="false">
      <c r="A33" s="6" t="s">
        <v>25</v>
      </c>
      <c r="B33" s="6" t="s">
        <v>42</v>
      </c>
      <c r="C33" s="6" t="s">
        <v>43</v>
      </c>
      <c r="D33" s="6" t="s">
        <v>44</v>
      </c>
      <c r="E33" s="6" t="s">
        <v>29</v>
      </c>
    </row>
    <row r="34" customFormat="false" ht="15" hidden="false" customHeight="false" outlineLevel="0" collapsed="false">
      <c r="A34" s="6" t="s">
        <v>25</v>
      </c>
      <c r="B34" s="6" t="s">
        <v>45</v>
      </c>
      <c r="C34" s="6" t="s">
        <v>46</v>
      </c>
      <c r="D34" s="6" t="s">
        <v>44</v>
      </c>
      <c r="E34" s="6" t="s">
        <v>29</v>
      </c>
    </row>
    <row r="35" customFormat="false" ht="15" hidden="false" customHeight="false" outlineLevel="0" collapsed="false">
      <c r="A35" s="6" t="s">
        <v>25</v>
      </c>
      <c r="B35" s="6" t="s">
        <v>47</v>
      </c>
      <c r="C35" s="6" t="s">
        <v>48</v>
      </c>
      <c r="D35" s="6" t="s">
        <v>49</v>
      </c>
      <c r="E35" s="6" t="s">
        <v>29</v>
      </c>
    </row>
    <row r="36" customFormat="false" ht="15" hidden="false" customHeight="false" outlineLevel="0" collapsed="false">
      <c r="A36" s="6" t="s">
        <v>25</v>
      </c>
      <c r="B36" s="6" t="s">
        <v>50</v>
      </c>
      <c r="C36" s="6" t="s">
        <v>51</v>
      </c>
      <c r="D36" s="6" t="s">
        <v>52</v>
      </c>
      <c r="E36" s="6" t="s">
        <v>29</v>
      </c>
    </row>
    <row r="37" customFormat="false" ht="15" hidden="false" customHeight="false" outlineLevel="0" collapsed="false">
      <c r="A37" s="6" t="s">
        <v>25</v>
      </c>
      <c r="B37" s="6" t="s">
        <v>53</v>
      </c>
      <c r="C37" s="6" t="s">
        <v>54</v>
      </c>
      <c r="D37" s="6" t="s">
        <v>55</v>
      </c>
      <c r="E37" s="6" t="s">
        <v>29</v>
      </c>
    </row>
    <row r="38" customFormat="false" ht="15" hidden="false" customHeight="false" outlineLevel="0" collapsed="false">
      <c r="A38" s="6" t="s">
        <v>25</v>
      </c>
      <c r="B38" s="6" t="s">
        <v>56</v>
      </c>
      <c r="C38" s="6" t="s">
        <v>57</v>
      </c>
      <c r="D38" s="6" t="s">
        <v>58</v>
      </c>
      <c r="E38" s="6" t="s">
        <v>29</v>
      </c>
    </row>
    <row r="39" customFormat="false" ht="15" hidden="false" customHeight="false" outlineLevel="0" collapsed="false">
      <c r="A39" s="6" t="s">
        <v>25</v>
      </c>
      <c r="B39" s="6" t="s">
        <v>59</v>
      </c>
      <c r="C39" s="6" t="s">
        <v>60</v>
      </c>
      <c r="D39" s="6" t="s">
        <v>61</v>
      </c>
      <c r="E39" s="6" t="s">
        <v>29</v>
      </c>
    </row>
    <row r="40" customFormat="false" ht="15" hidden="false" customHeight="false" outlineLevel="0" collapsed="false">
      <c r="A40" s="6" t="s">
        <v>25</v>
      </c>
      <c r="B40" s="6" t="s">
        <v>62</v>
      </c>
      <c r="C40" s="6" t="s">
        <v>63</v>
      </c>
      <c r="D40" s="6" t="s">
        <v>64</v>
      </c>
      <c r="E40" s="6" t="s">
        <v>29</v>
      </c>
    </row>
    <row r="41" customFormat="false" ht="22.35" hidden="false" customHeight="false" outlineLevel="0" collapsed="false">
      <c r="A41" s="6" t="s">
        <v>25</v>
      </c>
      <c r="B41" s="6" t="s">
        <v>65</v>
      </c>
      <c r="C41" s="6" t="s">
        <v>66</v>
      </c>
      <c r="D41" s="6" t="s">
        <v>67</v>
      </c>
      <c r="E41" s="6" t="s">
        <v>29</v>
      </c>
    </row>
    <row r="42" customFormat="false" ht="15" hidden="false" customHeight="false" outlineLevel="0" collapsed="false">
      <c r="A42" s="6" t="s">
        <v>25</v>
      </c>
      <c r="B42" s="6" t="s">
        <v>68</v>
      </c>
      <c r="C42" s="6" t="s">
        <v>69</v>
      </c>
      <c r="D42" s="6" t="s">
        <v>70</v>
      </c>
      <c r="E42" s="6" t="s">
        <v>29</v>
      </c>
    </row>
    <row r="43" customFormat="false" ht="15" hidden="false" customHeight="false" outlineLevel="0" collapsed="false">
      <c r="A43" s="6" t="s">
        <v>25</v>
      </c>
      <c r="B43" s="6" t="s">
        <v>71</v>
      </c>
      <c r="C43" s="6" t="s">
        <v>72</v>
      </c>
      <c r="D43" s="6" t="s">
        <v>73</v>
      </c>
      <c r="E43" s="6" t="s">
        <v>29</v>
      </c>
    </row>
    <row r="44" customFormat="false" ht="15" hidden="false" customHeight="false" outlineLevel="0" collapsed="false">
      <c r="A44" s="6" t="s">
        <v>25</v>
      </c>
      <c r="B44" s="6" t="s">
        <v>74</v>
      </c>
      <c r="C44" s="6" t="s">
        <v>75</v>
      </c>
      <c r="D44" s="6" t="s">
        <v>76</v>
      </c>
      <c r="E44" s="6" t="s">
        <v>29</v>
      </c>
    </row>
    <row r="45" customFormat="false" ht="15" hidden="false" customHeight="false" outlineLevel="0" collapsed="false">
      <c r="A45" s="6" t="s">
        <v>25</v>
      </c>
      <c r="B45" s="6" t="s">
        <v>77</v>
      </c>
      <c r="C45" s="6" t="s">
        <v>78</v>
      </c>
      <c r="D45" s="6" t="s">
        <v>79</v>
      </c>
      <c r="E45" s="6" t="s">
        <v>79</v>
      </c>
    </row>
    <row r="46" customFormat="false" ht="15" hidden="false" customHeight="false" outlineLevel="0" collapsed="false">
      <c r="A46" s="6" t="s">
        <v>80</v>
      </c>
      <c r="B46" s="6" t="s">
        <v>81</v>
      </c>
      <c r="C46" s="6" t="s">
        <v>82</v>
      </c>
      <c r="D46" s="6" t="s">
        <v>83</v>
      </c>
      <c r="E46" s="6" t="s">
        <v>29</v>
      </c>
    </row>
    <row r="47" customFormat="false" ht="15" hidden="false" customHeight="false" outlineLevel="0" collapsed="false">
      <c r="A47" s="6" t="s">
        <v>80</v>
      </c>
      <c r="B47" s="6" t="s">
        <v>26</v>
      </c>
      <c r="C47" s="6" t="s">
        <v>84</v>
      </c>
      <c r="D47" s="6" t="s">
        <v>85</v>
      </c>
      <c r="E47" s="6" t="s">
        <v>29</v>
      </c>
    </row>
    <row r="48" customFormat="false" ht="15" hidden="false" customHeight="false" outlineLevel="0" collapsed="false">
      <c r="A48" s="6" t="s">
        <v>80</v>
      </c>
      <c r="B48" s="6" t="s">
        <v>86</v>
      </c>
      <c r="C48" s="6" t="s">
        <v>87</v>
      </c>
      <c r="D48" s="6" t="s">
        <v>79</v>
      </c>
      <c r="E48" s="6" t="s">
        <v>79</v>
      </c>
    </row>
    <row r="49" customFormat="false" ht="15" hidden="false" customHeight="false" outlineLevel="0" collapsed="false">
      <c r="A49" s="6" t="s">
        <v>80</v>
      </c>
      <c r="B49" s="6" t="s">
        <v>88</v>
      </c>
      <c r="C49" s="6" t="s">
        <v>89</v>
      </c>
      <c r="D49" s="6" t="s">
        <v>90</v>
      </c>
      <c r="E49" s="6" t="s">
        <v>29</v>
      </c>
    </row>
    <row r="50" customFormat="false" ht="15" hidden="false" customHeight="false" outlineLevel="0" collapsed="false">
      <c r="A50" s="6" t="s">
        <v>80</v>
      </c>
      <c r="B50" s="6" t="s">
        <v>91</v>
      </c>
      <c r="C50" s="6" t="s">
        <v>92</v>
      </c>
      <c r="D50" s="6" t="s">
        <v>44</v>
      </c>
      <c r="E50" s="6" t="s">
        <v>29</v>
      </c>
    </row>
    <row r="51" customFormat="false" ht="15" hidden="false" customHeight="false" outlineLevel="0" collapsed="false">
      <c r="A51" s="6" t="s">
        <v>80</v>
      </c>
      <c r="B51" s="6" t="s">
        <v>93</v>
      </c>
      <c r="C51" s="6" t="s">
        <v>94</v>
      </c>
      <c r="D51" s="6" t="s">
        <v>90</v>
      </c>
      <c r="E51" s="6" t="s">
        <v>29</v>
      </c>
    </row>
    <row r="52" customFormat="false" ht="15" hidden="false" customHeight="false" outlineLevel="0" collapsed="false">
      <c r="A52" s="6" t="s">
        <v>80</v>
      </c>
      <c r="B52" s="6" t="s">
        <v>95</v>
      </c>
      <c r="C52" s="6" t="s">
        <v>96</v>
      </c>
      <c r="D52" s="6" t="s">
        <v>90</v>
      </c>
      <c r="E52" s="6" t="s">
        <v>29</v>
      </c>
    </row>
    <row r="53" customFormat="false" ht="15" hidden="false" customHeight="false" outlineLevel="0" collapsed="false">
      <c r="A53" s="6" t="s">
        <v>80</v>
      </c>
      <c r="B53" s="6" t="s">
        <v>97</v>
      </c>
      <c r="C53" s="6" t="s">
        <v>98</v>
      </c>
      <c r="D53" s="6" t="s">
        <v>99</v>
      </c>
      <c r="E53" s="6" t="s">
        <v>29</v>
      </c>
    </row>
    <row r="54" customFormat="false" ht="15" hidden="false" customHeight="false" outlineLevel="0" collapsed="false">
      <c r="A54" s="6" t="s">
        <v>80</v>
      </c>
      <c r="B54" s="6" t="s">
        <v>100</v>
      </c>
      <c r="C54" s="6" t="s">
        <v>101</v>
      </c>
      <c r="D54" s="6" t="s">
        <v>102</v>
      </c>
      <c r="E54" s="6" t="s">
        <v>29</v>
      </c>
    </row>
    <row r="55" customFormat="false" ht="15" hidden="false" customHeight="false" outlineLevel="0" collapsed="false">
      <c r="A55" s="6" t="s">
        <v>80</v>
      </c>
      <c r="B55" s="6" t="s">
        <v>71</v>
      </c>
      <c r="C55" s="6" t="s">
        <v>103</v>
      </c>
      <c r="D55" s="6" t="s">
        <v>104</v>
      </c>
      <c r="E55" s="6" t="s">
        <v>29</v>
      </c>
    </row>
    <row r="56" customFormat="false" ht="15" hidden="false" customHeight="false" outlineLevel="0" collapsed="false">
      <c r="A56" s="6" t="s">
        <v>80</v>
      </c>
      <c r="B56" s="6" t="s">
        <v>105</v>
      </c>
      <c r="C56" s="6" t="s">
        <v>106</v>
      </c>
      <c r="D56" s="6" t="s">
        <v>90</v>
      </c>
      <c r="E56" s="6" t="s">
        <v>29</v>
      </c>
    </row>
    <row r="57" customFormat="false" ht="15" hidden="false" customHeight="false" outlineLevel="0" collapsed="false">
      <c r="A57" s="6" t="s">
        <v>107</v>
      </c>
      <c r="B57" s="6" t="s">
        <v>108</v>
      </c>
      <c r="C57" s="6" t="s">
        <v>109</v>
      </c>
      <c r="D57" s="6" t="s">
        <v>110</v>
      </c>
      <c r="E57" s="6" t="s">
        <v>29</v>
      </c>
    </row>
    <row r="58" customFormat="false" ht="15" hidden="false" customHeight="false" outlineLevel="0" collapsed="false">
      <c r="A58" s="6" t="s">
        <v>107</v>
      </c>
      <c r="B58" s="6" t="s">
        <v>111</v>
      </c>
      <c r="C58" s="6" t="s">
        <v>112</v>
      </c>
      <c r="D58" s="6" t="s">
        <v>113</v>
      </c>
      <c r="E58" s="6" t="s">
        <v>29</v>
      </c>
    </row>
    <row r="59" customFormat="false" ht="15" hidden="false" customHeight="false" outlineLevel="0" collapsed="false">
      <c r="A59" s="6" t="s">
        <v>107</v>
      </c>
      <c r="B59" s="6" t="s">
        <v>114</v>
      </c>
      <c r="C59" s="6" t="s">
        <v>115</v>
      </c>
      <c r="D59" s="6" t="s">
        <v>85</v>
      </c>
      <c r="E59" s="6" t="s">
        <v>29</v>
      </c>
    </row>
    <row r="60" customFormat="false" ht="15" hidden="false" customHeight="false" outlineLevel="0" collapsed="false">
      <c r="A60" s="6" t="s">
        <v>107</v>
      </c>
      <c r="B60" s="6" t="s">
        <v>116</v>
      </c>
      <c r="C60" s="6" t="s">
        <v>117</v>
      </c>
      <c r="D60" s="6" t="s">
        <v>79</v>
      </c>
      <c r="E60" s="6" t="s">
        <v>79</v>
      </c>
    </row>
    <row r="61" customFormat="false" ht="15" hidden="false" customHeight="false" outlineLevel="0" collapsed="false">
      <c r="A61" s="6" t="s">
        <v>107</v>
      </c>
      <c r="B61" s="6" t="s">
        <v>118</v>
      </c>
      <c r="C61" s="6" t="s">
        <v>119</v>
      </c>
      <c r="D61" s="6" t="s">
        <v>85</v>
      </c>
      <c r="E61" s="6" t="s">
        <v>29</v>
      </c>
    </row>
    <row r="62" customFormat="false" ht="15" hidden="false" customHeight="false" outlineLevel="0" collapsed="false">
      <c r="A62" s="6" t="s">
        <v>107</v>
      </c>
      <c r="B62" s="6" t="s">
        <v>120</v>
      </c>
      <c r="C62" s="6" t="s">
        <v>121</v>
      </c>
      <c r="D62" s="6" t="s">
        <v>79</v>
      </c>
      <c r="E62" s="6" t="s">
        <v>79</v>
      </c>
    </row>
    <row r="63" customFormat="false" ht="15" hidden="false" customHeight="false" outlineLevel="0" collapsed="false">
      <c r="A63" s="6" t="s">
        <v>107</v>
      </c>
      <c r="B63" s="6" t="s">
        <v>122</v>
      </c>
      <c r="C63" s="6" t="s">
        <v>123</v>
      </c>
      <c r="D63" s="6" t="s">
        <v>124</v>
      </c>
      <c r="E63" s="6" t="s">
        <v>29</v>
      </c>
    </row>
    <row r="64" customFormat="false" ht="15" hidden="false" customHeight="false" outlineLevel="0" collapsed="false">
      <c r="A64" s="6" t="s">
        <v>107</v>
      </c>
      <c r="B64" s="6" t="s">
        <v>125</v>
      </c>
      <c r="C64" s="6" t="s">
        <v>126</v>
      </c>
      <c r="D64" s="6" t="s">
        <v>79</v>
      </c>
      <c r="E64" s="6" t="s">
        <v>79</v>
      </c>
    </row>
    <row r="65" customFormat="false" ht="15" hidden="false" customHeight="false" outlineLevel="0" collapsed="false">
      <c r="A65" s="6" t="s">
        <v>107</v>
      </c>
      <c r="B65" s="6" t="s">
        <v>71</v>
      </c>
      <c r="C65" s="6" t="s">
        <v>127</v>
      </c>
      <c r="D65" s="6" t="s">
        <v>104</v>
      </c>
      <c r="E65" s="6" t="s">
        <v>29</v>
      </c>
    </row>
    <row r="66" customFormat="false" ht="15" hidden="false" customHeight="false" outlineLevel="0" collapsed="false">
      <c r="A66" s="6" t="s">
        <v>107</v>
      </c>
      <c r="B66" s="6" t="s">
        <v>105</v>
      </c>
      <c r="C66" s="6" t="s">
        <v>106</v>
      </c>
      <c r="D66" s="6" t="s">
        <v>90</v>
      </c>
      <c r="E66" s="6" t="s">
        <v>29</v>
      </c>
    </row>
    <row r="67" customFormat="false" ht="15" hidden="false" customHeight="false" outlineLevel="0" collapsed="false">
      <c r="A67" s="6" t="s">
        <v>128</v>
      </c>
      <c r="B67" s="6" t="s">
        <v>129</v>
      </c>
      <c r="C67" s="6" t="s">
        <v>130</v>
      </c>
      <c r="D67" s="6" t="s">
        <v>131</v>
      </c>
      <c r="E67" s="6" t="s">
        <v>29</v>
      </c>
    </row>
    <row r="68" customFormat="false" ht="15" hidden="false" customHeight="false" outlineLevel="0" collapsed="false">
      <c r="A68" s="6" t="s">
        <v>128</v>
      </c>
      <c r="B68" s="6" t="s">
        <v>132</v>
      </c>
      <c r="C68" s="6" t="s">
        <v>133</v>
      </c>
      <c r="D68" s="6" t="s">
        <v>134</v>
      </c>
      <c r="E68" s="6" t="s">
        <v>29</v>
      </c>
    </row>
    <row r="69" customFormat="false" ht="15" hidden="false" customHeight="false" outlineLevel="0" collapsed="false">
      <c r="A69" s="6" t="s">
        <v>128</v>
      </c>
      <c r="B69" s="6" t="s">
        <v>135</v>
      </c>
      <c r="C69" s="6" t="s">
        <v>136</v>
      </c>
      <c r="D69" s="6" t="s">
        <v>90</v>
      </c>
      <c r="E69" s="6" t="s">
        <v>29</v>
      </c>
    </row>
    <row r="70" customFormat="false" ht="15" hidden="false" customHeight="false" outlineLevel="0" collapsed="false">
      <c r="A70" s="6" t="s">
        <v>128</v>
      </c>
      <c r="B70" s="6" t="s">
        <v>97</v>
      </c>
      <c r="C70" s="6" t="s">
        <v>137</v>
      </c>
      <c r="D70" s="6" t="s">
        <v>99</v>
      </c>
      <c r="E70" s="6" t="s">
        <v>29</v>
      </c>
    </row>
    <row r="71" customFormat="false" ht="15" hidden="false" customHeight="false" outlineLevel="0" collapsed="false">
      <c r="A71" s="6" t="s">
        <v>128</v>
      </c>
      <c r="B71" s="6" t="s">
        <v>138</v>
      </c>
      <c r="C71" s="6" t="s">
        <v>139</v>
      </c>
      <c r="D71" s="6" t="s">
        <v>140</v>
      </c>
      <c r="E71" s="6" t="s">
        <v>29</v>
      </c>
    </row>
    <row r="72" customFormat="false" ht="15" hidden="false" customHeight="false" outlineLevel="0" collapsed="false">
      <c r="A72" s="6" t="s">
        <v>128</v>
      </c>
      <c r="B72" s="6" t="s">
        <v>141</v>
      </c>
      <c r="C72" s="6" t="s">
        <v>142</v>
      </c>
      <c r="D72" s="6" t="s">
        <v>140</v>
      </c>
      <c r="E72" s="6" t="s">
        <v>29</v>
      </c>
    </row>
    <row r="73" customFormat="false" ht="15" hidden="false" customHeight="false" outlineLevel="0" collapsed="false">
      <c r="A73" s="6" t="s">
        <v>128</v>
      </c>
      <c r="B73" s="6" t="s">
        <v>143</v>
      </c>
      <c r="C73" s="6" t="s">
        <v>144</v>
      </c>
      <c r="D73" s="6" t="s">
        <v>145</v>
      </c>
      <c r="E73" s="6" t="s">
        <v>29</v>
      </c>
    </row>
    <row r="74" customFormat="false" ht="15" hidden="false" customHeight="false" outlineLevel="0" collapsed="false">
      <c r="A74" s="6" t="s">
        <v>128</v>
      </c>
      <c r="B74" s="6" t="s">
        <v>146</v>
      </c>
      <c r="C74" s="6" t="s">
        <v>147</v>
      </c>
      <c r="D74" s="6" t="s">
        <v>90</v>
      </c>
      <c r="E74" s="6" t="s">
        <v>29</v>
      </c>
    </row>
    <row r="76" customFormat="false" ht="15" hidden="false" customHeight="false" outlineLevel="0" collapsed="false">
      <c r="A76" s="3" t="s">
        <v>148</v>
      </c>
    </row>
    <row r="77" customFormat="false" ht="15" hidden="false" customHeight="false" outlineLevel="0" collapsed="false">
      <c r="A77" s="7" t="s">
        <v>149</v>
      </c>
    </row>
    <row r="78" customFormat="false" ht="15" hidden="false" customHeight="false" outlineLevel="0" collapsed="false">
      <c r="A78" s="8" t="s">
        <v>150</v>
      </c>
    </row>
  </sheetData>
  <mergeCells count="12">
    <mergeCell ref="A5:D5"/>
    <mergeCell ref="A8:D8"/>
    <mergeCell ref="A9:D9"/>
    <mergeCell ref="A10:D10"/>
    <mergeCell ref="A11:D11"/>
    <mergeCell ref="A12:D12"/>
    <mergeCell ref="A15:D15"/>
    <mergeCell ref="A18:D18"/>
    <mergeCell ref="A19:D19"/>
    <mergeCell ref="A20:D20"/>
    <mergeCell ref="A21:D2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8"/>
    <col collapsed="false" customWidth="true" hidden="false" outlineLevel="0" max="4" min="4" style="0" width="12"/>
    <col collapsed="false" customWidth="true" hidden="false" outlineLevel="0" max="5" min="5" style="0" width="26"/>
    <col collapsed="false" customWidth="true" hidden="false" outlineLevel="0" max="6" min="6" style="0" width="20"/>
    <col collapsed="false" customWidth="true" hidden="false" outlineLevel="0" max="7" min="7" style="0" width="16"/>
    <col collapsed="false" customWidth="true" hidden="false" outlineLevel="0" max="8" min="8" style="0" width="22"/>
    <col collapsed="false" customWidth="true" hidden="false" outlineLevel="0" max="9" min="9" style="0" width="34"/>
    <col collapsed="false" customWidth="true" hidden="false" outlineLevel="0" max="10" min="10" style="0" width="11"/>
    <col collapsed="false" customWidth="true" hidden="false" outlineLevel="0" max="11" min="11" style="0" width="9"/>
    <col collapsed="false" customWidth="true" hidden="false" outlineLevel="0" max="12" min="12" style="0" width="30"/>
    <col collapsed="false" customWidth="true" hidden="false" outlineLevel="0" max="13" min="13" style="0" width="16"/>
    <col collapsed="false" customWidth="true" hidden="false" outlineLevel="0" max="14" min="14" style="0" width="26"/>
    <col collapsed="false" customWidth="true" hidden="false" outlineLevel="0" max="15" min="15" style="0" width="16"/>
    <col collapsed="false" customWidth="true" hidden="false" outlineLevel="0" max="16" min="16" style="0" width="14"/>
    <col collapsed="false" customWidth="true" hidden="false" outlineLevel="0" max="18" min="17" style="0" width="30"/>
  </cols>
  <sheetData>
    <row r="1" customFormat="false" ht="17.35" hidden="false" customHeight="false" outlineLevel="0" collapsed="false">
      <c r="A1" s="9" t="s">
        <v>151</v>
      </c>
    </row>
    <row r="2" customFormat="false" ht="15" hidden="false" customHeight="false" outlineLevel="0" collapsed="false">
      <c r="A2" s="10" t="s">
        <v>152</v>
      </c>
    </row>
    <row r="4" customFormat="false" ht="31.5" hidden="false" customHeight="true" outlineLevel="0" collapsed="false">
      <c r="A4" s="11" t="s">
        <v>26</v>
      </c>
      <c r="B4" s="11" t="s">
        <v>30</v>
      </c>
      <c r="C4" s="11" t="s">
        <v>33</v>
      </c>
      <c r="D4" s="11" t="s">
        <v>36</v>
      </c>
      <c r="E4" s="11" t="s">
        <v>39</v>
      </c>
      <c r="F4" s="11" t="s">
        <v>42</v>
      </c>
      <c r="G4" s="11" t="s">
        <v>45</v>
      </c>
      <c r="H4" s="11" t="s">
        <v>47</v>
      </c>
      <c r="I4" s="11" t="s">
        <v>50</v>
      </c>
      <c r="J4" s="11" t="s">
        <v>53</v>
      </c>
      <c r="K4" s="11" t="s">
        <v>56</v>
      </c>
      <c r="L4" s="11" t="s">
        <v>59</v>
      </c>
      <c r="M4" s="11" t="s">
        <v>62</v>
      </c>
      <c r="N4" s="11" t="s">
        <v>65</v>
      </c>
      <c r="O4" s="11" t="s">
        <v>68</v>
      </c>
      <c r="P4" s="11" t="s">
        <v>71</v>
      </c>
      <c r="Q4" s="11" t="s">
        <v>74</v>
      </c>
      <c r="R4" s="12" t="s">
        <v>77</v>
      </c>
    </row>
    <row r="5" customFormat="false" ht="23.85" hidden="false" customHeight="false" outlineLevel="0" collapsed="false">
      <c r="A5" s="13" t="s">
        <v>153</v>
      </c>
      <c r="B5" s="13" t="s">
        <v>154</v>
      </c>
      <c r="C5" s="13" t="s">
        <v>155</v>
      </c>
      <c r="D5" s="13" t="s">
        <v>156</v>
      </c>
      <c r="E5" s="13" t="s">
        <v>157</v>
      </c>
      <c r="F5" s="13" t="s">
        <v>158</v>
      </c>
      <c r="G5" s="13" t="s">
        <v>159</v>
      </c>
      <c r="H5" s="13" t="s">
        <v>160</v>
      </c>
      <c r="I5" s="13" t="s">
        <v>161</v>
      </c>
      <c r="J5" s="13" t="s">
        <v>162</v>
      </c>
      <c r="K5" s="13" t="s">
        <v>162</v>
      </c>
      <c r="L5" s="13"/>
      <c r="M5" s="13" t="s">
        <v>163</v>
      </c>
      <c r="N5" s="13" t="s">
        <v>164</v>
      </c>
      <c r="O5" s="13" t="s">
        <v>165</v>
      </c>
      <c r="P5" s="13" t="s">
        <v>166</v>
      </c>
      <c r="Q5" s="13"/>
      <c r="R5" s="14" t="str">
        <f aca="false">IF(A5="","",IF(OR(B5="",C5="",D5=""),"SID, client, environment needed",IF(AND(K5="N",L5=""),"Rationale needed (not in scope)",IF(AND(O5="Validated",P5=""),"Evidence ref needed",IF(AND(O5&lt;&gt;"Validated",Q5=""),"Open question needed",IF(AND(J5="Y",D5="PRD",K5&lt;&gt;"Y"),"PRD financial system should be in scope","OK"))))))</f>
        <v>OK</v>
      </c>
    </row>
    <row r="6" customFormat="false" ht="15" hidden="false" customHeight="false" outlineLevel="0" collapsed="false">
      <c r="A6" s="15"/>
      <c r="B6" s="15"/>
      <c r="C6" s="15"/>
      <c r="D6" s="15"/>
      <c r="E6" s="15"/>
      <c r="F6" s="15"/>
      <c r="G6" s="15"/>
      <c r="H6" s="15"/>
      <c r="I6" s="15"/>
      <c r="J6" s="15"/>
      <c r="K6" s="15"/>
      <c r="L6" s="15"/>
      <c r="M6" s="15"/>
      <c r="N6" s="15"/>
      <c r="O6" s="15"/>
      <c r="P6" s="15"/>
      <c r="Q6" s="15"/>
      <c r="R6" s="16" t="str">
        <f aca="false">IF(A6="","",IF(OR(B6="",C6="",D6=""),"SID, client, environment needed",IF(AND(K6="N",L6=""),"Rationale needed (not in scope)",IF(AND(O6="Validated",P6=""),"Evidence ref needed",IF(AND(O6&lt;&gt;"Validated",Q6=""),"Open question needed",IF(AND(J6="Y",D6="PRD",K6&lt;&gt;"Y"),"PRD financial system should be in scope","OK"))))))</f>
        <v/>
      </c>
    </row>
    <row r="7" customFormat="false" ht="15" hidden="false" customHeight="false" outlineLevel="0" collapsed="false">
      <c r="A7" s="15"/>
      <c r="B7" s="15"/>
      <c r="C7" s="15"/>
      <c r="D7" s="15"/>
      <c r="E7" s="15"/>
      <c r="F7" s="15"/>
      <c r="G7" s="15"/>
      <c r="H7" s="15"/>
      <c r="I7" s="15"/>
      <c r="J7" s="15"/>
      <c r="K7" s="15"/>
      <c r="L7" s="15"/>
      <c r="M7" s="15"/>
      <c r="N7" s="15"/>
      <c r="O7" s="15"/>
      <c r="P7" s="15"/>
      <c r="Q7" s="15"/>
      <c r="R7" s="16" t="str">
        <f aca="false">IF(A7="","",IF(OR(B7="",C7="",D7=""),"SID, client, environment needed",IF(AND(K7="N",L7=""),"Rationale needed (not in scope)",IF(AND(O7="Validated",P7=""),"Evidence ref needed",IF(AND(O7&lt;&gt;"Validated",Q7=""),"Open question needed",IF(AND(J7="Y",D7="PRD",K7&lt;&gt;"Y"),"PRD financial system should be in scope","OK"))))))</f>
        <v/>
      </c>
    </row>
    <row r="8" customFormat="false" ht="15" hidden="false" customHeight="false" outlineLevel="0" collapsed="false">
      <c r="A8" s="15"/>
      <c r="B8" s="15"/>
      <c r="C8" s="15"/>
      <c r="D8" s="15"/>
      <c r="E8" s="15"/>
      <c r="F8" s="15"/>
      <c r="G8" s="15"/>
      <c r="H8" s="15"/>
      <c r="I8" s="15"/>
      <c r="J8" s="15"/>
      <c r="K8" s="15"/>
      <c r="L8" s="15"/>
      <c r="M8" s="15"/>
      <c r="N8" s="15"/>
      <c r="O8" s="15"/>
      <c r="P8" s="15"/>
      <c r="Q8" s="15"/>
      <c r="R8" s="16" t="str">
        <f aca="false">IF(A8="","",IF(OR(B8="",C8="",D8=""),"SID, client, environment needed",IF(AND(K8="N",L8=""),"Rationale needed (not in scope)",IF(AND(O8="Validated",P8=""),"Evidence ref needed",IF(AND(O8&lt;&gt;"Validated",Q8=""),"Open question needed",IF(AND(J8="Y",D8="PRD",K8&lt;&gt;"Y"),"PRD financial system should be in scope","OK"))))))</f>
        <v/>
      </c>
    </row>
    <row r="9" customFormat="false" ht="15" hidden="false" customHeight="false" outlineLevel="0" collapsed="false">
      <c r="A9" s="15"/>
      <c r="B9" s="15"/>
      <c r="C9" s="15"/>
      <c r="D9" s="15"/>
      <c r="E9" s="15"/>
      <c r="F9" s="15"/>
      <c r="G9" s="15"/>
      <c r="H9" s="15"/>
      <c r="I9" s="15"/>
      <c r="J9" s="15"/>
      <c r="K9" s="15"/>
      <c r="L9" s="15"/>
      <c r="M9" s="15"/>
      <c r="N9" s="15"/>
      <c r="O9" s="15"/>
      <c r="P9" s="15"/>
      <c r="Q9" s="15"/>
      <c r="R9" s="16" t="str">
        <f aca="false">IF(A9="","",IF(OR(B9="",C9="",D9=""),"SID, client, environment needed",IF(AND(K9="N",L9=""),"Rationale needed (not in scope)",IF(AND(O9="Validated",P9=""),"Evidence ref needed",IF(AND(O9&lt;&gt;"Validated",Q9=""),"Open question needed",IF(AND(J9="Y",D9="PRD",K9&lt;&gt;"Y"),"PRD financial system should be in scope","OK"))))))</f>
        <v/>
      </c>
    </row>
    <row r="10" customFormat="false" ht="15" hidden="false" customHeight="false" outlineLevel="0" collapsed="false">
      <c r="A10" s="15"/>
      <c r="B10" s="15"/>
      <c r="C10" s="15"/>
      <c r="D10" s="15"/>
      <c r="E10" s="15"/>
      <c r="F10" s="15"/>
      <c r="G10" s="15"/>
      <c r="H10" s="15"/>
      <c r="I10" s="15"/>
      <c r="J10" s="15"/>
      <c r="K10" s="15"/>
      <c r="L10" s="15"/>
      <c r="M10" s="15"/>
      <c r="N10" s="15"/>
      <c r="O10" s="15"/>
      <c r="P10" s="15"/>
      <c r="Q10" s="15"/>
      <c r="R10" s="16" t="str">
        <f aca="false">IF(A10="","",IF(OR(B10="",C10="",D10=""),"SID, client, environment needed",IF(AND(K10="N",L10=""),"Rationale needed (not in scope)",IF(AND(O10="Validated",P10=""),"Evidence ref needed",IF(AND(O10&lt;&gt;"Validated",Q10=""),"Open question needed",IF(AND(J10="Y",D10="PRD",K10&lt;&gt;"Y"),"PRD financial system should be in scope","OK"))))))</f>
        <v/>
      </c>
    </row>
    <row r="11" customFormat="false" ht="15" hidden="false" customHeight="false" outlineLevel="0" collapsed="false">
      <c r="A11" s="15"/>
      <c r="B11" s="15"/>
      <c r="C11" s="15"/>
      <c r="D11" s="15"/>
      <c r="E11" s="15"/>
      <c r="F11" s="15"/>
      <c r="G11" s="15"/>
      <c r="H11" s="15"/>
      <c r="I11" s="15"/>
      <c r="J11" s="15"/>
      <c r="K11" s="15"/>
      <c r="L11" s="15"/>
      <c r="M11" s="15"/>
      <c r="N11" s="15"/>
      <c r="O11" s="15"/>
      <c r="P11" s="15"/>
      <c r="Q11" s="15"/>
      <c r="R11" s="16" t="str">
        <f aca="false">IF(A11="","",IF(OR(B11="",C11="",D11=""),"SID, client, environment needed",IF(AND(K11="N",L11=""),"Rationale needed (not in scope)",IF(AND(O11="Validated",P11=""),"Evidence ref needed",IF(AND(O11&lt;&gt;"Validated",Q11=""),"Open question needed",IF(AND(J11="Y",D11="PRD",K11&lt;&gt;"Y"),"PRD financial system should be in scope","OK"))))))</f>
        <v/>
      </c>
    </row>
    <row r="12" customFormat="false" ht="15" hidden="false" customHeight="false" outlineLevel="0" collapsed="false">
      <c r="A12" s="15"/>
      <c r="B12" s="15"/>
      <c r="C12" s="15"/>
      <c r="D12" s="15"/>
      <c r="E12" s="15"/>
      <c r="F12" s="15"/>
      <c r="G12" s="15"/>
      <c r="H12" s="15"/>
      <c r="I12" s="15"/>
      <c r="J12" s="15"/>
      <c r="K12" s="15"/>
      <c r="L12" s="15"/>
      <c r="M12" s="15"/>
      <c r="N12" s="15"/>
      <c r="O12" s="15"/>
      <c r="P12" s="15"/>
      <c r="Q12" s="15"/>
      <c r="R12" s="16" t="str">
        <f aca="false">IF(A12="","",IF(OR(B12="",C12="",D12=""),"SID, client, environment needed",IF(AND(K12="N",L12=""),"Rationale needed (not in scope)",IF(AND(O12="Validated",P12=""),"Evidence ref needed",IF(AND(O12&lt;&gt;"Validated",Q12=""),"Open question needed",IF(AND(J12="Y",D12="PRD",K12&lt;&gt;"Y"),"PRD financial system should be in scope","OK"))))))</f>
        <v/>
      </c>
    </row>
    <row r="13" customFormat="false" ht="15" hidden="false" customHeight="false" outlineLevel="0" collapsed="false">
      <c r="A13" s="15"/>
      <c r="B13" s="15"/>
      <c r="C13" s="15"/>
      <c r="D13" s="15"/>
      <c r="E13" s="15"/>
      <c r="F13" s="15"/>
      <c r="G13" s="15"/>
      <c r="H13" s="15"/>
      <c r="I13" s="15"/>
      <c r="J13" s="15"/>
      <c r="K13" s="15"/>
      <c r="L13" s="15"/>
      <c r="M13" s="15"/>
      <c r="N13" s="15"/>
      <c r="O13" s="15"/>
      <c r="P13" s="15"/>
      <c r="Q13" s="15"/>
      <c r="R13" s="16" t="str">
        <f aca="false">IF(A13="","",IF(OR(B13="",C13="",D13=""),"SID, client, environment needed",IF(AND(K13="N",L13=""),"Rationale needed (not in scope)",IF(AND(O13="Validated",P13=""),"Evidence ref needed",IF(AND(O13&lt;&gt;"Validated",Q13=""),"Open question needed",IF(AND(J13="Y",D13="PRD",K13&lt;&gt;"Y"),"PRD financial system should be in scope","OK"))))))</f>
        <v/>
      </c>
    </row>
    <row r="14" customFormat="false" ht="15" hidden="false" customHeight="false" outlineLevel="0" collapsed="false">
      <c r="A14" s="15"/>
      <c r="B14" s="15"/>
      <c r="C14" s="15"/>
      <c r="D14" s="15"/>
      <c r="E14" s="15"/>
      <c r="F14" s="15"/>
      <c r="G14" s="15"/>
      <c r="H14" s="15"/>
      <c r="I14" s="15"/>
      <c r="J14" s="15"/>
      <c r="K14" s="15"/>
      <c r="L14" s="15"/>
      <c r="M14" s="15"/>
      <c r="N14" s="15"/>
      <c r="O14" s="15"/>
      <c r="P14" s="15"/>
      <c r="Q14" s="15"/>
      <c r="R14" s="16" t="str">
        <f aca="false">IF(A14="","",IF(OR(B14="",C14="",D14=""),"SID, client, environment needed",IF(AND(K14="N",L14=""),"Rationale needed (not in scope)",IF(AND(O14="Validated",P14=""),"Evidence ref needed",IF(AND(O14&lt;&gt;"Validated",Q14=""),"Open question needed",IF(AND(J14="Y",D14="PRD",K14&lt;&gt;"Y"),"PRD financial system should be in scope","OK"))))))</f>
        <v/>
      </c>
    </row>
    <row r="15" customFormat="false" ht="15" hidden="false" customHeight="false" outlineLevel="0" collapsed="false">
      <c r="A15" s="15"/>
      <c r="B15" s="15"/>
      <c r="C15" s="15"/>
      <c r="D15" s="15"/>
      <c r="E15" s="15"/>
      <c r="F15" s="15"/>
      <c r="G15" s="15"/>
      <c r="H15" s="15"/>
      <c r="I15" s="15"/>
      <c r="J15" s="15"/>
      <c r="K15" s="15"/>
      <c r="L15" s="15"/>
      <c r="M15" s="15"/>
      <c r="N15" s="15"/>
      <c r="O15" s="15"/>
      <c r="P15" s="15"/>
      <c r="Q15" s="15"/>
      <c r="R15" s="16" t="str">
        <f aca="false">IF(A15="","",IF(OR(B15="",C15="",D15=""),"SID, client, environment needed",IF(AND(K15="N",L15=""),"Rationale needed (not in scope)",IF(AND(O15="Validated",P15=""),"Evidence ref needed",IF(AND(O15&lt;&gt;"Validated",Q15=""),"Open question needed",IF(AND(J15="Y",D15="PRD",K15&lt;&gt;"Y"),"PRD financial system should be in scope","OK"))))))</f>
        <v/>
      </c>
    </row>
    <row r="16" customFormat="false" ht="15" hidden="false" customHeight="false" outlineLevel="0" collapsed="false">
      <c r="A16" s="15"/>
      <c r="B16" s="15"/>
      <c r="C16" s="15"/>
      <c r="D16" s="15"/>
      <c r="E16" s="15"/>
      <c r="F16" s="15"/>
      <c r="G16" s="15"/>
      <c r="H16" s="15"/>
      <c r="I16" s="15"/>
      <c r="J16" s="15"/>
      <c r="K16" s="15"/>
      <c r="L16" s="15"/>
      <c r="M16" s="15"/>
      <c r="N16" s="15"/>
      <c r="O16" s="15"/>
      <c r="P16" s="15"/>
      <c r="Q16" s="15"/>
      <c r="R16" s="16" t="str">
        <f aca="false">IF(A16="","",IF(OR(B16="",C16="",D16=""),"SID, client, environment needed",IF(AND(K16="N",L16=""),"Rationale needed (not in scope)",IF(AND(O16="Validated",P16=""),"Evidence ref needed",IF(AND(O16&lt;&gt;"Validated",Q16=""),"Open question needed",IF(AND(J16="Y",D16="PRD",K16&lt;&gt;"Y"),"PRD financial system should be in scope","OK"))))))</f>
        <v/>
      </c>
    </row>
    <row r="17" customFormat="false" ht="15" hidden="false" customHeight="false" outlineLevel="0" collapsed="false">
      <c r="A17" s="15"/>
      <c r="B17" s="15"/>
      <c r="C17" s="15"/>
      <c r="D17" s="15"/>
      <c r="E17" s="15"/>
      <c r="F17" s="15"/>
      <c r="G17" s="15"/>
      <c r="H17" s="15"/>
      <c r="I17" s="15"/>
      <c r="J17" s="15"/>
      <c r="K17" s="15"/>
      <c r="L17" s="15"/>
      <c r="M17" s="15"/>
      <c r="N17" s="15"/>
      <c r="O17" s="15"/>
      <c r="P17" s="15"/>
      <c r="Q17" s="15"/>
      <c r="R17" s="16" t="str">
        <f aca="false">IF(A17="","",IF(OR(B17="",C17="",D17=""),"SID, client, environment needed",IF(AND(K17="N",L17=""),"Rationale needed (not in scope)",IF(AND(O17="Validated",P17=""),"Evidence ref needed",IF(AND(O17&lt;&gt;"Validated",Q17=""),"Open question needed",IF(AND(J17="Y",D17="PRD",K17&lt;&gt;"Y"),"PRD financial system should be in scope","OK"))))))</f>
        <v/>
      </c>
    </row>
    <row r="18" customFormat="false" ht="15" hidden="false" customHeight="false" outlineLevel="0" collapsed="false">
      <c r="A18" s="15"/>
      <c r="B18" s="15"/>
      <c r="C18" s="15"/>
      <c r="D18" s="15"/>
      <c r="E18" s="15"/>
      <c r="F18" s="15"/>
      <c r="G18" s="15"/>
      <c r="H18" s="15"/>
      <c r="I18" s="15"/>
      <c r="J18" s="15"/>
      <c r="K18" s="15"/>
      <c r="L18" s="15"/>
      <c r="M18" s="15"/>
      <c r="N18" s="15"/>
      <c r="O18" s="15"/>
      <c r="P18" s="15"/>
      <c r="Q18" s="15"/>
      <c r="R18" s="16" t="str">
        <f aca="false">IF(A18="","",IF(OR(B18="",C18="",D18=""),"SID, client, environment needed",IF(AND(K18="N",L18=""),"Rationale needed (not in scope)",IF(AND(O18="Validated",P18=""),"Evidence ref needed",IF(AND(O18&lt;&gt;"Validated",Q18=""),"Open question needed",IF(AND(J18="Y",D18="PRD",K18&lt;&gt;"Y"),"PRD financial system should be in scope","OK"))))))</f>
        <v/>
      </c>
    </row>
    <row r="19" customFormat="false" ht="15" hidden="false" customHeight="false" outlineLevel="0" collapsed="false">
      <c r="A19" s="15"/>
      <c r="B19" s="15"/>
      <c r="C19" s="15"/>
      <c r="D19" s="15"/>
      <c r="E19" s="15"/>
      <c r="F19" s="15"/>
      <c r="G19" s="15"/>
      <c r="H19" s="15"/>
      <c r="I19" s="15"/>
      <c r="J19" s="15"/>
      <c r="K19" s="15"/>
      <c r="L19" s="15"/>
      <c r="M19" s="15"/>
      <c r="N19" s="15"/>
      <c r="O19" s="15"/>
      <c r="P19" s="15"/>
      <c r="Q19" s="15"/>
      <c r="R19" s="16" t="str">
        <f aca="false">IF(A19="","",IF(OR(B19="",C19="",D19=""),"SID, client, environment needed",IF(AND(K19="N",L19=""),"Rationale needed (not in scope)",IF(AND(O19="Validated",P19=""),"Evidence ref needed",IF(AND(O19&lt;&gt;"Validated",Q19=""),"Open question needed",IF(AND(J19="Y",D19="PRD",K19&lt;&gt;"Y"),"PRD financial system should be in scope","OK"))))))</f>
        <v/>
      </c>
    </row>
    <row r="20" customFormat="false" ht="15" hidden="false" customHeight="false" outlineLevel="0" collapsed="false">
      <c r="A20" s="15"/>
      <c r="B20" s="15"/>
      <c r="C20" s="15"/>
      <c r="D20" s="15"/>
      <c r="E20" s="15"/>
      <c r="F20" s="15"/>
      <c r="G20" s="15"/>
      <c r="H20" s="15"/>
      <c r="I20" s="15"/>
      <c r="J20" s="15"/>
      <c r="K20" s="15"/>
      <c r="L20" s="15"/>
      <c r="M20" s="15"/>
      <c r="N20" s="15"/>
      <c r="O20" s="15"/>
      <c r="P20" s="15"/>
      <c r="Q20" s="15"/>
      <c r="R20" s="16" t="str">
        <f aca="false">IF(A20="","",IF(OR(B20="",C20="",D20=""),"SID, client, environment needed",IF(AND(K20="N",L20=""),"Rationale needed (not in scope)",IF(AND(O20="Validated",P20=""),"Evidence ref needed",IF(AND(O20&lt;&gt;"Validated",Q20=""),"Open question needed",IF(AND(J20="Y",D20="PRD",K20&lt;&gt;"Y"),"PRD financial system should be in scope","OK"))))))</f>
        <v/>
      </c>
    </row>
    <row r="21" customFormat="false" ht="15" hidden="false" customHeight="false" outlineLevel="0" collapsed="false">
      <c r="A21" s="15"/>
      <c r="B21" s="15"/>
      <c r="C21" s="15"/>
      <c r="D21" s="15"/>
      <c r="E21" s="15"/>
      <c r="F21" s="15"/>
      <c r="G21" s="15"/>
      <c r="H21" s="15"/>
      <c r="I21" s="15"/>
      <c r="J21" s="15"/>
      <c r="K21" s="15"/>
      <c r="L21" s="15"/>
      <c r="M21" s="15"/>
      <c r="N21" s="15"/>
      <c r="O21" s="15"/>
      <c r="P21" s="15"/>
      <c r="Q21" s="15"/>
      <c r="R21" s="16" t="str">
        <f aca="false">IF(A21="","",IF(OR(B21="",C21="",D21=""),"SID, client, environment needed",IF(AND(K21="N",L21=""),"Rationale needed (not in scope)",IF(AND(O21="Validated",P21=""),"Evidence ref needed",IF(AND(O21&lt;&gt;"Validated",Q21=""),"Open question needed",IF(AND(J21="Y",D21="PRD",K21&lt;&gt;"Y"),"PRD financial system should be in scope","OK"))))))</f>
        <v/>
      </c>
    </row>
    <row r="22" customFormat="false" ht="15" hidden="false" customHeight="false" outlineLevel="0" collapsed="false">
      <c r="A22" s="15"/>
      <c r="B22" s="15"/>
      <c r="C22" s="15"/>
      <c r="D22" s="15"/>
      <c r="E22" s="15"/>
      <c r="F22" s="15"/>
      <c r="G22" s="15"/>
      <c r="H22" s="15"/>
      <c r="I22" s="15"/>
      <c r="J22" s="15"/>
      <c r="K22" s="15"/>
      <c r="L22" s="15"/>
      <c r="M22" s="15"/>
      <c r="N22" s="15"/>
      <c r="O22" s="15"/>
      <c r="P22" s="15"/>
      <c r="Q22" s="15"/>
      <c r="R22" s="16" t="str">
        <f aca="false">IF(A22="","",IF(OR(B22="",C22="",D22=""),"SID, client, environment needed",IF(AND(K22="N",L22=""),"Rationale needed (not in scope)",IF(AND(O22="Validated",P22=""),"Evidence ref needed",IF(AND(O22&lt;&gt;"Validated",Q22=""),"Open question needed",IF(AND(J22="Y",D22="PRD",K22&lt;&gt;"Y"),"PRD financial system should be in scope","OK"))))))</f>
        <v/>
      </c>
    </row>
    <row r="23" customFormat="false" ht="15" hidden="false" customHeight="false" outlineLevel="0" collapsed="false">
      <c r="A23" s="15"/>
      <c r="B23" s="15"/>
      <c r="C23" s="15"/>
      <c r="D23" s="15"/>
      <c r="E23" s="15"/>
      <c r="F23" s="15"/>
      <c r="G23" s="15"/>
      <c r="H23" s="15"/>
      <c r="I23" s="15"/>
      <c r="J23" s="15"/>
      <c r="K23" s="15"/>
      <c r="L23" s="15"/>
      <c r="M23" s="15"/>
      <c r="N23" s="15"/>
      <c r="O23" s="15"/>
      <c r="P23" s="15"/>
      <c r="Q23" s="15"/>
      <c r="R23" s="16" t="str">
        <f aca="false">IF(A23="","",IF(OR(B23="",C23="",D23=""),"SID, client, environment needed",IF(AND(K23="N",L23=""),"Rationale needed (not in scope)",IF(AND(O23="Validated",P23=""),"Evidence ref needed",IF(AND(O23&lt;&gt;"Validated",Q23=""),"Open question needed",IF(AND(J23="Y",D23="PRD",K23&lt;&gt;"Y"),"PRD financial system should be in scope","OK"))))))</f>
        <v/>
      </c>
    </row>
    <row r="24" customFormat="false" ht="15" hidden="false" customHeight="false" outlineLevel="0" collapsed="false">
      <c r="A24" s="15"/>
      <c r="B24" s="15"/>
      <c r="C24" s="15"/>
      <c r="D24" s="15"/>
      <c r="E24" s="15"/>
      <c r="F24" s="15"/>
      <c r="G24" s="15"/>
      <c r="H24" s="15"/>
      <c r="I24" s="15"/>
      <c r="J24" s="15"/>
      <c r="K24" s="15"/>
      <c r="L24" s="15"/>
      <c r="M24" s="15"/>
      <c r="N24" s="15"/>
      <c r="O24" s="15"/>
      <c r="P24" s="15"/>
      <c r="Q24" s="15"/>
      <c r="R24" s="16" t="str">
        <f aca="false">IF(A24="","",IF(OR(B24="",C24="",D24=""),"SID, client, environment needed",IF(AND(K24="N",L24=""),"Rationale needed (not in scope)",IF(AND(O24="Validated",P24=""),"Evidence ref needed",IF(AND(O24&lt;&gt;"Validated",Q24=""),"Open question needed",IF(AND(J24="Y",D24="PRD",K24&lt;&gt;"Y"),"PRD financial system should be in scope","OK"))))))</f>
        <v/>
      </c>
    </row>
    <row r="25" customFormat="false" ht="15" hidden="false" customHeight="false" outlineLevel="0" collapsed="false">
      <c r="A25" s="15"/>
      <c r="B25" s="15"/>
      <c r="C25" s="15"/>
      <c r="D25" s="15"/>
      <c r="E25" s="15"/>
      <c r="F25" s="15"/>
      <c r="G25" s="15"/>
      <c r="H25" s="15"/>
      <c r="I25" s="15"/>
      <c r="J25" s="15"/>
      <c r="K25" s="15"/>
      <c r="L25" s="15"/>
      <c r="M25" s="15"/>
      <c r="N25" s="15"/>
      <c r="O25" s="15"/>
      <c r="P25" s="15"/>
      <c r="Q25" s="15"/>
      <c r="R25" s="16" t="str">
        <f aca="false">IF(A25="","",IF(OR(B25="",C25="",D25=""),"SID, client, environment needed",IF(AND(K25="N",L25=""),"Rationale needed (not in scope)",IF(AND(O25="Validated",P25=""),"Evidence ref needed",IF(AND(O25&lt;&gt;"Validated",Q25=""),"Open question needed",IF(AND(J25="Y",D25="PRD",K25&lt;&gt;"Y"),"PRD financial system should be in scope","OK"))))))</f>
        <v/>
      </c>
    </row>
    <row r="26" customFormat="false" ht="15" hidden="false" customHeight="false" outlineLevel="0" collapsed="false">
      <c r="A26" s="15"/>
      <c r="B26" s="15"/>
      <c r="C26" s="15"/>
      <c r="D26" s="15"/>
      <c r="E26" s="15"/>
      <c r="F26" s="15"/>
      <c r="G26" s="15"/>
      <c r="H26" s="15"/>
      <c r="I26" s="15"/>
      <c r="J26" s="15"/>
      <c r="K26" s="15"/>
      <c r="L26" s="15"/>
      <c r="M26" s="15"/>
      <c r="N26" s="15"/>
      <c r="O26" s="15"/>
      <c r="P26" s="15"/>
      <c r="Q26" s="15"/>
      <c r="R26" s="16" t="str">
        <f aca="false">IF(A26="","",IF(OR(B26="",C26="",D26=""),"SID, client, environment needed",IF(AND(K26="N",L26=""),"Rationale needed (not in scope)",IF(AND(O26="Validated",P26=""),"Evidence ref needed",IF(AND(O26&lt;&gt;"Validated",Q26=""),"Open question needed",IF(AND(J26="Y",D26="PRD",K26&lt;&gt;"Y"),"PRD financial system should be in scope","OK"))))))</f>
        <v/>
      </c>
    </row>
    <row r="27" customFormat="false" ht="15" hidden="false" customHeight="false" outlineLevel="0" collapsed="false">
      <c r="A27" s="15"/>
      <c r="B27" s="15"/>
      <c r="C27" s="15"/>
      <c r="D27" s="15"/>
      <c r="E27" s="15"/>
      <c r="F27" s="15"/>
      <c r="G27" s="15"/>
      <c r="H27" s="15"/>
      <c r="I27" s="15"/>
      <c r="J27" s="15"/>
      <c r="K27" s="15"/>
      <c r="L27" s="15"/>
      <c r="M27" s="15"/>
      <c r="N27" s="15"/>
      <c r="O27" s="15"/>
      <c r="P27" s="15"/>
      <c r="Q27" s="15"/>
      <c r="R27" s="16" t="str">
        <f aca="false">IF(A27="","",IF(OR(B27="",C27="",D27=""),"SID, client, environment needed",IF(AND(K27="N",L27=""),"Rationale needed (not in scope)",IF(AND(O27="Validated",P27=""),"Evidence ref needed",IF(AND(O27&lt;&gt;"Validated",Q27=""),"Open question needed",IF(AND(J27="Y",D27="PRD",K27&lt;&gt;"Y"),"PRD financial system should be in scope","OK"))))))</f>
        <v/>
      </c>
    </row>
    <row r="28" customFormat="false" ht="15" hidden="false" customHeight="false" outlineLevel="0" collapsed="false">
      <c r="A28" s="15"/>
      <c r="B28" s="15"/>
      <c r="C28" s="15"/>
      <c r="D28" s="15"/>
      <c r="E28" s="15"/>
      <c r="F28" s="15"/>
      <c r="G28" s="15"/>
      <c r="H28" s="15"/>
      <c r="I28" s="15"/>
      <c r="J28" s="15"/>
      <c r="K28" s="15"/>
      <c r="L28" s="15"/>
      <c r="M28" s="15"/>
      <c r="N28" s="15"/>
      <c r="O28" s="15"/>
      <c r="P28" s="15"/>
      <c r="Q28" s="15"/>
      <c r="R28" s="16" t="str">
        <f aca="false">IF(A28="","",IF(OR(B28="",C28="",D28=""),"SID, client, environment needed",IF(AND(K28="N",L28=""),"Rationale needed (not in scope)",IF(AND(O28="Validated",P28=""),"Evidence ref needed",IF(AND(O28&lt;&gt;"Validated",Q28=""),"Open question needed",IF(AND(J28="Y",D28="PRD",K28&lt;&gt;"Y"),"PRD financial system should be in scope","OK"))))))</f>
        <v/>
      </c>
    </row>
    <row r="29" customFormat="false" ht="15" hidden="false" customHeight="false" outlineLevel="0" collapsed="false">
      <c r="A29" s="15"/>
      <c r="B29" s="15"/>
      <c r="C29" s="15"/>
      <c r="D29" s="15"/>
      <c r="E29" s="15"/>
      <c r="F29" s="15"/>
      <c r="G29" s="15"/>
      <c r="H29" s="15"/>
      <c r="I29" s="15"/>
      <c r="J29" s="15"/>
      <c r="K29" s="15"/>
      <c r="L29" s="15"/>
      <c r="M29" s="15"/>
      <c r="N29" s="15"/>
      <c r="O29" s="15"/>
      <c r="P29" s="15"/>
      <c r="Q29" s="15"/>
      <c r="R29" s="16" t="str">
        <f aca="false">IF(A29="","",IF(OR(B29="",C29="",D29=""),"SID, client, environment needed",IF(AND(K29="N",L29=""),"Rationale needed (not in scope)",IF(AND(O29="Validated",P29=""),"Evidence ref needed",IF(AND(O29&lt;&gt;"Validated",Q29=""),"Open question needed",IF(AND(J29="Y",D29="PRD",K29&lt;&gt;"Y"),"PRD financial system should be in scope","OK"))))))</f>
        <v/>
      </c>
    </row>
    <row r="30" customFormat="false" ht="15" hidden="false" customHeight="false" outlineLevel="0" collapsed="false">
      <c r="A30" s="15"/>
      <c r="B30" s="15"/>
      <c r="C30" s="15"/>
      <c r="D30" s="15"/>
      <c r="E30" s="15"/>
      <c r="F30" s="15"/>
      <c r="G30" s="15"/>
      <c r="H30" s="15"/>
      <c r="I30" s="15"/>
      <c r="J30" s="15"/>
      <c r="K30" s="15"/>
      <c r="L30" s="15"/>
      <c r="M30" s="15"/>
      <c r="N30" s="15"/>
      <c r="O30" s="15"/>
      <c r="P30" s="15"/>
      <c r="Q30" s="15"/>
      <c r="R30" s="16" t="str">
        <f aca="false">IF(A30="","",IF(OR(B30="",C30="",D30=""),"SID, client, environment needed",IF(AND(K30="N",L30=""),"Rationale needed (not in scope)",IF(AND(O30="Validated",P30=""),"Evidence ref needed",IF(AND(O30&lt;&gt;"Validated",Q30=""),"Open question needed",IF(AND(J30="Y",D30="PRD",K30&lt;&gt;"Y"),"PRD financial system should be in scope","OK"))))))</f>
        <v/>
      </c>
    </row>
    <row r="31" customFormat="false" ht="15" hidden="false" customHeight="false" outlineLevel="0" collapsed="false">
      <c r="A31" s="15"/>
      <c r="B31" s="15"/>
      <c r="C31" s="15"/>
      <c r="D31" s="15"/>
      <c r="E31" s="15"/>
      <c r="F31" s="15"/>
      <c r="G31" s="15"/>
      <c r="H31" s="15"/>
      <c r="I31" s="15"/>
      <c r="J31" s="15"/>
      <c r="K31" s="15"/>
      <c r="L31" s="15"/>
      <c r="M31" s="15"/>
      <c r="N31" s="15"/>
      <c r="O31" s="15"/>
      <c r="P31" s="15"/>
      <c r="Q31" s="15"/>
      <c r="R31" s="16" t="str">
        <f aca="false">IF(A31="","",IF(OR(B31="",C31="",D31=""),"SID, client, environment needed",IF(AND(K31="N",L31=""),"Rationale needed (not in scope)",IF(AND(O31="Validated",P31=""),"Evidence ref needed",IF(AND(O31&lt;&gt;"Validated",Q31=""),"Open question needed",IF(AND(J31="Y",D31="PRD",K31&lt;&gt;"Y"),"PRD financial system should be in scope","OK"))))))</f>
        <v/>
      </c>
    </row>
    <row r="32" customFormat="false" ht="15" hidden="false" customHeight="false" outlineLevel="0" collapsed="false">
      <c r="A32" s="15"/>
      <c r="B32" s="15"/>
      <c r="C32" s="15"/>
      <c r="D32" s="15"/>
      <c r="E32" s="15"/>
      <c r="F32" s="15"/>
      <c r="G32" s="15"/>
      <c r="H32" s="15"/>
      <c r="I32" s="15"/>
      <c r="J32" s="15"/>
      <c r="K32" s="15"/>
      <c r="L32" s="15"/>
      <c r="M32" s="15"/>
      <c r="N32" s="15"/>
      <c r="O32" s="15"/>
      <c r="P32" s="15"/>
      <c r="Q32" s="15"/>
      <c r="R32" s="16" t="str">
        <f aca="false">IF(A32="","",IF(OR(B32="",C32="",D32=""),"SID, client, environment needed",IF(AND(K32="N",L32=""),"Rationale needed (not in scope)",IF(AND(O32="Validated",P32=""),"Evidence ref needed",IF(AND(O32&lt;&gt;"Validated",Q32=""),"Open question needed",IF(AND(J32="Y",D32="PRD",K32&lt;&gt;"Y"),"PRD financial system should be in scope","OK"))))))</f>
        <v/>
      </c>
    </row>
    <row r="33" customFormat="false" ht="15" hidden="false" customHeight="false" outlineLevel="0" collapsed="false">
      <c r="A33" s="15"/>
      <c r="B33" s="15"/>
      <c r="C33" s="15"/>
      <c r="D33" s="15"/>
      <c r="E33" s="15"/>
      <c r="F33" s="15"/>
      <c r="G33" s="15"/>
      <c r="H33" s="15"/>
      <c r="I33" s="15"/>
      <c r="J33" s="15"/>
      <c r="K33" s="15"/>
      <c r="L33" s="15"/>
      <c r="M33" s="15"/>
      <c r="N33" s="15"/>
      <c r="O33" s="15"/>
      <c r="P33" s="15"/>
      <c r="Q33" s="15"/>
      <c r="R33" s="16" t="str">
        <f aca="false">IF(A33="","",IF(OR(B33="",C33="",D33=""),"SID, client, environment needed",IF(AND(K33="N",L33=""),"Rationale needed (not in scope)",IF(AND(O33="Validated",P33=""),"Evidence ref needed",IF(AND(O33&lt;&gt;"Validated",Q33=""),"Open question needed",IF(AND(J33="Y",D33="PRD",K33&lt;&gt;"Y"),"PRD financial system should be in scope","OK"))))))</f>
        <v/>
      </c>
    </row>
    <row r="34" customFormat="false" ht="15" hidden="false" customHeight="false" outlineLevel="0" collapsed="false">
      <c r="A34" s="15"/>
      <c r="B34" s="15"/>
      <c r="C34" s="15"/>
      <c r="D34" s="15"/>
      <c r="E34" s="15"/>
      <c r="F34" s="15"/>
      <c r="G34" s="15"/>
      <c r="H34" s="15"/>
      <c r="I34" s="15"/>
      <c r="J34" s="15"/>
      <c r="K34" s="15"/>
      <c r="L34" s="15"/>
      <c r="M34" s="15"/>
      <c r="N34" s="15"/>
      <c r="O34" s="15"/>
      <c r="P34" s="15"/>
      <c r="Q34" s="15"/>
      <c r="R34" s="16" t="str">
        <f aca="false">IF(A34="","",IF(OR(B34="",C34="",D34=""),"SID, client, environment needed",IF(AND(K34="N",L34=""),"Rationale needed (not in scope)",IF(AND(O34="Validated",P34=""),"Evidence ref needed",IF(AND(O34&lt;&gt;"Validated",Q34=""),"Open question needed",IF(AND(J34="Y",D34="PRD",K34&lt;&gt;"Y"),"PRD financial system should be in scope","OK"))))))</f>
        <v/>
      </c>
    </row>
    <row r="35" customFormat="false" ht="15" hidden="false" customHeight="false" outlineLevel="0" collapsed="false">
      <c r="A35" s="15"/>
      <c r="B35" s="15"/>
      <c r="C35" s="15"/>
      <c r="D35" s="15"/>
      <c r="E35" s="15"/>
      <c r="F35" s="15"/>
      <c r="G35" s="15"/>
      <c r="H35" s="15"/>
      <c r="I35" s="15"/>
      <c r="J35" s="15"/>
      <c r="K35" s="15"/>
      <c r="L35" s="15"/>
      <c r="M35" s="15"/>
      <c r="N35" s="15"/>
      <c r="O35" s="15"/>
      <c r="P35" s="15"/>
      <c r="Q35" s="15"/>
      <c r="R35" s="16" t="str">
        <f aca="false">IF(A35="","",IF(OR(B35="",C35="",D35=""),"SID, client, environment needed",IF(AND(K35="N",L35=""),"Rationale needed (not in scope)",IF(AND(O35="Validated",P35=""),"Evidence ref needed",IF(AND(O35&lt;&gt;"Validated",Q35=""),"Open question needed",IF(AND(J35="Y",D35="PRD",K35&lt;&gt;"Y"),"PRD financial system should be in scope","OK"))))))</f>
        <v/>
      </c>
    </row>
    <row r="36" customFormat="false" ht="15" hidden="false" customHeight="false" outlineLevel="0" collapsed="false">
      <c r="A36" s="15"/>
      <c r="B36" s="15"/>
      <c r="C36" s="15"/>
      <c r="D36" s="15"/>
      <c r="E36" s="15"/>
      <c r="F36" s="15"/>
      <c r="G36" s="15"/>
      <c r="H36" s="15"/>
      <c r="I36" s="15"/>
      <c r="J36" s="15"/>
      <c r="K36" s="15"/>
      <c r="L36" s="15"/>
      <c r="M36" s="15"/>
      <c r="N36" s="15"/>
      <c r="O36" s="15"/>
      <c r="P36" s="15"/>
      <c r="Q36" s="15"/>
      <c r="R36" s="16" t="str">
        <f aca="false">IF(A36="","",IF(OR(B36="",C36="",D36=""),"SID, client, environment needed",IF(AND(K36="N",L36=""),"Rationale needed (not in scope)",IF(AND(O36="Validated",P36=""),"Evidence ref needed",IF(AND(O36&lt;&gt;"Validated",Q36=""),"Open question needed",IF(AND(J36="Y",D36="PRD",K36&lt;&gt;"Y"),"PRD financial system should be in scope","OK"))))))</f>
        <v/>
      </c>
    </row>
    <row r="37" customFormat="false" ht="15" hidden="false" customHeight="false" outlineLevel="0" collapsed="false">
      <c r="A37" s="15"/>
      <c r="B37" s="15"/>
      <c r="C37" s="15"/>
      <c r="D37" s="15"/>
      <c r="E37" s="15"/>
      <c r="F37" s="15"/>
      <c r="G37" s="15"/>
      <c r="H37" s="15"/>
      <c r="I37" s="15"/>
      <c r="J37" s="15"/>
      <c r="K37" s="15"/>
      <c r="L37" s="15"/>
      <c r="M37" s="15"/>
      <c r="N37" s="15"/>
      <c r="O37" s="15"/>
      <c r="P37" s="15"/>
      <c r="Q37" s="15"/>
      <c r="R37" s="16" t="str">
        <f aca="false">IF(A37="","",IF(OR(B37="",C37="",D37=""),"SID, client, environment needed",IF(AND(K37="N",L37=""),"Rationale needed (not in scope)",IF(AND(O37="Validated",P37=""),"Evidence ref needed",IF(AND(O37&lt;&gt;"Validated",Q37=""),"Open question needed",IF(AND(J37="Y",D37="PRD",K37&lt;&gt;"Y"),"PRD financial system should be in scope","OK"))))))</f>
        <v/>
      </c>
    </row>
    <row r="38" customFormat="false" ht="15" hidden="false" customHeight="false" outlineLevel="0" collapsed="false">
      <c r="A38" s="15"/>
      <c r="B38" s="15"/>
      <c r="C38" s="15"/>
      <c r="D38" s="15"/>
      <c r="E38" s="15"/>
      <c r="F38" s="15"/>
      <c r="G38" s="15"/>
      <c r="H38" s="15"/>
      <c r="I38" s="15"/>
      <c r="J38" s="15"/>
      <c r="K38" s="15"/>
      <c r="L38" s="15"/>
      <c r="M38" s="15"/>
      <c r="N38" s="15"/>
      <c r="O38" s="15"/>
      <c r="P38" s="15"/>
      <c r="Q38" s="15"/>
      <c r="R38" s="16" t="str">
        <f aca="false">IF(A38="","",IF(OR(B38="",C38="",D38=""),"SID, client, environment needed",IF(AND(K38="N",L38=""),"Rationale needed (not in scope)",IF(AND(O38="Validated",P38=""),"Evidence ref needed",IF(AND(O38&lt;&gt;"Validated",Q38=""),"Open question needed",IF(AND(J38="Y",D38="PRD",K38&lt;&gt;"Y"),"PRD financial system should be in scope","OK"))))))</f>
        <v/>
      </c>
    </row>
    <row r="39" customFormat="false" ht="15" hidden="false" customHeight="false" outlineLevel="0" collapsed="false">
      <c r="A39" s="15"/>
      <c r="B39" s="15"/>
      <c r="C39" s="15"/>
      <c r="D39" s="15"/>
      <c r="E39" s="15"/>
      <c r="F39" s="15"/>
      <c r="G39" s="15"/>
      <c r="H39" s="15"/>
      <c r="I39" s="15"/>
      <c r="J39" s="15"/>
      <c r="K39" s="15"/>
      <c r="L39" s="15"/>
      <c r="M39" s="15"/>
      <c r="N39" s="15"/>
      <c r="O39" s="15"/>
      <c r="P39" s="15"/>
      <c r="Q39" s="15"/>
      <c r="R39" s="16" t="str">
        <f aca="false">IF(A39="","",IF(OR(B39="",C39="",D39=""),"SID, client, environment needed",IF(AND(K39="N",L39=""),"Rationale needed (not in scope)",IF(AND(O39="Validated",P39=""),"Evidence ref needed",IF(AND(O39&lt;&gt;"Validated",Q39=""),"Open question needed",IF(AND(J39="Y",D39="PRD",K39&lt;&gt;"Y"),"PRD financial system should be in scope","OK"))))))</f>
        <v/>
      </c>
    </row>
    <row r="40" customFormat="false" ht="15" hidden="false" customHeight="false" outlineLevel="0" collapsed="false">
      <c r="A40" s="15"/>
      <c r="B40" s="15"/>
      <c r="C40" s="15"/>
      <c r="D40" s="15"/>
      <c r="E40" s="15"/>
      <c r="F40" s="15"/>
      <c r="G40" s="15"/>
      <c r="H40" s="15"/>
      <c r="I40" s="15"/>
      <c r="J40" s="15"/>
      <c r="K40" s="15"/>
      <c r="L40" s="15"/>
      <c r="M40" s="15"/>
      <c r="N40" s="15"/>
      <c r="O40" s="15"/>
      <c r="P40" s="15"/>
      <c r="Q40" s="15"/>
      <c r="R40" s="16" t="str">
        <f aca="false">IF(A40="","",IF(OR(B40="",C40="",D40=""),"SID, client, environment needed",IF(AND(K40="N",L40=""),"Rationale needed (not in scope)",IF(AND(O40="Validated",P40=""),"Evidence ref needed",IF(AND(O40&lt;&gt;"Validated",Q40=""),"Open question needed",IF(AND(J40="Y",D40="PRD",K40&lt;&gt;"Y"),"PRD financial system should be in scope","OK"))))))</f>
        <v/>
      </c>
    </row>
    <row r="41" customFormat="false" ht="15" hidden="false" customHeight="false" outlineLevel="0" collapsed="false">
      <c r="A41" s="15"/>
      <c r="B41" s="15"/>
      <c r="C41" s="15"/>
      <c r="D41" s="15"/>
      <c r="E41" s="15"/>
      <c r="F41" s="15"/>
      <c r="G41" s="15"/>
      <c r="H41" s="15"/>
      <c r="I41" s="15"/>
      <c r="J41" s="15"/>
      <c r="K41" s="15"/>
      <c r="L41" s="15"/>
      <c r="M41" s="15"/>
      <c r="N41" s="15"/>
      <c r="O41" s="15"/>
      <c r="P41" s="15"/>
      <c r="Q41" s="15"/>
      <c r="R41" s="16" t="str">
        <f aca="false">IF(A41="","",IF(OR(B41="",C41="",D41=""),"SID, client, environment needed",IF(AND(K41="N",L41=""),"Rationale needed (not in scope)",IF(AND(O41="Validated",P41=""),"Evidence ref needed",IF(AND(O41&lt;&gt;"Validated",Q41=""),"Open question needed",IF(AND(J41="Y",D41="PRD",K41&lt;&gt;"Y"),"PRD financial system should be in scope","OK"))))))</f>
        <v/>
      </c>
    </row>
    <row r="42" customFormat="false" ht="15" hidden="false" customHeight="false" outlineLevel="0" collapsed="false">
      <c r="A42" s="15"/>
      <c r="B42" s="15"/>
      <c r="C42" s="15"/>
      <c r="D42" s="15"/>
      <c r="E42" s="15"/>
      <c r="F42" s="15"/>
      <c r="G42" s="15"/>
      <c r="H42" s="15"/>
      <c r="I42" s="15"/>
      <c r="J42" s="15"/>
      <c r="K42" s="15"/>
      <c r="L42" s="15"/>
      <c r="M42" s="15"/>
      <c r="N42" s="15"/>
      <c r="O42" s="15"/>
      <c r="P42" s="15"/>
      <c r="Q42" s="15"/>
      <c r="R42" s="16" t="str">
        <f aca="false">IF(A42="","",IF(OR(B42="",C42="",D42=""),"SID, client, environment needed",IF(AND(K42="N",L42=""),"Rationale needed (not in scope)",IF(AND(O42="Validated",P42=""),"Evidence ref needed",IF(AND(O42&lt;&gt;"Validated",Q42=""),"Open question needed",IF(AND(J42="Y",D42="PRD",K42&lt;&gt;"Y"),"PRD financial system should be in scope","OK"))))))</f>
        <v/>
      </c>
    </row>
    <row r="43" customFormat="false" ht="15" hidden="false" customHeight="false" outlineLevel="0" collapsed="false">
      <c r="A43" s="15"/>
      <c r="B43" s="15"/>
      <c r="C43" s="15"/>
      <c r="D43" s="15"/>
      <c r="E43" s="15"/>
      <c r="F43" s="15"/>
      <c r="G43" s="15"/>
      <c r="H43" s="15"/>
      <c r="I43" s="15"/>
      <c r="J43" s="15"/>
      <c r="K43" s="15"/>
      <c r="L43" s="15"/>
      <c r="M43" s="15"/>
      <c r="N43" s="15"/>
      <c r="O43" s="15"/>
      <c r="P43" s="15"/>
      <c r="Q43" s="15"/>
      <c r="R43" s="16" t="str">
        <f aca="false">IF(A43="","",IF(OR(B43="",C43="",D43=""),"SID, client, environment needed",IF(AND(K43="N",L43=""),"Rationale needed (not in scope)",IF(AND(O43="Validated",P43=""),"Evidence ref needed",IF(AND(O43&lt;&gt;"Validated",Q43=""),"Open question needed",IF(AND(J43="Y",D43="PRD",K43&lt;&gt;"Y"),"PRD financial system should be in scope","OK"))))))</f>
        <v/>
      </c>
    </row>
    <row r="44" customFormat="false" ht="15" hidden="false" customHeight="false" outlineLevel="0" collapsed="false">
      <c r="A44" s="15"/>
      <c r="B44" s="15"/>
      <c r="C44" s="15"/>
      <c r="D44" s="15"/>
      <c r="E44" s="15"/>
      <c r="F44" s="15"/>
      <c r="G44" s="15"/>
      <c r="H44" s="15"/>
      <c r="I44" s="15"/>
      <c r="J44" s="15"/>
      <c r="K44" s="15"/>
      <c r="L44" s="15"/>
      <c r="M44" s="15"/>
      <c r="N44" s="15"/>
      <c r="O44" s="15"/>
      <c r="P44" s="15"/>
      <c r="Q44" s="15"/>
      <c r="R44" s="16" t="str">
        <f aca="false">IF(A44="","",IF(OR(B44="",C44="",D44=""),"SID, client, environment needed",IF(AND(K44="N",L44=""),"Rationale needed (not in scope)",IF(AND(O44="Validated",P44=""),"Evidence ref needed",IF(AND(O44&lt;&gt;"Validated",Q44=""),"Open question needed",IF(AND(J44="Y",D44="PRD",K44&lt;&gt;"Y"),"PRD financial system should be in scope","OK"))))))</f>
        <v/>
      </c>
    </row>
    <row r="45" customFormat="false" ht="15" hidden="false" customHeight="false" outlineLevel="0" collapsed="false">
      <c r="A45" s="15"/>
      <c r="B45" s="15"/>
      <c r="C45" s="15"/>
      <c r="D45" s="15"/>
      <c r="E45" s="15"/>
      <c r="F45" s="15"/>
      <c r="G45" s="15"/>
      <c r="H45" s="15"/>
      <c r="I45" s="15"/>
      <c r="J45" s="15"/>
      <c r="K45" s="15"/>
      <c r="L45" s="15"/>
      <c r="M45" s="15"/>
      <c r="N45" s="15"/>
      <c r="O45" s="15"/>
      <c r="P45" s="15"/>
      <c r="Q45" s="15"/>
      <c r="R45" s="16" t="str">
        <f aca="false">IF(A45="","",IF(OR(B45="",C45="",D45=""),"SID, client, environment needed",IF(AND(K45="N",L45=""),"Rationale needed (not in scope)",IF(AND(O45="Validated",P45=""),"Evidence ref needed",IF(AND(O45&lt;&gt;"Validated",Q45=""),"Open question needed",IF(AND(J45="Y",D45="PRD",K45&lt;&gt;"Y"),"PRD financial system should be in scope","OK"))))))</f>
        <v/>
      </c>
    </row>
    <row r="46" customFormat="false" ht="15" hidden="false" customHeight="false" outlineLevel="0" collapsed="false">
      <c r="A46" s="15"/>
      <c r="B46" s="15"/>
      <c r="C46" s="15"/>
      <c r="D46" s="15"/>
      <c r="E46" s="15"/>
      <c r="F46" s="15"/>
      <c r="G46" s="15"/>
      <c r="H46" s="15"/>
      <c r="I46" s="15"/>
      <c r="J46" s="15"/>
      <c r="K46" s="15"/>
      <c r="L46" s="15"/>
      <c r="M46" s="15"/>
      <c r="N46" s="15"/>
      <c r="O46" s="15"/>
      <c r="P46" s="15"/>
      <c r="Q46" s="15"/>
      <c r="R46" s="16" t="str">
        <f aca="false">IF(A46="","",IF(OR(B46="",C46="",D46=""),"SID, client, environment needed",IF(AND(K46="N",L46=""),"Rationale needed (not in scope)",IF(AND(O46="Validated",P46=""),"Evidence ref needed",IF(AND(O46&lt;&gt;"Validated",Q46=""),"Open question needed",IF(AND(J46="Y",D46="PRD",K46&lt;&gt;"Y"),"PRD financial system should be in scope","OK"))))))</f>
        <v/>
      </c>
    </row>
    <row r="47" customFormat="false" ht="15" hidden="false" customHeight="false" outlineLevel="0" collapsed="false">
      <c r="A47" s="15"/>
      <c r="B47" s="15"/>
      <c r="C47" s="15"/>
      <c r="D47" s="15"/>
      <c r="E47" s="15"/>
      <c r="F47" s="15"/>
      <c r="G47" s="15"/>
      <c r="H47" s="15"/>
      <c r="I47" s="15"/>
      <c r="J47" s="15"/>
      <c r="K47" s="15"/>
      <c r="L47" s="15"/>
      <c r="M47" s="15"/>
      <c r="N47" s="15"/>
      <c r="O47" s="15"/>
      <c r="P47" s="15"/>
      <c r="Q47" s="15"/>
      <c r="R47" s="16" t="str">
        <f aca="false">IF(A47="","",IF(OR(B47="",C47="",D47=""),"SID, client, environment needed",IF(AND(K47="N",L47=""),"Rationale needed (not in scope)",IF(AND(O47="Validated",P47=""),"Evidence ref needed",IF(AND(O47&lt;&gt;"Validated",Q47=""),"Open question needed",IF(AND(J47="Y",D47="PRD",K47&lt;&gt;"Y"),"PRD financial system should be in scope","OK"))))))</f>
        <v/>
      </c>
    </row>
    <row r="48" customFormat="false" ht="15" hidden="false" customHeight="false" outlineLevel="0" collapsed="false">
      <c r="A48" s="15"/>
      <c r="B48" s="15"/>
      <c r="C48" s="15"/>
      <c r="D48" s="15"/>
      <c r="E48" s="15"/>
      <c r="F48" s="15"/>
      <c r="G48" s="15"/>
      <c r="H48" s="15"/>
      <c r="I48" s="15"/>
      <c r="J48" s="15"/>
      <c r="K48" s="15"/>
      <c r="L48" s="15"/>
      <c r="M48" s="15"/>
      <c r="N48" s="15"/>
      <c r="O48" s="15"/>
      <c r="P48" s="15"/>
      <c r="Q48" s="15"/>
      <c r="R48" s="16" t="str">
        <f aca="false">IF(A48="","",IF(OR(B48="",C48="",D48=""),"SID, client, environment needed",IF(AND(K48="N",L48=""),"Rationale needed (not in scope)",IF(AND(O48="Validated",P48=""),"Evidence ref needed",IF(AND(O48&lt;&gt;"Validated",Q48=""),"Open question needed",IF(AND(J48="Y",D48="PRD",K48&lt;&gt;"Y"),"PRD financial system should be in scope","OK"))))))</f>
        <v/>
      </c>
    </row>
    <row r="49" customFormat="false" ht="15" hidden="false" customHeight="false" outlineLevel="0" collapsed="false">
      <c r="A49" s="15"/>
      <c r="B49" s="15"/>
      <c r="C49" s="15"/>
      <c r="D49" s="15"/>
      <c r="E49" s="15"/>
      <c r="F49" s="15"/>
      <c r="G49" s="15"/>
      <c r="H49" s="15"/>
      <c r="I49" s="15"/>
      <c r="J49" s="15"/>
      <c r="K49" s="15"/>
      <c r="L49" s="15"/>
      <c r="M49" s="15"/>
      <c r="N49" s="15"/>
      <c r="O49" s="15"/>
      <c r="P49" s="15"/>
      <c r="Q49" s="15"/>
      <c r="R49" s="16" t="str">
        <f aca="false">IF(A49="","",IF(OR(B49="",C49="",D49=""),"SID, client, environment needed",IF(AND(K49="N",L49=""),"Rationale needed (not in scope)",IF(AND(O49="Validated",P49=""),"Evidence ref needed",IF(AND(O49&lt;&gt;"Validated",Q49=""),"Open question needed",IF(AND(J49="Y",D49="PRD",K49&lt;&gt;"Y"),"PRD financial system should be in scope","OK"))))))</f>
        <v/>
      </c>
    </row>
    <row r="50" customFormat="false" ht="15" hidden="false" customHeight="false" outlineLevel="0" collapsed="false">
      <c r="A50" s="15"/>
      <c r="B50" s="15"/>
      <c r="C50" s="15"/>
      <c r="D50" s="15"/>
      <c r="E50" s="15"/>
      <c r="F50" s="15"/>
      <c r="G50" s="15"/>
      <c r="H50" s="15"/>
      <c r="I50" s="15"/>
      <c r="J50" s="15"/>
      <c r="K50" s="15"/>
      <c r="L50" s="15"/>
      <c r="M50" s="15"/>
      <c r="N50" s="15"/>
      <c r="O50" s="15"/>
      <c r="P50" s="15"/>
      <c r="Q50" s="15"/>
      <c r="R50" s="16" t="str">
        <f aca="false">IF(A50="","",IF(OR(B50="",C50="",D50=""),"SID, client, environment needed",IF(AND(K50="N",L50=""),"Rationale needed (not in scope)",IF(AND(O50="Validated",P50=""),"Evidence ref needed",IF(AND(O50&lt;&gt;"Validated",Q50=""),"Open question needed",IF(AND(J50="Y",D50="PRD",K50&lt;&gt;"Y"),"PRD financial system should be in scope","OK"))))))</f>
        <v/>
      </c>
    </row>
    <row r="51" customFormat="false" ht="15" hidden="false" customHeight="false" outlineLevel="0" collapsed="false">
      <c r="A51" s="15"/>
      <c r="B51" s="15"/>
      <c r="C51" s="15"/>
      <c r="D51" s="15"/>
      <c r="E51" s="15"/>
      <c r="F51" s="15"/>
      <c r="G51" s="15"/>
      <c r="H51" s="15"/>
      <c r="I51" s="15"/>
      <c r="J51" s="15"/>
      <c r="K51" s="15"/>
      <c r="L51" s="15"/>
      <c r="M51" s="15"/>
      <c r="N51" s="15"/>
      <c r="O51" s="15"/>
      <c r="P51" s="15"/>
      <c r="Q51" s="15"/>
      <c r="R51" s="16" t="str">
        <f aca="false">IF(A51="","",IF(OR(B51="",C51="",D51=""),"SID, client, environment needed",IF(AND(K51="N",L51=""),"Rationale needed (not in scope)",IF(AND(O51="Validated",P51=""),"Evidence ref needed",IF(AND(O51&lt;&gt;"Validated",Q51=""),"Open question needed",IF(AND(J51="Y",D51="PRD",K51&lt;&gt;"Y"),"PRD financial system should be in scope","OK"))))))</f>
        <v/>
      </c>
    </row>
    <row r="52" customFormat="false" ht="15" hidden="false" customHeight="false" outlineLevel="0" collapsed="false">
      <c r="A52" s="15"/>
      <c r="B52" s="15"/>
      <c r="C52" s="15"/>
      <c r="D52" s="15"/>
      <c r="E52" s="15"/>
      <c r="F52" s="15"/>
      <c r="G52" s="15"/>
      <c r="H52" s="15"/>
      <c r="I52" s="15"/>
      <c r="J52" s="15"/>
      <c r="K52" s="15"/>
      <c r="L52" s="15"/>
      <c r="M52" s="15"/>
      <c r="N52" s="15"/>
      <c r="O52" s="15"/>
      <c r="P52" s="15"/>
      <c r="Q52" s="15"/>
      <c r="R52" s="16" t="str">
        <f aca="false">IF(A52="","",IF(OR(B52="",C52="",D52=""),"SID, client, environment needed",IF(AND(K52="N",L52=""),"Rationale needed (not in scope)",IF(AND(O52="Validated",P52=""),"Evidence ref needed",IF(AND(O52&lt;&gt;"Validated",Q52=""),"Open question needed",IF(AND(J52="Y",D52="PRD",K52&lt;&gt;"Y"),"PRD financial system should be in scope","OK"))))))</f>
        <v/>
      </c>
    </row>
    <row r="53" customFormat="false" ht="15" hidden="false" customHeight="false" outlineLevel="0" collapsed="false">
      <c r="A53" s="15"/>
      <c r="B53" s="15"/>
      <c r="C53" s="15"/>
      <c r="D53" s="15"/>
      <c r="E53" s="15"/>
      <c r="F53" s="15"/>
      <c r="G53" s="15"/>
      <c r="H53" s="15"/>
      <c r="I53" s="15"/>
      <c r="J53" s="15"/>
      <c r="K53" s="15"/>
      <c r="L53" s="15"/>
      <c r="M53" s="15"/>
      <c r="N53" s="15"/>
      <c r="O53" s="15"/>
      <c r="P53" s="15"/>
      <c r="Q53" s="15"/>
      <c r="R53" s="16" t="str">
        <f aca="false">IF(A53="","",IF(OR(B53="",C53="",D53=""),"SID, client, environment needed",IF(AND(K53="N",L53=""),"Rationale needed (not in scope)",IF(AND(O53="Validated",P53=""),"Evidence ref needed",IF(AND(O53&lt;&gt;"Validated",Q53=""),"Open question needed",IF(AND(J53="Y",D53="PRD",K53&lt;&gt;"Y"),"PRD financial system should be in scope","OK"))))))</f>
        <v/>
      </c>
    </row>
    <row r="54" customFormat="false" ht="15" hidden="false" customHeight="false" outlineLevel="0" collapsed="false">
      <c r="A54" s="15"/>
      <c r="B54" s="15"/>
      <c r="C54" s="15"/>
      <c r="D54" s="15"/>
      <c r="E54" s="15"/>
      <c r="F54" s="15"/>
      <c r="G54" s="15"/>
      <c r="H54" s="15"/>
      <c r="I54" s="15"/>
      <c r="J54" s="15"/>
      <c r="K54" s="15"/>
      <c r="L54" s="15"/>
      <c r="M54" s="15"/>
      <c r="N54" s="15"/>
      <c r="O54" s="15"/>
      <c r="P54" s="15"/>
      <c r="Q54" s="15"/>
      <c r="R54" s="16" t="str">
        <f aca="false">IF(A54="","",IF(OR(B54="",C54="",D54=""),"SID, client, environment needed",IF(AND(K54="N",L54=""),"Rationale needed (not in scope)",IF(AND(O54="Validated",P54=""),"Evidence ref needed",IF(AND(O54&lt;&gt;"Validated",Q54=""),"Open question needed",IF(AND(J54="Y",D54="PRD",K54&lt;&gt;"Y"),"PRD financial system should be in scope","OK"))))))</f>
        <v/>
      </c>
    </row>
    <row r="55" customFormat="false" ht="15" hidden="false" customHeight="false" outlineLevel="0" collapsed="false">
      <c r="A55" s="15"/>
      <c r="B55" s="15"/>
      <c r="C55" s="15"/>
      <c r="D55" s="15"/>
      <c r="E55" s="15"/>
      <c r="F55" s="15"/>
      <c r="G55" s="15"/>
      <c r="H55" s="15"/>
      <c r="I55" s="15"/>
      <c r="J55" s="15"/>
      <c r="K55" s="15"/>
      <c r="L55" s="15"/>
      <c r="M55" s="15"/>
      <c r="N55" s="15"/>
      <c r="O55" s="15"/>
      <c r="P55" s="15"/>
      <c r="Q55" s="15"/>
      <c r="R55" s="16" t="str">
        <f aca="false">IF(A55="","",IF(OR(B55="",C55="",D55=""),"SID, client, environment needed",IF(AND(K55="N",L55=""),"Rationale needed (not in scope)",IF(AND(O55="Validated",P55=""),"Evidence ref needed",IF(AND(O55&lt;&gt;"Validated",Q55=""),"Open question needed",IF(AND(J55="Y",D55="PRD",K55&lt;&gt;"Y"),"PRD financial system should be in scope","OK"))))))</f>
        <v/>
      </c>
    </row>
    <row r="56" customFormat="false" ht="15" hidden="false" customHeight="false" outlineLevel="0" collapsed="false">
      <c r="A56" s="15"/>
      <c r="B56" s="15"/>
      <c r="C56" s="15"/>
      <c r="D56" s="15"/>
      <c r="E56" s="15"/>
      <c r="F56" s="15"/>
      <c r="G56" s="15"/>
      <c r="H56" s="15"/>
      <c r="I56" s="15"/>
      <c r="J56" s="15"/>
      <c r="K56" s="15"/>
      <c r="L56" s="15"/>
      <c r="M56" s="15"/>
      <c r="N56" s="15"/>
      <c r="O56" s="15"/>
      <c r="P56" s="15"/>
      <c r="Q56" s="15"/>
      <c r="R56" s="16" t="str">
        <f aca="false">IF(A56="","",IF(OR(B56="",C56="",D56=""),"SID, client, environment needed",IF(AND(K56="N",L56=""),"Rationale needed (not in scope)",IF(AND(O56="Validated",P56=""),"Evidence ref needed",IF(AND(O56&lt;&gt;"Validated",Q56=""),"Open question needed",IF(AND(J56="Y",D56="PRD",K56&lt;&gt;"Y"),"PRD financial system should be in scope","OK"))))))</f>
        <v/>
      </c>
    </row>
    <row r="57" customFormat="false" ht="15" hidden="false" customHeight="false" outlineLevel="0" collapsed="false">
      <c r="A57" s="15"/>
      <c r="B57" s="15"/>
      <c r="C57" s="15"/>
      <c r="D57" s="15"/>
      <c r="E57" s="15"/>
      <c r="F57" s="15"/>
      <c r="G57" s="15"/>
      <c r="H57" s="15"/>
      <c r="I57" s="15"/>
      <c r="J57" s="15"/>
      <c r="K57" s="15"/>
      <c r="L57" s="15"/>
      <c r="M57" s="15"/>
      <c r="N57" s="15"/>
      <c r="O57" s="15"/>
      <c r="P57" s="15"/>
      <c r="Q57" s="15"/>
      <c r="R57" s="16" t="str">
        <f aca="false">IF(A57="","",IF(OR(B57="",C57="",D57=""),"SID, client, environment needed",IF(AND(K57="N",L57=""),"Rationale needed (not in scope)",IF(AND(O57="Validated",P57=""),"Evidence ref needed",IF(AND(O57&lt;&gt;"Validated",Q57=""),"Open question needed",IF(AND(J57="Y",D57="PRD",K57&lt;&gt;"Y"),"PRD financial system should be in scope","OK"))))))</f>
        <v/>
      </c>
    </row>
    <row r="58" customFormat="false" ht="15" hidden="false" customHeight="false" outlineLevel="0" collapsed="false">
      <c r="A58" s="15"/>
      <c r="B58" s="15"/>
      <c r="C58" s="15"/>
      <c r="D58" s="15"/>
      <c r="E58" s="15"/>
      <c r="F58" s="15"/>
      <c r="G58" s="15"/>
      <c r="H58" s="15"/>
      <c r="I58" s="15"/>
      <c r="J58" s="15"/>
      <c r="K58" s="15"/>
      <c r="L58" s="15"/>
      <c r="M58" s="15"/>
      <c r="N58" s="15"/>
      <c r="O58" s="15"/>
      <c r="P58" s="15"/>
      <c r="Q58" s="15"/>
      <c r="R58" s="16" t="str">
        <f aca="false">IF(A58="","",IF(OR(B58="",C58="",D58=""),"SID, client, environment needed",IF(AND(K58="N",L58=""),"Rationale needed (not in scope)",IF(AND(O58="Validated",P58=""),"Evidence ref needed",IF(AND(O58&lt;&gt;"Validated",Q58=""),"Open question needed",IF(AND(J58="Y",D58="PRD",K58&lt;&gt;"Y"),"PRD financial system should be in scope","OK"))))))</f>
        <v/>
      </c>
    </row>
    <row r="59" customFormat="false" ht="15" hidden="false" customHeight="false" outlineLevel="0" collapsed="false">
      <c r="A59" s="15"/>
      <c r="B59" s="15"/>
      <c r="C59" s="15"/>
      <c r="D59" s="15"/>
      <c r="E59" s="15"/>
      <c r="F59" s="15"/>
      <c r="G59" s="15"/>
      <c r="H59" s="15"/>
      <c r="I59" s="15"/>
      <c r="J59" s="15"/>
      <c r="K59" s="15"/>
      <c r="L59" s="15"/>
      <c r="M59" s="15"/>
      <c r="N59" s="15"/>
      <c r="O59" s="15"/>
      <c r="P59" s="15"/>
      <c r="Q59" s="15"/>
      <c r="R59" s="16" t="str">
        <f aca="false">IF(A59="","",IF(OR(B59="",C59="",D59=""),"SID, client, environment needed",IF(AND(K59="N",L59=""),"Rationale needed (not in scope)",IF(AND(O59="Validated",P59=""),"Evidence ref needed",IF(AND(O59&lt;&gt;"Validated",Q59=""),"Open question needed",IF(AND(J59="Y",D59="PRD",K59&lt;&gt;"Y"),"PRD financial system should be in scope","OK"))))))</f>
        <v/>
      </c>
    </row>
    <row r="60" customFormat="false" ht="15" hidden="false" customHeight="false" outlineLevel="0" collapsed="false">
      <c r="A60" s="15"/>
      <c r="B60" s="15"/>
      <c r="C60" s="15"/>
      <c r="D60" s="15"/>
      <c r="E60" s="15"/>
      <c r="F60" s="15"/>
      <c r="G60" s="15"/>
      <c r="H60" s="15"/>
      <c r="I60" s="15"/>
      <c r="J60" s="15"/>
      <c r="K60" s="15"/>
      <c r="L60" s="15"/>
      <c r="M60" s="15"/>
      <c r="N60" s="15"/>
      <c r="O60" s="15"/>
      <c r="P60" s="15"/>
      <c r="Q60" s="15"/>
      <c r="R60" s="16" t="str">
        <f aca="false">IF(A60="","",IF(OR(B60="",C60="",D60=""),"SID, client, environment needed",IF(AND(K60="N",L60=""),"Rationale needed (not in scope)",IF(AND(O60="Validated",P60=""),"Evidence ref needed",IF(AND(O60&lt;&gt;"Validated",Q60=""),"Open question needed",IF(AND(J60="Y",D60="PRD",K60&lt;&gt;"Y"),"PRD financial system should be in scope","OK"))))))</f>
        <v/>
      </c>
    </row>
    <row r="61" customFormat="false" ht="15" hidden="false" customHeight="false" outlineLevel="0" collapsed="false">
      <c r="A61" s="15"/>
      <c r="B61" s="15"/>
      <c r="C61" s="15"/>
      <c r="D61" s="15"/>
      <c r="E61" s="15"/>
      <c r="F61" s="15"/>
      <c r="G61" s="15"/>
      <c r="H61" s="15"/>
      <c r="I61" s="15"/>
      <c r="J61" s="15"/>
      <c r="K61" s="15"/>
      <c r="L61" s="15"/>
      <c r="M61" s="15"/>
      <c r="N61" s="15"/>
      <c r="O61" s="15"/>
      <c r="P61" s="15"/>
      <c r="Q61" s="15"/>
      <c r="R61" s="16" t="str">
        <f aca="false">IF(A61="","",IF(OR(B61="",C61="",D61=""),"SID, client, environment needed",IF(AND(K61="N",L61=""),"Rationale needed (not in scope)",IF(AND(O61="Validated",P61=""),"Evidence ref needed",IF(AND(O61&lt;&gt;"Validated",Q61=""),"Open question needed",IF(AND(J61="Y",D61="PRD",K61&lt;&gt;"Y"),"PRD financial system should be in scope","OK"))))))</f>
        <v/>
      </c>
    </row>
    <row r="62" customFormat="false" ht="15" hidden="false" customHeight="false" outlineLevel="0" collapsed="false">
      <c r="A62" s="15"/>
      <c r="B62" s="15"/>
      <c r="C62" s="15"/>
      <c r="D62" s="15"/>
      <c r="E62" s="15"/>
      <c r="F62" s="15"/>
      <c r="G62" s="15"/>
      <c r="H62" s="15"/>
      <c r="I62" s="15"/>
      <c r="J62" s="15"/>
      <c r="K62" s="15"/>
      <c r="L62" s="15"/>
      <c r="M62" s="15"/>
      <c r="N62" s="15"/>
      <c r="O62" s="15"/>
      <c r="P62" s="15"/>
      <c r="Q62" s="15"/>
      <c r="R62" s="16" t="str">
        <f aca="false">IF(A62="","",IF(OR(B62="",C62="",D62=""),"SID, client, environment needed",IF(AND(K62="N",L62=""),"Rationale needed (not in scope)",IF(AND(O62="Validated",P62=""),"Evidence ref needed",IF(AND(O62&lt;&gt;"Validated",Q62=""),"Open question needed",IF(AND(J62="Y",D62="PRD",K62&lt;&gt;"Y"),"PRD financial system should be in scope","OK"))))))</f>
        <v/>
      </c>
    </row>
    <row r="63" customFormat="false" ht="15" hidden="false" customHeight="false" outlineLevel="0" collapsed="false">
      <c r="A63" s="15"/>
      <c r="B63" s="15"/>
      <c r="C63" s="15"/>
      <c r="D63" s="15"/>
      <c r="E63" s="15"/>
      <c r="F63" s="15"/>
      <c r="G63" s="15"/>
      <c r="H63" s="15"/>
      <c r="I63" s="15"/>
      <c r="J63" s="15"/>
      <c r="K63" s="15"/>
      <c r="L63" s="15"/>
      <c r="M63" s="15"/>
      <c r="N63" s="15"/>
      <c r="O63" s="15"/>
      <c r="P63" s="15"/>
      <c r="Q63" s="15"/>
      <c r="R63" s="16" t="str">
        <f aca="false">IF(A63="","",IF(OR(B63="",C63="",D63=""),"SID, client, environment needed",IF(AND(K63="N",L63=""),"Rationale needed (not in scope)",IF(AND(O63="Validated",P63=""),"Evidence ref needed",IF(AND(O63&lt;&gt;"Validated",Q63=""),"Open question needed",IF(AND(J63="Y",D63="PRD",K63&lt;&gt;"Y"),"PRD financial system should be in scope","OK"))))))</f>
        <v/>
      </c>
    </row>
    <row r="64" customFormat="false" ht="15" hidden="false" customHeight="false" outlineLevel="0" collapsed="false">
      <c r="A64" s="15"/>
      <c r="B64" s="15"/>
      <c r="C64" s="15"/>
      <c r="D64" s="15"/>
      <c r="E64" s="15"/>
      <c r="F64" s="15"/>
      <c r="G64" s="15"/>
      <c r="H64" s="15"/>
      <c r="I64" s="15"/>
      <c r="J64" s="15"/>
      <c r="K64" s="15"/>
      <c r="L64" s="15"/>
      <c r="M64" s="15"/>
      <c r="N64" s="15"/>
      <c r="O64" s="15"/>
      <c r="P64" s="15"/>
      <c r="Q64" s="15"/>
      <c r="R64" s="16" t="str">
        <f aca="false">IF(A64="","",IF(OR(B64="",C64="",D64=""),"SID, client, environment needed",IF(AND(K64="N",L64=""),"Rationale needed (not in scope)",IF(AND(O64="Validated",P64=""),"Evidence ref needed",IF(AND(O64&lt;&gt;"Validated",Q64=""),"Open question needed",IF(AND(J64="Y",D64="PRD",K64&lt;&gt;"Y"),"PRD financial system should be in scope","OK"))))))</f>
        <v/>
      </c>
    </row>
    <row r="65" customFormat="false" ht="15" hidden="false" customHeight="false" outlineLevel="0" collapsed="false">
      <c r="A65" s="15"/>
      <c r="B65" s="15"/>
      <c r="C65" s="15"/>
      <c r="D65" s="15"/>
      <c r="E65" s="15"/>
      <c r="F65" s="15"/>
      <c r="G65" s="15"/>
      <c r="H65" s="15"/>
      <c r="I65" s="15"/>
      <c r="J65" s="15"/>
      <c r="K65" s="15"/>
      <c r="L65" s="15"/>
      <c r="M65" s="15"/>
      <c r="N65" s="15"/>
      <c r="O65" s="15"/>
      <c r="P65" s="15"/>
      <c r="Q65" s="15"/>
      <c r="R65" s="16" t="str">
        <f aca="false">IF(A65="","",IF(OR(B65="",C65="",D65=""),"SID, client, environment needed",IF(AND(K65="N",L65=""),"Rationale needed (not in scope)",IF(AND(O65="Validated",P65=""),"Evidence ref needed",IF(AND(O65&lt;&gt;"Validated",Q65=""),"Open question needed",IF(AND(J65="Y",D65="PRD",K65&lt;&gt;"Y"),"PRD financial system should be in scope","OK"))))))</f>
        <v/>
      </c>
    </row>
    <row r="66" customFormat="false" ht="15" hidden="false" customHeight="false" outlineLevel="0" collapsed="false">
      <c r="A66" s="15"/>
      <c r="B66" s="15"/>
      <c r="C66" s="15"/>
      <c r="D66" s="15"/>
      <c r="E66" s="15"/>
      <c r="F66" s="15"/>
      <c r="G66" s="15"/>
      <c r="H66" s="15"/>
      <c r="I66" s="15"/>
      <c r="J66" s="15"/>
      <c r="K66" s="15"/>
      <c r="L66" s="15"/>
      <c r="M66" s="15"/>
      <c r="N66" s="15"/>
      <c r="O66" s="15"/>
      <c r="P66" s="15"/>
      <c r="Q66" s="15"/>
      <c r="R66" s="16" t="str">
        <f aca="false">IF(A66="","",IF(OR(B66="",C66="",D66=""),"SID, client, environment needed",IF(AND(K66="N",L66=""),"Rationale needed (not in scope)",IF(AND(O66="Validated",P66=""),"Evidence ref needed",IF(AND(O66&lt;&gt;"Validated",Q66=""),"Open question needed",IF(AND(J66="Y",D66="PRD",K66&lt;&gt;"Y"),"PRD financial system should be in scope","OK"))))))</f>
        <v/>
      </c>
    </row>
    <row r="67" customFormat="false" ht="15" hidden="false" customHeight="false" outlineLevel="0" collapsed="false">
      <c r="A67" s="15"/>
      <c r="B67" s="15"/>
      <c r="C67" s="15"/>
      <c r="D67" s="15"/>
      <c r="E67" s="15"/>
      <c r="F67" s="15"/>
      <c r="G67" s="15"/>
      <c r="H67" s="15"/>
      <c r="I67" s="15"/>
      <c r="J67" s="15"/>
      <c r="K67" s="15"/>
      <c r="L67" s="15"/>
      <c r="M67" s="15"/>
      <c r="N67" s="15"/>
      <c r="O67" s="15"/>
      <c r="P67" s="15"/>
      <c r="Q67" s="15"/>
      <c r="R67" s="16" t="str">
        <f aca="false">IF(A67="","",IF(OR(B67="",C67="",D67=""),"SID, client, environment needed",IF(AND(K67="N",L67=""),"Rationale needed (not in scope)",IF(AND(O67="Validated",P67=""),"Evidence ref needed",IF(AND(O67&lt;&gt;"Validated",Q67=""),"Open question needed",IF(AND(J67="Y",D67="PRD",K67&lt;&gt;"Y"),"PRD financial system should be in scope","OK"))))))</f>
        <v/>
      </c>
    </row>
    <row r="68" customFormat="false" ht="15" hidden="false" customHeight="false" outlineLevel="0" collapsed="false">
      <c r="A68" s="15"/>
      <c r="B68" s="15"/>
      <c r="C68" s="15"/>
      <c r="D68" s="15"/>
      <c r="E68" s="15"/>
      <c r="F68" s="15"/>
      <c r="G68" s="15"/>
      <c r="H68" s="15"/>
      <c r="I68" s="15"/>
      <c r="J68" s="15"/>
      <c r="K68" s="15"/>
      <c r="L68" s="15"/>
      <c r="M68" s="15"/>
      <c r="N68" s="15"/>
      <c r="O68" s="15"/>
      <c r="P68" s="15"/>
      <c r="Q68" s="15"/>
      <c r="R68" s="16" t="str">
        <f aca="false">IF(A68="","",IF(OR(B68="",C68="",D68=""),"SID, client, environment needed",IF(AND(K68="N",L68=""),"Rationale needed (not in scope)",IF(AND(O68="Validated",P68=""),"Evidence ref needed",IF(AND(O68&lt;&gt;"Validated",Q68=""),"Open question needed",IF(AND(J68="Y",D68="PRD",K68&lt;&gt;"Y"),"PRD financial system should be in scope","OK"))))))</f>
        <v/>
      </c>
    </row>
    <row r="69" customFormat="false" ht="15" hidden="false" customHeight="false" outlineLevel="0" collapsed="false">
      <c r="A69" s="15"/>
      <c r="B69" s="15"/>
      <c r="C69" s="15"/>
      <c r="D69" s="15"/>
      <c r="E69" s="15"/>
      <c r="F69" s="15"/>
      <c r="G69" s="15"/>
      <c r="H69" s="15"/>
      <c r="I69" s="15"/>
      <c r="J69" s="15"/>
      <c r="K69" s="15"/>
      <c r="L69" s="15"/>
      <c r="M69" s="15"/>
      <c r="N69" s="15"/>
      <c r="O69" s="15"/>
      <c r="P69" s="15"/>
      <c r="Q69" s="15"/>
      <c r="R69" s="16" t="str">
        <f aca="false">IF(A69="","",IF(OR(B69="",C69="",D69=""),"SID, client, environment needed",IF(AND(K69="N",L69=""),"Rationale needed (not in scope)",IF(AND(O69="Validated",P69=""),"Evidence ref needed",IF(AND(O69&lt;&gt;"Validated",Q69=""),"Open question needed",IF(AND(J69="Y",D69="PRD",K69&lt;&gt;"Y"),"PRD financial system should be in scope","OK"))))))</f>
        <v/>
      </c>
    </row>
    <row r="70" customFormat="false" ht="15" hidden="false" customHeight="false" outlineLevel="0" collapsed="false">
      <c r="A70" s="15"/>
      <c r="B70" s="15"/>
      <c r="C70" s="15"/>
      <c r="D70" s="15"/>
      <c r="E70" s="15"/>
      <c r="F70" s="15"/>
      <c r="G70" s="15"/>
      <c r="H70" s="15"/>
      <c r="I70" s="15"/>
      <c r="J70" s="15"/>
      <c r="K70" s="15"/>
      <c r="L70" s="15"/>
      <c r="M70" s="15"/>
      <c r="N70" s="15"/>
      <c r="O70" s="15"/>
      <c r="P70" s="15"/>
      <c r="Q70" s="15"/>
      <c r="R70" s="16" t="str">
        <f aca="false">IF(A70="","",IF(OR(B70="",C70="",D70=""),"SID, client, environment needed",IF(AND(K70="N",L70=""),"Rationale needed (not in scope)",IF(AND(O70="Validated",P70=""),"Evidence ref needed",IF(AND(O70&lt;&gt;"Validated",Q70=""),"Open question needed",IF(AND(J70="Y",D70="PRD",K70&lt;&gt;"Y"),"PRD financial system should be in scope","OK"))))))</f>
        <v/>
      </c>
    </row>
    <row r="71" customFormat="false" ht="15" hidden="false" customHeight="false" outlineLevel="0" collapsed="false">
      <c r="A71" s="15"/>
      <c r="B71" s="15"/>
      <c r="C71" s="15"/>
      <c r="D71" s="15"/>
      <c r="E71" s="15"/>
      <c r="F71" s="15"/>
      <c r="G71" s="15"/>
      <c r="H71" s="15"/>
      <c r="I71" s="15"/>
      <c r="J71" s="15"/>
      <c r="K71" s="15"/>
      <c r="L71" s="15"/>
      <c r="M71" s="15"/>
      <c r="N71" s="15"/>
      <c r="O71" s="15"/>
      <c r="P71" s="15"/>
      <c r="Q71" s="15"/>
      <c r="R71" s="16" t="str">
        <f aca="false">IF(A71="","",IF(OR(B71="",C71="",D71=""),"SID, client, environment needed",IF(AND(K71="N",L71=""),"Rationale needed (not in scope)",IF(AND(O71="Validated",P71=""),"Evidence ref needed",IF(AND(O71&lt;&gt;"Validated",Q71=""),"Open question needed",IF(AND(J71="Y",D71="PRD",K71&lt;&gt;"Y"),"PRD financial system should be in scope","OK"))))))</f>
        <v/>
      </c>
    </row>
    <row r="72" customFormat="false" ht="15" hidden="false" customHeight="false" outlineLevel="0" collapsed="false">
      <c r="A72" s="15"/>
      <c r="B72" s="15"/>
      <c r="C72" s="15"/>
      <c r="D72" s="15"/>
      <c r="E72" s="15"/>
      <c r="F72" s="15"/>
      <c r="G72" s="15"/>
      <c r="H72" s="15"/>
      <c r="I72" s="15"/>
      <c r="J72" s="15"/>
      <c r="K72" s="15"/>
      <c r="L72" s="15"/>
      <c r="M72" s="15"/>
      <c r="N72" s="15"/>
      <c r="O72" s="15"/>
      <c r="P72" s="15"/>
      <c r="Q72" s="15"/>
      <c r="R72" s="16" t="str">
        <f aca="false">IF(A72="","",IF(OR(B72="",C72="",D72=""),"SID, client, environment needed",IF(AND(K72="N",L72=""),"Rationale needed (not in scope)",IF(AND(O72="Validated",P72=""),"Evidence ref needed",IF(AND(O72&lt;&gt;"Validated",Q72=""),"Open question needed",IF(AND(J72="Y",D72="PRD",K72&lt;&gt;"Y"),"PRD financial system should be in scope","OK"))))))</f>
        <v/>
      </c>
    </row>
    <row r="73" customFormat="false" ht="15" hidden="false" customHeight="false" outlineLevel="0" collapsed="false">
      <c r="A73" s="15"/>
      <c r="B73" s="15"/>
      <c r="C73" s="15"/>
      <c r="D73" s="15"/>
      <c r="E73" s="15"/>
      <c r="F73" s="15"/>
      <c r="G73" s="15"/>
      <c r="H73" s="15"/>
      <c r="I73" s="15"/>
      <c r="J73" s="15"/>
      <c r="K73" s="15"/>
      <c r="L73" s="15"/>
      <c r="M73" s="15"/>
      <c r="N73" s="15"/>
      <c r="O73" s="15"/>
      <c r="P73" s="15"/>
      <c r="Q73" s="15"/>
      <c r="R73" s="16" t="str">
        <f aca="false">IF(A73="","",IF(OR(B73="",C73="",D73=""),"SID, client, environment needed",IF(AND(K73="N",L73=""),"Rationale needed (not in scope)",IF(AND(O73="Validated",P73=""),"Evidence ref needed",IF(AND(O73&lt;&gt;"Validated",Q73=""),"Open question needed",IF(AND(J73="Y",D73="PRD",K73&lt;&gt;"Y"),"PRD financial system should be in scope","OK"))))))</f>
        <v/>
      </c>
    </row>
    <row r="74" customFormat="false" ht="15" hidden="false" customHeight="false" outlineLevel="0" collapsed="false">
      <c r="A74" s="15"/>
      <c r="B74" s="15"/>
      <c r="C74" s="15"/>
      <c r="D74" s="15"/>
      <c r="E74" s="15"/>
      <c r="F74" s="15"/>
      <c r="G74" s="15"/>
      <c r="H74" s="15"/>
      <c r="I74" s="15"/>
      <c r="J74" s="15"/>
      <c r="K74" s="15"/>
      <c r="L74" s="15"/>
      <c r="M74" s="15"/>
      <c r="N74" s="15"/>
      <c r="O74" s="15"/>
      <c r="P74" s="15"/>
      <c r="Q74" s="15"/>
      <c r="R74" s="16" t="str">
        <f aca="false">IF(A74="","",IF(OR(B74="",C74="",D74=""),"SID, client, environment needed",IF(AND(K74="N",L74=""),"Rationale needed (not in scope)",IF(AND(O74="Validated",P74=""),"Evidence ref needed",IF(AND(O74&lt;&gt;"Validated",Q74=""),"Open question needed",IF(AND(J74="Y",D74="PRD",K74&lt;&gt;"Y"),"PRD financial system should be in scope","OK"))))))</f>
        <v/>
      </c>
    </row>
    <row r="75" customFormat="false" ht="15" hidden="false" customHeight="false" outlineLevel="0" collapsed="false">
      <c r="A75" s="15"/>
      <c r="B75" s="15"/>
      <c r="C75" s="15"/>
      <c r="D75" s="15"/>
      <c r="E75" s="15"/>
      <c r="F75" s="15"/>
      <c r="G75" s="15"/>
      <c r="H75" s="15"/>
      <c r="I75" s="15"/>
      <c r="J75" s="15"/>
      <c r="K75" s="15"/>
      <c r="L75" s="15"/>
      <c r="M75" s="15"/>
      <c r="N75" s="15"/>
      <c r="O75" s="15"/>
      <c r="P75" s="15"/>
      <c r="Q75" s="15"/>
      <c r="R75" s="16" t="str">
        <f aca="false">IF(A75="","",IF(OR(B75="",C75="",D75=""),"SID, client, environment needed",IF(AND(K75="N",L75=""),"Rationale needed (not in scope)",IF(AND(O75="Validated",P75=""),"Evidence ref needed",IF(AND(O75&lt;&gt;"Validated",Q75=""),"Open question needed",IF(AND(J75="Y",D75="PRD",K75&lt;&gt;"Y"),"PRD financial system should be in scope","OK"))))))</f>
        <v/>
      </c>
    </row>
    <row r="76" customFormat="false" ht="15" hidden="false" customHeight="false" outlineLevel="0" collapsed="false">
      <c r="A76" s="15"/>
      <c r="B76" s="15"/>
      <c r="C76" s="15"/>
      <c r="D76" s="15"/>
      <c r="E76" s="15"/>
      <c r="F76" s="15"/>
      <c r="G76" s="15"/>
      <c r="H76" s="15"/>
      <c r="I76" s="15"/>
      <c r="J76" s="15"/>
      <c r="K76" s="15"/>
      <c r="L76" s="15"/>
      <c r="M76" s="15"/>
      <c r="N76" s="15"/>
      <c r="O76" s="15"/>
      <c r="P76" s="15"/>
      <c r="Q76" s="15"/>
      <c r="R76" s="16" t="str">
        <f aca="false">IF(A76="","",IF(OR(B76="",C76="",D76=""),"SID, client, environment needed",IF(AND(K76="N",L76=""),"Rationale needed (not in scope)",IF(AND(O76="Validated",P76=""),"Evidence ref needed",IF(AND(O76&lt;&gt;"Validated",Q76=""),"Open question needed",IF(AND(J76="Y",D76="PRD",K76&lt;&gt;"Y"),"PRD financial system should be in scope","OK"))))))</f>
        <v/>
      </c>
    </row>
    <row r="77" customFormat="false" ht="15" hidden="false" customHeight="false" outlineLevel="0" collapsed="false">
      <c r="A77" s="15"/>
      <c r="B77" s="15"/>
      <c r="C77" s="15"/>
      <c r="D77" s="15"/>
      <c r="E77" s="15"/>
      <c r="F77" s="15"/>
      <c r="G77" s="15"/>
      <c r="H77" s="15"/>
      <c r="I77" s="15"/>
      <c r="J77" s="15"/>
      <c r="K77" s="15"/>
      <c r="L77" s="15"/>
      <c r="M77" s="15"/>
      <c r="N77" s="15"/>
      <c r="O77" s="15"/>
      <c r="P77" s="15"/>
      <c r="Q77" s="15"/>
      <c r="R77" s="16" t="str">
        <f aca="false">IF(A77="","",IF(OR(B77="",C77="",D77=""),"SID, client, environment needed",IF(AND(K77="N",L77=""),"Rationale needed (not in scope)",IF(AND(O77="Validated",P77=""),"Evidence ref needed",IF(AND(O77&lt;&gt;"Validated",Q77=""),"Open question needed",IF(AND(J77="Y",D77="PRD",K77&lt;&gt;"Y"),"PRD financial system should be in scope","OK"))))))</f>
        <v/>
      </c>
    </row>
    <row r="78" customFormat="false" ht="15" hidden="false" customHeight="false" outlineLevel="0" collapsed="false">
      <c r="A78" s="15"/>
      <c r="B78" s="15"/>
      <c r="C78" s="15"/>
      <c r="D78" s="15"/>
      <c r="E78" s="15"/>
      <c r="F78" s="15"/>
      <c r="G78" s="15"/>
      <c r="H78" s="15"/>
      <c r="I78" s="15"/>
      <c r="J78" s="15"/>
      <c r="K78" s="15"/>
      <c r="L78" s="15"/>
      <c r="M78" s="15"/>
      <c r="N78" s="15"/>
      <c r="O78" s="15"/>
      <c r="P78" s="15"/>
      <c r="Q78" s="15"/>
      <c r="R78" s="16" t="str">
        <f aca="false">IF(A78="","",IF(OR(B78="",C78="",D78=""),"SID, client, environment needed",IF(AND(K78="N",L78=""),"Rationale needed (not in scope)",IF(AND(O78="Validated",P78=""),"Evidence ref needed",IF(AND(O78&lt;&gt;"Validated",Q78=""),"Open question needed",IF(AND(J78="Y",D78="PRD",K78&lt;&gt;"Y"),"PRD financial system should be in scope","OK"))))))</f>
        <v/>
      </c>
    </row>
    <row r="79" customFormat="false" ht="15" hidden="false" customHeight="false" outlineLevel="0" collapsed="false">
      <c r="A79" s="15"/>
      <c r="B79" s="15"/>
      <c r="C79" s="15"/>
      <c r="D79" s="15"/>
      <c r="E79" s="15"/>
      <c r="F79" s="15"/>
      <c r="G79" s="15"/>
      <c r="H79" s="15"/>
      <c r="I79" s="15"/>
      <c r="J79" s="15"/>
      <c r="K79" s="15"/>
      <c r="L79" s="15"/>
      <c r="M79" s="15"/>
      <c r="N79" s="15"/>
      <c r="O79" s="15"/>
      <c r="P79" s="15"/>
      <c r="Q79" s="15"/>
      <c r="R79" s="16" t="str">
        <f aca="false">IF(A79="","",IF(OR(B79="",C79="",D79=""),"SID, client, environment needed",IF(AND(K79="N",L79=""),"Rationale needed (not in scope)",IF(AND(O79="Validated",P79=""),"Evidence ref needed",IF(AND(O79&lt;&gt;"Validated",Q79=""),"Open question needed",IF(AND(J79="Y",D79="PRD",K79&lt;&gt;"Y"),"PRD financial system should be in scope","OK"))))))</f>
        <v/>
      </c>
    </row>
    <row r="80" customFormat="false" ht="15" hidden="false" customHeight="false" outlineLevel="0" collapsed="false">
      <c r="A80" s="15"/>
      <c r="B80" s="15"/>
      <c r="C80" s="15"/>
      <c r="D80" s="15"/>
      <c r="E80" s="15"/>
      <c r="F80" s="15"/>
      <c r="G80" s="15"/>
      <c r="H80" s="15"/>
      <c r="I80" s="15"/>
      <c r="J80" s="15"/>
      <c r="K80" s="15"/>
      <c r="L80" s="15"/>
      <c r="M80" s="15"/>
      <c r="N80" s="15"/>
      <c r="O80" s="15"/>
      <c r="P80" s="15"/>
      <c r="Q80" s="15"/>
      <c r="R80" s="16" t="str">
        <f aca="false">IF(A80="","",IF(OR(B80="",C80="",D80=""),"SID, client, environment needed",IF(AND(K80="N",L80=""),"Rationale needed (not in scope)",IF(AND(O80="Validated",P80=""),"Evidence ref needed",IF(AND(O80&lt;&gt;"Validated",Q80=""),"Open question needed",IF(AND(J80="Y",D80="PRD",K80&lt;&gt;"Y"),"PRD financial system should be in scope","OK"))))))</f>
        <v/>
      </c>
    </row>
    <row r="81" customFormat="false" ht="15" hidden="false" customHeight="false" outlineLevel="0" collapsed="false">
      <c r="A81" s="15"/>
      <c r="B81" s="15"/>
      <c r="C81" s="15"/>
      <c r="D81" s="15"/>
      <c r="E81" s="15"/>
      <c r="F81" s="15"/>
      <c r="G81" s="15"/>
      <c r="H81" s="15"/>
      <c r="I81" s="15"/>
      <c r="J81" s="15"/>
      <c r="K81" s="15"/>
      <c r="L81" s="15"/>
      <c r="M81" s="15"/>
      <c r="N81" s="15"/>
      <c r="O81" s="15"/>
      <c r="P81" s="15"/>
      <c r="Q81" s="15"/>
      <c r="R81" s="16" t="str">
        <f aca="false">IF(A81="","",IF(OR(B81="",C81="",D81=""),"SID, client, environment needed",IF(AND(K81="N",L81=""),"Rationale needed (not in scope)",IF(AND(O81="Validated",P81=""),"Evidence ref needed",IF(AND(O81&lt;&gt;"Validated",Q81=""),"Open question needed",IF(AND(J81="Y",D81="PRD",K81&lt;&gt;"Y"),"PRD financial system should be in scope","OK"))))))</f>
        <v/>
      </c>
    </row>
    <row r="82" customFormat="false" ht="15" hidden="false" customHeight="false" outlineLevel="0" collapsed="false">
      <c r="A82" s="15"/>
      <c r="B82" s="15"/>
      <c r="C82" s="15"/>
      <c r="D82" s="15"/>
      <c r="E82" s="15"/>
      <c r="F82" s="15"/>
      <c r="G82" s="15"/>
      <c r="H82" s="15"/>
      <c r="I82" s="15"/>
      <c r="J82" s="15"/>
      <c r="K82" s="15"/>
      <c r="L82" s="15"/>
      <c r="M82" s="15"/>
      <c r="N82" s="15"/>
      <c r="O82" s="15"/>
      <c r="P82" s="15"/>
      <c r="Q82" s="15"/>
      <c r="R82" s="16" t="str">
        <f aca="false">IF(A82="","",IF(OR(B82="",C82="",D82=""),"SID, client, environment needed",IF(AND(K82="N",L82=""),"Rationale needed (not in scope)",IF(AND(O82="Validated",P82=""),"Evidence ref needed",IF(AND(O82&lt;&gt;"Validated",Q82=""),"Open question needed",IF(AND(J82="Y",D82="PRD",K82&lt;&gt;"Y"),"PRD financial system should be in scope","OK"))))))</f>
        <v/>
      </c>
    </row>
    <row r="83" customFormat="false" ht="15" hidden="false" customHeight="false" outlineLevel="0" collapsed="false">
      <c r="A83" s="15"/>
      <c r="B83" s="15"/>
      <c r="C83" s="15"/>
      <c r="D83" s="15"/>
      <c r="E83" s="15"/>
      <c r="F83" s="15"/>
      <c r="G83" s="15"/>
      <c r="H83" s="15"/>
      <c r="I83" s="15"/>
      <c r="J83" s="15"/>
      <c r="K83" s="15"/>
      <c r="L83" s="15"/>
      <c r="M83" s="15"/>
      <c r="N83" s="15"/>
      <c r="O83" s="15"/>
      <c r="P83" s="15"/>
      <c r="Q83" s="15"/>
      <c r="R83" s="16" t="str">
        <f aca="false">IF(A83="","",IF(OR(B83="",C83="",D83=""),"SID, client, environment needed",IF(AND(K83="N",L83=""),"Rationale needed (not in scope)",IF(AND(O83="Validated",P83=""),"Evidence ref needed",IF(AND(O83&lt;&gt;"Validated",Q83=""),"Open question needed",IF(AND(J83="Y",D83="PRD",K83&lt;&gt;"Y"),"PRD financial system should be in scope","OK"))))))</f>
        <v/>
      </c>
    </row>
    <row r="84" customFormat="false" ht="15" hidden="false" customHeight="false" outlineLevel="0" collapsed="false">
      <c r="A84" s="15"/>
      <c r="B84" s="15"/>
      <c r="C84" s="15"/>
      <c r="D84" s="15"/>
      <c r="E84" s="15"/>
      <c r="F84" s="15"/>
      <c r="G84" s="15"/>
      <c r="H84" s="15"/>
      <c r="I84" s="15"/>
      <c r="J84" s="15"/>
      <c r="K84" s="15"/>
      <c r="L84" s="15"/>
      <c r="M84" s="15"/>
      <c r="N84" s="15"/>
      <c r="O84" s="15"/>
      <c r="P84" s="15"/>
      <c r="Q84" s="15"/>
      <c r="R84" s="16" t="str">
        <f aca="false">IF(A84="","",IF(OR(B84="",C84="",D84=""),"SID, client, environment needed",IF(AND(K84="N",L84=""),"Rationale needed (not in scope)",IF(AND(O84="Validated",P84=""),"Evidence ref needed",IF(AND(O84&lt;&gt;"Validated",Q84=""),"Open question needed",IF(AND(J84="Y",D84="PRD",K84&lt;&gt;"Y"),"PRD financial system should be in scope","OK"))))))</f>
        <v/>
      </c>
    </row>
    <row r="85" customFormat="false" ht="15" hidden="false" customHeight="false" outlineLevel="0" collapsed="false">
      <c r="A85" s="15"/>
      <c r="B85" s="15"/>
      <c r="C85" s="15"/>
      <c r="D85" s="15"/>
      <c r="E85" s="15"/>
      <c r="F85" s="15"/>
      <c r="G85" s="15"/>
      <c r="H85" s="15"/>
      <c r="I85" s="15"/>
      <c r="J85" s="15"/>
      <c r="K85" s="15"/>
      <c r="L85" s="15"/>
      <c r="M85" s="15"/>
      <c r="N85" s="15"/>
      <c r="O85" s="15"/>
      <c r="P85" s="15"/>
      <c r="Q85" s="15"/>
      <c r="R85" s="16" t="str">
        <f aca="false">IF(A85="","",IF(OR(B85="",C85="",D85=""),"SID, client, environment needed",IF(AND(K85="N",L85=""),"Rationale needed (not in scope)",IF(AND(O85="Validated",P85=""),"Evidence ref needed",IF(AND(O85&lt;&gt;"Validated",Q85=""),"Open question needed",IF(AND(J85="Y",D85="PRD",K85&lt;&gt;"Y"),"PRD financial system should be in scope","OK"))))))</f>
        <v/>
      </c>
    </row>
    <row r="86" customFormat="false" ht="15" hidden="false" customHeight="false" outlineLevel="0" collapsed="false">
      <c r="A86" s="15"/>
      <c r="B86" s="15"/>
      <c r="C86" s="15"/>
      <c r="D86" s="15"/>
      <c r="E86" s="15"/>
      <c r="F86" s="15"/>
      <c r="G86" s="15"/>
      <c r="H86" s="15"/>
      <c r="I86" s="15"/>
      <c r="J86" s="15"/>
      <c r="K86" s="15"/>
      <c r="L86" s="15"/>
      <c r="M86" s="15"/>
      <c r="N86" s="15"/>
      <c r="O86" s="15"/>
      <c r="P86" s="15"/>
      <c r="Q86" s="15"/>
      <c r="R86" s="16" t="str">
        <f aca="false">IF(A86="","",IF(OR(B86="",C86="",D86=""),"SID, client, environment needed",IF(AND(K86="N",L86=""),"Rationale needed (not in scope)",IF(AND(O86="Validated",P86=""),"Evidence ref needed",IF(AND(O86&lt;&gt;"Validated",Q86=""),"Open question needed",IF(AND(J86="Y",D86="PRD",K86&lt;&gt;"Y"),"PRD financial system should be in scope","OK"))))))</f>
        <v/>
      </c>
    </row>
    <row r="87" customFormat="false" ht="15" hidden="false" customHeight="false" outlineLevel="0" collapsed="false">
      <c r="A87" s="15"/>
      <c r="B87" s="15"/>
      <c r="C87" s="15"/>
      <c r="D87" s="15"/>
      <c r="E87" s="15"/>
      <c r="F87" s="15"/>
      <c r="G87" s="15"/>
      <c r="H87" s="15"/>
      <c r="I87" s="15"/>
      <c r="J87" s="15"/>
      <c r="K87" s="15"/>
      <c r="L87" s="15"/>
      <c r="M87" s="15"/>
      <c r="N87" s="15"/>
      <c r="O87" s="15"/>
      <c r="P87" s="15"/>
      <c r="Q87" s="15"/>
      <c r="R87" s="16" t="str">
        <f aca="false">IF(A87="","",IF(OR(B87="",C87="",D87=""),"SID, client, environment needed",IF(AND(K87="N",L87=""),"Rationale needed (not in scope)",IF(AND(O87="Validated",P87=""),"Evidence ref needed",IF(AND(O87&lt;&gt;"Validated",Q87=""),"Open question needed",IF(AND(J87="Y",D87="PRD",K87&lt;&gt;"Y"),"PRD financial system should be in scope","OK"))))))</f>
        <v/>
      </c>
    </row>
    <row r="88" customFormat="false" ht="15" hidden="false" customHeight="false" outlineLevel="0" collapsed="false">
      <c r="A88" s="15"/>
      <c r="B88" s="15"/>
      <c r="C88" s="15"/>
      <c r="D88" s="15"/>
      <c r="E88" s="15"/>
      <c r="F88" s="15"/>
      <c r="G88" s="15"/>
      <c r="H88" s="15"/>
      <c r="I88" s="15"/>
      <c r="J88" s="15"/>
      <c r="K88" s="15"/>
      <c r="L88" s="15"/>
      <c r="M88" s="15"/>
      <c r="N88" s="15"/>
      <c r="O88" s="15"/>
      <c r="P88" s="15"/>
      <c r="Q88" s="15"/>
      <c r="R88" s="16" t="str">
        <f aca="false">IF(A88="","",IF(OR(B88="",C88="",D88=""),"SID, client, environment needed",IF(AND(K88="N",L88=""),"Rationale needed (not in scope)",IF(AND(O88="Validated",P88=""),"Evidence ref needed",IF(AND(O88&lt;&gt;"Validated",Q88=""),"Open question needed",IF(AND(J88="Y",D88="PRD",K88&lt;&gt;"Y"),"PRD financial system should be in scope","OK"))))))</f>
        <v/>
      </c>
    </row>
    <row r="89" customFormat="false" ht="15" hidden="false" customHeight="false" outlineLevel="0" collapsed="false">
      <c r="A89" s="15"/>
      <c r="B89" s="15"/>
      <c r="C89" s="15"/>
      <c r="D89" s="15"/>
      <c r="E89" s="15"/>
      <c r="F89" s="15"/>
      <c r="G89" s="15"/>
      <c r="H89" s="15"/>
      <c r="I89" s="15"/>
      <c r="J89" s="15"/>
      <c r="K89" s="15"/>
      <c r="L89" s="15"/>
      <c r="M89" s="15"/>
      <c r="N89" s="15"/>
      <c r="O89" s="15"/>
      <c r="P89" s="15"/>
      <c r="Q89" s="15"/>
      <c r="R89" s="16" t="str">
        <f aca="false">IF(A89="","",IF(OR(B89="",C89="",D89=""),"SID, client, environment needed",IF(AND(K89="N",L89=""),"Rationale needed (not in scope)",IF(AND(O89="Validated",P89=""),"Evidence ref needed",IF(AND(O89&lt;&gt;"Validated",Q89=""),"Open question needed",IF(AND(J89="Y",D89="PRD",K89&lt;&gt;"Y"),"PRD financial system should be in scope","OK"))))))</f>
        <v/>
      </c>
    </row>
    <row r="90" customFormat="false" ht="15" hidden="false" customHeight="false" outlineLevel="0" collapsed="false">
      <c r="A90" s="15"/>
      <c r="B90" s="15"/>
      <c r="C90" s="15"/>
      <c r="D90" s="15"/>
      <c r="E90" s="15"/>
      <c r="F90" s="15"/>
      <c r="G90" s="15"/>
      <c r="H90" s="15"/>
      <c r="I90" s="15"/>
      <c r="J90" s="15"/>
      <c r="K90" s="15"/>
      <c r="L90" s="15"/>
      <c r="M90" s="15"/>
      <c r="N90" s="15"/>
      <c r="O90" s="15"/>
      <c r="P90" s="15"/>
      <c r="Q90" s="15"/>
      <c r="R90" s="16" t="str">
        <f aca="false">IF(A90="","",IF(OR(B90="",C90="",D90=""),"SID, client, environment needed",IF(AND(K90="N",L90=""),"Rationale needed (not in scope)",IF(AND(O90="Validated",P90=""),"Evidence ref needed",IF(AND(O90&lt;&gt;"Validated",Q90=""),"Open question needed",IF(AND(J90="Y",D90="PRD",K90&lt;&gt;"Y"),"PRD financial system should be in scope","OK"))))))</f>
        <v/>
      </c>
    </row>
    <row r="91" customFormat="false" ht="15" hidden="false" customHeight="false" outlineLevel="0" collapsed="false">
      <c r="A91" s="15"/>
      <c r="B91" s="15"/>
      <c r="C91" s="15"/>
      <c r="D91" s="15"/>
      <c r="E91" s="15"/>
      <c r="F91" s="15"/>
      <c r="G91" s="15"/>
      <c r="H91" s="15"/>
      <c r="I91" s="15"/>
      <c r="J91" s="15"/>
      <c r="K91" s="15"/>
      <c r="L91" s="15"/>
      <c r="M91" s="15"/>
      <c r="N91" s="15"/>
      <c r="O91" s="15"/>
      <c r="P91" s="15"/>
      <c r="Q91" s="15"/>
      <c r="R91" s="16" t="str">
        <f aca="false">IF(A91="","",IF(OR(B91="",C91="",D91=""),"SID, client, environment needed",IF(AND(K91="N",L91=""),"Rationale needed (not in scope)",IF(AND(O91="Validated",P91=""),"Evidence ref needed",IF(AND(O91&lt;&gt;"Validated",Q91=""),"Open question needed",IF(AND(J91="Y",D91="PRD",K91&lt;&gt;"Y"),"PRD financial system should be in scope","OK"))))))</f>
        <v/>
      </c>
    </row>
    <row r="92" customFormat="false" ht="15" hidden="false" customHeight="false" outlineLevel="0" collapsed="false">
      <c r="A92" s="15"/>
      <c r="B92" s="15"/>
      <c r="C92" s="15"/>
      <c r="D92" s="15"/>
      <c r="E92" s="15"/>
      <c r="F92" s="15"/>
      <c r="G92" s="15"/>
      <c r="H92" s="15"/>
      <c r="I92" s="15"/>
      <c r="J92" s="15"/>
      <c r="K92" s="15"/>
      <c r="L92" s="15"/>
      <c r="M92" s="15"/>
      <c r="N92" s="15"/>
      <c r="O92" s="15"/>
      <c r="P92" s="15"/>
      <c r="Q92" s="15"/>
      <c r="R92" s="16" t="str">
        <f aca="false">IF(A92="","",IF(OR(B92="",C92="",D92=""),"SID, client, environment needed",IF(AND(K92="N",L92=""),"Rationale needed (not in scope)",IF(AND(O92="Validated",P92=""),"Evidence ref needed",IF(AND(O92&lt;&gt;"Validated",Q92=""),"Open question needed",IF(AND(J92="Y",D92="PRD",K92&lt;&gt;"Y"),"PRD financial system should be in scope","OK"))))))</f>
        <v/>
      </c>
    </row>
    <row r="93" customFormat="false" ht="15" hidden="false" customHeight="false" outlineLevel="0" collapsed="false">
      <c r="A93" s="15"/>
      <c r="B93" s="15"/>
      <c r="C93" s="15"/>
      <c r="D93" s="15"/>
      <c r="E93" s="15"/>
      <c r="F93" s="15"/>
      <c r="G93" s="15"/>
      <c r="H93" s="15"/>
      <c r="I93" s="15"/>
      <c r="J93" s="15"/>
      <c r="K93" s="15"/>
      <c r="L93" s="15"/>
      <c r="M93" s="15"/>
      <c r="N93" s="15"/>
      <c r="O93" s="15"/>
      <c r="P93" s="15"/>
      <c r="Q93" s="15"/>
      <c r="R93" s="16" t="str">
        <f aca="false">IF(A93="","",IF(OR(B93="",C93="",D93=""),"SID, client, environment needed",IF(AND(K93="N",L93=""),"Rationale needed (not in scope)",IF(AND(O93="Validated",P93=""),"Evidence ref needed",IF(AND(O93&lt;&gt;"Validated",Q93=""),"Open question needed",IF(AND(J93="Y",D93="PRD",K93&lt;&gt;"Y"),"PRD financial system should be in scope","OK"))))))</f>
        <v/>
      </c>
    </row>
    <row r="94" customFormat="false" ht="15" hidden="false" customHeight="false" outlineLevel="0" collapsed="false">
      <c r="A94" s="15"/>
      <c r="B94" s="15"/>
      <c r="C94" s="15"/>
      <c r="D94" s="15"/>
      <c r="E94" s="15"/>
      <c r="F94" s="15"/>
      <c r="G94" s="15"/>
      <c r="H94" s="15"/>
      <c r="I94" s="15"/>
      <c r="J94" s="15"/>
      <c r="K94" s="15"/>
      <c r="L94" s="15"/>
      <c r="M94" s="15"/>
      <c r="N94" s="15"/>
      <c r="O94" s="15"/>
      <c r="P94" s="15"/>
      <c r="Q94" s="15"/>
      <c r="R94" s="16" t="str">
        <f aca="false">IF(A94="","",IF(OR(B94="",C94="",D94=""),"SID, client, environment needed",IF(AND(K94="N",L94=""),"Rationale needed (not in scope)",IF(AND(O94="Validated",P94=""),"Evidence ref needed",IF(AND(O94&lt;&gt;"Validated",Q94=""),"Open question needed",IF(AND(J94="Y",D94="PRD",K94&lt;&gt;"Y"),"PRD financial system should be in scope","OK"))))))</f>
        <v/>
      </c>
    </row>
    <row r="95" customFormat="false" ht="15" hidden="false" customHeight="false" outlineLevel="0" collapsed="false">
      <c r="A95" s="15"/>
      <c r="B95" s="15"/>
      <c r="C95" s="15"/>
      <c r="D95" s="15"/>
      <c r="E95" s="15"/>
      <c r="F95" s="15"/>
      <c r="G95" s="15"/>
      <c r="H95" s="15"/>
      <c r="I95" s="15"/>
      <c r="J95" s="15"/>
      <c r="K95" s="15"/>
      <c r="L95" s="15"/>
      <c r="M95" s="15"/>
      <c r="N95" s="15"/>
      <c r="O95" s="15"/>
      <c r="P95" s="15"/>
      <c r="Q95" s="15"/>
      <c r="R95" s="16" t="str">
        <f aca="false">IF(A95="","",IF(OR(B95="",C95="",D95=""),"SID, client, environment needed",IF(AND(K95="N",L95=""),"Rationale needed (not in scope)",IF(AND(O95="Validated",P95=""),"Evidence ref needed",IF(AND(O95&lt;&gt;"Validated",Q95=""),"Open question needed",IF(AND(J95="Y",D95="PRD",K95&lt;&gt;"Y"),"PRD financial system should be in scope","OK"))))))</f>
        <v/>
      </c>
    </row>
    <row r="96" customFormat="false" ht="15" hidden="false" customHeight="false" outlineLevel="0" collapsed="false">
      <c r="A96" s="15"/>
      <c r="B96" s="15"/>
      <c r="C96" s="15"/>
      <c r="D96" s="15"/>
      <c r="E96" s="15"/>
      <c r="F96" s="15"/>
      <c r="G96" s="15"/>
      <c r="H96" s="15"/>
      <c r="I96" s="15"/>
      <c r="J96" s="15"/>
      <c r="K96" s="15"/>
      <c r="L96" s="15"/>
      <c r="M96" s="15"/>
      <c r="N96" s="15"/>
      <c r="O96" s="15"/>
      <c r="P96" s="15"/>
      <c r="Q96" s="15"/>
      <c r="R96" s="16" t="str">
        <f aca="false">IF(A96="","",IF(OR(B96="",C96="",D96=""),"SID, client, environment needed",IF(AND(K96="N",L96=""),"Rationale needed (not in scope)",IF(AND(O96="Validated",P96=""),"Evidence ref needed",IF(AND(O96&lt;&gt;"Validated",Q96=""),"Open question needed",IF(AND(J96="Y",D96="PRD",K96&lt;&gt;"Y"),"PRD financial system should be in scope","OK"))))))</f>
        <v/>
      </c>
    </row>
    <row r="97" customFormat="false" ht="15" hidden="false" customHeight="false" outlineLevel="0" collapsed="false">
      <c r="A97" s="15"/>
      <c r="B97" s="15"/>
      <c r="C97" s="15"/>
      <c r="D97" s="15"/>
      <c r="E97" s="15"/>
      <c r="F97" s="15"/>
      <c r="G97" s="15"/>
      <c r="H97" s="15"/>
      <c r="I97" s="15"/>
      <c r="J97" s="15"/>
      <c r="K97" s="15"/>
      <c r="L97" s="15"/>
      <c r="M97" s="15"/>
      <c r="N97" s="15"/>
      <c r="O97" s="15"/>
      <c r="P97" s="15"/>
      <c r="Q97" s="15"/>
      <c r="R97" s="16" t="str">
        <f aca="false">IF(A97="","",IF(OR(B97="",C97="",D97=""),"SID, client, environment needed",IF(AND(K97="N",L97=""),"Rationale needed (not in scope)",IF(AND(O97="Validated",P97=""),"Evidence ref needed",IF(AND(O97&lt;&gt;"Validated",Q97=""),"Open question needed",IF(AND(J97="Y",D97="PRD",K97&lt;&gt;"Y"),"PRD financial system should be in scope","OK"))))))</f>
        <v/>
      </c>
    </row>
    <row r="98" customFormat="false" ht="15" hidden="false" customHeight="false" outlineLevel="0" collapsed="false">
      <c r="A98" s="15"/>
      <c r="B98" s="15"/>
      <c r="C98" s="15"/>
      <c r="D98" s="15"/>
      <c r="E98" s="15"/>
      <c r="F98" s="15"/>
      <c r="G98" s="15"/>
      <c r="H98" s="15"/>
      <c r="I98" s="15"/>
      <c r="J98" s="15"/>
      <c r="K98" s="15"/>
      <c r="L98" s="15"/>
      <c r="M98" s="15"/>
      <c r="N98" s="15"/>
      <c r="O98" s="15"/>
      <c r="P98" s="15"/>
      <c r="Q98" s="15"/>
      <c r="R98" s="16" t="str">
        <f aca="false">IF(A98="","",IF(OR(B98="",C98="",D98=""),"SID, client, environment needed",IF(AND(K98="N",L98=""),"Rationale needed (not in scope)",IF(AND(O98="Validated",P98=""),"Evidence ref needed",IF(AND(O98&lt;&gt;"Validated",Q98=""),"Open question needed",IF(AND(J98="Y",D98="PRD",K98&lt;&gt;"Y"),"PRD financial system should be in scope","OK"))))))</f>
        <v/>
      </c>
    </row>
    <row r="99" customFormat="false" ht="15" hidden="false" customHeight="false" outlineLevel="0" collapsed="false">
      <c r="A99" s="15"/>
      <c r="B99" s="15"/>
      <c r="C99" s="15"/>
      <c r="D99" s="15"/>
      <c r="E99" s="15"/>
      <c r="F99" s="15"/>
      <c r="G99" s="15"/>
      <c r="H99" s="15"/>
      <c r="I99" s="15"/>
      <c r="J99" s="15"/>
      <c r="K99" s="15"/>
      <c r="L99" s="15"/>
      <c r="M99" s="15"/>
      <c r="N99" s="15"/>
      <c r="O99" s="15"/>
      <c r="P99" s="15"/>
      <c r="Q99" s="15"/>
      <c r="R99" s="16" t="str">
        <f aca="false">IF(A99="","",IF(OR(B99="",C99="",D99=""),"SID, client, environment needed",IF(AND(K99="N",L99=""),"Rationale needed (not in scope)",IF(AND(O99="Validated",P99=""),"Evidence ref needed",IF(AND(O99&lt;&gt;"Validated",Q99=""),"Open question needed",IF(AND(J99="Y",D99="PRD",K99&lt;&gt;"Y"),"PRD financial system should be in scope","OK"))))))</f>
        <v/>
      </c>
    </row>
    <row r="100" customFormat="false" ht="15" hidden="false" customHeight="false" outlineLevel="0" collapsed="false">
      <c r="A100" s="15"/>
      <c r="B100" s="15"/>
      <c r="C100" s="15"/>
      <c r="D100" s="15"/>
      <c r="E100" s="15"/>
      <c r="F100" s="15"/>
      <c r="G100" s="15"/>
      <c r="H100" s="15"/>
      <c r="I100" s="15"/>
      <c r="J100" s="15"/>
      <c r="K100" s="15"/>
      <c r="L100" s="15"/>
      <c r="M100" s="15"/>
      <c r="N100" s="15"/>
      <c r="O100" s="15"/>
      <c r="P100" s="15"/>
      <c r="Q100" s="15"/>
      <c r="R100" s="16" t="str">
        <f aca="false">IF(A100="","",IF(OR(B100="",C100="",D100=""),"SID, client, environment needed",IF(AND(K100="N",L100=""),"Rationale needed (not in scope)",IF(AND(O100="Validated",P100=""),"Evidence ref needed",IF(AND(O100&lt;&gt;"Validated",Q100=""),"Open question needed",IF(AND(J100="Y",D100="PRD",K100&lt;&gt;"Y"),"PRD financial system should be in scope","OK"))))))</f>
        <v/>
      </c>
    </row>
    <row r="101" customFormat="false" ht="15" hidden="false" customHeight="false" outlineLevel="0" collapsed="false">
      <c r="A101" s="15"/>
      <c r="B101" s="15"/>
      <c r="C101" s="15"/>
      <c r="D101" s="15"/>
      <c r="E101" s="15"/>
      <c r="F101" s="15"/>
      <c r="G101" s="15"/>
      <c r="H101" s="15"/>
      <c r="I101" s="15"/>
      <c r="J101" s="15"/>
      <c r="K101" s="15"/>
      <c r="L101" s="15"/>
      <c r="M101" s="15"/>
      <c r="N101" s="15"/>
      <c r="O101" s="15"/>
      <c r="P101" s="15"/>
      <c r="Q101" s="15"/>
      <c r="R101" s="16" t="str">
        <f aca="false">IF(A101="","",IF(OR(B101="",C101="",D101=""),"SID, client, environment needed",IF(AND(K101="N",L101=""),"Rationale needed (not in scope)",IF(AND(O101="Validated",P101=""),"Evidence ref needed",IF(AND(O101&lt;&gt;"Validated",Q101=""),"Open question needed",IF(AND(J101="Y",D101="PRD",K101&lt;&gt;"Y"),"PRD financial system should be in scope","OK"))))))</f>
        <v/>
      </c>
    </row>
    <row r="102" customFormat="false" ht="15" hidden="false" customHeight="false" outlineLevel="0" collapsed="false">
      <c r="A102" s="15"/>
      <c r="B102" s="15"/>
      <c r="C102" s="15"/>
      <c r="D102" s="15"/>
      <c r="E102" s="15"/>
      <c r="F102" s="15"/>
      <c r="G102" s="15"/>
      <c r="H102" s="15"/>
      <c r="I102" s="15"/>
      <c r="J102" s="15"/>
      <c r="K102" s="15"/>
      <c r="L102" s="15"/>
      <c r="M102" s="15"/>
      <c r="N102" s="15"/>
      <c r="O102" s="15"/>
      <c r="P102" s="15"/>
      <c r="Q102" s="15"/>
      <c r="R102" s="16" t="str">
        <f aca="false">IF(A102="","",IF(OR(B102="",C102="",D102=""),"SID, client, environment needed",IF(AND(K102="N",L102=""),"Rationale needed (not in scope)",IF(AND(O102="Validated",P102=""),"Evidence ref needed",IF(AND(O102&lt;&gt;"Validated",Q102=""),"Open question needed",IF(AND(J102="Y",D102="PRD",K102&lt;&gt;"Y"),"PRD financial system should be in scope","OK"))))))</f>
        <v/>
      </c>
    </row>
    <row r="103" customFormat="false" ht="15" hidden="false" customHeight="false" outlineLevel="0" collapsed="false">
      <c r="A103" s="15"/>
      <c r="B103" s="15"/>
      <c r="C103" s="15"/>
      <c r="D103" s="15"/>
      <c r="E103" s="15"/>
      <c r="F103" s="15"/>
      <c r="G103" s="15"/>
      <c r="H103" s="15"/>
      <c r="I103" s="15"/>
      <c r="J103" s="15"/>
      <c r="K103" s="15"/>
      <c r="L103" s="15"/>
      <c r="M103" s="15"/>
      <c r="N103" s="15"/>
      <c r="O103" s="15"/>
      <c r="P103" s="15"/>
      <c r="Q103" s="15"/>
      <c r="R103" s="16" t="str">
        <f aca="false">IF(A103="","",IF(OR(B103="",C103="",D103=""),"SID, client, environment needed",IF(AND(K103="N",L103=""),"Rationale needed (not in scope)",IF(AND(O103="Validated",P103=""),"Evidence ref needed",IF(AND(O103&lt;&gt;"Validated",Q103=""),"Open question needed",IF(AND(J103="Y",D103="PRD",K103&lt;&gt;"Y"),"PRD financial system should be in scope","OK"))))))</f>
        <v/>
      </c>
    </row>
    <row r="104" customFormat="false" ht="15" hidden="false" customHeight="false" outlineLevel="0" collapsed="false">
      <c r="A104" s="15"/>
      <c r="B104" s="15"/>
      <c r="C104" s="15"/>
      <c r="D104" s="15"/>
      <c r="E104" s="15"/>
      <c r="F104" s="15"/>
      <c r="G104" s="15"/>
      <c r="H104" s="15"/>
      <c r="I104" s="15"/>
      <c r="J104" s="15"/>
      <c r="K104" s="15"/>
      <c r="L104" s="15"/>
      <c r="M104" s="15"/>
      <c r="N104" s="15"/>
      <c r="O104" s="15"/>
      <c r="P104" s="15"/>
      <c r="Q104" s="15"/>
      <c r="R104" s="16" t="str">
        <f aca="false">IF(A104="","",IF(OR(B104="",C104="",D104=""),"SID, client, environment needed",IF(AND(K104="N",L104=""),"Rationale needed (not in scope)",IF(AND(O104="Validated",P104=""),"Evidence ref needed",IF(AND(O104&lt;&gt;"Validated",Q104=""),"Open question needed",IF(AND(J104="Y",D104="PRD",K104&lt;&gt;"Y"),"PRD financial system should be in scope","OK"))))))</f>
        <v/>
      </c>
    </row>
    <row r="105" customFormat="false" ht="15" hidden="false" customHeight="false" outlineLevel="0" collapsed="false">
      <c r="A105" s="15"/>
      <c r="B105" s="15"/>
      <c r="C105" s="15"/>
      <c r="D105" s="15"/>
      <c r="E105" s="15"/>
      <c r="F105" s="15"/>
      <c r="G105" s="15"/>
      <c r="H105" s="15"/>
      <c r="I105" s="15"/>
      <c r="J105" s="15"/>
      <c r="K105" s="15"/>
      <c r="L105" s="15"/>
      <c r="M105" s="15"/>
      <c r="N105" s="15"/>
      <c r="O105" s="15"/>
      <c r="P105" s="15"/>
      <c r="Q105" s="15"/>
      <c r="R105" s="16" t="str">
        <f aca="false">IF(A105="","",IF(OR(B105="",C105="",D105=""),"SID, client, environment needed",IF(AND(K105="N",L105=""),"Rationale needed (not in scope)",IF(AND(O105="Validated",P105=""),"Evidence ref needed",IF(AND(O105&lt;&gt;"Validated",Q105=""),"Open question needed",IF(AND(J105="Y",D105="PRD",K105&lt;&gt;"Y"),"PRD financial system should be in scope","OK"))))))</f>
        <v/>
      </c>
    </row>
    <row r="106" customFormat="false" ht="15" hidden="false" customHeight="false" outlineLevel="0" collapsed="false">
      <c r="A106" s="15"/>
      <c r="B106" s="15"/>
      <c r="C106" s="15"/>
      <c r="D106" s="15"/>
      <c r="E106" s="15"/>
      <c r="F106" s="15"/>
      <c r="G106" s="15"/>
      <c r="H106" s="15"/>
      <c r="I106" s="15"/>
      <c r="J106" s="15"/>
      <c r="K106" s="15"/>
      <c r="L106" s="15"/>
      <c r="M106" s="15"/>
      <c r="N106" s="15"/>
      <c r="O106" s="15"/>
      <c r="P106" s="15"/>
      <c r="Q106" s="15"/>
      <c r="R106" s="16" t="str">
        <f aca="false">IF(A106="","",IF(OR(B106="",C106="",D106=""),"SID, client, environment needed",IF(AND(K106="N",L106=""),"Rationale needed (not in scope)",IF(AND(O106="Validated",P106=""),"Evidence ref needed",IF(AND(O106&lt;&gt;"Validated",Q106=""),"Open question needed",IF(AND(J106="Y",D106="PRD",K106&lt;&gt;"Y"),"PRD financial system should be in scope","OK"))))))</f>
        <v/>
      </c>
    </row>
    <row r="107" customFormat="false" ht="15" hidden="false" customHeight="false" outlineLevel="0" collapsed="false">
      <c r="A107" s="15"/>
      <c r="B107" s="15"/>
      <c r="C107" s="15"/>
      <c r="D107" s="15"/>
      <c r="E107" s="15"/>
      <c r="F107" s="15"/>
      <c r="G107" s="15"/>
      <c r="H107" s="15"/>
      <c r="I107" s="15"/>
      <c r="J107" s="15"/>
      <c r="K107" s="15"/>
      <c r="L107" s="15"/>
      <c r="M107" s="15"/>
      <c r="N107" s="15"/>
      <c r="O107" s="15"/>
      <c r="P107" s="15"/>
      <c r="Q107" s="15"/>
      <c r="R107" s="16" t="str">
        <f aca="false">IF(A107="","",IF(OR(B107="",C107="",D107=""),"SID, client, environment needed",IF(AND(K107="N",L107=""),"Rationale needed (not in scope)",IF(AND(O107="Validated",P107=""),"Evidence ref needed",IF(AND(O107&lt;&gt;"Validated",Q107=""),"Open question needed",IF(AND(J107="Y",D107="PRD",K107&lt;&gt;"Y"),"PRD financial system should be in scope","OK"))))))</f>
        <v/>
      </c>
    </row>
    <row r="108" customFormat="false" ht="15" hidden="false" customHeight="false" outlineLevel="0" collapsed="false">
      <c r="A108" s="15"/>
      <c r="B108" s="15"/>
      <c r="C108" s="15"/>
      <c r="D108" s="15"/>
      <c r="E108" s="15"/>
      <c r="F108" s="15"/>
      <c r="G108" s="15"/>
      <c r="H108" s="15"/>
      <c r="I108" s="15"/>
      <c r="J108" s="15"/>
      <c r="K108" s="15"/>
      <c r="L108" s="15"/>
      <c r="M108" s="15"/>
      <c r="N108" s="15"/>
      <c r="O108" s="15"/>
      <c r="P108" s="15"/>
      <c r="Q108" s="15"/>
      <c r="R108" s="16" t="str">
        <f aca="false">IF(A108="","",IF(OR(B108="",C108="",D108=""),"SID, client, environment needed",IF(AND(K108="N",L108=""),"Rationale needed (not in scope)",IF(AND(O108="Validated",P108=""),"Evidence ref needed",IF(AND(O108&lt;&gt;"Validated",Q108=""),"Open question needed",IF(AND(J108="Y",D108="PRD",K108&lt;&gt;"Y"),"PRD financial system should be in scope","OK"))))))</f>
        <v/>
      </c>
    </row>
    <row r="109" customFormat="false" ht="15" hidden="false" customHeight="false" outlineLevel="0" collapsed="false">
      <c r="A109" s="15"/>
      <c r="B109" s="15"/>
      <c r="C109" s="15"/>
      <c r="D109" s="15"/>
      <c r="E109" s="15"/>
      <c r="F109" s="15"/>
      <c r="G109" s="15"/>
      <c r="H109" s="15"/>
      <c r="I109" s="15"/>
      <c r="J109" s="15"/>
      <c r="K109" s="15"/>
      <c r="L109" s="15"/>
      <c r="M109" s="15"/>
      <c r="N109" s="15"/>
      <c r="O109" s="15"/>
      <c r="P109" s="15"/>
      <c r="Q109" s="15"/>
      <c r="R109" s="16" t="str">
        <f aca="false">IF(A109="","",IF(OR(B109="",C109="",D109=""),"SID, client, environment needed",IF(AND(K109="N",L109=""),"Rationale needed (not in scope)",IF(AND(O109="Validated",P109=""),"Evidence ref needed",IF(AND(O109&lt;&gt;"Validated",Q109=""),"Open question needed",IF(AND(J109="Y",D109="PRD",K109&lt;&gt;"Y"),"PRD financial system should be in scope","OK"))))))</f>
        <v/>
      </c>
    </row>
    <row r="110" customFormat="false" ht="15" hidden="false" customHeight="false" outlineLevel="0" collapsed="false">
      <c r="A110" s="15"/>
      <c r="B110" s="15"/>
      <c r="C110" s="15"/>
      <c r="D110" s="15"/>
      <c r="E110" s="15"/>
      <c r="F110" s="15"/>
      <c r="G110" s="15"/>
      <c r="H110" s="15"/>
      <c r="I110" s="15"/>
      <c r="J110" s="15"/>
      <c r="K110" s="15"/>
      <c r="L110" s="15"/>
      <c r="M110" s="15"/>
      <c r="N110" s="15"/>
      <c r="O110" s="15"/>
      <c r="P110" s="15"/>
      <c r="Q110" s="15"/>
      <c r="R110" s="16" t="str">
        <f aca="false">IF(A110="","",IF(OR(B110="",C110="",D110=""),"SID, client, environment needed",IF(AND(K110="N",L110=""),"Rationale needed (not in scope)",IF(AND(O110="Validated",P110=""),"Evidence ref needed",IF(AND(O110&lt;&gt;"Validated",Q110=""),"Open question needed",IF(AND(J110="Y",D110="PRD",K110&lt;&gt;"Y"),"PRD financial system should be in scope","OK"))))))</f>
        <v/>
      </c>
    </row>
    <row r="111" customFormat="false" ht="15" hidden="false" customHeight="false" outlineLevel="0" collapsed="false">
      <c r="A111" s="15"/>
      <c r="B111" s="15"/>
      <c r="C111" s="15"/>
      <c r="D111" s="15"/>
      <c r="E111" s="15"/>
      <c r="F111" s="15"/>
      <c r="G111" s="15"/>
      <c r="H111" s="15"/>
      <c r="I111" s="15"/>
      <c r="J111" s="15"/>
      <c r="K111" s="15"/>
      <c r="L111" s="15"/>
      <c r="M111" s="15"/>
      <c r="N111" s="15"/>
      <c r="O111" s="15"/>
      <c r="P111" s="15"/>
      <c r="Q111" s="15"/>
      <c r="R111" s="16" t="str">
        <f aca="false">IF(A111="","",IF(OR(B111="",C111="",D111=""),"SID, client, environment needed",IF(AND(K111="N",L111=""),"Rationale needed (not in scope)",IF(AND(O111="Validated",P111=""),"Evidence ref needed",IF(AND(O111&lt;&gt;"Validated",Q111=""),"Open question needed",IF(AND(J111="Y",D111="PRD",K111&lt;&gt;"Y"),"PRD financial system should be in scope","OK"))))))</f>
        <v/>
      </c>
    </row>
    <row r="112" customFormat="false" ht="15" hidden="false" customHeight="false" outlineLevel="0" collapsed="false">
      <c r="A112" s="15"/>
      <c r="B112" s="15"/>
      <c r="C112" s="15"/>
      <c r="D112" s="15"/>
      <c r="E112" s="15"/>
      <c r="F112" s="15"/>
      <c r="G112" s="15"/>
      <c r="H112" s="15"/>
      <c r="I112" s="15"/>
      <c r="J112" s="15"/>
      <c r="K112" s="15"/>
      <c r="L112" s="15"/>
      <c r="M112" s="15"/>
      <c r="N112" s="15"/>
      <c r="O112" s="15"/>
      <c r="P112" s="15"/>
      <c r="Q112" s="15"/>
      <c r="R112" s="16" t="str">
        <f aca="false">IF(A112="","",IF(OR(B112="",C112="",D112=""),"SID, client, environment needed",IF(AND(K112="N",L112=""),"Rationale needed (not in scope)",IF(AND(O112="Validated",P112=""),"Evidence ref needed",IF(AND(O112&lt;&gt;"Validated",Q112=""),"Open question needed",IF(AND(J112="Y",D112="PRD",K112&lt;&gt;"Y"),"PRD financial system should be in scope","OK"))))))</f>
        <v/>
      </c>
    </row>
    <row r="113" customFormat="false" ht="15" hidden="false" customHeight="false" outlineLevel="0" collapsed="false">
      <c r="A113" s="15"/>
      <c r="B113" s="15"/>
      <c r="C113" s="15"/>
      <c r="D113" s="15"/>
      <c r="E113" s="15"/>
      <c r="F113" s="15"/>
      <c r="G113" s="15"/>
      <c r="H113" s="15"/>
      <c r="I113" s="15"/>
      <c r="J113" s="15"/>
      <c r="K113" s="15"/>
      <c r="L113" s="15"/>
      <c r="M113" s="15"/>
      <c r="N113" s="15"/>
      <c r="O113" s="15"/>
      <c r="P113" s="15"/>
      <c r="Q113" s="15"/>
      <c r="R113" s="16" t="str">
        <f aca="false">IF(A113="","",IF(OR(B113="",C113="",D113=""),"SID, client, environment needed",IF(AND(K113="N",L113=""),"Rationale needed (not in scope)",IF(AND(O113="Validated",P113=""),"Evidence ref needed",IF(AND(O113&lt;&gt;"Validated",Q113=""),"Open question needed",IF(AND(J113="Y",D113="PRD",K113&lt;&gt;"Y"),"PRD financial system should be in scope","OK"))))))</f>
        <v/>
      </c>
    </row>
    <row r="114" customFormat="false" ht="15" hidden="false" customHeight="false" outlineLevel="0" collapsed="false">
      <c r="A114" s="15"/>
      <c r="B114" s="15"/>
      <c r="C114" s="15"/>
      <c r="D114" s="15"/>
      <c r="E114" s="15"/>
      <c r="F114" s="15"/>
      <c r="G114" s="15"/>
      <c r="H114" s="15"/>
      <c r="I114" s="15"/>
      <c r="J114" s="15"/>
      <c r="K114" s="15"/>
      <c r="L114" s="15"/>
      <c r="M114" s="15"/>
      <c r="N114" s="15"/>
      <c r="O114" s="15"/>
      <c r="P114" s="15"/>
      <c r="Q114" s="15"/>
      <c r="R114" s="16" t="str">
        <f aca="false">IF(A114="","",IF(OR(B114="",C114="",D114=""),"SID, client, environment needed",IF(AND(K114="N",L114=""),"Rationale needed (not in scope)",IF(AND(O114="Validated",P114=""),"Evidence ref needed",IF(AND(O114&lt;&gt;"Validated",Q114=""),"Open question needed",IF(AND(J114="Y",D114="PRD",K114&lt;&gt;"Y"),"PRD financial system should be in scope","OK"))))))</f>
        <v/>
      </c>
    </row>
    <row r="115" customFormat="false" ht="15" hidden="false" customHeight="false" outlineLevel="0" collapsed="false">
      <c r="A115" s="15"/>
      <c r="B115" s="15"/>
      <c r="C115" s="15"/>
      <c r="D115" s="15"/>
      <c r="E115" s="15"/>
      <c r="F115" s="15"/>
      <c r="G115" s="15"/>
      <c r="H115" s="15"/>
      <c r="I115" s="15"/>
      <c r="J115" s="15"/>
      <c r="K115" s="15"/>
      <c r="L115" s="15"/>
      <c r="M115" s="15"/>
      <c r="N115" s="15"/>
      <c r="O115" s="15"/>
      <c r="P115" s="15"/>
      <c r="Q115" s="15"/>
      <c r="R115" s="16" t="str">
        <f aca="false">IF(A115="","",IF(OR(B115="",C115="",D115=""),"SID, client, environment needed",IF(AND(K115="N",L115=""),"Rationale needed (not in scope)",IF(AND(O115="Validated",P115=""),"Evidence ref needed",IF(AND(O115&lt;&gt;"Validated",Q115=""),"Open question needed",IF(AND(J115="Y",D115="PRD",K115&lt;&gt;"Y"),"PRD financial system should be in scope","OK"))))))</f>
        <v/>
      </c>
    </row>
    <row r="116" customFormat="false" ht="15" hidden="false" customHeight="false" outlineLevel="0" collapsed="false">
      <c r="A116" s="15"/>
      <c r="B116" s="15"/>
      <c r="C116" s="15"/>
      <c r="D116" s="15"/>
      <c r="E116" s="15"/>
      <c r="F116" s="15"/>
      <c r="G116" s="15"/>
      <c r="H116" s="15"/>
      <c r="I116" s="15"/>
      <c r="J116" s="15"/>
      <c r="K116" s="15"/>
      <c r="L116" s="15"/>
      <c r="M116" s="15"/>
      <c r="N116" s="15"/>
      <c r="O116" s="15"/>
      <c r="P116" s="15"/>
      <c r="Q116" s="15"/>
      <c r="R116" s="16" t="str">
        <f aca="false">IF(A116="","",IF(OR(B116="",C116="",D116=""),"SID, client, environment needed",IF(AND(K116="N",L116=""),"Rationale needed (not in scope)",IF(AND(O116="Validated",P116=""),"Evidence ref needed",IF(AND(O116&lt;&gt;"Validated",Q116=""),"Open question needed",IF(AND(J116="Y",D116="PRD",K116&lt;&gt;"Y"),"PRD financial system should be in scope","OK"))))))</f>
        <v/>
      </c>
    </row>
    <row r="117" customFormat="false" ht="15" hidden="false" customHeight="false" outlineLevel="0" collapsed="false">
      <c r="A117" s="15"/>
      <c r="B117" s="15"/>
      <c r="C117" s="15"/>
      <c r="D117" s="15"/>
      <c r="E117" s="15"/>
      <c r="F117" s="15"/>
      <c r="G117" s="15"/>
      <c r="H117" s="15"/>
      <c r="I117" s="15"/>
      <c r="J117" s="15"/>
      <c r="K117" s="15"/>
      <c r="L117" s="15"/>
      <c r="M117" s="15"/>
      <c r="N117" s="15"/>
      <c r="O117" s="15"/>
      <c r="P117" s="15"/>
      <c r="Q117" s="15"/>
      <c r="R117" s="16" t="str">
        <f aca="false">IF(A117="","",IF(OR(B117="",C117="",D117=""),"SID, client, environment needed",IF(AND(K117="N",L117=""),"Rationale needed (not in scope)",IF(AND(O117="Validated",P117=""),"Evidence ref needed",IF(AND(O117&lt;&gt;"Validated",Q117=""),"Open question needed",IF(AND(J117="Y",D117="PRD",K117&lt;&gt;"Y"),"PRD financial system should be in scope","OK"))))))</f>
        <v/>
      </c>
    </row>
    <row r="118" customFormat="false" ht="15" hidden="false" customHeight="false" outlineLevel="0" collapsed="false">
      <c r="A118" s="15"/>
      <c r="B118" s="15"/>
      <c r="C118" s="15"/>
      <c r="D118" s="15"/>
      <c r="E118" s="15"/>
      <c r="F118" s="15"/>
      <c r="G118" s="15"/>
      <c r="H118" s="15"/>
      <c r="I118" s="15"/>
      <c r="J118" s="15"/>
      <c r="K118" s="15"/>
      <c r="L118" s="15"/>
      <c r="M118" s="15"/>
      <c r="N118" s="15"/>
      <c r="O118" s="15"/>
      <c r="P118" s="15"/>
      <c r="Q118" s="15"/>
      <c r="R118" s="16" t="str">
        <f aca="false">IF(A118="","",IF(OR(B118="",C118="",D118=""),"SID, client, environment needed",IF(AND(K118="N",L118=""),"Rationale needed (not in scope)",IF(AND(O118="Validated",P118=""),"Evidence ref needed",IF(AND(O118&lt;&gt;"Validated",Q118=""),"Open question needed",IF(AND(J118="Y",D118="PRD",K118&lt;&gt;"Y"),"PRD financial system should be in scope","OK"))))))</f>
        <v/>
      </c>
    </row>
    <row r="119" customFormat="false" ht="15" hidden="false" customHeight="false" outlineLevel="0" collapsed="false">
      <c r="A119" s="15"/>
      <c r="B119" s="15"/>
      <c r="C119" s="15"/>
      <c r="D119" s="15"/>
      <c r="E119" s="15"/>
      <c r="F119" s="15"/>
      <c r="G119" s="15"/>
      <c r="H119" s="15"/>
      <c r="I119" s="15"/>
      <c r="J119" s="15"/>
      <c r="K119" s="15"/>
      <c r="L119" s="15"/>
      <c r="M119" s="15"/>
      <c r="N119" s="15"/>
      <c r="O119" s="15"/>
      <c r="P119" s="15"/>
      <c r="Q119" s="15"/>
      <c r="R119" s="16" t="str">
        <f aca="false">IF(A119="","",IF(OR(B119="",C119="",D119=""),"SID, client, environment needed",IF(AND(K119="N",L119=""),"Rationale needed (not in scope)",IF(AND(O119="Validated",P119=""),"Evidence ref needed",IF(AND(O119&lt;&gt;"Validated",Q119=""),"Open question needed",IF(AND(J119="Y",D119="PRD",K119&lt;&gt;"Y"),"PRD financial system should be in scope","OK"))))))</f>
        <v/>
      </c>
    </row>
    <row r="120" customFormat="false" ht="15" hidden="false" customHeight="false" outlineLevel="0" collapsed="false">
      <c r="A120" s="15"/>
      <c r="B120" s="15"/>
      <c r="C120" s="15"/>
      <c r="D120" s="15"/>
      <c r="E120" s="15"/>
      <c r="F120" s="15"/>
      <c r="G120" s="15"/>
      <c r="H120" s="15"/>
      <c r="I120" s="15"/>
      <c r="J120" s="15"/>
      <c r="K120" s="15"/>
      <c r="L120" s="15"/>
      <c r="M120" s="15"/>
      <c r="N120" s="15"/>
      <c r="O120" s="15"/>
      <c r="P120" s="15"/>
      <c r="Q120" s="15"/>
      <c r="R120" s="16" t="str">
        <f aca="false">IF(A120="","",IF(OR(B120="",C120="",D120=""),"SID, client, environment needed",IF(AND(K120="N",L120=""),"Rationale needed (not in scope)",IF(AND(O120="Validated",P120=""),"Evidence ref needed",IF(AND(O120&lt;&gt;"Validated",Q120=""),"Open question needed",IF(AND(J120="Y",D120="PRD",K120&lt;&gt;"Y"),"PRD financial system should be in scope","OK"))))))</f>
        <v/>
      </c>
    </row>
    <row r="121" customFormat="false" ht="15" hidden="false" customHeight="false" outlineLevel="0" collapsed="false">
      <c r="A121" s="15"/>
      <c r="B121" s="15"/>
      <c r="C121" s="15"/>
      <c r="D121" s="15"/>
      <c r="E121" s="15"/>
      <c r="F121" s="15"/>
      <c r="G121" s="15"/>
      <c r="H121" s="15"/>
      <c r="I121" s="15"/>
      <c r="J121" s="15"/>
      <c r="K121" s="15"/>
      <c r="L121" s="15"/>
      <c r="M121" s="15"/>
      <c r="N121" s="15"/>
      <c r="O121" s="15"/>
      <c r="P121" s="15"/>
      <c r="Q121" s="15"/>
      <c r="R121" s="16" t="str">
        <f aca="false">IF(A121="","",IF(OR(B121="",C121="",D121=""),"SID, client, environment needed",IF(AND(K121="N",L121=""),"Rationale needed (not in scope)",IF(AND(O121="Validated",P121=""),"Evidence ref needed",IF(AND(O121&lt;&gt;"Validated",Q121=""),"Open question needed",IF(AND(J121="Y",D121="PRD",K121&lt;&gt;"Y"),"PRD financial system should be in scope","OK"))))))</f>
        <v/>
      </c>
    </row>
    <row r="122" customFormat="false" ht="15" hidden="false" customHeight="false" outlineLevel="0" collapsed="false">
      <c r="A122" s="15"/>
      <c r="B122" s="15"/>
      <c r="C122" s="15"/>
      <c r="D122" s="15"/>
      <c r="E122" s="15"/>
      <c r="F122" s="15"/>
      <c r="G122" s="15"/>
      <c r="H122" s="15"/>
      <c r="I122" s="15"/>
      <c r="J122" s="15"/>
      <c r="K122" s="15"/>
      <c r="L122" s="15"/>
      <c r="M122" s="15"/>
      <c r="N122" s="15"/>
      <c r="O122" s="15"/>
      <c r="P122" s="15"/>
      <c r="Q122" s="15"/>
      <c r="R122" s="16" t="str">
        <f aca="false">IF(A122="","",IF(OR(B122="",C122="",D122=""),"SID, client, environment needed",IF(AND(K122="N",L122=""),"Rationale needed (not in scope)",IF(AND(O122="Validated",P122=""),"Evidence ref needed",IF(AND(O122&lt;&gt;"Validated",Q122=""),"Open question needed",IF(AND(J122="Y",D122="PRD",K122&lt;&gt;"Y"),"PRD financial system should be in scope","OK"))))))</f>
        <v/>
      </c>
    </row>
    <row r="123" customFormat="false" ht="15" hidden="false" customHeight="false" outlineLevel="0" collapsed="false">
      <c r="A123" s="15"/>
      <c r="B123" s="15"/>
      <c r="C123" s="15"/>
      <c r="D123" s="15"/>
      <c r="E123" s="15"/>
      <c r="F123" s="15"/>
      <c r="G123" s="15"/>
      <c r="H123" s="15"/>
      <c r="I123" s="15"/>
      <c r="J123" s="15"/>
      <c r="K123" s="15"/>
      <c r="L123" s="15"/>
      <c r="M123" s="15"/>
      <c r="N123" s="15"/>
      <c r="O123" s="15"/>
      <c r="P123" s="15"/>
      <c r="Q123" s="15"/>
      <c r="R123" s="16" t="str">
        <f aca="false">IF(A123="","",IF(OR(B123="",C123="",D123=""),"SID, client, environment needed",IF(AND(K123="N",L123=""),"Rationale needed (not in scope)",IF(AND(O123="Validated",P123=""),"Evidence ref needed",IF(AND(O123&lt;&gt;"Validated",Q123=""),"Open question needed",IF(AND(J123="Y",D123="PRD",K123&lt;&gt;"Y"),"PRD financial system should be in scope","OK"))))))</f>
        <v/>
      </c>
    </row>
    <row r="124" customFormat="false" ht="15" hidden="false" customHeight="false" outlineLevel="0" collapsed="false">
      <c r="A124" s="15"/>
      <c r="B124" s="15"/>
      <c r="C124" s="15"/>
      <c r="D124" s="15"/>
      <c r="E124" s="15"/>
      <c r="F124" s="15"/>
      <c r="G124" s="15"/>
      <c r="H124" s="15"/>
      <c r="I124" s="15"/>
      <c r="J124" s="15"/>
      <c r="K124" s="15"/>
      <c r="L124" s="15"/>
      <c r="M124" s="15"/>
      <c r="N124" s="15"/>
      <c r="O124" s="15"/>
      <c r="P124" s="15"/>
      <c r="Q124" s="15"/>
      <c r="R124" s="16" t="str">
        <f aca="false">IF(A124="","",IF(OR(B124="",C124="",D124=""),"SID, client, environment needed",IF(AND(K124="N",L124=""),"Rationale needed (not in scope)",IF(AND(O124="Validated",P124=""),"Evidence ref needed",IF(AND(O124&lt;&gt;"Validated",Q124=""),"Open question needed",IF(AND(J124="Y",D124="PRD",K124&lt;&gt;"Y"),"PRD financial system should be in scope","OK"))))))</f>
        <v/>
      </c>
    </row>
    <row r="125" customFormat="false" ht="15" hidden="false" customHeight="false" outlineLevel="0" collapsed="false">
      <c r="A125" s="15"/>
      <c r="B125" s="15"/>
      <c r="C125" s="15"/>
      <c r="D125" s="15"/>
      <c r="E125" s="15"/>
      <c r="F125" s="15"/>
      <c r="G125" s="15"/>
      <c r="H125" s="15"/>
      <c r="I125" s="15"/>
      <c r="J125" s="15"/>
      <c r="K125" s="15"/>
      <c r="L125" s="15"/>
      <c r="M125" s="15"/>
      <c r="N125" s="15"/>
      <c r="O125" s="15"/>
      <c r="P125" s="15"/>
      <c r="Q125" s="15"/>
      <c r="R125" s="16" t="str">
        <f aca="false">IF(A125="","",IF(OR(B125="",C125="",D125=""),"SID, client, environment needed",IF(AND(K125="N",L125=""),"Rationale needed (not in scope)",IF(AND(O125="Validated",P125=""),"Evidence ref needed",IF(AND(O125&lt;&gt;"Validated",Q125=""),"Open question needed",IF(AND(J125="Y",D125="PRD",K125&lt;&gt;"Y"),"PRD financial system should be in scope","OK"))))))</f>
        <v/>
      </c>
    </row>
    <row r="126" customFormat="false" ht="15" hidden="false" customHeight="false" outlineLevel="0" collapsed="false">
      <c r="A126" s="15"/>
      <c r="B126" s="15"/>
      <c r="C126" s="15"/>
      <c r="D126" s="15"/>
      <c r="E126" s="15"/>
      <c r="F126" s="15"/>
      <c r="G126" s="15"/>
      <c r="H126" s="15"/>
      <c r="I126" s="15"/>
      <c r="J126" s="15"/>
      <c r="K126" s="15"/>
      <c r="L126" s="15"/>
      <c r="M126" s="15"/>
      <c r="N126" s="15"/>
      <c r="O126" s="15"/>
      <c r="P126" s="15"/>
      <c r="Q126" s="15"/>
      <c r="R126" s="16" t="str">
        <f aca="false">IF(A126="","",IF(OR(B126="",C126="",D126=""),"SID, client, environment needed",IF(AND(K126="N",L126=""),"Rationale needed (not in scope)",IF(AND(O126="Validated",P126=""),"Evidence ref needed",IF(AND(O126&lt;&gt;"Validated",Q126=""),"Open question needed",IF(AND(J126="Y",D126="PRD",K126&lt;&gt;"Y"),"PRD financial system should be in scope","OK"))))))</f>
        <v/>
      </c>
    </row>
    <row r="127" customFormat="false" ht="15" hidden="false" customHeight="false" outlineLevel="0" collapsed="false">
      <c r="A127" s="15"/>
      <c r="B127" s="15"/>
      <c r="C127" s="15"/>
      <c r="D127" s="15"/>
      <c r="E127" s="15"/>
      <c r="F127" s="15"/>
      <c r="G127" s="15"/>
      <c r="H127" s="15"/>
      <c r="I127" s="15"/>
      <c r="J127" s="15"/>
      <c r="K127" s="15"/>
      <c r="L127" s="15"/>
      <c r="M127" s="15"/>
      <c r="N127" s="15"/>
      <c r="O127" s="15"/>
      <c r="P127" s="15"/>
      <c r="Q127" s="15"/>
      <c r="R127" s="16" t="str">
        <f aca="false">IF(A127="","",IF(OR(B127="",C127="",D127=""),"SID, client, environment needed",IF(AND(K127="N",L127=""),"Rationale needed (not in scope)",IF(AND(O127="Validated",P127=""),"Evidence ref needed",IF(AND(O127&lt;&gt;"Validated",Q127=""),"Open question needed",IF(AND(J127="Y",D127="PRD",K127&lt;&gt;"Y"),"PRD financial system should be in scope","OK"))))))</f>
        <v/>
      </c>
    </row>
    <row r="128" customFormat="false" ht="15" hidden="false" customHeight="false" outlineLevel="0" collapsed="false">
      <c r="A128" s="15"/>
      <c r="B128" s="15"/>
      <c r="C128" s="15"/>
      <c r="D128" s="15"/>
      <c r="E128" s="15"/>
      <c r="F128" s="15"/>
      <c r="G128" s="15"/>
      <c r="H128" s="15"/>
      <c r="I128" s="15"/>
      <c r="J128" s="15"/>
      <c r="K128" s="15"/>
      <c r="L128" s="15"/>
      <c r="M128" s="15"/>
      <c r="N128" s="15"/>
      <c r="O128" s="15"/>
      <c r="P128" s="15"/>
      <c r="Q128" s="15"/>
      <c r="R128" s="16" t="str">
        <f aca="false">IF(A128="","",IF(OR(B128="",C128="",D128=""),"SID, client, environment needed",IF(AND(K128="N",L128=""),"Rationale needed (not in scope)",IF(AND(O128="Validated",P128=""),"Evidence ref needed",IF(AND(O128&lt;&gt;"Validated",Q128=""),"Open question needed",IF(AND(J128="Y",D128="PRD",K128&lt;&gt;"Y"),"PRD financial system should be in scope","OK"))))))</f>
        <v/>
      </c>
    </row>
    <row r="129" customFormat="false" ht="15" hidden="false" customHeight="false" outlineLevel="0" collapsed="false">
      <c r="A129" s="15"/>
      <c r="B129" s="15"/>
      <c r="C129" s="15"/>
      <c r="D129" s="15"/>
      <c r="E129" s="15"/>
      <c r="F129" s="15"/>
      <c r="G129" s="15"/>
      <c r="H129" s="15"/>
      <c r="I129" s="15"/>
      <c r="J129" s="15"/>
      <c r="K129" s="15"/>
      <c r="L129" s="15"/>
      <c r="M129" s="15"/>
      <c r="N129" s="15"/>
      <c r="O129" s="15"/>
      <c r="P129" s="15"/>
      <c r="Q129" s="15"/>
      <c r="R129" s="16" t="str">
        <f aca="false">IF(A129="","",IF(OR(B129="",C129="",D129=""),"SID, client, environment needed",IF(AND(K129="N",L129=""),"Rationale needed (not in scope)",IF(AND(O129="Validated",P129=""),"Evidence ref needed",IF(AND(O129&lt;&gt;"Validated",Q129=""),"Open question needed",IF(AND(J129="Y",D129="PRD",K129&lt;&gt;"Y"),"PRD financial system should be in scope","OK"))))))</f>
        <v/>
      </c>
    </row>
    <row r="130" customFormat="false" ht="15" hidden="false" customHeight="false" outlineLevel="0" collapsed="false">
      <c r="A130" s="15"/>
      <c r="B130" s="15"/>
      <c r="C130" s="15"/>
      <c r="D130" s="15"/>
      <c r="E130" s="15"/>
      <c r="F130" s="15"/>
      <c r="G130" s="15"/>
      <c r="H130" s="15"/>
      <c r="I130" s="15"/>
      <c r="J130" s="15"/>
      <c r="K130" s="15"/>
      <c r="L130" s="15"/>
      <c r="M130" s="15"/>
      <c r="N130" s="15"/>
      <c r="O130" s="15"/>
      <c r="P130" s="15"/>
      <c r="Q130" s="15"/>
      <c r="R130" s="16" t="str">
        <f aca="false">IF(A130="","",IF(OR(B130="",C130="",D130=""),"SID, client, environment needed",IF(AND(K130="N",L130=""),"Rationale needed (not in scope)",IF(AND(O130="Validated",P130=""),"Evidence ref needed",IF(AND(O130&lt;&gt;"Validated",Q130=""),"Open question needed",IF(AND(J130="Y",D130="PRD",K130&lt;&gt;"Y"),"PRD financial system should be in scope","OK"))))))</f>
        <v/>
      </c>
    </row>
    <row r="131" customFormat="false" ht="15" hidden="false" customHeight="false" outlineLevel="0" collapsed="false">
      <c r="A131" s="15"/>
      <c r="B131" s="15"/>
      <c r="C131" s="15"/>
      <c r="D131" s="15"/>
      <c r="E131" s="15"/>
      <c r="F131" s="15"/>
      <c r="G131" s="15"/>
      <c r="H131" s="15"/>
      <c r="I131" s="15"/>
      <c r="J131" s="15"/>
      <c r="K131" s="15"/>
      <c r="L131" s="15"/>
      <c r="M131" s="15"/>
      <c r="N131" s="15"/>
      <c r="O131" s="15"/>
      <c r="P131" s="15"/>
      <c r="Q131" s="15"/>
      <c r="R131" s="16" t="str">
        <f aca="false">IF(A131="","",IF(OR(B131="",C131="",D131=""),"SID, client, environment needed",IF(AND(K131="N",L131=""),"Rationale needed (not in scope)",IF(AND(O131="Validated",P131=""),"Evidence ref needed",IF(AND(O131&lt;&gt;"Validated",Q131=""),"Open question needed",IF(AND(J131="Y",D131="PRD",K131&lt;&gt;"Y"),"PRD financial system should be in scope","OK"))))))</f>
        <v/>
      </c>
    </row>
    <row r="132" customFormat="false" ht="15" hidden="false" customHeight="false" outlineLevel="0" collapsed="false">
      <c r="A132" s="15"/>
      <c r="B132" s="15"/>
      <c r="C132" s="15"/>
      <c r="D132" s="15"/>
      <c r="E132" s="15"/>
      <c r="F132" s="15"/>
      <c r="G132" s="15"/>
      <c r="H132" s="15"/>
      <c r="I132" s="15"/>
      <c r="J132" s="15"/>
      <c r="K132" s="15"/>
      <c r="L132" s="15"/>
      <c r="M132" s="15"/>
      <c r="N132" s="15"/>
      <c r="O132" s="15"/>
      <c r="P132" s="15"/>
      <c r="Q132" s="15"/>
      <c r="R132" s="16" t="str">
        <f aca="false">IF(A132="","",IF(OR(B132="",C132="",D132=""),"SID, client, environment needed",IF(AND(K132="N",L132=""),"Rationale needed (not in scope)",IF(AND(O132="Validated",P132=""),"Evidence ref needed",IF(AND(O132&lt;&gt;"Validated",Q132=""),"Open question needed",IF(AND(J132="Y",D132="PRD",K132&lt;&gt;"Y"),"PRD financial system should be in scope","OK"))))))</f>
        <v/>
      </c>
    </row>
    <row r="133" customFormat="false" ht="15" hidden="false" customHeight="false" outlineLevel="0" collapsed="false">
      <c r="A133" s="15"/>
      <c r="B133" s="15"/>
      <c r="C133" s="15"/>
      <c r="D133" s="15"/>
      <c r="E133" s="15"/>
      <c r="F133" s="15"/>
      <c r="G133" s="15"/>
      <c r="H133" s="15"/>
      <c r="I133" s="15"/>
      <c r="J133" s="15"/>
      <c r="K133" s="15"/>
      <c r="L133" s="15"/>
      <c r="M133" s="15"/>
      <c r="N133" s="15"/>
      <c r="O133" s="15"/>
      <c r="P133" s="15"/>
      <c r="Q133" s="15"/>
      <c r="R133" s="16" t="str">
        <f aca="false">IF(A133="","",IF(OR(B133="",C133="",D133=""),"SID, client, environment needed",IF(AND(K133="N",L133=""),"Rationale needed (not in scope)",IF(AND(O133="Validated",P133=""),"Evidence ref needed",IF(AND(O133&lt;&gt;"Validated",Q133=""),"Open question needed",IF(AND(J133="Y",D133="PRD",K133&lt;&gt;"Y"),"PRD financial system should be in scope","OK"))))))</f>
        <v/>
      </c>
    </row>
    <row r="134" customFormat="false" ht="15" hidden="false" customHeight="false" outlineLevel="0" collapsed="false">
      <c r="A134" s="15"/>
      <c r="B134" s="15"/>
      <c r="C134" s="15"/>
      <c r="D134" s="15"/>
      <c r="E134" s="15"/>
      <c r="F134" s="15"/>
      <c r="G134" s="15"/>
      <c r="H134" s="15"/>
      <c r="I134" s="15"/>
      <c r="J134" s="15"/>
      <c r="K134" s="15"/>
      <c r="L134" s="15"/>
      <c r="M134" s="15"/>
      <c r="N134" s="15"/>
      <c r="O134" s="15"/>
      <c r="P134" s="15"/>
      <c r="Q134" s="15"/>
      <c r="R134" s="16" t="str">
        <f aca="false">IF(A134="","",IF(OR(B134="",C134="",D134=""),"SID, client, environment needed",IF(AND(K134="N",L134=""),"Rationale needed (not in scope)",IF(AND(O134="Validated",P134=""),"Evidence ref needed",IF(AND(O134&lt;&gt;"Validated",Q134=""),"Open question needed",IF(AND(J134="Y",D134="PRD",K134&lt;&gt;"Y"),"PRD financial system should be in scope","OK"))))))</f>
        <v/>
      </c>
    </row>
    <row r="135" customFormat="false" ht="15" hidden="false" customHeight="false" outlineLevel="0" collapsed="false">
      <c r="A135" s="15"/>
      <c r="B135" s="15"/>
      <c r="C135" s="15"/>
      <c r="D135" s="15"/>
      <c r="E135" s="15"/>
      <c r="F135" s="15"/>
      <c r="G135" s="15"/>
      <c r="H135" s="15"/>
      <c r="I135" s="15"/>
      <c r="J135" s="15"/>
      <c r="K135" s="15"/>
      <c r="L135" s="15"/>
      <c r="M135" s="15"/>
      <c r="N135" s="15"/>
      <c r="O135" s="15"/>
      <c r="P135" s="15"/>
      <c r="Q135" s="15"/>
      <c r="R135" s="16" t="str">
        <f aca="false">IF(A135="","",IF(OR(B135="",C135="",D135=""),"SID, client, environment needed",IF(AND(K135="N",L135=""),"Rationale needed (not in scope)",IF(AND(O135="Validated",P135=""),"Evidence ref needed",IF(AND(O135&lt;&gt;"Validated",Q135=""),"Open question needed",IF(AND(J135="Y",D135="PRD",K135&lt;&gt;"Y"),"PRD financial system should be in scope","OK"))))))</f>
        <v/>
      </c>
    </row>
    <row r="136" customFormat="false" ht="15" hidden="false" customHeight="false" outlineLevel="0" collapsed="false">
      <c r="A136" s="15"/>
      <c r="B136" s="15"/>
      <c r="C136" s="15"/>
      <c r="D136" s="15"/>
      <c r="E136" s="15"/>
      <c r="F136" s="15"/>
      <c r="G136" s="15"/>
      <c r="H136" s="15"/>
      <c r="I136" s="15"/>
      <c r="J136" s="15"/>
      <c r="K136" s="15"/>
      <c r="L136" s="15"/>
      <c r="M136" s="15"/>
      <c r="N136" s="15"/>
      <c r="O136" s="15"/>
      <c r="P136" s="15"/>
      <c r="Q136" s="15"/>
      <c r="R136" s="16" t="str">
        <f aca="false">IF(A136="","",IF(OR(B136="",C136="",D136=""),"SID, client, environment needed",IF(AND(K136="N",L136=""),"Rationale needed (not in scope)",IF(AND(O136="Validated",P136=""),"Evidence ref needed",IF(AND(O136&lt;&gt;"Validated",Q136=""),"Open question needed",IF(AND(J136="Y",D136="PRD",K136&lt;&gt;"Y"),"PRD financial system should be in scope","OK"))))))</f>
        <v/>
      </c>
    </row>
    <row r="137" customFormat="false" ht="15" hidden="false" customHeight="false" outlineLevel="0" collapsed="false">
      <c r="A137" s="15"/>
      <c r="B137" s="15"/>
      <c r="C137" s="15"/>
      <c r="D137" s="15"/>
      <c r="E137" s="15"/>
      <c r="F137" s="15"/>
      <c r="G137" s="15"/>
      <c r="H137" s="15"/>
      <c r="I137" s="15"/>
      <c r="J137" s="15"/>
      <c r="K137" s="15"/>
      <c r="L137" s="15"/>
      <c r="M137" s="15"/>
      <c r="N137" s="15"/>
      <c r="O137" s="15"/>
      <c r="P137" s="15"/>
      <c r="Q137" s="15"/>
      <c r="R137" s="16" t="str">
        <f aca="false">IF(A137="","",IF(OR(B137="",C137="",D137=""),"SID, client, environment needed",IF(AND(K137="N",L137=""),"Rationale needed (not in scope)",IF(AND(O137="Validated",P137=""),"Evidence ref needed",IF(AND(O137&lt;&gt;"Validated",Q137=""),"Open question needed",IF(AND(J137="Y",D137="PRD",K137&lt;&gt;"Y"),"PRD financial system should be in scope","OK"))))))</f>
        <v/>
      </c>
    </row>
    <row r="138" customFormat="false" ht="15" hidden="false" customHeight="false" outlineLevel="0" collapsed="false">
      <c r="A138" s="15"/>
      <c r="B138" s="15"/>
      <c r="C138" s="15"/>
      <c r="D138" s="15"/>
      <c r="E138" s="15"/>
      <c r="F138" s="15"/>
      <c r="G138" s="15"/>
      <c r="H138" s="15"/>
      <c r="I138" s="15"/>
      <c r="J138" s="15"/>
      <c r="K138" s="15"/>
      <c r="L138" s="15"/>
      <c r="M138" s="15"/>
      <c r="N138" s="15"/>
      <c r="O138" s="15"/>
      <c r="P138" s="15"/>
      <c r="Q138" s="15"/>
      <c r="R138" s="16" t="str">
        <f aca="false">IF(A138="","",IF(OR(B138="",C138="",D138=""),"SID, client, environment needed",IF(AND(K138="N",L138=""),"Rationale needed (not in scope)",IF(AND(O138="Validated",P138=""),"Evidence ref needed",IF(AND(O138&lt;&gt;"Validated",Q138=""),"Open question needed",IF(AND(J138="Y",D138="PRD",K138&lt;&gt;"Y"),"PRD financial system should be in scope","OK"))))))</f>
        <v/>
      </c>
    </row>
    <row r="139" customFormat="false" ht="15" hidden="false" customHeight="false" outlineLevel="0" collapsed="false">
      <c r="A139" s="15"/>
      <c r="B139" s="15"/>
      <c r="C139" s="15"/>
      <c r="D139" s="15"/>
      <c r="E139" s="15"/>
      <c r="F139" s="15"/>
      <c r="G139" s="15"/>
      <c r="H139" s="15"/>
      <c r="I139" s="15"/>
      <c r="J139" s="15"/>
      <c r="K139" s="15"/>
      <c r="L139" s="15"/>
      <c r="M139" s="15"/>
      <c r="N139" s="15"/>
      <c r="O139" s="15"/>
      <c r="P139" s="15"/>
      <c r="Q139" s="15"/>
      <c r="R139" s="16" t="str">
        <f aca="false">IF(A139="","",IF(OR(B139="",C139="",D139=""),"SID, client, environment needed",IF(AND(K139="N",L139=""),"Rationale needed (not in scope)",IF(AND(O139="Validated",P139=""),"Evidence ref needed",IF(AND(O139&lt;&gt;"Validated",Q139=""),"Open question needed",IF(AND(J139="Y",D139="PRD",K139&lt;&gt;"Y"),"PRD financial system should be in scope","OK"))))))</f>
        <v/>
      </c>
    </row>
    <row r="140" customFormat="false" ht="15" hidden="false" customHeight="false" outlineLevel="0" collapsed="false">
      <c r="A140" s="15"/>
      <c r="B140" s="15"/>
      <c r="C140" s="15"/>
      <c r="D140" s="15"/>
      <c r="E140" s="15"/>
      <c r="F140" s="15"/>
      <c r="G140" s="15"/>
      <c r="H140" s="15"/>
      <c r="I140" s="15"/>
      <c r="J140" s="15"/>
      <c r="K140" s="15"/>
      <c r="L140" s="15"/>
      <c r="M140" s="15"/>
      <c r="N140" s="15"/>
      <c r="O140" s="15"/>
      <c r="P140" s="15"/>
      <c r="Q140" s="15"/>
      <c r="R140" s="16" t="str">
        <f aca="false">IF(A140="","",IF(OR(B140="",C140="",D140=""),"SID, client, environment needed",IF(AND(K140="N",L140=""),"Rationale needed (not in scope)",IF(AND(O140="Validated",P140=""),"Evidence ref needed",IF(AND(O140&lt;&gt;"Validated",Q140=""),"Open question needed",IF(AND(J140="Y",D140="PRD",K140&lt;&gt;"Y"),"PRD financial system should be in scope","OK"))))))</f>
        <v/>
      </c>
    </row>
    <row r="141" customFormat="false" ht="15" hidden="false" customHeight="false" outlineLevel="0" collapsed="false">
      <c r="A141" s="15"/>
      <c r="B141" s="15"/>
      <c r="C141" s="15"/>
      <c r="D141" s="15"/>
      <c r="E141" s="15"/>
      <c r="F141" s="15"/>
      <c r="G141" s="15"/>
      <c r="H141" s="15"/>
      <c r="I141" s="15"/>
      <c r="J141" s="15"/>
      <c r="K141" s="15"/>
      <c r="L141" s="15"/>
      <c r="M141" s="15"/>
      <c r="N141" s="15"/>
      <c r="O141" s="15"/>
      <c r="P141" s="15"/>
      <c r="Q141" s="15"/>
      <c r="R141" s="16" t="str">
        <f aca="false">IF(A141="","",IF(OR(B141="",C141="",D141=""),"SID, client, environment needed",IF(AND(K141="N",L141=""),"Rationale needed (not in scope)",IF(AND(O141="Validated",P141=""),"Evidence ref needed",IF(AND(O141&lt;&gt;"Validated",Q141=""),"Open question needed",IF(AND(J141="Y",D141="PRD",K141&lt;&gt;"Y"),"PRD financial system should be in scope","OK"))))))</f>
        <v/>
      </c>
    </row>
    <row r="142" customFormat="false" ht="15" hidden="false" customHeight="false" outlineLevel="0" collapsed="false">
      <c r="A142" s="15"/>
      <c r="B142" s="15"/>
      <c r="C142" s="15"/>
      <c r="D142" s="15"/>
      <c r="E142" s="15"/>
      <c r="F142" s="15"/>
      <c r="G142" s="15"/>
      <c r="H142" s="15"/>
      <c r="I142" s="15"/>
      <c r="J142" s="15"/>
      <c r="K142" s="15"/>
      <c r="L142" s="15"/>
      <c r="M142" s="15"/>
      <c r="N142" s="15"/>
      <c r="O142" s="15"/>
      <c r="P142" s="15"/>
      <c r="Q142" s="15"/>
      <c r="R142" s="16" t="str">
        <f aca="false">IF(A142="","",IF(OR(B142="",C142="",D142=""),"SID, client, environment needed",IF(AND(K142="N",L142=""),"Rationale needed (not in scope)",IF(AND(O142="Validated",P142=""),"Evidence ref needed",IF(AND(O142&lt;&gt;"Validated",Q142=""),"Open question needed",IF(AND(J142="Y",D142="PRD",K142&lt;&gt;"Y"),"PRD financial system should be in scope","OK"))))))</f>
        <v/>
      </c>
    </row>
    <row r="143" customFormat="false" ht="15" hidden="false" customHeight="false" outlineLevel="0" collapsed="false">
      <c r="A143" s="15"/>
      <c r="B143" s="15"/>
      <c r="C143" s="15"/>
      <c r="D143" s="15"/>
      <c r="E143" s="15"/>
      <c r="F143" s="15"/>
      <c r="G143" s="15"/>
      <c r="H143" s="15"/>
      <c r="I143" s="15"/>
      <c r="J143" s="15"/>
      <c r="K143" s="15"/>
      <c r="L143" s="15"/>
      <c r="M143" s="15"/>
      <c r="N143" s="15"/>
      <c r="O143" s="15"/>
      <c r="P143" s="15"/>
      <c r="Q143" s="15"/>
      <c r="R143" s="16" t="str">
        <f aca="false">IF(A143="","",IF(OR(B143="",C143="",D143=""),"SID, client, environment needed",IF(AND(K143="N",L143=""),"Rationale needed (not in scope)",IF(AND(O143="Validated",P143=""),"Evidence ref needed",IF(AND(O143&lt;&gt;"Validated",Q143=""),"Open question needed",IF(AND(J143="Y",D143="PRD",K143&lt;&gt;"Y"),"PRD financial system should be in scope","OK"))))))</f>
        <v/>
      </c>
    </row>
    <row r="144" customFormat="false" ht="15" hidden="false" customHeight="false" outlineLevel="0" collapsed="false">
      <c r="A144" s="15"/>
      <c r="B144" s="15"/>
      <c r="C144" s="15"/>
      <c r="D144" s="15"/>
      <c r="E144" s="15"/>
      <c r="F144" s="15"/>
      <c r="G144" s="15"/>
      <c r="H144" s="15"/>
      <c r="I144" s="15"/>
      <c r="J144" s="15"/>
      <c r="K144" s="15"/>
      <c r="L144" s="15"/>
      <c r="M144" s="15"/>
      <c r="N144" s="15"/>
      <c r="O144" s="15"/>
      <c r="P144" s="15"/>
      <c r="Q144" s="15"/>
      <c r="R144" s="16" t="str">
        <f aca="false">IF(A144="","",IF(OR(B144="",C144="",D144=""),"SID, client, environment needed",IF(AND(K144="N",L144=""),"Rationale needed (not in scope)",IF(AND(O144="Validated",P144=""),"Evidence ref needed",IF(AND(O144&lt;&gt;"Validated",Q144=""),"Open question needed",IF(AND(J144="Y",D144="PRD",K144&lt;&gt;"Y"),"PRD financial system should be in scope","OK"))))))</f>
        <v/>
      </c>
    </row>
    <row r="145" customFormat="false" ht="15" hidden="false" customHeight="false" outlineLevel="0" collapsed="false">
      <c r="A145" s="15"/>
      <c r="B145" s="15"/>
      <c r="C145" s="15"/>
      <c r="D145" s="15"/>
      <c r="E145" s="15"/>
      <c r="F145" s="15"/>
      <c r="G145" s="15"/>
      <c r="H145" s="15"/>
      <c r="I145" s="15"/>
      <c r="J145" s="15"/>
      <c r="K145" s="15"/>
      <c r="L145" s="15"/>
      <c r="M145" s="15"/>
      <c r="N145" s="15"/>
      <c r="O145" s="15"/>
      <c r="P145" s="15"/>
      <c r="Q145" s="15"/>
      <c r="R145" s="16" t="str">
        <f aca="false">IF(A145="","",IF(OR(B145="",C145="",D145=""),"SID, client, environment needed",IF(AND(K145="N",L145=""),"Rationale needed (not in scope)",IF(AND(O145="Validated",P145=""),"Evidence ref needed",IF(AND(O145&lt;&gt;"Validated",Q145=""),"Open question needed",IF(AND(J145="Y",D145="PRD",K145&lt;&gt;"Y"),"PRD financial system should be in scope","OK"))))))</f>
        <v/>
      </c>
    </row>
    <row r="146" customFormat="false" ht="15" hidden="false" customHeight="false" outlineLevel="0" collapsed="false">
      <c r="A146" s="15"/>
      <c r="B146" s="15"/>
      <c r="C146" s="15"/>
      <c r="D146" s="15"/>
      <c r="E146" s="15"/>
      <c r="F146" s="15"/>
      <c r="G146" s="15"/>
      <c r="H146" s="15"/>
      <c r="I146" s="15"/>
      <c r="J146" s="15"/>
      <c r="K146" s="15"/>
      <c r="L146" s="15"/>
      <c r="M146" s="15"/>
      <c r="N146" s="15"/>
      <c r="O146" s="15"/>
      <c r="P146" s="15"/>
      <c r="Q146" s="15"/>
      <c r="R146" s="16" t="str">
        <f aca="false">IF(A146="","",IF(OR(B146="",C146="",D146=""),"SID, client, environment needed",IF(AND(K146="N",L146=""),"Rationale needed (not in scope)",IF(AND(O146="Validated",P146=""),"Evidence ref needed",IF(AND(O146&lt;&gt;"Validated",Q146=""),"Open question needed",IF(AND(J146="Y",D146="PRD",K146&lt;&gt;"Y"),"PRD financial system should be in scope","OK"))))))</f>
        <v/>
      </c>
    </row>
    <row r="147" customFormat="false" ht="15" hidden="false" customHeight="false" outlineLevel="0" collapsed="false">
      <c r="A147" s="15"/>
      <c r="B147" s="15"/>
      <c r="C147" s="15"/>
      <c r="D147" s="15"/>
      <c r="E147" s="15"/>
      <c r="F147" s="15"/>
      <c r="G147" s="15"/>
      <c r="H147" s="15"/>
      <c r="I147" s="15"/>
      <c r="J147" s="15"/>
      <c r="K147" s="15"/>
      <c r="L147" s="15"/>
      <c r="M147" s="15"/>
      <c r="N147" s="15"/>
      <c r="O147" s="15"/>
      <c r="P147" s="15"/>
      <c r="Q147" s="15"/>
      <c r="R147" s="16" t="str">
        <f aca="false">IF(A147="","",IF(OR(B147="",C147="",D147=""),"SID, client, environment needed",IF(AND(K147="N",L147=""),"Rationale needed (not in scope)",IF(AND(O147="Validated",P147=""),"Evidence ref needed",IF(AND(O147&lt;&gt;"Validated",Q147=""),"Open question needed",IF(AND(J147="Y",D147="PRD",K147&lt;&gt;"Y"),"PRD financial system should be in scope","OK"))))))</f>
        <v/>
      </c>
    </row>
    <row r="148" customFormat="false" ht="15" hidden="false" customHeight="false" outlineLevel="0" collapsed="false">
      <c r="A148" s="15"/>
      <c r="B148" s="15"/>
      <c r="C148" s="15"/>
      <c r="D148" s="15"/>
      <c r="E148" s="15"/>
      <c r="F148" s="15"/>
      <c r="G148" s="15"/>
      <c r="H148" s="15"/>
      <c r="I148" s="15"/>
      <c r="J148" s="15"/>
      <c r="K148" s="15"/>
      <c r="L148" s="15"/>
      <c r="M148" s="15"/>
      <c r="N148" s="15"/>
      <c r="O148" s="15"/>
      <c r="P148" s="15"/>
      <c r="Q148" s="15"/>
      <c r="R148" s="16" t="str">
        <f aca="false">IF(A148="","",IF(OR(B148="",C148="",D148=""),"SID, client, environment needed",IF(AND(K148="N",L148=""),"Rationale needed (not in scope)",IF(AND(O148="Validated",P148=""),"Evidence ref needed",IF(AND(O148&lt;&gt;"Validated",Q148=""),"Open question needed",IF(AND(J148="Y",D148="PRD",K148&lt;&gt;"Y"),"PRD financial system should be in scope","OK"))))))</f>
        <v/>
      </c>
    </row>
    <row r="149" customFormat="false" ht="15" hidden="false" customHeight="false" outlineLevel="0" collapsed="false">
      <c r="A149" s="15"/>
      <c r="B149" s="15"/>
      <c r="C149" s="15"/>
      <c r="D149" s="15"/>
      <c r="E149" s="15"/>
      <c r="F149" s="15"/>
      <c r="G149" s="15"/>
      <c r="H149" s="15"/>
      <c r="I149" s="15"/>
      <c r="J149" s="15"/>
      <c r="K149" s="15"/>
      <c r="L149" s="15"/>
      <c r="M149" s="15"/>
      <c r="N149" s="15"/>
      <c r="O149" s="15"/>
      <c r="P149" s="15"/>
      <c r="Q149" s="15"/>
      <c r="R149" s="16" t="str">
        <f aca="false">IF(A149="","",IF(OR(B149="",C149="",D149=""),"SID, client, environment needed",IF(AND(K149="N",L149=""),"Rationale needed (not in scope)",IF(AND(O149="Validated",P149=""),"Evidence ref needed",IF(AND(O149&lt;&gt;"Validated",Q149=""),"Open question needed",IF(AND(J149="Y",D149="PRD",K149&lt;&gt;"Y"),"PRD financial system should be in scope","OK"))))))</f>
        <v/>
      </c>
    </row>
    <row r="150" customFormat="false" ht="15" hidden="false" customHeight="false" outlineLevel="0" collapsed="false">
      <c r="A150" s="15"/>
      <c r="B150" s="15"/>
      <c r="C150" s="15"/>
      <c r="D150" s="15"/>
      <c r="E150" s="15"/>
      <c r="F150" s="15"/>
      <c r="G150" s="15"/>
      <c r="H150" s="15"/>
      <c r="I150" s="15"/>
      <c r="J150" s="15"/>
      <c r="K150" s="15"/>
      <c r="L150" s="15"/>
      <c r="M150" s="15"/>
      <c r="N150" s="15"/>
      <c r="O150" s="15"/>
      <c r="P150" s="15"/>
      <c r="Q150" s="15"/>
      <c r="R150" s="16" t="str">
        <f aca="false">IF(A150="","",IF(OR(B150="",C150="",D150=""),"SID, client, environment needed",IF(AND(K150="N",L150=""),"Rationale needed (not in scope)",IF(AND(O150="Validated",P150=""),"Evidence ref needed",IF(AND(O150&lt;&gt;"Validated",Q150=""),"Open question needed",IF(AND(J150="Y",D150="PRD",K150&lt;&gt;"Y"),"PRD financial system should be in scope","OK"))))))</f>
        <v/>
      </c>
    </row>
    <row r="151" customFormat="false" ht="15" hidden="false" customHeight="false" outlineLevel="0" collapsed="false">
      <c r="A151" s="15"/>
      <c r="B151" s="15"/>
      <c r="C151" s="15"/>
      <c r="D151" s="15"/>
      <c r="E151" s="15"/>
      <c r="F151" s="15"/>
      <c r="G151" s="15"/>
      <c r="H151" s="15"/>
      <c r="I151" s="15"/>
      <c r="J151" s="15"/>
      <c r="K151" s="15"/>
      <c r="L151" s="15"/>
      <c r="M151" s="15"/>
      <c r="N151" s="15"/>
      <c r="O151" s="15"/>
      <c r="P151" s="15"/>
      <c r="Q151" s="15"/>
      <c r="R151" s="16" t="str">
        <f aca="false">IF(A151="","",IF(OR(B151="",C151="",D151=""),"SID, client, environment needed",IF(AND(K151="N",L151=""),"Rationale needed (not in scope)",IF(AND(O151="Validated",P151=""),"Evidence ref needed",IF(AND(O151&lt;&gt;"Validated",Q151=""),"Open question needed",IF(AND(J151="Y",D151="PRD",K151&lt;&gt;"Y"),"PRD financial system should be in scope","OK"))))))</f>
        <v/>
      </c>
    </row>
    <row r="152" customFormat="false" ht="15" hidden="false" customHeight="false" outlineLevel="0" collapsed="false">
      <c r="A152" s="15"/>
      <c r="B152" s="15"/>
      <c r="C152" s="15"/>
      <c r="D152" s="15"/>
      <c r="E152" s="15"/>
      <c r="F152" s="15"/>
      <c r="G152" s="15"/>
      <c r="H152" s="15"/>
      <c r="I152" s="15"/>
      <c r="J152" s="15"/>
      <c r="K152" s="15"/>
      <c r="L152" s="15"/>
      <c r="M152" s="15"/>
      <c r="N152" s="15"/>
      <c r="O152" s="15"/>
      <c r="P152" s="15"/>
      <c r="Q152" s="15"/>
      <c r="R152" s="16" t="str">
        <f aca="false">IF(A152="","",IF(OR(B152="",C152="",D152=""),"SID, client, environment needed",IF(AND(K152="N",L152=""),"Rationale needed (not in scope)",IF(AND(O152="Validated",P152=""),"Evidence ref needed",IF(AND(O152&lt;&gt;"Validated",Q152=""),"Open question needed",IF(AND(J152="Y",D152="PRD",K152&lt;&gt;"Y"),"PRD financial system should be in scope","OK"))))))</f>
        <v/>
      </c>
    </row>
    <row r="153" customFormat="false" ht="15" hidden="false" customHeight="false" outlineLevel="0" collapsed="false">
      <c r="A153" s="15"/>
      <c r="B153" s="15"/>
      <c r="C153" s="15"/>
      <c r="D153" s="15"/>
      <c r="E153" s="15"/>
      <c r="F153" s="15"/>
      <c r="G153" s="15"/>
      <c r="H153" s="15"/>
      <c r="I153" s="15"/>
      <c r="J153" s="15"/>
      <c r="K153" s="15"/>
      <c r="L153" s="15"/>
      <c r="M153" s="15"/>
      <c r="N153" s="15"/>
      <c r="O153" s="15"/>
      <c r="P153" s="15"/>
      <c r="Q153" s="15"/>
      <c r="R153" s="16" t="str">
        <f aca="false">IF(A153="","",IF(OR(B153="",C153="",D153=""),"SID, client, environment needed",IF(AND(K153="N",L153=""),"Rationale needed (not in scope)",IF(AND(O153="Validated",P153=""),"Evidence ref needed",IF(AND(O153&lt;&gt;"Validated",Q153=""),"Open question needed",IF(AND(J153="Y",D153="PRD",K153&lt;&gt;"Y"),"PRD financial system should be in scope","OK"))))))</f>
        <v/>
      </c>
    </row>
    <row r="154" customFormat="false" ht="15" hidden="false" customHeight="false" outlineLevel="0" collapsed="false">
      <c r="A154" s="15"/>
      <c r="B154" s="15"/>
      <c r="C154" s="15"/>
      <c r="D154" s="15"/>
      <c r="E154" s="15"/>
      <c r="F154" s="15"/>
      <c r="G154" s="15"/>
      <c r="H154" s="15"/>
      <c r="I154" s="15"/>
      <c r="J154" s="15"/>
      <c r="K154" s="15"/>
      <c r="L154" s="15"/>
      <c r="M154" s="15"/>
      <c r="N154" s="15"/>
      <c r="O154" s="15"/>
      <c r="P154" s="15"/>
      <c r="Q154" s="15"/>
      <c r="R154" s="16" t="str">
        <f aca="false">IF(A154="","",IF(OR(B154="",C154="",D154=""),"SID, client, environment needed",IF(AND(K154="N",L154=""),"Rationale needed (not in scope)",IF(AND(O154="Validated",P154=""),"Evidence ref needed",IF(AND(O154&lt;&gt;"Validated",Q154=""),"Open question needed",IF(AND(J154="Y",D154="PRD",K154&lt;&gt;"Y"),"PRD financial system should be in scope","OK"))))))</f>
        <v/>
      </c>
    </row>
    <row r="155" customFormat="false" ht="15" hidden="false" customHeight="false" outlineLevel="0" collapsed="false">
      <c r="A155" s="15"/>
      <c r="B155" s="15"/>
      <c r="C155" s="15"/>
      <c r="D155" s="15"/>
      <c r="E155" s="15"/>
      <c r="F155" s="15"/>
      <c r="G155" s="15"/>
      <c r="H155" s="15"/>
      <c r="I155" s="15"/>
      <c r="J155" s="15"/>
      <c r="K155" s="15"/>
      <c r="L155" s="15"/>
      <c r="M155" s="15"/>
      <c r="N155" s="15"/>
      <c r="O155" s="15"/>
      <c r="P155" s="15"/>
      <c r="Q155" s="15"/>
      <c r="R155" s="16" t="str">
        <f aca="false">IF(A155="","",IF(OR(B155="",C155="",D155=""),"SID, client, environment needed",IF(AND(K155="N",L155=""),"Rationale needed (not in scope)",IF(AND(O155="Validated",P155=""),"Evidence ref needed",IF(AND(O155&lt;&gt;"Validated",Q155=""),"Open question needed",IF(AND(J155="Y",D155="PRD",K155&lt;&gt;"Y"),"PRD financial system should be in scope","OK"))))))</f>
        <v/>
      </c>
    </row>
    <row r="156" customFormat="false" ht="15" hidden="false" customHeight="false" outlineLevel="0" collapsed="false">
      <c r="A156" s="15"/>
      <c r="B156" s="15"/>
      <c r="C156" s="15"/>
      <c r="D156" s="15"/>
      <c r="E156" s="15"/>
      <c r="F156" s="15"/>
      <c r="G156" s="15"/>
      <c r="H156" s="15"/>
      <c r="I156" s="15"/>
      <c r="J156" s="15"/>
      <c r="K156" s="15"/>
      <c r="L156" s="15"/>
      <c r="M156" s="15"/>
      <c r="N156" s="15"/>
      <c r="O156" s="15"/>
      <c r="P156" s="15"/>
      <c r="Q156" s="15"/>
      <c r="R156" s="16" t="str">
        <f aca="false">IF(A156="","",IF(OR(B156="",C156="",D156=""),"SID, client, environment needed",IF(AND(K156="N",L156=""),"Rationale needed (not in scope)",IF(AND(O156="Validated",P156=""),"Evidence ref needed",IF(AND(O156&lt;&gt;"Validated",Q156=""),"Open question needed",IF(AND(J156="Y",D156="PRD",K156&lt;&gt;"Y"),"PRD financial system should be in scope","OK"))))))</f>
        <v/>
      </c>
    </row>
    <row r="157" customFormat="false" ht="15" hidden="false" customHeight="false" outlineLevel="0" collapsed="false">
      <c r="A157" s="15"/>
      <c r="B157" s="15"/>
      <c r="C157" s="15"/>
      <c r="D157" s="15"/>
      <c r="E157" s="15"/>
      <c r="F157" s="15"/>
      <c r="G157" s="15"/>
      <c r="H157" s="15"/>
      <c r="I157" s="15"/>
      <c r="J157" s="15"/>
      <c r="K157" s="15"/>
      <c r="L157" s="15"/>
      <c r="M157" s="15"/>
      <c r="N157" s="15"/>
      <c r="O157" s="15"/>
      <c r="P157" s="15"/>
      <c r="Q157" s="15"/>
      <c r="R157" s="16" t="str">
        <f aca="false">IF(A157="","",IF(OR(B157="",C157="",D157=""),"SID, client, environment needed",IF(AND(K157="N",L157=""),"Rationale needed (not in scope)",IF(AND(O157="Validated",P157=""),"Evidence ref needed",IF(AND(O157&lt;&gt;"Validated",Q157=""),"Open question needed",IF(AND(J157="Y",D157="PRD",K157&lt;&gt;"Y"),"PRD financial system should be in scope","OK"))))))</f>
        <v/>
      </c>
    </row>
    <row r="158" customFormat="false" ht="15" hidden="false" customHeight="false" outlineLevel="0" collapsed="false">
      <c r="A158" s="15"/>
      <c r="B158" s="15"/>
      <c r="C158" s="15"/>
      <c r="D158" s="15"/>
      <c r="E158" s="15"/>
      <c r="F158" s="15"/>
      <c r="G158" s="15"/>
      <c r="H158" s="15"/>
      <c r="I158" s="15"/>
      <c r="J158" s="15"/>
      <c r="K158" s="15"/>
      <c r="L158" s="15"/>
      <c r="M158" s="15"/>
      <c r="N158" s="15"/>
      <c r="O158" s="15"/>
      <c r="P158" s="15"/>
      <c r="Q158" s="15"/>
      <c r="R158" s="16" t="str">
        <f aca="false">IF(A158="","",IF(OR(B158="",C158="",D158=""),"SID, client, environment needed",IF(AND(K158="N",L158=""),"Rationale needed (not in scope)",IF(AND(O158="Validated",P158=""),"Evidence ref needed",IF(AND(O158&lt;&gt;"Validated",Q158=""),"Open question needed",IF(AND(J158="Y",D158="PRD",K158&lt;&gt;"Y"),"PRD financial system should be in scope","OK"))))))</f>
        <v/>
      </c>
    </row>
    <row r="159" customFormat="false" ht="15" hidden="false" customHeight="false" outlineLevel="0" collapsed="false">
      <c r="A159" s="15"/>
      <c r="B159" s="15"/>
      <c r="C159" s="15"/>
      <c r="D159" s="15"/>
      <c r="E159" s="15"/>
      <c r="F159" s="15"/>
      <c r="G159" s="15"/>
      <c r="H159" s="15"/>
      <c r="I159" s="15"/>
      <c r="J159" s="15"/>
      <c r="K159" s="15"/>
      <c r="L159" s="15"/>
      <c r="M159" s="15"/>
      <c r="N159" s="15"/>
      <c r="O159" s="15"/>
      <c r="P159" s="15"/>
      <c r="Q159" s="15"/>
      <c r="R159" s="16" t="str">
        <f aca="false">IF(A159="","",IF(OR(B159="",C159="",D159=""),"SID, client, environment needed",IF(AND(K159="N",L159=""),"Rationale needed (not in scope)",IF(AND(O159="Validated",P159=""),"Evidence ref needed",IF(AND(O159&lt;&gt;"Validated",Q159=""),"Open question needed",IF(AND(J159="Y",D159="PRD",K159&lt;&gt;"Y"),"PRD financial system should be in scope","OK"))))))</f>
        <v/>
      </c>
    </row>
    <row r="160" customFormat="false" ht="15" hidden="false" customHeight="false" outlineLevel="0" collapsed="false">
      <c r="A160" s="15"/>
      <c r="B160" s="15"/>
      <c r="C160" s="15"/>
      <c r="D160" s="15"/>
      <c r="E160" s="15"/>
      <c r="F160" s="15"/>
      <c r="G160" s="15"/>
      <c r="H160" s="15"/>
      <c r="I160" s="15"/>
      <c r="J160" s="15"/>
      <c r="K160" s="15"/>
      <c r="L160" s="15"/>
      <c r="M160" s="15"/>
      <c r="N160" s="15"/>
      <c r="O160" s="15"/>
      <c r="P160" s="15"/>
      <c r="Q160" s="15"/>
      <c r="R160" s="16" t="str">
        <f aca="false">IF(A160="","",IF(OR(B160="",C160="",D160=""),"SID, client, environment needed",IF(AND(K160="N",L160=""),"Rationale needed (not in scope)",IF(AND(O160="Validated",P160=""),"Evidence ref needed",IF(AND(O160&lt;&gt;"Validated",Q160=""),"Open question needed",IF(AND(J160="Y",D160="PRD",K160&lt;&gt;"Y"),"PRD financial system should be in scope","OK"))))))</f>
        <v/>
      </c>
    </row>
    <row r="161" customFormat="false" ht="15" hidden="false" customHeight="false" outlineLevel="0" collapsed="false">
      <c r="A161" s="15"/>
      <c r="B161" s="15"/>
      <c r="C161" s="15"/>
      <c r="D161" s="15"/>
      <c r="E161" s="15"/>
      <c r="F161" s="15"/>
      <c r="G161" s="15"/>
      <c r="H161" s="15"/>
      <c r="I161" s="15"/>
      <c r="J161" s="15"/>
      <c r="K161" s="15"/>
      <c r="L161" s="15"/>
      <c r="M161" s="15"/>
      <c r="N161" s="15"/>
      <c r="O161" s="15"/>
      <c r="P161" s="15"/>
      <c r="Q161" s="15"/>
      <c r="R161" s="16" t="str">
        <f aca="false">IF(A161="","",IF(OR(B161="",C161="",D161=""),"SID, client, environment needed",IF(AND(K161="N",L161=""),"Rationale needed (not in scope)",IF(AND(O161="Validated",P161=""),"Evidence ref needed",IF(AND(O161&lt;&gt;"Validated",Q161=""),"Open question needed",IF(AND(J161="Y",D161="PRD",K161&lt;&gt;"Y"),"PRD financial system should be in scope","OK"))))))</f>
        <v/>
      </c>
    </row>
    <row r="162" customFormat="false" ht="15" hidden="false" customHeight="false" outlineLevel="0" collapsed="false">
      <c r="A162" s="15"/>
      <c r="B162" s="15"/>
      <c r="C162" s="15"/>
      <c r="D162" s="15"/>
      <c r="E162" s="15"/>
      <c r="F162" s="15"/>
      <c r="G162" s="15"/>
      <c r="H162" s="15"/>
      <c r="I162" s="15"/>
      <c r="J162" s="15"/>
      <c r="K162" s="15"/>
      <c r="L162" s="15"/>
      <c r="M162" s="15"/>
      <c r="N162" s="15"/>
      <c r="O162" s="15"/>
      <c r="P162" s="15"/>
      <c r="Q162" s="15"/>
      <c r="R162" s="16" t="str">
        <f aca="false">IF(A162="","",IF(OR(B162="",C162="",D162=""),"SID, client, environment needed",IF(AND(K162="N",L162=""),"Rationale needed (not in scope)",IF(AND(O162="Validated",P162=""),"Evidence ref needed",IF(AND(O162&lt;&gt;"Validated",Q162=""),"Open question needed",IF(AND(J162="Y",D162="PRD",K162&lt;&gt;"Y"),"PRD financial system should be in scope","OK"))))))</f>
        <v/>
      </c>
    </row>
    <row r="163" customFormat="false" ht="15" hidden="false" customHeight="false" outlineLevel="0" collapsed="false">
      <c r="A163" s="15"/>
      <c r="B163" s="15"/>
      <c r="C163" s="15"/>
      <c r="D163" s="15"/>
      <c r="E163" s="15"/>
      <c r="F163" s="15"/>
      <c r="G163" s="15"/>
      <c r="H163" s="15"/>
      <c r="I163" s="15"/>
      <c r="J163" s="15"/>
      <c r="K163" s="15"/>
      <c r="L163" s="15"/>
      <c r="M163" s="15"/>
      <c r="N163" s="15"/>
      <c r="O163" s="15"/>
      <c r="P163" s="15"/>
      <c r="Q163" s="15"/>
      <c r="R163" s="16" t="str">
        <f aca="false">IF(A163="","",IF(OR(B163="",C163="",D163=""),"SID, client, environment needed",IF(AND(K163="N",L163=""),"Rationale needed (not in scope)",IF(AND(O163="Validated",P163=""),"Evidence ref needed",IF(AND(O163&lt;&gt;"Validated",Q163=""),"Open question needed",IF(AND(J163="Y",D163="PRD",K163&lt;&gt;"Y"),"PRD financial system should be in scope","OK"))))))</f>
        <v/>
      </c>
    </row>
    <row r="164" customFormat="false" ht="15" hidden="false" customHeight="false" outlineLevel="0" collapsed="false">
      <c r="A164" s="15"/>
      <c r="B164" s="15"/>
      <c r="C164" s="15"/>
      <c r="D164" s="15"/>
      <c r="E164" s="15"/>
      <c r="F164" s="15"/>
      <c r="G164" s="15"/>
      <c r="H164" s="15"/>
      <c r="I164" s="15"/>
      <c r="J164" s="15"/>
      <c r="K164" s="15"/>
      <c r="L164" s="15"/>
      <c r="M164" s="15"/>
      <c r="N164" s="15"/>
      <c r="O164" s="15"/>
      <c r="P164" s="15"/>
      <c r="Q164" s="15"/>
      <c r="R164" s="16" t="str">
        <f aca="false">IF(A164="","",IF(OR(B164="",C164="",D164=""),"SID, client, environment needed",IF(AND(K164="N",L164=""),"Rationale needed (not in scope)",IF(AND(O164="Validated",P164=""),"Evidence ref needed",IF(AND(O164&lt;&gt;"Validated",Q164=""),"Open question needed",IF(AND(J164="Y",D164="PRD",K164&lt;&gt;"Y"),"PRD financial system should be in scope","OK"))))))</f>
        <v/>
      </c>
    </row>
    <row r="165" customFormat="false" ht="15" hidden="false" customHeight="false" outlineLevel="0" collapsed="false">
      <c r="A165" s="15"/>
      <c r="B165" s="15"/>
      <c r="C165" s="15"/>
      <c r="D165" s="15"/>
      <c r="E165" s="15"/>
      <c r="F165" s="15"/>
      <c r="G165" s="15"/>
      <c r="H165" s="15"/>
      <c r="I165" s="15"/>
      <c r="J165" s="15"/>
      <c r="K165" s="15"/>
      <c r="L165" s="15"/>
      <c r="M165" s="15"/>
      <c r="N165" s="15"/>
      <c r="O165" s="15"/>
      <c r="P165" s="15"/>
      <c r="Q165" s="15"/>
      <c r="R165" s="16" t="str">
        <f aca="false">IF(A165="","",IF(OR(B165="",C165="",D165=""),"SID, client, environment needed",IF(AND(K165="N",L165=""),"Rationale needed (not in scope)",IF(AND(O165="Validated",P165=""),"Evidence ref needed",IF(AND(O165&lt;&gt;"Validated",Q165=""),"Open question needed",IF(AND(J165="Y",D165="PRD",K165&lt;&gt;"Y"),"PRD financial system should be in scope","OK"))))))</f>
        <v/>
      </c>
    </row>
    <row r="166" customFormat="false" ht="15" hidden="false" customHeight="false" outlineLevel="0" collapsed="false">
      <c r="A166" s="15"/>
      <c r="B166" s="15"/>
      <c r="C166" s="15"/>
      <c r="D166" s="15"/>
      <c r="E166" s="15"/>
      <c r="F166" s="15"/>
      <c r="G166" s="15"/>
      <c r="H166" s="15"/>
      <c r="I166" s="15"/>
      <c r="J166" s="15"/>
      <c r="K166" s="15"/>
      <c r="L166" s="15"/>
      <c r="M166" s="15"/>
      <c r="N166" s="15"/>
      <c r="O166" s="15"/>
      <c r="P166" s="15"/>
      <c r="Q166" s="15"/>
      <c r="R166" s="16" t="str">
        <f aca="false">IF(A166="","",IF(OR(B166="",C166="",D166=""),"SID, client, environment needed",IF(AND(K166="N",L166=""),"Rationale needed (not in scope)",IF(AND(O166="Validated",P166=""),"Evidence ref needed",IF(AND(O166&lt;&gt;"Validated",Q166=""),"Open question needed",IF(AND(J166="Y",D166="PRD",K166&lt;&gt;"Y"),"PRD financial system should be in scope","OK"))))))</f>
        <v/>
      </c>
    </row>
    <row r="167" customFormat="false" ht="15" hidden="false" customHeight="false" outlineLevel="0" collapsed="false">
      <c r="A167" s="15"/>
      <c r="B167" s="15"/>
      <c r="C167" s="15"/>
      <c r="D167" s="15"/>
      <c r="E167" s="15"/>
      <c r="F167" s="15"/>
      <c r="G167" s="15"/>
      <c r="H167" s="15"/>
      <c r="I167" s="15"/>
      <c r="J167" s="15"/>
      <c r="K167" s="15"/>
      <c r="L167" s="15"/>
      <c r="M167" s="15"/>
      <c r="N167" s="15"/>
      <c r="O167" s="15"/>
      <c r="P167" s="15"/>
      <c r="Q167" s="15"/>
      <c r="R167" s="16" t="str">
        <f aca="false">IF(A167="","",IF(OR(B167="",C167="",D167=""),"SID, client, environment needed",IF(AND(K167="N",L167=""),"Rationale needed (not in scope)",IF(AND(O167="Validated",P167=""),"Evidence ref needed",IF(AND(O167&lt;&gt;"Validated",Q167=""),"Open question needed",IF(AND(J167="Y",D167="PRD",K167&lt;&gt;"Y"),"PRD financial system should be in scope","OK"))))))</f>
        <v/>
      </c>
    </row>
    <row r="168" customFormat="false" ht="15" hidden="false" customHeight="false" outlineLevel="0" collapsed="false">
      <c r="A168" s="15"/>
      <c r="B168" s="15"/>
      <c r="C168" s="15"/>
      <c r="D168" s="15"/>
      <c r="E168" s="15"/>
      <c r="F168" s="15"/>
      <c r="G168" s="15"/>
      <c r="H168" s="15"/>
      <c r="I168" s="15"/>
      <c r="J168" s="15"/>
      <c r="K168" s="15"/>
      <c r="L168" s="15"/>
      <c r="M168" s="15"/>
      <c r="N168" s="15"/>
      <c r="O168" s="15"/>
      <c r="P168" s="15"/>
      <c r="Q168" s="15"/>
      <c r="R168" s="16" t="str">
        <f aca="false">IF(A168="","",IF(OR(B168="",C168="",D168=""),"SID, client, environment needed",IF(AND(K168="N",L168=""),"Rationale needed (not in scope)",IF(AND(O168="Validated",P168=""),"Evidence ref needed",IF(AND(O168&lt;&gt;"Validated",Q168=""),"Open question needed",IF(AND(J168="Y",D168="PRD",K168&lt;&gt;"Y"),"PRD financial system should be in scope","OK"))))))</f>
        <v/>
      </c>
    </row>
    <row r="169" customFormat="false" ht="15" hidden="false" customHeight="false" outlineLevel="0" collapsed="false">
      <c r="A169" s="15"/>
      <c r="B169" s="15"/>
      <c r="C169" s="15"/>
      <c r="D169" s="15"/>
      <c r="E169" s="15"/>
      <c r="F169" s="15"/>
      <c r="G169" s="15"/>
      <c r="H169" s="15"/>
      <c r="I169" s="15"/>
      <c r="J169" s="15"/>
      <c r="K169" s="15"/>
      <c r="L169" s="15"/>
      <c r="M169" s="15"/>
      <c r="N169" s="15"/>
      <c r="O169" s="15"/>
      <c r="P169" s="15"/>
      <c r="Q169" s="15"/>
      <c r="R169" s="16" t="str">
        <f aca="false">IF(A169="","",IF(OR(B169="",C169="",D169=""),"SID, client, environment needed",IF(AND(K169="N",L169=""),"Rationale needed (not in scope)",IF(AND(O169="Validated",P169=""),"Evidence ref needed",IF(AND(O169&lt;&gt;"Validated",Q169=""),"Open question needed",IF(AND(J169="Y",D169="PRD",K169&lt;&gt;"Y"),"PRD financial system should be in scope","OK"))))))</f>
        <v/>
      </c>
    </row>
    <row r="170" customFormat="false" ht="15" hidden="false" customHeight="false" outlineLevel="0" collapsed="false">
      <c r="A170" s="15"/>
      <c r="B170" s="15"/>
      <c r="C170" s="15"/>
      <c r="D170" s="15"/>
      <c r="E170" s="15"/>
      <c r="F170" s="15"/>
      <c r="G170" s="15"/>
      <c r="H170" s="15"/>
      <c r="I170" s="15"/>
      <c r="J170" s="15"/>
      <c r="K170" s="15"/>
      <c r="L170" s="15"/>
      <c r="M170" s="15"/>
      <c r="N170" s="15"/>
      <c r="O170" s="15"/>
      <c r="P170" s="15"/>
      <c r="Q170" s="15"/>
      <c r="R170" s="16" t="str">
        <f aca="false">IF(A170="","",IF(OR(B170="",C170="",D170=""),"SID, client, environment needed",IF(AND(K170="N",L170=""),"Rationale needed (not in scope)",IF(AND(O170="Validated",P170=""),"Evidence ref needed",IF(AND(O170&lt;&gt;"Validated",Q170=""),"Open question needed",IF(AND(J170="Y",D170="PRD",K170&lt;&gt;"Y"),"PRD financial system should be in scope","OK"))))))</f>
        <v/>
      </c>
    </row>
    <row r="171" customFormat="false" ht="15" hidden="false" customHeight="false" outlineLevel="0" collapsed="false">
      <c r="A171" s="15"/>
      <c r="B171" s="15"/>
      <c r="C171" s="15"/>
      <c r="D171" s="15"/>
      <c r="E171" s="15"/>
      <c r="F171" s="15"/>
      <c r="G171" s="15"/>
      <c r="H171" s="15"/>
      <c r="I171" s="15"/>
      <c r="J171" s="15"/>
      <c r="K171" s="15"/>
      <c r="L171" s="15"/>
      <c r="M171" s="15"/>
      <c r="N171" s="15"/>
      <c r="O171" s="15"/>
      <c r="P171" s="15"/>
      <c r="Q171" s="15"/>
      <c r="R171" s="16" t="str">
        <f aca="false">IF(A171="","",IF(OR(B171="",C171="",D171=""),"SID, client, environment needed",IF(AND(K171="N",L171=""),"Rationale needed (not in scope)",IF(AND(O171="Validated",P171=""),"Evidence ref needed",IF(AND(O171&lt;&gt;"Validated",Q171=""),"Open question needed",IF(AND(J171="Y",D171="PRD",K171&lt;&gt;"Y"),"PRD financial system should be in scope","OK"))))))</f>
        <v/>
      </c>
    </row>
    <row r="172" customFormat="false" ht="15" hidden="false" customHeight="false" outlineLevel="0" collapsed="false">
      <c r="A172" s="15"/>
      <c r="B172" s="15"/>
      <c r="C172" s="15"/>
      <c r="D172" s="15"/>
      <c r="E172" s="15"/>
      <c r="F172" s="15"/>
      <c r="G172" s="15"/>
      <c r="H172" s="15"/>
      <c r="I172" s="15"/>
      <c r="J172" s="15"/>
      <c r="K172" s="15"/>
      <c r="L172" s="15"/>
      <c r="M172" s="15"/>
      <c r="N172" s="15"/>
      <c r="O172" s="15"/>
      <c r="P172" s="15"/>
      <c r="Q172" s="15"/>
      <c r="R172" s="16" t="str">
        <f aca="false">IF(A172="","",IF(OR(B172="",C172="",D172=""),"SID, client, environment needed",IF(AND(K172="N",L172=""),"Rationale needed (not in scope)",IF(AND(O172="Validated",P172=""),"Evidence ref needed",IF(AND(O172&lt;&gt;"Validated",Q172=""),"Open question needed",IF(AND(J172="Y",D172="PRD",K172&lt;&gt;"Y"),"PRD financial system should be in scope","OK"))))))</f>
        <v/>
      </c>
    </row>
    <row r="173" customFormat="false" ht="15" hidden="false" customHeight="false" outlineLevel="0" collapsed="false">
      <c r="A173" s="15"/>
      <c r="B173" s="15"/>
      <c r="C173" s="15"/>
      <c r="D173" s="15"/>
      <c r="E173" s="15"/>
      <c r="F173" s="15"/>
      <c r="G173" s="15"/>
      <c r="H173" s="15"/>
      <c r="I173" s="15"/>
      <c r="J173" s="15"/>
      <c r="K173" s="15"/>
      <c r="L173" s="15"/>
      <c r="M173" s="15"/>
      <c r="N173" s="15"/>
      <c r="O173" s="15"/>
      <c r="P173" s="15"/>
      <c r="Q173" s="15"/>
      <c r="R173" s="16" t="str">
        <f aca="false">IF(A173="","",IF(OR(B173="",C173="",D173=""),"SID, client, environment needed",IF(AND(K173="N",L173=""),"Rationale needed (not in scope)",IF(AND(O173="Validated",P173=""),"Evidence ref needed",IF(AND(O173&lt;&gt;"Validated",Q173=""),"Open question needed",IF(AND(J173="Y",D173="PRD",K173&lt;&gt;"Y"),"PRD financial system should be in scope","OK"))))))</f>
        <v/>
      </c>
    </row>
    <row r="174" customFormat="false" ht="15" hidden="false" customHeight="false" outlineLevel="0" collapsed="false">
      <c r="A174" s="15"/>
      <c r="B174" s="15"/>
      <c r="C174" s="15"/>
      <c r="D174" s="15"/>
      <c r="E174" s="15"/>
      <c r="F174" s="15"/>
      <c r="G174" s="15"/>
      <c r="H174" s="15"/>
      <c r="I174" s="15"/>
      <c r="J174" s="15"/>
      <c r="K174" s="15"/>
      <c r="L174" s="15"/>
      <c r="M174" s="15"/>
      <c r="N174" s="15"/>
      <c r="O174" s="15"/>
      <c r="P174" s="15"/>
      <c r="Q174" s="15"/>
      <c r="R174" s="16" t="str">
        <f aca="false">IF(A174="","",IF(OR(B174="",C174="",D174=""),"SID, client, environment needed",IF(AND(K174="N",L174=""),"Rationale needed (not in scope)",IF(AND(O174="Validated",P174=""),"Evidence ref needed",IF(AND(O174&lt;&gt;"Validated",Q174=""),"Open question needed",IF(AND(J174="Y",D174="PRD",K174&lt;&gt;"Y"),"PRD financial system should be in scope","OK"))))))</f>
        <v/>
      </c>
    </row>
    <row r="175" customFormat="false" ht="15" hidden="false" customHeight="false" outlineLevel="0" collapsed="false">
      <c r="A175" s="15"/>
      <c r="B175" s="15"/>
      <c r="C175" s="15"/>
      <c r="D175" s="15"/>
      <c r="E175" s="15"/>
      <c r="F175" s="15"/>
      <c r="G175" s="15"/>
      <c r="H175" s="15"/>
      <c r="I175" s="15"/>
      <c r="J175" s="15"/>
      <c r="K175" s="15"/>
      <c r="L175" s="15"/>
      <c r="M175" s="15"/>
      <c r="N175" s="15"/>
      <c r="O175" s="15"/>
      <c r="P175" s="15"/>
      <c r="Q175" s="15"/>
      <c r="R175" s="16" t="str">
        <f aca="false">IF(A175="","",IF(OR(B175="",C175="",D175=""),"SID, client, environment needed",IF(AND(K175="N",L175=""),"Rationale needed (not in scope)",IF(AND(O175="Validated",P175=""),"Evidence ref needed",IF(AND(O175&lt;&gt;"Validated",Q175=""),"Open question needed",IF(AND(J175="Y",D175="PRD",K175&lt;&gt;"Y"),"PRD financial system should be in scope","OK"))))))</f>
        <v/>
      </c>
    </row>
    <row r="176" customFormat="false" ht="15" hidden="false" customHeight="false" outlineLevel="0" collapsed="false">
      <c r="A176" s="15"/>
      <c r="B176" s="15"/>
      <c r="C176" s="15"/>
      <c r="D176" s="15"/>
      <c r="E176" s="15"/>
      <c r="F176" s="15"/>
      <c r="G176" s="15"/>
      <c r="H176" s="15"/>
      <c r="I176" s="15"/>
      <c r="J176" s="15"/>
      <c r="K176" s="15"/>
      <c r="L176" s="15"/>
      <c r="M176" s="15"/>
      <c r="N176" s="15"/>
      <c r="O176" s="15"/>
      <c r="P176" s="15"/>
      <c r="Q176" s="15"/>
      <c r="R176" s="16" t="str">
        <f aca="false">IF(A176="","",IF(OR(B176="",C176="",D176=""),"SID, client, environment needed",IF(AND(K176="N",L176=""),"Rationale needed (not in scope)",IF(AND(O176="Validated",P176=""),"Evidence ref needed",IF(AND(O176&lt;&gt;"Validated",Q176=""),"Open question needed",IF(AND(J176="Y",D176="PRD",K176&lt;&gt;"Y"),"PRD financial system should be in scope","OK"))))))</f>
        <v/>
      </c>
    </row>
    <row r="177" customFormat="false" ht="15" hidden="false" customHeight="false" outlineLevel="0" collapsed="false">
      <c r="A177" s="15"/>
      <c r="B177" s="15"/>
      <c r="C177" s="15"/>
      <c r="D177" s="15"/>
      <c r="E177" s="15"/>
      <c r="F177" s="15"/>
      <c r="G177" s="15"/>
      <c r="H177" s="15"/>
      <c r="I177" s="15"/>
      <c r="J177" s="15"/>
      <c r="K177" s="15"/>
      <c r="L177" s="15"/>
      <c r="M177" s="15"/>
      <c r="N177" s="15"/>
      <c r="O177" s="15"/>
      <c r="P177" s="15"/>
      <c r="Q177" s="15"/>
      <c r="R177" s="16" t="str">
        <f aca="false">IF(A177="","",IF(OR(B177="",C177="",D177=""),"SID, client, environment needed",IF(AND(K177="N",L177=""),"Rationale needed (not in scope)",IF(AND(O177="Validated",P177=""),"Evidence ref needed",IF(AND(O177&lt;&gt;"Validated",Q177=""),"Open question needed",IF(AND(J177="Y",D177="PRD",K177&lt;&gt;"Y"),"PRD financial system should be in scope","OK"))))))</f>
        <v/>
      </c>
    </row>
    <row r="178" customFormat="false" ht="15" hidden="false" customHeight="false" outlineLevel="0" collapsed="false">
      <c r="A178" s="15"/>
      <c r="B178" s="15"/>
      <c r="C178" s="15"/>
      <c r="D178" s="15"/>
      <c r="E178" s="15"/>
      <c r="F178" s="15"/>
      <c r="G178" s="15"/>
      <c r="H178" s="15"/>
      <c r="I178" s="15"/>
      <c r="J178" s="15"/>
      <c r="K178" s="15"/>
      <c r="L178" s="15"/>
      <c r="M178" s="15"/>
      <c r="N178" s="15"/>
      <c r="O178" s="15"/>
      <c r="P178" s="15"/>
      <c r="Q178" s="15"/>
      <c r="R178" s="16" t="str">
        <f aca="false">IF(A178="","",IF(OR(B178="",C178="",D178=""),"SID, client, environment needed",IF(AND(K178="N",L178=""),"Rationale needed (not in scope)",IF(AND(O178="Validated",P178=""),"Evidence ref needed",IF(AND(O178&lt;&gt;"Validated",Q178=""),"Open question needed",IF(AND(J178="Y",D178="PRD",K178&lt;&gt;"Y"),"PRD financial system should be in scope","OK"))))))</f>
        <v/>
      </c>
    </row>
    <row r="179" customFormat="false" ht="15" hidden="false" customHeight="false" outlineLevel="0" collapsed="false">
      <c r="A179" s="15"/>
      <c r="B179" s="15"/>
      <c r="C179" s="15"/>
      <c r="D179" s="15"/>
      <c r="E179" s="15"/>
      <c r="F179" s="15"/>
      <c r="G179" s="15"/>
      <c r="H179" s="15"/>
      <c r="I179" s="15"/>
      <c r="J179" s="15"/>
      <c r="K179" s="15"/>
      <c r="L179" s="15"/>
      <c r="M179" s="15"/>
      <c r="N179" s="15"/>
      <c r="O179" s="15"/>
      <c r="P179" s="15"/>
      <c r="Q179" s="15"/>
      <c r="R179" s="16" t="str">
        <f aca="false">IF(A179="","",IF(OR(B179="",C179="",D179=""),"SID, client, environment needed",IF(AND(K179="N",L179=""),"Rationale needed (not in scope)",IF(AND(O179="Validated",P179=""),"Evidence ref needed",IF(AND(O179&lt;&gt;"Validated",Q179=""),"Open question needed",IF(AND(J179="Y",D179="PRD",K179&lt;&gt;"Y"),"PRD financial system should be in scope","OK"))))))</f>
        <v/>
      </c>
    </row>
    <row r="180" customFormat="false" ht="15" hidden="false" customHeight="false" outlineLevel="0" collapsed="false">
      <c r="A180" s="15"/>
      <c r="B180" s="15"/>
      <c r="C180" s="15"/>
      <c r="D180" s="15"/>
      <c r="E180" s="15"/>
      <c r="F180" s="15"/>
      <c r="G180" s="15"/>
      <c r="H180" s="15"/>
      <c r="I180" s="15"/>
      <c r="J180" s="15"/>
      <c r="K180" s="15"/>
      <c r="L180" s="15"/>
      <c r="M180" s="15"/>
      <c r="N180" s="15"/>
      <c r="O180" s="15"/>
      <c r="P180" s="15"/>
      <c r="Q180" s="15"/>
      <c r="R180" s="16" t="str">
        <f aca="false">IF(A180="","",IF(OR(B180="",C180="",D180=""),"SID, client, environment needed",IF(AND(K180="N",L180=""),"Rationale needed (not in scope)",IF(AND(O180="Validated",P180=""),"Evidence ref needed",IF(AND(O180&lt;&gt;"Validated",Q180=""),"Open question needed",IF(AND(J180="Y",D180="PRD",K180&lt;&gt;"Y"),"PRD financial system should be in scope","OK"))))))</f>
        <v/>
      </c>
    </row>
    <row r="181" customFormat="false" ht="15" hidden="false" customHeight="false" outlineLevel="0" collapsed="false">
      <c r="A181" s="15"/>
      <c r="B181" s="15"/>
      <c r="C181" s="15"/>
      <c r="D181" s="15"/>
      <c r="E181" s="15"/>
      <c r="F181" s="15"/>
      <c r="G181" s="15"/>
      <c r="H181" s="15"/>
      <c r="I181" s="15"/>
      <c r="J181" s="15"/>
      <c r="K181" s="15"/>
      <c r="L181" s="15"/>
      <c r="M181" s="15"/>
      <c r="N181" s="15"/>
      <c r="O181" s="15"/>
      <c r="P181" s="15"/>
      <c r="Q181" s="15"/>
      <c r="R181" s="16" t="str">
        <f aca="false">IF(A181="","",IF(OR(B181="",C181="",D181=""),"SID, client, environment needed",IF(AND(K181="N",L181=""),"Rationale needed (not in scope)",IF(AND(O181="Validated",P181=""),"Evidence ref needed",IF(AND(O181&lt;&gt;"Validated",Q181=""),"Open question needed",IF(AND(J181="Y",D181="PRD",K181&lt;&gt;"Y"),"PRD financial system should be in scope","OK"))))))</f>
        <v/>
      </c>
    </row>
    <row r="182" customFormat="false" ht="15" hidden="false" customHeight="false" outlineLevel="0" collapsed="false">
      <c r="A182" s="15"/>
      <c r="B182" s="15"/>
      <c r="C182" s="15"/>
      <c r="D182" s="15"/>
      <c r="E182" s="15"/>
      <c r="F182" s="15"/>
      <c r="G182" s="15"/>
      <c r="H182" s="15"/>
      <c r="I182" s="15"/>
      <c r="J182" s="15"/>
      <c r="K182" s="15"/>
      <c r="L182" s="15"/>
      <c r="M182" s="15"/>
      <c r="N182" s="15"/>
      <c r="O182" s="15"/>
      <c r="P182" s="15"/>
      <c r="Q182" s="15"/>
      <c r="R182" s="16" t="str">
        <f aca="false">IF(A182="","",IF(OR(B182="",C182="",D182=""),"SID, client, environment needed",IF(AND(K182="N",L182=""),"Rationale needed (not in scope)",IF(AND(O182="Validated",P182=""),"Evidence ref needed",IF(AND(O182&lt;&gt;"Validated",Q182=""),"Open question needed",IF(AND(J182="Y",D182="PRD",K182&lt;&gt;"Y"),"PRD financial system should be in scope","OK"))))))</f>
        <v/>
      </c>
    </row>
    <row r="183" customFormat="false" ht="15" hidden="false" customHeight="false" outlineLevel="0" collapsed="false">
      <c r="A183" s="15"/>
      <c r="B183" s="15"/>
      <c r="C183" s="15"/>
      <c r="D183" s="15"/>
      <c r="E183" s="15"/>
      <c r="F183" s="15"/>
      <c r="G183" s="15"/>
      <c r="H183" s="15"/>
      <c r="I183" s="15"/>
      <c r="J183" s="15"/>
      <c r="K183" s="15"/>
      <c r="L183" s="15"/>
      <c r="M183" s="15"/>
      <c r="N183" s="15"/>
      <c r="O183" s="15"/>
      <c r="P183" s="15"/>
      <c r="Q183" s="15"/>
      <c r="R183" s="16" t="str">
        <f aca="false">IF(A183="","",IF(OR(B183="",C183="",D183=""),"SID, client, environment needed",IF(AND(K183="N",L183=""),"Rationale needed (not in scope)",IF(AND(O183="Validated",P183=""),"Evidence ref needed",IF(AND(O183&lt;&gt;"Validated",Q183=""),"Open question needed",IF(AND(J183="Y",D183="PRD",K183&lt;&gt;"Y"),"PRD financial system should be in scope","OK"))))))</f>
        <v/>
      </c>
    </row>
    <row r="184" customFormat="false" ht="15" hidden="false" customHeight="false" outlineLevel="0" collapsed="false">
      <c r="A184" s="15"/>
      <c r="B184" s="15"/>
      <c r="C184" s="15"/>
      <c r="D184" s="15"/>
      <c r="E184" s="15"/>
      <c r="F184" s="15"/>
      <c r="G184" s="15"/>
      <c r="H184" s="15"/>
      <c r="I184" s="15"/>
      <c r="J184" s="15"/>
      <c r="K184" s="15"/>
      <c r="L184" s="15"/>
      <c r="M184" s="15"/>
      <c r="N184" s="15"/>
      <c r="O184" s="15"/>
      <c r="P184" s="15"/>
      <c r="Q184" s="15"/>
      <c r="R184" s="16" t="str">
        <f aca="false">IF(A184="","",IF(OR(B184="",C184="",D184=""),"SID, client, environment needed",IF(AND(K184="N",L184=""),"Rationale needed (not in scope)",IF(AND(O184="Validated",P184=""),"Evidence ref needed",IF(AND(O184&lt;&gt;"Validated",Q184=""),"Open question needed",IF(AND(J184="Y",D184="PRD",K184&lt;&gt;"Y"),"PRD financial system should be in scope","OK"))))))</f>
        <v/>
      </c>
    </row>
    <row r="185" customFormat="false" ht="15" hidden="false" customHeight="false" outlineLevel="0" collapsed="false">
      <c r="A185" s="15"/>
      <c r="B185" s="15"/>
      <c r="C185" s="15"/>
      <c r="D185" s="15"/>
      <c r="E185" s="15"/>
      <c r="F185" s="15"/>
      <c r="G185" s="15"/>
      <c r="H185" s="15"/>
      <c r="I185" s="15"/>
      <c r="J185" s="15"/>
      <c r="K185" s="15"/>
      <c r="L185" s="15"/>
      <c r="M185" s="15"/>
      <c r="N185" s="15"/>
      <c r="O185" s="15"/>
      <c r="P185" s="15"/>
      <c r="Q185" s="15"/>
      <c r="R185" s="16" t="str">
        <f aca="false">IF(A185="","",IF(OR(B185="",C185="",D185=""),"SID, client, environment needed",IF(AND(K185="N",L185=""),"Rationale needed (not in scope)",IF(AND(O185="Validated",P185=""),"Evidence ref needed",IF(AND(O185&lt;&gt;"Validated",Q185=""),"Open question needed",IF(AND(J185="Y",D185="PRD",K185&lt;&gt;"Y"),"PRD financial system should be in scope","OK"))))))</f>
        <v/>
      </c>
    </row>
    <row r="186" customFormat="false" ht="15" hidden="false" customHeight="false" outlineLevel="0" collapsed="false">
      <c r="A186" s="15"/>
      <c r="B186" s="15"/>
      <c r="C186" s="15"/>
      <c r="D186" s="15"/>
      <c r="E186" s="15"/>
      <c r="F186" s="15"/>
      <c r="G186" s="15"/>
      <c r="H186" s="15"/>
      <c r="I186" s="15"/>
      <c r="J186" s="15"/>
      <c r="K186" s="15"/>
      <c r="L186" s="15"/>
      <c r="M186" s="15"/>
      <c r="N186" s="15"/>
      <c r="O186" s="15"/>
      <c r="P186" s="15"/>
      <c r="Q186" s="15"/>
      <c r="R186" s="16" t="str">
        <f aca="false">IF(A186="","",IF(OR(B186="",C186="",D186=""),"SID, client, environment needed",IF(AND(K186="N",L186=""),"Rationale needed (not in scope)",IF(AND(O186="Validated",P186=""),"Evidence ref needed",IF(AND(O186&lt;&gt;"Validated",Q186=""),"Open question needed",IF(AND(J186="Y",D186="PRD",K186&lt;&gt;"Y"),"PRD financial system should be in scope","OK"))))))</f>
        <v/>
      </c>
    </row>
    <row r="187" customFormat="false" ht="15" hidden="false" customHeight="false" outlineLevel="0" collapsed="false">
      <c r="A187" s="15"/>
      <c r="B187" s="15"/>
      <c r="C187" s="15"/>
      <c r="D187" s="15"/>
      <c r="E187" s="15"/>
      <c r="F187" s="15"/>
      <c r="G187" s="15"/>
      <c r="H187" s="15"/>
      <c r="I187" s="15"/>
      <c r="J187" s="15"/>
      <c r="K187" s="15"/>
      <c r="L187" s="15"/>
      <c r="M187" s="15"/>
      <c r="N187" s="15"/>
      <c r="O187" s="15"/>
      <c r="P187" s="15"/>
      <c r="Q187" s="15"/>
      <c r="R187" s="16" t="str">
        <f aca="false">IF(A187="","",IF(OR(B187="",C187="",D187=""),"SID, client, environment needed",IF(AND(K187="N",L187=""),"Rationale needed (not in scope)",IF(AND(O187="Validated",P187=""),"Evidence ref needed",IF(AND(O187&lt;&gt;"Validated",Q187=""),"Open question needed",IF(AND(J187="Y",D187="PRD",K187&lt;&gt;"Y"),"PRD financial system should be in scope","OK"))))))</f>
        <v/>
      </c>
    </row>
    <row r="188" customFormat="false" ht="15" hidden="false" customHeight="false" outlineLevel="0" collapsed="false">
      <c r="A188" s="15"/>
      <c r="B188" s="15"/>
      <c r="C188" s="15"/>
      <c r="D188" s="15"/>
      <c r="E188" s="15"/>
      <c r="F188" s="15"/>
      <c r="G188" s="15"/>
      <c r="H188" s="15"/>
      <c r="I188" s="15"/>
      <c r="J188" s="15"/>
      <c r="K188" s="15"/>
      <c r="L188" s="15"/>
      <c r="M188" s="15"/>
      <c r="N188" s="15"/>
      <c r="O188" s="15"/>
      <c r="P188" s="15"/>
      <c r="Q188" s="15"/>
      <c r="R188" s="16" t="str">
        <f aca="false">IF(A188="","",IF(OR(B188="",C188="",D188=""),"SID, client, environment needed",IF(AND(K188="N",L188=""),"Rationale needed (not in scope)",IF(AND(O188="Validated",P188=""),"Evidence ref needed",IF(AND(O188&lt;&gt;"Validated",Q188=""),"Open question needed",IF(AND(J188="Y",D188="PRD",K188&lt;&gt;"Y"),"PRD financial system should be in scope","OK"))))))</f>
        <v/>
      </c>
    </row>
    <row r="189" customFormat="false" ht="15" hidden="false" customHeight="false" outlineLevel="0" collapsed="false">
      <c r="A189" s="15"/>
      <c r="B189" s="15"/>
      <c r="C189" s="15"/>
      <c r="D189" s="15"/>
      <c r="E189" s="15"/>
      <c r="F189" s="15"/>
      <c r="G189" s="15"/>
      <c r="H189" s="15"/>
      <c r="I189" s="15"/>
      <c r="J189" s="15"/>
      <c r="K189" s="15"/>
      <c r="L189" s="15"/>
      <c r="M189" s="15"/>
      <c r="N189" s="15"/>
      <c r="O189" s="15"/>
      <c r="P189" s="15"/>
      <c r="Q189" s="15"/>
      <c r="R189" s="16" t="str">
        <f aca="false">IF(A189="","",IF(OR(B189="",C189="",D189=""),"SID, client, environment needed",IF(AND(K189="N",L189=""),"Rationale needed (not in scope)",IF(AND(O189="Validated",P189=""),"Evidence ref needed",IF(AND(O189&lt;&gt;"Validated",Q189=""),"Open question needed",IF(AND(J189="Y",D189="PRD",K189&lt;&gt;"Y"),"PRD financial system should be in scope","OK"))))))</f>
        <v/>
      </c>
    </row>
    <row r="190" customFormat="false" ht="15" hidden="false" customHeight="false" outlineLevel="0" collapsed="false">
      <c r="A190" s="15"/>
      <c r="B190" s="15"/>
      <c r="C190" s="15"/>
      <c r="D190" s="15"/>
      <c r="E190" s="15"/>
      <c r="F190" s="15"/>
      <c r="G190" s="15"/>
      <c r="H190" s="15"/>
      <c r="I190" s="15"/>
      <c r="J190" s="15"/>
      <c r="K190" s="15"/>
      <c r="L190" s="15"/>
      <c r="M190" s="15"/>
      <c r="N190" s="15"/>
      <c r="O190" s="15"/>
      <c r="P190" s="15"/>
      <c r="Q190" s="15"/>
      <c r="R190" s="16" t="str">
        <f aca="false">IF(A190="","",IF(OR(B190="",C190="",D190=""),"SID, client, environment needed",IF(AND(K190="N",L190=""),"Rationale needed (not in scope)",IF(AND(O190="Validated",P190=""),"Evidence ref needed",IF(AND(O190&lt;&gt;"Validated",Q190=""),"Open question needed",IF(AND(J190="Y",D190="PRD",K190&lt;&gt;"Y"),"PRD financial system should be in scope","OK"))))))</f>
        <v/>
      </c>
    </row>
    <row r="191" customFormat="false" ht="15" hidden="false" customHeight="false" outlineLevel="0" collapsed="false">
      <c r="A191" s="15"/>
      <c r="B191" s="15"/>
      <c r="C191" s="15"/>
      <c r="D191" s="15"/>
      <c r="E191" s="15"/>
      <c r="F191" s="15"/>
      <c r="G191" s="15"/>
      <c r="H191" s="15"/>
      <c r="I191" s="15"/>
      <c r="J191" s="15"/>
      <c r="K191" s="15"/>
      <c r="L191" s="15"/>
      <c r="M191" s="15"/>
      <c r="N191" s="15"/>
      <c r="O191" s="15"/>
      <c r="P191" s="15"/>
      <c r="Q191" s="15"/>
      <c r="R191" s="16" t="str">
        <f aca="false">IF(A191="","",IF(OR(B191="",C191="",D191=""),"SID, client, environment needed",IF(AND(K191="N",L191=""),"Rationale needed (not in scope)",IF(AND(O191="Validated",P191=""),"Evidence ref needed",IF(AND(O191&lt;&gt;"Validated",Q191=""),"Open question needed",IF(AND(J191="Y",D191="PRD",K191&lt;&gt;"Y"),"PRD financial system should be in scope","OK"))))))</f>
        <v/>
      </c>
    </row>
    <row r="192" customFormat="false" ht="15" hidden="false" customHeight="false" outlineLevel="0" collapsed="false">
      <c r="A192" s="15"/>
      <c r="B192" s="15"/>
      <c r="C192" s="15"/>
      <c r="D192" s="15"/>
      <c r="E192" s="15"/>
      <c r="F192" s="15"/>
      <c r="G192" s="15"/>
      <c r="H192" s="15"/>
      <c r="I192" s="15"/>
      <c r="J192" s="15"/>
      <c r="K192" s="15"/>
      <c r="L192" s="15"/>
      <c r="M192" s="15"/>
      <c r="N192" s="15"/>
      <c r="O192" s="15"/>
      <c r="P192" s="15"/>
      <c r="Q192" s="15"/>
      <c r="R192" s="16" t="str">
        <f aca="false">IF(A192="","",IF(OR(B192="",C192="",D192=""),"SID, client, environment needed",IF(AND(K192="N",L192=""),"Rationale needed (not in scope)",IF(AND(O192="Validated",P192=""),"Evidence ref needed",IF(AND(O192&lt;&gt;"Validated",Q192=""),"Open question needed",IF(AND(J192="Y",D192="PRD",K192&lt;&gt;"Y"),"PRD financial system should be in scope","OK"))))))</f>
        <v/>
      </c>
    </row>
    <row r="193" customFormat="false" ht="15" hidden="false" customHeight="false" outlineLevel="0" collapsed="false">
      <c r="A193" s="15"/>
      <c r="B193" s="15"/>
      <c r="C193" s="15"/>
      <c r="D193" s="15"/>
      <c r="E193" s="15"/>
      <c r="F193" s="15"/>
      <c r="G193" s="15"/>
      <c r="H193" s="15"/>
      <c r="I193" s="15"/>
      <c r="J193" s="15"/>
      <c r="K193" s="15"/>
      <c r="L193" s="15"/>
      <c r="M193" s="15"/>
      <c r="N193" s="15"/>
      <c r="O193" s="15"/>
      <c r="P193" s="15"/>
      <c r="Q193" s="15"/>
      <c r="R193" s="16" t="str">
        <f aca="false">IF(A193="","",IF(OR(B193="",C193="",D193=""),"SID, client, environment needed",IF(AND(K193="N",L193=""),"Rationale needed (not in scope)",IF(AND(O193="Validated",P193=""),"Evidence ref needed",IF(AND(O193&lt;&gt;"Validated",Q193=""),"Open question needed",IF(AND(J193="Y",D193="PRD",K193&lt;&gt;"Y"),"PRD financial system should be in scope","OK"))))))</f>
        <v/>
      </c>
    </row>
    <row r="194" customFormat="false" ht="15" hidden="false" customHeight="false" outlineLevel="0" collapsed="false">
      <c r="A194" s="15"/>
      <c r="B194" s="15"/>
      <c r="C194" s="15"/>
      <c r="D194" s="15"/>
      <c r="E194" s="15"/>
      <c r="F194" s="15"/>
      <c r="G194" s="15"/>
      <c r="H194" s="15"/>
      <c r="I194" s="15"/>
      <c r="J194" s="15"/>
      <c r="K194" s="15"/>
      <c r="L194" s="15"/>
      <c r="M194" s="15"/>
      <c r="N194" s="15"/>
      <c r="O194" s="15"/>
      <c r="P194" s="15"/>
      <c r="Q194" s="15"/>
      <c r="R194" s="16" t="str">
        <f aca="false">IF(A194="","",IF(OR(B194="",C194="",D194=""),"SID, client, environment needed",IF(AND(K194="N",L194=""),"Rationale needed (not in scope)",IF(AND(O194="Validated",P194=""),"Evidence ref needed",IF(AND(O194&lt;&gt;"Validated",Q194=""),"Open question needed",IF(AND(J194="Y",D194="PRD",K194&lt;&gt;"Y"),"PRD financial system should be in scope","OK"))))))</f>
        <v/>
      </c>
    </row>
    <row r="195" customFormat="false" ht="15" hidden="false" customHeight="false" outlineLevel="0" collapsed="false">
      <c r="A195" s="15"/>
      <c r="B195" s="15"/>
      <c r="C195" s="15"/>
      <c r="D195" s="15"/>
      <c r="E195" s="15"/>
      <c r="F195" s="15"/>
      <c r="G195" s="15"/>
      <c r="H195" s="15"/>
      <c r="I195" s="15"/>
      <c r="J195" s="15"/>
      <c r="K195" s="15"/>
      <c r="L195" s="15"/>
      <c r="M195" s="15"/>
      <c r="N195" s="15"/>
      <c r="O195" s="15"/>
      <c r="P195" s="15"/>
      <c r="Q195" s="15"/>
      <c r="R195" s="16" t="str">
        <f aca="false">IF(A195="","",IF(OR(B195="",C195="",D195=""),"SID, client, environment needed",IF(AND(K195="N",L195=""),"Rationale needed (not in scope)",IF(AND(O195="Validated",P195=""),"Evidence ref needed",IF(AND(O195&lt;&gt;"Validated",Q195=""),"Open question needed",IF(AND(J195="Y",D195="PRD",K195&lt;&gt;"Y"),"PRD financial system should be in scope","OK"))))))</f>
        <v/>
      </c>
    </row>
    <row r="196" customFormat="false" ht="15" hidden="false" customHeight="false" outlineLevel="0" collapsed="false">
      <c r="A196" s="15"/>
      <c r="B196" s="15"/>
      <c r="C196" s="15"/>
      <c r="D196" s="15"/>
      <c r="E196" s="15"/>
      <c r="F196" s="15"/>
      <c r="G196" s="15"/>
      <c r="H196" s="15"/>
      <c r="I196" s="15"/>
      <c r="J196" s="15"/>
      <c r="K196" s="15"/>
      <c r="L196" s="15"/>
      <c r="M196" s="15"/>
      <c r="N196" s="15"/>
      <c r="O196" s="15"/>
      <c r="P196" s="15"/>
      <c r="Q196" s="15"/>
      <c r="R196" s="16" t="str">
        <f aca="false">IF(A196="","",IF(OR(B196="",C196="",D196=""),"SID, client, environment needed",IF(AND(K196="N",L196=""),"Rationale needed (not in scope)",IF(AND(O196="Validated",P196=""),"Evidence ref needed",IF(AND(O196&lt;&gt;"Validated",Q196=""),"Open question needed",IF(AND(J196="Y",D196="PRD",K196&lt;&gt;"Y"),"PRD financial system should be in scope","OK"))))))</f>
        <v/>
      </c>
    </row>
    <row r="197" customFormat="false" ht="15" hidden="false" customHeight="false" outlineLevel="0" collapsed="false">
      <c r="A197" s="15"/>
      <c r="B197" s="15"/>
      <c r="C197" s="15"/>
      <c r="D197" s="15"/>
      <c r="E197" s="15"/>
      <c r="F197" s="15"/>
      <c r="G197" s="15"/>
      <c r="H197" s="15"/>
      <c r="I197" s="15"/>
      <c r="J197" s="15"/>
      <c r="K197" s="15"/>
      <c r="L197" s="15"/>
      <c r="M197" s="15"/>
      <c r="N197" s="15"/>
      <c r="O197" s="15"/>
      <c r="P197" s="15"/>
      <c r="Q197" s="15"/>
      <c r="R197" s="16" t="str">
        <f aca="false">IF(A197="","",IF(OR(B197="",C197="",D197=""),"SID, client, environment needed",IF(AND(K197="N",L197=""),"Rationale needed (not in scope)",IF(AND(O197="Validated",P197=""),"Evidence ref needed",IF(AND(O197&lt;&gt;"Validated",Q197=""),"Open question needed",IF(AND(J197="Y",D197="PRD",K197&lt;&gt;"Y"),"PRD financial system should be in scope","OK"))))))</f>
        <v/>
      </c>
    </row>
    <row r="198" customFormat="false" ht="15" hidden="false" customHeight="false" outlineLevel="0" collapsed="false">
      <c r="A198" s="15"/>
      <c r="B198" s="15"/>
      <c r="C198" s="15"/>
      <c r="D198" s="15"/>
      <c r="E198" s="15"/>
      <c r="F198" s="15"/>
      <c r="G198" s="15"/>
      <c r="H198" s="15"/>
      <c r="I198" s="15"/>
      <c r="J198" s="15"/>
      <c r="K198" s="15"/>
      <c r="L198" s="15"/>
      <c r="M198" s="15"/>
      <c r="N198" s="15"/>
      <c r="O198" s="15"/>
      <c r="P198" s="15"/>
      <c r="Q198" s="15"/>
      <c r="R198" s="16" t="str">
        <f aca="false">IF(A198="","",IF(OR(B198="",C198="",D198=""),"SID, client, environment needed",IF(AND(K198="N",L198=""),"Rationale needed (not in scope)",IF(AND(O198="Validated",P198=""),"Evidence ref needed",IF(AND(O198&lt;&gt;"Validated",Q198=""),"Open question needed",IF(AND(J198="Y",D198="PRD",K198&lt;&gt;"Y"),"PRD financial system should be in scope","OK"))))))</f>
        <v/>
      </c>
    </row>
    <row r="199" customFormat="false" ht="15" hidden="false" customHeight="false" outlineLevel="0" collapsed="false">
      <c r="A199" s="15"/>
      <c r="B199" s="15"/>
      <c r="C199" s="15"/>
      <c r="D199" s="15"/>
      <c r="E199" s="15"/>
      <c r="F199" s="15"/>
      <c r="G199" s="15"/>
      <c r="H199" s="15"/>
      <c r="I199" s="15"/>
      <c r="J199" s="15"/>
      <c r="K199" s="15"/>
      <c r="L199" s="15"/>
      <c r="M199" s="15"/>
      <c r="N199" s="15"/>
      <c r="O199" s="15"/>
      <c r="P199" s="15"/>
      <c r="Q199" s="15"/>
      <c r="R199" s="16" t="str">
        <f aca="false">IF(A199="","",IF(OR(B199="",C199="",D199=""),"SID, client, environment needed",IF(AND(K199="N",L199=""),"Rationale needed (not in scope)",IF(AND(O199="Validated",P199=""),"Evidence ref needed",IF(AND(O199&lt;&gt;"Validated",Q199=""),"Open question needed",IF(AND(J199="Y",D199="PRD",K199&lt;&gt;"Y"),"PRD financial system should be in scope","OK"))))))</f>
        <v/>
      </c>
    </row>
    <row r="200" customFormat="false" ht="15" hidden="false" customHeight="false" outlineLevel="0" collapsed="false">
      <c r="A200" s="15"/>
      <c r="B200" s="15"/>
      <c r="C200" s="15"/>
      <c r="D200" s="15"/>
      <c r="E200" s="15"/>
      <c r="F200" s="15"/>
      <c r="G200" s="15"/>
      <c r="H200" s="15"/>
      <c r="I200" s="15"/>
      <c r="J200" s="15"/>
      <c r="K200" s="15"/>
      <c r="L200" s="15"/>
      <c r="M200" s="15"/>
      <c r="N200" s="15"/>
      <c r="O200" s="15"/>
      <c r="P200" s="15"/>
      <c r="Q200" s="15"/>
      <c r="R200" s="16" t="str">
        <f aca="false">IF(A200="","",IF(OR(B200="",C200="",D200=""),"SID, client, environment needed",IF(AND(K200="N",L200=""),"Rationale needed (not in scope)",IF(AND(O200="Validated",P200=""),"Evidence ref needed",IF(AND(O200&lt;&gt;"Validated",Q200=""),"Open question needed",IF(AND(J200="Y",D200="PRD",K200&lt;&gt;"Y"),"PRD financial system should be in scope","OK"))))))</f>
        <v/>
      </c>
    </row>
    <row r="201" customFormat="false" ht="15" hidden="false" customHeight="false" outlineLevel="0" collapsed="false">
      <c r="A201" s="15"/>
      <c r="B201" s="15"/>
      <c r="C201" s="15"/>
      <c r="D201" s="15"/>
      <c r="E201" s="15"/>
      <c r="F201" s="15"/>
      <c r="G201" s="15"/>
      <c r="H201" s="15"/>
      <c r="I201" s="15"/>
      <c r="J201" s="15"/>
      <c r="K201" s="15"/>
      <c r="L201" s="15"/>
      <c r="M201" s="15"/>
      <c r="N201" s="15"/>
      <c r="O201" s="15"/>
      <c r="P201" s="15"/>
      <c r="Q201" s="15"/>
      <c r="R201" s="16" t="str">
        <f aca="false">IF(A201="","",IF(OR(B201="",C201="",D201=""),"SID, client, environment needed",IF(AND(K201="N",L201=""),"Rationale needed (not in scope)",IF(AND(O201="Validated",P201=""),"Evidence ref needed",IF(AND(O201&lt;&gt;"Validated",Q201=""),"Open question needed",IF(AND(J201="Y",D201="PRD",K201&lt;&gt;"Y"),"PRD financial system should be in scope","OK"))))))</f>
        <v/>
      </c>
    </row>
    <row r="202" customFormat="false" ht="15" hidden="false" customHeight="false" outlineLevel="0" collapsed="false">
      <c r="A202" s="15"/>
      <c r="B202" s="15"/>
      <c r="C202" s="15"/>
      <c r="D202" s="15"/>
      <c r="E202" s="15"/>
      <c r="F202" s="15"/>
      <c r="G202" s="15"/>
      <c r="H202" s="15"/>
      <c r="I202" s="15"/>
      <c r="J202" s="15"/>
      <c r="K202" s="15"/>
      <c r="L202" s="15"/>
      <c r="M202" s="15"/>
      <c r="N202" s="15"/>
      <c r="O202" s="15"/>
      <c r="P202" s="15"/>
      <c r="Q202" s="15"/>
      <c r="R202" s="16" t="str">
        <f aca="false">IF(A202="","",IF(OR(B202="",C202="",D202=""),"SID, client, environment needed",IF(AND(K202="N",L202=""),"Rationale needed (not in scope)",IF(AND(O202="Validated",P202=""),"Evidence ref needed",IF(AND(O202&lt;&gt;"Validated",Q202=""),"Open question needed",IF(AND(J202="Y",D202="PRD",K202&lt;&gt;"Y"),"PRD financial system should be in scope","OK"))))))</f>
        <v/>
      </c>
    </row>
    <row r="203" customFormat="false" ht="15" hidden="false" customHeight="false" outlineLevel="0" collapsed="false">
      <c r="A203" s="15"/>
      <c r="B203" s="15"/>
      <c r="C203" s="15"/>
      <c r="D203" s="15"/>
      <c r="E203" s="15"/>
      <c r="F203" s="15"/>
      <c r="G203" s="15"/>
      <c r="H203" s="15"/>
      <c r="I203" s="15"/>
      <c r="J203" s="15"/>
      <c r="K203" s="15"/>
      <c r="L203" s="15"/>
      <c r="M203" s="15"/>
      <c r="N203" s="15"/>
      <c r="O203" s="15"/>
      <c r="P203" s="15"/>
      <c r="Q203" s="15"/>
      <c r="R203" s="16" t="str">
        <f aca="false">IF(A203="","",IF(OR(B203="",C203="",D203=""),"SID, client, environment needed",IF(AND(K203="N",L203=""),"Rationale needed (not in scope)",IF(AND(O203="Validated",P203=""),"Evidence ref needed",IF(AND(O203&lt;&gt;"Validated",Q203=""),"Open question needed",IF(AND(J203="Y",D203="PRD",K203&lt;&gt;"Y"),"PRD financial system should be in scope","OK"))))))</f>
        <v/>
      </c>
    </row>
    <row r="204" customFormat="false" ht="15" hidden="false" customHeight="false" outlineLevel="0" collapsed="false">
      <c r="A204" s="15"/>
      <c r="B204" s="15"/>
      <c r="C204" s="15"/>
      <c r="D204" s="15"/>
      <c r="E204" s="15"/>
      <c r="F204" s="15"/>
      <c r="G204" s="15"/>
      <c r="H204" s="15"/>
      <c r="I204" s="15"/>
      <c r="J204" s="15"/>
      <c r="K204" s="15"/>
      <c r="L204" s="15"/>
      <c r="M204" s="15"/>
      <c r="N204" s="15"/>
      <c r="O204" s="15"/>
      <c r="P204" s="15"/>
      <c r="Q204" s="15"/>
      <c r="R204" s="16" t="str">
        <f aca="false">IF(A204="","",IF(OR(B204="",C204="",D204=""),"SID, client, environment needed",IF(AND(K204="N",L204=""),"Rationale needed (not in scope)",IF(AND(O204="Validated",P204=""),"Evidence ref needed",IF(AND(O204&lt;&gt;"Validated",Q204=""),"Open question needed",IF(AND(J204="Y",D204="PRD",K204&lt;&gt;"Y"),"PRD financial system should be in scope","OK"))))))</f>
        <v/>
      </c>
    </row>
  </sheetData>
  <autoFilter ref="A4:R204"/>
  <dataValidations count="6">
    <dataValidation allowBlank="true" error="Pick a value from the list." errorStyle="stop" operator="between" showDropDown="false" showErrorMessage="true" showInputMessage="false" sqref="D5:D204" type="list">
      <formula1>Lists!$A$2:$A$6</formula1>
      <formula2>0</formula2>
    </dataValidation>
    <dataValidation allowBlank="true" error="Pick a value from the list." errorStyle="stop" operator="between" showDropDown="false" showErrorMessage="true" showInputMessage="false" sqref="F5:F204" type="list">
      <formula1>Lists!$B$2:$B$9</formula1>
      <formula2>0</formula2>
    </dataValidation>
    <dataValidation allowBlank="true" error="Pick a value from the list." errorStyle="stop" operator="between" showDropDown="false" showErrorMessage="true" showInputMessage="false" sqref="G5:G204" type="list">
      <formula1>Lists!$C$2:$C$5</formula1>
      <formula2>0</formula2>
    </dataValidation>
    <dataValidation allowBlank="true" error="Pick a value from the list." errorStyle="stop" operator="between" showDropDown="false" showErrorMessage="true" showInputMessage="false" sqref="J5:J204" type="list">
      <formula1>Lists!$E$2:$E$3</formula1>
      <formula2>0</formula2>
    </dataValidation>
    <dataValidation allowBlank="true" error="Pick a value from the list." errorStyle="stop" operator="between" showDropDown="false" showErrorMessage="true" showInputMessage="false" sqref="K5:K204" type="list">
      <formula1>Lists!$F$2:$F$4</formula1>
      <formula2>0</formula2>
    </dataValidation>
    <dataValidation allowBlank="true" error="Pick a value from the list." errorStyle="stop" operator="between" showDropDown="false" showErrorMessage="true" showInputMessage="false" sqref="O5:O204" type="list">
      <formula1>Lists!$D$2:$D$4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20"/>
    <col collapsed="false" customWidth="true" hidden="false" outlineLevel="0" max="5" min="5" style="0" width="18"/>
    <col collapsed="false" customWidth="true" hidden="false" outlineLevel="0" max="6" min="6" style="0" width="16"/>
    <col collapsed="false" customWidth="true" hidden="false" outlineLevel="0" max="7" min="7" style="0" width="20"/>
    <col collapsed="false" customWidth="true" hidden="false" outlineLevel="0" max="9" min="8" style="0" width="16"/>
    <col collapsed="false" customWidth="true" hidden="false" outlineLevel="0" max="10" min="10" style="0" width="14"/>
    <col collapsed="false" customWidth="true" hidden="false" outlineLevel="0" max="11" min="11" style="0" width="30"/>
  </cols>
  <sheetData>
    <row r="1" customFormat="false" ht="17.35" hidden="false" customHeight="false" outlineLevel="0" collapsed="false">
      <c r="A1" s="9" t="s">
        <v>167</v>
      </c>
    </row>
    <row r="2" customFormat="false" ht="15" hidden="false" customHeight="false" outlineLevel="0" collapsed="false">
      <c r="A2" s="10" t="s">
        <v>168</v>
      </c>
    </row>
    <row r="4" customFormat="false" ht="31.5" hidden="false" customHeight="true" outlineLevel="0" collapsed="false">
      <c r="A4" s="11" t="s">
        <v>81</v>
      </c>
      <c r="B4" s="11" t="s">
        <v>26</v>
      </c>
      <c r="C4" s="12" t="s">
        <v>86</v>
      </c>
      <c r="D4" s="11" t="s">
        <v>88</v>
      </c>
      <c r="E4" s="11" t="s">
        <v>91</v>
      </c>
      <c r="F4" s="11" t="s">
        <v>93</v>
      </c>
      <c r="G4" s="11" t="s">
        <v>95</v>
      </c>
      <c r="H4" s="11" t="s">
        <v>97</v>
      </c>
      <c r="I4" s="11" t="s">
        <v>100</v>
      </c>
      <c r="J4" s="11" t="s">
        <v>71</v>
      </c>
      <c r="K4" s="11" t="s">
        <v>105</v>
      </c>
    </row>
    <row r="5" customFormat="false" ht="15" hidden="false" customHeight="false" outlineLevel="0" collapsed="false">
      <c r="A5" s="13" t="s">
        <v>169</v>
      </c>
      <c r="B5" s="13" t="s">
        <v>153</v>
      </c>
      <c r="C5" s="14" t="str">
        <f aca="false">IFERROR(INDEX(System_Inventory!$B$5:$B$204,MATCH(B5,System_Inventory!$A$5:$A$204,0)),"")</f>
        <v>ECP</v>
      </c>
      <c r="D5" s="13" t="s">
        <v>170</v>
      </c>
      <c r="E5" s="13" t="s">
        <v>171</v>
      </c>
      <c r="F5" s="13" t="s">
        <v>172</v>
      </c>
      <c r="G5" s="13" t="s">
        <v>173</v>
      </c>
      <c r="H5" s="13" t="s">
        <v>163</v>
      </c>
      <c r="I5" s="13" t="s">
        <v>174</v>
      </c>
      <c r="J5" s="13" t="s">
        <v>175</v>
      </c>
      <c r="K5" s="13"/>
    </row>
    <row r="6" customFormat="false" ht="15" hidden="false" customHeight="false" outlineLevel="0" collapsed="false">
      <c r="A6" s="15"/>
      <c r="B6" s="15"/>
      <c r="C6" s="16" t="str">
        <f aca="false">IFERROR(INDEX(System_Inventory!$B$5:$B$204,MATCH(B6,System_Inventory!$A$5:$A$204,0)),"")</f>
        <v/>
      </c>
      <c r="D6" s="15"/>
      <c r="E6" s="15"/>
      <c r="F6" s="15"/>
      <c r="G6" s="15"/>
      <c r="H6" s="15"/>
      <c r="I6" s="15"/>
      <c r="J6" s="15"/>
      <c r="K6" s="15"/>
    </row>
    <row r="7" customFormat="false" ht="15" hidden="false" customHeight="false" outlineLevel="0" collapsed="false">
      <c r="A7" s="15"/>
      <c r="B7" s="15"/>
      <c r="C7" s="16" t="str">
        <f aca="false">IFERROR(INDEX(System_Inventory!$B$5:$B$204,MATCH(B7,System_Inventory!$A$5:$A$204,0)),"")</f>
        <v/>
      </c>
      <c r="D7" s="15"/>
      <c r="E7" s="15"/>
      <c r="F7" s="15"/>
      <c r="G7" s="15"/>
      <c r="H7" s="15"/>
      <c r="I7" s="15"/>
      <c r="J7" s="15"/>
      <c r="K7" s="15"/>
    </row>
    <row r="8" customFormat="false" ht="15" hidden="false" customHeight="false" outlineLevel="0" collapsed="false">
      <c r="A8" s="15"/>
      <c r="B8" s="15"/>
      <c r="C8" s="16" t="str">
        <f aca="false">IFERROR(INDEX(System_Inventory!$B$5:$B$204,MATCH(B8,System_Inventory!$A$5:$A$204,0)),"")</f>
        <v/>
      </c>
      <c r="D8" s="15"/>
      <c r="E8" s="15"/>
      <c r="F8" s="15"/>
      <c r="G8" s="15"/>
      <c r="H8" s="15"/>
      <c r="I8" s="15"/>
      <c r="J8" s="15"/>
      <c r="K8" s="15"/>
    </row>
    <row r="9" customFormat="false" ht="15" hidden="false" customHeight="false" outlineLevel="0" collapsed="false">
      <c r="A9" s="15"/>
      <c r="B9" s="15"/>
      <c r="C9" s="16" t="str">
        <f aca="false">IFERROR(INDEX(System_Inventory!$B$5:$B$204,MATCH(B9,System_Inventory!$A$5:$A$204,0)),"")</f>
        <v/>
      </c>
      <c r="D9" s="15"/>
      <c r="E9" s="15"/>
      <c r="F9" s="15"/>
      <c r="G9" s="15"/>
      <c r="H9" s="15"/>
      <c r="I9" s="15"/>
      <c r="J9" s="15"/>
      <c r="K9" s="15"/>
    </row>
    <row r="10" customFormat="false" ht="15" hidden="false" customHeight="false" outlineLevel="0" collapsed="false">
      <c r="A10" s="15"/>
      <c r="B10" s="15"/>
      <c r="C10" s="16" t="str">
        <f aca="false">IFERROR(INDEX(System_Inventory!$B$5:$B$204,MATCH(B10,System_Inventory!$A$5:$A$204,0)),"")</f>
        <v/>
      </c>
      <c r="D10" s="15"/>
      <c r="E10" s="15"/>
      <c r="F10" s="15"/>
      <c r="G10" s="15"/>
      <c r="H10" s="15"/>
      <c r="I10" s="15"/>
      <c r="J10" s="15"/>
      <c r="K10" s="15"/>
    </row>
    <row r="11" customFormat="false" ht="15" hidden="false" customHeight="false" outlineLevel="0" collapsed="false">
      <c r="A11" s="15"/>
      <c r="B11" s="15"/>
      <c r="C11" s="16" t="str">
        <f aca="false">IFERROR(INDEX(System_Inventory!$B$5:$B$204,MATCH(B11,System_Inventory!$A$5:$A$204,0)),"")</f>
        <v/>
      </c>
      <c r="D11" s="15"/>
      <c r="E11" s="15"/>
      <c r="F11" s="15"/>
      <c r="G11" s="15"/>
      <c r="H11" s="15"/>
      <c r="I11" s="15"/>
      <c r="J11" s="15"/>
      <c r="K11" s="15"/>
    </row>
    <row r="12" customFormat="false" ht="15" hidden="false" customHeight="false" outlineLevel="0" collapsed="false">
      <c r="A12" s="15"/>
      <c r="B12" s="15"/>
      <c r="C12" s="16" t="str">
        <f aca="false">IFERROR(INDEX(System_Inventory!$B$5:$B$204,MATCH(B12,System_Inventory!$A$5:$A$204,0)),"")</f>
        <v/>
      </c>
      <c r="D12" s="15"/>
      <c r="E12" s="15"/>
      <c r="F12" s="15"/>
      <c r="G12" s="15"/>
      <c r="H12" s="15"/>
      <c r="I12" s="15"/>
      <c r="J12" s="15"/>
      <c r="K12" s="15"/>
    </row>
    <row r="13" customFormat="false" ht="15" hidden="false" customHeight="false" outlineLevel="0" collapsed="false">
      <c r="A13" s="15"/>
      <c r="B13" s="15"/>
      <c r="C13" s="16" t="str">
        <f aca="false">IFERROR(INDEX(System_Inventory!$B$5:$B$204,MATCH(B13,System_Inventory!$A$5:$A$204,0)),"")</f>
        <v/>
      </c>
      <c r="D13" s="15"/>
      <c r="E13" s="15"/>
      <c r="F13" s="15"/>
      <c r="G13" s="15"/>
      <c r="H13" s="15"/>
      <c r="I13" s="15"/>
      <c r="J13" s="15"/>
      <c r="K13" s="15"/>
    </row>
    <row r="14" customFormat="false" ht="15" hidden="false" customHeight="false" outlineLevel="0" collapsed="false">
      <c r="A14" s="15"/>
      <c r="B14" s="15"/>
      <c r="C14" s="16" t="str">
        <f aca="false">IFERROR(INDEX(System_Inventory!$B$5:$B$204,MATCH(B14,System_Inventory!$A$5:$A$204,0)),"")</f>
        <v/>
      </c>
      <c r="D14" s="15"/>
      <c r="E14" s="15"/>
      <c r="F14" s="15"/>
      <c r="G14" s="15"/>
      <c r="H14" s="15"/>
      <c r="I14" s="15"/>
      <c r="J14" s="15"/>
      <c r="K14" s="15"/>
    </row>
    <row r="15" customFormat="false" ht="15" hidden="false" customHeight="false" outlineLevel="0" collapsed="false">
      <c r="A15" s="15"/>
      <c r="B15" s="15"/>
      <c r="C15" s="16" t="str">
        <f aca="false">IFERROR(INDEX(System_Inventory!$B$5:$B$204,MATCH(B15,System_Inventory!$A$5:$A$204,0)),"")</f>
        <v/>
      </c>
      <c r="D15" s="15"/>
      <c r="E15" s="15"/>
      <c r="F15" s="15"/>
      <c r="G15" s="15"/>
      <c r="H15" s="15"/>
      <c r="I15" s="15"/>
      <c r="J15" s="15"/>
      <c r="K15" s="15"/>
    </row>
    <row r="16" customFormat="false" ht="15" hidden="false" customHeight="false" outlineLevel="0" collapsed="false">
      <c r="A16" s="15"/>
      <c r="B16" s="15"/>
      <c r="C16" s="16" t="str">
        <f aca="false">IFERROR(INDEX(System_Inventory!$B$5:$B$204,MATCH(B16,System_Inventory!$A$5:$A$204,0)),"")</f>
        <v/>
      </c>
      <c r="D16" s="15"/>
      <c r="E16" s="15"/>
      <c r="F16" s="15"/>
      <c r="G16" s="15"/>
      <c r="H16" s="15"/>
      <c r="I16" s="15"/>
      <c r="J16" s="15"/>
      <c r="K16" s="15"/>
    </row>
    <row r="17" customFormat="false" ht="15" hidden="false" customHeight="false" outlineLevel="0" collapsed="false">
      <c r="A17" s="15"/>
      <c r="B17" s="15"/>
      <c r="C17" s="16" t="str">
        <f aca="false">IFERROR(INDEX(System_Inventory!$B$5:$B$204,MATCH(B17,System_Inventory!$A$5:$A$204,0)),"")</f>
        <v/>
      </c>
      <c r="D17" s="15"/>
      <c r="E17" s="15"/>
      <c r="F17" s="15"/>
      <c r="G17" s="15"/>
      <c r="H17" s="15"/>
      <c r="I17" s="15"/>
      <c r="J17" s="15"/>
      <c r="K17" s="15"/>
    </row>
    <row r="18" customFormat="false" ht="15" hidden="false" customHeight="false" outlineLevel="0" collapsed="false">
      <c r="A18" s="15"/>
      <c r="B18" s="15"/>
      <c r="C18" s="16" t="str">
        <f aca="false">IFERROR(INDEX(System_Inventory!$B$5:$B$204,MATCH(B18,System_Inventory!$A$5:$A$204,0)),"")</f>
        <v/>
      </c>
      <c r="D18" s="15"/>
      <c r="E18" s="15"/>
      <c r="F18" s="15"/>
      <c r="G18" s="15"/>
      <c r="H18" s="15"/>
      <c r="I18" s="15"/>
      <c r="J18" s="15"/>
      <c r="K18" s="15"/>
    </row>
    <row r="19" customFormat="false" ht="15" hidden="false" customHeight="false" outlineLevel="0" collapsed="false">
      <c r="A19" s="15"/>
      <c r="B19" s="15"/>
      <c r="C19" s="16" t="str">
        <f aca="false">IFERROR(INDEX(System_Inventory!$B$5:$B$204,MATCH(B19,System_Inventory!$A$5:$A$204,0)),"")</f>
        <v/>
      </c>
      <c r="D19" s="15"/>
      <c r="E19" s="15"/>
      <c r="F19" s="15"/>
      <c r="G19" s="15"/>
      <c r="H19" s="15"/>
      <c r="I19" s="15"/>
      <c r="J19" s="15"/>
      <c r="K19" s="15"/>
    </row>
    <row r="20" customFormat="false" ht="15" hidden="false" customHeight="false" outlineLevel="0" collapsed="false">
      <c r="A20" s="15"/>
      <c r="B20" s="15"/>
      <c r="C20" s="16" t="str">
        <f aca="false">IFERROR(INDEX(System_Inventory!$B$5:$B$204,MATCH(B20,System_Inventory!$A$5:$A$204,0)),"")</f>
        <v/>
      </c>
      <c r="D20" s="15"/>
      <c r="E20" s="15"/>
      <c r="F20" s="15"/>
      <c r="G20" s="15"/>
      <c r="H20" s="15"/>
      <c r="I20" s="15"/>
      <c r="J20" s="15"/>
      <c r="K20" s="15"/>
    </row>
    <row r="21" customFormat="false" ht="15" hidden="false" customHeight="false" outlineLevel="0" collapsed="false">
      <c r="A21" s="15"/>
      <c r="B21" s="15"/>
      <c r="C21" s="16" t="str">
        <f aca="false">IFERROR(INDEX(System_Inventory!$B$5:$B$204,MATCH(B21,System_Inventory!$A$5:$A$204,0)),"")</f>
        <v/>
      </c>
      <c r="D21" s="15"/>
      <c r="E21" s="15"/>
      <c r="F21" s="15"/>
      <c r="G21" s="15"/>
      <c r="H21" s="15"/>
      <c r="I21" s="15"/>
      <c r="J21" s="15"/>
      <c r="K21" s="15"/>
    </row>
    <row r="22" customFormat="false" ht="15" hidden="false" customHeight="false" outlineLevel="0" collapsed="false">
      <c r="A22" s="15"/>
      <c r="B22" s="15"/>
      <c r="C22" s="16" t="str">
        <f aca="false">IFERROR(INDEX(System_Inventory!$B$5:$B$204,MATCH(B22,System_Inventory!$A$5:$A$204,0)),"")</f>
        <v/>
      </c>
      <c r="D22" s="15"/>
      <c r="E22" s="15"/>
      <c r="F22" s="15"/>
      <c r="G22" s="15"/>
      <c r="H22" s="15"/>
      <c r="I22" s="15"/>
      <c r="J22" s="15"/>
      <c r="K22" s="15"/>
    </row>
    <row r="23" customFormat="false" ht="15" hidden="false" customHeight="false" outlineLevel="0" collapsed="false">
      <c r="A23" s="15"/>
      <c r="B23" s="15"/>
      <c r="C23" s="16" t="str">
        <f aca="false">IFERROR(INDEX(System_Inventory!$B$5:$B$204,MATCH(B23,System_Inventory!$A$5:$A$204,0)),"")</f>
        <v/>
      </c>
      <c r="D23" s="15"/>
      <c r="E23" s="15"/>
      <c r="F23" s="15"/>
      <c r="G23" s="15"/>
      <c r="H23" s="15"/>
      <c r="I23" s="15"/>
      <c r="J23" s="15"/>
      <c r="K23" s="15"/>
    </row>
    <row r="24" customFormat="false" ht="15" hidden="false" customHeight="false" outlineLevel="0" collapsed="false">
      <c r="A24" s="15"/>
      <c r="B24" s="15"/>
      <c r="C24" s="16" t="str">
        <f aca="false">IFERROR(INDEX(System_Inventory!$B$5:$B$204,MATCH(B24,System_Inventory!$A$5:$A$204,0)),"")</f>
        <v/>
      </c>
      <c r="D24" s="15"/>
      <c r="E24" s="15"/>
      <c r="F24" s="15"/>
      <c r="G24" s="15"/>
      <c r="H24" s="15"/>
      <c r="I24" s="15"/>
      <c r="J24" s="15"/>
      <c r="K24" s="15"/>
    </row>
    <row r="25" customFormat="false" ht="15" hidden="false" customHeight="false" outlineLevel="0" collapsed="false">
      <c r="A25" s="15"/>
      <c r="B25" s="15"/>
      <c r="C25" s="16" t="str">
        <f aca="false">IFERROR(INDEX(System_Inventory!$B$5:$B$204,MATCH(B25,System_Inventory!$A$5:$A$204,0)),"")</f>
        <v/>
      </c>
      <c r="D25" s="15"/>
      <c r="E25" s="15"/>
      <c r="F25" s="15"/>
      <c r="G25" s="15"/>
      <c r="H25" s="15"/>
      <c r="I25" s="15"/>
      <c r="J25" s="15"/>
      <c r="K25" s="15"/>
    </row>
    <row r="26" customFormat="false" ht="15" hidden="false" customHeight="false" outlineLevel="0" collapsed="false">
      <c r="A26" s="15"/>
      <c r="B26" s="15"/>
      <c r="C26" s="16" t="str">
        <f aca="false">IFERROR(INDEX(System_Inventory!$B$5:$B$204,MATCH(B26,System_Inventory!$A$5:$A$204,0)),"")</f>
        <v/>
      </c>
      <c r="D26" s="15"/>
      <c r="E26" s="15"/>
      <c r="F26" s="15"/>
      <c r="G26" s="15"/>
      <c r="H26" s="15"/>
      <c r="I26" s="15"/>
      <c r="J26" s="15"/>
      <c r="K26" s="15"/>
    </row>
    <row r="27" customFormat="false" ht="15" hidden="false" customHeight="false" outlineLevel="0" collapsed="false">
      <c r="A27" s="15"/>
      <c r="B27" s="15"/>
      <c r="C27" s="16" t="str">
        <f aca="false">IFERROR(INDEX(System_Inventory!$B$5:$B$204,MATCH(B27,System_Inventory!$A$5:$A$204,0)),"")</f>
        <v/>
      </c>
      <c r="D27" s="15"/>
      <c r="E27" s="15"/>
      <c r="F27" s="15"/>
      <c r="G27" s="15"/>
      <c r="H27" s="15"/>
      <c r="I27" s="15"/>
      <c r="J27" s="15"/>
      <c r="K27" s="15"/>
    </row>
    <row r="28" customFormat="false" ht="15" hidden="false" customHeight="false" outlineLevel="0" collapsed="false">
      <c r="A28" s="15"/>
      <c r="B28" s="15"/>
      <c r="C28" s="16" t="str">
        <f aca="false">IFERROR(INDEX(System_Inventory!$B$5:$B$204,MATCH(B28,System_Inventory!$A$5:$A$204,0)),"")</f>
        <v/>
      </c>
      <c r="D28" s="15"/>
      <c r="E28" s="15"/>
      <c r="F28" s="15"/>
      <c r="G28" s="15"/>
      <c r="H28" s="15"/>
      <c r="I28" s="15"/>
      <c r="J28" s="15"/>
      <c r="K28" s="15"/>
    </row>
    <row r="29" customFormat="false" ht="15" hidden="false" customHeight="false" outlineLevel="0" collapsed="false">
      <c r="A29" s="15"/>
      <c r="B29" s="15"/>
      <c r="C29" s="16" t="str">
        <f aca="false">IFERROR(INDEX(System_Inventory!$B$5:$B$204,MATCH(B29,System_Inventory!$A$5:$A$204,0)),"")</f>
        <v/>
      </c>
      <c r="D29" s="15"/>
      <c r="E29" s="15"/>
      <c r="F29" s="15"/>
      <c r="G29" s="15"/>
      <c r="H29" s="15"/>
      <c r="I29" s="15"/>
      <c r="J29" s="15"/>
      <c r="K29" s="15"/>
    </row>
    <row r="30" customFormat="false" ht="15" hidden="false" customHeight="false" outlineLevel="0" collapsed="false">
      <c r="A30" s="15"/>
      <c r="B30" s="15"/>
      <c r="C30" s="16" t="str">
        <f aca="false">IFERROR(INDEX(System_Inventory!$B$5:$B$204,MATCH(B30,System_Inventory!$A$5:$A$204,0)),"")</f>
        <v/>
      </c>
      <c r="D30" s="15"/>
      <c r="E30" s="15"/>
      <c r="F30" s="15"/>
      <c r="G30" s="15"/>
      <c r="H30" s="15"/>
      <c r="I30" s="15"/>
      <c r="J30" s="15"/>
      <c r="K30" s="15"/>
    </row>
    <row r="31" customFormat="false" ht="15" hidden="false" customHeight="false" outlineLevel="0" collapsed="false">
      <c r="A31" s="15"/>
      <c r="B31" s="15"/>
      <c r="C31" s="16" t="str">
        <f aca="false">IFERROR(INDEX(System_Inventory!$B$5:$B$204,MATCH(B31,System_Inventory!$A$5:$A$204,0)),"")</f>
        <v/>
      </c>
      <c r="D31" s="15"/>
      <c r="E31" s="15"/>
      <c r="F31" s="15"/>
      <c r="G31" s="15"/>
      <c r="H31" s="15"/>
      <c r="I31" s="15"/>
      <c r="J31" s="15"/>
      <c r="K31" s="15"/>
    </row>
    <row r="32" customFormat="false" ht="15" hidden="false" customHeight="false" outlineLevel="0" collapsed="false">
      <c r="A32" s="15"/>
      <c r="B32" s="15"/>
      <c r="C32" s="16" t="str">
        <f aca="false">IFERROR(INDEX(System_Inventory!$B$5:$B$204,MATCH(B32,System_Inventory!$A$5:$A$204,0)),"")</f>
        <v/>
      </c>
      <c r="D32" s="15"/>
      <c r="E32" s="15"/>
      <c r="F32" s="15"/>
      <c r="G32" s="15"/>
      <c r="H32" s="15"/>
      <c r="I32" s="15"/>
      <c r="J32" s="15"/>
      <c r="K32" s="15"/>
    </row>
    <row r="33" customFormat="false" ht="15" hidden="false" customHeight="false" outlineLevel="0" collapsed="false">
      <c r="A33" s="15"/>
      <c r="B33" s="15"/>
      <c r="C33" s="16" t="str">
        <f aca="false">IFERROR(INDEX(System_Inventory!$B$5:$B$204,MATCH(B33,System_Inventory!$A$5:$A$204,0)),"")</f>
        <v/>
      </c>
      <c r="D33" s="15"/>
      <c r="E33" s="15"/>
      <c r="F33" s="15"/>
      <c r="G33" s="15"/>
      <c r="H33" s="15"/>
      <c r="I33" s="15"/>
      <c r="J33" s="15"/>
      <c r="K33" s="15"/>
    </row>
    <row r="34" customFormat="false" ht="15" hidden="false" customHeight="false" outlineLevel="0" collapsed="false">
      <c r="A34" s="15"/>
      <c r="B34" s="15"/>
      <c r="C34" s="16" t="str">
        <f aca="false">IFERROR(INDEX(System_Inventory!$B$5:$B$204,MATCH(B34,System_Inventory!$A$5:$A$204,0)),"")</f>
        <v/>
      </c>
      <c r="D34" s="15"/>
      <c r="E34" s="15"/>
      <c r="F34" s="15"/>
      <c r="G34" s="15"/>
      <c r="H34" s="15"/>
      <c r="I34" s="15"/>
      <c r="J34" s="15"/>
      <c r="K34" s="15"/>
    </row>
    <row r="35" customFormat="false" ht="15" hidden="false" customHeight="false" outlineLevel="0" collapsed="false">
      <c r="A35" s="15"/>
      <c r="B35" s="15"/>
      <c r="C35" s="16" t="str">
        <f aca="false">IFERROR(INDEX(System_Inventory!$B$5:$B$204,MATCH(B35,System_Inventory!$A$5:$A$204,0)),"")</f>
        <v/>
      </c>
      <c r="D35" s="15"/>
      <c r="E35" s="15"/>
      <c r="F35" s="15"/>
      <c r="G35" s="15"/>
      <c r="H35" s="15"/>
      <c r="I35" s="15"/>
      <c r="J35" s="15"/>
      <c r="K35" s="15"/>
    </row>
    <row r="36" customFormat="false" ht="15" hidden="false" customHeight="false" outlineLevel="0" collapsed="false">
      <c r="A36" s="15"/>
      <c r="B36" s="15"/>
      <c r="C36" s="16" t="str">
        <f aca="false">IFERROR(INDEX(System_Inventory!$B$5:$B$204,MATCH(B36,System_Inventory!$A$5:$A$204,0)),"")</f>
        <v/>
      </c>
      <c r="D36" s="15"/>
      <c r="E36" s="15"/>
      <c r="F36" s="15"/>
      <c r="G36" s="15"/>
      <c r="H36" s="15"/>
      <c r="I36" s="15"/>
      <c r="J36" s="15"/>
      <c r="K36" s="15"/>
    </row>
    <row r="37" customFormat="false" ht="15" hidden="false" customHeight="false" outlineLevel="0" collapsed="false">
      <c r="A37" s="15"/>
      <c r="B37" s="15"/>
      <c r="C37" s="16" t="str">
        <f aca="false">IFERROR(INDEX(System_Inventory!$B$5:$B$204,MATCH(B37,System_Inventory!$A$5:$A$204,0)),"")</f>
        <v/>
      </c>
      <c r="D37" s="15"/>
      <c r="E37" s="15"/>
      <c r="F37" s="15"/>
      <c r="G37" s="15"/>
      <c r="H37" s="15"/>
      <c r="I37" s="15"/>
      <c r="J37" s="15"/>
      <c r="K37" s="15"/>
    </row>
    <row r="38" customFormat="false" ht="15" hidden="false" customHeight="false" outlineLevel="0" collapsed="false">
      <c r="A38" s="15"/>
      <c r="B38" s="15"/>
      <c r="C38" s="16" t="str">
        <f aca="false">IFERROR(INDEX(System_Inventory!$B$5:$B$204,MATCH(B38,System_Inventory!$A$5:$A$204,0)),"")</f>
        <v/>
      </c>
      <c r="D38" s="15"/>
      <c r="E38" s="15"/>
      <c r="F38" s="15"/>
      <c r="G38" s="15"/>
      <c r="H38" s="15"/>
      <c r="I38" s="15"/>
      <c r="J38" s="15"/>
      <c r="K38" s="15"/>
    </row>
    <row r="39" customFormat="false" ht="15" hidden="false" customHeight="false" outlineLevel="0" collapsed="false">
      <c r="A39" s="15"/>
      <c r="B39" s="15"/>
      <c r="C39" s="16" t="str">
        <f aca="false">IFERROR(INDEX(System_Inventory!$B$5:$B$204,MATCH(B39,System_Inventory!$A$5:$A$204,0)),"")</f>
        <v/>
      </c>
      <c r="D39" s="15"/>
      <c r="E39" s="15"/>
      <c r="F39" s="15"/>
      <c r="G39" s="15"/>
      <c r="H39" s="15"/>
      <c r="I39" s="15"/>
      <c r="J39" s="15"/>
      <c r="K39" s="15"/>
    </row>
    <row r="40" customFormat="false" ht="15" hidden="false" customHeight="false" outlineLevel="0" collapsed="false">
      <c r="A40" s="15"/>
      <c r="B40" s="15"/>
      <c r="C40" s="16" t="str">
        <f aca="false">IFERROR(INDEX(System_Inventory!$B$5:$B$204,MATCH(B40,System_Inventory!$A$5:$A$204,0)),"")</f>
        <v/>
      </c>
      <c r="D40" s="15"/>
      <c r="E40" s="15"/>
      <c r="F40" s="15"/>
      <c r="G40" s="15"/>
      <c r="H40" s="15"/>
      <c r="I40" s="15"/>
      <c r="J40" s="15"/>
      <c r="K40" s="15"/>
    </row>
    <row r="41" customFormat="false" ht="15" hidden="false" customHeight="false" outlineLevel="0" collapsed="false">
      <c r="A41" s="15"/>
      <c r="B41" s="15"/>
      <c r="C41" s="16" t="str">
        <f aca="false">IFERROR(INDEX(System_Inventory!$B$5:$B$204,MATCH(B41,System_Inventory!$A$5:$A$204,0)),"")</f>
        <v/>
      </c>
      <c r="D41" s="15"/>
      <c r="E41" s="15"/>
      <c r="F41" s="15"/>
      <c r="G41" s="15"/>
      <c r="H41" s="15"/>
      <c r="I41" s="15"/>
      <c r="J41" s="15"/>
      <c r="K41" s="15"/>
    </row>
    <row r="42" customFormat="false" ht="15" hidden="false" customHeight="false" outlineLevel="0" collapsed="false">
      <c r="A42" s="15"/>
      <c r="B42" s="15"/>
      <c r="C42" s="16" t="str">
        <f aca="false">IFERROR(INDEX(System_Inventory!$B$5:$B$204,MATCH(B42,System_Inventory!$A$5:$A$204,0)),"")</f>
        <v/>
      </c>
      <c r="D42" s="15"/>
      <c r="E42" s="15"/>
      <c r="F42" s="15"/>
      <c r="G42" s="15"/>
      <c r="H42" s="15"/>
      <c r="I42" s="15"/>
      <c r="J42" s="15"/>
      <c r="K42" s="15"/>
    </row>
    <row r="43" customFormat="false" ht="15" hidden="false" customHeight="false" outlineLevel="0" collapsed="false">
      <c r="A43" s="15"/>
      <c r="B43" s="15"/>
      <c r="C43" s="16" t="str">
        <f aca="false">IFERROR(INDEX(System_Inventory!$B$5:$B$204,MATCH(B43,System_Inventory!$A$5:$A$204,0)),"")</f>
        <v/>
      </c>
      <c r="D43" s="15"/>
      <c r="E43" s="15"/>
      <c r="F43" s="15"/>
      <c r="G43" s="15"/>
      <c r="H43" s="15"/>
      <c r="I43" s="15"/>
      <c r="J43" s="15"/>
      <c r="K43" s="15"/>
    </row>
    <row r="44" customFormat="false" ht="15" hidden="false" customHeight="false" outlineLevel="0" collapsed="false">
      <c r="A44" s="15"/>
      <c r="B44" s="15"/>
      <c r="C44" s="16" t="str">
        <f aca="false">IFERROR(INDEX(System_Inventory!$B$5:$B$204,MATCH(B44,System_Inventory!$A$5:$A$204,0)),"")</f>
        <v/>
      </c>
      <c r="D44" s="15"/>
      <c r="E44" s="15"/>
      <c r="F44" s="15"/>
      <c r="G44" s="15"/>
      <c r="H44" s="15"/>
      <c r="I44" s="15"/>
      <c r="J44" s="15"/>
      <c r="K44" s="15"/>
    </row>
    <row r="45" customFormat="false" ht="15" hidden="false" customHeight="false" outlineLevel="0" collapsed="false">
      <c r="A45" s="15"/>
      <c r="B45" s="15"/>
      <c r="C45" s="16" t="str">
        <f aca="false">IFERROR(INDEX(System_Inventory!$B$5:$B$204,MATCH(B45,System_Inventory!$A$5:$A$204,0)),"")</f>
        <v/>
      </c>
      <c r="D45" s="15"/>
      <c r="E45" s="15"/>
      <c r="F45" s="15"/>
      <c r="G45" s="15"/>
      <c r="H45" s="15"/>
      <c r="I45" s="15"/>
      <c r="J45" s="15"/>
      <c r="K45" s="15"/>
    </row>
    <row r="46" customFormat="false" ht="15" hidden="false" customHeight="false" outlineLevel="0" collapsed="false">
      <c r="A46" s="15"/>
      <c r="B46" s="15"/>
      <c r="C46" s="16" t="str">
        <f aca="false">IFERROR(INDEX(System_Inventory!$B$5:$B$204,MATCH(B46,System_Inventory!$A$5:$A$204,0)),"")</f>
        <v/>
      </c>
      <c r="D46" s="15"/>
      <c r="E46" s="15"/>
      <c r="F46" s="15"/>
      <c r="G46" s="15"/>
      <c r="H46" s="15"/>
      <c r="I46" s="15"/>
      <c r="J46" s="15"/>
      <c r="K46" s="15"/>
    </row>
    <row r="47" customFormat="false" ht="15" hidden="false" customHeight="false" outlineLevel="0" collapsed="false">
      <c r="A47" s="15"/>
      <c r="B47" s="15"/>
      <c r="C47" s="16" t="str">
        <f aca="false">IFERROR(INDEX(System_Inventory!$B$5:$B$204,MATCH(B47,System_Inventory!$A$5:$A$204,0)),"")</f>
        <v/>
      </c>
      <c r="D47" s="15"/>
      <c r="E47" s="15"/>
      <c r="F47" s="15"/>
      <c r="G47" s="15"/>
      <c r="H47" s="15"/>
      <c r="I47" s="15"/>
      <c r="J47" s="15"/>
      <c r="K47" s="15"/>
    </row>
    <row r="48" customFormat="false" ht="15" hidden="false" customHeight="false" outlineLevel="0" collapsed="false">
      <c r="A48" s="15"/>
      <c r="B48" s="15"/>
      <c r="C48" s="16" t="str">
        <f aca="false">IFERROR(INDEX(System_Inventory!$B$5:$B$204,MATCH(B48,System_Inventory!$A$5:$A$204,0)),"")</f>
        <v/>
      </c>
      <c r="D48" s="15"/>
      <c r="E48" s="15"/>
      <c r="F48" s="15"/>
      <c r="G48" s="15"/>
      <c r="H48" s="15"/>
      <c r="I48" s="15"/>
      <c r="J48" s="15"/>
      <c r="K48" s="15"/>
    </row>
    <row r="49" customFormat="false" ht="15" hidden="false" customHeight="false" outlineLevel="0" collapsed="false">
      <c r="A49" s="15"/>
      <c r="B49" s="15"/>
      <c r="C49" s="16" t="str">
        <f aca="false">IFERROR(INDEX(System_Inventory!$B$5:$B$204,MATCH(B49,System_Inventory!$A$5:$A$204,0)),"")</f>
        <v/>
      </c>
      <c r="D49" s="15"/>
      <c r="E49" s="15"/>
      <c r="F49" s="15"/>
      <c r="G49" s="15"/>
      <c r="H49" s="15"/>
      <c r="I49" s="15"/>
      <c r="J49" s="15"/>
      <c r="K49" s="15"/>
    </row>
    <row r="50" customFormat="false" ht="15" hidden="false" customHeight="false" outlineLevel="0" collapsed="false">
      <c r="A50" s="15"/>
      <c r="B50" s="15"/>
      <c r="C50" s="16" t="str">
        <f aca="false">IFERROR(INDEX(System_Inventory!$B$5:$B$204,MATCH(B50,System_Inventory!$A$5:$A$204,0)),"")</f>
        <v/>
      </c>
      <c r="D50" s="15"/>
      <c r="E50" s="15"/>
      <c r="F50" s="15"/>
      <c r="G50" s="15"/>
      <c r="H50" s="15"/>
      <c r="I50" s="15"/>
      <c r="J50" s="15"/>
      <c r="K50" s="15"/>
    </row>
    <row r="51" customFormat="false" ht="15" hidden="false" customHeight="false" outlineLevel="0" collapsed="false">
      <c r="A51" s="15"/>
      <c r="B51" s="15"/>
      <c r="C51" s="16" t="str">
        <f aca="false">IFERROR(INDEX(System_Inventory!$B$5:$B$204,MATCH(B51,System_Inventory!$A$5:$A$204,0)),"")</f>
        <v/>
      </c>
      <c r="D51" s="15"/>
      <c r="E51" s="15"/>
      <c r="F51" s="15"/>
      <c r="G51" s="15"/>
      <c r="H51" s="15"/>
      <c r="I51" s="15"/>
      <c r="J51" s="15"/>
      <c r="K51" s="15"/>
    </row>
    <row r="52" customFormat="false" ht="15" hidden="false" customHeight="false" outlineLevel="0" collapsed="false">
      <c r="A52" s="15"/>
      <c r="B52" s="15"/>
      <c r="C52" s="16" t="str">
        <f aca="false">IFERROR(INDEX(System_Inventory!$B$5:$B$204,MATCH(B52,System_Inventory!$A$5:$A$204,0)),"")</f>
        <v/>
      </c>
      <c r="D52" s="15"/>
      <c r="E52" s="15"/>
      <c r="F52" s="15"/>
      <c r="G52" s="15"/>
      <c r="H52" s="15"/>
      <c r="I52" s="15"/>
      <c r="J52" s="15"/>
      <c r="K52" s="15"/>
    </row>
    <row r="53" customFormat="false" ht="15" hidden="false" customHeight="false" outlineLevel="0" collapsed="false">
      <c r="A53" s="15"/>
      <c r="B53" s="15"/>
      <c r="C53" s="16" t="str">
        <f aca="false">IFERROR(INDEX(System_Inventory!$B$5:$B$204,MATCH(B53,System_Inventory!$A$5:$A$204,0)),"")</f>
        <v/>
      </c>
      <c r="D53" s="15"/>
      <c r="E53" s="15"/>
      <c r="F53" s="15"/>
      <c r="G53" s="15"/>
      <c r="H53" s="15"/>
      <c r="I53" s="15"/>
      <c r="J53" s="15"/>
      <c r="K53" s="15"/>
    </row>
    <row r="54" customFormat="false" ht="15" hidden="false" customHeight="false" outlineLevel="0" collapsed="false">
      <c r="A54" s="15"/>
      <c r="B54" s="15"/>
      <c r="C54" s="16" t="str">
        <f aca="false">IFERROR(INDEX(System_Inventory!$B$5:$B$204,MATCH(B54,System_Inventory!$A$5:$A$204,0)),"")</f>
        <v/>
      </c>
      <c r="D54" s="15"/>
      <c r="E54" s="15"/>
      <c r="F54" s="15"/>
      <c r="G54" s="15"/>
      <c r="H54" s="15"/>
      <c r="I54" s="15"/>
      <c r="J54" s="15"/>
      <c r="K54" s="15"/>
    </row>
    <row r="55" customFormat="false" ht="15" hidden="false" customHeight="false" outlineLevel="0" collapsed="false">
      <c r="A55" s="15"/>
      <c r="B55" s="15"/>
      <c r="C55" s="16" t="str">
        <f aca="false">IFERROR(INDEX(System_Inventory!$B$5:$B$204,MATCH(B55,System_Inventory!$A$5:$A$204,0)),"")</f>
        <v/>
      </c>
      <c r="D55" s="15"/>
      <c r="E55" s="15"/>
      <c r="F55" s="15"/>
      <c r="G55" s="15"/>
      <c r="H55" s="15"/>
      <c r="I55" s="15"/>
      <c r="J55" s="15"/>
      <c r="K55" s="15"/>
    </row>
    <row r="56" customFormat="false" ht="15" hidden="false" customHeight="false" outlineLevel="0" collapsed="false">
      <c r="A56" s="15"/>
      <c r="B56" s="15"/>
      <c r="C56" s="16" t="str">
        <f aca="false">IFERROR(INDEX(System_Inventory!$B$5:$B$204,MATCH(B56,System_Inventory!$A$5:$A$204,0)),"")</f>
        <v/>
      </c>
      <c r="D56" s="15"/>
      <c r="E56" s="15"/>
      <c r="F56" s="15"/>
      <c r="G56" s="15"/>
      <c r="H56" s="15"/>
      <c r="I56" s="15"/>
      <c r="J56" s="15"/>
      <c r="K56" s="15"/>
    </row>
    <row r="57" customFormat="false" ht="15" hidden="false" customHeight="false" outlineLevel="0" collapsed="false">
      <c r="A57" s="15"/>
      <c r="B57" s="15"/>
      <c r="C57" s="16" t="str">
        <f aca="false">IFERROR(INDEX(System_Inventory!$B$5:$B$204,MATCH(B57,System_Inventory!$A$5:$A$204,0)),"")</f>
        <v/>
      </c>
      <c r="D57" s="15"/>
      <c r="E57" s="15"/>
      <c r="F57" s="15"/>
      <c r="G57" s="15"/>
      <c r="H57" s="15"/>
      <c r="I57" s="15"/>
      <c r="J57" s="15"/>
      <c r="K57" s="15"/>
    </row>
    <row r="58" customFormat="false" ht="15" hidden="false" customHeight="false" outlineLevel="0" collapsed="false">
      <c r="A58" s="15"/>
      <c r="B58" s="15"/>
      <c r="C58" s="16" t="str">
        <f aca="false">IFERROR(INDEX(System_Inventory!$B$5:$B$204,MATCH(B58,System_Inventory!$A$5:$A$204,0)),"")</f>
        <v/>
      </c>
      <c r="D58" s="15"/>
      <c r="E58" s="15"/>
      <c r="F58" s="15"/>
      <c r="G58" s="15"/>
      <c r="H58" s="15"/>
      <c r="I58" s="15"/>
      <c r="J58" s="15"/>
      <c r="K58" s="15"/>
    </row>
    <row r="59" customFormat="false" ht="15" hidden="false" customHeight="false" outlineLevel="0" collapsed="false">
      <c r="A59" s="15"/>
      <c r="B59" s="15"/>
      <c r="C59" s="16" t="str">
        <f aca="false">IFERROR(INDEX(System_Inventory!$B$5:$B$204,MATCH(B59,System_Inventory!$A$5:$A$204,0)),"")</f>
        <v/>
      </c>
      <c r="D59" s="15"/>
      <c r="E59" s="15"/>
      <c r="F59" s="15"/>
      <c r="G59" s="15"/>
      <c r="H59" s="15"/>
      <c r="I59" s="15"/>
      <c r="J59" s="15"/>
      <c r="K59" s="15"/>
    </row>
    <row r="60" customFormat="false" ht="15" hidden="false" customHeight="false" outlineLevel="0" collapsed="false">
      <c r="A60" s="15"/>
      <c r="B60" s="15"/>
      <c r="C60" s="16" t="str">
        <f aca="false">IFERROR(INDEX(System_Inventory!$B$5:$B$204,MATCH(B60,System_Inventory!$A$5:$A$204,0)),"")</f>
        <v/>
      </c>
      <c r="D60" s="15"/>
      <c r="E60" s="15"/>
      <c r="F60" s="15"/>
      <c r="G60" s="15"/>
      <c r="H60" s="15"/>
      <c r="I60" s="15"/>
      <c r="J60" s="15"/>
      <c r="K60" s="15"/>
    </row>
    <row r="61" customFormat="false" ht="15" hidden="false" customHeight="false" outlineLevel="0" collapsed="false">
      <c r="A61" s="15"/>
      <c r="B61" s="15"/>
      <c r="C61" s="16" t="str">
        <f aca="false">IFERROR(INDEX(System_Inventory!$B$5:$B$204,MATCH(B61,System_Inventory!$A$5:$A$204,0)),"")</f>
        <v/>
      </c>
      <c r="D61" s="15"/>
      <c r="E61" s="15"/>
      <c r="F61" s="15"/>
      <c r="G61" s="15"/>
      <c r="H61" s="15"/>
      <c r="I61" s="15"/>
      <c r="J61" s="15"/>
      <c r="K61" s="15"/>
    </row>
    <row r="62" customFormat="false" ht="15" hidden="false" customHeight="false" outlineLevel="0" collapsed="false">
      <c r="A62" s="15"/>
      <c r="B62" s="15"/>
      <c r="C62" s="16" t="str">
        <f aca="false">IFERROR(INDEX(System_Inventory!$B$5:$B$204,MATCH(B62,System_Inventory!$A$5:$A$204,0)),"")</f>
        <v/>
      </c>
      <c r="D62" s="15"/>
      <c r="E62" s="15"/>
      <c r="F62" s="15"/>
      <c r="G62" s="15"/>
      <c r="H62" s="15"/>
      <c r="I62" s="15"/>
      <c r="J62" s="15"/>
      <c r="K62" s="15"/>
    </row>
    <row r="63" customFormat="false" ht="15" hidden="false" customHeight="false" outlineLevel="0" collapsed="false">
      <c r="A63" s="15"/>
      <c r="B63" s="15"/>
      <c r="C63" s="16" t="str">
        <f aca="false">IFERROR(INDEX(System_Inventory!$B$5:$B$204,MATCH(B63,System_Inventory!$A$5:$A$204,0)),"")</f>
        <v/>
      </c>
      <c r="D63" s="15"/>
      <c r="E63" s="15"/>
      <c r="F63" s="15"/>
      <c r="G63" s="15"/>
      <c r="H63" s="15"/>
      <c r="I63" s="15"/>
      <c r="J63" s="15"/>
      <c r="K63" s="15"/>
    </row>
    <row r="64" customFormat="false" ht="15" hidden="false" customHeight="false" outlineLevel="0" collapsed="false">
      <c r="A64" s="15"/>
      <c r="B64" s="15"/>
      <c r="C64" s="16" t="str">
        <f aca="false">IFERROR(INDEX(System_Inventory!$B$5:$B$204,MATCH(B64,System_Inventory!$A$5:$A$204,0)),"")</f>
        <v/>
      </c>
      <c r="D64" s="15"/>
      <c r="E64" s="15"/>
      <c r="F64" s="15"/>
      <c r="G64" s="15"/>
      <c r="H64" s="15"/>
      <c r="I64" s="15"/>
      <c r="J64" s="15"/>
      <c r="K64" s="15"/>
    </row>
    <row r="65" customFormat="false" ht="15" hidden="false" customHeight="false" outlineLevel="0" collapsed="false">
      <c r="A65" s="15"/>
      <c r="B65" s="15"/>
      <c r="C65" s="16" t="str">
        <f aca="false">IFERROR(INDEX(System_Inventory!$B$5:$B$204,MATCH(B65,System_Inventory!$A$5:$A$204,0)),"")</f>
        <v/>
      </c>
      <c r="D65" s="15"/>
      <c r="E65" s="15"/>
      <c r="F65" s="15"/>
      <c r="G65" s="15"/>
      <c r="H65" s="15"/>
      <c r="I65" s="15"/>
      <c r="J65" s="15"/>
      <c r="K65" s="15"/>
    </row>
    <row r="66" customFormat="false" ht="15" hidden="false" customHeight="false" outlineLevel="0" collapsed="false">
      <c r="A66" s="15"/>
      <c r="B66" s="15"/>
      <c r="C66" s="16" t="str">
        <f aca="false">IFERROR(INDEX(System_Inventory!$B$5:$B$204,MATCH(B66,System_Inventory!$A$5:$A$204,0)),"")</f>
        <v/>
      </c>
      <c r="D66" s="15"/>
      <c r="E66" s="15"/>
      <c r="F66" s="15"/>
      <c r="G66" s="15"/>
      <c r="H66" s="15"/>
      <c r="I66" s="15"/>
      <c r="J66" s="15"/>
      <c r="K66" s="15"/>
    </row>
    <row r="67" customFormat="false" ht="15" hidden="false" customHeight="false" outlineLevel="0" collapsed="false">
      <c r="A67" s="15"/>
      <c r="B67" s="15"/>
      <c r="C67" s="16" t="str">
        <f aca="false">IFERROR(INDEX(System_Inventory!$B$5:$B$204,MATCH(B67,System_Inventory!$A$5:$A$204,0)),"")</f>
        <v/>
      </c>
      <c r="D67" s="15"/>
      <c r="E67" s="15"/>
      <c r="F67" s="15"/>
      <c r="G67" s="15"/>
      <c r="H67" s="15"/>
      <c r="I67" s="15"/>
      <c r="J67" s="15"/>
      <c r="K67" s="15"/>
    </row>
    <row r="68" customFormat="false" ht="15" hidden="false" customHeight="false" outlineLevel="0" collapsed="false">
      <c r="A68" s="15"/>
      <c r="B68" s="15"/>
      <c r="C68" s="16" t="str">
        <f aca="false">IFERROR(INDEX(System_Inventory!$B$5:$B$204,MATCH(B68,System_Inventory!$A$5:$A$204,0)),"")</f>
        <v/>
      </c>
      <c r="D68" s="15"/>
      <c r="E68" s="15"/>
      <c r="F68" s="15"/>
      <c r="G68" s="15"/>
      <c r="H68" s="15"/>
      <c r="I68" s="15"/>
      <c r="J68" s="15"/>
      <c r="K68" s="15"/>
    </row>
    <row r="69" customFormat="false" ht="15" hidden="false" customHeight="false" outlineLevel="0" collapsed="false">
      <c r="A69" s="15"/>
      <c r="B69" s="15"/>
      <c r="C69" s="16" t="str">
        <f aca="false">IFERROR(INDEX(System_Inventory!$B$5:$B$204,MATCH(B69,System_Inventory!$A$5:$A$204,0)),"")</f>
        <v/>
      </c>
      <c r="D69" s="15"/>
      <c r="E69" s="15"/>
      <c r="F69" s="15"/>
      <c r="G69" s="15"/>
      <c r="H69" s="15"/>
      <c r="I69" s="15"/>
      <c r="J69" s="15"/>
      <c r="K69" s="15"/>
    </row>
    <row r="70" customFormat="false" ht="15" hidden="false" customHeight="false" outlineLevel="0" collapsed="false">
      <c r="A70" s="15"/>
      <c r="B70" s="15"/>
      <c r="C70" s="16" t="str">
        <f aca="false">IFERROR(INDEX(System_Inventory!$B$5:$B$204,MATCH(B70,System_Inventory!$A$5:$A$204,0)),"")</f>
        <v/>
      </c>
      <c r="D70" s="15"/>
      <c r="E70" s="15"/>
      <c r="F70" s="15"/>
      <c r="G70" s="15"/>
      <c r="H70" s="15"/>
      <c r="I70" s="15"/>
      <c r="J70" s="15"/>
      <c r="K70" s="15"/>
    </row>
    <row r="71" customFormat="false" ht="15" hidden="false" customHeight="false" outlineLevel="0" collapsed="false">
      <c r="A71" s="15"/>
      <c r="B71" s="15"/>
      <c r="C71" s="16" t="str">
        <f aca="false">IFERROR(INDEX(System_Inventory!$B$5:$B$204,MATCH(B71,System_Inventory!$A$5:$A$204,0)),"")</f>
        <v/>
      </c>
      <c r="D71" s="15"/>
      <c r="E71" s="15"/>
      <c r="F71" s="15"/>
      <c r="G71" s="15"/>
      <c r="H71" s="15"/>
      <c r="I71" s="15"/>
      <c r="J71" s="15"/>
      <c r="K71" s="15"/>
    </row>
    <row r="72" customFormat="false" ht="15" hidden="false" customHeight="false" outlineLevel="0" collapsed="false">
      <c r="A72" s="15"/>
      <c r="B72" s="15"/>
      <c r="C72" s="16" t="str">
        <f aca="false">IFERROR(INDEX(System_Inventory!$B$5:$B$204,MATCH(B72,System_Inventory!$A$5:$A$204,0)),"")</f>
        <v/>
      </c>
      <c r="D72" s="15"/>
      <c r="E72" s="15"/>
      <c r="F72" s="15"/>
      <c r="G72" s="15"/>
      <c r="H72" s="15"/>
      <c r="I72" s="15"/>
      <c r="J72" s="15"/>
      <c r="K72" s="15"/>
    </row>
    <row r="73" customFormat="false" ht="15" hidden="false" customHeight="false" outlineLevel="0" collapsed="false">
      <c r="A73" s="15"/>
      <c r="B73" s="15"/>
      <c r="C73" s="16" t="str">
        <f aca="false">IFERROR(INDEX(System_Inventory!$B$5:$B$204,MATCH(B73,System_Inventory!$A$5:$A$204,0)),"")</f>
        <v/>
      </c>
      <c r="D73" s="15"/>
      <c r="E73" s="15"/>
      <c r="F73" s="15"/>
      <c r="G73" s="15"/>
      <c r="H73" s="15"/>
      <c r="I73" s="15"/>
      <c r="J73" s="15"/>
      <c r="K73" s="15"/>
    </row>
    <row r="74" customFormat="false" ht="15" hidden="false" customHeight="false" outlineLevel="0" collapsed="false">
      <c r="A74" s="15"/>
      <c r="B74" s="15"/>
      <c r="C74" s="16" t="str">
        <f aca="false">IFERROR(INDEX(System_Inventory!$B$5:$B$204,MATCH(B74,System_Inventory!$A$5:$A$204,0)),"")</f>
        <v/>
      </c>
      <c r="D74" s="15"/>
      <c r="E74" s="15"/>
      <c r="F74" s="15"/>
      <c r="G74" s="15"/>
      <c r="H74" s="15"/>
      <c r="I74" s="15"/>
      <c r="J74" s="15"/>
      <c r="K74" s="15"/>
    </row>
    <row r="75" customFormat="false" ht="15" hidden="false" customHeight="false" outlineLevel="0" collapsed="false">
      <c r="A75" s="15"/>
      <c r="B75" s="15"/>
      <c r="C75" s="16" t="str">
        <f aca="false">IFERROR(INDEX(System_Inventory!$B$5:$B$204,MATCH(B75,System_Inventory!$A$5:$A$204,0)),"")</f>
        <v/>
      </c>
      <c r="D75" s="15"/>
      <c r="E75" s="15"/>
      <c r="F75" s="15"/>
      <c r="G75" s="15"/>
      <c r="H75" s="15"/>
      <c r="I75" s="15"/>
      <c r="J75" s="15"/>
      <c r="K75" s="15"/>
    </row>
    <row r="76" customFormat="false" ht="15" hidden="false" customHeight="false" outlineLevel="0" collapsed="false">
      <c r="A76" s="15"/>
      <c r="B76" s="15"/>
      <c r="C76" s="16" t="str">
        <f aca="false">IFERROR(INDEX(System_Inventory!$B$5:$B$204,MATCH(B76,System_Inventory!$A$5:$A$204,0)),"")</f>
        <v/>
      </c>
      <c r="D76" s="15"/>
      <c r="E76" s="15"/>
      <c r="F76" s="15"/>
      <c r="G76" s="15"/>
      <c r="H76" s="15"/>
      <c r="I76" s="15"/>
      <c r="J76" s="15"/>
      <c r="K76" s="15"/>
    </row>
    <row r="77" customFormat="false" ht="15" hidden="false" customHeight="false" outlineLevel="0" collapsed="false">
      <c r="A77" s="15"/>
      <c r="B77" s="15"/>
      <c r="C77" s="16" t="str">
        <f aca="false">IFERROR(INDEX(System_Inventory!$B$5:$B$204,MATCH(B77,System_Inventory!$A$5:$A$204,0)),"")</f>
        <v/>
      </c>
      <c r="D77" s="15"/>
      <c r="E77" s="15"/>
      <c r="F77" s="15"/>
      <c r="G77" s="15"/>
      <c r="H77" s="15"/>
      <c r="I77" s="15"/>
      <c r="J77" s="15"/>
      <c r="K77" s="15"/>
    </row>
    <row r="78" customFormat="false" ht="15" hidden="false" customHeight="false" outlineLevel="0" collapsed="false">
      <c r="A78" s="15"/>
      <c r="B78" s="15"/>
      <c r="C78" s="16" t="str">
        <f aca="false">IFERROR(INDEX(System_Inventory!$B$5:$B$204,MATCH(B78,System_Inventory!$A$5:$A$204,0)),"")</f>
        <v/>
      </c>
      <c r="D78" s="15"/>
      <c r="E78" s="15"/>
      <c r="F78" s="15"/>
      <c r="G78" s="15"/>
      <c r="H78" s="15"/>
      <c r="I78" s="15"/>
      <c r="J78" s="15"/>
      <c r="K78" s="15"/>
    </row>
    <row r="79" customFormat="false" ht="15" hidden="false" customHeight="false" outlineLevel="0" collapsed="false">
      <c r="A79" s="15"/>
      <c r="B79" s="15"/>
      <c r="C79" s="16" t="str">
        <f aca="false">IFERROR(INDEX(System_Inventory!$B$5:$B$204,MATCH(B79,System_Inventory!$A$5:$A$204,0)),"")</f>
        <v/>
      </c>
      <c r="D79" s="15"/>
      <c r="E79" s="15"/>
      <c r="F79" s="15"/>
      <c r="G79" s="15"/>
      <c r="H79" s="15"/>
      <c r="I79" s="15"/>
      <c r="J79" s="15"/>
      <c r="K79" s="15"/>
    </row>
    <row r="80" customFormat="false" ht="15" hidden="false" customHeight="false" outlineLevel="0" collapsed="false">
      <c r="A80" s="15"/>
      <c r="B80" s="15"/>
      <c r="C80" s="16" t="str">
        <f aca="false">IFERROR(INDEX(System_Inventory!$B$5:$B$204,MATCH(B80,System_Inventory!$A$5:$A$204,0)),"")</f>
        <v/>
      </c>
      <c r="D80" s="15"/>
      <c r="E80" s="15"/>
      <c r="F80" s="15"/>
      <c r="G80" s="15"/>
      <c r="H80" s="15"/>
      <c r="I80" s="15"/>
      <c r="J80" s="15"/>
      <c r="K80" s="15"/>
    </row>
    <row r="81" customFormat="false" ht="15" hidden="false" customHeight="false" outlineLevel="0" collapsed="false">
      <c r="A81" s="15"/>
      <c r="B81" s="15"/>
      <c r="C81" s="16" t="str">
        <f aca="false">IFERROR(INDEX(System_Inventory!$B$5:$B$204,MATCH(B81,System_Inventory!$A$5:$A$204,0)),"")</f>
        <v/>
      </c>
      <c r="D81" s="15"/>
      <c r="E81" s="15"/>
      <c r="F81" s="15"/>
      <c r="G81" s="15"/>
      <c r="H81" s="15"/>
      <c r="I81" s="15"/>
      <c r="J81" s="15"/>
      <c r="K81" s="15"/>
    </row>
    <row r="82" customFormat="false" ht="15" hidden="false" customHeight="false" outlineLevel="0" collapsed="false">
      <c r="A82" s="15"/>
      <c r="B82" s="15"/>
      <c r="C82" s="16" t="str">
        <f aca="false">IFERROR(INDEX(System_Inventory!$B$5:$B$204,MATCH(B82,System_Inventory!$A$5:$A$204,0)),"")</f>
        <v/>
      </c>
      <c r="D82" s="15"/>
      <c r="E82" s="15"/>
      <c r="F82" s="15"/>
      <c r="G82" s="15"/>
      <c r="H82" s="15"/>
      <c r="I82" s="15"/>
      <c r="J82" s="15"/>
      <c r="K82" s="15"/>
    </row>
    <row r="83" customFormat="false" ht="15" hidden="false" customHeight="false" outlineLevel="0" collapsed="false">
      <c r="A83" s="15"/>
      <c r="B83" s="15"/>
      <c r="C83" s="16" t="str">
        <f aca="false">IFERROR(INDEX(System_Inventory!$B$5:$B$204,MATCH(B83,System_Inventory!$A$5:$A$204,0)),"")</f>
        <v/>
      </c>
      <c r="D83" s="15"/>
      <c r="E83" s="15"/>
      <c r="F83" s="15"/>
      <c r="G83" s="15"/>
      <c r="H83" s="15"/>
      <c r="I83" s="15"/>
      <c r="J83" s="15"/>
      <c r="K83" s="15"/>
    </row>
    <row r="84" customFormat="false" ht="15" hidden="false" customHeight="false" outlineLevel="0" collapsed="false">
      <c r="A84" s="15"/>
      <c r="B84" s="15"/>
      <c r="C84" s="16" t="str">
        <f aca="false">IFERROR(INDEX(System_Inventory!$B$5:$B$204,MATCH(B84,System_Inventory!$A$5:$A$204,0)),"")</f>
        <v/>
      </c>
      <c r="D84" s="15"/>
      <c r="E84" s="15"/>
      <c r="F84" s="15"/>
      <c r="G84" s="15"/>
      <c r="H84" s="15"/>
      <c r="I84" s="15"/>
      <c r="J84" s="15"/>
      <c r="K84" s="15"/>
    </row>
    <row r="85" customFormat="false" ht="15" hidden="false" customHeight="false" outlineLevel="0" collapsed="false">
      <c r="A85" s="15"/>
      <c r="B85" s="15"/>
      <c r="C85" s="16" t="str">
        <f aca="false">IFERROR(INDEX(System_Inventory!$B$5:$B$204,MATCH(B85,System_Inventory!$A$5:$A$204,0)),"")</f>
        <v/>
      </c>
      <c r="D85" s="15"/>
      <c r="E85" s="15"/>
      <c r="F85" s="15"/>
      <c r="G85" s="15"/>
      <c r="H85" s="15"/>
      <c r="I85" s="15"/>
      <c r="J85" s="15"/>
      <c r="K85" s="15"/>
    </row>
    <row r="86" customFormat="false" ht="15" hidden="false" customHeight="false" outlineLevel="0" collapsed="false">
      <c r="A86" s="15"/>
      <c r="B86" s="15"/>
      <c r="C86" s="16" t="str">
        <f aca="false">IFERROR(INDEX(System_Inventory!$B$5:$B$204,MATCH(B86,System_Inventory!$A$5:$A$204,0)),"")</f>
        <v/>
      </c>
      <c r="D86" s="15"/>
      <c r="E86" s="15"/>
      <c r="F86" s="15"/>
      <c r="G86" s="15"/>
      <c r="H86" s="15"/>
      <c r="I86" s="15"/>
      <c r="J86" s="15"/>
      <c r="K86" s="15"/>
    </row>
    <row r="87" customFormat="false" ht="15" hidden="false" customHeight="false" outlineLevel="0" collapsed="false">
      <c r="A87" s="15"/>
      <c r="B87" s="15"/>
      <c r="C87" s="16" t="str">
        <f aca="false">IFERROR(INDEX(System_Inventory!$B$5:$B$204,MATCH(B87,System_Inventory!$A$5:$A$204,0)),"")</f>
        <v/>
      </c>
      <c r="D87" s="15"/>
      <c r="E87" s="15"/>
      <c r="F87" s="15"/>
      <c r="G87" s="15"/>
      <c r="H87" s="15"/>
      <c r="I87" s="15"/>
      <c r="J87" s="15"/>
      <c r="K87" s="15"/>
    </row>
    <row r="88" customFormat="false" ht="15" hidden="false" customHeight="false" outlineLevel="0" collapsed="false">
      <c r="A88" s="15"/>
      <c r="B88" s="15"/>
      <c r="C88" s="16" t="str">
        <f aca="false">IFERROR(INDEX(System_Inventory!$B$5:$B$204,MATCH(B88,System_Inventory!$A$5:$A$204,0)),"")</f>
        <v/>
      </c>
      <c r="D88" s="15"/>
      <c r="E88" s="15"/>
      <c r="F88" s="15"/>
      <c r="G88" s="15"/>
      <c r="H88" s="15"/>
      <c r="I88" s="15"/>
      <c r="J88" s="15"/>
      <c r="K88" s="15"/>
    </row>
    <row r="89" customFormat="false" ht="15" hidden="false" customHeight="false" outlineLevel="0" collapsed="false">
      <c r="A89" s="15"/>
      <c r="B89" s="15"/>
      <c r="C89" s="16" t="str">
        <f aca="false">IFERROR(INDEX(System_Inventory!$B$5:$B$204,MATCH(B89,System_Inventory!$A$5:$A$204,0)),"")</f>
        <v/>
      </c>
      <c r="D89" s="15"/>
      <c r="E89" s="15"/>
      <c r="F89" s="15"/>
      <c r="G89" s="15"/>
      <c r="H89" s="15"/>
      <c r="I89" s="15"/>
      <c r="J89" s="15"/>
      <c r="K89" s="15"/>
    </row>
    <row r="90" customFormat="false" ht="15" hidden="false" customHeight="false" outlineLevel="0" collapsed="false">
      <c r="A90" s="15"/>
      <c r="B90" s="15"/>
      <c r="C90" s="16" t="str">
        <f aca="false">IFERROR(INDEX(System_Inventory!$B$5:$B$204,MATCH(B90,System_Inventory!$A$5:$A$204,0)),"")</f>
        <v/>
      </c>
      <c r="D90" s="15"/>
      <c r="E90" s="15"/>
      <c r="F90" s="15"/>
      <c r="G90" s="15"/>
      <c r="H90" s="15"/>
      <c r="I90" s="15"/>
      <c r="J90" s="15"/>
      <c r="K90" s="15"/>
    </row>
    <row r="91" customFormat="false" ht="15" hidden="false" customHeight="false" outlineLevel="0" collapsed="false">
      <c r="A91" s="15"/>
      <c r="B91" s="15"/>
      <c r="C91" s="16" t="str">
        <f aca="false">IFERROR(INDEX(System_Inventory!$B$5:$B$204,MATCH(B91,System_Inventory!$A$5:$A$204,0)),"")</f>
        <v/>
      </c>
      <c r="D91" s="15"/>
      <c r="E91" s="15"/>
      <c r="F91" s="15"/>
      <c r="G91" s="15"/>
      <c r="H91" s="15"/>
      <c r="I91" s="15"/>
      <c r="J91" s="15"/>
      <c r="K91" s="15"/>
    </row>
    <row r="92" customFormat="false" ht="15" hidden="false" customHeight="false" outlineLevel="0" collapsed="false">
      <c r="A92" s="15"/>
      <c r="B92" s="15"/>
      <c r="C92" s="16" t="str">
        <f aca="false">IFERROR(INDEX(System_Inventory!$B$5:$B$204,MATCH(B92,System_Inventory!$A$5:$A$204,0)),"")</f>
        <v/>
      </c>
      <c r="D92" s="15"/>
      <c r="E92" s="15"/>
      <c r="F92" s="15"/>
      <c r="G92" s="15"/>
      <c r="H92" s="15"/>
      <c r="I92" s="15"/>
      <c r="J92" s="15"/>
      <c r="K92" s="15"/>
    </row>
    <row r="93" customFormat="false" ht="15" hidden="false" customHeight="false" outlineLevel="0" collapsed="false">
      <c r="A93" s="15"/>
      <c r="B93" s="15"/>
      <c r="C93" s="16" t="str">
        <f aca="false">IFERROR(INDEX(System_Inventory!$B$5:$B$204,MATCH(B93,System_Inventory!$A$5:$A$204,0)),"")</f>
        <v/>
      </c>
      <c r="D93" s="15"/>
      <c r="E93" s="15"/>
      <c r="F93" s="15"/>
      <c r="G93" s="15"/>
      <c r="H93" s="15"/>
      <c r="I93" s="15"/>
      <c r="J93" s="15"/>
      <c r="K93" s="15"/>
    </row>
    <row r="94" customFormat="false" ht="15" hidden="false" customHeight="false" outlineLevel="0" collapsed="false">
      <c r="A94" s="15"/>
      <c r="B94" s="15"/>
      <c r="C94" s="16" t="str">
        <f aca="false">IFERROR(INDEX(System_Inventory!$B$5:$B$204,MATCH(B94,System_Inventory!$A$5:$A$204,0)),"")</f>
        <v/>
      </c>
      <c r="D94" s="15"/>
      <c r="E94" s="15"/>
      <c r="F94" s="15"/>
      <c r="G94" s="15"/>
      <c r="H94" s="15"/>
      <c r="I94" s="15"/>
      <c r="J94" s="15"/>
      <c r="K94" s="15"/>
    </row>
    <row r="95" customFormat="false" ht="15" hidden="false" customHeight="false" outlineLevel="0" collapsed="false">
      <c r="A95" s="15"/>
      <c r="B95" s="15"/>
      <c r="C95" s="16" t="str">
        <f aca="false">IFERROR(INDEX(System_Inventory!$B$5:$B$204,MATCH(B95,System_Inventory!$A$5:$A$204,0)),"")</f>
        <v/>
      </c>
      <c r="D95" s="15"/>
      <c r="E95" s="15"/>
      <c r="F95" s="15"/>
      <c r="G95" s="15"/>
      <c r="H95" s="15"/>
      <c r="I95" s="15"/>
      <c r="J95" s="15"/>
      <c r="K95" s="15"/>
    </row>
    <row r="96" customFormat="false" ht="15" hidden="false" customHeight="false" outlineLevel="0" collapsed="false">
      <c r="A96" s="15"/>
      <c r="B96" s="15"/>
      <c r="C96" s="16" t="str">
        <f aca="false">IFERROR(INDEX(System_Inventory!$B$5:$B$204,MATCH(B96,System_Inventory!$A$5:$A$204,0)),"")</f>
        <v/>
      </c>
      <c r="D96" s="15"/>
      <c r="E96" s="15"/>
      <c r="F96" s="15"/>
      <c r="G96" s="15"/>
      <c r="H96" s="15"/>
      <c r="I96" s="15"/>
      <c r="J96" s="15"/>
      <c r="K96" s="15"/>
    </row>
    <row r="97" customFormat="false" ht="15" hidden="false" customHeight="false" outlineLevel="0" collapsed="false">
      <c r="A97" s="15"/>
      <c r="B97" s="15"/>
      <c r="C97" s="16" t="str">
        <f aca="false">IFERROR(INDEX(System_Inventory!$B$5:$B$204,MATCH(B97,System_Inventory!$A$5:$A$204,0)),"")</f>
        <v/>
      </c>
      <c r="D97" s="15"/>
      <c r="E97" s="15"/>
      <c r="F97" s="15"/>
      <c r="G97" s="15"/>
      <c r="H97" s="15"/>
      <c r="I97" s="15"/>
      <c r="J97" s="15"/>
      <c r="K97" s="15"/>
    </row>
    <row r="98" customFormat="false" ht="15" hidden="false" customHeight="false" outlineLevel="0" collapsed="false">
      <c r="A98" s="15"/>
      <c r="B98" s="15"/>
      <c r="C98" s="16" t="str">
        <f aca="false">IFERROR(INDEX(System_Inventory!$B$5:$B$204,MATCH(B98,System_Inventory!$A$5:$A$204,0)),"")</f>
        <v/>
      </c>
      <c r="D98" s="15"/>
      <c r="E98" s="15"/>
      <c r="F98" s="15"/>
      <c r="G98" s="15"/>
      <c r="H98" s="15"/>
      <c r="I98" s="15"/>
      <c r="J98" s="15"/>
      <c r="K98" s="15"/>
    </row>
    <row r="99" customFormat="false" ht="15" hidden="false" customHeight="false" outlineLevel="0" collapsed="false">
      <c r="A99" s="15"/>
      <c r="B99" s="15"/>
      <c r="C99" s="16" t="str">
        <f aca="false">IFERROR(INDEX(System_Inventory!$B$5:$B$204,MATCH(B99,System_Inventory!$A$5:$A$204,0)),"")</f>
        <v/>
      </c>
      <c r="D99" s="15"/>
      <c r="E99" s="15"/>
      <c r="F99" s="15"/>
      <c r="G99" s="15"/>
      <c r="H99" s="15"/>
      <c r="I99" s="15"/>
      <c r="J99" s="15"/>
      <c r="K99" s="15"/>
    </row>
    <row r="100" customFormat="false" ht="15" hidden="false" customHeight="false" outlineLevel="0" collapsed="false">
      <c r="A100" s="15"/>
      <c r="B100" s="15"/>
      <c r="C100" s="16" t="str">
        <f aca="false">IFERROR(INDEX(System_Inventory!$B$5:$B$204,MATCH(B100,System_Inventory!$A$5:$A$204,0)),"")</f>
        <v/>
      </c>
      <c r="D100" s="15"/>
      <c r="E100" s="15"/>
      <c r="F100" s="15"/>
      <c r="G100" s="15"/>
      <c r="H100" s="15"/>
      <c r="I100" s="15"/>
      <c r="J100" s="15"/>
      <c r="K100" s="15"/>
    </row>
    <row r="101" customFormat="false" ht="15" hidden="false" customHeight="false" outlineLevel="0" collapsed="false">
      <c r="A101" s="15"/>
      <c r="B101" s="15"/>
      <c r="C101" s="16" t="str">
        <f aca="false">IFERROR(INDEX(System_Inventory!$B$5:$B$204,MATCH(B101,System_Inventory!$A$5:$A$204,0)),"")</f>
        <v/>
      </c>
      <c r="D101" s="15"/>
      <c r="E101" s="15"/>
      <c r="F101" s="15"/>
      <c r="G101" s="15"/>
      <c r="H101" s="15"/>
      <c r="I101" s="15"/>
      <c r="J101" s="15"/>
      <c r="K101" s="15"/>
    </row>
    <row r="102" customFormat="false" ht="15" hidden="false" customHeight="false" outlineLevel="0" collapsed="false">
      <c r="A102" s="15"/>
      <c r="B102" s="15"/>
      <c r="C102" s="16" t="str">
        <f aca="false">IFERROR(INDEX(System_Inventory!$B$5:$B$204,MATCH(B102,System_Inventory!$A$5:$A$204,0)),"")</f>
        <v/>
      </c>
      <c r="D102" s="15"/>
      <c r="E102" s="15"/>
      <c r="F102" s="15"/>
      <c r="G102" s="15"/>
      <c r="H102" s="15"/>
      <c r="I102" s="15"/>
      <c r="J102" s="15"/>
      <c r="K102" s="15"/>
    </row>
    <row r="103" customFormat="false" ht="15" hidden="false" customHeight="false" outlineLevel="0" collapsed="false">
      <c r="A103" s="15"/>
      <c r="B103" s="15"/>
      <c r="C103" s="16" t="str">
        <f aca="false">IFERROR(INDEX(System_Inventory!$B$5:$B$204,MATCH(B103,System_Inventory!$A$5:$A$204,0)),"")</f>
        <v/>
      </c>
      <c r="D103" s="15"/>
      <c r="E103" s="15"/>
      <c r="F103" s="15"/>
      <c r="G103" s="15"/>
      <c r="H103" s="15"/>
      <c r="I103" s="15"/>
      <c r="J103" s="15"/>
      <c r="K103" s="15"/>
    </row>
    <row r="104" customFormat="false" ht="15" hidden="false" customHeight="false" outlineLevel="0" collapsed="false">
      <c r="A104" s="15"/>
      <c r="B104" s="15"/>
      <c r="C104" s="16" t="str">
        <f aca="false">IFERROR(INDEX(System_Inventory!$B$5:$B$204,MATCH(B104,System_Inventory!$A$5:$A$204,0)),"")</f>
        <v/>
      </c>
      <c r="D104" s="15"/>
      <c r="E104" s="15"/>
      <c r="F104" s="15"/>
      <c r="G104" s="15"/>
      <c r="H104" s="15"/>
      <c r="I104" s="15"/>
      <c r="J104" s="15"/>
      <c r="K104" s="15"/>
    </row>
    <row r="105" customFormat="false" ht="15" hidden="false" customHeight="false" outlineLevel="0" collapsed="false">
      <c r="A105" s="15"/>
      <c r="B105" s="15"/>
      <c r="C105" s="16" t="str">
        <f aca="false">IFERROR(INDEX(System_Inventory!$B$5:$B$204,MATCH(B105,System_Inventory!$A$5:$A$204,0)),"")</f>
        <v/>
      </c>
      <c r="D105" s="15"/>
      <c r="E105" s="15"/>
      <c r="F105" s="15"/>
      <c r="G105" s="15"/>
      <c r="H105" s="15"/>
      <c r="I105" s="15"/>
      <c r="J105" s="15"/>
      <c r="K105" s="15"/>
    </row>
    <row r="106" customFormat="false" ht="15" hidden="false" customHeight="false" outlineLevel="0" collapsed="false">
      <c r="A106" s="15"/>
      <c r="B106" s="15"/>
      <c r="C106" s="16" t="str">
        <f aca="false">IFERROR(INDEX(System_Inventory!$B$5:$B$204,MATCH(B106,System_Inventory!$A$5:$A$204,0)),"")</f>
        <v/>
      </c>
      <c r="D106" s="15"/>
      <c r="E106" s="15"/>
      <c r="F106" s="15"/>
      <c r="G106" s="15"/>
      <c r="H106" s="15"/>
      <c r="I106" s="15"/>
      <c r="J106" s="15"/>
      <c r="K106" s="15"/>
    </row>
    <row r="107" customFormat="false" ht="15" hidden="false" customHeight="false" outlineLevel="0" collapsed="false">
      <c r="A107" s="15"/>
      <c r="B107" s="15"/>
      <c r="C107" s="16" t="str">
        <f aca="false">IFERROR(INDEX(System_Inventory!$B$5:$B$204,MATCH(B107,System_Inventory!$A$5:$A$204,0)),"")</f>
        <v/>
      </c>
      <c r="D107" s="15"/>
      <c r="E107" s="15"/>
      <c r="F107" s="15"/>
      <c r="G107" s="15"/>
      <c r="H107" s="15"/>
      <c r="I107" s="15"/>
      <c r="J107" s="15"/>
      <c r="K107" s="15"/>
    </row>
    <row r="108" customFormat="false" ht="15" hidden="false" customHeight="false" outlineLevel="0" collapsed="false">
      <c r="A108" s="15"/>
      <c r="B108" s="15"/>
      <c r="C108" s="16" t="str">
        <f aca="false">IFERROR(INDEX(System_Inventory!$B$5:$B$204,MATCH(B108,System_Inventory!$A$5:$A$204,0)),"")</f>
        <v/>
      </c>
      <c r="D108" s="15"/>
      <c r="E108" s="15"/>
      <c r="F108" s="15"/>
      <c r="G108" s="15"/>
      <c r="H108" s="15"/>
      <c r="I108" s="15"/>
      <c r="J108" s="15"/>
      <c r="K108" s="15"/>
    </row>
    <row r="109" customFormat="false" ht="15" hidden="false" customHeight="false" outlineLevel="0" collapsed="false">
      <c r="A109" s="15"/>
      <c r="B109" s="15"/>
      <c r="C109" s="16" t="str">
        <f aca="false">IFERROR(INDEX(System_Inventory!$B$5:$B$204,MATCH(B109,System_Inventory!$A$5:$A$204,0)),"")</f>
        <v/>
      </c>
      <c r="D109" s="15"/>
      <c r="E109" s="15"/>
      <c r="F109" s="15"/>
      <c r="G109" s="15"/>
      <c r="H109" s="15"/>
      <c r="I109" s="15"/>
      <c r="J109" s="15"/>
      <c r="K109" s="15"/>
    </row>
    <row r="110" customFormat="false" ht="15" hidden="false" customHeight="false" outlineLevel="0" collapsed="false">
      <c r="A110" s="15"/>
      <c r="B110" s="15"/>
      <c r="C110" s="16" t="str">
        <f aca="false">IFERROR(INDEX(System_Inventory!$B$5:$B$204,MATCH(B110,System_Inventory!$A$5:$A$204,0)),"")</f>
        <v/>
      </c>
      <c r="D110" s="15"/>
      <c r="E110" s="15"/>
      <c r="F110" s="15"/>
      <c r="G110" s="15"/>
      <c r="H110" s="15"/>
      <c r="I110" s="15"/>
      <c r="J110" s="15"/>
      <c r="K110" s="15"/>
    </row>
    <row r="111" customFormat="false" ht="15" hidden="false" customHeight="false" outlineLevel="0" collapsed="false">
      <c r="A111" s="15"/>
      <c r="B111" s="15"/>
      <c r="C111" s="16" t="str">
        <f aca="false">IFERROR(INDEX(System_Inventory!$B$5:$B$204,MATCH(B111,System_Inventory!$A$5:$A$204,0)),"")</f>
        <v/>
      </c>
      <c r="D111" s="15"/>
      <c r="E111" s="15"/>
      <c r="F111" s="15"/>
      <c r="G111" s="15"/>
      <c r="H111" s="15"/>
      <c r="I111" s="15"/>
      <c r="J111" s="15"/>
      <c r="K111" s="15"/>
    </row>
    <row r="112" customFormat="false" ht="15" hidden="false" customHeight="false" outlineLevel="0" collapsed="false">
      <c r="A112" s="15"/>
      <c r="B112" s="15"/>
      <c r="C112" s="16" t="str">
        <f aca="false">IFERROR(INDEX(System_Inventory!$B$5:$B$204,MATCH(B112,System_Inventory!$A$5:$A$204,0)),"")</f>
        <v/>
      </c>
      <c r="D112" s="15"/>
      <c r="E112" s="15"/>
      <c r="F112" s="15"/>
      <c r="G112" s="15"/>
      <c r="H112" s="15"/>
      <c r="I112" s="15"/>
      <c r="J112" s="15"/>
      <c r="K112" s="15"/>
    </row>
    <row r="113" customFormat="false" ht="15" hidden="false" customHeight="false" outlineLevel="0" collapsed="false">
      <c r="A113" s="15"/>
      <c r="B113" s="15"/>
      <c r="C113" s="16" t="str">
        <f aca="false">IFERROR(INDEX(System_Inventory!$B$5:$B$204,MATCH(B113,System_Inventory!$A$5:$A$204,0)),"")</f>
        <v/>
      </c>
      <c r="D113" s="15"/>
      <c r="E113" s="15"/>
      <c r="F113" s="15"/>
      <c r="G113" s="15"/>
      <c r="H113" s="15"/>
      <c r="I113" s="15"/>
      <c r="J113" s="15"/>
      <c r="K113" s="15"/>
    </row>
    <row r="114" customFormat="false" ht="15" hidden="false" customHeight="false" outlineLevel="0" collapsed="false">
      <c r="A114" s="15"/>
      <c r="B114" s="15"/>
      <c r="C114" s="16" t="str">
        <f aca="false">IFERROR(INDEX(System_Inventory!$B$5:$B$204,MATCH(B114,System_Inventory!$A$5:$A$204,0)),"")</f>
        <v/>
      </c>
      <c r="D114" s="15"/>
      <c r="E114" s="15"/>
      <c r="F114" s="15"/>
      <c r="G114" s="15"/>
      <c r="H114" s="15"/>
      <c r="I114" s="15"/>
      <c r="J114" s="15"/>
      <c r="K114" s="15"/>
    </row>
    <row r="115" customFormat="false" ht="15" hidden="false" customHeight="false" outlineLevel="0" collapsed="false">
      <c r="A115" s="15"/>
      <c r="B115" s="15"/>
      <c r="C115" s="16" t="str">
        <f aca="false">IFERROR(INDEX(System_Inventory!$B$5:$B$204,MATCH(B115,System_Inventory!$A$5:$A$204,0)),"")</f>
        <v/>
      </c>
      <c r="D115" s="15"/>
      <c r="E115" s="15"/>
      <c r="F115" s="15"/>
      <c r="G115" s="15"/>
      <c r="H115" s="15"/>
      <c r="I115" s="15"/>
      <c r="J115" s="15"/>
      <c r="K115" s="15"/>
    </row>
    <row r="116" customFormat="false" ht="15" hidden="false" customHeight="false" outlineLevel="0" collapsed="false">
      <c r="A116" s="15"/>
      <c r="B116" s="15"/>
      <c r="C116" s="16" t="str">
        <f aca="false">IFERROR(INDEX(System_Inventory!$B$5:$B$204,MATCH(B116,System_Inventory!$A$5:$A$204,0)),"")</f>
        <v/>
      </c>
      <c r="D116" s="15"/>
      <c r="E116" s="15"/>
      <c r="F116" s="15"/>
      <c r="G116" s="15"/>
      <c r="H116" s="15"/>
      <c r="I116" s="15"/>
      <c r="J116" s="15"/>
      <c r="K116" s="15"/>
    </row>
    <row r="117" customFormat="false" ht="15" hidden="false" customHeight="false" outlineLevel="0" collapsed="false">
      <c r="A117" s="15"/>
      <c r="B117" s="15"/>
      <c r="C117" s="16" t="str">
        <f aca="false">IFERROR(INDEX(System_Inventory!$B$5:$B$204,MATCH(B117,System_Inventory!$A$5:$A$204,0)),"")</f>
        <v/>
      </c>
      <c r="D117" s="15"/>
      <c r="E117" s="15"/>
      <c r="F117" s="15"/>
      <c r="G117" s="15"/>
      <c r="H117" s="15"/>
      <c r="I117" s="15"/>
      <c r="J117" s="15"/>
      <c r="K117" s="15"/>
    </row>
    <row r="118" customFormat="false" ht="15" hidden="false" customHeight="false" outlineLevel="0" collapsed="false">
      <c r="A118" s="15"/>
      <c r="B118" s="15"/>
      <c r="C118" s="16" t="str">
        <f aca="false">IFERROR(INDEX(System_Inventory!$B$5:$B$204,MATCH(B118,System_Inventory!$A$5:$A$204,0)),"")</f>
        <v/>
      </c>
      <c r="D118" s="15"/>
      <c r="E118" s="15"/>
      <c r="F118" s="15"/>
      <c r="G118" s="15"/>
      <c r="H118" s="15"/>
      <c r="I118" s="15"/>
      <c r="J118" s="15"/>
      <c r="K118" s="15"/>
    </row>
    <row r="119" customFormat="false" ht="15" hidden="false" customHeight="false" outlineLevel="0" collapsed="false">
      <c r="A119" s="15"/>
      <c r="B119" s="15"/>
      <c r="C119" s="16" t="str">
        <f aca="false">IFERROR(INDEX(System_Inventory!$B$5:$B$204,MATCH(B119,System_Inventory!$A$5:$A$204,0)),"")</f>
        <v/>
      </c>
      <c r="D119" s="15"/>
      <c r="E119" s="15"/>
      <c r="F119" s="15"/>
      <c r="G119" s="15"/>
      <c r="H119" s="15"/>
      <c r="I119" s="15"/>
      <c r="J119" s="15"/>
      <c r="K119" s="15"/>
    </row>
    <row r="120" customFormat="false" ht="15" hidden="false" customHeight="false" outlineLevel="0" collapsed="false">
      <c r="A120" s="15"/>
      <c r="B120" s="15"/>
      <c r="C120" s="16" t="str">
        <f aca="false">IFERROR(INDEX(System_Inventory!$B$5:$B$204,MATCH(B120,System_Inventory!$A$5:$A$204,0)),"")</f>
        <v/>
      </c>
      <c r="D120" s="15"/>
      <c r="E120" s="15"/>
      <c r="F120" s="15"/>
      <c r="G120" s="15"/>
      <c r="H120" s="15"/>
      <c r="I120" s="15"/>
      <c r="J120" s="15"/>
      <c r="K120" s="15"/>
    </row>
    <row r="121" customFormat="false" ht="15" hidden="false" customHeight="false" outlineLevel="0" collapsed="false">
      <c r="A121" s="15"/>
      <c r="B121" s="15"/>
      <c r="C121" s="16" t="str">
        <f aca="false">IFERROR(INDEX(System_Inventory!$B$5:$B$204,MATCH(B121,System_Inventory!$A$5:$A$204,0)),"")</f>
        <v/>
      </c>
      <c r="D121" s="15"/>
      <c r="E121" s="15"/>
      <c r="F121" s="15"/>
      <c r="G121" s="15"/>
      <c r="H121" s="15"/>
      <c r="I121" s="15"/>
      <c r="J121" s="15"/>
      <c r="K121" s="15"/>
    </row>
    <row r="122" customFormat="false" ht="15" hidden="false" customHeight="false" outlineLevel="0" collapsed="false">
      <c r="A122" s="15"/>
      <c r="B122" s="15"/>
      <c r="C122" s="16" t="str">
        <f aca="false">IFERROR(INDEX(System_Inventory!$B$5:$B$204,MATCH(B122,System_Inventory!$A$5:$A$204,0)),"")</f>
        <v/>
      </c>
      <c r="D122" s="15"/>
      <c r="E122" s="15"/>
      <c r="F122" s="15"/>
      <c r="G122" s="15"/>
      <c r="H122" s="15"/>
      <c r="I122" s="15"/>
      <c r="J122" s="15"/>
      <c r="K122" s="15"/>
    </row>
    <row r="123" customFormat="false" ht="15" hidden="false" customHeight="false" outlineLevel="0" collapsed="false">
      <c r="A123" s="15"/>
      <c r="B123" s="15"/>
      <c r="C123" s="16" t="str">
        <f aca="false">IFERROR(INDEX(System_Inventory!$B$5:$B$204,MATCH(B123,System_Inventory!$A$5:$A$204,0)),"")</f>
        <v/>
      </c>
      <c r="D123" s="15"/>
      <c r="E123" s="15"/>
      <c r="F123" s="15"/>
      <c r="G123" s="15"/>
      <c r="H123" s="15"/>
      <c r="I123" s="15"/>
      <c r="J123" s="15"/>
      <c r="K123" s="15"/>
    </row>
    <row r="124" customFormat="false" ht="15" hidden="false" customHeight="false" outlineLevel="0" collapsed="false">
      <c r="A124" s="15"/>
      <c r="B124" s="15"/>
      <c r="C124" s="16" t="str">
        <f aca="false">IFERROR(INDEX(System_Inventory!$B$5:$B$204,MATCH(B124,System_Inventory!$A$5:$A$204,0)),"")</f>
        <v/>
      </c>
      <c r="D124" s="15"/>
      <c r="E124" s="15"/>
      <c r="F124" s="15"/>
      <c r="G124" s="15"/>
      <c r="H124" s="15"/>
      <c r="I124" s="15"/>
      <c r="J124" s="15"/>
      <c r="K124" s="15"/>
    </row>
    <row r="125" customFormat="false" ht="15" hidden="false" customHeight="false" outlineLevel="0" collapsed="false">
      <c r="A125" s="15"/>
      <c r="B125" s="15"/>
      <c r="C125" s="16" t="str">
        <f aca="false">IFERROR(INDEX(System_Inventory!$B$5:$B$204,MATCH(B125,System_Inventory!$A$5:$A$204,0)),"")</f>
        <v/>
      </c>
      <c r="D125" s="15"/>
      <c r="E125" s="15"/>
      <c r="F125" s="15"/>
      <c r="G125" s="15"/>
      <c r="H125" s="15"/>
      <c r="I125" s="15"/>
      <c r="J125" s="15"/>
      <c r="K125" s="15"/>
    </row>
    <row r="126" customFormat="false" ht="15" hidden="false" customHeight="false" outlineLevel="0" collapsed="false">
      <c r="A126" s="15"/>
      <c r="B126" s="15"/>
      <c r="C126" s="16" t="str">
        <f aca="false">IFERROR(INDEX(System_Inventory!$B$5:$B$204,MATCH(B126,System_Inventory!$A$5:$A$204,0)),"")</f>
        <v/>
      </c>
      <c r="D126" s="15"/>
      <c r="E126" s="15"/>
      <c r="F126" s="15"/>
      <c r="G126" s="15"/>
      <c r="H126" s="15"/>
      <c r="I126" s="15"/>
      <c r="J126" s="15"/>
      <c r="K126" s="15"/>
    </row>
    <row r="127" customFormat="false" ht="15" hidden="false" customHeight="false" outlineLevel="0" collapsed="false">
      <c r="A127" s="15"/>
      <c r="B127" s="15"/>
      <c r="C127" s="16" t="str">
        <f aca="false">IFERROR(INDEX(System_Inventory!$B$5:$B$204,MATCH(B127,System_Inventory!$A$5:$A$204,0)),"")</f>
        <v/>
      </c>
      <c r="D127" s="15"/>
      <c r="E127" s="15"/>
      <c r="F127" s="15"/>
      <c r="G127" s="15"/>
      <c r="H127" s="15"/>
      <c r="I127" s="15"/>
      <c r="J127" s="15"/>
      <c r="K127" s="15"/>
    </row>
    <row r="128" customFormat="false" ht="15" hidden="false" customHeight="false" outlineLevel="0" collapsed="false">
      <c r="A128" s="15"/>
      <c r="B128" s="15"/>
      <c r="C128" s="16" t="str">
        <f aca="false">IFERROR(INDEX(System_Inventory!$B$5:$B$204,MATCH(B128,System_Inventory!$A$5:$A$204,0)),"")</f>
        <v/>
      </c>
      <c r="D128" s="15"/>
      <c r="E128" s="15"/>
      <c r="F128" s="15"/>
      <c r="G128" s="15"/>
      <c r="H128" s="15"/>
      <c r="I128" s="15"/>
      <c r="J128" s="15"/>
      <c r="K128" s="15"/>
    </row>
    <row r="129" customFormat="false" ht="15" hidden="false" customHeight="false" outlineLevel="0" collapsed="false">
      <c r="A129" s="15"/>
      <c r="B129" s="15"/>
      <c r="C129" s="16" t="str">
        <f aca="false">IFERROR(INDEX(System_Inventory!$B$5:$B$204,MATCH(B129,System_Inventory!$A$5:$A$204,0)),"")</f>
        <v/>
      </c>
      <c r="D129" s="15"/>
      <c r="E129" s="15"/>
      <c r="F129" s="15"/>
      <c r="G129" s="15"/>
      <c r="H129" s="15"/>
      <c r="I129" s="15"/>
      <c r="J129" s="15"/>
      <c r="K129" s="15"/>
    </row>
    <row r="130" customFormat="false" ht="15" hidden="false" customHeight="false" outlineLevel="0" collapsed="false">
      <c r="A130" s="15"/>
      <c r="B130" s="15"/>
      <c r="C130" s="16" t="str">
        <f aca="false">IFERROR(INDEX(System_Inventory!$B$5:$B$204,MATCH(B130,System_Inventory!$A$5:$A$204,0)),"")</f>
        <v/>
      </c>
      <c r="D130" s="15"/>
      <c r="E130" s="15"/>
      <c r="F130" s="15"/>
      <c r="G130" s="15"/>
      <c r="H130" s="15"/>
      <c r="I130" s="15"/>
      <c r="J130" s="15"/>
      <c r="K130" s="15"/>
    </row>
    <row r="131" customFormat="false" ht="15" hidden="false" customHeight="false" outlineLevel="0" collapsed="false">
      <c r="A131" s="15"/>
      <c r="B131" s="15"/>
      <c r="C131" s="16" t="str">
        <f aca="false">IFERROR(INDEX(System_Inventory!$B$5:$B$204,MATCH(B131,System_Inventory!$A$5:$A$204,0)),"")</f>
        <v/>
      </c>
      <c r="D131" s="15"/>
      <c r="E131" s="15"/>
      <c r="F131" s="15"/>
      <c r="G131" s="15"/>
      <c r="H131" s="15"/>
      <c r="I131" s="15"/>
      <c r="J131" s="15"/>
      <c r="K131" s="15"/>
    </row>
    <row r="132" customFormat="false" ht="15" hidden="false" customHeight="false" outlineLevel="0" collapsed="false">
      <c r="A132" s="15"/>
      <c r="B132" s="15"/>
      <c r="C132" s="16" t="str">
        <f aca="false">IFERROR(INDEX(System_Inventory!$B$5:$B$204,MATCH(B132,System_Inventory!$A$5:$A$204,0)),"")</f>
        <v/>
      </c>
      <c r="D132" s="15"/>
      <c r="E132" s="15"/>
      <c r="F132" s="15"/>
      <c r="G132" s="15"/>
      <c r="H132" s="15"/>
      <c r="I132" s="15"/>
      <c r="J132" s="15"/>
      <c r="K132" s="15"/>
    </row>
    <row r="133" customFormat="false" ht="15" hidden="false" customHeight="false" outlineLevel="0" collapsed="false">
      <c r="A133" s="15"/>
      <c r="B133" s="15"/>
      <c r="C133" s="16" t="str">
        <f aca="false">IFERROR(INDEX(System_Inventory!$B$5:$B$204,MATCH(B133,System_Inventory!$A$5:$A$204,0)),"")</f>
        <v/>
      </c>
      <c r="D133" s="15"/>
      <c r="E133" s="15"/>
      <c r="F133" s="15"/>
      <c r="G133" s="15"/>
      <c r="H133" s="15"/>
      <c r="I133" s="15"/>
      <c r="J133" s="15"/>
      <c r="K133" s="15"/>
    </row>
    <row r="134" customFormat="false" ht="15" hidden="false" customHeight="false" outlineLevel="0" collapsed="false">
      <c r="A134" s="15"/>
      <c r="B134" s="15"/>
      <c r="C134" s="16" t="str">
        <f aca="false">IFERROR(INDEX(System_Inventory!$B$5:$B$204,MATCH(B134,System_Inventory!$A$5:$A$204,0)),"")</f>
        <v/>
      </c>
      <c r="D134" s="15"/>
      <c r="E134" s="15"/>
      <c r="F134" s="15"/>
      <c r="G134" s="15"/>
      <c r="H134" s="15"/>
      <c r="I134" s="15"/>
      <c r="J134" s="15"/>
      <c r="K134" s="15"/>
    </row>
    <row r="135" customFormat="false" ht="15" hidden="false" customHeight="false" outlineLevel="0" collapsed="false">
      <c r="A135" s="15"/>
      <c r="B135" s="15"/>
      <c r="C135" s="16" t="str">
        <f aca="false">IFERROR(INDEX(System_Inventory!$B$5:$B$204,MATCH(B135,System_Inventory!$A$5:$A$204,0)),"")</f>
        <v/>
      </c>
      <c r="D135" s="15"/>
      <c r="E135" s="15"/>
      <c r="F135" s="15"/>
      <c r="G135" s="15"/>
      <c r="H135" s="15"/>
      <c r="I135" s="15"/>
      <c r="J135" s="15"/>
      <c r="K135" s="15"/>
    </row>
    <row r="136" customFormat="false" ht="15" hidden="false" customHeight="false" outlineLevel="0" collapsed="false">
      <c r="A136" s="15"/>
      <c r="B136" s="15"/>
      <c r="C136" s="16" t="str">
        <f aca="false">IFERROR(INDEX(System_Inventory!$B$5:$B$204,MATCH(B136,System_Inventory!$A$5:$A$204,0)),"")</f>
        <v/>
      </c>
      <c r="D136" s="15"/>
      <c r="E136" s="15"/>
      <c r="F136" s="15"/>
      <c r="G136" s="15"/>
      <c r="H136" s="15"/>
      <c r="I136" s="15"/>
      <c r="J136" s="15"/>
      <c r="K136" s="15"/>
    </row>
    <row r="137" customFormat="false" ht="15" hidden="false" customHeight="false" outlineLevel="0" collapsed="false">
      <c r="A137" s="15"/>
      <c r="B137" s="15"/>
      <c r="C137" s="16" t="str">
        <f aca="false">IFERROR(INDEX(System_Inventory!$B$5:$B$204,MATCH(B137,System_Inventory!$A$5:$A$204,0)),"")</f>
        <v/>
      </c>
      <c r="D137" s="15"/>
      <c r="E137" s="15"/>
      <c r="F137" s="15"/>
      <c r="G137" s="15"/>
      <c r="H137" s="15"/>
      <c r="I137" s="15"/>
      <c r="J137" s="15"/>
      <c r="K137" s="15"/>
    </row>
    <row r="138" customFormat="false" ht="15" hidden="false" customHeight="false" outlineLevel="0" collapsed="false">
      <c r="A138" s="15"/>
      <c r="B138" s="15"/>
      <c r="C138" s="16" t="str">
        <f aca="false">IFERROR(INDEX(System_Inventory!$B$5:$B$204,MATCH(B138,System_Inventory!$A$5:$A$204,0)),"")</f>
        <v/>
      </c>
      <c r="D138" s="15"/>
      <c r="E138" s="15"/>
      <c r="F138" s="15"/>
      <c r="G138" s="15"/>
      <c r="H138" s="15"/>
      <c r="I138" s="15"/>
      <c r="J138" s="15"/>
      <c r="K138" s="15"/>
    </row>
    <row r="139" customFormat="false" ht="15" hidden="false" customHeight="false" outlineLevel="0" collapsed="false">
      <c r="A139" s="15"/>
      <c r="B139" s="15"/>
      <c r="C139" s="16" t="str">
        <f aca="false">IFERROR(INDEX(System_Inventory!$B$5:$B$204,MATCH(B139,System_Inventory!$A$5:$A$204,0)),"")</f>
        <v/>
      </c>
      <c r="D139" s="15"/>
      <c r="E139" s="15"/>
      <c r="F139" s="15"/>
      <c r="G139" s="15"/>
      <c r="H139" s="15"/>
      <c r="I139" s="15"/>
      <c r="J139" s="15"/>
      <c r="K139" s="15"/>
    </row>
    <row r="140" customFormat="false" ht="15" hidden="false" customHeight="false" outlineLevel="0" collapsed="false">
      <c r="A140" s="15"/>
      <c r="B140" s="15"/>
      <c r="C140" s="16" t="str">
        <f aca="false">IFERROR(INDEX(System_Inventory!$B$5:$B$204,MATCH(B140,System_Inventory!$A$5:$A$204,0)),"")</f>
        <v/>
      </c>
      <c r="D140" s="15"/>
      <c r="E140" s="15"/>
      <c r="F140" s="15"/>
      <c r="G140" s="15"/>
      <c r="H140" s="15"/>
      <c r="I140" s="15"/>
      <c r="J140" s="15"/>
      <c r="K140" s="15"/>
    </row>
    <row r="141" customFormat="false" ht="15" hidden="false" customHeight="false" outlineLevel="0" collapsed="false">
      <c r="A141" s="15"/>
      <c r="B141" s="15"/>
      <c r="C141" s="16" t="str">
        <f aca="false">IFERROR(INDEX(System_Inventory!$B$5:$B$204,MATCH(B141,System_Inventory!$A$5:$A$204,0)),"")</f>
        <v/>
      </c>
      <c r="D141" s="15"/>
      <c r="E141" s="15"/>
      <c r="F141" s="15"/>
      <c r="G141" s="15"/>
      <c r="H141" s="15"/>
      <c r="I141" s="15"/>
      <c r="J141" s="15"/>
      <c r="K141" s="15"/>
    </row>
    <row r="142" customFormat="false" ht="15" hidden="false" customHeight="false" outlineLevel="0" collapsed="false">
      <c r="A142" s="15"/>
      <c r="B142" s="15"/>
      <c r="C142" s="16" t="str">
        <f aca="false">IFERROR(INDEX(System_Inventory!$B$5:$B$204,MATCH(B142,System_Inventory!$A$5:$A$204,0)),"")</f>
        <v/>
      </c>
      <c r="D142" s="15"/>
      <c r="E142" s="15"/>
      <c r="F142" s="15"/>
      <c r="G142" s="15"/>
      <c r="H142" s="15"/>
      <c r="I142" s="15"/>
      <c r="J142" s="15"/>
      <c r="K142" s="15"/>
    </row>
    <row r="143" customFormat="false" ht="15" hidden="false" customHeight="false" outlineLevel="0" collapsed="false">
      <c r="A143" s="15"/>
      <c r="B143" s="15"/>
      <c r="C143" s="16" t="str">
        <f aca="false">IFERROR(INDEX(System_Inventory!$B$5:$B$204,MATCH(B143,System_Inventory!$A$5:$A$204,0)),"")</f>
        <v/>
      </c>
      <c r="D143" s="15"/>
      <c r="E143" s="15"/>
      <c r="F143" s="15"/>
      <c r="G143" s="15"/>
      <c r="H143" s="15"/>
      <c r="I143" s="15"/>
      <c r="J143" s="15"/>
      <c r="K143" s="15"/>
    </row>
    <row r="144" customFormat="false" ht="15" hidden="false" customHeight="false" outlineLevel="0" collapsed="false">
      <c r="A144" s="15"/>
      <c r="B144" s="15"/>
      <c r="C144" s="16" t="str">
        <f aca="false">IFERROR(INDEX(System_Inventory!$B$5:$B$204,MATCH(B144,System_Inventory!$A$5:$A$204,0)),"")</f>
        <v/>
      </c>
      <c r="D144" s="15"/>
      <c r="E144" s="15"/>
      <c r="F144" s="15"/>
      <c r="G144" s="15"/>
      <c r="H144" s="15"/>
      <c r="I144" s="15"/>
      <c r="J144" s="15"/>
      <c r="K144" s="15"/>
    </row>
    <row r="145" customFormat="false" ht="15" hidden="false" customHeight="false" outlineLevel="0" collapsed="false">
      <c r="A145" s="15"/>
      <c r="B145" s="15"/>
      <c r="C145" s="16" t="str">
        <f aca="false">IFERROR(INDEX(System_Inventory!$B$5:$B$204,MATCH(B145,System_Inventory!$A$5:$A$204,0)),"")</f>
        <v/>
      </c>
      <c r="D145" s="15"/>
      <c r="E145" s="15"/>
      <c r="F145" s="15"/>
      <c r="G145" s="15"/>
      <c r="H145" s="15"/>
      <c r="I145" s="15"/>
      <c r="J145" s="15"/>
      <c r="K145" s="15"/>
    </row>
    <row r="146" customFormat="false" ht="15" hidden="false" customHeight="false" outlineLevel="0" collapsed="false">
      <c r="A146" s="15"/>
      <c r="B146" s="15"/>
      <c r="C146" s="16" t="str">
        <f aca="false">IFERROR(INDEX(System_Inventory!$B$5:$B$204,MATCH(B146,System_Inventory!$A$5:$A$204,0)),"")</f>
        <v/>
      </c>
      <c r="D146" s="15"/>
      <c r="E146" s="15"/>
      <c r="F146" s="15"/>
      <c r="G146" s="15"/>
      <c r="H146" s="15"/>
      <c r="I146" s="15"/>
      <c r="J146" s="15"/>
      <c r="K146" s="15"/>
    </row>
    <row r="147" customFormat="false" ht="15" hidden="false" customHeight="false" outlineLevel="0" collapsed="false">
      <c r="A147" s="15"/>
      <c r="B147" s="15"/>
      <c r="C147" s="16" t="str">
        <f aca="false">IFERROR(INDEX(System_Inventory!$B$5:$B$204,MATCH(B147,System_Inventory!$A$5:$A$204,0)),"")</f>
        <v/>
      </c>
      <c r="D147" s="15"/>
      <c r="E147" s="15"/>
      <c r="F147" s="15"/>
      <c r="G147" s="15"/>
      <c r="H147" s="15"/>
      <c r="I147" s="15"/>
      <c r="J147" s="15"/>
      <c r="K147" s="15"/>
    </row>
    <row r="148" customFormat="false" ht="15" hidden="false" customHeight="false" outlineLevel="0" collapsed="false">
      <c r="A148" s="15"/>
      <c r="B148" s="15"/>
      <c r="C148" s="16" t="str">
        <f aca="false">IFERROR(INDEX(System_Inventory!$B$5:$B$204,MATCH(B148,System_Inventory!$A$5:$A$204,0)),"")</f>
        <v/>
      </c>
      <c r="D148" s="15"/>
      <c r="E148" s="15"/>
      <c r="F148" s="15"/>
      <c r="G148" s="15"/>
      <c r="H148" s="15"/>
      <c r="I148" s="15"/>
      <c r="J148" s="15"/>
      <c r="K148" s="15"/>
    </row>
    <row r="149" customFormat="false" ht="15" hidden="false" customHeight="false" outlineLevel="0" collapsed="false">
      <c r="A149" s="15"/>
      <c r="B149" s="15"/>
      <c r="C149" s="16" t="str">
        <f aca="false">IFERROR(INDEX(System_Inventory!$B$5:$B$204,MATCH(B149,System_Inventory!$A$5:$A$204,0)),"")</f>
        <v/>
      </c>
      <c r="D149" s="15"/>
      <c r="E149" s="15"/>
      <c r="F149" s="15"/>
      <c r="G149" s="15"/>
      <c r="H149" s="15"/>
      <c r="I149" s="15"/>
      <c r="J149" s="15"/>
      <c r="K149" s="15"/>
    </row>
    <row r="150" customFormat="false" ht="15" hidden="false" customHeight="false" outlineLevel="0" collapsed="false">
      <c r="A150" s="15"/>
      <c r="B150" s="15"/>
      <c r="C150" s="16" t="str">
        <f aca="false">IFERROR(INDEX(System_Inventory!$B$5:$B$204,MATCH(B150,System_Inventory!$A$5:$A$204,0)),"")</f>
        <v/>
      </c>
      <c r="D150" s="15"/>
      <c r="E150" s="15"/>
      <c r="F150" s="15"/>
      <c r="G150" s="15"/>
      <c r="H150" s="15"/>
      <c r="I150" s="15"/>
      <c r="J150" s="15"/>
      <c r="K150" s="15"/>
    </row>
    <row r="151" customFormat="false" ht="15" hidden="false" customHeight="false" outlineLevel="0" collapsed="false">
      <c r="A151" s="15"/>
      <c r="B151" s="15"/>
      <c r="C151" s="16" t="str">
        <f aca="false">IFERROR(INDEX(System_Inventory!$B$5:$B$204,MATCH(B151,System_Inventory!$A$5:$A$204,0)),"")</f>
        <v/>
      </c>
      <c r="D151" s="15"/>
      <c r="E151" s="15"/>
      <c r="F151" s="15"/>
      <c r="G151" s="15"/>
      <c r="H151" s="15"/>
      <c r="I151" s="15"/>
      <c r="J151" s="15"/>
      <c r="K151" s="15"/>
    </row>
    <row r="152" customFormat="false" ht="15" hidden="false" customHeight="false" outlineLevel="0" collapsed="false">
      <c r="A152" s="15"/>
      <c r="B152" s="15"/>
      <c r="C152" s="16" t="str">
        <f aca="false">IFERROR(INDEX(System_Inventory!$B$5:$B$204,MATCH(B152,System_Inventory!$A$5:$A$204,0)),"")</f>
        <v/>
      </c>
      <c r="D152" s="15"/>
      <c r="E152" s="15"/>
      <c r="F152" s="15"/>
      <c r="G152" s="15"/>
      <c r="H152" s="15"/>
      <c r="I152" s="15"/>
      <c r="J152" s="15"/>
      <c r="K152" s="15"/>
    </row>
    <row r="153" customFormat="false" ht="15" hidden="false" customHeight="false" outlineLevel="0" collapsed="false">
      <c r="A153" s="15"/>
      <c r="B153" s="15"/>
      <c r="C153" s="16" t="str">
        <f aca="false">IFERROR(INDEX(System_Inventory!$B$5:$B$204,MATCH(B153,System_Inventory!$A$5:$A$204,0)),"")</f>
        <v/>
      </c>
      <c r="D153" s="15"/>
      <c r="E153" s="15"/>
      <c r="F153" s="15"/>
      <c r="G153" s="15"/>
      <c r="H153" s="15"/>
      <c r="I153" s="15"/>
      <c r="J153" s="15"/>
      <c r="K153" s="15"/>
    </row>
    <row r="154" customFormat="false" ht="15" hidden="false" customHeight="false" outlineLevel="0" collapsed="false">
      <c r="A154" s="15"/>
      <c r="B154" s="15"/>
      <c r="C154" s="16" t="str">
        <f aca="false">IFERROR(INDEX(System_Inventory!$B$5:$B$204,MATCH(B154,System_Inventory!$A$5:$A$204,0)),"")</f>
        <v/>
      </c>
      <c r="D154" s="15"/>
      <c r="E154" s="15"/>
      <c r="F154" s="15"/>
      <c r="G154" s="15"/>
      <c r="H154" s="15"/>
      <c r="I154" s="15"/>
      <c r="J154" s="15"/>
      <c r="K154" s="15"/>
    </row>
    <row r="155" customFormat="false" ht="15" hidden="false" customHeight="false" outlineLevel="0" collapsed="false">
      <c r="A155" s="15"/>
      <c r="B155" s="15"/>
      <c r="C155" s="16" t="str">
        <f aca="false">IFERROR(INDEX(System_Inventory!$B$5:$B$204,MATCH(B155,System_Inventory!$A$5:$A$204,0)),"")</f>
        <v/>
      </c>
      <c r="D155" s="15"/>
      <c r="E155" s="15"/>
      <c r="F155" s="15"/>
      <c r="G155" s="15"/>
      <c r="H155" s="15"/>
      <c r="I155" s="15"/>
      <c r="J155" s="15"/>
      <c r="K155" s="15"/>
    </row>
    <row r="156" customFormat="false" ht="15" hidden="false" customHeight="false" outlineLevel="0" collapsed="false">
      <c r="A156" s="15"/>
      <c r="B156" s="15"/>
      <c r="C156" s="16" t="str">
        <f aca="false">IFERROR(INDEX(System_Inventory!$B$5:$B$204,MATCH(B156,System_Inventory!$A$5:$A$204,0)),"")</f>
        <v/>
      </c>
      <c r="D156" s="15"/>
      <c r="E156" s="15"/>
      <c r="F156" s="15"/>
      <c r="G156" s="15"/>
      <c r="H156" s="15"/>
      <c r="I156" s="15"/>
      <c r="J156" s="15"/>
      <c r="K156" s="15"/>
    </row>
    <row r="157" customFormat="false" ht="15" hidden="false" customHeight="false" outlineLevel="0" collapsed="false">
      <c r="A157" s="15"/>
      <c r="B157" s="15"/>
      <c r="C157" s="16" t="str">
        <f aca="false">IFERROR(INDEX(System_Inventory!$B$5:$B$204,MATCH(B157,System_Inventory!$A$5:$A$204,0)),"")</f>
        <v/>
      </c>
      <c r="D157" s="15"/>
      <c r="E157" s="15"/>
      <c r="F157" s="15"/>
      <c r="G157" s="15"/>
      <c r="H157" s="15"/>
      <c r="I157" s="15"/>
      <c r="J157" s="15"/>
      <c r="K157" s="15"/>
    </row>
    <row r="158" customFormat="false" ht="15" hidden="false" customHeight="false" outlineLevel="0" collapsed="false">
      <c r="A158" s="15"/>
      <c r="B158" s="15"/>
      <c r="C158" s="16" t="str">
        <f aca="false">IFERROR(INDEX(System_Inventory!$B$5:$B$204,MATCH(B158,System_Inventory!$A$5:$A$204,0)),"")</f>
        <v/>
      </c>
      <c r="D158" s="15"/>
      <c r="E158" s="15"/>
      <c r="F158" s="15"/>
      <c r="G158" s="15"/>
      <c r="H158" s="15"/>
      <c r="I158" s="15"/>
      <c r="J158" s="15"/>
      <c r="K158" s="15"/>
    </row>
    <row r="159" customFormat="false" ht="15" hidden="false" customHeight="false" outlineLevel="0" collapsed="false">
      <c r="A159" s="15"/>
      <c r="B159" s="15"/>
      <c r="C159" s="16" t="str">
        <f aca="false">IFERROR(INDEX(System_Inventory!$B$5:$B$204,MATCH(B159,System_Inventory!$A$5:$A$204,0)),"")</f>
        <v/>
      </c>
      <c r="D159" s="15"/>
      <c r="E159" s="15"/>
      <c r="F159" s="15"/>
      <c r="G159" s="15"/>
      <c r="H159" s="15"/>
      <c r="I159" s="15"/>
      <c r="J159" s="15"/>
      <c r="K159" s="15"/>
    </row>
    <row r="160" customFormat="false" ht="15" hidden="false" customHeight="false" outlineLevel="0" collapsed="false">
      <c r="A160" s="15"/>
      <c r="B160" s="15"/>
      <c r="C160" s="16" t="str">
        <f aca="false">IFERROR(INDEX(System_Inventory!$B$5:$B$204,MATCH(B160,System_Inventory!$A$5:$A$204,0)),"")</f>
        <v/>
      </c>
      <c r="D160" s="15"/>
      <c r="E160" s="15"/>
      <c r="F160" s="15"/>
      <c r="G160" s="15"/>
      <c r="H160" s="15"/>
      <c r="I160" s="15"/>
      <c r="J160" s="15"/>
      <c r="K160" s="15"/>
    </row>
    <row r="161" customFormat="false" ht="15" hidden="false" customHeight="false" outlineLevel="0" collapsed="false">
      <c r="A161" s="15"/>
      <c r="B161" s="15"/>
      <c r="C161" s="16" t="str">
        <f aca="false">IFERROR(INDEX(System_Inventory!$B$5:$B$204,MATCH(B161,System_Inventory!$A$5:$A$204,0)),"")</f>
        <v/>
      </c>
      <c r="D161" s="15"/>
      <c r="E161" s="15"/>
      <c r="F161" s="15"/>
      <c r="G161" s="15"/>
      <c r="H161" s="15"/>
      <c r="I161" s="15"/>
      <c r="J161" s="15"/>
      <c r="K161" s="15"/>
    </row>
    <row r="162" customFormat="false" ht="15" hidden="false" customHeight="false" outlineLevel="0" collapsed="false">
      <c r="A162" s="15"/>
      <c r="B162" s="15"/>
      <c r="C162" s="16" t="str">
        <f aca="false">IFERROR(INDEX(System_Inventory!$B$5:$B$204,MATCH(B162,System_Inventory!$A$5:$A$204,0)),"")</f>
        <v/>
      </c>
      <c r="D162" s="15"/>
      <c r="E162" s="15"/>
      <c r="F162" s="15"/>
      <c r="G162" s="15"/>
      <c r="H162" s="15"/>
      <c r="I162" s="15"/>
      <c r="J162" s="15"/>
      <c r="K162" s="15"/>
    </row>
    <row r="163" customFormat="false" ht="15" hidden="false" customHeight="false" outlineLevel="0" collapsed="false">
      <c r="A163" s="15"/>
      <c r="B163" s="15"/>
      <c r="C163" s="16" t="str">
        <f aca="false">IFERROR(INDEX(System_Inventory!$B$5:$B$204,MATCH(B163,System_Inventory!$A$5:$A$204,0)),"")</f>
        <v/>
      </c>
      <c r="D163" s="15"/>
      <c r="E163" s="15"/>
      <c r="F163" s="15"/>
      <c r="G163" s="15"/>
      <c r="H163" s="15"/>
      <c r="I163" s="15"/>
      <c r="J163" s="15"/>
      <c r="K163" s="15"/>
    </row>
    <row r="164" customFormat="false" ht="15" hidden="false" customHeight="false" outlineLevel="0" collapsed="false">
      <c r="A164" s="15"/>
      <c r="B164" s="15"/>
      <c r="C164" s="16" t="str">
        <f aca="false">IFERROR(INDEX(System_Inventory!$B$5:$B$204,MATCH(B164,System_Inventory!$A$5:$A$204,0)),"")</f>
        <v/>
      </c>
      <c r="D164" s="15"/>
      <c r="E164" s="15"/>
      <c r="F164" s="15"/>
      <c r="G164" s="15"/>
      <c r="H164" s="15"/>
      <c r="I164" s="15"/>
      <c r="J164" s="15"/>
      <c r="K164" s="15"/>
    </row>
    <row r="165" customFormat="false" ht="15" hidden="false" customHeight="false" outlineLevel="0" collapsed="false">
      <c r="A165" s="15"/>
      <c r="B165" s="15"/>
      <c r="C165" s="16" t="str">
        <f aca="false">IFERROR(INDEX(System_Inventory!$B$5:$B$204,MATCH(B165,System_Inventory!$A$5:$A$204,0)),"")</f>
        <v/>
      </c>
      <c r="D165" s="15"/>
      <c r="E165" s="15"/>
      <c r="F165" s="15"/>
      <c r="G165" s="15"/>
      <c r="H165" s="15"/>
      <c r="I165" s="15"/>
      <c r="J165" s="15"/>
      <c r="K165" s="15"/>
    </row>
    <row r="166" customFormat="false" ht="15" hidden="false" customHeight="false" outlineLevel="0" collapsed="false">
      <c r="A166" s="15"/>
      <c r="B166" s="15"/>
      <c r="C166" s="16" t="str">
        <f aca="false">IFERROR(INDEX(System_Inventory!$B$5:$B$204,MATCH(B166,System_Inventory!$A$5:$A$204,0)),"")</f>
        <v/>
      </c>
      <c r="D166" s="15"/>
      <c r="E166" s="15"/>
      <c r="F166" s="15"/>
      <c r="G166" s="15"/>
      <c r="H166" s="15"/>
      <c r="I166" s="15"/>
      <c r="J166" s="15"/>
      <c r="K166" s="15"/>
    </row>
    <row r="167" customFormat="false" ht="15" hidden="false" customHeight="false" outlineLevel="0" collapsed="false">
      <c r="A167" s="15"/>
      <c r="B167" s="15"/>
      <c r="C167" s="16" t="str">
        <f aca="false">IFERROR(INDEX(System_Inventory!$B$5:$B$204,MATCH(B167,System_Inventory!$A$5:$A$204,0)),"")</f>
        <v/>
      </c>
      <c r="D167" s="15"/>
      <c r="E167" s="15"/>
      <c r="F167" s="15"/>
      <c r="G167" s="15"/>
      <c r="H167" s="15"/>
      <c r="I167" s="15"/>
      <c r="J167" s="15"/>
      <c r="K167" s="15"/>
    </row>
    <row r="168" customFormat="false" ht="15" hidden="false" customHeight="false" outlineLevel="0" collapsed="false">
      <c r="A168" s="15"/>
      <c r="B168" s="15"/>
      <c r="C168" s="16" t="str">
        <f aca="false">IFERROR(INDEX(System_Inventory!$B$5:$B$204,MATCH(B168,System_Inventory!$A$5:$A$204,0)),"")</f>
        <v/>
      </c>
      <c r="D168" s="15"/>
      <c r="E168" s="15"/>
      <c r="F168" s="15"/>
      <c r="G168" s="15"/>
      <c r="H168" s="15"/>
      <c r="I168" s="15"/>
      <c r="J168" s="15"/>
      <c r="K168" s="15"/>
    </row>
    <row r="169" customFormat="false" ht="15" hidden="false" customHeight="false" outlineLevel="0" collapsed="false">
      <c r="A169" s="15"/>
      <c r="B169" s="15"/>
      <c r="C169" s="16" t="str">
        <f aca="false">IFERROR(INDEX(System_Inventory!$B$5:$B$204,MATCH(B169,System_Inventory!$A$5:$A$204,0)),"")</f>
        <v/>
      </c>
      <c r="D169" s="15"/>
      <c r="E169" s="15"/>
      <c r="F169" s="15"/>
      <c r="G169" s="15"/>
      <c r="H169" s="15"/>
      <c r="I169" s="15"/>
      <c r="J169" s="15"/>
      <c r="K169" s="15"/>
    </row>
    <row r="170" customFormat="false" ht="15" hidden="false" customHeight="false" outlineLevel="0" collapsed="false">
      <c r="A170" s="15"/>
      <c r="B170" s="15"/>
      <c r="C170" s="16" t="str">
        <f aca="false">IFERROR(INDEX(System_Inventory!$B$5:$B$204,MATCH(B170,System_Inventory!$A$5:$A$204,0)),"")</f>
        <v/>
      </c>
      <c r="D170" s="15"/>
      <c r="E170" s="15"/>
      <c r="F170" s="15"/>
      <c r="G170" s="15"/>
      <c r="H170" s="15"/>
      <c r="I170" s="15"/>
      <c r="J170" s="15"/>
      <c r="K170" s="15"/>
    </row>
    <row r="171" customFormat="false" ht="15" hidden="false" customHeight="false" outlineLevel="0" collapsed="false">
      <c r="A171" s="15"/>
      <c r="B171" s="15"/>
      <c r="C171" s="16" t="str">
        <f aca="false">IFERROR(INDEX(System_Inventory!$B$5:$B$204,MATCH(B171,System_Inventory!$A$5:$A$204,0)),"")</f>
        <v/>
      </c>
      <c r="D171" s="15"/>
      <c r="E171" s="15"/>
      <c r="F171" s="15"/>
      <c r="G171" s="15"/>
      <c r="H171" s="15"/>
      <c r="I171" s="15"/>
      <c r="J171" s="15"/>
      <c r="K171" s="15"/>
    </row>
    <row r="172" customFormat="false" ht="15" hidden="false" customHeight="false" outlineLevel="0" collapsed="false">
      <c r="A172" s="15"/>
      <c r="B172" s="15"/>
      <c r="C172" s="16" t="str">
        <f aca="false">IFERROR(INDEX(System_Inventory!$B$5:$B$204,MATCH(B172,System_Inventory!$A$5:$A$204,0)),"")</f>
        <v/>
      </c>
      <c r="D172" s="15"/>
      <c r="E172" s="15"/>
      <c r="F172" s="15"/>
      <c r="G172" s="15"/>
      <c r="H172" s="15"/>
      <c r="I172" s="15"/>
      <c r="J172" s="15"/>
      <c r="K172" s="15"/>
    </row>
    <row r="173" customFormat="false" ht="15" hidden="false" customHeight="false" outlineLevel="0" collapsed="false">
      <c r="A173" s="15"/>
      <c r="B173" s="15"/>
      <c r="C173" s="16" t="str">
        <f aca="false">IFERROR(INDEX(System_Inventory!$B$5:$B$204,MATCH(B173,System_Inventory!$A$5:$A$204,0)),"")</f>
        <v/>
      </c>
      <c r="D173" s="15"/>
      <c r="E173" s="15"/>
      <c r="F173" s="15"/>
      <c r="G173" s="15"/>
      <c r="H173" s="15"/>
      <c r="I173" s="15"/>
      <c r="J173" s="15"/>
      <c r="K173" s="15"/>
    </row>
    <row r="174" customFormat="false" ht="15" hidden="false" customHeight="false" outlineLevel="0" collapsed="false">
      <c r="A174" s="15"/>
      <c r="B174" s="15"/>
      <c r="C174" s="16" t="str">
        <f aca="false">IFERROR(INDEX(System_Inventory!$B$5:$B$204,MATCH(B174,System_Inventory!$A$5:$A$204,0)),"")</f>
        <v/>
      </c>
      <c r="D174" s="15"/>
      <c r="E174" s="15"/>
      <c r="F174" s="15"/>
      <c r="G174" s="15"/>
      <c r="H174" s="15"/>
      <c r="I174" s="15"/>
      <c r="J174" s="15"/>
      <c r="K174" s="15"/>
    </row>
    <row r="175" customFormat="false" ht="15" hidden="false" customHeight="false" outlineLevel="0" collapsed="false">
      <c r="A175" s="15"/>
      <c r="B175" s="15"/>
      <c r="C175" s="16" t="str">
        <f aca="false">IFERROR(INDEX(System_Inventory!$B$5:$B$204,MATCH(B175,System_Inventory!$A$5:$A$204,0)),"")</f>
        <v/>
      </c>
      <c r="D175" s="15"/>
      <c r="E175" s="15"/>
      <c r="F175" s="15"/>
      <c r="G175" s="15"/>
      <c r="H175" s="15"/>
      <c r="I175" s="15"/>
      <c r="J175" s="15"/>
      <c r="K175" s="15"/>
    </row>
    <row r="176" customFormat="false" ht="15" hidden="false" customHeight="false" outlineLevel="0" collapsed="false">
      <c r="A176" s="15"/>
      <c r="B176" s="15"/>
      <c r="C176" s="16" t="str">
        <f aca="false">IFERROR(INDEX(System_Inventory!$B$5:$B$204,MATCH(B176,System_Inventory!$A$5:$A$204,0)),"")</f>
        <v/>
      </c>
      <c r="D176" s="15"/>
      <c r="E176" s="15"/>
      <c r="F176" s="15"/>
      <c r="G176" s="15"/>
      <c r="H176" s="15"/>
      <c r="I176" s="15"/>
      <c r="J176" s="15"/>
      <c r="K176" s="15"/>
    </row>
    <row r="177" customFormat="false" ht="15" hidden="false" customHeight="false" outlineLevel="0" collapsed="false">
      <c r="A177" s="15"/>
      <c r="B177" s="15"/>
      <c r="C177" s="16" t="str">
        <f aca="false">IFERROR(INDEX(System_Inventory!$B$5:$B$204,MATCH(B177,System_Inventory!$A$5:$A$204,0)),"")</f>
        <v/>
      </c>
      <c r="D177" s="15"/>
      <c r="E177" s="15"/>
      <c r="F177" s="15"/>
      <c r="G177" s="15"/>
      <c r="H177" s="15"/>
      <c r="I177" s="15"/>
      <c r="J177" s="15"/>
      <c r="K177" s="15"/>
    </row>
    <row r="178" customFormat="false" ht="15" hidden="false" customHeight="false" outlineLevel="0" collapsed="false">
      <c r="A178" s="15"/>
      <c r="B178" s="15"/>
      <c r="C178" s="16" t="str">
        <f aca="false">IFERROR(INDEX(System_Inventory!$B$5:$B$204,MATCH(B178,System_Inventory!$A$5:$A$204,0)),"")</f>
        <v/>
      </c>
      <c r="D178" s="15"/>
      <c r="E178" s="15"/>
      <c r="F178" s="15"/>
      <c r="G178" s="15"/>
      <c r="H178" s="15"/>
      <c r="I178" s="15"/>
      <c r="J178" s="15"/>
      <c r="K178" s="15"/>
    </row>
    <row r="179" customFormat="false" ht="15" hidden="false" customHeight="false" outlineLevel="0" collapsed="false">
      <c r="A179" s="15"/>
      <c r="B179" s="15"/>
      <c r="C179" s="16" t="str">
        <f aca="false">IFERROR(INDEX(System_Inventory!$B$5:$B$204,MATCH(B179,System_Inventory!$A$5:$A$204,0)),"")</f>
        <v/>
      </c>
      <c r="D179" s="15"/>
      <c r="E179" s="15"/>
      <c r="F179" s="15"/>
      <c r="G179" s="15"/>
      <c r="H179" s="15"/>
      <c r="I179" s="15"/>
      <c r="J179" s="15"/>
      <c r="K179" s="15"/>
    </row>
    <row r="180" customFormat="false" ht="15" hidden="false" customHeight="false" outlineLevel="0" collapsed="false">
      <c r="A180" s="15"/>
      <c r="B180" s="15"/>
      <c r="C180" s="16" t="str">
        <f aca="false">IFERROR(INDEX(System_Inventory!$B$5:$B$204,MATCH(B180,System_Inventory!$A$5:$A$204,0)),"")</f>
        <v/>
      </c>
      <c r="D180" s="15"/>
      <c r="E180" s="15"/>
      <c r="F180" s="15"/>
      <c r="G180" s="15"/>
      <c r="H180" s="15"/>
      <c r="I180" s="15"/>
      <c r="J180" s="15"/>
      <c r="K180" s="15"/>
    </row>
    <row r="181" customFormat="false" ht="15" hidden="false" customHeight="false" outlineLevel="0" collapsed="false">
      <c r="A181" s="15"/>
      <c r="B181" s="15"/>
      <c r="C181" s="16" t="str">
        <f aca="false">IFERROR(INDEX(System_Inventory!$B$5:$B$204,MATCH(B181,System_Inventory!$A$5:$A$204,0)),"")</f>
        <v/>
      </c>
      <c r="D181" s="15"/>
      <c r="E181" s="15"/>
      <c r="F181" s="15"/>
      <c r="G181" s="15"/>
      <c r="H181" s="15"/>
      <c r="I181" s="15"/>
      <c r="J181" s="15"/>
      <c r="K181" s="15"/>
    </row>
    <row r="182" customFormat="false" ht="15" hidden="false" customHeight="false" outlineLevel="0" collapsed="false">
      <c r="A182" s="15"/>
      <c r="B182" s="15"/>
      <c r="C182" s="16" t="str">
        <f aca="false">IFERROR(INDEX(System_Inventory!$B$5:$B$204,MATCH(B182,System_Inventory!$A$5:$A$204,0)),"")</f>
        <v/>
      </c>
      <c r="D182" s="15"/>
      <c r="E182" s="15"/>
      <c r="F182" s="15"/>
      <c r="G182" s="15"/>
      <c r="H182" s="15"/>
      <c r="I182" s="15"/>
      <c r="J182" s="15"/>
      <c r="K182" s="15"/>
    </row>
    <row r="183" customFormat="false" ht="15" hidden="false" customHeight="false" outlineLevel="0" collapsed="false">
      <c r="A183" s="15"/>
      <c r="B183" s="15"/>
      <c r="C183" s="16" t="str">
        <f aca="false">IFERROR(INDEX(System_Inventory!$B$5:$B$204,MATCH(B183,System_Inventory!$A$5:$A$204,0)),"")</f>
        <v/>
      </c>
      <c r="D183" s="15"/>
      <c r="E183" s="15"/>
      <c r="F183" s="15"/>
      <c r="G183" s="15"/>
      <c r="H183" s="15"/>
      <c r="I183" s="15"/>
      <c r="J183" s="15"/>
      <c r="K183" s="15"/>
    </row>
    <row r="184" customFormat="false" ht="15" hidden="false" customHeight="false" outlineLevel="0" collapsed="false">
      <c r="A184" s="15"/>
      <c r="B184" s="15"/>
      <c r="C184" s="16" t="str">
        <f aca="false">IFERROR(INDEX(System_Inventory!$B$5:$B$204,MATCH(B184,System_Inventory!$A$5:$A$204,0)),"")</f>
        <v/>
      </c>
      <c r="D184" s="15"/>
      <c r="E184" s="15"/>
      <c r="F184" s="15"/>
      <c r="G184" s="15"/>
      <c r="H184" s="15"/>
      <c r="I184" s="15"/>
      <c r="J184" s="15"/>
      <c r="K184" s="15"/>
    </row>
    <row r="185" customFormat="false" ht="15" hidden="false" customHeight="false" outlineLevel="0" collapsed="false">
      <c r="A185" s="15"/>
      <c r="B185" s="15"/>
      <c r="C185" s="16" t="str">
        <f aca="false">IFERROR(INDEX(System_Inventory!$B$5:$B$204,MATCH(B185,System_Inventory!$A$5:$A$204,0)),"")</f>
        <v/>
      </c>
      <c r="D185" s="15"/>
      <c r="E185" s="15"/>
      <c r="F185" s="15"/>
      <c r="G185" s="15"/>
      <c r="H185" s="15"/>
      <c r="I185" s="15"/>
      <c r="J185" s="15"/>
      <c r="K185" s="15"/>
    </row>
    <row r="186" customFormat="false" ht="15" hidden="false" customHeight="false" outlineLevel="0" collapsed="false">
      <c r="A186" s="15"/>
      <c r="B186" s="15"/>
      <c r="C186" s="16" t="str">
        <f aca="false">IFERROR(INDEX(System_Inventory!$B$5:$B$204,MATCH(B186,System_Inventory!$A$5:$A$204,0)),"")</f>
        <v/>
      </c>
      <c r="D186" s="15"/>
      <c r="E186" s="15"/>
      <c r="F186" s="15"/>
      <c r="G186" s="15"/>
      <c r="H186" s="15"/>
      <c r="I186" s="15"/>
      <c r="J186" s="15"/>
      <c r="K186" s="15"/>
    </row>
    <row r="187" customFormat="false" ht="15" hidden="false" customHeight="false" outlineLevel="0" collapsed="false">
      <c r="A187" s="15"/>
      <c r="B187" s="15"/>
      <c r="C187" s="16" t="str">
        <f aca="false">IFERROR(INDEX(System_Inventory!$B$5:$B$204,MATCH(B187,System_Inventory!$A$5:$A$204,0)),"")</f>
        <v/>
      </c>
      <c r="D187" s="15"/>
      <c r="E187" s="15"/>
      <c r="F187" s="15"/>
      <c r="G187" s="15"/>
      <c r="H187" s="15"/>
      <c r="I187" s="15"/>
      <c r="J187" s="15"/>
      <c r="K187" s="15"/>
    </row>
    <row r="188" customFormat="false" ht="15" hidden="false" customHeight="false" outlineLevel="0" collapsed="false">
      <c r="A188" s="15"/>
      <c r="B188" s="15"/>
      <c r="C188" s="16" t="str">
        <f aca="false">IFERROR(INDEX(System_Inventory!$B$5:$B$204,MATCH(B188,System_Inventory!$A$5:$A$204,0)),"")</f>
        <v/>
      </c>
      <c r="D188" s="15"/>
      <c r="E188" s="15"/>
      <c r="F188" s="15"/>
      <c r="G188" s="15"/>
      <c r="H188" s="15"/>
      <c r="I188" s="15"/>
      <c r="J188" s="15"/>
      <c r="K188" s="15"/>
    </row>
    <row r="189" customFormat="false" ht="15" hidden="false" customHeight="false" outlineLevel="0" collapsed="false">
      <c r="A189" s="15"/>
      <c r="B189" s="15"/>
      <c r="C189" s="16" t="str">
        <f aca="false">IFERROR(INDEX(System_Inventory!$B$5:$B$204,MATCH(B189,System_Inventory!$A$5:$A$204,0)),"")</f>
        <v/>
      </c>
      <c r="D189" s="15"/>
      <c r="E189" s="15"/>
      <c r="F189" s="15"/>
      <c r="G189" s="15"/>
      <c r="H189" s="15"/>
      <c r="I189" s="15"/>
      <c r="J189" s="15"/>
      <c r="K189" s="15"/>
    </row>
    <row r="190" customFormat="false" ht="15" hidden="false" customHeight="false" outlineLevel="0" collapsed="false">
      <c r="A190" s="15"/>
      <c r="B190" s="15"/>
      <c r="C190" s="16" t="str">
        <f aca="false">IFERROR(INDEX(System_Inventory!$B$5:$B$204,MATCH(B190,System_Inventory!$A$5:$A$204,0)),"")</f>
        <v/>
      </c>
      <c r="D190" s="15"/>
      <c r="E190" s="15"/>
      <c r="F190" s="15"/>
      <c r="G190" s="15"/>
      <c r="H190" s="15"/>
      <c r="I190" s="15"/>
      <c r="J190" s="15"/>
      <c r="K190" s="15"/>
    </row>
    <row r="191" customFormat="false" ht="15" hidden="false" customHeight="false" outlineLevel="0" collapsed="false">
      <c r="A191" s="15"/>
      <c r="B191" s="15"/>
      <c r="C191" s="16" t="str">
        <f aca="false">IFERROR(INDEX(System_Inventory!$B$5:$B$204,MATCH(B191,System_Inventory!$A$5:$A$204,0)),"")</f>
        <v/>
      </c>
      <c r="D191" s="15"/>
      <c r="E191" s="15"/>
      <c r="F191" s="15"/>
      <c r="G191" s="15"/>
      <c r="H191" s="15"/>
      <c r="I191" s="15"/>
      <c r="J191" s="15"/>
      <c r="K191" s="15"/>
    </row>
    <row r="192" customFormat="false" ht="15" hidden="false" customHeight="false" outlineLevel="0" collapsed="false">
      <c r="A192" s="15"/>
      <c r="B192" s="15"/>
      <c r="C192" s="16" t="str">
        <f aca="false">IFERROR(INDEX(System_Inventory!$B$5:$B$204,MATCH(B192,System_Inventory!$A$5:$A$204,0)),"")</f>
        <v/>
      </c>
      <c r="D192" s="15"/>
      <c r="E192" s="15"/>
      <c r="F192" s="15"/>
      <c r="G192" s="15"/>
      <c r="H192" s="15"/>
      <c r="I192" s="15"/>
      <c r="J192" s="15"/>
      <c r="K192" s="15"/>
    </row>
    <row r="193" customFormat="false" ht="15" hidden="false" customHeight="false" outlineLevel="0" collapsed="false">
      <c r="A193" s="15"/>
      <c r="B193" s="15"/>
      <c r="C193" s="16" t="str">
        <f aca="false">IFERROR(INDEX(System_Inventory!$B$5:$B$204,MATCH(B193,System_Inventory!$A$5:$A$204,0)),"")</f>
        <v/>
      </c>
      <c r="D193" s="15"/>
      <c r="E193" s="15"/>
      <c r="F193" s="15"/>
      <c r="G193" s="15"/>
      <c r="H193" s="15"/>
      <c r="I193" s="15"/>
      <c r="J193" s="15"/>
      <c r="K193" s="15"/>
    </row>
    <row r="194" customFormat="false" ht="15" hidden="false" customHeight="false" outlineLevel="0" collapsed="false">
      <c r="A194" s="15"/>
      <c r="B194" s="15"/>
      <c r="C194" s="16" t="str">
        <f aca="false">IFERROR(INDEX(System_Inventory!$B$5:$B$204,MATCH(B194,System_Inventory!$A$5:$A$204,0)),"")</f>
        <v/>
      </c>
      <c r="D194" s="15"/>
      <c r="E194" s="15"/>
      <c r="F194" s="15"/>
      <c r="G194" s="15"/>
      <c r="H194" s="15"/>
      <c r="I194" s="15"/>
      <c r="J194" s="15"/>
      <c r="K194" s="15"/>
    </row>
    <row r="195" customFormat="false" ht="15" hidden="false" customHeight="false" outlineLevel="0" collapsed="false">
      <c r="A195" s="15"/>
      <c r="B195" s="15"/>
      <c r="C195" s="16" t="str">
        <f aca="false">IFERROR(INDEX(System_Inventory!$B$5:$B$204,MATCH(B195,System_Inventory!$A$5:$A$204,0)),"")</f>
        <v/>
      </c>
      <c r="D195" s="15"/>
      <c r="E195" s="15"/>
      <c r="F195" s="15"/>
      <c r="G195" s="15"/>
      <c r="H195" s="15"/>
      <c r="I195" s="15"/>
      <c r="J195" s="15"/>
      <c r="K195" s="15"/>
    </row>
    <row r="196" customFormat="false" ht="15" hidden="false" customHeight="false" outlineLevel="0" collapsed="false">
      <c r="A196" s="15"/>
      <c r="B196" s="15"/>
      <c r="C196" s="16" t="str">
        <f aca="false">IFERROR(INDEX(System_Inventory!$B$5:$B$204,MATCH(B196,System_Inventory!$A$5:$A$204,0)),"")</f>
        <v/>
      </c>
      <c r="D196" s="15"/>
      <c r="E196" s="15"/>
      <c r="F196" s="15"/>
      <c r="G196" s="15"/>
      <c r="H196" s="15"/>
      <c r="I196" s="15"/>
      <c r="J196" s="15"/>
      <c r="K196" s="15"/>
    </row>
    <row r="197" customFormat="false" ht="15" hidden="false" customHeight="false" outlineLevel="0" collapsed="false">
      <c r="A197" s="15"/>
      <c r="B197" s="15"/>
      <c r="C197" s="16" t="str">
        <f aca="false">IFERROR(INDEX(System_Inventory!$B$5:$B$204,MATCH(B197,System_Inventory!$A$5:$A$204,0)),"")</f>
        <v/>
      </c>
      <c r="D197" s="15"/>
      <c r="E197" s="15"/>
      <c r="F197" s="15"/>
      <c r="G197" s="15"/>
      <c r="H197" s="15"/>
      <c r="I197" s="15"/>
      <c r="J197" s="15"/>
      <c r="K197" s="15"/>
    </row>
    <row r="198" customFormat="false" ht="15" hidden="false" customHeight="false" outlineLevel="0" collapsed="false">
      <c r="A198" s="15"/>
      <c r="B198" s="15"/>
      <c r="C198" s="16" t="str">
        <f aca="false">IFERROR(INDEX(System_Inventory!$B$5:$B$204,MATCH(B198,System_Inventory!$A$5:$A$204,0)),"")</f>
        <v/>
      </c>
      <c r="D198" s="15"/>
      <c r="E198" s="15"/>
      <c r="F198" s="15"/>
      <c r="G198" s="15"/>
      <c r="H198" s="15"/>
      <c r="I198" s="15"/>
      <c r="J198" s="15"/>
      <c r="K198" s="15"/>
    </row>
    <row r="199" customFormat="false" ht="15" hidden="false" customHeight="false" outlineLevel="0" collapsed="false">
      <c r="A199" s="15"/>
      <c r="B199" s="15"/>
      <c r="C199" s="16" t="str">
        <f aca="false">IFERROR(INDEX(System_Inventory!$B$5:$B$204,MATCH(B199,System_Inventory!$A$5:$A$204,0)),"")</f>
        <v/>
      </c>
      <c r="D199" s="15"/>
      <c r="E199" s="15"/>
      <c r="F199" s="15"/>
      <c r="G199" s="15"/>
      <c r="H199" s="15"/>
      <c r="I199" s="15"/>
      <c r="J199" s="15"/>
      <c r="K199" s="15"/>
    </row>
    <row r="200" customFormat="false" ht="15" hidden="false" customHeight="false" outlineLevel="0" collapsed="false">
      <c r="A200" s="15"/>
      <c r="B200" s="15"/>
      <c r="C200" s="16" t="str">
        <f aca="false">IFERROR(INDEX(System_Inventory!$B$5:$B$204,MATCH(B200,System_Inventory!$A$5:$A$204,0)),"")</f>
        <v/>
      </c>
      <c r="D200" s="15"/>
      <c r="E200" s="15"/>
      <c r="F200" s="15"/>
      <c r="G200" s="15"/>
      <c r="H200" s="15"/>
      <c r="I200" s="15"/>
      <c r="J200" s="15"/>
      <c r="K200" s="15"/>
    </row>
    <row r="201" customFormat="false" ht="15" hidden="false" customHeight="false" outlineLevel="0" collapsed="false">
      <c r="A201" s="15"/>
      <c r="B201" s="15"/>
      <c r="C201" s="16" t="str">
        <f aca="false">IFERROR(INDEX(System_Inventory!$B$5:$B$204,MATCH(B201,System_Inventory!$A$5:$A$204,0)),"")</f>
        <v/>
      </c>
      <c r="D201" s="15"/>
      <c r="E201" s="15"/>
      <c r="F201" s="15"/>
      <c r="G201" s="15"/>
      <c r="H201" s="15"/>
      <c r="I201" s="15"/>
      <c r="J201" s="15"/>
      <c r="K201" s="15"/>
    </row>
    <row r="202" customFormat="false" ht="15" hidden="false" customHeight="false" outlineLevel="0" collapsed="false">
      <c r="A202" s="15"/>
      <c r="B202" s="15"/>
      <c r="C202" s="16" t="str">
        <f aca="false">IFERROR(INDEX(System_Inventory!$B$5:$B$204,MATCH(B202,System_Inventory!$A$5:$A$204,0)),"")</f>
        <v/>
      </c>
      <c r="D202" s="15"/>
      <c r="E202" s="15"/>
      <c r="F202" s="15"/>
      <c r="G202" s="15"/>
      <c r="H202" s="15"/>
      <c r="I202" s="15"/>
      <c r="J202" s="15"/>
      <c r="K202" s="15"/>
    </row>
    <row r="203" customFormat="false" ht="15" hidden="false" customHeight="false" outlineLevel="0" collapsed="false">
      <c r="A203" s="15"/>
      <c r="B203" s="15"/>
      <c r="C203" s="16" t="str">
        <f aca="false">IFERROR(INDEX(System_Inventory!$B$5:$B$204,MATCH(B203,System_Inventory!$A$5:$A$204,0)),"")</f>
        <v/>
      </c>
      <c r="D203" s="15"/>
      <c r="E203" s="15"/>
      <c r="F203" s="15"/>
      <c r="G203" s="15"/>
      <c r="H203" s="15"/>
      <c r="I203" s="15"/>
      <c r="J203" s="15"/>
      <c r="K203" s="15"/>
    </row>
    <row r="204" customFormat="false" ht="15" hidden="false" customHeight="false" outlineLevel="0" collapsed="false">
      <c r="A204" s="15"/>
      <c r="B204" s="15"/>
      <c r="C204" s="16" t="str">
        <f aca="false">IFERROR(INDEX(System_Inventory!$B$5:$B$204,MATCH(B204,System_Inventory!$A$5:$A$204,0)),"")</f>
        <v/>
      </c>
      <c r="D204" s="15"/>
      <c r="E204" s="15"/>
      <c r="F204" s="15"/>
      <c r="G204" s="15"/>
      <c r="H204" s="15"/>
      <c r="I204" s="15"/>
      <c r="J204" s="15"/>
      <c r="K204" s="15"/>
    </row>
  </sheetData>
  <autoFilter ref="A4:K204"/>
  <dataValidations count="2">
    <dataValidation allowBlank="true" error="Pick a value from the list." errorStyle="stop" operator="between" showDropDown="false" showErrorMessage="true" showInputMessage="false" sqref="B5:B204" type="list">
      <formula1>System_Inventory!$A$5:$A$204</formula1>
      <formula2>0</formula2>
    </dataValidation>
    <dataValidation allowBlank="true" error="Pick a value from the list." errorStyle="stop" operator="between" showDropDown="false" showErrorMessage="true" showInputMessage="false" sqref="E5:E204" type="list">
      <formula1>Lists!$G$2:$G$6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6" min="3" style="0" width="11"/>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30"/>
  </cols>
  <sheetData>
    <row r="1" customFormat="false" ht="17.35" hidden="false" customHeight="false" outlineLevel="0" collapsed="false">
      <c r="A1" s="9" t="s">
        <v>176</v>
      </c>
    </row>
    <row r="2" customFormat="false" ht="15" hidden="false" customHeight="false" outlineLevel="0" collapsed="false">
      <c r="A2" s="10" t="s">
        <v>177</v>
      </c>
    </row>
    <row r="4" customFormat="false" ht="31.5" hidden="false" customHeight="true" outlineLevel="0" collapsed="false">
      <c r="A4" s="11" t="s">
        <v>108</v>
      </c>
      <c r="B4" s="11" t="s">
        <v>111</v>
      </c>
      <c r="C4" s="11" t="s">
        <v>114</v>
      </c>
      <c r="D4" s="12" t="s">
        <v>116</v>
      </c>
      <c r="E4" s="11" t="s">
        <v>118</v>
      </c>
      <c r="F4" s="12" t="s">
        <v>120</v>
      </c>
      <c r="G4" s="11" t="s">
        <v>122</v>
      </c>
      <c r="H4" s="12" t="s">
        <v>125</v>
      </c>
      <c r="I4" s="11" t="s">
        <v>71</v>
      </c>
      <c r="J4" s="11" t="s">
        <v>105</v>
      </c>
    </row>
    <row r="5" customFormat="false" ht="15" hidden="false" customHeight="false" outlineLevel="0" collapsed="false">
      <c r="A5" s="13" t="s">
        <v>178</v>
      </c>
      <c r="B5" s="13" t="s">
        <v>179</v>
      </c>
      <c r="C5" s="13" t="s">
        <v>180</v>
      </c>
      <c r="D5" s="14" t="str">
        <f aca="false">IFERROR(INDEX(System_Inventory!$D$5:$D$204,MATCH(C5,System_Inventory!$A$5:$A$204,0)),"")</f>
        <v/>
      </c>
      <c r="E5" s="13" t="s">
        <v>153</v>
      </c>
      <c r="F5" s="14" t="str">
        <f aca="false">IFERROR(INDEX(System_Inventory!$D$5:$D$204,MATCH(E5,System_Inventory!$A$5:$A$204,0)),"")</f>
        <v>PRD</v>
      </c>
      <c r="G5" s="13" t="s">
        <v>181</v>
      </c>
      <c r="H5" s="14" t="str">
        <f aca="false">IF(A5="","",IF(AND(D5="DEV",F5="PRD"),"BYPASS: direct DEV to PRD","OK"))</f>
        <v>OK</v>
      </c>
      <c r="I5" s="13" t="s">
        <v>182</v>
      </c>
      <c r="J5" s="13"/>
    </row>
    <row r="6" customFormat="false" ht="15" hidden="false" customHeight="false" outlineLevel="0" collapsed="false">
      <c r="A6" s="15"/>
      <c r="B6" s="15"/>
      <c r="C6" s="15"/>
      <c r="D6" s="16" t="str">
        <f aca="false">IFERROR(INDEX(System_Inventory!$D$5:$D$204,MATCH(C6,System_Inventory!$A$5:$A$204,0)),"")</f>
        <v/>
      </c>
      <c r="E6" s="15"/>
      <c r="F6" s="16" t="str">
        <f aca="false">IFERROR(INDEX(System_Inventory!$D$5:$D$204,MATCH(E6,System_Inventory!$A$5:$A$204,0)),"")</f>
        <v/>
      </c>
      <c r="G6" s="15"/>
      <c r="H6" s="16" t="str">
        <f aca="false">IF(A6="","",IF(AND(D6="DEV",F6="PRD"),"BYPASS: direct DEV to PRD","OK"))</f>
        <v/>
      </c>
      <c r="I6" s="15"/>
      <c r="J6" s="15"/>
    </row>
    <row r="7" customFormat="false" ht="15" hidden="false" customHeight="false" outlineLevel="0" collapsed="false">
      <c r="A7" s="15"/>
      <c r="B7" s="15"/>
      <c r="C7" s="15"/>
      <c r="D7" s="16" t="str">
        <f aca="false">IFERROR(INDEX(System_Inventory!$D$5:$D$204,MATCH(C7,System_Inventory!$A$5:$A$204,0)),"")</f>
        <v/>
      </c>
      <c r="E7" s="15"/>
      <c r="F7" s="16" t="str">
        <f aca="false">IFERROR(INDEX(System_Inventory!$D$5:$D$204,MATCH(E7,System_Inventory!$A$5:$A$204,0)),"")</f>
        <v/>
      </c>
      <c r="G7" s="15"/>
      <c r="H7" s="16" t="str">
        <f aca="false">IF(A7="","",IF(AND(D7="DEV",F7="PRD"),"BYPASS: direct DEV to PRD","OK"))</f>
        <v/>
      </c>
      <c r="I7" s="15"/>
      <c r="J7" s="15"/>
    </row>
    <row r="8" customFormat="false" ht="15" hidden="false" customHeight="false" outlineLevel="0" collapsed="false">
      <c r="A8" s="15"/>
      <c r="B8" s="15"/>
      <c r="C8" s="15"/>
      <c r="D8" s="16" t="str">
        <f aca="false">IFERROR(INDEX(System_Inventory!$D$5:$D$204,MATCH(C8,System_Inventory!$A$5:$A$204,0)),"")</f>
        <v/>
      </c>
      <c r="E8" s="15"/>
      <c r="F8" s="16" t="str">
        <f aca="false">IFERROR(INDEX(System_Inventory!$D$5:$D$204,MATCH(E8,System_Inventory!$A$5:$A$204,0)),"")</f>
        <v/>
      </c>
      <c r="G8" s="15"/>
      <c r="H8" s="16" t="str">
        <f aca="false">IF(A8="","",IF(AND(D8="DEV",F8="PRD"),"BYPASS: direct DEV to PRD","OK"))</f>
        <v/>
      </c>
      <c r="I8" s="15"/>
      <c r="J8" s="15"/>
    </row>
    <row r="9" customFormat="false" ht="15" hidden="false" customHeight="false" outlineLevel="0" collapsed="false">
      <c r="A9" s="15"/>
      <c r="B9" s="15"/>
      <c r="C9" s="15"/>
      <c r="D9" s="16" t="str">
        <f aca="false">IFERROR(INDEX(System_Inventory!$D$5:$D$204,MATCH(C9,System_Inventory!$A$5:$A$204,0)),"")</f>
        <v/>
      </c>
      <c r="E9" s="15"/>
      <c r="F9" s="16" t="str">
        <f aca="false">IFERROR(INDEX(System_Inventory!$D$5:$D$204,MATCH(E9,System_Inventory!$A$5:$A$204,0)),"")</f>
        <v/>
      </c>
      <c r="G9" s="15"/>
      <c r="H9" s="16" t="str">
        <f aca="false">IF(A9="","",IF(AND(D9="DEV",F9="PRD"),"BYPASS: direct DEV to PRD","OK"))</f>
        <v/>
      </c>
      <c r="I9" s="15"/>
      <c r="J9" s="15"/>
    </row>
    <row r="10" customFormat="false" ht="15" hidden="false" customHeight="false" outlineLevel="0" collapsed="false">
      <c r="A10" s="15"/>
      <c r="B10" s="15"/>
      <c r="C10" s="15"/>
      <c r="D10" s="16" t="str">
        <f aca="false">IFERROR(INDEX(System_Inventory!$D$5:$D$204,MATCH(C10,System_Inventory!$A$5:$A$204,0)),"")</f>
        <v/>
      </c>
      <c r="E10" s="15"/>
      <c r="F10" s="16" t="str">
        <f aca="false">IFERROR(INDEX(System_Inventory!$D$5:$D$204,MATCH(E10,System_Inventory!$A$5:$A$204,0)),"")</f>
        <v/>
      </c>
      <c r="G10" s="15"/>
      <c r="H10" s="16" t="str">
        <f aca="false">IF(A10="","",IF(AND(D10="DEV",F10="PRD"),"BYPASS: direct DEV to PRD","OK"))</f>
        <v/>
      </c>
      <c r="I10" s="15"/>
      <c r="J10" s="15"/>
    </row>
    <row r="11" customFormat="false" ht="15" hidden="false" customHeight="false" outlineLevel="0" collapsed="false">
      <c r="A11" s="15"/>
      <c r="B11" s="15"/>
      <c r="C11" s="15"/>
      <c r="D11" s="16" t="str">
        <f aca="false">IFERROR(INDEX(System_Inventory!$D$5:$D$204,MATCH(C11,System_Inventory!$A$5:$A$204,0)),"")</f>
        <v/>
      </c>
      <c r="E11" s="15"/>
      <c r="F11" s="16" t="str">
        <f aca="false">IFERROR(INDEX(System_Inventory!$D$5:$D$204,MATCH(E11,System_Inventory!$A$5:$A$204,0)),"")</f>
        <v/>
      </c>
      <c r="G11" s="15"/>
      <c r="H11" s="16" t="str">
        <f aca="false">IF(A11="","",IF(AND(D11="DEV",F11="PRD"),"BYPASS: direct DEV to PRD","OK"))</f>
        <v/>
      </c>
      <c r="I11" s="15"/>
      <c r="J11" s="15"/>
    </row>
    <row r="12" customFormat="false" ht="15" hidden="false" customHeight="false" outlineLevel="0" collapsed="false">
      <c r="A12" s="15"/>
      <c r="B12" s="15"/>
      <c r="C12" s="15"/>
      <c r="D12" s="16" t="str">
        <f aca="false">IFERROR(INDEX(System_Inventory!$D$5:$D$204,MATCH(C12,System_Inventory!$A$5:$A$204,0)),"")</f>
        <v/>
      </c>
      <c r="E12" s="15"/>
      <c r="F12" s="16" t="str">
        <f aca="false">IFERROR(INDEX(System_Inventory!$D$5:$D$204,MATCH(E12,System_Inventory!$A$5:$A$204,0)),"")</f>
        <v/>
      </c>
      <c r="G12" s="15"/>
      <c r="H12" s="16" t="str">
        <f aca="false">IF(A12="","",IF(AND(D12="DEV",F12="PRD"),"BYPASS: direct DEV to PRD","OK"))</f>
        <v/>
      </c>
      <c r="I12" s="15"/>
      <c r="J12" s="15"/>
    </row>
    <row r="13" customFormat="false" ht="15" hidden="false" customHeight="false" outlineLevel="0" collapsed="false">
      <c r="A13" s="15"/>
      <c r="B13" s="15"/>
      <c r="C13" s="15"/>
      <c r="D13" s="16" t="str">
        <f aca="false">IFERROR(INDEX(System_Inventory!$D$5:$D$204,MATCH(C13,System_Inventory!$A$5:$A$204,0)),"")</f>
        <v/>
      </c>
      <c r="E13" s="15"/>
      <c r="F13" s="16" t="str">
        <f aca="false">IFERROR(INDEX(System_Inventory!$D$5:$D$204,MATCH(E13,System_Inventory!$A$5:$A$204,0)),"")</f>
        <v/>
      </c>
      <c r="G13" s="15"/>
      <c r="H13" s="16" t="str">
        <f aca="false">IF(A13="","",IF(AND(D13="DEV",F13="PRD"),"BYPASS: direct DEV to PRD","OK"))</f>
        <v/>
      </c>
      <c r="I13" s="15"/>
      <c r="J13" s="15"/>
    </row>
    <row r="14" customFormat="false" ht="15" hidden="false" customHeight="false" outlineLevel="0" collapsed="false">
      <c r="A14" s="15"/>
      <c r="B14" s="15"/>
      <c r="C14" s="15"/>
      <c r="D14" s="16" t="str">
        <f aca="false">IFERROR(INDEX(System_Inventory!$D$5:$D$204,MATCH(C14,System_Inventory!$A$5:$A$204,0)),"")</f>
        <v/>
      </c>
      <c r="E14" s="15"/>
      <c r="F14" s="16" t="str">
        <f aca="false">IFERROR(INDEX(System_Inventory!$D$5:$D$204,MATCH(E14,System_Inventory!$A$5:$A$204,0)),"")</f>
        <v/>
      </c>
      <c r="G14" s="15"/>
      <c r="H14" s="16" t="str">
        <f aca="false">IF(A14="","",IF(AND(D14="DEV",F14="PRD"),"BYPASS: direct DEV to PRD","OK"))</f>
        <v/>
      </c>
      <c r="I14" s="15"/>
      <c r="J14" s="15"/>
    </row>
    <row r="15" customFormat="false" ht="15" hidden="false" customHeight="false" outlineLevel="0" collapsed="false">
      <c r="A15" s="15"/>
      <c r="B15" s="15"/>
      <c r="C15" s="15"/>
      <c r="D15" s="16" t="str">
        <f aca="false">IFERROR(INDEX(System_Inventory!$D$5:$D$204,MATCH(C15,System_Inventory!$A$5:$A$204,0)),"")</f>
        <v/>
      </c>
      <c r="E15" s="15"/>
      <c r="F15" s="16" t="str">
        <f aca="false">IFERROR(INDEX(System_Inventory!$D$5:$D$204,MATCH(E15,System_Inventory!$A$5:$A$204,0)),"")</f>
        <v/>
      </c>
      <c r="G15" s="15"/>
      <c r="H15" s="16" t="str">
        <f aca="false">IF(A15="","",IF(AND(D15="DEV",F15="PRD"),"BYPASS: direct DEV to PRD","OK"))</f>
        <v/>
      </c>
      <c r="I15" s="15"/>
      <c r="J15" s="15"/>
    </row>
    <row r="16" customFormat="false" ht="15" hidden="false" customHeight="false" outlineLevel="0" collapsed="false">
      <c r="A16" s="15"/>
      <c r="B16" s="15"/>
      <c r="C16" s="15"/>
      <c r="D16" s="16" t="str">
        <f aca="false">IFERROR(INDEX(System_Inventory!$D$5:$D$204,MATCH(C16,System_Inventory!$A$5:$A$204,0)),"")</f>
        <v/>
      </c>
      <c r="E16" s="15"/>
      <c r="F16" s="16" t="str">
        <f aca="false">IFERROR(INDEX(System_Inventory!$D$5:$D$204,MATCH(E16,System_Inventory!$A$5:$A$204,0)),"")</f>
        <v/>
      </c>
      <c r="G16" s="15"/>
      <c r="H16" s="16" t="str">
        <f aca="false">IF(A16="","",IF(AND(D16="DEV",F16="PRD"),"BYPASS: direct DEV to PRD","OK"))</f>
        <v/>
      </c>
      <c r="I16" s="15"/>
      <c r="J16" s="15"/>
    </row>
    <row r="17" customFormat="false" ht="15" hidden="false" customHeight="false" outlineLevel="0" collapsed="false">
      <c r="A17" s="15"/>
      <c r="B17" s="15"/>
      <c r="C17" s="15"/>
      <c r="D17" s="16" t="str">
        <f aca="false">IFERROR(INDEX(System_Inventory!$D$5:$D$204,MATCH(C17,System_Inventory!$A$5:$A$204,0)),"")</f>
        <v/>
      </c>
      <c r="E17" s="15"/>
      <c r="F17" s="16" t="str">
        <f aca="false">IFERROR(INDEX(System_Inventory!$D$5:$D$204,MATCH(E17,System_Inventory!$A$5:$A$204,0)),"")</f>
        <v/>
      </c>
      <c r="G17" s="15"/>
      <c r="H17" s="16" t="str">
        <f aca="false">IF(A17="","",IF(AND(D17="DEV",F17="PRD"),"BYPASS: direct DEV to PRD","OK"))</f>
        <v/>
      </c>
      <c r="I17" s="15"/>
      <c r="J17" s="15"/>
    </row>
    <row r="18" customFormat="false" ht="15" hidden="false" customHeight="false" outlineLevel="0" collapsed="false">
      <c r="A18" s="15"/>
      <c r="B18" s="15"/>
      <c r="C18" s="15"/>
      <c r="D18" s="16" t="str">
        <f aca="false">IFERROR(INDEX(System_Inventory!$D$5:$D$204,MATCH(C18,System_Inventory!$A$5:$A$204,0)),"")</f>
        <v/>
      </c>
      <c r="E18" s="15"/>
      <c r="F18" s="16" t="str">
        <f aca="false">IFERROR(INDEX(System_Inventory!$D$5:$D$204,MATCH(E18,System_Inventory!$A$5:$A$204,0)),"")</f>
        <v/>
      </c>
      <c r="G18" s="15"/>
      <c r="H18" s="16" t="str">
        <f aca="false">IF(A18="","",IF(AND(D18="DEV",F18="PRD"),"BYPASS: direct DEV to PRD","OK"))</f>
        <v/>
      </c>
      <c r="I18" s="15"/>
      <c r="J18" s="15"/>
    </row>
    <row r="19" customFormat="false" ht="15" hidden="false" customHeight="false" outlineLevel="0" collapsed="false">
      <c r="A19" s="15"/>
      <c r="B19" s="15"/>
      <c r="C19" s="15"/>
      <c r="D19" s="16" t="str">
        <f aca="false">IFERROR(INDEX(System_Inventory!$D$5:$D$204,MATCH(C19,System_Inventory!$A$5:$A$204,0)),"")</f>
        <v/>
      </c>
      <c r="E19" s="15"/>
      <c r="F19" s="16" t="str">
        <f aca="false">IFERROR(INDEX(System_Inventory!$D$5:$D$204,MATCH(E19,System_Inventory!$A$5:$A$204,0)),"")</f>
        <v/>
      </c>
      <c r="G19" s="15"/>
      <c r="H19" s="16" t="str">
        <f aca="false">IF(A19="","",IF(AND(D19="DEV",F19="PRD"),"BYPASS: direct DEV to PRD","OK"))</f>
        <v/>
      </c>
      <c r="I19" s="15"/>
      <c r="J19" s="15"/>
    </row>
    <row r="20" customFormat="false" ht="15" hidden="false" customHeight="false" outlineLevel="0" collapsed="false">
      <c r="A20" s="15"/>
      <c r="B20" s="15"/>
      <c r="C20" s="15"/>
      <c r="D20" s="16" t="str">
        <f aca="false">IFERROR(INDEX(System_Inventory!$D$5:$D$204,MATCH(C20,System_Inventory!$A$5:$A$204,0)),"")</f>
        <v/>
      </c>
      <c r="E20" s="15"/>
      <c r="F20" s="16" t="str">
        <f aca="false">IFERROR(INDEX(System_Inventory!$D$5:$D$204,MATCH(E20,System_Inventory!$A$5:$A$204,0)),"")</f>
        <v/>
      </c>
      <c r="G20" s="15"/>
      <c r="H20" s="16" t="str">
        <f aca="false">IF(A20="","",IF(AND(D20="DEV",F20="PRD"),"BYPASS: direct DEV to PRD","OK"))</f>
        <v/>
      </c>
      <c r="I20" s="15"/>
      <c r="J20" s="15"/>
    </row>
    <row r="21" customFormat="false" ht="15" hidden="false" customHeight="false" outlineLevel="0" collapsed="false">
      <c r="A21" s="15"/>
      <c r="B21" s="15"/>
      <c r="C21" s="15"/>
      <c r="D21" s="16" t="str">
        <f aca="false">IFERROR(INDEX(System_Inventory!$D$5:$D$204,MATCH(C21,System_Inventory!$A$5:$A$204,0)),"")</f>
        <v/>
      </c>
      <c r="E21" s="15"/>
      <c r="F21" s="16" t="str">
        <f aca="false">IFERROR(INDEX(System_Inventory!$D$5:$D$204,MATCH(E21,System_Inventory!$A$5:$A$204,0)),"")</f>
        <v/>
      </c>
      <c r="G21" s="15"/>
      <c r="H21" s="16" t="str">
        <f aca="false">IF(A21="","",IF(AND(D21="DEV",F21="PRD"),"BYPASS: direct DEV to PRD","OK"))</f>
        <v/>
      </c>
      <c r="I21" s="15"/>
      <c r="J21" s="15"/>
    </row>
    <row r="22" customFormat="false" ht="15" hidden="false" customHeight="false" outlineLevel="0" collapsed="false">
      <c r="A22" s="15"/>
      <c r="B22" s="15"/>
      <c r="C22" s="15"/>
      <c r="D22" s="16" t="str">
        <f aca="false">IFERROR(INDEX(System_Inventory!$D$5:$D$204,MATCH(C22,System_Inventory!$A$5:$A$204,0)),"")</f>
        <v/>
      </c>
      <c r="E22" s="15"/>
      <c r="F22" s="16" t="str">
        <f aca="false">IFERROR(INDEX(System_Inventory!$D$5:$D$204,MATCH(E22,System_Inventory!$A$5:$A$204,0)),"")</f>
        <v/>
      </c>
      <c r="G22" s="15"/>
      <c r="H22" s="16" t="str">
        <f aca="false">IF(A22="","",IF(AND(D22="DEV",F22="PRD"),"BYPASS: direct DEV to PRD","OK"))</f>
        <v/>
      </c>
      <c r="I22" s="15"/>
      <c r="J22" s="15"/>
    </row>
    <row r="23" customFormat="false" ht="15" hidden="false" customHeight="false" outlineLevel="0" collapsed="false">
      <c r="A23" s="15"/>
      <c r="B23" s="15"/>
      <c r="C23" s="15"/>
      <c r="D23" s="16" t="str">
        <f aca="false">IFERROR(INDEX(System_Inventory!$D$5:$D$204,MATCH(C23,System_Inventory!$A$5:$A$204,0)),"")</f>
        <v/>
      </c>
      <c r="E23" s="15"/>
      <c r="F23" s="16" t="str">
        <f aca="false">IFERROR(INDEX(System_Inventory!$D$5:$D$204,MATCH(E23,System_Inventory!$A$5:$A$204,0)),"")</f>
        <v/>
      </c>
      <c r="G23" s="15"/>
      <c r="H23" s="16" t="str">
        <f aca="false">IF(A23="","",IF(AND(D23="DEV",F23="PRD"),"BYPASS: direct DEV to PRD","OK"))</f>
        <v/>
      </c>
      <c r="I23" s="15"/>
      <c r="J23" s="15"/>
    </row>
    <row r="24" customFormat="false" ht="15" hidden="false" customHeight="false" outlineLevel="0" collapsed="false">
      <c r="A24" s="15"/>
      <c r="B24" s="15"/>
      <c r="C24" s="15"/>
      <c r="D24" s="16" t="str">
        <f aca="false">IFERROR(INDEX(System_Inventory!$D$5:$D$204,MATCH(C24,System_Inventory!$A$5:$A$204,0)),"")</f>
        <v/>
      </c>
      <c r="E24" s="15"/>
      <c r="F24" s="16" t="str">
        <f aca="false">IFERROR(INDEX(System_Inventory!$D$5:$D$204,MATCH(E24,System_Inventory!$A$5:$A$204,0)),"")</f>
        <v/>
      </c>
      <c r="G24" s="15"/>
      <c r="H24" s="16" t="str">
        <f aca="false">IF(A24="","",IF(AND(D24="DEV",F24="PRD"),"BYPASS: direct DEV to PRD","OK"))</f>
        <v/>
      </c>
      <c r="I24" s="15"/>
      <c r="J24" s="15"/>
    </row>
    <row r="25" customFormat="false" ht="15" hidden="false" customHeight="false" outlineLevel="0" collapsed="false">
      <c r="A25" s="15"/>
      <c r="B25" s="15"/>
      <c r="C25" s="15"/>
      <c r="D25" s="16" t="str">
        <f aca="false">IFERROR(INDEX(System_Inventory!$D$5:$D$204,MATCH(C25,System_Inventory!$A$5:$A$204,0)),"")</f>
        <v/>
      </c>
      <c r="E25" s="15"/>
      <c r="F25" s="16" t="str">
        <f aca="false">IFERROR(INDEX(System_Inventory!$D$5:$D$204,MATCH(E25,System_Inventory!$A$5:$A$204,0)),"")</f>
        <v/>
      </c>
      <c r="G25" s="15"/>
      <c r="H25" s="16" t="str">
        <f aca="false">IF(A25="","",IF(AND(D25="DEV",F25="PRD"),"BYPASS: direct DEV to PRD","OK"))</f>
        <v/>
      </c>
      <c r="I25" s="15"/>
      <c r="J25" s="15"/>
    </row>
    <row r="26" customFormat="false" ht="15" hidden="false" customHeight="false" outlineLevel="0" collapsed="false">
      <c r="A26" s="15"/>
      <c r="B26" s="15"/>
      <c r="C26" s="15"/>
      <c r="D26" s="16" t="str">
        <f aca="false">IFERROR(INDEX(System_Inventory!$D$5:$D$204,MATCH(C26,System_Inventory!$A$5:$A$204,0)),"")</f>
        <v/>
      </c>
      <c r="E26" s="15"/>
      <c r="F26" s="16" t="str">
        <f aca="false">IFERROR(INDEX(System_Inventory!$D$5:$D$204,MATCH(E26,System_Inventory!$A$5:$A$204,0)),"")</f>
        <v/>
      </c>
      <c r="G26" s="15"/>
      <c r="H26" s="16" t="str">
        <f aca="false">IF(A26="","",IF(AND(D26="DEV",F26="PRD"),"BYPASS: direct DEV to PRD","OK"))</f>
        <v/>
      </c>
      <c r="I26" s="15"/>
      <c r="J26" s="15"/>
    </row>
    <row r="27" customFormat="false" ht="15" hidden="false" customHeight="false" outlineLevel="0" collapsed="false">
      <c r="A27" s="15"/>
      <c r="B27" s="15"/>
      <c r="C27" s="15"/>
      <c r="D27" s="16" t="str">
        <f aca="false">IFERROR(INDEX(System_Inventory!$D$5:$D$204,MATCH(C27,System_Inventory!$A$5:$A$204,0)),"")</f>
        <v/>
      </c>
      <c r="E27" s="15"/>
      <c r="F27" s="16" t="str">
        <f aca="false">IFERROR(INDEX(System_Inventory!$D$5:$D$204,MATCH(E27,System_Inventory!$A$5:$A$204,0)),"")</f>
        <v/>
      </c>
      <c r="G27" s="15"/>
      <c r="H27" s="16" t="str">
        <f aca="false">IF(A27="","",IF(AND(D27="DEV",F27="PRD"),"BYPASS: direct DEV to PRD","OK"))</f>
        <v/>
      </c>
      <c r="I27" s="15"/>
      <c r="J27" s="15"/>
    </row>
    <row r="28" customFormat="false" ht="15" hidden="false" customHeight="false" outlineLevel="0" collapsed="false">
      <c r="A28" s="15"/>
      <c r="B28" s="15"/>
      <c r="C28" s="15"/>
      <c r="D28" s="16" t="str">
        <f aca="false">IFERROR(INDEX(System_Inventory!$D$5:$D$204,MATCH(C28,System_Inventory!$A$5:$A$204,0)),"")</f>
        <v/>
      </c>
      <c r="E28" s="15"/>
      <c r="F28" s="16" t="str">
        <f aca="false">IFERROR(INDEX(System_Inventory!$D$5:$D$204,MATCH(E28,System_Inventory!$A$5:$A$204,0)),"")</f>
        <v/>
      </c>
      <c r="G28" s="15"/>
      <c r="H28" s="16" t="str">
        <f aca="false">IF(A28="","",IF(AND(D28="DEV",F28="PRD"),"BYPASS: direct DEV to PRD","OK"))</f>
        <v/>
      </c>
      <c r="I28" s="15"/>
      <c r="J28" s="15"/>
    </row>
    <row r="29" customFormat="false" ht="15" hidden="false" customHeight="false" outlineLevel="0" collapsed="false">
      <c r="A29" s="15"/>
      <c r="B29" s="15"/>
      <c r="C29" s="15"/>
      <c r="D29" s="16" t="str">
        <f aca="false">IFERROR(INDEX(System_Inventory!$D$5:$D$204,MATCH(C29,System_Inventory!$A$5:$A$204,0)),"")</f>
        <v/>
      </c>
      <c r="E29" s="15"/>
      <c r="F29" s="16" t="str">
        <f aca="false">IFERROR(INDEX(System_Inventory!$D$5:$D$204,MATCH(E29,System_Inventory!$A$5:$A$204,0)),"")</f>
        <v/>
      </c>
      <c r="G29" s="15"/>
      <c r="H29" s="16" t="str">
        <f aca="false">IF(A29="","",IF(AND(D29="DEV",F29="PRD"),"BYPASS: direct DEV to PRD","OK"))</f>
        <v/>
      </c>
      <c r="I29" s="15"/>
      <c r="J29" s="15"/>
    </row>
    <row r="30" customFormat="false" ht="15" hidden="false" customHeight="false" outlineLevel="0" collapsed="false">
      <c r="A30" s="15"/>
      <c r="B30" s="15"/>
      <c r="C30" s="15"/>
      <c r="D30" s="16" t="str">
        <f aca="false">IFERROR(INDEX(System_Inventory!$D$5:$D$204,MATCH(C30,System_Inventory!$A$5:$A$204,0)),"")</f>
        <v/>
      </c>
      <c r="E30" s="15"/>
      <c r="F30" s="16" t="str">
        <f aca="false">IFERROR(INDEX(System_Inventory!$D$5:$D$204,MATCH(E30,System_Inventory!$A$5:$A$204,0)),"")</f>
        <v/>
      </c>
      <c r="G30" s="15"/>
      <c r="H30" s="16" t="str">
        <f aca="false">IF(A30="","",IF(AND(D30="DEV",F30="PRD"),"BYPASS: direct DEV to PRD","OK"))</f>
        <v/>
      </c>
      <c r="I30" s="15"/>
      <c r="J30" s="15"/>
    </row>
    <row r="31" customFormat="false" ht="15" hidden="false" customHeight="false" outlineLevel="0" collapsed="false">
      <c r="A31" s="15"/>
      <c r="B31" s="15"/>
      <c r="C31" s="15"/>
      <c r="D31" s="16" t="str">
        <f aca="false">IFERROR(INDEX(System_Inventory!$D$5:$D$204,MATCH(C31,System_Inventory!$A$5:$A$204,0)),"")</f>
        <v/>
      </c>
      <c r="E31" s="15"/>
      <c r="F31" s="16" t="str">
        <f aca="false">IFERROR(INDEX(System_Inventory!$D$5:$D$204,MATCH(E31,System_Inventory!$A$5:$A$204,0)),"")</f>
        <v/>
      </c>
      <c r="G31" s="15"/>
      <c r="H31" s="16" t="str">
        <f aca="false">IF(A31="","",IF(AND(D31="DEV",F31="PRD"),"BYPASS: direct DEV to PRD","OK"))</f>
        <v/>
      </c>
      <c r="I31" s="15"/>
      <c r="J31" s="15"/>
    </row>
    <row r="32" customFormat="false" ht="15" hidden="false" customHeight="false" outlineLevel="0" collapsed="false">
      <c r="A32" s="15"/>
      <c r="B32" s="15"/>
      <c r="C32" s="15"/>
      <c r="D32" s="16" t="str">
        <f aca="false">IFERROR(INDEX(System_Inventory!$D$5:$D$204,MATCH(C32,System_Inventory!$A$5:$A$204,0)),"")</f>
        <v/>
      </c>
      <c r="E32" s="15"/>
      <c r="F32" s="16" t="str">
        <f aca="false">IFERROR(INDEX(System_Inventory!$D$5:$D$204,MATCH(E32,System_Inventory!$A$5:$A$204,0)),"")</f>
        <v/>
      </c>
      <c r="G32" s="15"/>
      <c r="H32" s="16" t="str">
        <f aca="false">IF(A32="","",IF(AND(D32="DEV",F32="PRD"),"BYPASS: direct DEV to PRD","OK"))</f>
        <v/>
      </c>
      <c r="I32" s="15"/>
      <c r="J32" s="15"/>
    </row>
    <row r="33" customFormat="false" ht="15" hidden="false" customHeight="false" outlineLevel="0" collapsed="false">
      <c r="A33" s="15"/>
      <c r="B33" s="15"/>
      <c r="C33" s="15"/>
      <c r="D33" s="16" t="str">
        <f aca="false">IFERROR(INDEX(System_Inventory!$D$5:$D$204,MATCH(C33,System_Inventory!$A$5:$A$204,0)),"")</f>
        <v/>
      </c>
      <c r="E33" s="15"/>
      <c r="F33" s="16" t="str">
        <f aca="false">IFERROR(INDEX(System_Inventory!$D$5:$D$204,MATCH(E33,System_Inventory!$A$5:$A$204,0)),"")</f>
        <v/>
      </c>
      <c r="G33" s="15"/>
      <c r="H33" s="16" t="str">
        <f aca="false">IF(A33="","",IF(AND(D33="DEV",F33="PRD"),"BYPASS: direct DEV to PRD","OK"))</f>
        <v/>
      </c>
      <c r="I33" s="15"/>
      <c r="J33" s="15"/>
    </row>
    <row r="34" customFormat="false" ht="15" hidden="false" customHeight="false" outlineLevel="0" collapsed="false">
      <c r="A34" s="15"/>
      <c r="B34" s="15"/>
      <c r="C34" s="15"/>
      <c r="D34" s="16" t="str">
        <f aca="false">IFERROR(INDEX(System_Inventory!$D$5:$D$204,MATCH(C34,System_Inventory!$A$5:$A$204,0)),"")</f>
        <v/>
      </c>
      <c r="E34" s="15"/>
      <c r="F34" s="16" t="str">
        <f aca="false">IFERROR(INDEX(System_Inventory!$D$5:$D$204,MATCH(E34,System_Inventory!$A$5:$A$204,0)),"")</f>
        <v/>
      </c>
      <c r="G34" s="15"/>
      <c r="H34" s="16" t="str">
        <f aca="false">IF(A34="","",IF(AND(D34="DEV",F34="PRD"),"BYPASS: direct DEV to PRD","OK"))</f>
        <v/>
      </c>
      <c r="I34" s="15"/>
      <c r="J34" s="15"/>
    </row>
    <row r="35" customFormat="false" ht="15" hidden="false" customHeight="false" outlineLevel="0" collapsed="false">
      <c r="A35" s="15"/>
      <c r="B35" s="15"/>
      <c r="C35" s="15"/>
      <c r="D35" s="16" t="str">
        <f aca="false">IFERROR(INDEX(System_Inventory!$D$5:$D$204,MATCH(C35,System_Inventory!$A$5:$A$204,0)),"")</f>
        <v/>
      </c>
      <c r="E35" s="15"/>
      <c r="F35" s="16" t="str">
        <f aca="false">IFERROR(INDEX(System_Inventory!$D$5:$D$204,MATCH(E35,System_Inventory!$A$5:$A$204,0)),"")</f>
        <v/>
      </c>
      <c r="G35" s="15"/>
      <c r="H35" s="16" t="str">
        <f aca="false">IF(A35="","",IF(AND(D35="DEV",F35="PRD"),"BYPASS: direct DEV to PRD","OK"))</f>
        <v/>
      </c>
      <c r="I35" s="15"/>
      <c r="J35" s="15"/>
    </row>
    <row r="36" customFormat="false" ht="15" hidden="false" customHeight="false" outlineLevel="0" collapsed="false">
      <c r="A36" s="15"/>
      <c r="B36" s="15"/>
      <c r="C36" s="15"/>
      <c r="D36" s="16" t="str">
        <f aca="false">IFERROR(INDEX(System_Inventory!$D$5:$D$204,MATCH(C36,System_Inventory!$A$5:$A$204,0)),"")</f>
        <v/>
      </c>
      <c r="E36" s="15"/>
      <c r="F36" s="16" t="str">
        <f aca="false">IFERROR(INDEX(System_Inventory!$D$5:$D$204,MATCH(E36,System_Inventory!$A$5:$A$204,0)),"")</f>
        <v/>
      </c>
      <c r="G36" s="15"/>
      <c r="H36" s="16" t="str">
        <f aca="false">IF(A36="","",IF(AND(D36="DEV",F36="PRD"),"BYPASS: direct DEV to PRD","OK"))</f>
        <v/>
      </c>
      <c r="I36" s="15"/>
      <c r="J36" s="15"/>
    </row>
    <row r="37" customFormat="false" ht="15" hidden="false" customHeight="false" outlineLevel="0" collapsed="false">
      <c r="A37" s="15"/>
      <c r="B37" s="15"/>
      <c r="C37" s="15"/>
      <c r="D37" s="16" t="str">
        <f aca="false">IFERROR(INDEX(System_Inventory!$D$5:$D$204,MATCH(C37,System_Inventory!$A$5:$A$204,0)),"")</f>
        <v/>
      </c>
      <c r="E37" s="15"/>
      <c r="F37" s="16" t="str">
        <f aca="false">IFERROR(INDEX(System_Inventory!$D$5:$D$204,MATCH(E37,System_Inventory!$A$5:$A$204,0)),"")</f>
        <v/>
      </c>
      <c r="G37" s="15"/>
      <c r="H37" s="16" t="str">
        <f aca="false">IF(A37="","",IF(AND(D37="DEV",F37="PRD"),"BYPASS: direct DEV to PRD","OK"))</f>
        <v/>
      </c>
      <c r="I37" s="15"/>
      <c r="J37" s="15"/>
    </row>
    <row r="38" customFormat="false" ht="15" hidden="false" customHeight="false" outlineLevel="0" collapsed="false">
      <c r="A38" s="15"/>
      <c r="B38" s="15"/>
      <c r="C38" s="15"/>
      <c r="D38" s="16" t="str">
        <f aca="false">IFERROR(INDEX(System_Inventory!$D$5:$D$204,MATCH(C38,System_Inventory!$A$5:$A$204,0)),"")</f>
        <v/>
      </c>
      <c r="E38" s="15"/>
      <c r="F38" s="16" t="str">
        <f aca="false">IFERROR(INDEX(System_Inventory!$D$5:$D$204,MATCH(E38,System_Inventory!$A$5:$A$204,0)),"")</f>
        <v/>
      </c>
      <c r="G38" s="15"/>
      <c r="H38" s="16" t="str">
        <f aca="false">IF(A38="","",IF(AND(D38="DEV",F38="PRD"),"BYPASS: direct DEV to PRD","OK"))</f>
        <v/>
      </c>
      <c r="I38" s="15"/>
      <c r="J38" s="15"/>
    </row>
    <row r="39" customFormat="false" ht="15" hidden="false" customHeight="false" outlineLevel="0" collapsed="false">
      <c r="A39" s="15"/>
      <c r="B39" s="15"/>
      <c r="C39" s="15"/>
      <c r="D39" s="16" t="str">
        <f aca="false">IFERROR(INDEX(System_Inventory!$D$5:$D$204,MATCH(C39,System_Inventory!$A$5:$A$204,0)),"")</f>
        <v/>
      </c>
      <c r="E39" s="15"/>
      <c r="F39" s="16" t="str">
        <f aca="false">IFERROR(INDEX(System_Inventory!$D$5:$D$204,MATCH(E39,System_Inventory!$A$5:$A$204,0)),"")</f>
        <v/>
      </c>
      <c r="G39" s="15"/>
      <c r="H39" s="16" t="str">
        <f aca="false">IF(A39="","",IF(AND(D39="DEV",F39="PRD"),"BYPASS: direct DEV to PRD","OK"))</f>
        <v/>
      </c>
      <c r="I39" s="15"/>
      <c r="J39" s="15"/>
    </row>
    <row r="40" customFormat="false" ht="15" hidden="false" customHeight="false" outlineLevel="0" collapsed="false">
      <c r="A40" s="15"/>
      <c r="B40" s="15"/>
      <c r="C40" s="15"/>
      <c r="D40" s="16" t="str">
        <f aca="false">IFERROR(INDEX(System_Inventory!$D$5:$D$204,MATCH(C40,System_Inventory!$A$5:$A$204,0)),"")</f>
        <v/>
      </c>
      <c r="E40" s="15"/>
      <c r="F40" s="16" t="str">
        <f aca="false">IFERROR(INDEX(System_Inventory!$D$5:$D$204,MATCH(E40,System_Inventory!$A$5:$A$204,0)),"")</f>
        <v/>
      </c>
      <c r="G40" s="15"/>
      <c r="H40" s="16" t="str">
        <f aca="false">IF(A40="","",IF(AND(D40="DEV",F40="PRD"),"BYPASS: direct DEV to PRD","OK"))</f>
        <v/>
      </c>
      <c r="I40" s="15"/>
      <c r="J40" s="15"/>
    </row>
    <row r="41" customFormat="false" ht="15" hidden="false" customHeight="false" outlineLevel="0" collapsed="false">
      <c r="A41" s="15"/>
      <c r="B41" s="15"/>
      <c r="C41" s="15"/>
      <c r="D41" s="16" t="str">
        <f aca="false">IFERROR(INDEX(System_Inventory!$D$5:$D$204,MATCH(C41,System_Inventory!$A$5:$A$204,0)),"")</f>
        <v/>
      </c>
      <c r="E41" s="15"/>
      <c r="F41" s="16" t="str">
        <f aca="false">IFERROR(INDEX(System_Inventory!$D$5:$D$204,MATCH(E41,System_Inventory!$A$5:$A$204,0)),"")</f>
        <v/>
      </c>
      <c r="G41" s="15"/>
      <c r="H41" s="16" t="str">
        <f aca="false">IF(A41="","",IF(AND(D41="DEV",F41="PRD"),"BYPASS: direct DEV to PRD","OK"))</f>
        <v/>
      </c>
      <c r="I41" s="15"/>
      <c r="J41" s="15"/>
    </row>
    <row r="42" customFormat="false" ht="15" hidden="false" customHeight="false" outlineLevel="0" collapsed="false">
      <c r="A42" s="15"/>
      <c r="B42" s="15"/>
      <c r="C42" s="15"/>
      <c r="D42" s="16" t="str">
        <f aca="false">IFERROR(INDEX(System_Inventory!$D$5:$D$204,MATCH(C42,System_Inventory!$A$5:$A$204,0)),"")</f>
        <v/>
      </c>
      <c r="E42" s="15"/>
      <c r="F42" s="16" t="str">
        <f aca="false">IFERROR(INDEX(System_Inventory!$D$5:$D$204,MATCH(E42,System_Inventory!$A$5:$A$204,0)),"")</f>
        <v/>
      </c>
      <c r="G42" s="15"/>
      <c r="H42" s="16" t="str">
        <f aca="false">IF(A42="","",IF(AND(D42="DEV",F42="PRD"),"BYPASS: direct DEV to PRD","OK"))</f>
        <v/>
      </c>
      <c r="I42" s="15"/>
      <c r="J42" s="15"/>
    </row>
    <row r="43" customFormat="false" ht="15" hidden="false" customHeight="false" outlineLevel="0" collapsed="false">
      <c r="A43" s="15"/>
      <c r="B43" s="15"/>
      <c r="C43" s="15"/>
      <c r="D43" s="16" t="str">
        <f aca="false">IFERROR(INDEX(System_Inventory!$D$5:$D$204,MATCH(C43,System_Inventory!$A$5:$A$204,0)),"")</f>
        <v/>
      </c>
      <c r="E43" s="15"/>
      <c r="F43" s="16" t="str">
        <f aca="false">IFERROR(INDEX(System_Inventory!$D$5:$D$204,MATCH(E43,System_Inventory!$A$5:$A$204,0)),"")</f>
        <v/>
      </c>
      <c r="G43" s="15"/>
      <c r="H43" s="16" t="str">
        <f aca="false">IF(A43="","",IF(AND(D43="DEV",F43="PRD"),"BYPASS: direct DEV to PRD","OK"))</f>
        <v/>
      </c>
      <c r="I43" s="15"/>
      <c r="J43" s="15"/>
    </row>
    <row r="44" customFormat="false" ht="15" hidden="false" customHeight="false" outlineLevel="0" collapsed="false">
      <c r="A44" s="15"/>
      <c r="B44" s="15"/>
      <c r="C44" s="15"/>
      <c r="D44" s="16" t="str">
        <f aca="false">IFERROR(INDEX(System_Inventory!$D$5:$D$204,MATCH(C44,System_Inventory!$A$5:$A$204,0)),"")</f>
        <v/>
      </c>
      <c r="E44" s="15"/>
      <c r="F44" s="16" t="str">
        <f aca="false">IFERROR(INDEX(System_Inventory!$D$5:$D$204,MATCH(E44,System_Inventory!$A$5:$A$204,0)),"")</f>
        <v/>
      </c>
      <c r="G44" s="15"/>
      <c r="H44" s="16" t="str">
        <f aca="false">IF(A44="","",IF(AND(D44="DEV",F44="PRD"),"BYPASS: direct DEV to PRD","OK"))</f>
        <v/>
      </c>
      <c r="I44" s="15"/>
      <c r="J44" s="15"/>
    </row>
    <row r="45" customFormat="false" ht="15" hidden="false" customHeight="false" outlineLevel="0" collapsed="false">
      <c r="A45" s="15"/>
      <c r="B45" s="15"/>
      <c r="C45" s="15"/>
      <c r="D45" s="16" t="str">
        <f aca="false">IFERROR(INDEX(System_Inventory!$D$5:$D$204,MATCH(C45,System_Inventory!$A$5:$A$204,0)),"")</f>
        <v/>
      </c>
      <c r="E45" s="15"/>
      <c r="F45" s="16" t="str">
        <f aca="false">IFERROR(INDEX(System_Inventory!$D$5:$D$204,MATCH(E45,System_Inventory!$A$5:$A$204,0)),"")</f>
        <v/>
      </c>
      <c r="G45" s="15"/>
      <c r="H45" s="16" t="str">
        <f aca="false">IF(A45="","",IF(AND(D45="DEV",F45="PRD"),"BYPASS: direct DEV to PRD","OK"))</f>
        <v/>
      </c>
      <c r="I45" s="15"/>
      <c r="J45" s="15"/>
    </row>
    <row r="46" customFormat="false" ht="15" hidden="false" customHeight="false" outlineLevel="0" collapsed="false">
      <c r="A46" s="15"/>
      <c r="B46" s="15"/>
      <c r="C46" s="15"/>
      <c r="D46" s="16" t="str">
        <f aca="false">IFERROR(INDEX(System_Inventory!$D$5:$D$204,MATCH(C46,System_Inventory!$A$5:$A$204,0)),"")</f>
        <v/>
      </c>
      <c r="E46" s="15"/>
      <c r="F46" s="16" t="str">
        <f aca="false">IFERROR(INDEX(System_Inventory!$D$5:$D$204,MATCH(E46,System_Inventory!$A$5:$A$204,0)),"")</f>
        <v/>
      </c>
      <c r="G46" s="15"/>
      <c r="H46" s="16" t="str">
        <f aca="false">IF(A46="","",IF(AND(D46="DEV",F46="PRD"),"BYPASS: direct DEV to PRD","OK"))</f>
        <v/>
      </c>
      <c r="I46" s="15"/>
      <c r="J46" s="15"/>
    </row>
    <row r="47" customFormat="false" ht="15" hidden="false" customHeight="false" outlineLevel="0" collapsed="false">
      <c r="A47" s="15"/>
      <c r="B47" s="15"/>
      <c r="C47" s="15"/>
      <c r="D47" s="16" t="str">
        <f aca="false">IFERROR(INDEX(System_Inventory!$D$5:$D$204,MATCH(C47,System_Inventory!$A$5:$A$204,0)),"")</f>
        <v/>
      </c>
      <c r="E47" s="15"/>
      <c r="F47" s="16" t="str">
        <f aca="false">IFERROR(INDEX(System_Inventory!$D$5:$D$204,MATCH(E47,System_Inventory!$A$5:$A$204,0)),"")</f>
        <v/>
      </c>
      <c r="G47" s="15"/>
      <c r="H47" s="16" t="str">
        <f aca="false">IF(A47="","",IF(AND(D47="DEV",F47="PRD"),"BYPASS: direct DEV to PRD","OK"))</f>
        <v/>
      </c>
      <c r="I47" s="15"/>
      <c r="J47" s="15"/>
    </row>
    <row r="48" customFormat="false" ht="15" hidden="false" customHeight="false" outlineLevel="0" collapsed="false">
      <c r="A48" s="15"/>
      <c r="B48" s="15"/>
      <c r="C48" s="15"/>
      <c r="D48" s="16" t="str">
        <f aca="false">IFERROR(INDEX(System_Inventory!$D$5:$D$204,MATCH(C48,System_Inventory!$A$5:$A$204,0)),"")</f>
        <v/>
      </c>
      <c r="E48" s="15"/>
      <c r="F48" s="16" t="str">
        <f aca="false">IFERROR(INDEX(System_Inventory!$D$5:$D$204,MATCH(E48,System_Inventory!$A$5:$A$204,0)),"")</f>
        <v/>
      </c>
      <c r="G48" s="15"/>
      <c r="H48" s="16" t="str">
        <f aca="false">IF(A48="","",IF(AND(D48="DEV",F48="PRD"),"BYPASS: direct DEV to PRD","OK"))</f>
        <v/>
      </c>
      <c r="I48" s="15"/>
      <c r="J48" s="15"/>
    </row>
    <row r="49" customFormat="false" ht="15" hidden="false" customHeight="false" outlineLevel="0" collapsed="false">
      <c r="A49" s="15"/>
      <c r="B49" s="15"/>
      <c r="C49" s="15"/>
      <c r="D49" s="16" t="str">
        <f aca="false">IFERROR(INDEX(System_Inventory!$D$5:$D$204,MATCH(C49,System_Inventory!$A$5:$A$204,0)),"")</f>
        <v/>
      </c>
      <c r="E49" s="15"/>
      <c r="F49" s="16" t="str">
        <f aca="false">IFERROR(INDEX(System_Inventory!$D$5:$D$204,MATCH(E49,System_Inventory!$A$5:$A$204,0)),"")</f>
        <v/>
      </c>
      <c r="G49" s="15"/>
      <c r="H49" s="16" t="str">
        <f aca="false">IF(A49="","",IF(AND(D49="DEV",F49="PRD"),"BYPASS: direct DEV to PRD","OK"))</f>
        <v/>
      </c>
      <c r="I49" s="15"/>
      <c r="J49" s="15"/>
    </row>
    <row r="50" customFormat="false" ht="15" hidden="false" customHeight="false" outlineLevel="0" collapsed="false">
      <c r="A50" s="15"/>
      <c r="B50" s="15"/>
      <c r="C50" s="15"/>
      <c r="D50" s="16" t="str">
        <f aca="false">IFERROR(INDEX(System_Inventory!$D$5:$D$204,MATCH(C50,System_Inventory!$A$5:$A$204,0)),"")</f>
        <v/>
      </c>
      <c r="E50" s="15"/>
      <c r="F50" s="16" t="str">
        <f aca="false">IFERROR(INDEX(System_Inventory!$D$5:$D$204,MATCH(E50,System_Inventory!$A$5:$A$204,0)),"")</f>
        <v/>
      </c>
      <c r="G50" s="15"/>
      <c r="H50" s="16" t="str">
        <f aca="false">IF(A50="","",IF(AND(D50="DEV",F50="PRD"),"BYPASS: direct DEV to PRD","OK"))</f>
        <v/>
      </c>
      <c r="I50" s="15"/>
      <c r="J50" s="15"/>
    </row>
    <row r="51" customFormat="false" ht="15" hidden="false" customHeight="false" outlineLevel="0" collapsed="false">
      <c r="A51" s="15"/>
      <c r="B51" s="15"/>
      <c r="C51" s="15"/>
      <c r="D51" s="16" t="str">
        <f aca="false">IFERROR(INDEX(System_Inventory!$D$5:$D$204,MATCH(C51,System_Inventory!$A$5:$A$204,0)),"")</f>
        <v/>
      </c>
      <c r="E51" s="15"/>
      <c r="F51" s="16" t="str">
        <f aca="false">IFERROR(INDEX(System_Inventory!$D$5:$D$204,MATCH(E51,System_Inventory!$A$5:$A$204,0)),"")</f>
        <v/>
      </c>
      <c r="G51" s="15"/>
      <c r="H51" s="16" t="str">
        <f aca="false">IF(A51="","",IF(AND(D51="DEV",F51="PRD"),"BYPASS: direct DEV to PRD","OK"))</f>
        <v/>
      </c>
      <c r="I51" s="15"/>
      <c r="J51" s="15"/>
    </row>
    <row r="52" customFormat="false" ht="15" hidden="false" customHeight="false" outlineLevel="0" collapsed="false">
      <c r="A52" s="15"/>
      <c r="B52" s="15"/>
      <c r="C52" s="15"/>
      <c r="D52" s="16" t="str">
        <f aca="false">IFERROR(INDEX(System_Inventory!$D$5:$D$204,MATCH(C52,System_Inventory!$A$5:$A$204,0)),"")</f>
        <v/>
      </c>
      <c r="E52" s="15"/>
      <c r="F52" s="16" t="str">
        <f aca="false">IFERROR(INDEX(System_Inventory!$D$5:$D$204,MATCH(E52,System_Inventory!$A$5:$A$204,0)),"")</f>
        <v/>
      </c>
      <c r="G52" s="15"/>
      <c r="H52" s="16" t="str">
        <f aca="false">IF(A52="","",IF(AND(D52="DEV",F52="PRD"),"BYPASS: direct DEV to PRD","OK"))</f>
        <v/>
      </c>
      <c r="I52" s="15"/>
      <c r="J52" s="15"/>
    </row>
    <row r="53" customFormat="false" ht="15" hidden="false" customHeight="false" outlineLevel="0" collapsed="false">
      <c r="A53" s="15"/>
      <c r="B53" s="15"/>
      <c r="C53" s="15"/>
      <c r="D53" s="16" t="str">
        <f aca="false">IFERROR(INDEX(System_Inventory!$D$5:$D$204,MATCH(C53,System_Inventory!$A$5:$A$204,0)),"")</f>
        <v/>
      </c>
      <c r="E53" s="15"/>
      <c r="F53" s="16" t="str">
        <f aca="false">IFERROR(INDEX(System_Inventory!$D$5:$D$204,MATCH(E53,System_Inventory!$A$5:$A$204,0)),"")</f>
        <v/>
      </c>
      <c r="G53" s="15"/>
      <c r="H53" s="16" t="str">
        <f aca="false">IF(A53="","",IF(AND(D53="DEV",F53="PRD"),"BYPASS: direct DEV to PRD","OK"))</f>
        <v/>
      </c>
      <c r="I53" s="15"/>
      <c r="J53" s="15"/>
    </row>
    <row r="54" customFormat="false" ht="15" hidden="false" customHeight="false" outlineLevel="0" collapsed="false">
      <c r="A54" s="15"/>
      <c r="B54" s="15"/>
      <c r="C54" s="15"/>
      <c r="D54" s="16" t="str">
        <f aca="false">IFERROR(INDEX(System_Inventory!$D$5:$D$204,MATCH(C54,System_Inventory!$A$5:$A$204,0)),"")</f>
        <v/>
      </c>
      <c r="E54" s="15"/>
      <c r="F54" s="16" t="str">
        <f aca="false">IFERROR(INDEX(System_Inventory!$D$5:$D$204,MATCH(E54,System_Inventory!$A$5:$A$204,0)),"")</f>
        <v/>
      </c>
      <c r="G54" s="15"/>
      <c r="H54" s="16" t="str">
        <f aca="false">IF(A54="","",IF(AND(D54="DEV",F54="PRD"),"BYPASS: direct DEV to PRD","OK"))</f>
        <v/>
      </c>
      <c r="I54" s="15"/>
      <c r="J54" s="15"/>
    </row>
    <row r="55" customFormat="false" ht="15" hidden="false" customHeight="false" outlineLevel="0" collapsed="false">
      <c r="A55" s="15"/>
      <c r="B55" s="15"/>
      <c r="C55" s="15"/>
      <c r="D55" s="16" t="str">
        <f aca="false">IFERROR(INDEX(System_Inventory!$D$5:$D$204,MATCH(C55,System_Inventory!$A$5:$A$204,0)),"")</f>
        <v/>
      </c>
      <c r="E55" s="15"/>
      <c r="F55" s="16" t="str">
        <f aca="false">IFERROR(INDEX(System_Inventory!$D$5:$D$204,MATCH(E55,System_Inventory!$A$5:$A$204,0)),"")</f>
        <v/>
      </c>
      <c r="G55" s="15"/>
      <c r="H55" s="16" t="str">
        <f aca="false">IF(A55="","",IF(AND(D55="DEV",F55="PRD"),"BYPASS: direct DEV to PRD","OK"))</f>
        <v/>
      </c>
      <c r="I55" s="15"/>
      <c r="J55" s="15"/>
    </row>
    <row r="56" customFormat="false" ht="15" hidden="false" customHeight="false" outlineLevel="0" collapsed="false">
      <c r="A56" s="15"/>
      <c r="B56" s="15"/>
      <c r="C56" s="15"/>
      <c r="D56" s="16" t="str">
        <f aca="false">IFERROR(INDEX(System_Inventory!$D$5:$D$204,MATCH(C56,System_Inventory!$A$5:$A$204,0)),"")</f>
        <v/>
      </c>
      <c r="E56" s="15"/>
      <c r="F56" s="16" t="str">
        <f aca="false">IFERROR(INDEX(System_Inventory!$D$5:$D$204,MATCH(E56,System_Inventory!$A$5:$A$204,0)),"")</f>
        <v/>
      </c>
      <c r="G56" s="15"/>
      <c r="H56" s="16" t="str">
        <f aca="false">IF(A56="","",IF(AND(D56="DEV",F56="PRD"),"BYPASS: direct DEV to PRD","OK"))</f>
        <v/>
      </c>
      <c r="I56" s="15"/>
      <c r="J56" s="15"/>
    </row>
    <row r="57" customFormat="false" ht="15" hidden="false" customHeight="false" outlineLevel="0" collapsed="false">
      <c r="A57" s="15"/>
      <c r="B57" s="15"/>
      <c r="C57" s="15"/>
      <c r="D57" s="16" t="str">
        <f aca="false">IFERROR(INDEX(System_Inventory!$D$5:$D$204,MATCH(C57,System_Inventory!$A$5:$A$204,0)),"")</f>
        <v/>
      </c>
      <c r="E57" s="15"/>
      <c r="F57" s="16" t="str">
        <f aca="false">IFERROR(INDEX(System_Inventory!$D$5:$D$204,MATCH(E57,System_Inventory!$A$5:$A$204,0)),"")</f>
        <v/>
      </c>
      <c r="G57" s="15"/>
      <c r="H57" s="16" t="str">
        <f aca="false">IF(A57="","",IF(AND(D57="DEV",F57="PRD"),"BYPASS: direct DEV to PRD","OK"))</f>
        <v/>
      </c>
      <c r="I57" s="15"/>
      <c r="J57" s="15"/>
    </row>
    <row r="58" customFormat="false" ht="15" hidden="false" customHeight="false" outlineLevel="0" collapsed="false">
      <c r="A58" s="15"/>
      <c r="B58" s="15"/>
      <c r="C58" s="15"/>
      <c r="D58" s="16" t="str">
        <f aca="false">IFERROR(INDEX(System_Inventory!$D$5:$D$204,MATCH(C58,System_Inventory!$A$5:$A$204,0)),"")</f>
        <v/>
      </c>
      <c r="E58" s="15"/>
      <c r="F58" s="16" t="str">
        <f aca="false">IFERROR(INDEX(System_Inventory!$D$5:$D$204,MATCH(E58,System_Inventory!$A$5:$A$204,0)),"")</f>
        <v/>
      </c>
      <c r="G58" s="15"/>
      <c r="H58" s="16" t="str">
        <f aca="false">IF(A58="","",IF(AND(D58="DEV",F58="PRD"),"BYPASS: direct DEV to PRD","OK"))</f>
        <v/>
      </c>
      <c r="I58" s="15"/>
      <c r="J58" s="15"/>
    </row>
    <row r="59" customFormat="false" ht="15" hidden="false" customHeight="false" outlineLevel="0" collapsed="false">
      <c r="A59" s="15"/>
      <c r="B59" s="15"/>
      <c r="C59" s="15"/>
      <c r="D59" s="16" t="str">
        <f aca="false">IFERROR(INDEX(System_Inventory!$D$5:$D$204,MATCH(C59,System_Inventory!$A$5:$A$204,0)),"")</f>
        <v/>
      </c>
      <c r="E59" s="15"/>
      <c r="F59" s="16" t="str">
        <f aca="false">IFERROR(INDEX(System_Inventory!$D$5:$D$204,MATCH(E59,System_Inventory!$A$5:$A$204,0)),"")</f>
        <v/>
      </c>
      <c r="G59" s="15"/>
      <c r="H59" s="16" t="str">
        <f aca="false">IF(A59="","",IF(AND(D59="DEV",F59="PRD"),"BYPASS: direct DEV to PRD","OK"))</f>
        <v/>
      </c>
      <c r="I59" s="15"/>
      <c r="J59" s="15"/>
    </row>
    <row r="60" customFormat="false" ht="15" hidden="false" customHeight="false" outlineLevel="0" collapsed="false">
      <c r="A60" s="15"/>
      <c r="B60" s="15"/>
      <c r="C60" s="15"/>
      <c r="D60" s="16" t="str">
        <f aca="false">IFERROR(INDEX(System_Inventory!$D$5:$D$204,MATCH(C60,System_Inventory!$A$5:$A$204,0)),"")</f>
        <v/>
      </c>
      <c r="E60" s="15"/>
      <c r="F60" s="16" t="str">
        <f aca="false">IFERROR(INDEX(System_Inventory!$D$5:$D$204,MATCH(E60,System_Inventory!$A$5:$A$204,0)),"")</f>
        <v/>
      </c>
      <c r="G60" s="15"/>
      <c r="H60" s="16" t="str">
        <f aca="false">IF(A60="","",IF(AND(D60="DEV",F60="PRD"),"BYPASS: direct DEV to PRD","OK"))</f>
        <v/>
      </c>
      <c r="I60" s="15"/>
      <c r="J60" s="15"/>
    </row>
    <row r="61" customFormat="false" ht="15" hidden="false" customHeight="false" outlineLevel="0" collapsed="false">
      <c r="A61" s="15"/>
      <c r="B61" s="15"/>
      <c r="C61" s="15"/>
      <c r="D61" s="16" t="str">
        <f aca="false">IFERROR(INDEX(System_Inventory!$D$5:$D$204,MATCH(C61,System_Inventory!$A$5:$A$204,0)),"")</f>
        <v/>
      </c>
      <c r="E61" s="15"/>
      <c r="F61" s="16" t="str">
        <f aca="false">IFERROR(INDEX(System_Inventory!$D$5:$D$204,MATCH(E61,System_Inventory!$A$5:$A$204,0)),"")</f>
        <v/>
      </c>
      <c r="G61" s="15"/>
      <c r="H61" s="16" t="str">
        <f aca="false">IF(A61="","",IF(AND(D61="DEV",F61="PRD"),"BYPASS: direct DEV to PRD","OK"))</f>
        <v/>
      </c>
      <c r="I61" s="15"/>
      <c r="J61" s="15"/>
    </row>
    <row r="62" customFormat="false" ht="15" hidden="false" customHeight="false" outlineLevel="0" collapsed="false">
      <c r="A62" s="15"/>
      <c r="B62" s="15"/>
      <c r="C62" s="15"/>
      <c r="D62" s="16" t="str">
        <f aca="false">IFERROR(INDEX(System_Inventory!$D$5:$D$204,MATCH(C62,System_Inventory!$A$5:$A$204,0)),"")</f>
        <v/>
      </c>
      <c r="E62" s="15"/>
      <c r="F62" s="16" t="str">
        <f aca="false">IFERROR(INDEX(System_Inventory!$D$5:$D$204,MATCH(E62,System_Inventory!$A$5:$A$204,0)),"")</f>
        <v/>
      </c>
      <c r="G62" s="15"/>
      <c r="H62" s="16" t="str">
        <f aca="false">IF(A62="","",IF(AND(D62="DEV",F62="PRD"),"BYPASS: direct DEV to PRD","OK"))</f>
        <v/>
      </c>
      <c r="I62" s="15"/>
      <c r="J62" s="15"/>
    </row>
    <row r="63" customFormat="false" ht="15" hidden="false" customHeight="false" outlineLevel="0" collapsed="false">
      <c r="A63" s="15"/>
      <c r="B63" s="15"/>
      <c r="C63" s="15"/>
      <c r="D63" s="16" t="str">
        <f aca="false">IFERROR(INDEX(System_Inventory!$D$5:$D$204,MATCH(C63,System_Inventory!$A$5:$A$204,0)),"")</f>
        <v/>
      </c>
      <c r="E63" s="15"/>
      <c r="F63" s="16" t="str">
        <f aca="false">IFERROR(INDEX(System_Inventory!$D$5:$D$204,MATCH(E63,System_Inventory!$A$5:$A$204,0)),"")</f>
        <v/>
      </c>
      <c r="G63" s="15"/>
      <c r="H63" s="16" t="str">
        <f aca="false">IF(A63="","",IF(AND(D63="DEV",F63="PRD"),"BYPASS: direct DEV to PRD","OK"))</f>
        <v/>
      </c>
      <c r="I63" s="15"/>
      <c r="J63" s="15"/>
    </row>
    <row r="64" customFormat="false" ht="15" hidden="false" customHeight="false" outlineLevel="0" collapsed="false">
      <c r="A64" s="15"/>
      <c r="B64" s="15"/>
      <c r="C64" s="15"/>
      <c r="D64" s="16" t="str">
        <f aca="false">IFERROR(INDEX(System_Inventory!$D$5:$D$204,MATCH(C64,System_Inventory!$A$5:$A$204,0)),"")</f>
        <v/>
      </c>
      <c r="E64" s="15"/>
      <c r="F64" s="16" t="str">
        <f aca="false">IFERROR(INDEX(System_Inventory!$D$5:$D$204,MATCH(E64,System_Inventory!$A$5:$A$204,0)),"")</f>
        <v/>
      </c>
      <c r="G64" s="15"/>
      <c r="H64" s="16" t="str">
        <f aca="false">IF(A64="","",IF(AND(D64="DEV",F64="PRD"),"BYPASS: direct DEV to PRD","OK"))</f>
        <v/>
      </c>
      <c r="I64" s="15"/>
      <c r="J64" s="15"/>
    </row>
    <row r="65" customFormat="false" ht="15" hidden="false" customHeight="false" outlineLevel="0" collapsed="false">
      <c r="A65" s="15"/>
      <c r="B65" s="15"/>
      <c r="C65" s="15"/>
      <c r="D65" s="16" t="str">
        <f aca="false">IFERROR(INDEX(System_Inventory!$D$5:$D$204,MATCH(C65,System_Inventory!$A$5:$A$204,0)),"")</f>
        <v/>
      </c>
      <c r="E65" s="15"/>
      <c r="F65" s="16" t="str">
        <f aca="false">IFERROR(INDEX(System_Inventory!$D$5:$D$204,MATCH(E65,System_Inventory!$A$5:$A$204,0)),"")</f>
        <v/>
      </c>
      <c r="G65" s="15"/>
      <c r="H65" s="16" t="str">
        <f aca="false">IF(A65="","",IF(AND(D65="DEV",F65="PRD"),"BYPASS: direct DEV to PRD","OK"))</f>
        <v/>
      </c>
      <c r="I65" s="15"/>
      <c r="J65" s="15"/>
    </row>
    <row r="66" customFormat="false" ht="15" hidden="false" customHeight="false" outlineLevel="0" collapsed="false">
      <c r="A66" s="15"/>
      <c r="B66" s="15"/>
      <c r="C66" s="15"/>
      <c r="D66" s="16" t="str">
        <f aca="false">IFERROR(INDEX(System_Inventory!$D$5:$D$204,MATCH(C66,System_Inventory!$A$5:$A$204,0)),"")</f>
        <v/>
      </c>
      <c r="E66" s="15"/>
      <c r="F66" s="16" t="str">
        <f aca="false">IFERROR(INDEX(System_Inventory!$D$5:$D$204,MATCH(E66,System_Inventory!$A$5:$A$204,0)),"")</f>
        <v/>
      </c>
      <c r="G66" s="15"/>
      <c r="H66" s="16" t="str">
        <f aca="false">IF(A66="","",IF(AND(D66="DEV",F66="PRD"),"BYPASS: direct DEV to PRD","OK"))</f>
        <v/>
      </c>
      <c r="I66" s="15"/>
      <c r="J66" s="15"/>
    </row>
    <row r="67" customFormat="false" ht="15" hidden="false" customHeight="false" outlineLevel="0" collapsed="false">
      <c r="A67" s="15"/>
      <c r="B67" s="15"/>
      <c r="C67" s="15"/>
      <c r="D67" s="16" t="str">
        <f aca="false">IFERROR(INDEX(System_Inventory!$D$5:$D$204,MATCH(C67,System_Inventory!$A$5:$A$204,0)),"")</f>
        <v/>
      </c>
      <c r="E67" s="15"/>
      <c r="F67" s="16" t="str">
        <f aca="false">IFERROR(INDEX(System_Inventory!$D$5:$D$204,MATCH(E67,System_Inventory!$A$5:$A$204,0)),"")</f>
        <v/>
      </c>
      <c r="G67" s="15"/>
      <c r="H67" s="16" t="str">
        <f aca="false">IF(A67="","",IF(AND(D67="DEV",F67="PRD"),"BYPASS: direct DEV to PRD","OK"))</f>
        <v/>
      </c>
      <c r="I67" s="15"/>
      <c r="J67" s="15"/>
    </row>
    <row r="68" customFormat="false" ht="15" hidden="false" customHeight="false" outlineLevel="0" collapsed="false">
      <c r="A68" s="15"/>
      <c r="B68" s="15"/>
      <c r="C68" s="15"/>
      <c r="D68" s="16" t="str">
        <f aca="false">IFERROR(INDEX(System_Inventory!$D$5:$D$204,MATCH(C68,System_Inventory!$A$5:$A$204,0)),"")</f>
        <v/>
      </c>
      <c r="E68" s="15"/>
      <c r="F68" s="16" t="str">
        <f aca="false">IFERROR(INDEX(System_Inventory!$D$5:$D$204,MATCH(E68,System_Inventory!$A$5:$A$204,0)),"")</f>
        <v/>
      </c>
      <c r="G68" s="15"/>
      <c r="H68" s="16" t="str">
        <f aca="false">IF(A68="","",IF(AND(D68="DEV",F68="PRD"),"BYPASS: direct DEV to PRD","OK"))</f>
        <v/>
      </c>
      <c r="I68" s="15"/>
      <c r="J68" s="15"/>
    </row>
    <row r="69" customFormat="false" ht="15" hidden="false" customHeight="false" outlineLevel="0" collapsed="false">
      <c r="A69" s="15"/>
      <c r="B69" s="15"/>
      <c r="C69" s="15"/>
      <c r="D69" s="16" t="str">
        <f aca="false">IFERROR(INDEX(System_Inventory!$D$5:$D$204,MATCH(C69,System_Inventory!$A$5:$A$204,0)),"")</f>
        <v/>
      </c>
      <c r="E69" s="15"/>
      <c r="F69" s="16" t="str">
        <f aca="false">IFERROR(INDEX(System_Inventory!$D$5:$D$204,MATCH(E69,System_Inventory!$A$5:$A$204,0)),"")</f>
        <v/>
      </c>
      <c r="G69" s="15"/>
      <c r="H69" s="16" t="str">
        <f aca="false">IF(A69="","",IF(AND(D69="DEV",F69="PRD"),"BYPASS: direct DEV to PRD","OK"))</f>
        <v/>
      </c>
      <c r="I69" s="15"/>
      <c r="J69" s="15"/>
    </row>
    <row r="70" customFormat="false" ht="15" hidden="false" customHeight="false" outlineLevel="0" collapsed="false">
      <c r="A70" s="15"/>
      <c r="B70" s="15"/>
      <c r="C70" s="15"/>
      <c r="D70" s="16" t="str">
        <f aca="false">IFERROR(INDEX(System_Inventory!$D$5:$D$204,MATCH(C70,System_Inventory!$A$5:$A$204,0)),"")</f>
        <v/>
      </c>
      <c r="E70" s="15"/>
      <c r="F70" s="16" t="str">
        <f aca="false">IFERROR(INDEX(System_Inventory!$D$5:$D$204,MATCH(E70,System_Inventory!$A$5:$A$204,0)),"")</f>
        <v/>
      </c>
      <c r="G70" s="15"/>
      <c r="H70" s="16" t="str">
        <f aca="false">IF(A70="","",IF(AND(D70="DEV",F70="PRD"),"BYPASS: direct DEV to PRD","OK"))</f>
        <v/>
      </c>
      <c r="I70" s="15"/>
      <c r="J70" s="15"/>
    </row>
    <row r="71" customFormat="false" ht="15" hidden="false" customHeight="false" outlineLevel="0" collapsed="false">
      <c r="A71" s="15"/>
      <c r="B71" s="15"/>
      <c r="C71" s="15"/>
      <c r="D71" s="16" t="str">
        <f aca="false">IFERROR(INDEX(System_Inventory!$D$5:$D$204,MATCH(C71,System_Inventory!$A$5:$A$204,0)),"")</f>
        <v/>
      </c>
      <c r="E71" s="15"/>
      <c r="F71" s="16" t="str">
        <f aca="false">IFERROR(INDEX(System_Inventory!$D$5:$D$204,MATCH(E71,System_Inventory!$A$5:$A$204,0)),"")</f>
        <v/>
      </c>
      <c r="G71" s="15"/>
      <c r="H71" s="16" t="str">
        <f aca="false">IF(A71="","",IF(AND(D71="DEV",F71="PRD"),"BYPASS: direct DEV to PRD","OK"))</f>
        <v/>
      </c>
      <c r="I71" s="15"/>
      <c r="J71" s="15"/>
    </row>
    <row r="72" customFormat="false" ht="15" hidden="false" customHeight="false" outlineLevel="0" collapsed="false">
      <c r="A72" s="15"/>
      <c r="B72" s="15"/>
      <c r="C72" s="15"/>
      <c r="D72" s="16" t="str">
        <f aca="false">IFERROR(INDEX(System_Inventory!$D$5:$D$204,MATCH(C72,System_Inventory!$A$5:$A$204,0)),"")</f>
        <v/>
      </c>
      <c r="E72" s="15"/>
      <c r="F72" s="16" t="str">
        <f aca="false">IFERROR(INDEX(System_Inventory!$D$5:$D$204,MATCH(E72,System_Inventory!$A$5:$A$204,0)),"")</f>
        <v/>
      </c>
      <c r="G72" s="15"/>
      <c r="H72" s="16" t="str">
        <f aca="false">IF(A72="","",IF(AND(D72="DEV",F72="PRD"),"BYPASS: direct DEV to PRD","OK"))</f>
        <v/>
      </c>
      <c r="I72" s="15"/>
      <c r="J72" s="15"/>
    </row>
    <row r="73" customFormat="false" ht="15" hidden="false" customHeight="false" outlineLevel="0" collapsed="false">
      <c r="A73" s="15"/>
      <c r="B73" s="15"/>
      <c r="C73" s="15"/>
      <c r="D73" s="16" t="str">
        <f aca="false">IFERROR(INDEX(System_Inventory!$D$5:$D$204,MATCH(C73,System_Inventory!$A$5:$A$204,0)),"")</f>
        <v/>
      </c>
      <c r="E73" s="15"/>
      <c r="F73" s="16" t="str">
        <f aca="false">IFERROR(INDEX(System_Inventory!$D$5:$D$204,MATCH(E73,System_Inventory!$A$5:$A$204,0)),"")</f>
        <v/>
      </c>
      <c r="G73" s="15"/>
      <c r="H73" s="16" t="str">
        <f aca="false">IF(A73="","",IF(AND(D73="DEV",F73="PRD"),"BYPASS: direct DEV to PRD","OK"))</f>
        <v/>
      </c>
      <c r="I73" s="15"/>
      <c r="J73" s="15"/>
    </row>
    <row r="74" customFormat="false" ht="15" hidden="false" customHeight="false" outlineLevel="0" collapsed="false">
      <c r="A74" s="15"/>
      <c r="B74" s="15"/>
      <c r="C74" s="15"/>
      <c r="D74" s="16" t="str">
        <f aca="false">IFERROR(INDEX(System_Inventory!$D$5:$D$204,MATCH(C74,System_Inventory!$A$5:$A$204,0)),"")</f>
        <v/>
      </c>
      <c r="E74" s="15"/>
      <c r="F74" s="16" t="str">
        <f aca="false">IFERROR(INDEX(System_Inventory!$D$5:$D$204,MATCH(E74,System_Inventory!$A$5:$A$204,0)),"")</f>
        <v/>
      </c>
      <c r="G74" s="15"/>
      <c r="H74" s="16" t="str">
        <f aca="false">IF(A74="","",IF(AND(D74="DEV",F74="PRD"),"BYPASS: direct DEV to PRD","OK"))</f>
        <v/>
      </c>
      <c r="I74" s="15"/>
      <c r="J74" s="15"/>
    </row>
    <row r="75" customFormat="false" ht="15" hidden="false" customHeight="false" outlineLevel="0" collapsed="false">
      <c r="A75" s="15"/>
      <c r="B75" s="15"/>
      <c r="C75" s="15"/>
      <c r="D75" s="16" t="str">
        <f aca="false">IFERROR(INDEX(System_Inventory!$D$5:$D$204,MATCH(C75,System_Inventory!$A$5:$A$204,0)),"")</f>
        <v/>
      </c>
      <c r="E75" s="15"/>
      <c r="F75" s="16" t="str">
        <f aca="false">IFERROR(INDEX(System_Inventory!$D$5:$D$204,MATCH(E75,System_Inventory!$A$5:$A$204,0)),"")</f>
        <v/>
      </c>
      <c r="G75" s="15"/>
      <c r="H75" s="16" t="str">
        <f aca="false">IF(A75="","",IF(AND(D75="DEV",F75="PRD"),"BYPASS: direct DEV to PRD","OK"))</f>
        <v/>
      </c>
      <c r="I75" s="15"/>
      <c r="J75" s="15"/>
    </row>
    <row r="76" customFormat="false" ht="15" hidden="false" customHeight="false" outlineLevel="0" collapsed="false">
      <c r="A76" s="15"/>
      <c r="B76" s="15"/>
      <c r="C76" s="15"/>
      <c r="D76" s="16" t="str">
        <f aca="false">IFERROR(INDEX(System_Inventory!$D$5:$D$204,MATCH(C76,System_Inventory!$A$5:$A$204,0)),"")</f>
        <v/>
      </c>
      <c r="E76" s="15"/>
      <c r="F76" s="16" t="str">
        <f aca="false">IFERROR(INDEX(System_Inventory!$D$5:$D$204,MATCH(E76,System_Inventory!$A$5:$A$204,0)),"")</f>
        <v/>
      </c>
      <c r="G76" s="15"/>
      <c r="H76" s="16" t="str">
        <f aca="false">IF(A76="","",IF(AND(D76="DEV",F76="PRD"),"BYPASS: direct DEV to PRD","OK"))</f>
        <v/>
      </c>
      <c r="I76" s="15"/>
      <c r="J76" s="15"/>
    </row>
    <row r="77" customFormat="false" ht="15" hidden="false" customHeight="false" outlineLevel="0" collapsed="false">
      <c r="A77" s="15"/>
      <c r="B77" s="15"/>
      <c r="C77" s="15"/>
      <c r="D77" s="16" t="str">
        <f aca="false">IFERROR(INDEX(System_Inventory!$D$5:$D$204,MATCH(C77,System_Inventory!$A$5:$A$204,0)),"")</f>
        <v/>
      </c>
      <c r="E77" s="15"/>
      <c r="F77" s="16" t="str">
        <f aca="false">IFERROR(INDEX(System_Inventory!$D$5:$D$204,MATCH(E77,System_Inventory!$A$5:$A$204,0)),"")</f>
        <v/>
      </c>
      <c r="G77" s="15"/>
      <c r="H77" s="16" t="str">
        <f aca="false">IF(A77="","",IF(AND(D77="DEV",F77="PRD"),"BYPASS: direct DEV to PRD","OK"))</f>
        <v/>
      </c>
      <c r="I77" s="15"/>
      <c r="J77" s="15"/>
    </row>
    <row r="78" customFormat="false" ht="15" hidden="false" customHeight="false" outlineLevel="0" collapsed="false">
      <c r="A78" s="15"/>
      <c r="B78" s="15"/>
      <c r="C78" s="15"/>
      <c r="D78" s="16" t="str">
        <f aca="false">IFERROR(INDEX(System_Inventory!$D$5:$D$204,MATCH(C78,System_Inventory!$A$5:$A$204,0)),"")</f>
        <v/>
      </c>
      <c r="E78" s="15"/>
      <c r="F78" s="16" t="str">
        <f aca="false">IFERROR(INDEX(System_Inventory!$D$5:$D$204,MATCH(E78,System_Inventory!$A$5:$A$204,0)),"")</f>
        <v/>
      </c>
      <c r="G78" s="15"/>
      <c r="H78" s="16" t="str">
        <f aca="false">IF(A78="","",IF(AND(D78="DEV",F78="PRD"),"BYPASS: direct DEV to PRD","OK"))</f>
        <v/>
      </c>
      <c r="I78" s="15"/>
      <c r="J78" s="15"/>
    </row>
    <row r="79" customFormat="false" ht="15" hidden="false" customHeight="false" outlineLevel="0" collapsed="false">
      <c r="A79" s="15"/>
      <c r="B79" s="15"/>
      <c r="C79" s="15"/>
      <c r="D79" s="16" t="str">
        <f aca="false">IFERROR(INDEX(System_Inventory!$D$5:$D$204,MATCH(C79,System_Inventory!$A$5:$A$204,0)),"")</f>
        <v/>
      </c>
      <c r="E79" s="15"/>
      <c r="F79" s="16" t="str">
        <f aca="false">IFERROR(INDEX(System_Inventory!$D$5:$D$204,MATCH(E79,System_Inventory!$A$5:$A$204,0)),"")</f>
        <v/>
      </c>
      <c r="G79" s="15"/>
      <c r="H79" s="16" t="str">
        <f aca="false">IF(A79="","",IF(AND(D79="DEV",F79="PRD"),"BYPASS: direct DEV to PRD","OK"))</f>
        <v/>
      </c>
      <c r="I79" s="15"/>
      <c r="J79" s="15"/>
    </row>
    <row r="80" customFormat="false" ht="15" hidden="false" customHeight="false" outlineLevel="0" collapsed="false">
      <c r="A80" s="15"/>
      <c r="B80" s="15"/>
      <c r="C80" s="15"/>
      <c r="D80" s="16" t="str">
        <f aca="false">IFERROR(INDEX(System_Inventory!$D$5:$D$204,MATCH(C80,System_Inventory!$A$5:$A$204,0)),"")</f>
        <v/>
      </c>
      <c r="E80" s="15"/>
      <c r="F80" s="16" t="str">
        <f aca="false">IFERROR(INDEX(System_Inventory!$D$5:$D$204,MATCH(E80,System_Inventory!$A$5:$A$204,0)),"")</f>
        <v/>
      </c>
      <c r="G80" s="15"/>
      <c r="H80" s="16" t="str">
        <f aca="false">IF(A80="","",IF(AND(D80="DEV",F80="PRD"),"BYPASS: direct DEV to PRD","OK"))</f>
        <v/>
      </c>
      <c r="I80" s="15"/>
      <c r="J80" s="15"/>
    </row>
    <row r="81" customFormat="false" ht="15" hidden="false" customHeight="false" outlineLevel="0" collapsed="false">
      <c r="A81" s="15"/>
      <c r="B81" s="15"/>
      <c r="C81" s="15"/>
      <c r="D81" s="16" t="str">
        <f aca="false">IFERROR(INDEX(System_Inventory!$D$5:$D$204,MATCH(C81,System_Inventory!$A$5:$A$204,0)),"")</f>
        <v/>
      </c>
      <c r="E81" s="15"/>
      <c r="F81" s="16" t="str">
        <f aca="false">IFERROR(INDEX(System_Inventory!$D$5:$D$204,MATCH(E81,System_Inventory!$A$5:$A$204,0)),"")</f>
        <v/>
      </c>
      <c r="G81" s="15"/>
      <c r="H81" s="16" t="str">
        <f aca="false">IF(A81="","",IF(AND(D81="DEV",F81="PRD"),"BYPASS: direct DEV to PRD","OK"))</f>
        <v/>
      </c>
      <c r="I81" s="15"/>
      <c r="J81" s="15"/>
    </row>
    <row r="82" customFormat="false" ht="15" hidden="false" customHeight="false" outlineLevel="0" collapsed="false">
      <c r="A82" s="15"/>
      <c r="B82" s="15"/>
      <c r="C82" s="15"/>
      <c r="D82" s="16" t="str">
        <f aca="false">IFERROR(INDEX(System_Inventory!$D$5:$D$204,MATCH(C82,System_Inventory!$A$5:$A$204,0)),"")</f>
        <v/>
      </c>
      <c r="E82" s="15"/>
      <c r="F82" s="16" t="str">
        <f aca="false">IFERROR(INDEX(System_Inventory!$D$5:$D$204,MATCH(E82,System_Inventory!$A$5:$A$204,0)),"")</f>
        <v/>
      </c>
      <c r="G82" s="15"/>
      <c r="H82" s="16" t="str">
        <f aca="false">IF(A82="","",IF(AND(D82="DEV",F82="PRD"),"BYPASS: direct DEV to PRD","OK"))</f>
        <v/>
      </c>
      <c r="I82" s="15"/>
      <c r="J82" s="15"/>
    </row>
    <row r="83" customFormat="false" ht="15" hidden="false" customHeight="false" outlineLevel="0" collapsed="false">
      <c r="A83" s="15"/>
      <c r="B83" s="15"/>
      <c r="C83" s="15"/>
      <c r="D83" s="16" t="str">
        <f aca="false">IFERROR(INDEX(System_Inventory!$D$5:$D$204,MATCH(C83,System_Inventory!$A$5:$A$204,0)),"")</f>
        <v/>
      </c>
      <c r="E83" s="15"/>
      <c r="F83" s="16" t="str">
        <f aca="false">IFERROR(INDEX(System_Inventory!$D$5:$D$204,MATCH(E83,System_Inventory!$A$5:$A$204,0)),"")</f>
        <v/>
      </c>
      <c r="G83" s="15"/>
      <c r="H83" s="16" t="str">
        <f aca="false">IF(A83="","",IF(AND(D83="DEV",F83="PRD"),"BYPASS: direct DEV to PRD","OK"))</f>
        <v/>
      </c>
      <c r="I83" s="15"/>
      <c r="J83" s="15"/>
    </row>
    <row r="84" customFormat="false" ht="15" hidden="false" customHeight="false" outlineLevel="0" collapsed="false">
      <c r="A84" s="15"/>
      <c r="B84" s="15"/>
      <c r="C84" s="15"/>
      <c r="D84" s="16" t="str">
        <f aca="false">IFERROR(INDEX(System_Inventory!$D$5:$D$204,MATCH(C84,System_Inventory!$A$5:$A$204,0)),"")</f>
        <v/>
      </c>
      <c r="E84" s="15"/>
      <c r="F84" s="16" t="str">
        <f aca="false">IFERROR(INDEX(System_Inventory!$D$5:$D$204,MATCH(E84,System_Inventory!$A$5:$A$204,0)),"")</f>
        <v/>
      </c>
      <c r="G84" s="15"/>
      <c r="H84" s="16" t="str">
        <f aca="false">IF(A84="","",IF(AND(D84="DEV",F84="PRD"),"BYPASS: direct DEV to PRD","OK"))</f>
        <v/>
      </c>
      <c r="I84" s="15"/>
      <c r="J84" s="15"/>
    </row>
    <row r="85" customFormat="false" ht="15" hidden="false" customHeight="false" outlineLevel="0" collapsed="false">
      <c r="A85" s="15"/>
      <c r="B85" s="15"/>
      <c r="C85" s="15"/>
      <c r="D85" s="16" t="str">
        <f aca="false">IFERROR(INDEX(System_Inventory!$D$5:$D$204,MATCH(C85,System_Inventory!$A$5:$A$204,0)),"")</f>
        <v/>
      </c>
      <c r="E85" s="15"/>
      <c r="F85" s="16" t="str">
        <f aca="false">IFERROR(INDEX(System_Inventory!$D$5:$D$204,MATCH(E85,System_Inventory!$A$5:$A$204,0)),"")</f>
        <v/>
      </c>
      <c r="G85" s="15"/>
      <c r="H85" s="16" t="str">
        <f aca="false">IF(A85="","",IF(AND(D85="DEV",F85="PRD"),"BYPASS: direct DEV to PRD","OK"))</f>
        <v/>
      </c>
      <c r="I85" s="15"/>
      <c r="J85" s="15"/>
    </row>
    <row r="86" customFormat="false" ht="15" hidden="false" customHeight="false" outlineLevel="0" collapsed="false">
      <c r="A86" s="15"/>
      <c r="B86" s="15"/>
      <c r="C86" s="15"/>
      <c r="D86" s="16" t="str">
        <f aca="false">IFERROR(INDEX(System_Inventory!$D$5:$D$204,MATCH(C86,System_Inventory!$A$5:$A$204,0)),"")</f>
        <v/>
      </c>
      <c r="E86" s="15"/>
      <c r="F86" s="16" t="str">
        <f aca="false">IFERROR(INDEX(System_Inventory!$D$5:$D$204,MATCH(E86,System_Inventory!$A$5:$A$204,0)),"")</f>
        <v/>
      </c>
      <c r="G86" s="15"/>
      <c r="H86" s="16" t="str">
        <f aca="false">IF(A86="","",IF(AND(D86="DEV",F86="PRD"),"BYPASS: direct DEV to PRD","OK"))</f>
        <v/>
      </c>
      <c r="I86" s="15"/>
      <c r="J86" s="15"/>
    </row>
    <row r="87" customFormat="false" ht="15" hidden="false" customHeight="false" outlineLevel="0" collapsed="false">
      <c r="A87" s="15"/>
      <c r="B87" s="15"/>
      <c r="C87" s="15"/>
      <c r="D87" s="16" t="str">
        <f aca="false">IFERROR(INDEX(System_Inventory!$D$5:$D$204,MATCH(C87,System_Inventory!$A$5:$A$204,0)),"")</f>
        <v/>
      </c>
      <c r="E87" s="15"/>
      <c r="F87" s="16" t="str">
        <f aca="false">IFERROR(INDEX(System_Inventory!$D$5:$D$204,MATCH(E87,System_Inventory!$A$5:$A$204,0)),"")</f>
        <v/>
      </c>
      <c r="G87" s="15"/>
      <c r="H87" s="16" t="str">
        <f aca="false">IF(A87="","",IF(AND(D87="DEV",F87="PRD"),"BYPASS: direct DEV to PRD","OK"))</f>
        <v/>
      </c>
      <c r="I87" s="15"/>
      <c r="J87" s="15"/>
    </row>
    <row r="88" customFormat="false" ht="15" hidden="false" customHeight="false" outlineLevel="0" collapsed="false">
      <c r="A88" s="15"/>
      <c r="B88" s="15"/>
      <c r="C88" s="15"/>
      <c r="D88" s="16" t="str">
        <f aca="false">IFERROR(INDEX(System_Inventory!$D$5:$D$204,MATCH(C88,System_Inventory!$A$5:$A$204,0)),"")</f>
        <v/>
      </c>
      <c r="E88" s="15"/>
      <c r="F88" s="16" t="str">
        <f aca="false">IFERROR(INDEX(System_Inventory!$D$5:$D$204,MATCH(E88,System_Inventory!$A$5:$A$204,0)),"")</f>
        <v/>
      </c>
      <c r="G88" s="15"/>
      <c r="H88" s="16" t="str">
        <f aca="false">IF(A88="","",IF(AND(D88="DEV",F88="PRD"),"BYPASS: direct DEV to PRD","OK"))</f>
        <v/>
      </c>
      <c r="I88" s="15"/>
      <c r="J88" s="15"/>
    </row>
    <row r="89" customFormat="false" ht="15" hidden="false" customHeight="false" outlineLevel="0" collapsed="false">
      <c r="A89" s="15"/>
      <c r="B89" s="15"/>
      <c r="C89" s="15"/>
      <c r="D89" s="16" t="str">
        <f aca="false">IFERROR(INDEX(System_Inventory!$D$5:$D$204,MATCH(C89,System_Inventory!$A$5:$A$204,0)),"")</f>
        <v/>
      </c>
      <c r="E89" s="15"/>
      <c r="F89" s="16" t="str">
        <f aca="false">IFERROR(INDEX(System_Inventory!$D$5:$D$204,MATCH(E89,System_Inventory!$A$5:$A$204,0)),"")</f>
        <v/>
      </c>
      <c r="G89" s="15"/>
      <c r="H89" s="16" t="str">
        <f aca="false">IF(A89="","",IF(AND(D89="DEV",F89="PRD"),"BYPASS: direct DEV to PRD","OK"))</f>
        <v/>
      </c>
      <c r="I89" s="15"/>
      <c r="J89" s="15"/>
    </row>
    <row r="90" customFormat="false" ht="15" hidden="false" customHeight="false" outlineLevel="0" collapsed="false">
      <c r="A90" s="15"/>
      <c r="B90" s="15"/>
      <c r="C90" s="15"/>
      <c r="D90" s="16" t="str">
        <f aca="false">IFERROR(INDEX(System_Inventory!$D$5:$D$204,MATCH(C90,System_Inventory!$A$5:$A$204,0)),"")</f>
        <v/>
      </c>
      <c r="E90" s="15"/>
      <c r="F90" s="16" t="str">
        <f aca="false">IFERROR(INDEX(System_Inventory!$D$5:$D$204,MATCH(E90,System_Inventory!$A$5:$A$204,0)),"")</f>
        <v/>
      </c>
      <c r="G90" s="15"/>
      <c r="H90" s="16" t="str">
        <f aca="false">IF(A90="","",IF(AND(D90="DEV",F90="PRD"),"BYPASS: direct DEV to PRD","OK"))</f>
        <v/>
      </c>
      <c r="I90" s="15"/>
      <c r="J90" s="15"/>
    </row>
    <row r="91" customFormat="false" ht="15" hidden="false" customHeight="false" outlineLevel="0" collapsed="false">
      <c r="A91" s="15"/>
      <c r="B91" s="15"/>
      <c r="C91" s="15"/>
      <c r="D91" s="16" t="str">
        <f aca="false">IFERROR(INDEX(System_Inventory!$D$5:$D$204,MATCH(C91,System_Inventory!$A$5:$A$204,0)),"")</f>
        <v/>
      </c>
      <c r="E91" s="15"/>
      <c r="F91" s="16" t="str">
        <f aca="false">IFERROR(INDEX(System_Inventory!$D$5:$D$204,MATCH(E91,System_Inventory!$A$5:$A$204,0)),"")</f>
        <v/>
      </c>
      <c r="G91" s="15"/>
      <c r="H91" s="16" t="str">
        <f aca="false">IF(A91="","",IF(AND(D91="DEV",F91="PRD"),"BYPASS: direct DEV to PRD","OK"))</f>
        <v/>
      </c>
      <c r="I91" s="15"/>
      <c r="J91" s="15"/>
    </row>
    <row r="92" customFormat="false" ht="15" hidden="false" customHeight="false" outlineLevel="0" collapsed="false">
      <c r="A92" s="15"/>
      <c r="B92" s="15"/>
      <c r="C92" s="15"/>
      <c r="D92" s="16" t="str">
        <f aca="false">IFERROR(INDEX(System_Inventory!$D$5:$D$204,MATCH(C92,System_Inventory!$A$5:$A$204,0)),"")</f>
        <v/>
      </c>
      <c r="E92" s="15"/>
      <c r="F92" s="16" t="str">
        <f aca="false">IFERROR(INDEX(System_Inventory!$D$5:$D$204,MATCH(E92,System_Inventory!$A$5:$A$204,0)),"")</f>
        <v/>
      </c>
      <c r="G92" s="15"/>
      <c r="H92" s="16" t="str">
        <f aca="false">IF(A92="","",IF(AND(D92="DEV",F92="PRD"),"BYPASS: direct DEV to PRD","OK"))</f>
        <v/>
      </c>
      <c r="I92" s="15"/>
      <c r="J92" s="15"/>
    </row>
    <row r="93" customFormat="false" ht="15" hidden="false" customHeight="false" outlineLevel="0" collapsed="false">
      <c r="A93" s="15"/>
      <c r="B93" s="15"/>
      <c r="C93" s="15"/>
      <c r="D93" s="16" t="str">
        <f aca="false">IFERROR(INDEX(System_Inventory!$D$5:$D$204,MATCH(C93,System_Inventory!$A$5:$A$204,0)),"")</f>
        <v/>
      </c>
      <c r="E93" s="15"/>
      <c r="F93" s="16" t="str">
        <f aca="false">IFERROR(INDEX(System_Inventory!$D$5:$D$204,MATCH(E93,System_Inventory!$A$5:$A$204,0)),"")</f>
        <v/>
      </c>
      <c r="G93" s="15"/>
      <c r="H93" s="16" t="str">
        <f aca="false">IF(A93="","",IF(AND(D93="DEV",F93="PRD"),"BYPASS: direct DEV to PRD","OK"))</f>
        <v/>
      </c>
      <c r="I93" s="15"/>
      <c r="J93" s="15"/>
    </row>
    <row r="94" customFormat="false" ht="15" hidden="false" customHeight="false" outlineLevel="0" collapsed="false">
      <c r="A94" s="15"/>
      <c r="B94" s="15"/>
      <c r="C94" s="15"/>
      <c r="D94" s="16" t="str">
        <f aca="false">IFERROR(INDEX(System_Inventory!$D$5:$D$204,MATCH(C94,System_Inventory!$A$5:$A$204,0)),"")</f>
        <v/>
      </c>
      <c r="E94" s="15"/>
      <c r="F94" s="16" t="str">
        <f aca="false">IFERROR(INDEX(System_Inventory!$D$5:$D$204,MATCH(E94,System_Inventory!$A$5:$A$204,0)),"")</f>
        <v/>
      </c>
      <c r="G94" s="15"/>
      <c r="H94" s="16" t="str">
        <f aca="false">IF(A94="","",IF(AND(D94="DEV",F94="PRD"),"BYPASS: direct DEV to PRD","OK"))</f>
        <v/>
      </c>
      <c r="I94" s="15"/>
      <c r="J94" s="15"/>
    </row>
    <row r="95" customFormat="false" ht="15" hidden="false" customHeight="false" outlineLevel="0" collapsed="false">
      <c r="A95" s="15"/>
      <c r="B95" s="15"/>
      <c r="C95" s="15"/>
      <c r="D95" s="16" t="str">
        <f aca="false">IFERROR(INDEX(System_Inventory!$D$5:$D$204,MATCH(C95,System_Inventory!$A$5:$A$204,0)),"")</f>
        <v/>
      </c>
      <c r="E95" s="15"/>
      <c r="F95" s="16" t="str">
        <f aca="false">IFERROR(INDEX(System_Inventory!$D$5:$D$204,MATCH(E95,System_Inventory!$A$5:$A$204,0)),"")</f>
        <v/>
      </c>
      <c r="G95" s="15"/>
      <c r="H95" s="16" t="str">
        <f aca="false">IF(A95="","",IF(AND(D95="DEV",F95="PRD"),"BYPASS: direct DEV to PRD","OK"))</f>
        <v/>
      </c>
      <c r="I95" s="15"/>
      <c r="J95" s="15"/>
    </row>
    <row r="96" customFormat="false" ht="15" hidden="false" customHeight="false" outlineLevel="0" collapsed="false">
      <c r="A96" s="15"/>
      <c r="B96" s="15"/>
      <c r="C96" s="15"/>
      <c r="D96" s="16" t="str">
        <f aca="false">IFERROR(INDEX(System_Inventory!$D$5:$D$204,MATCH(C96,System_Inventory!$A$5:$A$204,0)),"")</f>
        <v/>
      </c>
      <c r="E96" s="15"/>
      <c r="F96" s="16" t="str">
        <f aca="false">IFERROR(INDEX(System_Inventory!$D$5:$D$204,MATCH(E96,System_Inventory!$A$5:$A$204,0)),"")</f>
        <v/>
      </c>
      <c r="G96" s="15"/>
      <c r="H96" s="16" t="str">
        <f aca="false">IF(A96="","",IF(AND(D96="DEV",F96="PRD"),"BYPASS: direct DEV to PRD","OK"))</f>
        <v/>
      </c>
      <c r="I96" s="15"/>
      <c r="J96" s="15"/>
    </row>
    <row r="97" customFormat="false" ht="15" hidden="false" customHeight="false" outlineLevel="0" collapsed="false">
      <c r="A97" s="15"/>
      <c r="B97" s="15"/>
      <c r="C97" s="15"/>
      <c r="D97" s="16" t="str">
        <f aca="false">IFERROR(INDEX(System_Inventory!$D$5:$D$204,MATCH(C97,System_Inventory!$A$5:$A$204,0)),"")</f>
        <v/>
      </c>
      <c r="E97" s="15"/>
      <c r="F97" s="16" t="str">
        <f aca="false">IFERROR(INDEX(System_Inventory!$D$5:$D$204,MATCH(E97,System_Inventory!$A$5:$A$204,0)),"")</f>
        <v/>
      </c>
      <c r="G97" s="15"/>
      <c r="H97" s="16" t="str">
        <f aca="false">IF(A97="","",IF(AND(D97="DEV",F97="PRD"),"BYPASS: direct DEV to PRD","OK"))</f>
        <v/>
      </c>
      <c r="I97" s="15"/>
      <c r="J97" s="15"/>
    </row>
    <row r="98" customFormat="false" ht="15" hidden="false" customHeight="false" outlineLevel="0" collapsed="false">
      <c r="A98" s="15"/>
      <c r="B98" s="15"/>
      <c r="C98" s="15"/>
      <c r="D98" s="16" t="str">
        <f aca="false">IFERROR(INDEX(System_Inventory!$D$5:$D$204,MATCH(C98,System_Inventory!$A$5:$A$204,0)),"")</f>
        <v/>
      </c>
      <c r="E98" s="15"/>
      <c r="F98" s="16" t="str">
        <f aca="false">IFERROR(INDEX(System_Inventory!$D$5:$D$204,MATCH(E98,System_Inventory!$A$5:$A$204,0)),"")</f>
        <v/>
      </c>
      <c r="G98" s="15"/>
      <c r="H98" s="16" t="str">
        <f aca="false">IF(A98="","",IF(AND(D98="DEV",F98="PRD"),"BYPASS: direct DEV to PRD","OK"))</f>
        <v/>
      </c>
      <c r="I98" s="15"/>
      <c r="J98" s="15"/>
    </row>
    <row r="99" customFormat="false" ht="15" hidden="false" customHeight="false" outlineLevel="0" collapsed="false">
      <c r="A99" s="15"/>
      <c r="B99" s="15"/>
      <c r="C99" s="15"/>
      <c r="D99" s="16" t="str">
        <f aca="false">IFERROR(INDEX(System_Inventory!$D$5:$D$204,MATCH(C99,System_Inventory!$A$5:$A$204,0)),"")</f>
        <v/>
      </c>
      <c r="E99" s="15"/>
      <c r="F99" s="16" t="str">
        <f aca="false">IFERROR(INDEX(System_Inventory!$D$5:$D$204,MATCH(E99,System_Inventory!$A$5:$A$204,0)),"")</f>
        <v/>
      </c>
      <c r="G99" s="15"/>
      <c r="H99" s="16" t="str">
        <f aca="false">IF(A99="","",IF(AND(D99="DEV",F99="PRD"),"BYPASS: direct DEV to PRD","OK"))</f>
        <v/>
      </c>
      <c r="I99" s="15"/>
      <c r="J99" s="15"/>
    </row>
    <row r="100" customFormat="false" ht="15" hidden="false" customHeight="false" outlineLevel="0" collapsed="false">
      <c r="A100" s="15"/>
      <c r="B100" s="15"/>
      <c r="C100" s="15"/>
      <c r="D100" s="16" t="str">
        <f aca="false">IFERROR(INDEX(System_Inventory!$D$5:$D$204,MATCH(C100,System_Inventory!$A$5:$A$204,0)),"")</f>
        <v/>
      </c>
      <c r="E100" s="15"/>
      <c r="F100" s="16" t="str">
        <f aca="false">IFERROR(INDEX(System_Inventory!$D$5:$D$204,MATCH(E100,System_Inventory!$A$5:$A$204,0)),"")</f>
        <v/>
      </c>
      <c r="G100" s="15"/>
      <c r="H100" s="16" t="str">
        <f aca="false">IF(A100="","",IF(AND(D100="DEV",F100="PRD"),"BYPASS: direct DEV to PRD","OK"))</f>
        <v/>
      </c>
      <c r="I100" s="15"/>
      <c r="J100" s="15"/>
    </row>
    <row r="101" customFormat="false" ht="15" hidden="false" customHeight="false" outlineLevel="0" collapsed="false">
      <c r="A101" s="15"/>
      <c r="B101" s="15"/>
      <c r="C101" s="15"/>
      <c r="D101" s="16" t="str">
        <f aca="false">IFERROR(INDEX(System_Inventory!$D$5:$D$204,MATCH(C101,System_Inventory!$A$5:$A$204,0)),"")</f>
        <v/>
      </c>
      <c r="E101" s="15"/>
      <c r="F101" s="16" t="str">
        <f aca="false">IFERROR(INDEX(System_Inventory!$D$5:$D$204,MATCH(E101,System_Inventory!$A$5:$A$204,0)),"")</f>
        <v/>
      </c>
      <c r="G101" s="15"/>
      <c r="H101" s="16" t="str">
        <f aca="false">IF(A101="","",IF(AND(D101="DEV",F101="PRD"),"BYPASS: direct DEV to PRD","OK"))</f>
        <v/>
      </c>
      <c r="I101" s="15"/>
      <c r="J101" s="15"/>
    </row>
    <row r="102" customFormat="false" ht="15" hidden="false" customHeight="false" outlineLevel="0" collapsed="false">
      <c r="A102" s="15"/>
      <c r="B102" s="15"/>
      <c r="C102" s="15"/>
      <c r="D102" s="16" t="str">
        <f aca="false">IFERROR(INDEX(System_Inventory!$D$5:$D$204,MATCH(C102,System_Inventory!$A$5:$A$204,0)),"")</f>
        <v/>
      </c>
      <c r="E102" s="15"/>
      <c r="F102" s="16" t="str">
        <f aca="false">IFERROR(INDEX(System_Inventory!$D$5:$D$204,MATCH(E102,System_Inventory!$A$5:$A$204,0)),"")</f>
        <v/>
      </c>
      <c r="G102" s="15"/>
      <c r="H102" s="16" t="str">
        <f aca="false">IF(A102="","",IF(AND(D102="DEV",F102="PRD"),"BYPASS: direct DEV to PRD","OK"))</f>
        <v/>
      </c>
      <c r="I102" s="15"/>
      <c r="J102" s="15"/>
    </row>
    <row r="103" customFormat="false" ht="15" hidden="false" customHeight="false" outlineLevel="0" collapsed="false">
      <c r="A103" s="15"/>
      <c r="B103" s="15"/>
      <c r="C103" s="15"/>
      <c r="D103" s="16" t="str">
        <f aca="false">IFERROR(INDEX(System_Inventory!$D$5:$D$204,MATCH(C103,System_Inventory!$A$5:$A$204,0)),"")</f>
        <v/>
      </c>
      <c r="E103" s="15"/>
      <c r="F103" s="16" t="str">
        <f aca="false">IFERROR(INDEX(System_Inventory!$D$5:$D$204,MATCH(E103,System_Inventory!$A$5:$A$204,0)),"")</f>
        <v/>
      </c>
      <c r="G103" s="15"/>
      <c r="H103" s="16" t="str">
        <f aca="false">IF(A103="","",IF(AND(D103="DEV",F103="PRD"),"BYPASS: direct DEV to PRD","OK"))</f>
        <v/>
      </c>
      <c r="I103" s="15"/>
      <c r="J103" s="15"/>
    </row>
    <row r="104" customFormat="false" ht="15" hidden="false" customHeight="false" outlineLevel="0" collapsed="false">
      <c r="A104" s="15"/>
      <c r="B104" s="15"/>
      <c r="C104" s="15"/>
      <c r="D104" s="16" t="str">
        <f aca="false">IFERROR(INDEX(System_Inventory!$D$5:$D$204,MATCH(C104,System_Inventory!$A$5:$A$204,0)),"")</f>
        <v/>
      </c>
      <c r="E104" s="15"/>
      <c r="F104" s="16" t="str">
        <f aca="false">IFERROR(INDEX(System_Inventory!$D$5:$D$204,MATCH(E104,System_Inventory!$A$5:$A$204,0)),"")</f>
        <v/>
      </c>
      <c r="G104" s="15"/>
      <c r="H104" s="16" t="str">
        <f aca="false">IF(A104="","",IF(AND(D104="DEV",F104="PRD"),"BYPASS: direct DEV to PRD","OK"))</f>
        <v/>
      </c>
      <c r="I104" s="15"/>
      <c r="J104" s="15"/>
    </row>
    <row r="105" customFormat="false" ht="15" hidden="false" customHeight="false" outlineLevel="0" collapsed="false">
      <c r="A105" s="15"/>
      <c r="B105" s="15"/>
      <c r="C105" s="15"/>
      <c r="D105" s="16" t="str">
        <f aca="false">IFERROR(INDEX(System_Inventory!$D$5:$D$204,MATCH(C105,System_Inventory!$A$5:$A$204,0)),"")</f>
        <v/>
      </c>
      <c r="E105" s="15"/>
      <c r="F105" s="16" t="str">
        <f aca="false">IFERROR(INDEX(System_Inventory!$D$5:$D$204,MATCH(E105,System_Inventory!$A$5:$A$204,0)),"")</f>
        <v/>
      </c>
      <c r="G105" s="15"/>
      <c r="H105" s="16" t="str">
        <f aca="false">IF(A105="","",IF(AND(D105="DEV",F105="PRD"),"BYPASS: direct DEV to PRD","OK"))</f>
        <v/>
      </c>
      <c r="I105" s="15"/>
      <c r="J105" s="15"/>
    </row>
    <row r="106" customFormat="false" ht="15" hidden="false" customHeight="false" outlineLevel="0" collapsed="false">
      <c r="A106" s="15"/>
      <c r="B106" s="15"/>
      <c r="C106" s="15"/>
      <c r="D106" s="16" t="str">
        <f aca="false">IFERROR(INDEX(System_Inventory!$D$5:$D$204,MATCH(C106,System_Inventory!$A$5:$A$204,0)),"")</f>
        <v/>
      </c>
      <c r="E106" s="15"/>
      <c r="F106" s="16" t="str">
        <f aca="false">IFERROR(INDEX(System_Inventory!$D$5:$D$204,MATCH(E106,System_Inventory!$A$5:$A$204,0)),"")</f>
        <v/>
      </c>
      <c r="G106" s="15"/>
      <c r="H106" s="16" t="str">
        <f aca="false">IF(A106="","",IF(AND(D106="DEV",F106="PRD"),"BYPASS: direct DEV to PRD","OK"))</f>
        <v/>
      </c>
      <c r="I106" s="15"/>
      <c r="J106" s="15"/>
    </row>
    <row r="107" customFormat="false" ht="15" hidden="false" customHeight="false" outlineLevel="0" collapsed="false">
      <c r="A107" s="15"/>
      <c r="B107" s="15"/>
      <c r="C107" s="15"/>
      <c r="D107" s="16" t="str">
        <f aca="false">IFERROR(INDEX(System_Inventory!$D$5:$D$204,MATCH(C107,System_Inventory!$A$5:$A$204,0)),"")</f>
        <v/>
      </c>
      <c r="E107" s="15"/>
      <c r="F107" s="16" t="str">
        <f aca="false">IFERROR(INDEX(System_Inventory!$D$5:$D$204,MATCH(E107,System_Inventory!$A$5:$A$204,0)),"")</f>
        <v/>
      </c>
      <c r="G107" s="15"/>
      <c r="H107" s="16" t="str">
        <f aca="false">IF(A107="","",IF(AND(D107="DEV",F107="PRD"),"BYPASS: direct DEV to PRD","OK"))</f>
        <v/>
      </c>
      <c r="I107" s="15"/>
      <c r="J107" s="15"/>
    </row>
    <row r="108" customFormat="false" ht="15" hidden="false" customHeight="false" outlineLevel="0" collapsed="false">
      <c r="A108" s="15"/>
      <c r="B108" s="15"/>
      <c r="C108" s="15"/>
      <c r="D108" s="16" t="str">
        <f aca="false">IFERROR(INDEX(System_Inventory!$D$5:$D$204,MATCH(C108,System_Inventory!$A$5:$A$204,0)),"")</f>
        <v/>
      </c>
      <c r="E108" s="15"/>
      <c r="F108" s="16" t="str">
        <f aca="false">IFERROR(INDEX(System_Inventory!$D$5:$D$204,MATCH(E108,System_Inventory!$A$5:$A$204,0)),"")</f>
        <v/>
      </c>
      <c r="G108" s="15"/>
      <c r="H108" s="16" t="str">
        <f aca="false">IF(A108="","",IF(AND(D108="DEV",F108="PRD"),"BYPASS: direct DEV to PRD","OK"))</f>
        <v/>
      </c>
      <c r="I108" s="15"/>
      <c r="J108" s="15"/>
    </row>
    <row r="109" customFormat="false" ht="15" hidden="false" customHeight="false" outlineLevel="0" collapsed="false">
      <c r="A109" s="15"/>
      <c r="B109" s="15"/>
      <c r="C109" s="15"/>
      <c r="D109" s="16" t="str">
        <f aca="false">IFERROR(INDEX(System_Inventory!$D$5:$D$204,MATCH(C109,System_Inventory!$A$5:$A$204,0)),"")</f>
        <v/>
      </c>
      <c r="E109" s="15"/>
      <c r="F109" s="16" t="str">
        <f aca="false">IFERROR(INDEX(System_Inventory!$D$5:$D$204,MATCH(E109,System_Inventory!$A$5:$A$204,0)),"")</f>
        <v/>
      </c>
      <c r="G109" s="15"/>
      <c r="H109" s="16" t="str">
        <f aca="false">IF(A109="","",IF(AND(D109="DEV",F109="PRD"),"BYPASS: direct DEV to PRD","OK"))</f>
        <v/>
      </c>
      <c r="I109" s="15"/>
      <c r="J109" s="15"/>
    </row>
    <row r="110" customFormat="false" ht="15" hidden="false" customHeight="false" outlineLevel="0" collapsed="false">
      <c r="A110" s="15"/>
      <c r="B110" s="15"/>
      <c r="C110" s="15"/>
      <c r="D110" s="16" t="str">
        <f aca="false">IFERROR(INDEX(System_Inventory!$D$5:$D$204,MATCH(C110,System_Inventory!$A$5:$A$204,0)),"")</f>
        <v/>
      </c>
      <c r="E110" s="15"/>
      <c r="F110" s="16" t="str">
        <f aca="false">IFERROR(INDEX(System_Inventory!$D$5:$D$204,MATCH(E110,System_Inventory!$A$5:$A$204,0)),"")</f>
        <v/>
      </c>
      <c r="G110" s="15"/>
      <c r="H110" s="16" t="str">
        <f aca="false">IF(A110="","",IF(AND(D110="DEV",F110="PRD"),"BYPASS: direct DEV to PRD","OK"))</f>
        <v/>
      </c>
      <c r="I110" s="15"/>
      <c r="J110" s="15"/>
    </row>
    <row r="111" customFormat="false" ht="15" hidden="false" customHeight="false" outlineLevel="0" collapsed="false">
      <c r="A111" s="15"/>
      <c r="B111" s="15"/>
      <c r="C111" s="15"/>
      <c r="D111" s="16" t="str">
        <f aca="false">IFERROR(INDEX(System_Inventory!$D$5:$D$204,MATCH(C111,System_Inventory!$A$5:$A$204,0)),"")</f>
        <v/>
      </c>
      <c r="E111" s="15"/>
      <c r="F111" s="16" t="str">
        <f aca="false">IFERROR(INDEX(System_Inventory!$D$5:$D$204,MATCH(E111,System_Inventory!$A$5:$A$204,0)),"")</f>
        <v/>
      </c>
      <c r="G111" s="15"/>
      <c r="H111" s="16" t="str">
        <f aca="false">IF(A111="","",IF(AND(D111="DEV",F111="PRD"),"BYPASS: direct DEV to PRD","OK"))</f>
        <v/>
      </c>
      <c r="I111" s="15"/>
      <c r="J111" s="15"/>
    </row>
    <row r="112" customFormat="false" ht="15" hidden="false" customHeight="false" outlineLevel="0" collapsed="false">
      <c r="A112" s="15"/>
      <c r="B112" s="15"/>
      <c r="C112" s="15"/>
      <c r="D112" s="16" t="str">
        <f aca="false">IFERROR(INDEX(System_Inventory!$D$5:$D$204,MATCH(C112,System_Inventory!$A$5:$A$204,0)),"")</f>
        <v/>
      </c>
      <c r="E112" s="15"/>
      <c r="F112" s="16" t="str">
        <f aca="false">IFERROR(INDEX(System_Inventory!$D$5:$D$204,MATCH(E112,System_Inventory!$A$5:$A$204,0)),"")</f>
        <v/>
      </c>
      <c r="G112" s="15"/>
      <c r="H112" s="16" t="str">
        <f aca="false">IF(A112="","",IF(AND(D112="DEV",F112="PRD"),"BYPASS: direct DEV to PRD","OK"))</f>
        <v/>
      </c>
      <c r="I112" s="15"/>
      <c r="J112" s="15"/>
    </row>
    <row r="113" customFormat="false" ht="15" hidden="false" customHeight="false" outlineLevel="0" collapsed="false">
      <c r="A113" s="15"/>
      <c r="B113" s="15"/>
      <c r="C113" s="15"/>
      <c r="D113" s="16" t="str">
        <f aca="false">IFERROR(INDEX(System_Inventory!$D$5:$D$204,MATCH(C113,System_Inventory!$A$5:$A$204,0)),"")</f>
        <v/>
      </c>
      <c r="E113" s="15"/>
      <c r="F113" s="16" t="str">
        <f aca="false">IFERROR(INDEX(System_Inventory!$D$5:$D$204,MATCH(E113,System_Inventory!$A$5:$A$204,0)),"")</f>
        <v/>
      </c>
      <c r="G113" s="15"/>
      <c r="H113" s="16" t="str">
        <f aca="false">IF(A113="","",IF(AND(D113="DEV",F113="PRD"),"BYPASS: direct DEV to PRD","OK"))</f>
        <v/>
      </c>
      <c r="I113" s="15"/>
      <c r="J113" s="15"/>
    </row>
    <row r="114" customFormat="false" ht="15" hidden="false" customHeight="false" outlineLevel="0" collapsed="false">
      <c r="A114" s="15"/>
      <c r="B114" s="15"/>
      <c r="C114" s="15"/>
      <c r="D114" s="16" t="str">
        <f aca="false">IFERROR(INDEX(System_Inventory!$D$5:$D$204,MATCH(C114,System_Inventory!$A$5:$A$204,0)),"")</f>
        <v/>
      </c>
      <c r="E114" s="15"/>
      <c r="F114" s="16" t="str">
        <f aca="false">IFERROR(INDEX(System_Inventory!$D$5:$D$204,MATCH(E114,System_Inventory!$A$5:$A$204,0)),"")</f>
        <v/>
      </c>
      <c r="G114" s="15"/>
      <c r="H114" s="16" t="str">
        <f aca="false">IF(A114="","",IF(AND(D114="DEV",F114="PRD"),"BYPASS: direct DEV to PRD","OK"))</f>
        <v/>
      </c>
      <c r="I114" s="15"/>
      <c r="J114" s="15"/>
    </row>
    <row r="115" customFormat="false" ht="15" hidden="false" customHeight="false" outlineLevel="0" collapsed="false">
      <c r="A115" s="15"/>
      <c r="B115" s="15"/>
      <c r="C115" s="15"/>
      <c r="D115" s="16" t="str">
        <f aca="false">IFERROR(INDEX(System_Inventory!$D$5:$D$204,MATCH(C115,System_Inventory!$A$5:$A$204,0)),"")</f>
        <v/>
      </c>
      <c r="E115" s="15"/>
      <c r="F115" s="16" t="str">
        <f aca="false">IFERROR(INDEX(System_Inventory!$D$5:$D$204,MATCH(E115,System_Inventory!$A$5:$A$204,0)),"")</f>
        <v/>
      </c>
      <c r="G115" s="15"/>
      <c r="H115" s="16" t="str">
        <f aca="false">IF(A115="","",IF(AND(D115="DEV",F115="PRD"),"BYPASS: direct DEV to PRD","OK"))</f>
        <v/>
      </c>
      <c r="I115" s="15"/>
      <c r="J115" s="15"/>
    </row>
    <row r="116" customFormat="false" ht="15" hidden="false" customHeight="false" outlineLevel="0" collapsed="false">
      <c r="A116" s="15"/>
      <c r="B116" s="15"/>
      <c r="C116" s="15"/>
      <c r="D116" s="16" t="str">
        <f aca="false">IFERROR(INDEX(System_Inventory!$D$5:$D$204,MATCH(C116,System_Inventory!$A$5:$A$204,0)),"")</f>
        <v/>
      </c>
      <c r="E116" s="15"/>
      <c r="F116" s="16" t="str">
        <f aca="false">IFERROR(INDEX(System_Inventory!$D$5:$D$204,MATCH(E116,System_Inventory!$A$5:$A$204,0)),"")</f>
        <v/>
      </c>
      <c r="G116" s="15"/>
      <c r="H116" s="16" t="str">
        <f aca="false">IF(A116="","",IF(AND(D116="DEV",F116="PRD"),"BYPASS: direct DEV to PRD","OK"))</f>
        <v/>
      </c>
      <c r="I116" s="15"/>
      <c r="J116" s="15"/>
    </row>
    <row r="117" customFormat="false" ht="15" hidden="false" customHeight="false" outlineLevel="0" collapsed="false">
      <c r="A117" s="15"/>
      <c r="B117" s="15"/>
      <c r="C117" s="15"/>
      <c r="D117" s="16" t="str">
        <f aca="false">IFERROR(INDEX(System_Inventory!$D$5:$D$204,MATCH(C117,System_Inventory!$A$5:$A$204,0)),"")</f>
        <v/>
      </c>
      <c r="E117" s="15"/>
      <c r="F117" s="16" t="str">
        <f aca="false">IFERROR(INDEX(System_Inventory!$D$5:$D$204,MATCH(E117,System_Inventory!$A$5:$A$204,0)),"")</f>
        <v/>
      </c>
      <c r="G117" s="15"/>
      <c r="H117" s="16" t="str">
        <f aca="false">IF(A117="","",IF(AND(D117="DEV",F117="PRD"),"BYPASS: direct DEV to PRD","OK"))</f>
        <v/>
      </c>
      <c r="I117" s="15"/>
      <c r="J117" s="15"/>
    </row>
    <row r="118" customFormat="false" ht="15" hidden="false" customHeight="false" outlineLevel="0" collapsed="false">
      <c r="A118" s="15"/>
      <c r="B118" s="15"/>
      <c r="C118" s="15"/>
      <c r="D118" s="16" t="str">
        <f aca="false">IFERROR(INDEX(System_Inventory!$D$5:$D$204,MATCH(C118,System_Inventory!$A$5:$A$204,0)),"")</f>
        <v/>
      </c>
      <c r="E118" s="15"/>
      <c r="F118" s="16" t="str">
        <f aca="false">IFERROR(INDEX(System_Inventory!$D$5:$D$204,MATCH(E118,System_Inventory!$A$5:$A$204,0)),"")</f>
        <v/>
      </c>
      <c r="G118" s="15"/>
      <c r="H118" s="16" t="str">
        <f aca="false">IF(A118="","",IF(AND(D118="DEV",F118="PRD"),"BYPASS: direct DEV to PRD","OK"))</f>
        <v/>
      </c>
      <c r="I118" s="15"/>
      <c r="J118" s="15"/>
    </row>
    <row r="119" customFormat="false" ht="15" hidden="false" customHeight="false" outlineLevel="0" collapsed="false">
      <c r="A119" s="15"/>
      <c r="B119" s="15"/>
      <c r="C119" s="15"/>
      <c r="D119" s="16" t="str">
        <f aca="false">IFERROR(INDEX(System_Inventory!$D$5:$D$204,MATCH(C119,System_Inventory!$A$5:$A$204,0)),"")</f>
        <v/>
      </c>
      <c r="E119" s="15"/>
      <c r="F119" s="16" t="str">
        <f aca="false">IFERROR(INDEX(System_Inventory!$D$5:$D$204,MATCH(E119,System_Inventory!$A$5:$A$204,0)),"")</f>
        <v/>
      </c>
      <c r="G119" s="15"/>
      <c r="H119" s="16" t="str">
        <f aca="false">IF(A119="","",IF(AND(D119="DEV",F119="PRD"),"BYPASS: direct DEV to PRD","OK"))</f>
        <v/>
      </c>
      <c r="I119" s="15"/>
      <c r="J119" s="15"/>
    </row>
    <row r="120" customFormat="false" ht="15" hidden="false" customHeight="false" outlineLevel="0" collapsed="false">
      <c r="A120" s="15"/>
      <c r="B120" s="15"/>
      <c r="C120" s="15"/>
      <c r="D120" s="16" t="str">
        <f aca="false">IFERROR(INDEX(System_Inventory!$D$5:$D$204,MATCH(C120,System_Inventory!$A$5:$A$204,0)),"")</f>
        <v/>
      </c>
      <c r="E120" s="15"/>
      <c r="F120" s="16" t="str">
        <f aca="false">IFERROR(INDEX(System_Inventory!$D$5:$D$204,MATCH(E120,System_Inventory!$A$5:$A$204,0)),"")</f>
        <v/>
      </c>
      <c r="G120" s="15"/>
      <c r="H120" s="16" t="str">
        <f aca="false">IF(A120="","",IF(AND(D120="DEV",F120="PRD"),"BYPASS: direct DEV to PRD","OK"))</f>
        <v/>
      </c>
      <c r="I120" s="15"/>
      <c r="J120" s="15"/>
    </row>
    <row r="121" customFormat="false" ht="15" hidden="false" customHeight="false" outlineLevel="0" collapsed="false">
      <c r="A121" s="15"/>
      <c r="B121" s="15"/>
      <c r="C121" s="15"/>
      <c r="D121" s="16" t="str">
        <f aca="false">IFERROR(INDEX(System_Inventory!$D$5:$D$204,MATCH(C121,System_Inventory!$A$5:$A$204,0)),"")</f>
        <v/>
      </c>
      <c r="E121" s="15"/>
      <c r="F121" s="16" t="str">
        <f aca="false">IFERROR(INDEX(System_Inventory!$D$5:$D$204,MATCH(E121,System_Inventory!$A$5:$A$204,0)),"")</f>
        <v/>
      </c>
      <c r="G121" s="15"/>
      <c r="H121" s="16" t="str">
        <f aca="false">IF(A121="","",IF(AND(D121="DEV",F121="PRD"),"BYPASS: direct DEV to PRD","OK"))</f>
        <v/>
      </c>
      <c r="I121" s="15"/>
      <c r="J121" s="15"/>
    </row>
    <row r="122" customFormat="false" ht="15" hidden="false" customHeight="false" outlineLevel="0" collapsed="false">
      <c r="A122" s="15"/>
      <c r="B122" s="15"/>
      <c r="C122" s="15"/>
      <c r="D122" s="16" t="str">
        <f aca="false">IFERROR(INDEX(System_Inventory!$D$5:$D$204,MATCH(C122,System_Inventory!$A$5:$A$204,0)),"")</f>
        <v/>
      </c>
      <c r="E122" s="15"/>
      <c r="F122" s="16" t="str">
        <f aca="false">IFERROR(INDEX(System_Inventory!$D$5:$D$204,MATCH(E122,System_Inventory!$A$5:$A$204,0)),"")</f>
        <v/>
      </c>
      <c r="G122" s="15"/>
      <c r="H122" s="16" t="str">
        <f aca="false">IF(A122="","",IF(AND(D122="DEV",F122="PRD"),"BYPASS: direct DEV to PRD","OK"))</f>
        <v/>
      </c>
      <c r="I122" s="15"/>
      <c r="J122" s="15"/>
    </row>
    <row r="123" customFormat="false" ht="15" hidden="false" customHeight="false" outlineLevel="0" collapsed="false">
      <c r="A123" s="15"/>
      <c r="B123" s="15"/>
      <c r="C123" s="15"/>
      <c r="D123" s="16" t="str">
        <f aca="false">IFERROR(INDEX(System_Inventory!$D$5:$D$204,MATCH(C123,System_Inventory!$A$5:$A$204,0)),"")</f>
        <v/>
      </c>
      <c r="E123" s="15"/>
      <c r="F123" s="16" t="str">
        <f aca="false">IFERROR(INDEX(System_Inventory!$D$5:$D$204,MATCH(E123,System_Inventory!$A$5:$A$204,0)),"")</f>
        <v/>
      </c>
      <c r="G123" s="15"/>
      <c r="H123" s="16" t="str">
        <f aca="false">IF(A123="","",IF(AND(D123="DEV",F123="PRD"),"BYPASS: direct DEV to PRD","OK"))</f>
        <v/>
      </c>
      <c r="I123" s="15"/>
      <c r="J123" s="15"/>
    </row>
    <row r="124" customFormat="false" ht="15" hidden="false" customHeight="false" outlineLevel="0" collapsed="false">
      <c r="A124" s="15"/>
      <c r="B124" s="15"/>
      <c r="C124" s="15"/>
      <c r="D124" s="16" t="str">
        <f aca="false">IFERROR(INDEX(System_Inventory!$D$5:$D$204,MATCH(C124,System_Inventory!$A$5:$A$204,0)),"")</f>
        <v/>
      </c>
      <c r="E124" s="15"/>
      <c r="F124" s="16" t="str">
        <f aca="false">IFERROR(INDEX(System_Inventory!$D$5:$D$204,MATCH(E124,System_Inventory!$A$5:$A$204,0)),"")</f>
        <v/>
      </c>
      <c r="G124" s="15"/>
      <c r="H124" s="16" t="str">
        <f aca="false">IF(A124="","",IF(AND(D124="DEV",F124="PRD"),"BYPASS: direct DEV to PRD","OK"))</f>
        <v/>
      </c>
      <c r="I124" s="15"/>
      <c r="J124" s="15"/>
    </row>
    <row r="125" customFormat="false" ht="15" hidden="false" customHeight="false" outlineLevel="0" collapsed="false">
      <c r="A125" s="15"/>
      <c r="B125" s="15"/>
      <c r="C125" s="15"/>
      <c r="D125" s="16" t="str">
        <f aca="false">IFERROR(INDEX(System_Inventory!$D$5:$D$204,MATCH(C125,System_Inventory!$A$5:$A$204,0)),"")</f>
        <v/>
      </c>
      <c r="E125" s="15"/>
      <c r="F125" s="16" t="str">
        <f aca="false">IFERROR(INDEX(System_Inventory!$D$5:$D$204,MATCH(E125,System_Inventory!$A$5:$A$204,0)),"")</f>
        <v/>
      </c>
      <c r="G125" s="15"/>
      <c r="H125" s="16" t="str">
        <f aca="false">IF(A125="","",IF(AND(D125="DEV",F125="PRD"),"BYPASS: direct DEV to PRD","OK"))</f>
        <v/>
      </c>
      <c r="I125" s="15"/>
      <c r="J125" s="15"/>
    </row>
    <row r="126" customFormat="false" ht="15" hidden="false" customHeight="false" outlineLevel="0" collapsed="false">
      <c r="A126" s="15"/>
      <c r="B126" s="15"/>
      <c r="C126" s="15"/>
      <c r="D126" s="16" t="str">
        <f aca="false">IFERROR(INDEX(System_Inventory!$D$5:$D$204,MATCH(C126,System_Inventory!$A$5:$A$204,0)),"")</f>
        <v/>
      </c>
      <c r="E126" s="15"/>
      <c r="F126" s="16" t="str">
        <f aca="false">IFERROR(INDEX(System_Inventory!$D$5:$D$204,MATCH(E126,System_Inventory!$A$5:$A$204,0)),"")</f>
        <v/>
      </c>
      <c r="G126" s="15"/>
      <c r="H126" s="16" t="str">
        <f aca="false">IF(A126="","",IF(AND(D126="DEV",F126="PRD"),"BYPASS: direct DEV to PRD","OK"))</f>
        <v/>
      </c>
      <c r="I126" s="15"/>
      <c r="J126" s="15"/>
    </row>
    <row r="127" customFormat="false" ht="15" hidden="false" customHeight="false" outlineLevel="0" collapsed="false">
      <c r="A127" s="15"/>
      <c r="B127" s="15"/>
      <c r="C127" s="15"/>
      <c r="D127" s="16" t="str">
        <f aca="false">IFERROR(INDEX(System_Inventory!$D$5:$D$204,MATCH(C127,System_Inventory!$A$5:$A$204,0)),"")</f>
        <v/>
      </c>
      <c r="E127" s="15"/>
      <c r="F127" s="16" t="str">
        <f aca="false">IFERROR(INDEX(System_Inventory!$D$5:$D$204,MATCH(E127,System_Inventory!$A$5:$A$204,0)),"")</f>
        <v/>
      </c>
      <c r="G127" s="15"/>
      <c r="H127" s="16" t="str">
        <f aca="false">IF(A127="","",IF(AND(D127="DEV",F127="PRD"),"BYPASS: direct DEV to PRD","OK"))</f>
        <v/>
      </c>
      <c r="I127" s="15"/>
      <c r="J127" s="15"/>
    </row>
    <row r="128" customFormat="false" ht="15" hidden="false" customHeight="false" outlineLevel="0" collapsed="false">
      <c r="A128" s="15"/>
      <c r="B128" s="15"/>
      <c r="C128" s="15"/>
      <c r="D128" s="16" t="str">
        <f aca="false">IFERROR(INDEX(System_Inventory!$D$5:$D$204,MATCH(C128,System_Inventory!$A$5:$A$204,0)),"")</f>
        <v/>
      </c>
      <c r="E128" s="15"/>
      <c r="F128" s="16" t="str">
        <f aca="false">IFERROR(INDEX(System_Inventory!$D$5:$D$204,MATCH(E128,System_Inventory!$A$5:$A$204,0)),"")</f>
        <v/>
      </c>
      <c r="G128" s="15"/>
      <c r="H128" s="16" t="str">
        <f aca="false">IF(A128="","",IF(AND(D128="DEV",F128="PRD"),"BYPASS: direct DEV to PRD","OK"))</f>
        <v/>
      </c>
      <c r="I128" s="15"/>
      <c r="J128" s="15"/>
    </row>
    <row r="129" customFormat="false" ht="15" hidden="false" customHeight="false" outlineLevel="0" collapsed="false">
      <c r="A129" s="15"/>
      <c r="B129" s="15"/>
      <c r="C129" s="15"/>
      <c r="D129" s="16" t="str">
        <f aca="false">IFERROR(INDEX(System_Inventory!$D$5:$D$204,MATCH(C129,System_Inventory!$A$5:$A$204,0)),"")</f>
        <v/>
      </c>
      <c r="E129" s="15"/>
      <c r="F129" s="16" t="str">
        <f aca="false">IFERROR(INDEX(System_Inventory!$D$5:$D$204,MATCH(E129,System_Inventory!$A$5:$A$204,0)),"")</f>
        <v/>
      </c>
      <c r="G129" s="15"/>
      <c r="H129" s="16" t="str">
        <f aca="false">IF(A129="","",IF(AND(D129="DEV",F129="PRD"),"BYPASS: direct DEV to PRD","OK"))</f>
        <v/>
      </c>
      <c r="I129" s="15"/>
      <c r="J129" s="15"/>
    </row>
    <row r="130" customFormat="false" ht="15" hidden="false" customHeight="false" outlineLevel="0" collapsed="false">
      <c r="A130" s="15"/>
      <c r="B130" s="15"/>
      <c r="C130" s="15"/>
      <c r="D130" s="16" t="str">
        <f aca="false">IFERROR(INDEX(System_Inventory!$D$5:$D$204,MATCH(C130,System_Inventory!$A$5:$A$204,0)),"")</f>
        <v/>
      </c>
      <c r="E130" s="15"/>
      <c r="F130" s="16" t="str">
        <f aca="false">IFERROR(INDEX(System_Inventory!$D$5:$D$204,MATCH(E130,System_Inventory!$A$5:$A$204,0)),"")</f>
        <v/>
      </c>
      <c r="G130" s="15"/>
      <c r="H130" s="16" t="str">
        <f aca="false">IF(A130="","",IF(AND(D130="DEV",F130="PRD"),"BYPASS: direct DEV to PRD","OK"))</f>
        <v/>
      </c>
      <c r="I130" s="15"/>
      <c r="J130" s="15"/>
    </row>
    <row r="131" customFormat="false" ht="15" hidden="false" customHeight="false" outlineLevel="0" collapsed="false">
      <c r="A131" s="15"/>
      <c r="B131" s="15"/>
      <c r="C131" s="15"/>
      <c r="D131" s="16" t="str">
        <f aca="false">IFERROR(INDEX(System_Inventory!$D$5:$D$204,MATCH(C131,System_Inventory!$A$5:$A$204,0)),"")</f>
        <v/>
      </c>
      <c r="E131" s="15"/>
      <c r="F131" s="16" t="str">
        <f aca="false">IFERROR(INDEX(System_Inventory!$D$5:$D$204,MATCH(E131,System_Inventory!$A$5:$A$204,0)),"")</f>
        <v/>
      </c>
      <c r="G131" s="15"/>
      <c r="H131" s="16" t="str">
        <f aca="false">IF(A131="","",IF(AND(D131="DEV",F131="PRD"),"BYPASS: direct DEV to PRD","OK"))</f>
        <v/>
      </c>
      <c r="I131" s="15"/>
      <c r="J131" s="15"/>
    </row>
    <row r="132" customFormat="false" ht="15" hidden="false" customHeight="false" outlineLevel="0" collapsed="false">
      <c r="A132" s="15"/>
      <c r="B132" s="15"/>
      <c r="C132" s="15"/>
      <c r="D132" s="16" t="str">
        <f aca="false">IFERROR(INDEX(System_Inventory!$D$5:$D$204,MATCH(C132,System_Inventory!$A$5:$A$204,0)),"")</f>
        <v/>
      </c>
      <c r="E132" s="15"/>
      <c r="F132" s="16" t="str">
        <f aca="false">IFERROR(INDEX(System_Inventory!$D$5:$D$204,MATCH(E132,System_Inventory!$A$5:$A$204,0)),"")</f>
        <v/>
      </c>
      <c r="G132" s="15"/>
      <c r="H132" s="16" t="str">
        <f aca="false">IF(A132="","",IF(AND(D132="DEV",F132="PRD"),"BYPASS: direct DEV to PRD","OK"))</f>
        <v/>
      </c>
      <c r="I132" s="15"/>
      <c r="J132" s="15"/>
    </row>
    <row r="133" customFormat="false" ht="15" hidden="false" customHeight="false" outlineLevel="0" collapsed="false">
      <c r="A133" s="15"/>
      <c r="B133" s="15"/>
      <c r="C133" s="15"/>
      <c r="D133" s="16" t="str">
        <f aca="false">IFERROR(INDEX(System_Inventory!$D$5:$D$204,MATCH(C133,System_Inventory!$A$5:$A$204,0)),"")</f>
        <v/>
      </c>
      <c r="E133" s="15"/>
      <c r="F133" s="16" t="str">
        <f aca="false">IFERROR(INDEX(System_Inventory!$D$5:$D$204,MATCH(E133,System_Inventory!$A$5:$A$204,0)),"")</f>
        <v/>
      </c>
      <c r="G133" s="15"/>
      <c r="H133" s="16" t="str">
        <f aca="false">IF(A133="","",IF(AND(D133="DEV",F133="PRD"),"BYPASS: direct DEV to PRD","OK"))</f>
        <v/>
      </c>
      <c r="I133" s="15"/>
      <c r="J133" s="15"/>
    </row>
    <row r="134" customFormat="false" ht="15" hidden="false" customHeight="false" outlineLevel="0" collapsed="false">
      <c r="A134" s="15"/>
      <c r="B134" s="15"/>
      <c r="C134" s="15"/>
      <c r="D134" s="16" t="str">
        <f aca="false">IFERROR(INDEX(System_Inventory!$D$5:$D$204,MATCH(C134,System_Inventory!$A$5:$A$204,0)),"")</f>
        <v/>
      </c>
      <c r="E134" s="15"/>
      <c r="F134" s="16" t="str">
        <f aca="false">IFERROR(INDEX(System_Inventory!$D$5:$D$204,MATCH(E134,System_Inventory!$A$5:$A$204,0)),"")</f>
        <v/>
      </c>
      <c r="G134" s="15"/>
      <c r="H134" s="16" t="str">
        <f aca="false">IF(A134="","",IF(AND(D134="DEV",F134="PRD"),"BYPASS: direct DEV to PRD","OK"))</f>
        <v/>
      </c>
      <c r="I134" s="15"/>
      <c r="J134" s="15"/>
    </row>
    <row r="135" customFormat="false" ht="15" hidden="false" customHeight="false" outlineLevel="0" collapsed="false">
      <c r="A135" s="15"/>
      <c r="B135" s="15"/>
      <c r="C135" s="15"/>
      <c r="D135" s="16" t="str">
        <f aca="false">IFERROR(INDEX(System_Inventory!$D$5:$D$204,MATCH(C135,System_Inventory!$A$5:$A$204,0)),"")</f>
        <v/>
      </c>
      <c r="E135" s="15"/>
      <c r="F135" s="16" t="str">
        <f aca="false">IFERROR(INDEX(System_Inventory!$D$5:$D$204,MATCH(E135,System_Inventory!$A$5:$A$204,0)),"")</f>
        <v/>
      </c>
      <c r="G135" s="15"/>
      <c r="H135" s="16" t="str">
        <f aca="false">IF(A135="","",IF(AND(D135="DEV",F135="PRD"),"BYPASS: direct DEV to PRD","OK"))</f>
        <v/>
      </c>
      <c r="I135" s="15"/>
      <c r="J135" s="15"/>
    </row>
    <row r="136" customFormat="false" ht="15" hidden="false" customHeight="false" outlineLevel="0" collapsed="false">
      <c r="A136" s="15"/>
      <c r="B136" s="15"/>
      <c r="C136" s="15"/>
      <c r="D136" s="16" t="str">
        <f aca="false">IFERROR(INDEX(System_Inventory!$D$5:$D$204,MATCH(C136,System_Inventory!$A$5:$A$204,0)),"")</f>
        <v/>
      </c>
      <c r="E136" s="15"/>
      <c r="F136" s="16" t="str">
        <f aca="false">IFERROR(INDEX(System_Inventory!$D$5:$D$204,MATCH(E136,System_Inventory!$A$5:$A$204,0)),"")</f>
        <v/>
      </c>
      <c r="G136" s="15"/>
      <c r="H136" s="16" t="str">
        <f aca="false">IF(A136="","",IF(AND(D136="DEV",F136="PRD"),"BYPASS: direct DEV to PRD","OK"))</f>
        <v/>
      </c>
      <c r="I136" s="15"/>
      <c r="J136" s="15"/>
    </row>
    <row r="137" customFormat="false" ht="15" hidden="false" customHeight="false" outlineLevel="0" collapsed="false">
      <c r="A137" s="15"/>
      <c r="B137" s="15"/>
      <c r="C137" s="15"/>
      <c r="D137" s="16" t="str">
        <f aca="false">IFERROR(INDEX(System_Inventory!$D$5:$D$204,MATCH(C137,System_Inventory!$A$5:$A$204,0)),"")</f>
        <v/>
      </c>
      <c r="E137" s="15"/>
      <c r="F137" s="16" t="str">
        <f aca="false">IFERROR(INDEX(System_Inventory!$D$5:$D$204,MATCH(E137,System_Inventory!$A$5:$A$204,0)),"")</f>
        <v/>
      </c>
      <c r="G137" s="15"/>
      <c r="H137" s="16" t="str">
        <f aca="false">IF(A137="","",IF(AND(D137="DEV",F137="PRD"),"BYPASS: direct DEV to PRD","OK"))</f>
        <v/>
      </c>
      <c r="I137" s="15"/>
      <c r="J137" s="15"/>
    </row>
    <row r="138" customFormat="false" ht="15" hidden="false" customHeight="false" outlineLevel="0" collapsed="false">
      <c r="A138" s="15"/>
      <c r="B138" s="15"/>
      <c r="C138" s="15"/>
      <c r="D138" s="16" t="str">
        <f aca="false">IFERROR(INDEX(System_Inventory!$D$5:$D$204,MATCH(C138,System_Inventory!$A$5:$A$204,0)),"")</f>
        <v/>
      </c>
      <c r="E138" s="15"/>
      <c r="F138" s="16" t="str">
        <f aca="false">IFERROR(INDEX(System_Inventory!$D$5:$D$204,MATCH(E138,System_Inventory!$A$5:$A$204,0)),"")</f>
        <v/>
      </c>
      <c r="G138" s="15"/>
      <c r="H138" s="16" t="str">
        <f aca="false">IF(A138="","",IF(AND(D138="DEV",F138="PRD"),"BYPASS: direct DEV to PRD","OK"))</f>
        <v/>
      </c>
      <c r="I138" s="15"/>
      <c r="J138" s="15"/>
    </row>
    <row r="139" customFormat="false" ht="15" hidden="false" customHeight="false" outlineLevel="0" collapsed="false">
      <c r="A139" s="15"/>
      <c r="B139" s="15"/>
      <c r="C139" s="15"/>
      <c r="D139" s="16" t="str">
        <f aca="false">IFERROR(INDEX(System_Inventory!$D$5:$D$204,MATCH(C139,System_Inventory!$A$5:$A$204,0)),"")</f>
        <v/>
      </c>
      <c r="E139" s="15"/>
      <c r="F139" s="16" t="str">
        <f aca="false">IFERROR(INDEX(System_Inventory!$D$5:$D$204,MATCH(E139,System_Inventory!$A$5:$A$204,0)),"")</f>
        <v/>
      </c>
      <c r="G139" s="15"/>
      <c r="H139" s="16" t="str">
        <f aca="false">IF(A139="","",IF(AND(D139="DEV",F139="PRD"),"BYPASS: direct DEV to PRD","OK"))</f>
        <v/>
      </c>
      <c r="I139" s="15"/>
      <c r="J139" s="15"/>
    </row>
    <row r="140" customFormat="false" ht="15" hidden="false" customHeight="false" outlineLevel="0" collapsed="false">
      <c r="A140" s="15"/>
      <c r="B140" s="15"/>
      <c r="C140" s="15"/>
      <c r="D140" s="16" t="str">
        <f aca="false">IFERROR(INDEX(System_Inventory!$D$5:$D$204,MATCH(C140,System_Inventory!$A$5:$A$204,0)),"")</f>
        <v/>
      </c>
      <c r="E140" s="15"/>
      <c r="F140" s="16" t="str">
        <f aca="false">IFERROR(INDEX(System_Inventory!$D$5:$D$204,MATCH(E140,System_Inventory!$A$5:$A$204,0)),"")</f>
        <v/>
      </c>
      <c r="G140" s="15"/>
      <c r="H140" s="16" t="str">
        <f aca="false">IF(A140="","",IF(AND(D140="DEV",F140="PRD"),"BYPASS: direct DEV to PRD","OK"))</f>
        <v/>
      </c>
      <c r="I140" s="15"/>
      <c r="J140" s="15"/>
    </row>
    <row r="141" customFormat="false" ht="15" hidden="false" customHeight="false" outlineLevel="0" collapsed="false">
      <c r="A141" s="15"/>
      <c r="B141" s="15"/>
      <c r="C141" s="15"/>
      <c r="D141" s="16" t="str">
        <f aca="false">IFERROR(INDEX(System_Inventory!$D$5:$D$204,MATCH(C141,System_Inventory!$A$5:$A$204,0)),"")</f>
        <v/>
      </c>
      <c r="E141" s="15"/>
      <c r="F141" s="16" t="str">
        <f aca="false">IFERROR(INDEX(System_Inventory!$D$5:$D$204,MATCH(E141,System_Inventory!$A$5:$A$204,0)),"")</f>
        <v/>
      </c>
      <c r="G141" s="15"/>
      <c r="H141" s="16" t="str">
        <f aca="false">IF(A141="","",IF(AND(D141="DEV",F141="PRD"),"BYPASS: direct DEV to PRD","OK"))</f>
        <v/>
      </c>
      <c r="I141" s="15"/>
      <c r="J141" s="15"/>
    </row>
    <row r="142" customFormat="false" ht="15" hidden="false" customHeight="false" outlineLevel="0" collapsed="false">
      <c r="A142" s="15"/>
      <c r="B142" s="15"/>
      <c r="C142" s="15"/>
      <c r="D142" s="16" t="str">
        <f aca="false">IFERROR(INDEX(System_Inventory!$D$5:$D$204,MATCH(C142,System_Inventory!$A$5:$A$204,0)),"")</f>
        <v/>
      </c>
      <c r="E142" s="15"/>
      <c r="F142" s="16" t="str">
        <f aca="false">IFERROR(INDEX(System_Inventory!$D$5:$D$204,MATCH(E142,System_Inventory!$A$5:$A$204,0)),"")</f>
        <v/>
      </c>
      <c r="G142" s="15"/>
      <c r="H142" s="16" t="str">
        <f aca="false">IF(A142="","",IF(AND(D142="DEV",F142="PRD"),"BYPASS: direct DEV to PRD","OK"))</f>
        <v/>
      </c>
      <c r="I142" s="15"/>
      <c r="J142" s="15"/>
    </row>
    <row r="143" customFormat="false" ht="15" hidden="false" customHeight="false" outlineLevel="0" collapsed="false">
      <c r="A143" s="15"/>
      <c r="B143" s="15"/>
      <c r="C143" s="15"/>
      <c r="D143" s="16" t="str">
        <f aca="false">IFERROR(INDEX(System_Inventory!$D$5:$D$204,MATCH(C143,System_Inventory!$A$5:$A$204,0)),"")</f>
        <v/>
      </c>
      <c r="E143" s="15"/>
      <c r="F143" s="16" t="str">
        <f aca="false">IFERROR(INDEX(System_Inventory!$D$5:$D$204,MATCH(E143,System_Inventory!$A$5:$A$204,0)),"")</f>
        <v/>
      </c>
      <c r="G143" s="15"/>
      <c r="H143" s="16" t="str">
        <f aca="false">IF(A143="","",IF(AND(D143="DEV",F143="PRD"),"BYPASS: direct DEV to PRD","OK"))</f>
        <v/>
      </c>
      <c r="I143" s="15"/>
      <c r="J143" s="15"/>
    </row>
    <row r="144" customFormat="false" ht="15" hidden="false" customHeight="false" outlineLevel="0" collapsed="false">
      <c r="A144" s="15"/>
      <c r="B144" s="15"/>
      <c r="C144" s="15"/>
      <c r="D144" s="16" t="str">
        <f aca="false">IFERROR(INDEX(System_Inventory!$D$5:$D$204,MATCH(C144,System_Inventory!$A$5:$A$204,0)),"")</f>
        <v/>
      </c>
      <c r="E144" s="15"/>
      <c r="F144" s="16" t="str">
        <f aca="false">IFERROR(INDEX(System_Inventory!$D$5:$D$204,MATCH(E144,System_Inventory!$A$5:$A$204,0)),"")</f>
        <v/>
      </c>
      <c r="G144" s="15"/>
      <c r="H144" s="16" t="str">
        <f aca="false">IF(A144="","",IF(AND(D144="DEV",F144="PRD"),"BYPASS: direct DEV to PRD","OK"))</f>
        <v/>
      </c>
      <c r="I144" s="15"/>
      <c r="J144" s="15"/>
    </row>
    <row r="145" customFormat="false" ht="15" hidden="false" customHeight="false" outlineLevel="0" collapsed="false">
      <c r="A145" s="15"/>
      <c r="B145" s="15"/>
      <c r="C145" s="15"/>
      <c r="D145" s="16" t="str">
        <f aca="false">IFERROR(INDEX(System_Inventory!$D$5:$D$204,MATCH(C145,System_Inventory!$A$5:$A$204,0)),"")</f>
        <v/>
      </c>
      <c r="E145" s="15"/>
      <c r="F145" s="16" t="str">
        <f aca="false">IFERROR(INDEX(System_Inventory!$D$5:$D$204,MATCH(E145,System_Inventory!$A$5:$A$204,0)),"")</f>
        <v/>
      </c>
      <c r="G145" s="15"/>
      <c r="H145" s="16" t="str">
        <f aca="false">IF(A145="","",IF(AND(D145="DEV",F145="PRD"),"BYPASS: direct DEV to PRD","OK"))</f>
        <v/>
      </c>
      <c r="I145" s="15"/>
      <c r="J145" s="15"/>
    </row>
    <row r="146" customFormat="false" ht="15" hidden="false" customHeight="false" outlineLevel="0" collapsed="false">
      <c r="A146" s="15"/>
      <c r="B146" s="15"/>
      <c r="C146" s="15"/>
      <c r="D146" s="16" t="str">
        <f aca="false">IFERROR(INDEX(System_Inventory!$D$5:$D$204,MATCH(C146,System_Inventory!$A$5:$A$204,0)),"")</f>
        <v/>
      </c>
      <c r="E146" s="15"/>
      <c r="F146" s="16" t="str">
        <f aca="false">IFERROR(INDEX(System_Inventory!$D$5:$D$204,MATCH(E146,System_Inventory!$A$5:$A$204,0)),"")</f>
        <v/>
      </c>
      <c r="G146" s="15"/>
      <c r="H146" s="16" t="str">
        <f aca="false">IF(A146="","",IF(AND(D146="DEV",F146="PRD"),"BYPASS: direct DEV to PRD","OK"))</f>
        <v/>
      </c>
      <c r="I146" s="15"/>
      <c r="J146" s="15"/>
    </row>
    <row r="147" customFormat="false" ht="15" hidden="false" customHeight="false" outlineLevel="0" collapsed="false">
      <c r="A147" s="15"/>
      <c r="B147" s="15"/>
      <c r="C147" s="15"/>
      <c r="D147" s="16" t="str">
        <f aca="false">IFERROR(INDEX(System_Inventory!$D$5:$D$204,MATCH(C147,System_Inventory!$A$5:$A$204,0)),"")</f>
        <v/>
      </c>
      <c r="E147" s="15"/>
      <c r="F147" s="16" t="str">
        <f aca="false">IFERROR(INDEX(System_Inventory!$D$5:$D$204,MATCH(E147,System_Inventory!$A$5:$A$204,0)),"")</f>
        <v/>
      </c>
      <c r="G147" s="15"/>
      <c r="H147" s="16" t="str">
        <f aca="false">IF(A147="","",IF(AND(D147="DEV",F147="PRD"),"BYPASS: direct DEV to PRD","OK"))</f>
        <v/>
      </c>
      <c r="I147" s="15"/>
      <c r="J147" s="15"/>
    </row>
    <row r="148" customFormat="false" ht="15" hidden="false" customHeight="false" outlineLevel="0" collapsed="false">
      <c r="A148" s="15"/>
      <c r="B148" s="15"/>
      <c r="C148" s="15"/>
      <c r="D148" s="16" t="str">
        <f aca="false">IFERROR(INDEX(System_Inventory!$D$5:$D$204,MATCH(C148,System_Inventory!$A$5:$A$204,0)),"")</f>
        <v/>
      </c>
      <c r="E148" s="15"/>
      <c r="F148" s="16" t="str">
        <f aca="false">IFERROR(INDEX(System_Inventory!$D$5:$D$204,MATCH(E148,System_Inventory!$A$5:$A$204,0)),"")</f>
        <v/>
      </c>
      <c r="G148" s="15"/>
      <c r="H148" s="16" t="str">
        <f aca="false">IF(A148="","",IF(AND(D148="DEV",F148="PRD"),"BYPASS: direct DEV to PRD","OK"))</f>
        <v/>
      </c>
      <c r="I148" s="15"/>
      <c r="J148" s="15"/>
    </row>
    <row r="149" customFormat="false" ht="15" hidden="false" customHeight="false" outlineLevel="0" collapsed="false">
      <c r="A149" s="15"/>
      <c r="B149" s="15"/>
      <c r="C149" s="15"/>
      <c r="D149" s="16" t="str">
        <f aca="false">IFERROR(INDEX(System_Inventory!$D$5:$D$204,MATCH(C149,System_Inventory!$A$5:$A$204,0)),"")</f>
        <v/>
      </c>
      <c r="E149" s="15"/>
      <c r="F149" s="16" t="str">
        <f aca="false">IFERROR(INDEX(System_Inventory!$D$5:$D$204,MATCH(E149,System_Inventory!$A$5:$A$204,0)),"")</f>
        <v/>
      </c>
      <c r="G149" s="15"/>
      <c r="H149" s="16" t="str">
        <f aca="false">IF(A149="","",IF(AND(D149="DEV",F149="PRD"),"BYPASS: direct DEV to PRD","OK"))</f>
        <v/>
      </c>
      <c r="I149" s="15"/>
      <c r="J149" s="15"/>
    </row>
    <row r="150" customFormat="false" ht="15" hidden="false" customHeight="false" outlineLevel="0" collapsed="false">
      <c r="A150" s="15"/>
      <c r="B150" s="15"/>
      <c r="C150" s="15"/>
      <c r="D150" s="16" t="str">
        <f aca="false">IFERROR(INDEX(System_Inventory!$D$5:$D$204,MATCH(C150,System_Inventory!$A$5:$A$204,0)),"")</f>
        <v/>
      </c>
      <c r="E150" s="15"/>
      <c r="F150" s="16" t="str">
        <f aca="false">IFERROR(INDEX(System_Inventory!$D$5:$D$204,MATCH(E150,System_Inventory!$A$5:$A$204,0)),"")</f>
        <v/>
      </c>
      <c r="G150" s="15"/>
      <c r="H150" s="16" t="str">
        <f aca="false">IF(A150="","",IF(AND(D150="DEV",F150="PRD"),"BYPASS: direct DEV to PRD","OK"))</f>
        <v/>
      </c>
      <c r="I150" s="15"/>
      <c r="J150" s="15"/>
    </row>
    <row r="151" customFormat="false" ht="15" hidden="false" customHeight="false" outlineLevel="0" collapsed="false">
      <c r="A151" s="15"/>
      <c r="B151" s="15"/>
      <c r="C151" s="15"/>
      <c r="D151" s="16" t="str">
        <f aca="false">IFERROR(INDEX(System_Inventory!$D$5:$D$204,MATCH(C151,System_Inventory!$A$5:$A$204,0)),"")</f>
        <v/>
      </c>
      <c r="E151" s="15"/>
      <c r="F151" s="16" t="str">
        <f aca="false">IFERROR(INDEX(System_Inventory!$D$5:$D$204,MATCH(E151,System_Inventory!$A$5:$A$204,0)),"")</f>
        <v/>
      </c>
      <c r="G151" s="15"/>
      <c r="H151" s="16" t="str">
        <f aca="false">IF(A151="","",IF(AND(D151="DEV",F151="PRD"),"BYPASS: direct DEV to PRD","OK"))</f>
        <v/>
      </c>
      <c r="I151" s="15"/>
      <c r="J151" s="15"/>
    </row>
    <row r="152" customFormat="false" ht="15" hidden="false" customHeight="false" outlineLevel="0" collapsed="false">
      <c r="A152" s="15"/>
      <c r="B152" s="15"/>
      <c r="C152" s="15"/>
      <c r="D152" s="16" t="str">
        <f aca="false">IFERROR(INDEX(System_Inventory!$D$5:$D$204,MATCH(C152,System_Inventory!$A$5:$A$204,0)),"")</f>
        <v/>
      </c>
      <c r="E152" s="15"/>
      <c r="F152" s="16" t="str">
        <f aca="false">IFERROR(INDEX(System_Inventory!$D$5:$D$204,MATCH(E152,System_Inventory!$A$5:$A$204,0)),"")</f>
        <v/>
      </c>
      <c r="G152" s="15"/>
      <c r="H152" s="16" t="str">
        <f aca="false">IF(A152="","",IF(AND(D152="DEV",F152="PRD"),"BYPASS: direct DEV to PRD","OK"))</f>
        <v/>
      </c>
      <c r="I152" s="15"/>
      <c r="J152" s="15"/>
    </row>
    <row r="153" customFormat="false" ht="15" hidden="false" customHeight="false" outlineLevel="0" collapsed="false">
      <c r="A153" s="15"/>
      <c r="B153" s="15"/>
      <c r="C153" s="15"/>
      <c r="D153" s="16" t="str">
        <f aca="false">IFERROR(INDEX(System_Inventory!$D$5:$D$204,MATCH(C153,System_Inventory!$A$5:$A$204,0)),"")</f>
        <v/>
      </c>
      <c r="E153" s="15"/>
      <c r="F153" s="16" t="str">
        <f aca="false">IFERROR(INDEX(System_Inventory!$D$5:$D$204,MATCH(E153,System_Inventory!$A$5:$A$204,0)),"")</f>
        <v/>
      </c>
      <c r="G153" s="15"/>
      <c r="H153" s="16" t="str">
        <f aca="false">IF(A153="","",IF(AND(D153="DEV",F153="PRD"),"BYPASS: direct DEV to PRD","OK"))</f>
        <v/>
      </c>
      <c r="I153" s="15"/>
      <c r="J153" s="15"/>
    </row>
    <row r="154" customFormat="false" ht="15" hidden="false" customHeight="false" outlineLevel="0" collapsed="false">
      <c r="A154" s="15"/>
      <c r="B154" s="15"/>
      <c r="C154" s="15"/>
      <c r="D154" s="16" t="str">
        <f aca="false">IFERROR(INDEX(System_Inventory!$D$5:$D$204,MATCH(C154,System_Inventory!$A$5:$A$204,0)),"")</f>
        <v/>
      </c>
      <c r="E154" s="15"/>
      <c r="F154" s="16" t="str">
        <f aca="false">IFERROR(INDEX(System_Inventory!$D$5:$D$204,MATCH(E154,System_Inventory!$A$5:$A$204,0)),"")</f>
        <v/>
      </c>
      <c r="G154" s="15"/>
      <c r="H154" s="16" t="str">
        <f aca="false">IF(A154="","",IF(AND(D154="DEV",F154="PRD"),"BYPASS: direct DEV to PRD","OK"))</f>
        <v/>
      </c>
      <c r="I154" s="15"/>
      <c r="J154" s="15"/>
    </row>
    <row r="155" customFormat="false" ht="15" hidden="false" customHeight="false" outlineLevel="0" collapsed="false">
      <c r="A155" s="15"/>
      <c r="B155" s="15"/>
      <c r="C155" s="15"/>
      <c r="D155" s="16" t="str">
        <f aca="false">IFERROR(INDEX(System_Inventory!$D$5:$D$204,MATCH(C155,System_Inventory!$A$5:$A$204,0)),"")</f>
        <v/>
      </c>
      <c r="E155" s="15"/>
      <c r="F155" s="16" t="str">
        <f aca="false">IFERROR(INDEX(System_Inventory!$D$5:$D$204,MATCH(E155,System_Inventory!$A$5:$A$204,0)),"")</f>
        <v/>
      </c>
      <c r="G155" s="15"/>
      <c r="H155" s="16" t="str">
        <f aca="false">IF(A155="","",IF(AND(D155="DEV",F155="PRD"),"BYPASS: direct DEV to PRD","OK"))</f>
        <v/>
      </c>
      <c r="I155" s="15"/>
      <c r="J155" s="15"/>
    </row>
    <row r="156" customFormat="false" ht="15" hidden="false" customHeight="false" outlineLevel="0" collapsed="false">
      <c r="A156" s="15"/>
      <c r="B156" s="15"/>
      <c r="C156" s="15"/>
      <c r="D156" s="16" t="str">
        <f aca="false">IFERROR(INDEX(System_Inventory!$D$5:$D$204,MATCH(C156,System_Inventory!$A$5:$A$204,0)),"")</f>
        <v/>
      </c>
      <c r="E156" s="15"/>
      <c r="F156" s="16" t="str">
        <f aca="false">IFERROR(INDEX(System_Inventory!$D$5:$D$204,MATCH(E156,System_Inventory!$A$5:$A$204,0)),"")</f>
        <v/>
      </c>
      <c r="G156" s="15"/>
      <c r="H156" s="16" t="str">
        <f aca="false">IF(A156="","",IF(AND(D156="DEV",F156="PRD"),"BYPASS: direct DEV to PRD","OK"))</f>
        <v/>
      </c>
      <c r="I156" s="15"/>
      <c r="J156" s="15"/>
    </row>
    <row r="157" customFormat="false" ht="15" hidden="false" customHeight="false" outlineLevel="0" collapsed="false">
      <c r="A157" s="15"/>
      <c r="B157" s="15"/>
      <c r="C157" s="15"/>
      <c r="D157" s="16" t="str">
        <f aca="false">IFERROR(INDEX(System_Inventory!$D$5:$D$204,MATCH(C157,System_Inventory!$A$5:$A$204,0)),"")</f>
        <v/>
      </c>
      <c r="E157" s="15"/>
      <c r="F157" s="16" t="str">
        <f aca="false">IFERROR(INDEX(System_Inventory!$D$5:$D$204,MATCH(E157,System_Inventory!$A$5:$A$204,0)),"")</f>
        <v/>
      </c>
      <c r="G157" s="15"/>
      <c r="H157" s="16" t="str">
        <f aca="false">IF(A157="","",IF(AND(D157="DEV",F157="PRD"),"BYPASS: direct DEV to PRD","OK"))</f>
        <v/>
      </c>
      <c r="I157" s="15"/>
      <c r="J157" s="15"/>
    </row>
    <row r="158" customFormat="false" ht="15" hidden="false" customHeight="false" outlineLevel="0" collapsed="false">
      <c r="A158" s="15"/>
      <c r="B158" s="15"/>
      <c r="C158" s="15"/>
      <c r="D158" s="16" t="str">
        <f aca="false">IFERROR(INDEX(System_Inventory!$D$5:$D$204,MATCH(C158,System_Inventory!$A$5:$A$204,0)),"")</f>
        <v/>
      </c>
      <c r="E158" s="15"/>
      <c r="F158" s="16" t="str">
        <f aca="false">IFERROR(INDEX(System_Inventory!$D$5:$D$204,MATCH(E158,System_Inventory!$A$5:$A$204,0)),"")</f>
        <v/>
      </c>
      <c r="G158" s="15"/>
      <c r="H158" s="16" t="str">
        <f aca="false">IF(A158="","",IF(AND(D158="DEV",F158="PRD"),"BYPASS: direct DEV to PRD","OK"))</f>
        <v/>
      </c>
      <c r="I158" s="15"/>
      <c r="J158" s="15"/>
    </row>
    <row r="159" customFormat="false" ht="15" hidden="false" customHeight="false" outlineLevel="0" collapsed="false">
      <c r="A159" s="15"/>
      <c r="B159" s="15"/>
      <c r="C159" s="15"/>
      <c r="D159" s="16" t="str">
        <f aca="false">IFERROR(INDEX(System_Inventory!$D$5:$D$204,MATCH(C159,System_Inventory!$A$5:$A$204,0)),"")</f>
        <v/>
      </c>
      <c r="E159" s="15"/>
      <c r="F159" s="16" t="str">
        <f aca="false">IFERROR(INDEX(System_Inventory!$D$5:$D$204,MATCH(E159,System_Inventory!$A$5:$A$204,0)),"")</f>
        <v/>
      </c>
      <c r="G159" s="15"/>
      <c r="H159" s="16" t="str">
        <f aca="false">IF(A159="","",IF(AND(D159="DEV",F159="PRD"),"BYPASS: direct DEV to PRD","OK"))</f>
        <v/>
      </c>
      <c r="I159" s="15"/>
      <c r="J159" s="15"/>
    </row>
    <row r="160" customFormat="false" ht="15" hidden="false" customHeight="false" outlineLevel="0" collapsed="false">
      <c r="A160" s="15"/>
      <c r="B160" s="15"/>
      <c r="C160" s="15"/>
      <c r="D160" s="16" t="str">
        <f aca="false">IFERROR(INDEX(System_Inventory!$D$5:$D$204,MATCH(C160,System_Inventory!$A$5:$A$204,0)),"")</f>
        <v/>
      </c>
      <c r="E160" s="15"/>
      <c r="F160" s="16" t="str">
        <f aca="false">IFERROR(INDEX(System_Inventory!$D$5:$D$204,MATCH(E160,System_Inventory!$A$5:$A$204,0)),"")</f>
        <v/>
      </c>
      <c r="G160" s="15"/>
      <c r="H160" s="16" t="str">
        <f aca="false">IF(A160="","",IF(AND(D160="DEV",F160="PRD"),"BYPASS: direct DEV to PRD","OK"))</f>
        <v/>
      </c>
      <c r="I160" s="15"/>
      <c r="J160" s="15"/>
    </row>
    <row r="161" customFormat="false" ht="15" hidden="false" customHeight="false" outlineLevel="0" collapsed="false">
      <c r="A161" s="15"/>
      <c r="B161" s="15"/>
      <c r="C161" s="15"/>
      <c r="D161" s="16" t="str">
        <f aca="false">IFERROR(INDEX(System_Inventory!$D$5:$D$204,MATCH(C161,System_Inventory!$A$5:$A$204,0)),"")</f>
        <v/>
      </c>
      <c r="E161" s="15"/>
      <c r="F161" s="16" t="str">
        <f aca="false">IFERROR(INDEX(System_Inventory!$D$5:$D$204,MATCH(E161,System_Inventory!$A$5:$A$204,0)),"")</f>
        <v/>
      </c>
      <c r="G161" s="15"/>
      <c r="H161" s="16" t="str">
        <f aca="false">IF(A161="","",IF(AND(D161="DEV",F161="PRD"),"BYPASS: direct DEV to PRD","OK"))</f>
        <v/>
      </c>
      <c r="I161" s="15"/>
      <c r="J161" s="15"/>
    </row>
    <row r="162" customFormat="false" ht="15" hidden="false" customHeight="false" outlineLevel="0" collapsed="false">
      <c r="A162" s="15"/>
      <c r="B162" s="15"/>
      <c r="C162" s="15"/>
      <c r="D162" s="16" t="str">
        <f aca="false">IFERROR(INDEX(System_Inventory!$D$5:$D$204,MATCH(C162,System_Inventory!$A$5:$A$204,0)),"")</f>
        <v/>
      </c>
      <c r="E162" s="15"/>
      <c r="F162" s="16" t="str">
        <f aca="false">IFERROR(INDEX(System_Inventory!$D$5:$D$204,MATCH(E162,System_Inventory!$A$5:$A$204,0)),"")</f>
        <v/>
      </c>
      <c r="G162" s="15"/>
      <c r="H162" s="16" t="str">
        <f aca="false">IF(A162="","",IF(AND(D162="DEV",F162="PRD"),"BYPASS: direct DEV to PRD","OK"))</f>
        <v/>
      </c>
      <c r="I162" s="15"/>
      <c r="J162" s="15"/>
    </row>
    <row r="163" customFormat="false" ht="15" hidden="false" customHeight="false" outlineLevel="0" collapsed="false">
      <c r="A163" s="15"/>
      <c r="B163" s="15"/>
      <c r="C163" s="15"/>
      <c r="D163" s="16" t="str">
        <f aca="false">IFERROR(INDEX(System_Inventory!$D$5:$D$204,MATCH(C163,System_Inventory!$A$5:$A$204,0)),"")</f>
        <v/>
      </c>
      <c r="E163" s="15"/>
      <c r="F163" s="16" t="str">
        <f aca="false">IFERROR(INDEX(System_Inventory!$D$5:$D$204,MATCH(E163,System_Inventory!$A$5:$A$204,0)),"")</f>
        <v/>
      </c>
      <c r="G163" s="15"/>
      <c r="H163" s="16" t="str">
        <f aca="false">IF(A163="","",IF(AND(D163="DEV",F163="PRD"),"BYPASS: direct DEV to PRD","OK"))</f>
        <v/>
      </c>
      <c r="I163" s="15"/>
      <c r="J163" s="15"/>
    </row>
    <row r="164" customFormat="false" ht="15" hidden="false" customHeight="false" outlineLevel="0" collapsed="false">
      <c r="A164" s="15"/>
      <c r="B164" s="15"/>
      <c r="C164" s="15"/>
      <c r="D164" s="16" t="str">
        <f aca="false">IFERROR(INDEX(System_Inventory!$D$5:$D$204,MATCH(C164,System_Inventory!$A$5:$A$204,0)),"")</f>
        <v/>
      </c>
      <c r="E164" s="15"/>
      <c r="F164" s="16" t="str">
        <f aca="false">IFERROR(INDEX(System_Inventory!$D$5:$D$204,MATCH(E164,System_Inventory!$A$5:$A$204,0)),"")</f>
        <v/>
      </c>
      <c r="G164" s="15"/>
      <c r="H164" s="16" t="str">
        <f aca="false">IF(A164="","",IF(AND(D164="DEV",F164="PRD"),"BYPASS: direct DEV to PRD","OK"))</f>
        <v/>
      </c>
      <c r="I164" s="15"/>
      <c r="J164" s="15"/>
    </row>
    <row r="165" customFormat="false" ht="15" hidden="false" customHeight="false" outlineLevel="0" collapsed="false">
      <c r="A165" s="15"/>
      <c r="B165" s="15"/>
      <c r="C165" s="15"/>
      <c r="D165" s="16" t="str">
        <f aca="false">IFERROR(INDEX(System_Inventory!$D$5:$D$204,MATCH(C165,System_Inventory!$A$5:$A$204,0)),"")</f>
        <v/>
      </c>
      <c r="E165" s="15"/>
      <c r="F165" s="16" t="str">
        <f aca="false">IFERROR(INDEX(System_Inventory!$D$5:$D$204,MATCH(E165,System_Inventory!$A$5:$A$204,0)),"")</f>
        <v/>
      </c>
      <c r="G165" s="15"/>
      <c r="H165" s="16" t="str">
        <f aca="false">IF(A165="","",IF(AND(D165="DEV",F165="PRD"),"BYPASS: direct DEV to PRD","OK"))</f>
        <v/>
      </c>
      <c r="I165" s="15"/>
      <c r="J165" s="15"/>
    </row>
    <row r="166" customFormat="false" ht="15" hidden="false" customHeight="false" outlineLevel="0" collapsed="false">
      <c r="A166" s="15"/>
      <c r="B166" s="15"/>
      <c r="C166" s="15"/>
      <c r="D166" s="16" t="str">
        <f aca="false">IFERROR(INDEX(System_Inventory!$D$5:$D$204,MATCH(C166,System_Inventory!$A$5:$A$204,0)),"")</f>
        <v/>
      </c>
      <c r="E166" s="15"/>
      <c r="F166" s="16" t="str">
        <f aca="false">IFERROR(INDEX(System_Inventory!$D$5:$D$204,MATCH(E166,System_Inventory!$A$5:$A$204,0)),"")</f>
        <v/>
      </c>
      <c r="G166" s="15"/>
      <c r="H166" s="16" t="str">
        <f aca="false">IF(A166="","",IF(AND(D166="DEV",F166="PRD"),"BYPASS: direct DEV to PRD","OK"))</f>
        <v/>
      </c>
      <c r="I166" s="15"/>
      <c r="J166" s="15"/>
    </row>
    <row r="167" customFormat="false" ht="15" hidden="false" customHeight="false" outlineLevel="0" collapsed="false">
      <c r="A167" s="15"/>
      <c r="B167" s="15"/>
      <c r="C167" s="15"/>
      <c r="D167" s="16" t="str">
        <f aca="false">IFERROR(INDEX(System_Inventory!$D$5:$D$204,MATCH(C167,System_Inventory!$A$5:$A$204,0)),"")</f>
        <v/>
      </c>
      <c r="E167" s="15"/>
      <c r="F167" s="16" t="str">
        <f aca="false">IFERROR(INDEX(System_Inventory!$D$5:$D$204,MATCH(E167,System_Inventory!$A$5:$A$204,0)),"")</f>
        <v/>
      </c>
      <c r="G167" s="15"/>
      <c r="H167" s="16" t="str">
        <f aca="false">IF(A167="","",IF(AND(D167="DEV",F167="PRD"),"BYPASS: direct DEV to PRD","OK"))</f>
        <v/>
      </c>
      <c r="I167" s="15"/>
      <c r="J167" s="15"/>
    </row>
    <row r="168" customFormat="false" ht="15" hidden="false" customHeight="false" outlineLevel="0" collapsed="false">
      <c r="A168" s="15"/>
      <c r="B168" s="15"/>
      <c r="C168" s="15"/>
      <c r="D168" s="16" t="str">
        <f aca="false">IFERROR(INDEX(System_Inventory!$D$5:$D$204,MATCH(C168,System_Inventory!$A$5:$A$204,0)),"")</f>
        <v/>
      </c>
      <c r="E168" s="15"/>
      <c r="F168" s="16" t="str">
        <f aca="false">IFERROR(INDEX(System_Inventory!$D$5:$D$204,MATCH(E168,System_Inventory!$A$5:$A$204,0)),"")</f>
        <v/>
      </c>
      <c r="G168" s="15"/>
      <c r="H168" s="16" t="str">
        <f aca="false">IF(A168="","",IF(AND(D168="DEV",F168="PRD"),"BYPASS: direct DEV to PRD","OK"))</f>
        <v/>
      </c>
      <c r="I168" s="15"/>
      <c r="J168" s="15"/>
    </row>
    <row r="169" customFormat="false" ht="15" hidden="false" customHeight="false" outlineLevel="0" collapsed="false">
      <c r="A169" s="15"/>
      <c r="B169" s="15"/>
      <c r="C169" s="15"/>
      <c r="D169" s="16" t="str">
        <f aca="false">IFERROR(INDEX(System_Inventory!$D$5:$D$204,MATCH(C169,System_Inventory!$A$5:$A$204,0)),"")</f>
        <v/>
      </c>
      <c r="E169" s="15"/>
      <c r="F169" s="16" t="str">
        <f aca="false">IFERROR(INDEX(System_Inventory!$D$5:$D$204,MATCH(E169,System_Inventory!$A$5:$A$204,0)),"")</f>
        <v/>
      </c>
      <c r="G169" s="15"/>
      <c r="H169" s="16" t="str">
        <f aca="false">IF(A169="","",IF(AND(D169="DEV",F169="PRD"),"BYPASS: direct DEV to PRD","OK"))</f>
        <v/>
      </c>
      <c r="I169" s="15"/>
      <c r="J169" s="15"/>
    </row>
    <row r="170" customFormat="false" ht="15" hidden="false" customHeight="false" outlineLevel="0" collapsed="false">
      <c r="A170" s="15"/>
      <c r="B170" s="15"/>
      <c r="C170" s="15"/>
      <c r="D170" s="16" t="str">
        <f aca="false">IFERROR(INDEX(System_Inventory!$D$5:$D$204,MATCH(C170,System_Inventory!$A$5:$A$204,0)),"")</f>
        <v/>
      </c>
      <c r="E170" s="15"/>
      <c r="F170" s="16" t="str">
        <f aca="false">IFERROR(INDEX(System_Inventory!$D$5:$D$204,MATCH(E170,System_Inventory!$A$5:$A$204,0)),"")</f>
        <v/>
      </c>
      <c r="G170" s="15"/>
      <c r="H170" s="16" t="str">
        <f aca="false">IF(A170="","",IF(AND(D170="DEV",F170="PRD"),"BYPASS: direct DEV to PRD","OK"))</f>
        <v/>
      </c>
      <c r="I170" s="15"/>
      <c r="J170" s="15"/>
    </row>
    <row r="171" customFormat="false" ht="15" hidden="false" customHeight="false" outlineLevel="0" collapsed="false">
      <c r="A171" s="15"/>
      <c r="B171" s="15"/>
      <c r="C171" s="15"/>
      <c r="D171" s="16" t="str">
        <f aca="false">IFERROR(INDEX(System_Inventory!$D$5:$D$204,MATCH(C171,System_Inventory!$A$5:$A$204,0)),"")</f>
        <v/>
      </c>
      <c r="E171" s="15"/>
      <c r="F171" s="16" t="str">
        <f aca="false">IFERROR(INDEX(System_Inventory!$D$5:$D$204,MATCH(E171,System_Inventory!$A$5:$A$204,0)),"")</f>
        <v/>
      </c>
      <c r="G171" s="15"/>
      <c r="H171" s="16" t="str">
        <f aca="false">IF(A171="","",IF(AND(D171="DEV",F171="PRD"),"BYPASS: direct DEV to PRD","OK"))</f>
        <v/>
      </c>
      <c r="I171" s="15"/>
      <c r="J171" s="15"/>
    </row>
    <row r="172" customFormat="false" ht="15" hidden="false" customHeight="false" outlineLevel="0" collapsed="false">
      <c r="A172" s="15"/>
      <c r="B172" s="15"/>
      <c r="C172" s="15"/>
      <c r="D172" s="16" t="str">
        <f aca="false">IFERROR(INDEX(System_Inventory!$D$5:$D$204,MATCH(C172,System_Inventory!$A$5:$A$204,0)),"")</f>
        <v/>
      </c>
      <c r="E172" s="15"/>
      <c r="F172" s="16" t="str">
        <f aca="false">IFERROR(INDEX(System_Inventory!$D$5:$D$204,MATCH(E172,System_Inventory!$A$5:$A$204,0)),"")</f>
        <v/>
      </c>
      <c r="G172" s="15"/>
      <c r="H172" s="16" t="str">
        <f aca="false">IF(A172="","",IF(AND(D172="DEV",F172="PRD"),"BYPASS: direct DEV to PRD","OK"))</f>
        <v/>
      </c>
      <c r="I172" s="15"/>
      <c r="J172" s="15"/>
    </row>
    <row r="173" customFormat="false" ht="15" hidden="false" customHeight="false" outlineLevel="0" collapsed="false">
      <c r="A173" s="15"/>
      <c r="B173" s="15"/>
      <c r="C173" s="15"/>
      <c r="D173" s="16" t="str">
        <f aca="false">IFERROR(INDEX(System_Inventory!$D$5:$D$204,MATCH(C173,System_Inventory!$A$5:$A$204,0)),"")</f>
        <v/>
      </c>
      <c r="E173" s="15"/>
      <c r="F173" s="16" t="str">
        <f aca="false">IFERROR(INDEX(System_Inventory!$D$5:$D$204,MATCH(E173,System_Inventory!$A$5:$A$204,0)),"")</f>
        <v/>
      </c>
      <c r="G173" s="15"/>
      <c r="H173" s="16" t="str">
        <f aca="false">IF(A173="","",IF(AND(D173="DEV",F173="PRD"),"BYPASS: direct DEV to PRD","OK"))</f>
        <v/>
      </c>
      <c r="I173" s="15"/>
      <c r="J173" s="15"/>
    </row>
    <row r="174" customFormat="false" ht="15" hidden="false" customHeight="false" outlineLevel="0" collapsed="false">
      <c r="A174" s="15"/>
      <c r="B174" s="15"/>
      <c r="C174" s="15"/>
      <c r="D174" s="16" t="str">
        <f aca="false">IFERROR(INDEX(System_Inventory!$D$5:$D$204,MATCH(C174,System_Inventory!$A$5:$A$204,0)),"")</f>
        <v/>
      </c>
      <c r="E174" s="15"/>
      <c r="F174" s="16" t="str">
        <f aca="false">IFERROR(INDEX(System_Inventory!$D$5:$D$204,MATCH(E174,System_Inventory!$A$5:$A$204,0)),"")</f>
        <v/>
      </c>
      <c r="G174" s="15"/>
      <c r="H174" s="16" t="str">
        <f aca="false">IF(A174="","",IF(AND(D174="DEV",F174="PRD"),"BYPASS: direct DEV to PRD","OK"))</f>
        <v/>
      </c>
      <c r="I174" s="15"/>
      <c r="J174" s="15"/>
    </row>
    <row r="175" customFormat="false" ht="15" hidden="false" customHeight="false" outlineLevel="0" collapsed="false">
      <c r="A175" s="15"/>
      <c r="B175" s="15"/>
      <c r="C175" s="15"/>
      <c r="D175" s="16" t="str">
        <f aca="false">IFERROR(INDEX(System_Inventory!$D$5:$D$204,MATCH(C175,System_Inventory!$A$5:$A$204,0)),"")</f>
        <v/>
      </c>
      <c r="E175" s="15"/>
      <c r="F175" s="16" t="str">
        <f aca="false">IFERROR(INDEX(System_Inventory!$D$5:$D$204,MATCH(E175,System_Inventory!$A$5:$A$204,0)),"")</f>
        <v/>
      </c>
      <c r="G175" s="15"/>
      <c r="H175" s="16" t="str">
        <f aca="false">IF(A175="","",IF(AND(D175="DEV",F175="PRD"),"BYPASS: direct DEV to PRD","OK"))</f>
        <v/>
      </c>
      <c r="I175" s="15"/>
      <c r="J175" s="15"/>
    </row>
    <row r="176" customFormat="false" ht="15" hidden="false" customHeight="false" outlineLevel="0" collapsed="false">
      <c r="A176" s="15"/>
      <c r="B176" s="15"/>
      <c r="C176" s="15"/>
      <c r="D176" s="16" t="str">
        <f aca="false">IFERROR(INDEX(System_Inventory!$D$5:$D$204,MATCH(C176,System_Inventory!$A$5:$A$204,0)),"")</f>
        <v/>
      </c>
      <c r="E176" s="15"/>
      <c r="F176" s="16" t="str">
        <f aca="false">IFERROR(INDEX(System_Inventory!$D$5:$D$204,MATCH(E176,System_Inventory!$A$5:$A$204,0)),"")</f>
        <v/>
      </c>
      <c r="G176" s="15"/>
      <c r="H176" s="16" t="str">
        <f aca="false">IF(A176="","",IF(AND(D176="DEV",F176="PRD"),"BYPASS: direct DEV to PRD","OK"))</f>
        <v/>
      </c>
      <c r="I176" s="15"/>
      <c r="J176" s="15"/>
    </row>
    <row r="177" customFormat="false" ht="15" hidden="false" customHeight="false" outlineLevel="0" collapsed="false">
      <c r="A177" s="15"/>
      <c r="B177" s="15"/>
      <c r="C177" s="15"/>
      <c r="D177" s="16" t="str">
        <f aca="false">IFERROR(INDEX(System_Inventory!$D$5:$D$204,MATCH(C177,System_Inventory!$A$5:$A$204,0)),"")</f>
        <v/>
      </c>
      <c r="E177" s="15"/>
      <c r="F177" s="16" t="str">
        <f aca="false">IFERROR(INDEX(System_Inventory!$D$5:$D$204,MATCH(E177,System_Inventory!$A$5:$A$204,0)),"")</f>
        <v/>
      </c>
      <c r="G177" s="15"/>
      <c r="H177" s="16" t="str">
        <f aca="false">IF(A177="","",IF(AND(D177="DEV",F177="PRD"),"BYPASS: direct DEV to PRD","OK"))</f>
        <v/>
      </c>
      <c r="I177" s="15"/>
      <c r="J177" s="15"/>
    </row>
    <row r="178" customFormat="false" ht="15" hidden="false" customHeight="false" outlineLevel="0" collapsed="false">
      <c r="A178" s="15"/>
      <c r="B178" s="15"/>
      <c r="C178" s="15"/>
      <c r="D178" s="16" t="str">
        <f aca="false">IFERROR(INDEX(System_Inventory!$D$5:$D$204,MATCH(C178,System_Inventory!$A$5:$A$204,0)),"")</f>
        <v/>
      </c>
      <c r="E178" s="15"/>
      <c r="F178" s="16" t="str">
        <f aca="false">IFERROR(INDEX(System_Inventory!$D$5:$D$204,MATCH(E178,System_Inventory!$A$5:$A$204,0)),"")</f>
        <v/>
      </c>
      <c r="G178" s="15"/>
      <c r="H178" s="16" t="str">
        <f aca="false">IF(A178="","",IF(AND(D178="DEV",F178="PRD"),"BYPASS: direct DEV to PRD","OK"))</f>
        <v/>
      </c>
      <c r="I178" s="15"/>
      <c r="J178" s="15"/>
    </row>
    <row r="179" customFormat="false" ht="15" hidden="false" customHeight="false" outlineLevel="0" collapsed="false">
      <c r="A179" s="15"/>
      <c r="B179" s="15"/>
      <c r="C179" s="15"/>
      <c r="D179" s="16" t="str">
        <f aca="false">IFERROR(INDEX(System_Inventory!$D$5:$D$204,MATCH(C179,System_Inventory!$A$5:$A$204,0)),"")</f>
        <v/>
      </c>
      <c r="E179" s="15"/>
      <c r="F179" s="16" t="str">
        <f aca="false">IFERROR(INDEX(System_Inventory!$D$5:$D$204,MATCH(E179,System_Inventory!$A$5:$A$204,0)),"")</f>
        <v/>
      </c>
      <c r="G179" s="15"/>
      <c r="H179" s="16" t="str">
        <f aca="false">IF(A179="","",IF(AND(D179="DEV",F179="PRD"),"BYPASS: direct DEV to PRD","OK"))</f>
        <v/>
      </c>
      <c r="I179" s="15"/>
      <c r="J179" s="15"/>
    </row>
    <row r="180" customFormat="false" ht="15" hidden="false" customHeight="false" outlineLevel="0" collapsed="false">
      <c r="A180" s="15"/>
      <c r="B180" s="15"/>
      <c r="C180" s="15"/>
      <c r="D180" s="16" t="str">
        <f aca="false">IFERROR(INDEX(System_Inventory!$D$5:$D$204,MATCH(C180,System_Inventory!$A$5:$A$204,0)),"")</f>
        <v/>
      </c>
      <c r="E180" s="15"/>
      <c r="F180" s="16" t="str">
        <f aca="false">IFERROR(INDEX(System_Inventory!$D$5:$D$204,MATCH(E180,System_Inventory!$A$5:$A$204,0)),"")</f>
        <v/>
      </c>
      <c r="G180" s="15"/>
      <c r="H180" s="16" t="str">
        <f aca="false">IF(A180="","",IF(AND(D180="DEV",F180="PRD"),"BYPASS: direct DEV to PRD","OK"))</f>
        <v/>
      </c>
      <c r="I180" s="15"/>
      <c r="J180" s="15"/>
    </row>
    <row r="181" customFormat="false" ht="15" hidden="false" customHeight="false" outlineLevel="0" collapsed="false">
      <c r="A181" s="15"/>
      <c r="B181" s="15"/>
      <c r="C181" s="15"/>
      <c r="D181" s="16" t="str">
        <f aca="false">IFERROR(INDEX(System_Inventory!$D$5:$D$204,MATCH(C181,System_Inventory!$A$5:$A$204,0)),"")</f>
        <v/>
      </c>
      <c r="E181" s="15"/>
      <c r="F181" s="16" t="str">
        <f aca="false">IFERROR(INDEX(System_Inventory!$D$5:$D$204,MATCH(E181,System_Inventory!$A$5:$A$204,0)),"")</f>
        <v/>
      </c>
      <c r="G181" s="15"/>
      <c r="H181" s="16" t="str">
        <f aca="false">IF(A181="","",IF(AND(D181="DEV",F181="PRD"),"BYPASS: direct DEV to PRD","OK"))</f>
        <v/>
      </c>
      <c r="I181" s="15"/>
      <c r="J181" s="15"/>
    </row>
    <row r="182" customFormat="false" ht="15" hidden="false" customHeight="false" outlineLevel="0" collapsed="false">
      <c r="A182" s="15"/>
      <c r="B182" s="15"/>
      <c r="C182" s="15"/>
      <c r="D182" s="16" t="str">
        <f aca="false">IFERROR(INDEX(System_Inventory!$D$5:$D$204,MATCH(C182,System_Inventory!$A$5:$A$204,0)),"")</f>
        <v/>
      </c>
      <c r="E182" s="15"/>
      <c r="F182" s="16" t="str">
        <f aca="false">IFERROR(INDEX(System_Inventory!$D$5:$D$204,MATCH(E182,System_Inventory!$A$5:$A$204,0)),"")</f>
        <v/>
      </c>
      <c r="G182" s="15"/>
      <c r="H182" s="16" t="str">
        <f aca="false">IF(A182="","",IF(AND(D182="DEV",F182="PRD"),"BYPASS: direct DEV to PRD","OK"))</f>
        <v/>
      </c>
      <c r="I182" s="15"/>
      <c r="J182" s="15"/>
    </row>
    <row r="183" customFormat="false" ht="15" hidden="false" customHeight="false" outlineLevel="0" collapsed="false">
      <c r="A183" s="15"/>
      <c r="B183" s="15"/>
      <c r="C183" s="15"/>
      <c r="D183" s="16" t="str">
        <f aca="false">IFERROR(INDEX(System_Inventory!$D$5:$D$204,MATCH(C183,System_Inventory!$A$5:$A$204,0)),"")</f>
        <v/>
      </c>
      <c r="E183" s="15"/>
      <c r="F183" s="16" t="str">
        <f aca="false">IFERROR(INDEX(System_Inventory!$D$5:$D$204,MATCH(E183,System_Inventory!$A$5:$A$204,0)),"")</f>
        <v/>
      </c>
      <c r="G183" s="15"/>
      <c r="H183" s="16" t="str">
        <f aca="false">IF(A183="","",IF(AND(D183="DEV",F183="PRD"),"BYPASS: direct DEV to PRD","OK"))</f>
        <v/>
      </c>
      <c r="I183" s="15"/>
      <c r="J183" s="15"/>
    </row>
    <row r="184" customFormat="false" ht="15" hidden="false" customHeight="false" outlineLevel="0" collapsed="false">
      <c r="A184" s="15"/>
      <c r="B184" s="15"/>
      <c r="C184" s="15"/>
      <c r="D184" s="16" t="str">
        <f aca="false">IFERROR(INDEX(System_Inventory!$D$5:$D$204,MATCH(C184,System_Inventory!$A$5:$A$204,0)),"")</f>
        <v/>
      </c>
      <c r="E184" s="15"/>
      <c r="F184" s="16" t="str">
        <f aca="false">IFERROR(INDEX(System_Inventory!$D$5:$D$204,MATCH(E184,System_Inventory!$A$5:$A$204,0)),"")</f>
        <v/>
      </c>
      <c r="G184" s="15"/>
      <c r="H184" s="16" t="str">
        <f aca="false">IF(A184="","",IF(AND(D184="DEV",F184="PRD"),"BYPASS: direct DEV to PRD","OK"))</f>
        <v/>
      </c>
      <c r="I184" s="15"/>
      <c r="J184" s="15"/>
    </row>
    <row r="185" customFormat="false" ht="15" hidden="false" customHeight="false" outlineLevel="0" collapsed="false">
      <c r="A185" s="15"/>
      <c r="B185" s="15"/>
      <c r="C185" s="15"/>
      <c r="D185" s="16" t="str">
        <f aca="false">IFERROR(INDEX(System_Inventory!$D$5:$D$204,MATCH(C185,System_Inventory!$A$5:$A$204,0)),"")</f>
        <v/>
      </c>
      <c r="E185" s="15"/>
      <c r="F185" s="16" t="str">
        <f aca="false">IFERROR(INDEX(System_Inventory!$D$5:$D$204,MATCH(E185,System_Inventory!$A$5:$A$204,0)),"")</f>
        <v/>
      </c>
      <c r="G185" s="15"/>
      <c r="H185" s="16" t="str">
        <f aca="false">IF(A185="","",IF(AND(D185="DEV",F185="PRD"),"BYPASS: direct DEV to PRD","OK"))</f>
        <v/>
      </c>
      <c r="I185" s="15"/>
      <c r="J185" s="15"/>
    </row>
    <row r="186" customFormat="false" ht="15" hidden="false" customHeight="false" outlineLevel="0" collapsed="false">
      <c r="A186" s="15"/>
      <c r="B186" s="15"/>
      <c r="C186" s="15"/>
      <c r="D186" s="16" t="str">
        <f aca="false">IFERROR(INDEX(System_Inventory!$D$5:$D$204,MATCH(C186,System_Inventory!$A$5:$A$204,0)),"")</f>
        <v/>
      </c>
      <c r="E186" s="15"/>
      <c r="F186" s="16" t="str">
        <f aca="false">IFERROR(INDEX(System_Inventory!$D$5:$D$204,MATCH(E186,System_Inventory!$A$5:$A$204,0)),"")</f>
        <v/>
      </c>
      <c r="G186" s="15"/>
      <c r="H186" s="16" t="str">
        <f aca="false">IF(A186="","",IF(AND(D186="DEV",F186="PRD"),"BYPASS: direct DEV to PRD","OK"))</f>
        <v/>
      </c>
      <c r="I186" s="15"/>
      <c r="J186" s="15"/>
    </row>
    <row r="187" customFormat="false" ht="15" hidden="false" customHeight="false" outlineLevel="0" collapsed="false">
      <c r="A187" s="15"/>
      <c r="B187" s="15"/>
      <c r="C187" s="15"/>
      <c r="D187" s="16" t="str">
        <f aca="false">IFERROR(INDEX(System_Inventory!$D$5:$D$204,MATCH(C187,System_Inventory!$A$5:$A$204,0)),"")</f>
        <v/>
      </c>
      <c r="E187" s="15"/>
      <c r="F187" s="16" t="str">
        <f aca="false">IFERROR(INDEX(System_Inventory!$D$5:$D$204,MATCH(E187,System_Inventory!$A$5:$A$204,0)),"")</f>
        <v/>
      </c>
      <c r="G187" s="15"/>
      <c r="H187" s="16" t="str">
        <f aca="false">IF(A187="","",IF(AND(D187="DEV",F187="PRD"),"BYPASS: direct DEV to PRD","OK"))</f>
        <v/>
      </c>
      <c r="I187" s="15"/>
      <c r="J187" s="15"/>
    </row>
    <row r="188" customFormat="false" ht="15" hidden="false" customHeight="false" outlineLevel="0" collapsed="false">
      <c r="A188" s="15"/>
      <c r="B188" s="15"/>
      <c r="C188" s="15"/>
      <c r="D188" s="16" t="str">
        <f aca="false">IFERROR(INDEX(System_Inventory!$D$5:$D$204,MATCH(C188,System_Inventory!$A$5:$A$204,0)),"")</f>
        <v/>
      </c>
      <c r="E188" s="15"/>
      <c r="F188" s="16" t="str">
        <f aca="false">IFERROR(INDEX(System_Inventory!$D$5:$D$204,MATCH(E188,System_Inventory!$A$5:$A$204,0)),"")</f>
        <v/>
      </c>
      <c r="G188" s="15"/>
      <c r="H188" s="16" t="str">
        <f aca="false">IF(A188="","",IF(AND(D188="DEV",F188="PRD"),"BYPASS: direct DEV to PRD","OK"))</f>
        <v/>
      </c>
      <c r="I188" s="15"/>
      <c r="J188" s="15"/>
    </row>
    <row r="189" customFormat="false" ht="15" hidden="false" customHeight="false" outlineLevel="0" collapsed="false">
      <c r="A189" s="15"/>
      <c r="B189" s="15"/>
      <c r="C189" s="15"/>
      <c r="D189" s="16" t="str">
        <f aca="false">IFERROR(INDEX(System_Inventory!$D$5:$D$204,MATCH(C189,System_Inventory!$A$5:$A$204,0)),"")</f>
        <v/>
      </c>
      <c r="E189" s="15"/>
      <c r="F189" s="16" t="str">
        <f aca="false">IFERROR(INDEX(System_Inventory!$D$5:$D$204,MATCH(E189,System_Inventory!$A$5:$A$204,0)),"")</f>
        <v/>
      </c>
      <c r="G189" s="15"/>
      <c r="H189" s="16" t="str">
        <f aca="false">IF(A189="","",IF(AND(D189="DEV",F189="PRD"),"BYPASS: direct DEV to PRD","OK"))</f>
        <v/>
      </c>
      <c r="I189" s="15"/>
      <c r="J189" s="15"/>
    </row>
    <row r="190" customFormat="false" ht="15" hidden="false" customHeight="false" outlineLevel="0" collapsed="false">
      <c r="A190" s="15"/>
      <c r="B190" s="15"/>
      <c r="C190" s="15"/>
      <c r="D190" s="16" t="str">
        <f aca="false">IFERROR(INDEX(System_Inventory!$D$5:$D$204,MATCH(C190,System_Inventory!$A$5:$A$204,0)),"")</f>
        <v/>
      </c>
      <c r="E190" s="15"/>
      <c r="F190" s="16" t="str">
        <f aca="false">IFERROR(INDEX(System_Inventory!$D$5:$D$204,MATCH(E190,System_Inventory!$A$5:$A$204,0)),"")</f>
        <v/>
      </c>
      <c r="G190" s="15"/>
      <c r="H190" s="16" t="str">
        <f aca="false">IF(A190="","",IF(AND(D190="DEV",F190="PRD"),"BYPASS: direct DEV to PRD","OK"))</f>
        <v/>
      </c>
      <c r="I190" s="15"/>
      <c r="J190" s="15"/>
    </row>
    <row r="191" customFormat="false" ht="15" hidden="false" customHeight="false" outlineLevel="0" collapsed="false">
      <c r="A191" s="15"/>
      <c r="B191" s="15"/>
      <c r="C191" s="15"/>
      <c r="D191" s="16" t="str">
        <f aca="false">IFERROR(INDEX(System_Inventory!$D$5:$D$204,MATCH(C191,System_Inventory!$A$5:$A$204,0)),"")</f>
        <v/>
      </c>
      <c r="E191" s="15"/>
      <c r="F191" s="16" t="str">
        <f aca="false">IFERROR(INDEX(System_Inventory!$D$5:$D$204,MATCH(E191,System_Inventory!$A$5:$A$204,0)),"")</f>
        <v/>
      </c>
      <c r="G191" s="15"/>
      <c r="H191" s="16" t="str">
        <f aca="false">IF(A191="","",IF(AND(D191="DEV",F191="PRD"),"BYPASS: direct DEV to PRD","OK"))</f>
        <v/>
      </c>
      <c r="I191" s="15"/>
      <c r="J191" s="15"/>
    </row>
    <row r="192" customFormat="false" ht="15" hidden="false" customHeight="false" outlineLevel="0" collapsed="false">
      <c r="A192" s="15"/>
      <c r="B192" s="15"/>
      <c r="C192" s="15"/>
      <c r="D192" s="16" t="str">
        <f aca="false">IFERROR(INDEX(System_Inventory!$D$5:$D$204,MATCH(C192,System_Inventory!$A$5:$A$204,0)),"")</f>
        <v/>
      </c>
      <c r="E192" s="15"/>
      <c r="F192" s="16" t="str">
        <f aca="false">IFERROR(INDEX(System_Inventory!$D$5:$D$204,MATCH(E192,System_Inventory!$A$5:$A$204,0)),"")</f>
        <v/>
      </c>
      <c r="G192" s="15"/>
      <c r="H192" s="16" t="str">
        <f aca="false">IF(A192="","",IF(AND(D192="DEV",F192="PRD"),"BYPASS: direct DEV to PRD","OK"))</f>
        <v/>
      </c>
      <c r="I192" s="15"/>
      <c r="J192" s="15"/>
    </row>
    <row r="193" customFormat="false" ht="15" hidden="false" customHeight="false" outlineLevel="0" collapsed="false">
      <c r="A193" s="15"/>
      <c r="B193" s="15"/>
      <c r="C193" s="15"/>
      <c r="D193" s="16" t="str">
        <f aca="false">IFERROR(INDEX(System_Inventory!$D$5:$D$204,MATCH(C193,System_Inventory!$A$5:$A$204,0)),"")</f>
        <v/>
      </c>
      <c r="E193" s="15"/>
      <c r="F193" s="16" t="str">
        <f aca="false">IFERROR(INDEX(System_Inventory!$D$5:$D$204,MATCH(E193,System_Inventory!$A$5:$A$204,0)),"")</f>
        <v/>
      </c>
      <c r="G193" s="15"/>
      <c r="H193" s="16" t="str">
        <f aca="false">IF(A193="","",IF(AND(D193="DEV",F193="PRD"),"BYPASS: direct DEV to PRD","OK"))</f>
        <v/>
      </c>
      <c r="I193" s="15"/>
      <c r="J193" s="15"/>
    </row>
    <row r="194" customFormat="false" ht="15" hidden="false" customHeight="false" outlineLevel="0" collapsed="false">
      <c r="A194" s="15"/>
      <c r="B194" s="15"/>
      <c r="C194" s="15"/>
      <c r="D194" s="16" t="str">
        <f aca="false">IFERROR(INDEX(System_Inventory!$D$5:$D$204,MATCH(C194,System_Inventory!$A$5:$A$204,0)),"")</f>
        <v/>
      </c>
      <c r="E194" s="15"/>
      <c r="F194" s="16" t="str">
        <f aca="false">IFERROR(INDEX(System_Inventory!$D$5:$D$204,MATCH(E194,System_Inventory!$A$5:$A$204,0)),"")</f>
        <v/>
      </c>
      <c r="G194" s="15"/>
      <c r="H194" s="16" t="str">
        <f aca="false">IF(A194="","",IF(AND(D194="DEV",F194="PRD"),"BYPASS: direct DEV to PRD","OK"))</f>
        <v/>
      </c>
      <c r="I194" s="15"/>
      <c r="J194" s="15"/>
    </row>
    <row r="195" customFormat="false" ht="15" hidden="false" customHeight="false" outlineLevel="0" collapsed="false">
      <c r="A195" s="15"/>
      <c r="B195" s="15"/>
      <c r="C195" s="15"/>
      <c r="D195" s="16" t="str">
        <f aca="false">IFERROR(INDEX(System_Inventory!$D$5:$D$204,MATCH(C195,System_Inventory!$A$5:$A$204,0)),"")</f>
        <v/>
      </c>
      <c r="E195" s="15"/>
      <c r="F195" s="16" t="str">
        <f aca="false">IFERROR(INDEX(System_Inventory!$D$5:$D$204,MATCH(E195,System_Inventory!$A$5:$A$204,0)),"")</f>
        <v/>
      </c>
      <c r="G195" s="15"/>
      <c r="H195" s="16" t="str">
        <f aca="false">IF(A195="","",IF(AND(D195="DEV",F195="PRD"),"BYPASS: direct DEV to PRD","OK"))</f>
        <v/>
      </c>
      <c r="I195" s="15"/>
      <c r="J195" s="15"/>
    </row>
    <row r="196" customFormat="false" ht="15" hidden="false" customHeight="false" outlineLevel="0" collapsed="false">
      <c r="A196" s="15"/>
      <c r="B196" s="15"/>
      <c r="C196" s="15"/>
      <c r="D196" s="16" t="str">
        <f aca="false">IFERROR(INDEX(System_Inventory!$D$5:$D$204,MATCH(C196,System_Inventory!$A$5:$A$204,0)),"")</f>
        <v/>
      </c>
      <c r="E196" s="15"/>
      <c r="F196" s="16" t="str">
        <f aca="false">IFERROR(INDEX(System_Inventory!$D$5:$D$204,MATCH(E196,System_Inventory!$A$5:$A$204,0)),"")</f>
        <v/>
      </c>
      <c r="G196" s="15"/>
      <c r="H196" s="16" t="str">
        <f aca="false">IF(A196="","",IF(AND(D196="DEV",F196="PRD"),"BYPASS: direct DEV to PRD","OK"))</f>
        <v/>
      </c>
      <c r="I196" s="15"/>
      <c r="J196" s="15"/>
    </row>
    <row r="197" customFormat="false" ht="15" hidden="false" customHeight="false" outlineLevel="0" collapsed="false">
      <c r="A197" s="15"/>
      <c r="B197" s="15"/>
      <c r="C197" s="15"/>
      <c r="D197" s="16" t="str">
        <f aca="false">IFERROR(INDEX(System_Inventory!$D$5:$D$204,MATCH(C197,System_Inventory!$A$5:$A$204,0)),"")</f>
        <v/>
      </c>
      <c r="E197" s="15"/>
      <c r="F197" s="16" t="str">
        <f aca="false">IFERROR(INDEX(System_Inventory!$D$5:$D$204,MATCH(E197,System_Inventory!$A$5:$A$204,0)),"")</f>
        <v/>
      </c>
      <c r="G197" s="15"/>
      <c r="H197" s="16" t="str">
        <f aca="false">IF(A197="","",IF(AND(D197="DEV",F197="PRD"),"BYPASS: direct DEV to PRD","OK"))</f>
        <v/>
      </c>
      <c r="I197" s="15"/>
      <c r="J197" s="15"/>
    </row>
    <row r="198" customFormat="false" ht="15" hidden="false" customHeight="false" outlineLevel="0" collapsed="false">
      <c r="A198" s="15"/>
      <c r="B198" s="15"/>
      <c r="C198" s="15"/>
      <c r="D198" s="16" t="str">
        <f aca="false">IFERROR(INDEX(System_Inventory!$D$5:$D$204,MATCH(C198,System_Inventory!$A$5:$A$204,0)),"")</f>
        <v/>
      </c>
      <c r="E198" s="15"/>
      <c r="F198" s="16" t="str">
        <f aca="false">IFERROR(INDEX(System_Inventory!$D$5:$D$204,MATCH(E198,System_Inventory!$A$5:$A$204,0)),"")</f>
        <v/>
      </c>
      <c r="G198" s="15"/>
      <c r="H198" s="16" t="str">
        <f aca="false">IF(A198="","",IF(AND(D198="DEV",F198="PRD"),"BYPASS: direct DEV to PRD","OK"))</f>
        <v/>
      </c>
      <c r="I198" s="15"/>
      <c r="J198" s="15"/>
    </row>
    <row r="199" customFormat="false" ht="15" hidden="false" customHeight="false" outlineLevel="0" collapsed="false">
      <c r="A199" s="15"/>
      <c r="B199" s="15"/>
      <c r="C199" s="15"/>
      <c r="D199" s="16" t="str">
        <f aca="false">IFERROR(INDEX(System_Inventory!$D$5:$D$204,MATCH(C199,System_Inventory!$A$5:$A$204,0)),"")</f>
        <v/>
      </c>
      <c r="E199" s="15"/>
      <c r="F199" s="16" t="str">
        <f aca="false">IFERROR(INDEX(System_Inventory!$D$5:$D$204,MATCH(E199,System_Inventory!$A$5:$A$204,0)),"")</f>
        <v/>
      </c>
      <c r="G199" s="15"/>
      <c r="H199" s="16" t="str">
        <f aca="false">IF(A199="","",IF(AND(D199="DEV",F199="PRD"),"BYPASS: direct DEV to PRD","OK"))</f>
        <v/>
      </c>
      <c r="I199" s="15"/>
      <c r="J199" s="15"/>
    </row>
    <row r="200" customFormat="false" ht="15" hidden="false" customHeight="false" outlineLevel="0" collapsed="false">
      <c r="A200" s="15"/>
      <c r="B200" s="15"/>
      <c r="C200" s="15"/>
      <c r="D200" s="16" t="str">
        <f aca="false">IFERROR(INDEX(System_Inventory!$D$5:$D$204,MATCH(C200,System_Inventory!$A$5:$A$204,0)),"")</f>
        <v/>
      </c>
      <c r="E200" s="15"/>
      <c r="F200" s="16" t="str">
        <f aca="false">IFERROR(INDEX(System_Inventory!$D$5:$D$204,MATCH(E200,System_Inventory!$A$5:$A$204,0)),"")</f>
        <v/>
      </c>
      <c r="G200" s="15"/>
      <c r="H200" s="16" t="str">
        <f aca="false">IF(A200="","",IF(AND(D200="DEV",F200="PRD"),"BYPASS: direct DEV to PRD","OK"))</f>
        <v/>
      </c>
      <c r="I200" s="15"/>
      <c r="J200" s="15"/>
    </row>
    <row r="201" customFormat="false" ht="15" hidden="false" customHeight="false" outlineLevel="0" collapsed="false">
      <c r="A201" s="15"/>
      <c r="B201" s="15"/>
      <c r="C201" s="15"/>
      <c r="D201" s="16" t="str">
        <f aca="false">IFERROR(INDEX(System_Inventory!$D$5:$D$204,MATCH(C201,System_Inventory!$A$5:$A$204,0)),"")</f>
        <v/>
      </c>
      <c r="E201" s="15"/>
      <c r="F201" s="16" t="str">
        <f aca="false">IFERROR(INDEX(System_Inventory!$D$5:$D$204,MATCH(E201,System_Inventory!$A$5:$A$204,0)),"")</f>
        <v/>
      </c>
      <c r="G201" s="15"/>
      <c r="H201" s="16" t="str">
        <f aca="false">IF(A201="","",IF(AND(D201="DEV",F201="PRD"),"BYPASS: direct DEV to PRD","OK"))</f>
        <v/>
      </c>
      <c r="I201" s="15"/>
      <c r="J201" s="15"/>
    </row>
    <row r="202" customFormat="false" ht="15" hidden="false" customHeight="false" outlineLevel="0" collapsed="false">
      <c r="A202" s="15"/>
      <c r="B202" s="15"/>
      <c r="C202" s="15"/>
      <c r="D202" s="16" t="str">
        <f aca="false">IFERROR(INDEX(System_Inventory!$D$5:$D$204,MATCH(C202,System_Inventory!$A$5:$A$204,0)),"")</f>
        <v/>
      </c>
      <c r="E202" s="15"/>
      <c r="F202" s="16" t="str">
        <f aca="false">IFERROR(INDEX(System_Inventory!$D$5:$D$204,MATCH(E202,System_Inventory!$A$5:$A$204,0)),"")</f>
        <v/>
      </c>
      <c r="G202" s="15"/>
      <c r="H202" s="16" t="str">
        <f aca="false">IF(A202="","",IF(AND(D202="DEV",F202="PRD"),"BYPASS: direct DEV to PRD","OK"))</f>
        <v/>
      </c>
      <c r="I202" s="15"/>
      <c r="J202" s="15"/>
    </row>
    <row r="203" customFormat="false" ht="15" hidden="false" customHeight="false" outlineLevel="0" collapsed="false">
      <c r="A203" s="15"/>
      <c r="B203" s="15"/>
      <c r="C203" s="15"/>
      <c r="D203" s="16" t="str">
        <f aca="false">IFERROR(INDEX(System_Inventory!$D$5:$D$204,MATCH(C203,System_Inventory!$A$5:$A$204,0)),"")</f>
        <v/>
      </c>
      <c r="E203" s="15"/>
      <c r="F203" s="16" t="str">
        <f aca="false">IFERROR(INDEX(System_Inventory!$D$5:$D$204,MATCH(E203,System_Inventory!$A$5:$A$204,0)),"")</f>
        <v/>
      </c>
      <c r="G203" s="15"/>
      <c r="H203" s="16" t="str">
        <f aca="false">IF(A203="","",IF(AND(D203="DEV",F203="PRD"),"BYPASS: direct DEV to PRD","OK"))</f>
        <v/>
      </c>
      <c r="I203" s="15"/>
      <c r="J203" s="15"/>
    </row>
    <row r="204" customFormat="false" ht="15" hidden="false" customHeight="false" outlineLevel="0" collapsed="false">
      <c r="A204" s="15"/>
      <c r="B204" s="15"/>
      <c r="C204" s="15"/>
      <c r="D204" s="16" t="str">
        <f aca="false">IFERROR(INDEX(System_Inventory!$D$5:$D$204,MATCH(C204,System_Inventory!$A$5:$A$204,0)),"")</f>
        <v/>
      </c>
      <c r="E204" s="15"/>
      <c r="F204" s="16" t="str">
        <f aca="false">IFERROR(INDEX(System_Inventory!$D$5:$D$204,MATCH(E204,System_Inventory!$A$5:$A$204,0)),"")</f>
        <v/>
      </c>
      <c r="G204" s="15"/>
      <c r="H204" s="16" t="str">
        <f aca="false">IF(A204="","",IF(AND(D204="DEV",F204="PRD"),"BYPASS: direct DEV to PRD","OK"))</f>
        <v/>
      </c>
      <c r="I204" s="15"/>
      <c r="J204" s="15"/>
    </row>
  </sheetData>
  <autoFilter ref="A4:J204"/>
  <dataValidations count="3">
    <dataValidation allowBlank="true" error="Pick a value from the list." errorStyle="stop" operator="between" showDropDown="false" showErrorMessage="true" showInputMessage="false" sqref="C5:C204" type="list">
      <formula1>System_Inventory!$A$5:$A$204</formula1>
      <formula2>0</formula2>
    </dataValidation>
    <dataValidation allowBlank="true" error="Pick a value from the list." errorStyle="stop" operator="between" showDropDown="false" showErrorMessage="true" showInputMessage="false" sqref="E5:E204" type="list">
      <formula1>System_Inventory!$A$5:$A$204</formula1>
      <formula2>0</formula2>
    </dataValidation>
    <dataValidation allowBlank="true" error="Pick a value from the list." errorStyle="stop" operator="between" showDropDown="false" showErrorMessage="true" showInputMessage="false" sqref="G5:G204" type="list">
      <formula1>Lists!$H$2:$H$3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50"/>
    <col collapsed="false" customWidth="true" hidden="false" outlineLevel="0" max="4" min="4" style="0" width="18"/>
    <col collapsed="false" customWidth="true" hidden="false" outlineLevel="0" max="6" min="5" style="0" width="12"/>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9" t="s">
        <v>183</v>
      </c>
    </row>
    <row r="2" customFormat="false" ht="15" hidden="false" customHeight="false" outlineLevel="0" collapsed="false">
      <c r="A2" s="10" t="s">
        <v>184</v>
      </c>
    </row>
    <row r="4" customFormat="false" ht="31.5" hidden="false" customHeight="true" outlineLevel="0" collapsed="false">
      <c r="A4" s="11" t="s">
        <v>129</v>
      </c>
      <c r="B4" s="11" t="s">
        <v>132</v>
      </c>
      <c r="C4" s="11" t="s">
        <v>135</v>
      </c>
      <c r="D4" s="11" t="s">
        <v>97</v>
      </c>
      <c r="E4" s="11" t="s">
        <v>138</v>
      </c>
      <c r="F4" s="11" t="s">
        <v>141</v>
      </c>
      <c r="G4" s="11" t="s">
        <v>143</v>
      </c>
      <c r="H4" s="11" t="s">
        <v>146</v>
      </c>
    </row>
    <row r="5" customFormat="false" ht="15" hidden="false" customHeight="false" outlineLevel="0" collapsed="false">
      <c r="A5" s="13" t="s">
        <v>185</v>
      </c>
      <c r="B5" s="13" t="s">
        <v>186</v>
      </c>
      <c r="C5" s="13" t="s">
        <v>187</v>
      </c>
      <c r="D5" s="13" t="s">
        <v>163</v>
      </c>
      <c r="E5" s="17"/>
      <c r="F5" s="17"/>
      <c r="G5" s="13" t="s">
        <v>188</v>
      </c>
      <c r="H5" s="13"/>
    </row>
    <row r="6" customFormat="false" ht="15" hidden="false" customHeight="false" outlineLevel="0" collapsed="false">
      <c r="A6" s="15"/>
      <c r="B6" s="15"/>
      <c r="C6" s="15"/>
      <c r="D6" s="15"/>
      <c r="E6" s="18"/>
      <c r="F6" s="18"/>
      <c r="G6" s="15"/>
      <c r="H6" s="15"/>
    </row>
    <row r="7" customFormat="false" ht="15" hidden="false" customHeight="false" outlineLevel="0" collapsed="false">
      <c r="A7" s="15"/>
      <c r="B7" s="15"/>
      <c r="C7" s="15"/>
      <c r="D7" s="15"/>
      <c r="E7" s="18"/>
      <c r="F7" s="18"/>
      <c r="G7" s="15"/>
      <c r="H7" s="15"/>
    </row>
    <row r="8" customFormat="false" ht="15" hidden="false" customHeight="false" outlineLevel="0" collapsed="false">
      <c r="A8" s="15"/>
      <c r="B8" s="15"/>
      <c r="C8" s="15"/>
      <c r="D8" s="15"/>
      <c r="E8" s="18"/>
      <c r="F8" s="18"/>
      <c r="G8" s="15"/>
      <c r="H8" s="15"/>
    </row>
    <row r="9" customFormat="false" ht="15" hidden="false" customHeight="false" outlineLevel="0" collapsed="false">
      <c r="A9" s="15"/>
      <c r="B9" s="15"/>
      <c r="C9" s="15"/>
      <c r="D9" s="15"/>
      <c r="E9" s="18"/>
      <c r="F9" s="18"/>
      <c r="G9" s="15"/>
      <c r="H9" s="15"/>
    </row>
    <row r="10" customFormat="false" ht="15" hidden="false" customHeight="false" outlineLevel="0" collapsed="false">
      <c r="A10" s="15"/>
      <c r="B10" s="15"/>
      <c r="C10" s="15"/>
      <c r="D10" s="15"/>
      <c r="E10" s="18"/>
      <c r="F10" s="18"/>
      <c r="G10" s="15"/>
      <c r="H10" s="15"/>
    </row>
    <row r="11" customFormat="false" ht="15" hidden="false" customHeight="false" outlineLevel="0" collapsed="false">
      <c r="A11" s="15"/>
      <c r="B11" s="15"/>
      <c r="C11" s="15"/>
      <c r="D11" s="15"/>
      <c r="E11" s="18"/>
      <c r="F11" s="18"/>
      <c r="G11" s="15"/>
      <c r="H11" s="15"/>
    </row>
    <row r="12" customFormat="false" ht="15" hidden="false" customHeight="false" outlineLevel="0" collapsed="false">
      <c r="A12" s="15"/>
      <c r="B12" s="15"/>
      <c r="C12" s="15"/>
      <c r="D12" s="15"/>
      <c r="E12" s="18"/>
      <c r="F12" s="18"/>
      <c r="G12" s="15"/>
      <c r="H12" s="15"/>
    </row>
    <row r="13" customFormat="false" ht="15" hidden="false" customHeight="false" outlineLevel="0" collapsed="false">
      <c r="A13" s="15"/>
      <c r="B13" s="15"/>
      <c r="C13" s="15"/>
      <c r="D13" s="15"/>
      <c r="E13" s="18"/>
      <c r="F13" s="18"/>
      <c r="G13" s="15"/>
      <c r="H13" s="15"/>
    </row>
    <row r="14" customFormat="false" ht="15" hidden="false" customHeight="false" outlineLevel="0" collapsed="false">
      <c r="A14" s="15"/>
      <c r="B14" s="15"/>
      <c r="C14" s="15"/>
      <c r="D14" s="15"/>
      <c r="E14" s="18"/>
      <c r="F14" s="18"/>
      <c r="G14" s="15"/>
      <c r="H14" s="15"/>
    </row>
    <row r="15" customFormat="false" ht="15" hidden="false" customHeight="false" outlineLevel="0" collapsed="false">
      <c r="A15" s="15"/>
      <c r="B15" s="15"/>
      <c r="C15" s="15"/>
      <c r="D15" s="15"/>
      <c r="E15" s="18"/>
      <c r="F15" s="18"/>
      <c r="G15" s="15"/>
      <c r="H15" s="15"/>
    </row>
    <row r="16" customFormat="false" ht="15" hidden="false" customHeight="false" outlineLevel="0" collapsed="false">
      <c r="A16" s="15"/>
      <c r="B16" s="15"/>
      <c r="C16" s="15"/>
      <c r="D16" s="15"/>
      <c r="E16" s="18"/>
      <c r="F16" s="18"/>
      <c r="G16" s="15"/>
      <c r="H16" s="15"/>
    </row>
    <row r="17" customFormat="false" ht="15" hidden="false" customHeight="false" outlineLevel="0" collapsed="false">
      <c r="A17" s="15"/>
      <c r="B17" s="15"/>
      <c r="C17" s="15"/>
      <c r="D17" s="15"/>
      <c r="E17" s="18"/>
      <c r="F17" s="18"/>
      <c r="G17" s="15"/>
      <c r="H17" s="15"/>
    </row>
    <row r="18" customFormat="false" ht="15" hidden="false" customHeight="false" outlineLevel="0" collapsed="false">
      <c r="A18" s="15"/>
      <c r="B18" s="15"/>
      <c r="C18" s="15"/>
      <c r="D18" s="15"/>
      <c r="E18" s="18"/>
      <c r="F18" s="18"/>
      <c r="G18" s="15"/>
      <c r="H18" s="15"/>
    </row>
    <row r="19" customFormat="false" ht="15" hidden="false" customHeight="false" outlineLevel="0" collapsed="false">
      <c r="A19" s="15"/>
      <c r="B19" s="15"/>
      <c r="C19" s="15"/>
      <c r="D19" s="15"/>
      <c r="E19" s="18"/>
      <c r="F19" s="18"/>
      <c r="G19" s="15"/>
      <c r="H19" s="15"/>
    </row>
    <row r="20" customFormat="false" ht="15" hidden="false" customHeight="false" outlineLevel="0" collapsed="false">
      <c r="A20" s="15"/>
      <c r="B20" s="15"/>
      <c r="C20" s="15"/>
      <c r="D20" s="15"/>
      <c r="E20" s="18"/>
      <c r="F20" s="18"/>
      <c r="G20" s="15"/>
      <c r="H20" s="15"/>
    </row>
    <row r="21" customFormat="false" ht="15" hidden="false" customHeight="false" outlineLevel="0" collapsed="false">
      <c r="A21" s="15"/>
      <c r="B21" s="15"/>
      <c r="C21" s="15"/>
      <c r="D21" s="15"/>
      <c r="E21" s="18"/>
      <c r="F21" s="18"/>
      <c r="G21" s="15"/>
      <c r="H21" s="15"/>
    </row>
    <row r="22" customFormat="false" ht="15" hidden="false" customHeight="false" outlineLevel="0" collapsed="false">
      <c r="A22" s="15"/>
      <c r="B22" s="15"/>
      <c r="C22" s="15"/>
      <c r="D22" s="15"/>
      <c r="E22" s="18"/>
      <c r="F22" s="18"/>
      <c r="G22" s="15"/>
      <c r="H22" s="15"/>
    </row>
    <row r="23" customFormat="false" ht="15" hidden="false" customHeight="false" outlineLevel="0" collapsed="false">
      <c r="A23" s="15"/>
      <c r="B23" s="15"/>
      <c r="C23" s="15"/>
      <c r="D23" s="15"/>
      <c r="E23" s="18"/>
      <c r="F23" s="18"/>
      <c r="G23" s="15"/>
      <c r="H23" s="15"/>
    </row>
    <row r="24" customFormat="false" ht="15" hidden="false" customHeight="false" outlineLevel="0" collapsed="false">
      <c r="A24" s="15"/>
      <c r="B24" s="15"/>
      <c r="C24" s="15"/>
      <c r="D24" s="15"/>
      <c r="E24" s="18"/>
      <c r="F24" s="18"/>
      <c r="G24" s="15"/>
      <c r="H24" s="15"/>
    </row>
    <row r="25" customFormat="false" ht="15" hidden="false" customHeight="false" outlineLevel="0" collapsed="false">
      <c r="A25" s="15"/>
      <c r="B25" s="15"/>
      <c r="C25" s="15"/>
      <c r="D25" s="15"/>
      <c r="E25" s="18"/>
      <c r="F25" s="18"/>
      <c r="G25" s="15"/>
      <c r="H25" s="15"/>
    </row>
    <row r="26" customFormat="false" ht="15" hidden="false" customHeight="false" outlineLevel="0" collapsed="false">
      <c r="A26" s="15"/>
      <c r="B26" s="15"/>
      <c r="C26" s="15"/>
      <c r="D26" s="15"/>
      <c r="E26" s="18"/>
      <c r="F26" s="18"/>
      <c r="G26" s="15"/>
      <c r="H26" s="15"/>
    </row>
    <row r="27" customFormat="false" ht="15" hidden="false" customHeight="false" outlineLevel="0" collapsed="false">
      <c r="A27" s="15"/>
      <c r="B27" s="15"/>
      <c r="C27" s="15"/>
      <c r="D27" s="15"/>
      <c r="E27" s="18"/>
      <c r="F27" s="18"/>
      <c r="G27" s="15"/>
      <c r="H27" s="15"/>
    </row>
    <row r="28" customFormat="false" ht="15" hidden="false" customHeight="false" outlineLevel="0" collapsed="false">
      <c r="A28" s="15"/>
      <c r="B28" s="15"/>
      <c r="C28" s="15"/>
      <c r="D28" s="15"/>
      <c r="E28" s="18"/>
      <c r="F28" s="18"/>
      <c r="G28" s="15"/>
      <c r="H28" s="15"/>
    </row>
    <row r="29" customFormat="false" ht="15" hidden="false" customHeight="false" outlineLevel="0" collapsed="false">
      <c r="A29" s="15"/>
      <c r="B29" s="15"/>
      <c r="C29" s="15"/>
      <c r="D29" s="15"/>
      <c r="E29" s="18"/>
      <c r="F29" s="18"/>
      <c r="G29" s="15"/>
      <c r="H29" s="15"/>
    </row>
    <row r="30" customFormat="false" ht="15" hidden="false" customHeight="false" outlineLevel="0" collapsed="false">
      <c r="A30" s="15"/>
      <c r="B30" s="15"/>
      <c r="C30" s="15"/>
      <c r="D30" s="15"/>
      <c r="E30" s="18"/>
      <c r="F30" s="18"/>
      <c r="G30" s="15"/>
      <c r="H30" s="15"/>
    </row>
    <row r="31" customFormat="false" ht="15" hidden="false" customHeight="false" outlineLevel="0" collapsed="false">
      <c r="A31" s="15"/>
      <c r="B31" s="15"/>
      <c r="C31" s="15"/>
      <c r="D31" s="15"/>
      <c r="E31" s="18"/>
      <c r="F31" s="18"/>
      <c r="G31" s="15"/>
      <c r="H31" s="15"/>
    </row>
    <row r="32" customFormat="false" ht="15" hidden="false" customHeight="false" outlineLevel="0" collapsed="false">
      <c r="A32" s="15"/>
      <c r="B32" s="15"/>
      <c r="C32" s="15"/>
      <c r="D32" s="15"/>
      <c r="E32" s="18"/>
      <c r="F32" s="18"/>
      <c r="G32" s="15"/>
      <c r="H32" s="15"/>
    </row>
    <row r="33" customFormat="false" ht="15" hidden="false" customHeight="false" outlineLevel="0" collapsed="false">
      <c r="A33" s="15"/>
      <c r="B33" s="15"/>
      <c r="C33" s="15"/>
      <c r="D33" s="15"/>
      <c r="E33" s="18"/>
      <c r="F33" s="18"/>
      <c r="G33" s="15"/>
      <c r="H33" s="15"/>
    </row>
    <row r="34" customFormat="false" ht="15" hidden="false" customHeight="false" outlineLevel="0" collapsed="false">
      <c r="A34" s="15"/>
      <c r="B34" s="15"/>
      <c r="C34" s="15"/>
      <c r="D34" s="15"/>
      <c r="E34" s="18"/>
      <c r="F34" s="18"/>
      <c r="G34" s="15"/>
      <c r="H34" s="15"/>
    </row>
    <row r="35" customFormat="false" ht="15" hidden="false" customHeight="false" outlineLevel="0" collapsed="false">
      <c r="A35" s="15"/>
      <c r="B35" s="15"/>
      <c r="C35" s="15"/>
      <c r="D35" s="15"/>
      <c r="E35" s="18"/>
      <c r="F35" s="18"/>
      <c r="G35" s="15"/>
      <c r="H35" s="15"/>
    </row>
    <row r="36" customFormat="false" ht="15" hidden="false" customHeight="false" outlineLevel="0" collapsed="false">
      <c r="A36" s="15"/>
      <c r="B36" s="15"/>
      <c r="C36" s="15"/>
      <c r="D36" s="15"/>
      <c r="E36" s="18"/>
      <c r="F36" s="18"/>
      <c r="G36" s="15"/>
      <c r="H36" s="15"/>
    </row>
    <row r="37" customFormat="false" ht="15" hidden="false" customHeight="false" outlineLevel="0" collapsed="false">
      <c r="A37" s="15"/>
      <c r="B37" s="15"/>
      <c r="C37" s="15"/>
      <c r="D37" s="15"/>
      <c r="E37" s="18"/>
      <c r="F37" s="18"/>
      <c r="G37" s="15"/>
      <c r="H37" s="15"/>
    </row>
    <row r="38" customFormat="false" ht="15" hidden="false" customHeight="false" outlineLevel="0" collapsed="false">
      <c r="A38" s="15"/>
      <c r="B38" s="15"/>
      <c r="C38" s="15"/>
      <c r="D38" s="15"/>
      <c r="E38" s="18"/>
      <c r="F38" s="18"/>
      <c r="G38" s="15"/>
      <c r="H38" s="15"/>
    </row>
    <row r="39" customFormat="false" ht="15" hidden="false" customHeight="false" outlineLevel="0" collapsed="false">
      <c r="A39" s="15"/>
      <c r="B39" s="15"/>
      <c r="C39" s="15"/>
      <c r="D39" s="15"/>
      <c r="E39" s="18"/>
      <c r="F39" s="18"/>
      <c r="G39" s="15"/>
      <c r="H39" s="15"/>
    </row>
    <row r="40" customFormat="false" ht="15" hidden="false" customHeight="false" outlineLevel="0" collapsed="false">
      <c r="A40" s="15"/>
      <c r="B40" s="15"/>
      <c r="C40" s="15"/>
      <c r="D40" s="15"/>
      <c r="E40" s="18"/>
      <c r="F40" s="18"/>
      <c r="G40" s="15"/>
      <c r="H40" s="15"/>
    </row>
    <row r="41" customFormat="false" ht="15" hidden="false" customHeight="false" outlineLevel="0" collapsed="false">
      <c r="A41" s="15"/>
      <c r="B41" s="15"/>
      <c r="C41" s="15"/>
      <c r="D41" s="15"/>
      <c r="E41" s="18"/>
      <c r="F41" s="18"/>
      <c r="G41" s="15"/>
      <c r="H41" s="15"/>
    </row>
    <row r="42" customFormat="false" ht="15" hidden="false" customHeight="false" outlineLevel="0" collapsed="false">
      <c r="A42" s="15"/>
      <c r="B42" s="15"/>
      <c r="C42" s="15"/>
      <c r="D42" s="15"/>
      <c r="E42" s="18"/>
      <c r="F42" s="18"/>
      <c r="G42" s="15"/>
      <c r="H42" s="15"/>
    </row>
    <row r="43" customFormat="false" ht="15" hidden="false" customHeight="false" outlineLevel="0" collapsed="false">
      <c r="A43" s="15"/>
      <c r="B43" s="15"/>
      <c r="C43" s="15"/>
      <c r="D43" s="15"/>
      <c r="E43" s="18"/>
      <c r="F43" s="18"/>
      <c r="G43" s="15"/>
      <c r="H43" s="15"/>
    </row>
    <row r="44" customFormat="false" ht="15" hidden="false" customHeight="false" outlineLevel="0" collapsed="false">
      <c r="A44" s="15"/>
      <c r="B44" s="15"/>
      <c r="C44" s="15"/>
      <c r="D44" s="15"/>
      <c r="E44" s="18"/>
      <c r="F44" s="18"/>
      <c r="G44" s="15"/>
      <c r="H44" s="15"/>
    </row>
    <row r="45" customFormat="false" ht="15" hidden="false" customHeight="false" outlineLevel="0" collapsed="false">
      <c r="A45" s="15"/>
      <c r="B45" s="15"/>
      <c r="C45" s="15"/>
      <c r="D45" s="15"/>
      <c r="E45" s="18"/>
      <c r="F45" s="18"/>
      <c r="G45" s="15"/>
      <c r="H45" s="15"/>
    </row>
    <row r="46" customFormat="false" ht="15" hidden="false" customHeight="false" outlineLevel="0" collapsed="false">
      <c r="A46" s="15"/>
      <c r="B46" s="15"/>
      <c r="C46" s="15"/>
      <c r="D46" s="15"/>
      <c r="E46" s="18"/>
      <c r="F46" s="18"/>
      <c r="G46" s="15"/>
      <c r="H46" s="15"/>
    </row>
    <row r="47" customFormat="false" ht="15" hidden="false" customHeight="false" outlineLevel="0" collapsed="false">
      <c r="A47" s="15"/>
      <c r="B47" s="15"/>
      <c r="C47" s="15"/>
      <c r="D47" s="15"/>
      <c r="E47" s="18"/>
      <c r="F47" s="18"/>
      <c r="G47" s="15"/>
      <c r="H47" s="15"/>
    </row>
    <row r="48" customFormat="false" ht="15" hidden="false" customHeight="false" outlineLevel="0" collapsed="false">
      <c r="A48" s="15"/>
      <c r="B48" s="15"/>
      <c r="C48" s="15"/>
      <c r="D48" s="15"/>
      <c r="E48" s="18"/>
      <c r="F48" s="18"/>
      <c r="G48" s="15"/>
      <c r="H48" s="15"/>
    </row>
    <row r="49" customFormat="false" ht="15" hidden="false" customHeight="false" outlineLevel="0" collapsed="false">
      <c r="A49" s="15"/>
      <c r="B49" s="15"/>
      <c r="C49" s="15"/>
      <c r="D49" s="15"/>
      <c r="E49" s="18"/>
      <c r="F49" s="18"/>
      <c r="G49" s="15"/>
      <c r="H49" s="15"/>
    </row>
    <row r="50" customFormat="false" ht="15" hidden="false" customHeight="false" outlineLevel="0" collapsed="false">
      <c r="A50" s="15"/>
      <c r="B50" s="15"/>
      <c r="C50" s="15"/>
      <c r="D50" s="15"/>
      <c r="E50" s="18"/>
      <c r="F50" s="18"/>
      <c r="G50" s="15"/>
      <c r="H50" s="15"/>
    </row>
    <row r="51" customFormat="false" ht="15" hidden="false" customHeight="false" outlineLevel="0" collapsed="false">
      <c r="A51" s="15"/>
      <c r="B51" s="15"/>
      <c r="C51" s="15"/>
      <c r="D51" s="15"/>
      <c r="E51" s="18"/>
      <c r="F51" s="18"/>
      <c r="G51" s="15"/>
      <c r="H51" s="15"/>
    </row>
    <row r="52" customFormat="false" ht="15" hidden="false" customHeight="false" outlineLevel="0" collapsed="false">
      <c r="A52" s="15"/>
      <c r="B52" s="15"/>
      <c r="C52" s="15"/>
      <c r="D52" s="15"/>
      <c r="E52" s="18"/>
      <c r="F52" s="18"/>
      <c r="G52" s="15"/>
      <c r="H52" s="15"/>
    </row>
    <row r="53" customFormat="false" ht="15" hidden="false" customHeight="false" outlineLevel="0" collapsed="false">
      <c r="A53" s="15"/>
      <c r="B53" s="15"/>
      <c r="C53" s="15"/>
      <c r="D53" s="15"/>
      <c r="E53" s="18"/>
      <c r="F53" s="18"/>
      <c r="G53" s="15"/>
      <c r="H53" s="15"/>
    </row>
    <row r="54" customFormat="false" ht="15" hidden="false" customHeight="false" outlineLevel="0" collapsed="false">
      <c r="A54" s="15"/>
      <c r="B54" s="15"/>
      <c r="C54" s="15"/>
      <c r="D54" s="15"/>
      <c r="E54" s="18"/>
      <c r="F54" s="18"/>
      <c r="G54" s="15"/>
      <c r="H54" s="15"/>
    </row>
    <row r="55" customFormat="false" ht="15" hidden="false" customHeight="false" outlineLevel="0" collapsed="false">
      <c r="A55" s="15"/>
      <c r="B55" s="15"/>
      <c r="C55" s="15"/>
      <c r="D55" s="15"/>
      <c r="E55" s="18"/>
      <c r="F55" s="18"/>
      <c r="G55" s="15"/>
      <c r="H55" s="15"/>
    </row>
    <row r="56" customFormat="false" ht="15" hidden="false" customHeight="false" outlineLevel="0" collapsed="false">
      <c r="A56" s="15"/>
      <c r="B56" s="15"/>
      <c r="C56" s="15"/>
      <c r="D56" s="15"/>
      <c r="E56" s="18"/>
      <c r="F56" s="18"/>
      <c r="G56" s="15"/>
      <c r="H56" s="15"/>
    </row>
    <row r="57" customFormat="false" ht="15" hidden="false" customHeight="false" outlineLevel="0" collapsed="false">
      <c r="A57" s="15"/>
      <c r="B57" s="15"/>
      <c r="C57" s="15"/>
      <c r="D57" s="15"/>
      <c r="E57" s="18"/>
      <c r="F57" s="18"/>
      <c r="G57" s="15"/>
      <c r="H57" s="15"/>
    </row>
    <row r="58" customFormat="false" ht="15" hidden="false" customHeight="false" outlineLevel="0" collapsed="false">
      <c r="A58" s="15"/>
      <c r="B58" s="15"/>
      <c r="C58" s="15"/>
      <c r="D58" s="15"/>
      <c r="E58" s="18"/>
      <c r="F58" s="18"/>
      <c r="G58" s="15"/>
      <c r="H58" s="15"/>
    </row>
    <row r="59" customFormat="false" ht="15" hidden="false" customHeight="false" outlineLevel="0" collapsed="false">
      <c r="A59" s="15"/>
      <c r="B59" s="15"/>
      <c r="C59" s="15"/>
      <c r="D59" s="15"/>
      <c r="E59" s="18"/>
      <c r="F59" s="18"/>
      <c r="G59" s="15"/>
      <c r="H59" s="15"/>
    </row>
    <row r="60" customFormat="false" ht="15" hidden="false" customHeight="false" outlineLevel="0" collapsed="false">
      <c r="A60" s="15"/>
      <c r="B60" s="15"/>
      <c r="C60" s="15"/>
      <c r="D60" s="15"/>
      <c r="E60" s="18"/>
      <c r="F60" s="18"/>
      <c r="G60" s="15"/>
      <c r="H60" s="15"/>
    </row>
    <row r="61" customFormat="false" ht="15" hidden="false" customHeight="false" outlineLevel="0" collapsed="false">
      <c r="A61" s="15"/>
      <c r="B61" s="15"/>
      <c r="C61" s="15"/>
      <c r="D61" s="15"/>
      <c r="E61" s="18"/>
      <c r="F61" s="18"/>
      <c r="G61" s="15"/>
      <c r="H61" s="15"/>
    </row>
    <row r="62" customFormat="false" ht="15" hidden="false" customHeight="false" outlineLevel="0" collapsed="false">
      <c r="A62" s="15"/>
      <c r="B62" s="15"/>
      <c r="C62" s="15"/>
      <c r="D62" s="15"/>
      <c r="E62" s="18"/>
      <c r="F62" s="18"/>
      <c r="G62" s="15"/>
      <c r="H62" s="15"/>
    </row>
    <row r="63" customFormat="false" ht="15" hidden="false" customHeight="false" outlineLevel="0" collapsed="false">
      <c r="A63" s="15"/>
      <c r="B63" s="15"/>
      <c r="C63" s="15"/>
      <c r="D63" s="15"/>
      <c r="E63" s="18"/>
      <c r="F63" s="18"/>
      <c r="G63" s="15"/>
      <c r="H63" s="15"/>
    </row>
    <row r="64" customFormat="false" ht="15" hidden="false" customHeight="false" outlineLevel="0" collapsed="false">
      <c r="A64" s="15"/>
      <c r="B64" s="15"/>
      <c r="C64" s="15"/>
      <c r="D64" s="15"/>
      <c r="E64" s="18"/>
      <c r="F64" s="18"/>
      <c r="G64" s="15"/>
      <c r="H64" s="15"/>
    </row>
    <row r="65" customFormat="false" ht="15" hidden="false" customHeight="false" outlineLevel="0" collapsed="false">
      <c r="A65" s="15"/>
      <c r="B65" s="15"/>
      <c r="C65" s="15"/>
      <c r="D65" s="15"/>
      <c r="E65" s="18"/>
      <c r="F65" s="18"/>
      <c r="G65" s="15"/>
      <c r="H65" s="15"/>
    </row>
    <row r="66" customFormat="false" ht="15" hidden="false" customHeight="false" outlineLevel="0" collapsed="false">
      <c r="A66" s="15"/>
      <c r="B66" s="15"/>
      <c r="C66" s="15"/>
      <c r="D66" s="15"/>
      <c r="E66" s="18"/>
      <c r="F66" s="18"/>
      <c r="G66" s="15"/>
      <c r="H66" s="15"/>
    </row>
    <row r="67" customFormat="false" ht="15" hidden="false" customHeight="false" outlineLevel="0" collapsed="false">
      <c r="A67" s="15"/>
      <c r="B67" s="15"/>
      <c r="C67" s="15"/>
      <c r="D67" s="15"/>
      <c r="E67" s="18"/>
      <c r="F67" s="18"/>
      <c r="G67" s="15"/>
      <c r="H67" s="15"/>
    </row>
    <row r="68" customFormat="false" ht="15" hidden="false" customHeight="false" outlineLevel="0" collapsed="false">
      <c r="A68" s="15"/>
      <c r="B68" s="15"/>
      <c r="C68" s="15"/>
      <c r="D68" s="15"/>
      <c r="E68" s="18"/>
      <c r="F68" s="18"/>
      <c r="G68" s="15"/>
      <c r="H68" s="15"/>
    </row>
    <row r="69" customFormat="false" ht="15" hidden="false" customHeight="false" outlineLevel="0" collapsed="false">
      <c r="A69" s="15"/>
      <c r="B69" s="15"/>
      <c r="C69" s="15"/>
      <c r="D69" s="15"/>
      <c r="E69" s="18"/>
      <c r="F69" s="18"/>
      <c r="G69" s="15"/>
      <c r="H69" s="15"/>
    </row>
    <row r="70" customFormat="false" ht="15" hidden="false" customHeight="false" outlineLevel="0" collapsed="false">
      <c r="A70" s="15"/>
      <c r="B70" s="15"/>
      <c r="C70" s="15"/>
      <c r="D70" s="15"/>
      <c r="E70" s="18"/>
      <c r="F70" s="18"/>
      <c r="G70" s="15"/>
      <c r="H70" s="15"/>
    </row>
    <row r="71" customFormat="false" ht="15" hidden="false" customHeight="false" outlineLevel="0" collapsed="false">
      <c r="A71" s="15"/>
      <c r="B71" s="15"/>
      <c r="C71" s="15"/>
      <c r="D71" s="15"/>
      <c r="E71" s="18"/>
      <c r="F71" s="18"/>
      <c r="G71" s="15"/>
      <c r="H71" s="15"/>
    </row>
    <row r="72" customFormat="false" ht="15" hidden="false" customHeight="false" outlineLevel="0" collapsed="false">
      <c r="A72" s="15"/>
      <c r="B72" s="15"/>
      <c r="C72" s="15"/>
      <c r="D72" s="15"/>
      <c r="E72" s="18"/>
      <c r="F72" s="18"/>
      <c r="G72" s="15"/>
      <c r="H72" s="15"/>
    </row>
    <row r="73" customFormat="false" ht="15" hidden="false" customHeight="false" outlineLevel="0" collapsed="false">
      <c r="A73" s="15"/>
      <c r="B73" s="15"/>
      <c r="C73" s="15"/>
      <c r="D73" s="15"/>
      <c r="E73" s="18"/>
      <c r="F73" s="18"/>
      <c r="G73" s="15"/>
      <c r="H73" s="15"/>
    </row>
    <row r="74" customFormat="false" ht="15" hidden="false" customHeight="false" outlineLevel="0" collapsed="false">
      <c r="A74" s="15"/>
      <c r="B74" s="15"/>
      <c r="C74" s="15"/>
      <c r="D74" s="15"/>
      <c r="E74" s="18"/>
      <c r="F74" s="18"/>
      <c r="G74" s="15"/>
      <c r="H74" s="15"/>
    </row>
    <row r="75" customFormat="false" ht="15" hidden="false" customHeight="false" outlineLevel="0" collapsed="false">
      <c r="A75" s="15"/>
      <c r="B75" s="15"/>
      <c r="C75" s="15"/>
      <c r="D75" s="15"/>
      <c r="E75" s="18"/>
      <c r="F75" s="18"/>
      <c r="G75" s="15"/>
      <c r="H75" s="15"/>
    </row>
    <row r="76" customFormat="false" ht="15" hidden="false" customHeight="false" outlineLevel="0" collapsed="false">
      <c r="A76" s="15"/>
      <c r="B76" s="15"/>
      <c r="C76" s="15"/>
      <c r="D76" s="15"/>
      <c r="E76" s="18"/>
      <c r="F76" s="18"/>
      <c r="G76" s="15"/>
      <c r="H76" s="15"/>
    </row>
    <row r="77" customFormat="false" ht="15" hidden="false" customHeight="false" outlineLevel="0" collapsed="false">
      <c r="A77" s="15"/>
      <c r="B77" s="15"/>
      <c r="C77" s="15"/>
      <c r="D77" s="15"/>
      <c r="E77" s="18"/>
      <c r="F77" s="18"/>
      <c r="G77" s="15"/>
      <c r="H77" s="15"/>
    </row>
    <row r="78" customFormat="false" ht="15" hidden="false" customHeight="false" outlineLevel="0" collapsed="false">
      <c r="A78" s="15"/>
      <c r="B78" s="15"/>
      <c r="C78" s="15"/>
      <c r="D78" s="15"/>
      <c r="E78" s="18"/>
      <c r="F78" s="18"/>
      <c r="G78" s="15"/>
      <c r="H78" s="15"/>
    </row>
    <row r="79" customFormat="false" ht="15" hidden="false" customHeight="false" outlineLevel="0" collapsed="false">
      <c r="A79" s="15"/>
      <c r="B79" s="15"/>
      <c r="C79" s="15"/>
      <c r="D79" s="15"/>
      <c r="E79" s="18"/>
      <c r="F79" s="18"/>
      <c r="G79" s="15"/>
      <c r="H79" s="15"/>
    </row>
    <row r="80" customFormat="false" ht="15" hidden="false" customHeight="false" outlineLevel="0" collapsed="false">
      <c r="A80" s="15"/>
      <c r="B80" s="15"/>
      <c r="C80" s="15"/>
      <c r="D80" s="15"/>
      <c r="E80" s="18"/>
      <c r="F80" s="18"/>
      <c r="G80" s="15"/>
      <c r="H80" s="15"/>
    </row>
    <row r="81" customFormat="false" ht="15" hidden="false" customHeight="false" outlineLevel="0" collapsed="false">
      <c r="A81" s="15"/>
      <c r="B81" s="15"/>
      <c r="C81" s="15"/>
      <c r="D81" s="15"/>
      <c r="E81" s="18"/>
      <c r="F81" s="18"/>
      <c r="G81" s="15"/>
      <c r="H81" s="15"/>
    </row>
    <row r="82" customFormat="false" ht="15" hidden="false" customHeight="false" outlineLevel="0" collapsed="false">
      <c r="A82" s="15"/>
      <c r="B82" s="15"/>
      <c r="C82" s="15"/>
      <c r="D82" s="15"/>
      <c r="E82" s="18"/>
      <c r="F82" s="18"/>
      <c r="G82" s="15"/>
      <c r="H82" s="15"/>
    </row>
    <row r="83" customFormat="false" ht="15" hidden="false" customHeight="false" outlineLevel="0" collapsed="false">
      <c r="A83" s="15"/>
      <c r="B83" s="15"/>
      <c r="C83" s="15"/>
      <c r="D83" s="15"/>
      <c r="E83" s="18"/>
      <c r="F83" s="18"/>
      <c r="G83" s="15"/>
      <c r="H83" s="15"/>
    </row>
    <row r="84" customFormat="false" ht="15" hidden="false" customHeight="false" outlineLevel="0" collapsed="false">
      <c r="A84" s="15"/>
      <c r="B84" s="15"/>
      <c r="C84" s="15"/>
      <c r="D84" s="15"/>
      <c r="E84" s="18"/>
      <c r="F84" s="18"/>
      <c r="G84" s="15"/>
      <c r="H84" s="15"/>
    </row>
    <row r="85" customFormat="false" ht="15" hidden="false" customHeight="false" outlineLevel="0" collapsed="false">
      <c r="A85" s="15"/>
      <c r="B85" s="15"/>
      <c r="C85" s="15"/>
      <c r="D85" s="15"/>
      <c r="E85" s="18"/>
      <c r="F85" s="18"/>
      <c r="G85" s="15"/>
      <c r="H85" s="15"/>
    </row>
    <row r="86" customFormat="false" ht="15" hidden="false" customHeight="false" outlineLevel="0" collapsed="false">
      <c r="A86" s="15"/>
      <c r="B86" s="15"/>
      <c r="C86" s="15"/>
      <c r="D86" s="15"/>
      <c r="E86" s="18"/>
      <c r="F86" s="18"/>
      <c r="G86" s="15"/>
      <c r="H86" s="15"/>
    </row>
    <row r="87" customFormat="false" ht="15" hidden="false" customHeight="false" outlineLevel="0" collapsed="false">
      <c r="A87" s="15"/>
      <c r="B87" s="15"/>
      <c r="C87" s="15"/>
      <c r="D87" s="15"/>
      <c r="E87" s="18"/>
      <c r="F87" s="18"/>
      <c r="G87" s="15"/>
      <c r="H87" s="15"/>
    </row>
    <row r="88" customFormat="false" ht="15" hidden="false" customHeight="false" outlineLevel="0" collapsed="false">
      <c r="A88" s="15"/>
      <c r="B88" s="15"/>
      <c r="C88" s="15"/>
      <c r="D88" s="15"/>
      <c r="E88" s="18"/>
      <c r="F88" s="18"/>
      <c r="G88" s="15"/>
      <c r="H88" s="15"/>
    </row>
    <row r="89" customFormat="false" ht="15" hidden="false" customHeight="false" outlineLevel="0" collapsed="false">
      <c r="A89" s="15"/>
      <c r="B89" s="15"/>
      <c r="C89" s="15"/>
      <c r="D89" s="15"/>
      <c r="E89" s="18"/>
      <c r="F89" s="18"/>
      <c r="G89" s="15"/>
      <c r="H89" s="15"/>
    </row>
    <row r="90" customFormat="false" ht="15" hidden="false" customHeight="false" outlineLevel="0" collapsed="false">
      <c r="A90" s="15"/>
      <c r="B90" s="15"/>
      <c r="C90" s="15"/>
      <c r="D90" s="15"/>
      <c r="E90" s="18"/>
      <c r="F90" s="18"/>
      <c r="G90" s="15"/>
      <c r="H90" s="15"/>
    </row>
    <row r="91" customFormat="false" ht="15" hidden="false" customHeight="false" outlineLevel="0" collapsed="false">
      <c r="A91" s="15"/>
      <c r="B91" s="15"/>
      <c r="C91" s="15"/>
      <c r="D91" s="15"/>
      <c r="E91" s="18"/>
      <c r="F91" s="18"/>
      <c r="G91" s="15"/>
      <c r="H91" s="15"/>
    </row>
    <row r="92" customFormat="false" ht="15" hidden="false" customHeight="false" outlineLevel="0" collapsed="false">
      <c r="A92" s="15"/>
      <c r="B92" s="15"/>
      <c r="C92" s="15"/>
      <c r="D92" s="15"/>
      <c r="E92" s="18"/>
      <c r="F92" s="18"/>
      <c r="G92" s="15"/>
      <c r="H92" s="15"/>
    </row>
    <row r="93" customFormat="false" ht="15" hidden="false" customHeight="false" outlineLevel="0" collapsed="false">
      <c r="A93" s="15"/>
      <c r="B93" s="15"/>
      <c r="C93" s="15"/>
      <c r="D93" s="15"/>
      <c r="E93" s="18"/>
      <c r="F93" s="18"/>
      <c r="G93" s="15"/>
      <c r="H93" s="15"/>
    </row>
    <row r="94" customFormat="false" ht="15" hidden="false" customHeight="false" outlineLevel="0" collapsed="false">
      <c r="A94" s="15"/>
      <c r="B94" s="15"/>
      <c r="C94" s="15"/>
      <c r="D94" s="15"/>
      <c r="E94" s="18"/>
      <c r="F94" s="18"/>
      <c r="G94" s="15"/>
      <c r="H94" s="15"/>
    </row>
    <row r="95" customFormat="false" ht="15" hidden="false" customHeight="false" outlineLevel="0" collapsed="false">
      <c r="A95" s="15"/>
      <c r="B95" s="15"/>
      <c r="C95" s="15"/>
      <c r="D95" s="15"/>
      <c r="E95" s="18"/>
      <c r="F95" s="18"/>
      <c r="G95" s="15"/>
      <c r="H95" s="15"/>
    </row>
    <row r="96" customFormat="false" ht="15" hidden="false" customHeight="false" outlineLevel="0" collapsed="false">
      <c r="A96" s="15"/>
      <c r="B96" s="15"/>
      <c r="C96" s="15"/>
      <c r="D96" s="15"/>
      <c r="E96" s="18"/>
      <c r="F96" s="18"/>
      <c r="G96" s="15"/>
      <c r="H96" s="15"/>
    </row>
    <row r="97" customFormat="false" ht="15" hidden="false" customHeight="false" outlineLevel="0" collapsed="false">
      <c r="A97" s="15"/>
      <c r="B97" s="15"/>
      <c r="C97" s="15"/>
      <c r="D97" s="15"/>
      <c r="E97" s="18"/>
      <c r="F97" s="18"/>
      <c r="G97" s="15"/>
      <c r="H97" s="15"/>
    </row>
    <row r="98" customFormat="false" ht="15" hidden="false" customHeight="false" outlineLevel="0" collapsed="false">
      <c r="A98" s="15"/>
      <c r="B98" s="15"/>
      <c r="C98" s="15"/>
      <c r="D98" s="15"/>
      <c r="E98" s="18"/>
      <c r="F98" s="18"/>
      <c r="G98" s="15"/>
      <c r="H98" s="15"/>
    </row>
    <row r="99" customFormat="false" ht="15" hidden="false" customHeight="false" outlineLevel="0" collapsed="false">
      <c r="A99" s="15"/>
      <c r="B99" s="15"/>
      <c r="C99" s="15"/>
      <c r="D99" s="15"/>
      <c r="E99" s="18"/>
      <c r="F99" s="18"/>
      <c r="G99" s="15"/>
      <c r="H99" s="15"/>
    </row>
    <row r="100" customFormat="false" ht="15" hidden="false" customHeight="false" outlineLevel="0" collapsed="false">
      <c r="A100" s="15"/>
      <c r="B100" s="15"/>
      <c r="C100" s="15"/>
      <c r="D100" s="15"/>
      <c r="E100" s="18"/>
      <c r="F100" s="18"/>
      <c r="G100" s="15"/>
      <c r="H100" s="15"/>
    </row>
    <row r="101" customFormat="false" ht="15" hidden="false" customHeight="false" outlineLevel="0" collapsed="false">
      <c r="A101" s="15"/>
      <c r="B101" s="15"/>
      <c r="C101" s="15"/>
      <c r="D101" s="15"/>
      <c r="E101" s="18"/>
      <c r="F101" s="18"/>
      <c r="G101" s="15"/>
      <c r="H101" s="15"/>
    </row>
    <row r="102" customFormat="false" ht="15" hidden="false" customHeight="false" outlineLevel="0" collapsed="false">
      <c r="A102" s="15"/>
      <c r="B102" s="15"/>
      <c r="C102" s="15"/>
      <c r="D102" s="15"/>
      <c r="E102" s="18"/>
      <c r="F102" s="18"/>
      <c r="G102" s="15"/>
      <c r="H102" s="15"/>
    </row>
    <row r="103" customFormat="false" ht="15" hidden="false" customHeight="false" outlineLevel="0" collapsed="false">
      <c r="A103" s="15"/>
      <c r="B103" s="15"/>
      <c r="C103" s="15"/>
      <c r="D103" s="15"/>
      <c r="E103" s="18"/>
      <c r="F103" s="18"/>
      <c r="G103" s="15"/>
      <c r="H103" s="15"/>
    </row>
    <row r="104" customFormat="false" ht="15" hidden="false" customHeight="false" outlineLevel="0" collapsed="false">
      <c r="A104" s="15"/>
      <c r="B104" s="15"/>
      <c r="C104" s="15"/>
      <c r="D104" s="15"/>
      <c r="E104" s="18"/>
      <c r="F104" s="18"/>
      <c r="G104" s="15"/>
      <c r="H104" s="15"/>
    </row>
    <row r="105" customFormat="false" ht="15" hidden="false" customHeight="false" outlineLevel="0" collapsed="false">
      <c r="A105" s="15"/>
      <c r="B105" s="15"/>
      <c r="C105" s="15"/>
      <c r="D105" s="15"/>
      <c r="E105" s="18"/>
      <c r="F105" s="18"/>
      <c r="G105" s="15"/>
      <c r="H105" s="15"/>
    </row>
    <row r="106" customFormat="false" ht="15" hidden="false" customHeight="false" outlineLevel="0" collapsed="false">
      <c r="A106" s="15"/>
      <c r="B106" s="15"/>
      <c r="C106" s="15"/>
      <c r="D106" s="15"/>
      <c r="E106" s="18"/>
      <c r="F106" s="18"/>
      <c r="G106" s="15"/>
      <c r="H106" s="15"/>
    </row>
    <row r="107" customFormat="false" ht="15" hidden="false" customHeight="false" outlineLevel="0" collapsed="false">
      <c r="A107" s="15"/>
      <c r="B107" s="15"/>
      <c r="C107" s="15"/>
      <c r="D107" s="15"/>
      <c r="E107" s="18"/>
      <c r="F107" s="18"/>
      <c r="G107" s="15"/>
      <c r="H107" s="15"/>
    </row>
    <row r="108" customFormat="false" ht="15" hidden="false" customHeight="false" outlineLevel="0" collapsed="false">
      <c r="A108" s="15"/>
      <c r="B108" s="15"/>
      <c r="C108" s="15"/>
      <c r="D108" s="15"/>
      <c r="E108" s="18"/>
      <c r="F108" s="18"/>
      <c r="G108" s="15"/>
      <c r="H108" s="15"/>
    </row>
    <row r="109" customFormat="false" ht="15" hidden="false" customHeight="false" outlineLevel="0" collapsed="false">
      <c r="A109" s="15"/>
      <c r="B109" s="15"/>
      <c r="C109" s="15"/>
      <c r="D109" s="15"/>
      <c r="E109" s="18"/>
      <c r="F109" s="18"/>
      <c r="G109" s="15"/>
      <c r="H109" s="15"/>
    </row>
    <row r="110" customFormat="false" ht="15" hidden="false" customHeight="false" outlineLevel="0" collapsed="false">
      <c r="A110" s="15"/>
      <c r="B110" s="15"/>
      <c r="C110" s="15"/>
      <c r="D110" s="15"/>
      <c r="E110" s="18"/>
      <c r="F110" s="18"/>
      <c r="G110" s="15"/>
      <c r="H110" s="15"/>
    </row>
    <row r="111" customFormat="false" ht="15" hidden="false" customHeight="false" outlineLevel="0" collapsed="false">
      <c r="A111" s="15"/>
      <c r="B111" s="15"/>
      <c r="C111" s="15"/>
      <c r="D111" s="15"/>
      <c r="E111" s="18"/>
      <c r="F111" s="18"/>
      <c r="G111" s="15"/>
      <c r="H111" s="15"/>
    </row>
    <row r="112" customFormat="false" ht="15" hidden="false" customHeight="false" outlineLevel="0" collapsed="false">
      <c r="A112" s="15"/>
      <c r="B112" s="15"/>
      <c r="C112" s="15"/>
      <c r="D112" s="15"/>
      <c r="E112" s="18"/>
      <c r="F112" s="18"/>
      <c r="G112" s="15"/>
      <c r="H112" s="15"/>
    </row>
    <row r="113" customFormat="false" ht="15" hidden="false" customHeight="false" outlineLevel="0" collapsed="false">
      <c r="A113" s="15"/>
      <c r="B113" s="15"/>
      <c r="C113" s="15"/>
      <c r="D113" s="15"/>
      <c r="E113" s="18"/>
      <c r="F113" s="18"/>
      <c r="G113" s="15"/>
      <c r="H113" s="15"/>
    </row>
    <row r="114" customFormat="false" ht="15" hidden="false" customHeight="false" outlineLevel="0" collapsed="false">
      <c r="A114" s="15"/>
      <c r="B114" s="15"/>
      <c r="C114" s="15"/>
      <c r="D114" s="15"/>
      <c r="E114" s="18"/>
      <c r="F114" s="18"/>
      <c r="G114" s="15"/>
      <c r="H114" s="15"/>
    </row>
    <row r="115" customFormat="false" ht="15" hidden="false" customHeight="false" outlineLevel="0" collapsed="false">
      <c r="A115" s="15"/>
      <c r="B115" s="15"/>
      <c r="C115" s="15"/>
      <c r="D115" s="15"/>
      <c r="E115" s="18"/>
      <c r="F115" s="18"/>
      <c r="G115" s="15"/>
      <c r="H115" s="15"/>
    </row>
    <row r="116" customFormat="false" ht="15" hidden="false" customHeight="false" outlineLevel="0" collapsed="false">
      <c r="A116" s="15"/>
      <c r="B116" s="15"/>
      <c r="C116" s="15"/>
      <c r="D116" s="15"/>
      <c r="E116" s="18"/>
      <c r="F116" s="18"/>
      <c r="G116" s="15"/>
      <c r="H116" s="15"/>
    </row>
    <row r="117" customFormat="false" ht="15" hidden="false" customHeight="false" outlineLevel="0" collapsed="false">
      <c r="A117" s="15"/>
      <c r="B117" s="15"/>
      <c r="C117" s="15"/>
      <c r="D117" s="15"/>
      <c r="E117" s="18"/>
      <c r="F117" s="18"/>
      <c r="G117" s="15"/>
      <c r="H117" s="15"/>
    </row>
    <row r="118" customFormat="false" ht="15" hidden="false" customHeight="false" outlineLevel="0" collapsed="false">
      <c r="A118" s="15"/>
      <c r="B118" s="15"/>
      <c r="C118" s="15"/>
      <c r="D118" s="15"/>
      <c r="E118" s="18"/>
      <c r="F118" s="18"/>
      <c r="G118" s="15"/>
      <c r="H118" s="15"/>
    </row>
    <row r="119" customFormat="false" ht="15" hidden="false" customHeight="false" outlineLevel="0" collapsed="false">
      <c r="A119" s="15"/>
      <c r="B119" s="15"/>
      <c r="C119" s="15"/>
      <c r="D119" s="15"/>
      <c r="E119" s="18"/>
      <c r="F119" s="18"/>
      <c r="G119" s="15"/>
      <c r="H119" s="15"/>
    </row>
    <row r="120" customFormat="false" ht="15" hidden="false" customHeight="false" outlineLevel="0" collapsed="false">
      <c r="A120" s="15"/>
      <c r="B120" s="15"/>
      <c r="C120" s="15"/>
      <c r="D120" s="15"/>
      <c r="E120" s="18"/>
      <c r="F120" s="18"/>
      <c r="G120" s="15"/>
      <c r="H120" s="15"/>
    </row>
    <row r="121" customFormat="false" ht="15" hidden="false" customHeight="false" outlineLevel="0" collapsed="false">
      <c r="A121" s="15"/>
      <c r="B121" s="15"/>
      <c r="C121" s="15"/>
      <c r="D121" s="15"/>
      <c r="E121" s="18"/>
      <c r="F121" s="18"/>
      <c r="G121" s="15"/>
      <c r="H121" s="15"/>
    </row>
    <row r="122" customFormat="false" ht="15" hidden="false" customHeight="false" outlineLevel="0" collapsed="false">
      <c r="A122" s="15"/>
      <c r="B122" s="15"/>
      <c r="C122" s="15"/>
      <c r="D122" s="15"/>
      <c r="E122" s="18"/>
      <c r="F122" s="18"/>
      <c r="G122" s="15"/>
      <c r="H122" s="15"/>
    </row>
    <row r="123" customFormat="false" ht="15" hidden="false" customHeight="false" outlineLevel="0" collapsed="false">
      <c r="A123" s="15"/>
      <c r="B123" s="15"/>
      <c r="C123" s="15"/>
      <c r="D123" s="15"/>
      <c r="E123" s="18"/>
      <c r="F123" s="18"/>
      <c r="G123" s="15"/>
      <c r="H123" s="15"/>
    </row>
    <row r="124" customFormat="false" ht="15" hidden="false" customHeight="false" outlineLevel="0" collapsed="false">
      <c r="A124" s="15"/>
      <c r="B124" s="15"/>
      <c r="C124" s="15"/>
      <c r="D124" s="15"/>
      <c r="E124" s="18"/>
      <c r="F124" s="18"/>
      <c r="G124" s="15"/>
      <c r="H124" s="15"/>
    </row>
    <row r="125" customFormat="false" ht="15" hidden="false" customHeight="false" outlineLevel="0" collapsed="false">
      <c r="A125" s="15"/>
      <c r="B125" s="15"/>
      <c r="C125" s="15"/>
      <c r="D125" s="15"/>
      <c r="E125" s="18"/>
      <c r="F125" s="18"/>
      <c r="G125" s="15"/>
      <c r="H125" s="15"/>
    </row>
    <row r="126" customFormat="false" ht="15" hidden="false" customHeight="false" outlineLevel="0" collapsed="false">
      <c r="A126" s="15"/>
      <c r="B126" s="15"/>
      <c r="C126" s="15"/>
      <c r="D126" s="15"/>
      <c r="E126" s="18"/>
      <c r="F126" s="18"/>
      <c r="G126" s="15"/>
      <c r="H126" s="15"/>
    </row>
    <row r="127" customFormat="false" ht="15" hidden="false" customHeight="false" outlineLevel="0" collapsed="false">
      <c r="A127" s="15"/>
      <c r="B127" s="15"/>
      <c r="C127" s="15"/>
      <c r="D127" s="15"/>
      <c r="E127" s="18"/>
      <c r="F127" s="18"/>
      <c r="G127" s="15"/>
      <c r="H127" s="15"/>
    </row>
    <row r="128" customFormat="false" ht="15" hidden="false" customHeight="false" outlineLevel="0" collapsed="false">
      <c r="A128" s="15"/>
      <c r="B128" s="15"/>
      <c r="C128" s="15"/>
      <c r="D128" s="15"/>
      <c r="E128" s="18"/>
      <c r="F128" s="18"/>
      <c r="G128" s="15"/>
      <c r="H128" s="15"/>
    </row>
    <row r="129" customFormat="false" ht="15" hidden="false" customHeight="false" outlineLevel="0" collapsed="false">
      <c r="A129" s="15"/>
      <c r="B129" s="15"/>
      <c r="C129" s="15"/>
      <c r="D129" s="15"/>
      <c r="E129" s="18"/>
      <c r="F129" s="18"/>
      <c r="G129" s="15"/>
      <c r="H129" s="15"/>
    </row>
    <row r="130" customFormat="false" ht="15" hidden="false" customHeight="false" outlineLevel="0" collapsed="false">
      <c r="A130" s="15"/>
      <c r="B130" s="15"/>
      <c r="C130" s="15"/>
      <c r="D130" s="15"/>
      <c r="E130" s="18"/>
      <c r="F130" s="18"/>
      <c r="G130" s="15"/>
      <c r="H130" s="15"/>
    </row>
    <row r="131" customFormat="false" ht="15" hidden="false" customHeight="false" outlineLevel="0" collapsed="false">
      <c r="A131" s="15"/>
      <c r="B131" s="15"/>
      <c r="C131" s="15"/>
      <c r="D131" s="15"/>
      <c r="E131" s="18"/>
      <c r="F131" s="18"/>
      <c r="G131" s="15"/>
      <c r="H131" s="15"/>
    </row>
    <row r="132" customFormat="false" ht="15" hidden="false" customHeight="false" outlineLevel="0" collapsed="false">
      <c r="A132" s="15"/>
      <c r="B132" s="15"/>
      <c r="C132" s="15"/>
      <c r="D132" s="15"/>
      <c r="E132" s="18"/>
      <c r="F132" s="18"/>
      <c r="G132" s="15"/>
      <c r="H132" s="15"/>
    </row>
    <row r="133" customFormat="false" ht="15" hidden="false" customHeight="false" outlineLevel="0" collapsed="false">
      <c r="A133" s="15"/>
      <c r="B133" s="15"/>
      <c r="C133" s="15"/>
      <c r="D133" s="15"/>
      <c r="E133" s="18"/>
      <c r="F133" s="18"/>
      <c r="G133" s="15"/>
      <c r="H133" s="15"/>
    </row>
    <row r="134" customFormat="false" ht="15" hidden="false" customHeight="false" outlineLevel="0" collapsed="false">
      <c r="A134" s="15"/>
      <c r="B134" s="15"/>
      <c r="C134" s="15"/>
      <c r="D134" s="15"/>
      <c r="E134" s="18"/>
      <c r="F134" s="18"/>
      <c r="G134" s="15"/>
      <c r="H134" s="15"/>
    </row>
    <row r="135" customFormat="false" ht="15" hidden="false" customHeight="false" outlineLevel="0" collapsed="false">
      <c r="A135" s="15"/>
      <c r="B135" s="15"/>
      <c r="C135" s="15"/>
      <c r="D135" s="15"/>
      <c r="E135" s="18"/>
      <c r="F135" s="18"/>
      <c r="G135" s="15"/>
      <c r="H135" s="15"/>
    </row>
    <row r="136" customFormat="false" ht="15" hidden="false" customHeight="false" outlineLevel="0" collapsed="false">
      <c r="A136" s="15"/>
      <c r="B136" s="15"/>
      <c r="C136" s="15"/>
      <c r="D136" s="15"/>
      <c r="E136" s="18"/>
      <c r="F136" s="18"/>
      <c r="G136" s="15"/>
      <c r="H136" s="15"/>
    </row>
    <row r="137" customFormat="false" ht="15" hidden="false" customHeight="false" outlineLevel="0" collapsed="false">
      <c r="A137" s="15"/>
      <c r="B137" s="15"/>
      <c r="C137" s="15"/>
      <c r="D137" s="15"/>
      <c r="E137" s="18"/>
      <c r="F137" s="18"/>
      <c r="G137" s="15"/>
      <c r="H137" s="15"/>
    </row>
    <row r="138" customFormat="false" ht="15" hidden="false" customHeight="false" outlineLevel="0" collapsed="false">
      <c r="A138" s="15"/>
      <c r="B138" s="15"/>
      <c r="C138" s="15"/>
      <c r="D138" s="15"/>
      <c r="E138" s="18"/>
      <c r="F138" s="18"/>
      <c r="G138" s="15"/>
      <c r="H138" s="15"/>
    </row>
    <row r="139" customFormat="false" ht="15" hidden="false" customHeight="false" outlineLevel="0" collapsed="false">
      <c r="A139" s="15"/>
      <c r="B139" s="15"/>
      <c r="C139" s="15"/>
      <c r="D139" s="15"/>
      <c r="E139" s="18"/>
      <c r="F139" s="18"/>
      <c r="G139" s="15"/>
      <c r="H139" s="15"/>
    </row>
    <row r="140" customFormat="false" ht="15" hidden="false" customHeight="false" outlineLevel="0" collapsed="false">
      <c r="A140" s="15"/>
      <c r="B140" s="15"/>
      <c r="C140" s="15"/>
      <c r="D140" s="15"/>
      <c r="E140" s="18"/>
      <c r="F140" s="18"/>
      <c r="G140" s="15"/>
      <c r="H140" s="15"/>
    </row>
    <row r="141" customFormat="false" ht="15" hidden="false" customHeight="false" outlineLevel="0" collapsed="false">
      <c r="A141" s="15"/>
      <c r="B141" s="15"/>
      <c r="C141" s="15"/>
      <c r="D141" s="15"/>
      <c r="E141" s="18"/>
      <c r="F141" s="18"/>
      <c r="G141" s="15"/>
      <c r="H141" s="15"/>
    </row>
    <row r="142" customFormat="false" ht="15" hidden="false" customHeight="false" outlineLevel="0" collapsed="false">
      <c r="A142" s="15"/>
      <c r="B142" s="15"/>
      <c r="C142" s="15"/>
      <c r="D142" s="15"/>
      <c r="E142" s="18"/>
      <c r="F142" s="18"/>
      <c r="G142" s="15"/>
      <c r="H142" s="15"/>
    </row>
    <row r="143" customFormat="false" ht="15" hidden="false" customHeight="false" outlineLevel="0" collapsed="false">
      <c r="A143" s="15"/>
      <c r="B143" s="15"/>
      <c r="C143" s="15"/>
      <c r="D143" s="15"/>
      <c r="E143" s="18"/>
      <c r="F143" s="18"/>
      <c r="G143" s="15"/>
      <c r="H143" s="15"/>
    </row>
    <row r="144" customFormat="false" ht="15" hidden="false" customHeight="false" outlineLevel="0" collapsed="false">
      <c r="A144" s="15"/>
      <c r="B144" s="15"/>
      <c r="C144" s="15"/>
      <c r="D144" s="15"/>
      <c r="E144" s="18"/>
      <c r="F144" s="18"/>
      <c r="G144" s="15"/>
      <c r="H144" s="15"/>
    </row>
    <row r="145" customFormat="false" ht="15" hidden="false" customHeight="false" outlineLevel="0" collapsed="false">
      <c r="A145" s="15"/>
      <c r="B145" s="15"/>
      <c r="C145" s="15"/>
      <c r="D145" s="15"/>
      <c r="E145" s="18"/>
      <c r="F145" s="18"/>
      <c r="G145" s="15"/>
      <c r="H145" s="15"/>
    </row>
    <row r="146" customFormat="false" ht="15" hidden="false" customHeight="false" outlineLevel="0" collapsed="false">
      <c r="A146" s="15"/>
      <c r="B146" s="15"/>
      <c r="C146" s="15"/>
      <c r="D146" s="15"/>
      <c r="E146" s="18"/>
      <c r="F146" s="18"/>
      <c r="G146" s="15"/>
      <c r="H146" s="15"/>
    </row>
    <row r="147" customFormat="false" ht="15" hidden="false" customHeight="false" outlineLevel="0" collapsed="false">
      <c r="A147" s="15"/>
      <c r="B147" s="15"/>
      <c r="C147" s="15"/>
      <c r="D147" s="15"/>
      <c r="E147" s="18"/>
      <c r="F147" s="18"/>
      <c r="G147" s="15"/>
      <c r="H147" s="15"/>
    </row>
    <row r="148" customFormat="false" ht="15" hidden="false" customHeight="false" outlineLevel="0" collapsed="false">
      <c r="A148" s="15"/>
      <c r="B148" s="15"/>
      <c r="C148" s="15"/>
      <c r="D148" s="15"/>
      <c r="E148" s="18"/>
      <c r="F148" s="18"/>
      <c r="G148" s="15"/>
      <c r="H148" s="15"/>
    </row>
    <row r="149" customFormat="false" ht="15" hidden="false" customHeight="false" outlineLevel="0" collapsed="false">
      <c r="A149" s="15"/>
      <c r="B149" s="15"/>
      <c r="C149" s="15"/>
      <c r="D149" s="15"/>
      <c r="E149" s="18"/>
      <c r="F149" s="18"/>
      <c r="G149" s="15"/>
      <c r="H149" s="15"/>
    </row>
    <row r="150" customFormat="false" ht="15" hidden="false" customHeight="false" outlineLevel="0" collapsed="false">
      <c r="A150" s="15"/>
      <c r="B150" s="15"/>
      <c r="C150" s="15"/>
      <c r="D150" s="15"/>
      <c r="E150" s="18"/>
      <c r="F150" s="18"/>
      <c r="G150" s="15"/>
      <c r="H150" s="15"/>
    </row>
    <row r="151" customFormat="false" ht="15" hidden="false" customHeight="false" outlineLevel="0" collapsed="false">
      <c r="A151" s="15"/>
      <c r="B151" s="15"/>
      <c r="C151" s="15"/>
      <c r="D151" s="15"/>
      <c r="E151" s="18"/>
      <c r="F151" s="18"/>
      <c r="G151" s="15"/>
      <c r="H151" s="15"/>
    </row>
    <row r="152" customFormat="false" ht="15" hidden="false" customHeight="false" outlineLevel="0" collapsed="false">
      <c r="A152" s="15"/>
      <c r="B152" s="15"/>
      <c r="C152" s="15"/>
      <c r="D152" s="15"/>
      <c r="E152" s="18"/>
      <c r="F152" s="18"/>
      <c r="G152" s="15"/>
      <c r="H152" s="15"/>
    </row>
    <row r="153" customFormat="false" ht="15" hidden="false" customHeight="false" outlineLevel="0" collapsed="false">
      <c r="A153" s="15"/>
      <c r="B153" s="15"/>
      <c r="C153" s="15"/>
      <c r="D153" s="15"/>
      <c r="E153" s="18"/>
      <c r="F153" s="18"/>
      <c r="G153" s="15"/>
      <c r="H153" s="15"/>
    </row>
    <row r="154" customFormat="false" ht="15" hidden="false" customHeight="false" outlineLevel="0" collapsed="false">
      <c r="A154" s="15"/>
      <c r="B154" s="15"/>
      <c r="C154" s="15"/>
      <c r="D154" s="15"/>
      <c r="E154" s="18"/>
      <c r="F154" s="18"/>
      <c r="G154" s="15"/>
      <c r="H154" s="15"/>
    </row>
    <row r="155" customFormat="false" ht="15" hidden="false" customHeight="false" outlineLevel="0" collapsed="false">
      <c r="A155" s="15"/>
      <c r="B155" s="15"/>
      <c r="C155" s="15"/>
      <c r="D155" s="15"/>
      <c r="E155" s="18"/>
      <c r="F155" s="18"/>
      <c r="G155" s="15"/>
      <c r="H155" s="15"/>
    </row>
    <row r="156" customFormat="false" ht="15" hidden="false" customHeight="false" outlineLevel="0" collapsed="false">
      <c r="A156" s="15"/>
      <c r="B156" s="15"/>
      <c r="C156" s="15"/>
      <c r="D156" s="15"/>
      <c r="E156" s="18"/>
      <c r="F156" s="18"/>
      <c r="G156" s="15"/>
      <c r="H156" s="15"/>
    </row>
    <row r="157" customFormat="false" ht="15" hidden="false" customHeight="false" outlineLevel="0" collapsed="false">
      <c r="A157" s="15"/>
      <c r="B157" s="15"/>
      <c r="C157" s="15"/>
      <c r="D157" s="15"/>
      <c r="E157" s="18"/>
      <c r="F157" s="18"/>
      <c r="G157" s="15"/>
      <c r="H157" s="15"/>
    </row>
    <row r="158" customFormat="false" ht="15" hidden="false" customHeight="false" outlineLevel="0" collapsed="false">
      <c r="A158" s="15"/>
      <c r="B158" s="15"/>
      <c r="C158" s="15"/>
      <c r="D158" s="15"/>
      <c r="E158" s="18"/>
      <c r="F158" s="18"/>
      <c r="G158" s="15"/>
      <c r="H158" s="15"/>
    </row>
    <row r="159" customFormat="false" ht="15" hidden="false" customHeight="false" outlineLevel="0" collapsed="false">
      <c r="A159" s="15"/>
      <c r="B159" s="15"/>
      <c r="C159" s="15"/>
      <c r="D159" s="15"/>
      <c r="E159" s="18"/>
      <c r="F159" s="18"/>
      <c r="G159" s="15"/>
      <c r="H159" s="15"/>
    </row>
    <row r="160" customFormat="false" ht="15" hidden="false" customHeight="false" outlineLevel="0" collapsed="false">
      <c r="A160" s="15"/>
      <c r="B160" s="15"/>
      <c r="C160" s="15"/>
      <c r="D160" s="15"/>
      <c r="E160" s="18"/>
      <c r="F160" s="18"/>
      <c r="G160" s="15"/>
      <c r="H160" s="15"/>
    </row>
    <row r="161" customFormat="false" ht="15" hidden="false" customHeight="false" outlineLevel="0" collapsed="false">
      <c r="A161" s="15"/>
      <c r="B161" s="15"/>
      <c r="C161" s="15"/>
      <c r="D161" s="15"/>
      <c r="E161" s="18"/>
      <c r="F161" s="18"/>
      <c r="G161" s="15"/>
      <c r="H161" s="15"/>
    </row>
    <row r="162" customFormat="false" ht="15" hidden="false" customHeight="false" outlineLevel="0" collapsed="false">
      <c r="A162" s="15"/>
      <c r="B162" s="15"/>
      <c r="C162" s="15"/>
      <c r="D162" s="15"/>
      <c r="E162" s="18"/>
      <c r="F162" s="18"/>
      <c r="G162" s="15"/>
      <c r="H162" s="15"/>
    </row>
    <row r="163" customFormat="false" ht="15" hidden="false" customHeight="false" outlineLevel="0" collapsed="false">
      <c r="A163" s="15"/>
      <c r="B163" s="15"/>
      <c r="C163" s="15"/>
      <c r="D163" s="15"/>
      <c r="E163" s="18"/>
      <c r="F163" s="18"/>
      <c r="G163" s="15"/>
      <c r="H163" s="15"/>
    </row>
    <row r="164" customFormat="false" ht="15" hidden="false" customHeight="false" outlineLevel="0" collapsed="false">
      <c r="A164" s="15"/>
      <c r="B164" s="15"/>
      <c r="C164" s="15"/>
      <c r="D164" s="15"/>
      <c r="E164" s="18"/>
      <c r="F164" s="18"/>
      <c r="G164" s="15"/>
      <c r="H164" s="15"/>
    </row>
    <row r="165" customFormat="false" ht="15" hidden="false" customHeight="false" outlineLevel="0" collapsed="false">
      <c r="A165" s="15"/>
      <c r="B165" s="15"/>
      <c r="C165" s="15"/>
      <c r="D165" s="15"/>
      <c r="E165" s="18"/>
      <c r="F165" s="18"/>
      <c r="G165" s="15"/>
      <c r="H165" s="15"/>
    </row>
    <row r="166" customFormat="false" ht="15" hidden="false" customHeight="false" outlineLevel="0" collapsed="false">
      <c r="A166" s="15"/>
      <c r="B166" s="15"/>
      <c r="C166" s="15"/>
      <c r="D166" s="15"/>
      <c r="E166" s="18"/>
      <c r="F166" s="18"/>
      <c r="G166" s="15"/>
      <c r="H166" s="15"/>
    </row>
    <row r="167" customFormat="false" ht="15" hidden="false" customHeight="false" outlineLevel="0" collapsed="false">
      <c r="A167" s="15"/>
      <c r="B167" s="15"/>
      <c r="C167" s="15"/>
      <c r="D167" s="15"/>
      <c r="E167" s="18"/>
      <c r="F167" s="18"/>
      <c r="G167" s="15"/>
      <c r="H167" s="15"/>
    </row>
    <row r="168" customFormat="false" ht="15" hidden="false" customHeight="false" outlineLevel="0" collapsed="false">
      <c r="A168" s="15"/>
      <c r="B168" s="15"/>
      <c r="C168" s="15"/>
      <c r="D168" s="15"/>
      <c r="E168" s="18"/>
      <c r="F168" s="18"/>
      <c r="G168" s="15"/>
      <c r="H168" s="15"/>
    </row>
    <row r="169" customFormat="false" ht="15" hidden="false" customHeight="false" outlineLevel="0" collapsed="false">
      <c r="A169" s="15"/>
      <c r="B169" s="15"/>
      <c r="C169" s="15"/>
      <c r="D169" s="15"/>
      <c r="E169" s="18"/>
      <c r="F169" s="18"/>
      <c r="G169" s="15"/>
      <c r="H169" s="15"/>
    </row>
    <row r="170" customFormat="false" ht="15" hidden="false" customHeight="false" outlineLevel="0" collapsed="false">
      <c r="A170" s="15"/>
      <c r="B170" s="15"/>
      <c r="C170" s="15"/>
      <c r="D170" s="15"/>
      <c r="E170" s="18"/>
      <c r="F170" s="18"/>
      <c r="G170" s="15"/>
      <c r="H170" s="15"/>
    </row>
    <row r="171" customFormat="false" ht="15" hidden="false" customHeight="false" outlineLevel="0" collapsed="false">
      <c r="A171" s="15"/>
      <c r="B171" s="15"/>
      <c r="C171" s="15"/>
      <c r="D171" s="15"/>
      <c r="E171" s="18"/>
      <c r="F171" s="18"/>
      <c r="G171" s="15"/>
      <c r="H171" s="15"/>
    </row>
    <row r="172" customFormat="false" ht="15" hidden="false" customHeight="false" outlineLevel="0" collapsed="false">
      <c r="A172" s="15"/>
      <c r="B172" s="15"/>
      <c r="C172" s="15"/>
      <c r="D172" s="15"/>
      <c r="E172" s="18"/>
      <c r="F172" s="18"/>
      <c r="G172" s="15"/>
      <c r="H172" s="15"/>
    </row>
    <row r="173" customFormat="false" ht="15" hidden="false" customHeight="false" outlineLevel="0" collapsed="false">
      <c r="A173" s="15"/>
      <c r="B173" s="15"/>
      <c r="C173" s="15"/>
      <c r="D173" s="15"/>
      <c r="E173" s="18"/>
      <c r="F173" s="18"/>
      <c r="G173" s="15"/>
      <c r="H173" s="15"/>
    </row>
    <row r="174" customFormat="false" ht="15" hidden="false" customHeight="false" outlineLevel="0" collapsed="false">
      <c r="A174" s="15"/>
      <c r="B174" s="15"/>
      <c r="C174" s="15"/>
      <c r="D174" s="15"/>
      <c r="E174" s="18"/>
      <c r="F174" s="18"/>
      <c r="G174" s="15"/>
      <c r="H174" s="15"/>
    </row>
    <row r="175" customFormat="false" ht="15" hidden="false" customHeight="false" outlineLevel="0" collapsed="false">
      <c r="A175" s="15"/>
      <c r="B175" s="15"/>
      <c r="C175" s="15"/>
      <c r="D175" s="15"/>
      <c r="E175" s="18"/>
      <c r="F175" s="18"/>
      <c r="G175" s="15"/>
      <c r="H175" s="15"/>
    </row>
    <row r="176" customFormat="false" ht="15" hidden="false" customHeight="false" outlineLevel="0" collapsed="false">
      <c r="A176" s="15"/>
      <c r="B176" s="15"/>
      <c r="C176" s="15"/>
      <c r="D176" s="15"/>
      <c r="E176" s="18"/>
      <c r="F176" s="18"/>
      <c r="G176" s="15"/>
      <c r="H176" s="15"/>
    </row>
    <row r="177" customFormat="false" ht="15" hidden="false" customHeight="false" outlineLevel="0" collapsed="false">
      <c r="A177" s="15"/>
      <c r="B177" s="15"/>
      <c r="C177" s="15"/>
      <c r="D177" s="15"/>
      <c r="E177" s="18"/>
      <c r="F177" s="18"/>
      <c r="G177" s="15"/>
      <c r="H177" s="15"/>
    </row>
    <row r="178" customFormat="false" ht="15" hidden="false" customHeight="false" outlineLevel="0" collapsed="false">
      <c r="A178" s="15"/>
      <c r="B178" s="15"/>
      <c r="C178" s="15"/>
      <c r="D178" s="15"/>
      <c r="E178" s="18"/>
      <c r="F178" s="18"/>
      <c r="G178" s="15"/>
      <c r="H178" s="15"/>
    </row>
    <row r="179" customFormat="false" ht="15" hidden="false" customHeight="false" outlineLevel="0" collapsed="false">
      <c r="A179" s="15"/>
      <c r="B179" s="15"/>
      <c r="C179" s="15"/>
      <c r="D179" s="15"/>
      <c r="E179" s="18"/>
      <c r="F179" s="18"/>
      <c r="G179" s="15"/>
      <c r="H179" s="15"/>
    </row>
    <row r="180" customFormat="false" ht="15" hidden="false" customHeight="false" outlineLevel="0" collapsed="false">
      <c r="A180" s="15"/>
      <c r="B180" s="15"/>
      <c r="C180" s="15"/>
      <c r="D180" s="15"/>
      <c r="E180" s="18"/>
      <c r="F180" s="18"/>
      <c r="G180" s="15"/>
      <c r="H180" s="15"/>
    </row>
    <row r="181" customFormat="false" ht="15" hidden="false" customHeight="false" outlineLevel="0" collapsed="false">
      <c r="A181" s="15"/>
      <c r="B181" s="15"/>
      <c r="C181" s="15"/>
      <c r="D181" s="15"/>
      <c r="E181" s="18"/>
      <c r="F181" s="18"/>
      <c r="G181" s="15"/>
      <c r="H181" s="15"/>
    </row>
    <row r="182" customFormat="false" ht="15" hidden="false" customHeight="false" outlineLevel="0" collapsed="false">
      <c r="A182" s="15"/>
      <c r="B182" s="15"/>
      <c r="C182" s="15"/>
      <c r="D182" s="15"/>
      <c r="E182" s="18"/>
      <c r="F182" s="18"/>
      <c r="G182" s="15"/>
      <c r="H182" s="15"/>
    </row>
    <row r="183" customFormat="false" ht="15" hidden="false" customHeight="false" outlineLevel="0" collapsed="false">
      <c r="A183" s="15"/>
      <c r="B183" s="15"/>
      <c r="C183" s="15"/>
      <c r="D183" s="15"/>
      <c r="E183" s="18"/>
      <c r="F183" s="18"/>
      <c r="G183" s="15"/>
      <c r="H183" s="15"/>
    </row>
    <row r="184" customFormat="false" ht="15" hidden="false" customHeight="false" outlineLevel="0" collapsed="false">
      <c r="A184" s="15"/>
      <c r="B184" s="15"/>
      <c r="C184" s="15"/>
      <c r="D184" s="15"/>
      <c r="E184" s="18"/>
      <c r="F184" s="18"/>
      <c r="G184" s="15"/>
      <c r="H184" s="15"/>
    </row>
    <row r="185" customFormat="false" ht="15" hidden="false" customHeight="false" outlineLevel="0" collapsed="false">
      <c r="A185" s="15"/>
      <c r="B185" s="15"/>
      <c r="C185" s="15"/>
      <c r="D185" s="15"/>
      <c r="E185" s="18"/>
      <c r="F185" s="18"/>
      <c r="G185" s="15"/>
      <c r="H185" s="15"/>
    </row>
    <row r="186" customFormat="false" ht="15" hidden="false" customHeight="false" outlineLevel="0" collapsed="false">
      <c r="A186" s="15"/>
      <c r="B186" s="15"/>
      <c r="C186" s="15"/>
      <c r="D186" s="15"/>
      <c r="E186" s="18"/>
      <c r="F186" s="18"/>
      <c r="G186" s="15"/>
      <c r="H186" s="15"/>
    </row>
    <row r="187" customFormat="false" ht="15" hidden="false" customHeight="false" outlineLevel="0" collapsed="false">
      <c r="A187" s="15"/>
      <c r="B187" s="15"/>
      <c r="C187" s="15"/>
      <c r="D187" s="15"/>
      <c r="E187" s="18"/>
      <c r="F187" s="18"/>
      <c r="G187" s="15"/>
      <c r="H187" s="15"/>
    </row>
    <row r="188" customFormat="false" ht="15" hidden="false" customHeight="false" outlineLevel="0" collapsed="false">
      <c r="A188" s="15"/>
      <c r="B188" s="15"/>
      <c r="C188" s="15"/>
      <c r="D188" s="15"/>
      <c r="E188" s="18"/>
      <c r="F188" s="18"/>
      <c r="G188" s="15"/>
      <c r="H188" s="15"/>
    </row>
    <row r="189" customFormat="false" ht="15" hidden="false" customHeight="false" outlineLevel="0" collapsed="false">
      <c r="A189" s="15"/>
      <c r="B189" s="15"/>
      <c r="C189" s="15"/>
      <c r="D189" s="15"/>
      <c r="E189" s="18"/>
      <c r="F189" s="18"/>
      <c r="G189" s="15"/>
      <c r="H189" s="15"/>
    </row>
    <row r="190" customFormat="false" ht="15" hidden="false" customHeight="false" outlineLevel="0" collapsed="false">
      <c r="A190" s="15"/>
      <c r="B190" s="15"/>
      <c r="C190" s="15"/>
      <c r="D190" s="15"/>
      <c r="E190" s="18"/>
      <c r="F190" s="18"/>
      <c r="G190" s="15"/>
      <c r="H190" s="15"/>
    </row>
    <row r="191" customFormat="false" ht="15" hidden="false" customHeight="false" outlineLevel="0" collapsed="false">
      <c r="A191" s="15"/>
      <c r="B191" s="15"/>
      <c r="C191" s="15"/>
      <c r="D191" s="15"/>
      <c r="E191" s="18"/>
      <c r="F191" s="18"/>
      <c r="G191" s="15"/>
      <c r="H191" s="15"/>
    </row>
    <row r="192" customFormat="false" ht="15" hidden="false" customHeight="false" outlineLevel="0" collapsed="false">
      <c r="A192" s="15"/>
      <c r="B192" s="15"/>
      <c r="C192" s="15"/>
      <c r="D192" s="15"/>
      <c r="E192" s="18"/>
      <c r="F192" s="18"/>
      <c r="G192" s="15"/>
      <c r="H192" s="15"/>
    </row>
    <row r="193" customFormat="false" ht="15" hidden="false" customHeight="false" outlineLevel="0" collapsed="false">
      <c r="A193" s="15"/>
      <c r="B193" s="15"/>
      <c r="C193" s="15"/>
      <c r="D193" s="15"/>
      <c r="E193" s="18"/>
      <c r="F193" s="18"/>
      <c r="G193" s="15"/>
      <c r="H193" s="15"/>
    </row>
    <row r="194" customFormat="false" ht="15" hidden="false" customHeight="false" outlineLevel="0" collapsed="false">
      <c r="A194" s="15"/>
      <c r="B194" s="15"/>
      <c r="C194" s="15"/>
      <c r="D194" s="15"/>
      <c r="E194" s="18"/>
      <c r="F194" s="18"/>
      <c r="G194" s="15"/>
      <c r="H194" s="15"/>
    </row>
    <row r="195" customFormat="false" ht="15" hidden="false" customHeight="false" outlineLevel="0" collapsed="false">
      <c r="A195" s="15"/>
      <c r="B195" s="15"/>
      <c r="C195" s="15"/>
      <c r="D195" s="15"/>
      <c r="E195" s="18"/>
      <c r="F195" s="18"/>
      <c r="G195" s="15"/>
      <c r="H195" s="15"/>
    </row>
    <row r="196" customFormat="false" ht="15" hidden="false" customHeight="false" outlineLevel="0" collapsed="false">
      <c r="A196" s="15"/>
      <c r="B196" s="15"/>
      <c r="C196" s="15"/>
      <c r="D196" s="15"/>
      <c r="E196" s="18"/>
      <c r="F196" s="18"/>
      <c r="G196" s="15"/>
      <c r="H196" s="15"/>
    </row>
    <row r="197" customFormat="false" ht="15" hidden="false" customHeight="false" outlineLevel="0" collapsed="false">
      <c r="A197" s="15"/>
      <c r="B197" s="15"/>
      <c r="C197" s="15"/>
      <c r="D197" s="15"/>
      <c r="E197" s="18"/>
      <c r="F197" s="18"/>
      <c r="G197" s="15"/>
      <c r="H197" s="15"/>
    </row>
    <row r="198" customFormat="false" ht="15" hidden="false" customHeight="false" outlineLevel="0" collapsed="false">
      <c r="A198" s="15"/>
      <c r="B198" s="15"/>
      <c r="C198" s="15"/>
      <c r="D198" s="15"/>
      <c r="E198" s="18"/>
      <c r="F198" s="18"/>
      <c r="G198" s="15"/>
      <c r="H198" s="15"/>
    </row>
    <row r="199" customFormat="false" ht="15" hidden="false" customHeight="false" outlineLevel="0" collapsed="false">
      <c r="A199" s="15"/>
      <c r="B199" s="15"/>
      <c r="C199" s="15"/>
      <c r="D199" s="15"/>
      <c r="E199" s="18"/>
      <c r="F199" s="18"/>
      <c r="G199" s="15"/>
      <c r="H199" s="15"/>
    </row>
    <row r="200" customFormat="false" ht="15" hidden="false" customHeight="false" outlineLevel="0" collapsed="false">
      <c r="A200" s="15"/>
      <c r="B200" s="15"/>
      <c r="C200" s="15"/>
      <c r="D200" s="15"/>
      <c r="E200" s="18"/>
      <c r="F200" s="18"/>
      <c r="G200" s="15"/>
      <c r="H200" s="15"/>
    </row>
    <row r="201" customFormat="false" ht="15" hidden="false" customHeight="false" outlineLevel="0" collapsed="false">
      <c r="A201" s="15"/>
      <c r="B201" s="15"/>
      <c r="C201" s="15"/>
      <c r="D201" s="15"/>
      <c r="E201" s="18"/>
      <c r="F201" s="18"/>
      <c r="G201" s="15"/>
      <c r="H201" s="15"/>
    </row>
    <row r="202" customFormat="false" ht="15" hidden="false" customHeight="false" outlineLevel="0" collapsed="false">
      <c r="A202" s="15"/>
      <c r="B202" s="15"/>
      <c r="C202" s="15"/>
      <c r="D202" s="15"/>
      <c r="E202" s="18"/>
      <c r="F202" s="18"/>
      <c r="G202" s="15"/>
      <c r="H202" s="15"/>
    </row>
    <row r="203" customFormat="false" ht="15" hidden="false" customHeight="false" outlineLevel="0" collapsed="false">
      <c r="A203" s="15"/>
      <c r="B203" s="15"/>
      <c r="C203" s="15"/>
      <c r="D203" s="15"/>
      <c r="E203" s="18"/>
      <c r="F203" s="18"/>
      <c r="G203" s="15"/>
      <c r="H203" s="15"/>
    </row>
    <row r="204" customFormat="false" ht="15" hidden="false" customHeight="false" outlineLevel="0" collapsed="false">
      <c r="A204" s="15"/>
      <c r="B204" s="15"/>
      <c r="C204" s="15"/>
      <c r="D204" s="15"/>
      <c r="E204" s="18"/>
      <c r="F204" s="18"/>
      <c r="G204" s="15"/>
      <c r="H204" s="15"/>
    </row>
  </sheetData>
  <autoFilter ref="A4:H204"/>
  <dataValidations count="1">
    <dataValidation allowBlank="true" error="Pick a value from the list." errorStyle="stop" operator="between" showDropDown="false" showErrorMessage="true" showInputMessage="false" sqref="G5:G204" type="list">
      <formula1>Lists!$I$2:$I$4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0" width="26"/>
  </cols>
  <sheetData>
    <row r="1" customFormat="false" ht="15" hidden="false" customHeight="false" outlineLevel="0" collapsed="false">
      <c r="A1" s="19" t="s">
        <v>189</v>
      </c>
      <c r="B1" s="19" t="s">
        <v>190</v>
      </c>
      <c r="C1" s="19" t="s">
        <v>191</v>
      </c>
      <c r="D1" s="19" t="s">
        <v>192</v>
      </c>
      <c r="E1" s="19" t="s">
        <v>193</v>
      </c>
      <c r="F1" s="19" t="s">
        <v>194</v>
      </c>
      <c r="G1" s="19" t="s">
        <v>195</v>
      </c>
      <c r="H1" s="19" t="s">
        <v>196</v>
      </c>
      <c r="I1" s="19" t="s">
        <v>197</v>
      </c>
    </row>
    <row r="2" customFormat="false" ht="15" hidden="false" customHeight="false" outlineLevel="0" collapsed="false">
      <c r="A2" s="20" t="s">
        <v>198</v>
      </c>
      <c r="B2" s="20" t="s">
        <v>158</v>
      </c>
      <c r="C2" s="20" t="s">
        <v>159</v>
      </c>
      <c r="D2" s="20" t="s">
        <v>165</v>
      </c>
      <c r="E2" s="20" t="s">
        <v>162</v>
      </c>
      <c r="F2" s="20" t="s">
        <v>162</v>
      </c>
      <c r="G2" s="20" t="s">
        <v>171</v>
      </c>
      <c r="H2" s="20" t="s">
        <v>199</v>
      </c>
      <c r="I2" s="20" t="s">
        <v>188</v>
      </c>
    </row>
    <row r="3" customFormat="false" ht="15" hidden="false" customHeight="false" outlineLevel="0" collapsed="false">
      <c r="A3" s="20" t="s">
        <v>200</v>
      </c>
      <c r="B3" s="20" t="s">
        <v>201</v>
      </c>
      <c r="C3" s="20" t="s">
        <v>202</v>
      </c>
      <c r="D3" s="20" t="s">
        <v>203</v>
      </c>
      <c r="E3" s="20" t="s">
        <v>204</v>
      </c>
      <c r="F3" s="20" t="s">
        <v>204</v>
      </c>
      <c r="G3" s="20" t="s">
        <v>205</v>
      </c>
      <c r="H3" s="20" t="s">
        <v>181</v>
      </c>
      <c r="I3" s="20" t="s">
        <v>206</v>
      </c>
    </row>
    <row r="4" customFormat="false" ht="15" hidden="false" customHeight="false" outlineLevel="0" collapsed="false">
      <c r="A4" s="20" t="s">
        <v>156</v>
      </c>
      <c r="B4" s="20" t="s">
        <v>207</v>
      </c>
      <c r="C4" s="20" t="s">
        <v>208</v>
      </c>
      <c r="D4" s="20" t="s">
        <v>209</v>
      </c>
      <c r="F4" s="20" t="s">
        <v>210</v>
      </c>
      <c r="G4" s="20" t="s">
        <v>211</v>
      </c>
      <c r="I4" s="20" t="s">
        <v>212</v>
      </c>
    </row>
    <row r="5" customFormat="false" ht="15" hidden="false" customHeight="false" outlineLevel="0" collapsed="false">
      <c r="A5" s="20" t="s">
        <v>213</v>
      </c>
      <c r="B5" s="20" t="s">
        <v>214</v>
      </c>
      <c r="C5" s="20" t="s">
        <v>215</v>
      </c>
      <c r="G5" s="20" t="s">
        <v>216</v>
      </c>
    </row>
    <row r="6" customFormat="false" ht="15" hidden="false" customHeight="false" outlineLevel="0" collapsed="false">
      <c r="A6" s="20" t="s">
        <v>217</v>
      </c>
      <c r="B6" s="20" t="s">
        <v>218</v>
      </c>
      <c r="G6" s="20" t="s">
        <v>215</v>
      </c>
    </row>
    <row r="7" customFormat="false" ht="15" hidden="false" customHeight="false" outlineLevel="0" collapsed="false">
      <c r="B7" s="20" t="s">
        <v>219</v>
      </c>
    </row>
    <row r="8" customFormat="false" ht="15" hidden="false" customHeight="false" outlineLevel="0" collapsed="false">
      <c r="B8" s="20" t="s">
        <v>220</v>
      </c>
    </row>
    <row r="9" customFormat="false" ht="15" hidden="false" customHeight="false" outlineLevel="0" collapsed="false">
      <c r="B9" s="20"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9" t="s">
        <v>221</v>
      </c>
    </row>
    <row r="2" customFormat="false" ht="15" hidden="false" customHeight="false" outlineLevel="0" collapsed="false">
      <c r="A2" s="10" t="s">
        <v>222</v>
      </c>
    </row>
    <row r="3" customFormat="false" ht="15" hidden="false" customHeight="false" outlineLevel="0" collapsed="false">
      <c r="A3" s="19" t="s">
        <v>223</v>
      </c>
      <c r="B3" s="21" t="str">
        <f aca="false">IF(COUNTIF(C6:C15,"REVIEW")=0,"ALL CHECKS PASS","REVIEW ITEMS: "&amp;COUNTIF(C6:C15,"REVIEW"))</f>
        <v>ALL CHECKS PASS</v>
      </c>
    </row>
    <row r="5" customFormat="false" ht="15" hidden="false" customHeight="false" outlineLevel="0" collapsed="false">
      <c r="A5" s="5" t="s">
        <v>224</v>
      </c>
      <c r="B5" s="5" t="s">
        <v>225</v>
      </c>
      <c r="C5" s="5" t="s">
        <v>143</v>
      </c>
      <c r="D5" s="5" t="s">
        <v>226</v>
      </c>
    </row>
    <row r="6" customFormat="false" ht="15" hidden="false" customHeight="false" outlineLevel="0" collapsed="false">
      <c r="A6" s="22" t="s">
        <v>227</v>
      </c>
      <c r="B6" s="22" t="n">
        <f aca="false">COUNTA(System_Inventory!A5:A204)</f>
        <v>1</v>
      </c>
      <c r="C6" s="22" t="s">
        <v>228</v>
      </c>
      <c r="D6" s="22" t="s">
        <v>229</v>
      </c>
    </row>
    <row r="7" customFormat="false" ht="15" hidden="false" customHeight="false" outlineLevel="0" collapsed="false">
      <c r="A7" s="22" t="s">
        <v>230</v>
      </c>
      <c r="B7" s="22" t="n">
        <f aca="false">SUMPRODUCT((System_Inventory!A5:A204&lt;&gt;"")*(COUNTIF(System_Inventory!A5:A204,System_Inventory!A5:A204)&gt;1))</f>
        <v>0</v>
      </c>
      <c r="C7" s="22" t="str">
        <f aca="false">IF(B7=0,"PASS","REVIEW")</f>
        <v>PASS</v>
      </c>
      <c r="D7" s="22" t="s">
        <v>231</v>
      </c>
    </row>
    <row r="8" customFormat="false" ht="15" hidden="false" customHeight="false" outlineLevel="0" collapsed="false">
      <c r="A8" s="22" t="s">
        <v>232</v>
      </c>
      <c r="B8" s="22" t="n">
        <f aca="false">SUMPRODUCT((System_Inventory!R5:R204&lt;&gt;"")*(System_Inventory!R5:R204&lt;&gt;"OK")*(LEFT(System_Inventory!R5:R204,2)&lt;&gt;"OK"))</f>
        <v>0</v>
      </c>
      <c r="C8" s="22" t="str">
        <f aca="false">IF(B8=0,"PASS","REVIEW")</f>
        <v>PASS</v>
      </c>
      <c r="D8" s="22" t="s">
        <v>233</v>
      </c>
    </row>
    <row r="9" customFormat="false" ht="15" hidden="false" customHeight="false" outlineLevel="0" collapsed="false">
      <c r="A9" s="22" t="s">
        <v>234</v>
      </c>
      <c r="B9" s="22" t="n">
        <f aca="false">SUMPRODUCT((System_Inventory!O5:O204="Validated")*(System_Inventory!P5:P204=""))</f>
        <v>0</v>
      </c>
      <c r="C9" s="22" t="str">
        <f aca="false">IF(B9=0,"PASS","REVIEW")</f>
        <v>PASS</v>
      </c>
      <c r="D9" s="22" t="s">
        <v>235</v>
      </c>
    </row>
    <row r="10" customFormat="false" ht="15" hidden="false" customHeight="false" outlineLevel="0" collapsed="false">
      <c r="A10" s="22" t="s">
        <v>236</v>
      </c>
      <c r="B10" s="22" t="n">
        <f aca="false">SUMPRODUCT((System_Inventory!O5:O204&lt;&gt;"")*(System_Inventory!O5:O204&lt;&gt;"Validated"))</f>
        <v>0</v>
      </c>
      <c r="C10" s="22" t="s">
        <v>228</v>
      </c>
      <c r="D10" s="22" t="s">
        <v>237</v>
      </c>
    </row>
    <row r="11" customFormat="false" ht="15" hidden="false" customHeight="false" outlineLevel="0" collapsed="false">
      <c r="A11" s="22" t="s">
        <v>238</v>
      </c>
      <c r="B11" s="22" t="n">
        <f aca="false">COUNTIF(System_Inventory!K5:K204,"TBC")</f>
        <v>0</v>
      </c>
      <c r="C11" s="22" t="s">
        <v>228</v>
      </c>
      <c r="D11" s="22" t="s">
        <v>239</v>
      </c>
    </row>
    <row r="12" customFormat="false" ht="15" hidden="false" customHeight="false" outlineLevel="0" collapsed="false">
      <c r="A12" s="22" t="s">
        <v>240</v>
      </c>
      <c r="B12" s="22" t="n">
        <f aca="false">SUMPRODUCT((Server_Detail!B5:B204&lt;&gt;"")*(COUNTIF(System_Inventory!A5:A204,Server_Detail!B5:B204)=0))</f>
        <v>0</v>
      </c>
      <c r="C12" s="22" t="str">
        <f aca="false">IF(B12=0,"PASS","REVIEW")</f>
        <v>PASS</v>
      </c>
      <c r="D12" s="22" t="s">
        <v>241</v>
      </c>
    </row>
    <row r="13" customFormat="false" ht="15" hidden="false" customHeight="false" outlineLevel="0" collapsed="false">
      <c r="A13" s="22" t="s">
        <v>242</v>
      </c>
      <c r="B13" s="22" t="n">
        <f aca="false">COUNTA(Transport_Routes!A5:A204)</f>
        <v>1</v>
      </c>
      <c r="C13" s="22" t="str">
        <f aca="false">IF(B13&gt;0,"PASS","REVIEW")</f>
        <v>PASS</v>
      </c>
      <c r="D13" s="22" t="s">
        <v>243</v>
      </c>
    </row>
    <row r="14" customFormat="false" ht="15" hidden="false" customHeight="false" outlineLevel="0" collapsed="false">
      <c r="A14" s="22" t="s">
        <v>244</v>
      </c>
      <c r="B14" s="22" t="n">
        <f aca="false">COUNTIF(Transport_Routes!H5:H204,"BYPASS*")</f>
        <v>0</v>
      </c>
      <c r="C14" s="22" t="str">
        <f aca="false">IF(B14=0,"PASS","REVIEW")</f>
        <v>PASS</v>
      </c>
      <c r="D14" s="22" t="s">
        <v>245</v>
      </c>
    </row>
    <row r="15" customFormat="false" ht="15" hidden="false" customHeight="false" outlineLevel="0" collapsed="false">
      <c r="A15" s="22" t="s">
        <v>246</v>
      </c>
      <c r="B15" s="22" t="n">
        <f aca="false">COUNTIF(Open_Items!G5:G204,"Open")+COUNTIF(Open_Items!G5:G204,"In progress")</f>
        <v>1</v>
      </c>
      <c r="C15" s="22" t="s">
        <v>228</v>
      </c>
      <c r="D15" s="22" t="s">
        <v>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2026-10-03T01:34:29Z</dcterms:created>
  <dc:creator>openpyxl</dc:creator>
  <dc:description/>
  <dc:language>en-US</dc:language>
  <cp:lastModifiedBy/>
  <dcterms:modified xsi:type="dcterms:W3CDTF">2026-10-03T01:34:30Z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