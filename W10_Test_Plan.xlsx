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st_Plan" sheetId="2" state="visible" r:id="rId4"/>
    <sheet name="Sample_Guide" sheetId="3" state="visible" r:id="rId5"/>
    <sheet name="Ref_CTRL" sheetId="4" state="visible" r:id="rId6"/>
    <sheet name="Ref_EV" sheetId="5" state="visible" r:id="rId7"/>
    <sheet name="Lists" sheetId="6" state="hidden" r:id="rId8"/>
    <sheet name="Checks" sheetId="7" state="visible" r:id="rId9"/>
  </sheets>
  <definedNames>
    <definedName function="false" hidden="true" localSheetId="1" name="_xlnm._FilterDatabase" vbProcedure="false">Test_Plan!$A$4:$X$204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<sst xmlns="http://schemas.openxmlformats.org/spreadsheetml/2006/main" count="287" uniqueCount="175">
  <si>
    <t xml:space="preserve">TIB SYSTEMS LLC  |  SAP Controls Project Foundation Workbook Set</t>
  </si>
  <si>
    <t xml:space="preserve">W10 — Test Plan / Testing Program</t>
  </si>
  <si>
    <t xml:space="preserve">Purpose</t>
  </si>
  <si>
    <t xml:space="preserve">Converts the RCM into a schedule of tests. Every in-scope key control gets a test of design (TOD) and a test of operating effectiveness (TOE) with attributes, procedure, population, sample size, period, tester, reviewer and dates.</t>
  </si>
  <si>
    <t xml:space="preserve">How to use this workbook</t>
  </si>
  <si>
    <t xml:space="preserve">1. Paste controls from W05 into Ref_CTRL, and evidence IDs with IPE result and record count from W09 into Ref_EV.</t>
  </si>
  <si>
    <t xml:space="preserve">2. Filter W05 for SOX in scope = Y. Create a TOD and a TOE row for each key control; derive attributes from the control description.</t>
  </si>
  <si>
    <t xml:space="preserve">3. Set sample size from the Sample_Guide (edit the guide to match engagement methodology). Mark ITGC reliance.</t>
  </si>
  <si>
    <t xml:space="preserve">4. Assign testers and reviewers (different people). Schedule ITGC tests before dependent ITAC/IPE tests.</t>
  </si>
  <si>
    <t xml:space="preserve">5. Update Status and Result only after review. Read the Checks tab.</t>
  </si>
  <si>
    <t xml:space="preserve">Colour legend</t>
  </si>
  <si>
    <t xml:space="preserve">Yellow cells with blue text = you enter data here.   Grey cells = formulas (do not overwrite).   Row 5 of each register is a worked ABC Manufacturing example: overwrite it with your first record.</t>
  </si>
  <si>
    <t xml:space="preserve">Completion gate</t>
  </si>
  <si>
    <t xml:space="preserve">Every SOX in-scope key control has a TOD and a TOE row.</t>
  </si>
  <si>
    <t xml:space="preserve">Every row has attributes derived from the control description.</t>
  </si>
  <si>
    <t xml:space="preserve">Sample sizes follow the guide or a justified deviation.</t>
  </si>
  <si>
    <t xml:space="preserve">ITGC tests are scheduled before dependent ITAC/IPE tests.</t>
  </si>
  <si>
    <t xml:space="preserve">Manual reference</t>
  </si>
  <si>
    <t xml:space="preserve">Part 2, Session 11 (W10).</t>
  </si>
  <si>
    <t xml:space="preserve">Column dictionary</t>
  </si>
  <si>
    <t xml:space="preserve">Tab</t>
  </si>
  <si>
    <t xml:space="preserve">Field</t>
  </si>
  <si>
    <t xml:space="preserve">Definition</t>
  </si>
  <si>
    <t xml:space="preserve">Allowed values / rule</t>
  </si>
  <si>
    <t xml:space="preserve">Type</t>
  </si>
  <si>
    <t xml:space="preserve">Test_Plan</t>
  </si>
  <si>
    <t xml:space="preserve">TEST-ID</t>
  </si>
  <si>
    <t xml:space="preserve">Unique key</t>
  </si>
  <si>
    <t xml:space="preserve">&lt;CTRL-ID&gt;-TOD or -TOE</t>
  </si>
  <si>
    <t xml:space="preserve">Input</t>
  </si>
  <si>
    <t xml:space="preserve">CTRL-ID</t>
  </si>
  <si>
    <t xml:space="preserve">Control being tested</t>
  </si>
  <si>
    <t xml:space="preserve">From W05 (Ref_CTRL)</t>
  </si>
  <si>
    <t xml:space="preserve">Control title</t>
  </si>
  <si>
    <t xml:space="preserve">Lookup</t>
  </si>
  <si>
    <t xml:space="preserve">Formula</t>
  </si>
  <si>
    <t xml:space="preserve">Control category</t>
  </si>
  <si>
    <t xml:space="preserve">Lookup; drives workpaper template</t>
  </si>
  <si>
    <t xml:space="preserve">Frequency</t>
  </si>
  <si>
    <t xml:space="preserve">Lookup; drives sample size</t>
  </si>
  <si>
    <t xml:space="preserve">Test type</t>
  </si>
  <si>
    <t xml:space="preserve">TOD or TOE</t>
  </si>
  <si>
    <t xml:space="preserve">One TOD and one TOE per key control</t>
  </si>
  <si>
    <t xml:space="preserve">Test attributes</t>
  </si>
  <si>
    <t xml:space="preserve">Conditions each sample item must meet</t>
  </si>
  <si>
    <t xml:space="preserve">Lettered A, B, C…; derived from the control description</t>
  </si>
  <si>
    <t xml:space="preserve">Test procedure</t>
  </si>
  <si>
    <t xml:space="preserve">What the tester does</t>
  </si>
  <si>
    <t xml:space="preserve">Inquiry / Observation / Inspection / Reperformance; inquiry alone is never enough</t>
  </si>
  <si>
    <t xml:space="preserve">Population EV-ID</t>
  </si>
  <si>
    <t xml:space="preserve">Population sampled from (TOE)</t>
  </si>
  <si>
    <t xml:space="preserve">IPE must be Pass</t>
  </si>
  <si>
    <t xml:space="preserve">IPE result</t>
  </si>
  <si>
    <t xml:space="preserve">Lookup from W09</t>
  </si>
  <si>
    <t xml:space="preserve">Population size</t>
  </si>
  <si>
    <t xml:space="preserve">Guide sample</t>
  </si>
  <si>
    <t xml:space="preserve">Typical range for the frequency</t>
  </si>
  <si>
    <t xml:space="preserve">Sample size</t>
  </si>
  <si>
    <t xml:space="preserve">Items to test</t>
  </si>
  <si>
    <t xml:space="preserve">Number; justify deviations from the guide</t>
  </si>
  <si>
    <t xml:space="preserve">Test period from</t>
  </si>
  <si>
    <t xml:space="preserve">Start of period</t>
  </si>
  <si>
    <t xml:space="preserve">Date</t>
  </si>
  <si>
    <t xml:space="preserve">Test period to</t>
  </si>
  <si>
    <t xml:space="preserve">End of period</t>
  </si>
  <si>
    <t xml:space="preserve">ITGC reliance needed?</t>
  </si>
  <si>
    <t xml:space="preserve">Dependent controls need effective ITGCs</t>
  </si>
  <si>
    <t xml:space="preserve">Tester</t>
  </si>
  <si>
    <t xml:space="preserve">Who performs</t>
  </si>
  <si>
    <t xml:space="preserve">Name</t>
  </si>
  <si>
    <t xml:space="preserve">Reviewer</t>
  </si>
  <si>
    <t xml:space="preserve">Who reviews; must differ from tester</t>
  </si>
  <si>
    <t xml:space="preserve">Planned start</t>
  </si>
  <si>
    <t xml:space="preserve">Schedule</t>
  </si>
  <si>
    <t xml:space="preserve">Planned end</t>
  </si>
  <si>
    <t xml:space="preserve">Workpaper ref</t>
  </si>
  <si>
    <t xml:space="preserve">W11 workpaper</t>
  </si>
  <si>
    <t xml:space="preserve">File name or WP ref</t>
  </si>
  <si>
    <t xml:space="preserve">Status</t>
  </si>
  <si>
    <t xml:space="preserve">Progress</t>
  </si>
  <si>
    <t xml:space="preserve">Dropdown</t>
  </si>
  <si>
    <t xml:space="preserve">Result</t>
  </si>
  <si>
    <t xml:space="preserve">Outcome (only after review)</t>
  </si>
  <si>
    <t xml:space="preserve">Row check</t>
  </si>
  <si>
    <t xml:space="preserve">Automatic completeness test</t>
  </si>
  <si>
    <t xml:space="preserve">Version history</t>
  </si>
  <si>
    <t xml:space="preserve">0.1 — October 2026 — initial template (TIB Systems LLC)</t>
  </si>
  <si>
    <t xml:space="preserve">Cross-workbook links: keys from other workbooks are pasted as values into the Ref_ tabs, so this file works on its own and never breaks when files are moved.</t>
  </si>
  <si>
    <t xml:space="preserve">W10 — Test Plan</t>
  </si>
  <si>
    <t xml:space="preserve">One row per test. Rows 5–6 are worked examples. Overwrite them.</t>
  </si>
  <si>
    <t xml:space="preserve">C-ITGC-PC-001-TOE</t>
  </si>
  <si>
    <t xml:space="preserve">C-ITGC-PC-001</t>
  </si>
  <si>
    <t xml:space="preserve">TOE</t>
  </si>
  <si>
    <t xml:space="preserve">A Change ticket approved before import | B QAS test and business sign-off | C Imported by user other than the developer | D Content agrees to approved change | E Emergency changes approved within 2 business days</t>
  </si>
  <si>
    <t xml:space="preserve">Inspection of ticket, QAS import and TPALOG record for each sampled transport</t>
  </si>
  <si>
    <t xml:space="preserve">EV-019</t>
  </si>
  <si>
    <t xml:space="preserve">Tester 1</t>
  </si>
  <si>
    <t xml:space="preserve">Manager 1</t>
  </si>
  <si>
    <t xml:space="preserve">WP-PC-01_C-ITGC-PC-001-TOE</t>
  </si>
  <si>
    <t xml:space="preserve">Not started</t>
  </si>
  <si>
    <t xml:space="preserve">C-ITGC-PC-001-TOD</t>
  </si>
  <si>
    <t xml:space="preserve">TOD</t>
  </si>
  <si>
    <t xml:space="preserve">Walkthrough of one normal and one emergency change from ticket to import</t>
  </si>
  <si>
    <t xml:space="preserve">Inquiry with Change Manager plus inspection of one change end to end</t>
  </si>
  <si>
    <t xml:space="preserve">WP-PC-01_C-ITGC-PC-001-TOD</t>
  </si>
  <si>
    <t xml:space="preserve">Sample Guide (editable)</t>
  </si>
  <si>
    <t xml:space="preserve">Typical SOX sample sizes. Always apply the engagement firm or external auditor methodology where one is specified; edit the values to match.</t>
  </si>
  <si>
    <t xml:space="preserve">Control frequency</t>
  </si>
  <si>
    <t xml:space="preserve">Typical population</t>
  </si>
  <si>
    <t xml:space="preserve">Guide low</t>
  </si>
  <si>
    <t xml:space="preserve">Guide high</t>
  </si>
  <si>
    <t xml:space="preserve">Note</t>
  </si>
  <si>
    <t xml:space="preserve">Annual</t>
  </si>
  <si>
    <t xml:space="preserve">Quarterly</t>
  </si>
  <si>
    <t xml:space="preserve">Monthly</t>
  </si>
  <si>
    <t xml:space="preserve">Weekly</t>
  </si>
  <si>
    <t xml:space="preserve">Daily</t>
  </si>
  <si>
    <t xml:space="preserve">Event-driven</t>
  </si>
  <si>
    <t xml:space="preserve">More than 250 occurrences</t>
  </si>
  <si>
    <t xml:space="preserve">Continuous</t>
  </si>
  <si>
    <t xml:space="preserve">Automated (ITAC): 1 per configuration if dependent ITGCs are effective</t>
  </si>
  <si>
    <t xml:space="preserve">CTRL-ID (from W05)</t>
  </si>
  <si>
    <t xml:space="preserve">Key control? (Y/N)</t>
  </si>
  <si>
    <t xml:space="preserve">SOX in scope? (Y/N)</t>
  </si>
  <si>
    <t xml:space="preserve">Transports approved, tested, imported by Basis</t>
  </si>
  <si>
    <t xml:space="preserve">ITGC-PC</t>
  </si>
  <si>
    <t xml:space="preserve">Y</t>
  </si>
  <si>
    <t xml:space="preserve">C-ITGC-AC-002</t>
  </si>
  <si>
    <t xml:space="preserve">Timely removal of leavers</t>
  </si>
  <si>
    <t xml:space="preserve">ITGC-APD</t>
  </si>
  <si>
    <t xml:space="preserve">C-ITAC-004</t>
  </si>
  <si>
    <t xml:space="preserve">Three-way match blocks out-of-tolerance invoices</t>
  </si>
  <si>
    <t xml:space="preserve">ITAC</t>
  </si>
  <si>
    <t xml:space="preserve">EV-ID (from W09)</t>
  </si>
  <si>
    <t xml:space="preserve">IPE result (W09)</t>
  </si>
  <si>
    <t xml:space="preserve">Record count (W09)</t>
  </si>
  <si>
    <t xml:space="preserve">EV-012</t>
  </si>
  <si>
    <t xml:space="preserve">Pass</t>
  </si>
  <si>
    <t xml:space="preserve">EV-021</t>
  </si>
  <si>
    <t xml:space="preserve">Pending</t>
  </si>
  <si>
    <t xml:space="preserve">TType</t>
  </si>
  <si>
    <t xml:space="preserve">TStat</t>
  </si>
  <si>
    <t xml:space="preserve">TRes</t>
  </si>
  <si>
    <t xml:space="preserve">In progress</t>
  </si>
  <si>
    <t xml:space="preserve">Effective</t>
  </si>
  <si>
    <t xml:space="preserve">Ready for review</t>
  </si>
  <si>
    <t xml:space="preserve">Exception noted</t>
  </si>
  <si>
    <t xml:space="preserve">Reviewed</t>
  </si>
  <si>
    <t xml:space="preserve">Ineffective</t>
  </si>
  <si>
    <t xml:space="preserve">Closed</t>
  </si>
  <si>
    <t xml:space="preserve">W10 — Completion checks</t>
  </si>
  <si>
    <t xml:space="preserve">All checks are formulas. A workbook passes its gate when every status reads PASS (INFO rows are counts for your information).</t>
  </si>
  <si>
    <t xml:space="preserve">Overall</t>
  </si>
  <si>
    <t xml:space="preserve">Check</t>
  </si>
  <si>
    <t xml:space="preserve">Count</t>
  </si>
  <si>
    <t xml:space="preserve">What to do if REVIEW</t>
  </si>
  <si>
    <t xml:space="preserve">Test rows</t>
  </si>
  <si>
    <t xml:space="preserve">INFO</t>
  </si>
  <si>
    <t xml:space="preserve">—</t>
  </si>
  <si>
    <t xml:space="preserve">Duplicate TEST-IDs</t>
  </si>
  <si>
    <t xml:space="preserve">Keys must be unique.</t>
  </si>
  <si>
    <t xml:space="preserve">Test rows needing attention (incl. HOLD)</t>
  </si>
  <si>
    <t xml:space="preserve">Read the Row check column.</t>
  </si>
  <si>
    <t xml:space="preserve">Key controls with NO test of design</t>
  </si>
  <si>
    <t xml:space="preserve">Every key control needs a TOD row.</t>
  </si>
  <si>
    <t xml:space="preserve">Key controls with NO test of operating effectiveness</t>
  </si>
  <si>
    <t xml:space="preserve">Every key control needs a TOE row.</t>
  </si>
  <si>
    <t xml:space="preserve">Dependent (ITAC/IPE/ITDM) TOE tests (excluding retests) planned to start before the last ITGC TOE ends</t>
  </si>
  <si>
    <t xml:space="preserve">Schedule ITGC operating tests first: their results decide how much reliance ITACs can have.</t>
  </si>
  <si>
    <t xml:space="preserve">Tests not started</t>
  </si>
  <si>
    <t xml:space="preserve">Track against the plan.</t>
  </si>
  <si>
    <t xml:space="preserve">Tests reviewed or closed</t>
  </si>
  <si>
    <t xml:space="preserve">Results flow to W13 and W14.</t>
  </si>
  <si>
    <t xml:space="preserve">Tests with an exception or ineffective result</t>
  </si>
  <si>
    <t xml:space="preserve">Each needs a DEF-ID or false-positive rationale (W13).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</si>
</sst>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E7C8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7C8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B6B82"/>
        <bgColor rgb="FF555555"/>
      </patternFill>
    </fill>
    <fill>
      <patternFill patternType="solid">
        <fgColor rgb="FFFFF2CC"/>
        <bgColor rgb="FFEDEFF3"/>
      </patternFill>
    </fill>
    <fill>
      <patternFill patternType="solid">
        <fgColor rgb="FFEDEFF3"/>
        <bgColor rgb="FFFFFFFF"/>
      </patternFill>
    </fill>
    <fill>
      <patternFill patternType="solid">
        <fgColor rgb="FF0E7C8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82"/>
          <bgColor rgb="FF000000"/>
        </patternFill>
      </fill>
    </dxf>
    <dxf>
      <fill>
        <patternFill patternType="solid">
          <fgColor rgb="FFEDEF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FC7D5"/>
      <rgbColor rgb="FF808080"/>
      <rgbColor rgb="FF9999FF"/>
      <rgbColor rgb="FF993366"/>
      <rgbColor rgb="FFFFF2CC"/>
      <rgbColor rgb="FFEDEF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4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  <c r="B8" s="4"/>
      <c r="C8" s="4"/>
      <c r="D8" s="4"/>
    </row>
    <row r="9" customFormat="false" ht="30" hidden="false" customHeight="true" outlineLevel="0" collapsed="false">
      <c r="A9" s="4" t="s">
        <v>6</v>
      </c>
      <c r="B9" s="4"/>
      <c r="C9" s="4"/>
      <c r="D9" s="4"/>
    </row>
    <row r="10" customFormat="false" ht="15" hidden="false" customHeight="true" outlineLevel="0" collapsed="false">
      <c r="A10" s="4" t="s">
        <v>7</v>
      </c>
      <c r="B10" s="4"/>
      <c r="C10" s="4"/>
      <c r="D10" s="4"/>
    </row>
    <row r="11" customFormat="false" ht="15" hidden="false" customHeight="true" outlineLevel="0" collapsed="false">
      <c r="A11" s="4" t="s">
        <v>8</v>
      </c>
      <c r="B11" s="4"/>
      <c r="C11" s="4"/>
      <c r="D11" s="4"/>
    </row>
    <row r="12" customFormat="false" ht="15" hidden="false" customHeight="true" outlineLevel="0" collapsed="false">
      <c r="A12" s="4" t="s">
        <v>9</v>
      </c>
      <c r="B12" s="4"/>
      <c r="C12" s="4"/>
      <c r="D12" s="4"/>
    </row>
    <row r="14" customFormat="false" ht="15" hidden="false" customHeight="false" outlineLevel="0" collapsed="false">
      <c r="A14" s="3" t="s">
        <v>10</v>
      </c>
    </row>
    <row r="15" customFormat="false" ht="30" hidden="false" customHeight="true" outlineLevel="0" collapsed="false">
      <c r="A15" s="4" t="s">
        <v>11</v>
      </c>
      <c r="B15" s="4"/>
      <c r="C15" s="4"/>
      <c r="D15" s="4"/>
    </row>
    <row r="17" customFormat="false" ht="15" hidden="false" customHeight="false" outlineLevel="0" collapsed="false">
      <c r="A17" s="3" t="s">
        <v>12</v>
      </c>
    </row>
    <row r="18" customFormat="false" ht="15" hidden="false" customHeight="true" outlineLevel="0" collapsed="false">
      <c r="A18" s="4" t="s">
        <v>13</v>
      </c>
      <c r="B18" s="4"/>
      <c r="C18" s="4"/>
      <c r="D18" s="4"/>
    </row>
    <row r="19" customFormat="false" ht="15" hidden="false" customHeight="true" outlineLevel="0" collapsed="false">
      <c r="A19" s="4" t="s">
        <v>14</v>
      </c>
      <c r="B19" s="4"/>
      <c r="C19" s="4"/>
      <c r="D19" s="4"/>
    </row>
    <row r="20" customFormat="false" ht="15" hidden="false" customHeight="true" outlineLevel="0" collapsed="false">
      <c r="A20" s="4" t="s">
        <v>15</v>
      </c>
      <c r="B20" s="4"/>
      <c r="C20" s="4"/>
      <c r="D20" s="4"/>
    </row>
    <row r="21" customFormat="false" ht="15" hidden="false" customHeight="true" outlineLevel="0" collapsed="false">
      <c r="A21" s="4" t="s">
        <v>16</v>
      </c>
      <c r="B21" s="4"/>
      <c r="C21" s="4"/>
      <c r="D21" s="4"/>
    </row>
    <row r="23" customFormat="false" ht="15" hidden="false" customHeight="false" outlineLevel="0" collapsed="false">
      <c r="A23" s="3" t="s">
        <v>17</v>
      </c>
    </row>
    <row r="24" customFormat="false" ht="15" hidden="false" customHeight="true" outlineLevel="0" collapsed="false">
      <c r="A24" s="4" t="s">
        <v>18</v>
      </c>
      <c r="B24" s="4"/>
      <c r="C24" s="4"/>
      <c r="D24" s="4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5" t="s">
        <v>20</v>
      </c>
      <c r="B27" s="5" t="s">
        <v>21</v>
      </c>
      <c r="C27" s="5" t="s">
        <v>22</v>
      </c>
      <c r="D27" s="5" t="s">
        <v>23</v>
      </c>
      <c r="E27" s="5" t="s">
        <v>24</v>
      </c>
    </row>
    <row r="28" customFormat="false" ht="15" hidden="false" customHeight="false" outlineLevel="0" collapsed="false">
      <c r="A28" s="6" t="s">
        <v>25</v>
      </c>
      <c r="B28" s="6" t="s">
        <v>26</v>
      </c>
      <c r="C28" s="6" t="s">
        <v>27</v>
      </c>
      <c r="D28" s="6" t="s">
        <v>28</v>
      </c>
      <c r="E28" s="6" t="s">
        <v>29</v>
      </c>
    </row>
    <row r="29" customFormat="false" ht="15" hidden="false" customHeight="false" outlineLevel="0" collapsed="false">
      <c r="A29" s="6" t="s">
        <v>25</v>
      </c>
      <c r="B29" s="6" t="s">
        <v>30</v>
      </c>
      <c r="C29" s="6" t="s">
        <v>31</v>
      </c>
      <c r="D29" s="6" t="s">
        <v>32</v>
      </c>
      <c r="E29" s="6" t="s">
        <v>29</v>
      </c>
    </row>
    <row r="30" customFormat="false" ht="15" hidden="false" customHeight="false" outlineLevel="0" collapsed="false">
      <c r="A30" s="6" t="s">
        <v>25</v>
      </c>
      <c r="B30" s="6" t="s">
        <v>33</v>
      </c>
      <c r="C30" s="6" t="s">
        <v>34</v>
      </c>
      <c r="D30" s="6" t="s">
        <v>35</v>
      </c>
      <c r="E30" s="6" t="s">
        <v>35</v>
      </c>
    </row>
    <row r="31" customFormat="false" ht="15" hidden="false" customHeight="false" outlineLevel="0" collapsed="false">
      <c r="A31" s="6" t="s">
        <v>25</v>
      </c>
      <c r="B31" s="6" t="s">
        <v>36</v>
      </c>
      <c r="C31" s="6" t="s">
        <v>37</v>
      </c>
      <c r="D31" s="6" t="s">
        <v>35</v>
      </c>
      <c r="E31" s="6" t="s">
        <v>35</v>
      </c>
    </row>
    <row r="32" customFormat="false" ht="15" hidden="false" customHeight="false" outlineLevel="0" collapsed="false">
      <c r="A32" s="6" t="s">
        <v>25</v>
      </c>
      <c r="B32" s="6" t="s">
        <v>38</v>
      </c>
      <c r="C32" s="6" t="s">
        <v>39</v>
      </c>
      <c r="D32" s="6" t="s">
        <v>35</v>
      </c>
      <c r="E32" s="6" t="s">
        <v>35</v>
      </c>
    </row>
    <row r="33" customFormat="false" ht="15" hidden="false" customHeight="false" outlineLevel="0" collapsed="false">
      <c r="A33" s="6" t="s">
        <v>25</v>
      </c>
      <c r="B33" s="6" t="s">
        <v>40</v>
      </c>
      <c r="C33" s="6" t="s">
        <v>41</v>
      </c>
      <c r="D33" s="6" t="s">
        <v>42</v>
      </c>
      <c r="E33" s="6" t="s">
        <v>29</v>
      </c>
    </row>
    <row r="34" customFormat="false" ht="15" hidden="false" customHeight="false" outlineLevel="0" collapsed="false">
      <c r="A34" s="6" t="s">
        <v>25</v>
      </c>
      <c r="B34" s="6" t="s">
        <v>43</v>
      </c>
      <c r="C34" s="6" t="s">
        <v>44</v>
      </c>
      <c r="D34" s="6" t="s">
        <v>45</v>
      </c>
      <c r="E34" s="6" t="s">
        <v>29</v>
      </c>
    </row>
    <row r="35" customFormat="false" ht="22.35" hidden="false" customHeight="false" outlineLevel="0" collapsed="false">
      <c r="A35" s="6" t="s">
        <v>25</v>
      </c>
      <c r="B35" s="6" t="s">
        <v>46</v>
      </c>
      <c r="C35" s="6" t="s">
        <v>47</v>
      </c>
      <c r="D35" s="6" t="s">
        <v>48</v>
      </c>
      <c r="E35" s="6" t="s">
        <v>29</v>
      </c>
    </row>
    <row r="36" customFormat="false" ht="15" hidden="false" customHeight="false" outlineLevel="0" collapsed="false">
      <c r="A36" s="6" t="s">
        <v>25</v>
      </c>
      <c r="B36" s="6" t="s">
        <v>49</v>
      </c>
      <c r="C36" s="6" t="s">
        <v>50</v>
      </c>
      <c r="D36" s="6" t="s">
        <v>51</v>
      </c>
      <c r="E36" s="6" t="s">
        <v>29</v>
      </c>
    </row>
    <row r="37" customFormat="false" ht="15" hidden="false" customHeight="false" outlineLevel="0" collapsed="false">
      <c r="A37" s="6" t="s">
        <v>25</v>
      </c>
      <c r="B37" s="6" t="s">
        <v>52</v>
      </c>
      <c r="C37" s="6" t="s">
        <v>53</v>
      </c>
      <c r="D37" s="6" t="s">
        <v>35</v>
      </c>
      <c r="E37" s="6" t="s">
        <v>35</v>
      </c>
    </row>
    <row r="38" customFormat="false" ht="15" hidden="false" customHeight="false" outlineLevel="0" collapsed="false">
      <c r="A38" s="6" t="s">
        <v>25</v>
      </c>
      <c r="B38" s="6" t="s">
        <v>54</v>
      </c>
      <c r="C38" s="6" t="s">
        <v>53</v>
      </c>
      <c r="D38" s="6" t="s">
        <v>35</v>
      </c>
      <c r="E38" s="6" t="s">
        <v>35</v>
      </c>
    </row>
    <row r="39" customFormat="false" ht="15" hidden="false" customHeight="false" outlineLevel="0" collapsed="false">
      <c r="A39" s="6" t="s">
        <v>25</v>
      </c>
      <c r="B39" s="6" t="s">
        <v>55</v>
      </c>
      <c r="C39" s="6" t="s">
        <v>56</v>
      </c>
      <c r="D39" s="6" t="s">
        <v>35</v>
      </c>
      <c r="E39" s="6" t="s">
        <v>35</v>
      </c>
    </row>
    <row r="40" customFormat="false" ht="15" hidden="false" customHeight="false" outlineLevel="0" collapsed="false">
      <c r="A40" s="6" t="s">
        <v>25</v>
      </c>
      <c r="B40" s="6" t="s">
        <v>57</v>
      </c>
      <c r="C40" s="6" t="s">
        <v>58</v>
      </c>
      <c r="D40" s="6" t="s">
        <v>59</v>
      </c>
      <c r="E40" s="6" t="s">
        <v>29</v>
      </c>
    </row>
    <row r="41" customFormat="false" ht="15" hidden="false" customHeight="false" outlineLevel="0" collapsed="false">
      <c r="A41" s="6" t="s">
        <v>25</v>
      </c>
      <c r="B41" s="6" t="s">
        <v>60</v>
      </c>
      <c r="C41" s="6" t="s">
        <v>61</v>
      </c>
      <c r="D41" s="6" t="s">
        <v>62</v>
      </c>
      <c r="E41" s="6" t="s">
        <v>29</v>
      </c>
    </row>
    <row r="42" customFormat="false" ht="15" hidden="false" customHeight="false" outlineLevel="0" collapsed="false">
      <c r="A42" s="6" t="s">
        <v>25</v>
      </c>
      <c r="B42" s="6" t="s">
        <v>63</v>
      </c>
      <c r="C42" s="6" t="s">
        <v>64</v>
      </c>
      <c r="D42" s="6" t="s">
        <v>62</v>
      </c>
      <c r="E42" s="6" t="s">
        <v>29</v>
      </c>
    </row>
    <row r="43" customFormat="false" ht="15" hidden="false" customHeight="false" outlineLevel="0" collapsed="false">
      <c r="A43" s="6" t="s">
        <v>25</v>
      </c>
      <c r="B43" s="6" t="s">
        <v>65</v>
      </c>
      <c r="C43" s="6" t="s">
        <v>66</v>
      </c>
      <c r="D43" s="6" t="s">
        <v>35</v>
      </c>
      <c r="E43" s="6" t="s">
        <v>35</v>
      </c>
    </row>
    <row r="44" customFormat="false" ht="15" hidden="false" customHeight="false" outlineLevel="0" collapsed="false">
      <c r="A44" s="6" t="s">
        <v>25</v>
      </c>
      <c r="B44" s="6" t="s">
        <v>67</v>
      </c>
      <c r="C44" s="6" t="s">
        <v>68</v>
      </c>
      <c r="D44" s="6" t="s">
        <v>69</v>
      </c>
      <c r="E44" s="6" t="s">
        <v>29</v>
      </c>
    </row>
    <row r="45" customFormat="false" ht="15" hidden="false" customHeight="false" outlineLevel="0" collapsed="false">
      <c r="A45" s="6" t="s">
        <v>25</v>
      </c>
      <c r="B45" s="6" t="s">
        <v>70</v>
      </c>
      <c r="C45" s="6" t="s">
        <v>71</v>
      </c>
      <c r="D45" s="6" t="s">
        <v>69</v>
      </c>
      <c r="E45" s="6" t="s">
        <v>29</v>
      </c>
    </row>
    <row r="46" customFormat="false" ht="15" hidden="false" customHeight="false" outlineLevel="0" collapsed="false">
      <c r="A46" s="6" t="s">
        <v>25</v>
      </c>
      <c r="B46" s="6" t="s">
        <v>72</v>
      </c>
      <c r="C46" s="6" t="s">
        <v>73</v>
      </c>
      <c r="D46" s="6" t="s">
        <v>62</v>
      </c>
      <c r="E46" s="6" t="s">
        <v>29</v>
      </c>
    </row>
    <row r="47" customFormat="false" ht="15" hidden="false" customHeight="false" outlineLevel="0" collapsed="false">
      <c r="A47" s="6" t="s">
        <v>25</v>
      </c>
      <c r="B47" s="6" t="s">
        <v>74</v>
      </c>
      <c r="C47" s="6" t="s">
        <v>73</v>
      </c>
      <c r="D47" s="6" t="s">
        <v>62</v>
      </c>
      <c r="E47" s="6" t="s">
        <v>29</v>
      </c>
    </row>
    <row r="48" customFormat="false" ht="15" hidden="false" customHeight="false" outlineLevel="0" collapsed="false">
      <c r="A48" s="6" t="s">
        <v>25</v>
      </c>
      <c r="B48" s="6" t="s">
        <v>75</v>
      </c>
      <c r="C48" s="6" t="s">
        <v>76</v>
      </c>
      <c r="D48" s="6" t="s">
        <v>77</v>
      </c>
      <c r="E48" s="6" t="s">
        <v>29</v>
      </c>
    </row>
    <row r="49" customFormat="false" ht="15" hidden="false" customHeight="false" outlineLevel="0" collapsed="false">
      <c r="A49" s="6" t="s">
        <v>25</v>
      </c>
      <c r="B49" s="6" t="s">
        <v>78</v>
      </c>
      <c r="C49" s="6" t="s">
        <v>79</v>
      </c>
      <c r="D49" s="6" t="s">
        <v>80</v>
      </c>
      <c r="E49" s="6" t="s">
        <v>29</v>
      </c>
    </row>
    <row r="50" customFormat="false" ht="15" hidden="false" customHeight="false" outlineLevel="0" collapsed="false">
      <c r="A50" s="6" t="s">
        <v>25</v>
      </c>
      <c r="B50" s="6" t="s">
        <v>81</v>
      </c>
      <c r="C50" s="6" t="s">
        <v>82</v>
      </c>
      <c r="D50" s="6" t="s">
        <v>80</v>
      </c>
      <c r="E50" s="6" t="s">
        <v>29</v>
      </c>
    </row>
    <row r="51" customFormat="false" ht="15" hidden="false" customHeight="false" outlineLevel="0" collapsed="false">
      <c r="A51" s="6" t="s">
        <v>25</v>
      </c>
      <c r="B51" s="6" t="s">
        <v>83</v>
      </c>
      <c r="C51" s="6" t="s">
        <v>84</v>
      </c>
      <c r="D51" s="6" t="s">
        <v>35</v>
      </c>
      <c r="E51" s="6" t="s">
        <v>35</v>
      </c>
    </row>
    <row r="53" customFormat="false" ht="15" hidden="false" customHeight="false" outlineLevel="0" collapsed="false">
      <c r="A53" s="3" t="s">
        <v>85</v>
      </c>
    </row>
    <row r="54" customFormat="false" ht="15" hidden="false" customHeight="false" outlineLevel="0" collapsed="false">
      <c r="A54" s="7" t="s">
        <v>86</v>
      </c>
    </row>
    <row r="55" customFormat="false" ht="15" hidden="false" customHeight="false" outlineLevel="0" collapsed="false">
      <c r="A55" s="8" t="s">
        <v>87</v>
      </c>
    </row>
  </sheetData>
  <mergeCells count="12">
    <mergeCell ref="A5:D5"/>
    <mergeCell ref="A8:D8"/>
    <mergeCell ref="A9:D9"/>
    <mergeCell ref="A10:D10"/>
    <mergeCell ref="A11:D11"/>
    <mergeCell ref="A12:D12"/>
    <mergeCell ref="A15:D15"/>
    <mergeCell ref="A18:D18"/>
    <mergeCell ref="A19:D19"/>
    <mergeCell ref="A20:D20"/>
    <mergeCell ref="A21:D2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40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5" min="14" style="0" width="12"/>
    <col collapsed="false" customWidth="true" hidden="false" outlineLevel="0" max="16" min="16" style="0" width="10"/>
    <col collapsed="false" customWidth="true" hidden="false" outlineLevel="0" max="18" min="17" style="0" width="14"/>
    <col collapsed="false" customWidth="true" hidden="false" outlineLevel="0" max="20" min="19" style="0" width="12"/>
    <col collapsed="false" customWidth="true" hidden="false" outlineLevel="0" max="21" min="21" style="0" width="22"/>
    <col collapsed="false" customWidth="true" hidden="false" outlineLevel="0" max="22" min="22" style="0" width="14"/>
    <col collapsed="false" customWidth="true" hidden="false" outlineLevel="0" max="23" min="23" style="0" width="16"/>
    <col collapsed="false" customWidth="true" hidden="false" outlineLevel="0" max="24" min="24" style="0" width="34"/>
  </cols>
  <sheetData>
    <row r="1" customFormat="false" ht="17.35" hidden="false" customHeight="false" outlineLevel="0" collapsed="false">
      <c r="A1" s="9" t="s">
        <v>88</v>
      </c>
    </row>
    <row r="2" customFormat="false" ht="15" hidden="false" customHeight="false" outlineLevel="0" collapsed="false">
      <c r="A2" s="10" t="s">
        <v>89</v>
      </c>
    </row>
    <row r="4" customFormat="false" ht="31.5" hidden="false" customHeight="true" outlineLevel="0" collapsed="false">
      <c r="A4" s="11" t="s">
        <v>26</v>
      </c>
      <c r="B4" s="11" t="s">
        <v>30</v>
      </c>
      <c r="C4" s="12" t="s">
        <v>33</v>
      </c>
      <c r="D4" s="12" t="s">
        <v>36</v>
      </c>
      <c r="E4" s="12" t="s">
        <v>38</v>
      </c>
      <c r="F4" s="11" t="s">
        <v>40</v>
      </c>
      <c r="G4" s="11" t="s">
        <v>43</v>
      </c>
      <c r="H4" s="11" t="s">
        <v>46</v>
      </c>
      <c r="I4" s="11" t="s">
        <v>49</v>
      </c>
      <c r="J4" s="12" t="s">
        <v>52</v>
      </c>
      <c r="K4" s="12" t="s">
        <v>54</v>
      </c>
      <c r="L4" s="12" t="s">
        <v>55</v>
      </c>
      <c r="M4" s="11" t="s">
        <v>57</v>
      </c>
      <c r="N4" s="11" t="s">
        <v>60</v>
      </c>
      <c r="O4" s="11" t="s">
        <v>63</v>
      </c>
      <c r="P4" s="12" t="s">
        <v>65</v>
      </c>
      <c r="Q4" s="11" t="s">
        <v>67</v>
      </c>
      <c r="R4" s="11" t="s">
        <v>70</v>
      </c>
      <c r="S4" s="11" t="s">
        <v>72</v>
      </c>
      <c r="T4" s="11" t="s">
        <v>74</v>
      </c>
      <c r="U4" s="11" t="s">
        <v>75</v>
      </c>
      <c r="V4" s="11" t="s">
        <v>78</v>
      </c>
      <c r="W4" s="11" t="s">
        <v>81</v>
      </c>
      <c r="X4" s="12" t="s">
        <v>83</v>
      </c>
    </row>
    <row r="5" customFormat="false" ht="46.25" hidden="false" customHeight="false" outlineLevel="0" collapsed="false">
      <c r="A5" s="13" t="s">
        <v>90</v>
      </c>
      <c r="B5" s="13" t="s">
        <v>91</v>
      </c>
      <c r="C5" s="14" t="str">
        <f aca="false">IFERROR(INDEX(Ref_CTRL!$B$2:$B$201,MATCH(B5,Ref_CTRL!$A$2:$A$201,0)),"")</f>
        <v>Transports approved, tested, imported by Basis</v>
      </c>
      <c r="D5" s="14" t="str">
        <f aca="false">IFERROR(INDEX(Ref_CTRL!$C$2:$C$201,MATCH(B5,Ref_CTRL!$A$2:$A$201,0)),"")</f>
        <v>ITGC-PC</v>
      </c>
      <c r="E5" s="14" t="str">
        <f aca="false">IFERROR(INDEX(Ref_CTRL!$D$2:$D$201,MATCH(B5,Ref_CTRL!$A$2:$A$201,0)),"")</f>
        <v>Event-driven</v>
      </c>
      <c r="F5" s="13" t="s">
        <v>92</v>
      </c>
      <c r="G5" s="13" t="s">
        <v>93</v>
      </c>
      <c r="H5" s="13" t="s">
        <v>94</v>
      </c>
      <c r="I5" s="13" t="s">
        <v>95</v>
      </c>
      <c r="J5" s="14" t="str">
        <f aca="false">IFERROR(INDEX(Ref_EV!$B$2:$B$201,MATCH(I5,Ref_EV!$A$2:$A$201,0)),"")</f>
        <v>Pass</v>
      </c>
      <c r="K5" s="14" t="n">
        <f aca="false">IFERROR(INDEX(Ref_EV!$C$2:$C$201,MATCH(I5,Ref_EV!$A$2:$A$201,0)),"")</f>
        <v>312</v>
      </c>
      <c r="L5" s="14" t="str">
        <f aca="false">IF(F5="TOD","1",IFERROR(INDEX(Sample_Guide!$C$5:$C$20,MATCH(E5,Sample_Guide!$A$5:$A$20,0))&amp;"–"&amp;INDEX(Sample_Guide!$D$5:$D$20,MATCH(E5,Sample_Guide!$A$5:$A$20,0)),""))</f>
        <v>25–60</v>
      </c>
      <c r="M5" s="13" t="n">
        <v>25</v>
      </c>
      <c r="N5" s="15" t="n">
        <v>46023</v>
      </c>
      <c r="O5" s="15" t="n">
        <v>46295</v>
      </c>
      <c r="P5" s="14" t="str">
        <f aca="false">IF(A5="","",IF(OR(D5="ITAC",D5="IPE",D5="ITDM"),"Y","N"))</f>
        <v>N</v>
      </c>
      <c r="Q5" s="13" t="s">
        <v>96</v>
      </c>
      <c r="R5" s="13" t="s">
        <v>97</v>
      </c>
      <c r="S5" s="15" t="n">
        <v>46307</v>
      </c>
      <c r="T5" s="15" t="n">
        <v>46311</v>
      </c>
      <c r="U5" s="13" t="s">
        <v>98</v>
      </c>
      <c r="V5" s="13" t="s">
        <v>99</v>
      </c>
      <c r="W5" s="13" t="s">
        <v>99</v>
      </c>
      <c r="X5" s="14" t="str">
        <f aca="false">IF(A5="","",IF(OR(B5="",F5="",G5="",H5=""),"Control, test type, attributes, procedure needed",IF(COUNTIF(Ref_CTRL!$A$2:$A$201,B5)=0,"CTRL-ID not in W05",IF(LEFT(A5,LEN(B5)+1)&lt;&gt;B5&amp;"-","TEST-ID must start with CTRL-ID-",IF(AND(F5="TOE",I5=""),"Population EV-ID needed (TOE)",IF(AND(I5&lt;&gt;"",J5&lt;&gt;"Pass"),"HOLD: population IPE not Pass",IF(AND(F5="TOE",M5=""),"Sample size needed",IF(AND(F5="TOE",OR(M5&lt;IFERROR(INDEX(Sample_Guide!$C$5:$C$20,MATCH(E5,Sample_Guide!$A$5:$A$20,0)),0),M5&gt;IFERROR(INDEX(Sample_Guide!$D$5:$D$20,MATCH(E5,Sample_Guide!$A$5:$A$20,0)),9999))),"Sample outside guide: justify",IF(OR(Q5="",R5=""),"Tester and reviewer needed",IF(Q5=R5,"Tester and reviewer must differ",IF(AND(W5&lt;&gt;"",W5&lt;&gt;"Not started",V5&lt;&gt;"Reviewed",V5&lt;&gt;"Closed"),"Result only after review","OK")))))))))))</f>
        <v>OK</v>
      </c>
    </row>
    <row r="6" customFormat="false" ht="23.85" hidden="false" customHeight="false" outlineLevel="0" collapsed="false">
      <c r="A6" s="13" t="s">
        <v>100</v>
      </c>
      <c r="B6" s="13" t="s">
        <v>91</v>
      </c>
      <c r="C6" s="14" t="str">
        <f aca="false">IFERROR(INDEX(Ref_CTRL!$B$2:$B$201,MATCH(B6,Ref_CTRL!$A$2:$A$201,0)),"")</f>
        <v>Transports approved, tested, imported by Basis</v>
      </c>
      <c r="D6" s="14" t="str">
        <f aca="false">IFERROR(INDEX(Ref_CTRL!$C$2:$C$201,MATCH(B6,Ref_CTRL!$A$2:$A$201,0)),"")</f>
        <v>ITGC-PC</v>
      </c>
      <c r="E6" s="14" t="str">
        <f aca="false">IFERROR(INDEX(Ref_CTRL!$D$2:$D$201,MATCH(B6,Ref_CTRL!$A$2:$A$201,0)),"")</f>
        <v>Event-driven</v>
      </c>
      <c r="F6" s="13" t="s">
        <v>101</v>
      </c>
      <c r="G6" s="13" t="s">
        <v>102</v>
      </c>
      <c r="H6" s="13" t="s">
        <v>103</v>
      </c>
      <c r="I6" s="13"/>
      <c r="J6" s="14" t="str">
        <f aca="false">IFERROR(INDEX(Ref_EV!$B$2:$B$201,MATCH(I6,Ref_EV!$A$2:$A$201,0)),"")</f>
        <v/>
      </c>
      <c r="K6" s="14" t="str">
        <f aca="false">IFERROR(INDEX(Ref_EV!$C$2:$C$201,MATCH(I6,Ref_EV!$A$2:$A$201,0)),"")</f>
        <v/>
      </c>
      <c r="L6" s="14" t="str">
        <f aca="false">IF(F6="TOD","1",IFERROR(INDEX(Sample_Guide!$C$5:$C$20,MATCH(E6,Sample_Guide!$A$5:$A$20,0))&amp;"–"&amp;INDEX(Sample_Guide!$D$5:$D$20,MATCH(E6,Sample_Guide!$A$5:$A$20,0)),""))</f>
        <v>1</v>
      </c>
      <c r="M6" s="13"/>
      <c r="N6" s="15" t="n">
        <v>46023</v>
      </c>
      <c r="O6" s="15" t="n">
        <v>46295</v>
      </c>
      <c r="P6" s="14" t="str">
        <f aca="false">IF(A6="","",IF(OR(D6="ITAC",D6="IPE",D6="ITDM"),"Y","N"))</f>
        <v>N</v>
      </c>
      <c r="Q6" s="13" t="s">
        <v>96</v>
      </c>
      <c r="R6" s="13" t="s">
        <v>97</v>
      </c>
      <c r="S6" s="15" t="n">
        <v>46300</v>
      </c>
      <c r="T6" s="15" t="n">
        <v>46301</v>
      </c>
      <c r="U6" s="13" t="s">
        <v>104</v>
      </c>
      <c r="V6" s="13" t="s">
        <v>99</v>
      </c>
      <c r="W6" s="13" t="s">
        <v>99</v>
      </c>
      <c r="X6" s="14" t="str">
        <f aca="false">IF(A6="","",IF(OR(B6="",F6="",G6="",H6=""),"Control, test type, attributes, procedure needed",IF(COUNTIF(Ref_CTRL!$A$2:$A$201,B6)=0,"CTRL-ID not in W05",IF(LEFT(A6,LEN(B6)+1)&lt;&gt;B6&amp;"-","TEST-ID must start with CTRL-ID-",IF(AND(F6="TOE",I6=""),"Population EV-ID needed (TOE)",IF(AND(I6&lt;&gt;"",J6&lt;&gt;"Pass"),"HOLD: population IPE not Pass",IF(AND(F6="TOE",M6=""),"Sample size needed",IF(AND(F6="TOE",OR(M6&lt;IFERROR(INDEX(Sample_Guide!$C$5:$C$20,MATCH(E6,Sample_Guide!$A$5:$A$20,0)),0),M6&gt;IFERROR(INDEX(Sample_Guide!$D$5:$D$20,MATCH(E6,Sample_Guide!$A$5:$A$20,0)),9999))),"Sample outside guide: justify",IF(OR(Q6="",R6=""),"Tester and reviewer needed",IF(Q6=R6,"Tester and reviewer must differ",IF(AND(W6&lt;&gt;"",W6&lt;&gt;"Not started",V6&lt;&gt;"Reviewed",V6&lt;&gt;"Closed"),"Result only after review","OK")))))))))))</f>
        <v>OK</v>
      </c>
    </row>
    <row r="7" customFormat="false" ht="15" hidden="false" customHeight="false" outlineLevel="0" collapsed="false">
      <c r="A7" s="16"/>
      <c r="B7" s="16"/>
      <c r="C7" s="17" t="str">
        <f aca="false">IFERROR(INDEX(Ref_CTRL!$B$2:$B$201,MATCH(B7,Ref_CTRL!$A$2:$A$201,0)),"")</f>
        <v/>
      </c>
      <c r="D7" s="17" t="str">
        <f aca="false">IFERROR(INDEX(Ref_CTRL!$C$2:$C$201,MATCH(B7,Ref_CTRL!$A$2:$A$201,0)),"")</f>
        <v/>
      </c>
      <c r="E7" s="17" t="str">
        <f aca="false">IFERROR(INDEX(Ref_CTRL!$D$2:$D$201,MATCH(B7,Ref_CTRL!$A$2:$A$201,0)),"")</f>
        <v/>
      </c>
      <c r="F7" s="16"/>
      <c r="G7" s="16"/>
      <c r="H7" s="16"/>
      <c r="I7" s="16"/>
      <c r="J7" s="17" t="str">
        <f aca="false">IFERROR(INDEX(Ref_EV!$B$2:$B$201,MATCH(I7,Ref_EV!$A$2:$A$201,0)),"")</f>
        <v/>
      </c>
      <c r="K7" s="17" t="str">
        <f aca="false">IFERROR(INDEX(Ref_EV!$C$2:$C$201,MATCH(I7,Ref_EV!$A$2:$A$201,0)),"")</f>
        <v/>
      </c>
      <c r="L7" s="17" t="str">
        <f aca="false">IF(F7="TOD","1",IFERROR(INDEX(Sample_Guide!$C$5:$C$20,MATCH(E7,Sample_Guide!$A$5:$A$20,0))&amp;"–"&amp;INDEX(Sample_Guide!$D$5:$D$20,MATCH(E7,Sample_Guide!$A$5:$A$20,0)),""))</f>
        <v/>
      </c>
      <c r="M7" s="16"/>
      <c r="N7" s="18"/>
      <c r="O7" s="18"/>
      <c r="P7" s="17" t="str">
        <f aca="false">IF(A7="","",IF(OR(D7="ITAC",D7="IPE",D7="ITDM"),"Y","N"))</f>
        <v/>
      </c>
      <c r="Q7" s="16"/>
      <c r="R7" s="16"/>
      <c r="S7" s="18"/>
      <c r="T7" s="18"/>
      <c r="U7" s="16"/>
      <c r="V7" s="16"/>
      <c r="W7" s="16"/>
      <c r="X7" s="17" t="str">
        <f aca="false">IF(A7="","",IF(OR(B7="",F7="",G7="",H7=""),"Control, test type, attributes, procedure needed",IF(COUNTIF(Ref_CTRL!$A$2:$A$201,B7)=0,"CTRL-ID not in W05",IF(LEFT(A7,LEN(B7)+1)&lt;&gt;B7&amp;"-","TEST-ID must start with CTRL-ID-",IF(AND(F7="TOE",I7=""),"Population EV-ID needed (TOE)",IF(AND(I7&lt;&gt;"",J7&lt;&gt;"Pass"),"HOLD: population IPE not Pass",IF(AND(F7="TOE",M7=""),"Sample size needed",IF(AND(F7="TOE",OR(M7&lt;IFERROR(INDEX(Sample_Guide!$C$5:$C$20,MATCH(E7,Sample_Guide!$A$5:$A$20,0)),0),M7&gt;IFERROR(INDEX(Sample_Guide!$D$5:$D$20,MATCH(E7,Sample_Guide!$A$5:$A$20,0)),9999))),"Sample outside guide: justify",IF(OR(Q7="",R7=""),"Tester and reviewer needed",IF(Q7=R7,"Tester and reviewer must differ",IF(AND(W7&lt;&gt;"",W7&lt;&gt;"Not started",V7&lt;&gt;"Reviewed",V7&lt;&gt;"Closed"),"Result only after review","OK")))))))))))</f>
        <v/>
      </c>
    </row>
    <row r="8" customFormat="false" ht="15" hidden="false" customHeight="false" outlineLevel="0" collapsed="false">
      <c r="A8" s="16"/>
      <c r="B8" s="16"/>
      <c r="C8" s="17" t="str">
        <f aca="false">IFERROR(INDEX(Ref_CTRL!$B$2:$B$201,MATCH(B8,Ref_CTRL!$A$2:$A$201,0)),"")</f>
        <v/>
      </c>
      <c r="D8" s="17" t="str">
        <f aca="false">IFERROR(INDEX(Ref_CTRL!$C$2:$C$201,MATCH(B8,Ref_CTRL!$A$2:$A$201,0)),"")</f>
        <v/>
      </c>
      <c r="E8" s="17" t="str">
        <f aca="false">IFERROR(INDEX(Ref_CTRL!$D$2:$D$201,MATCH(B8,Ref_CTRL!$A$2:$A$201,0)),"")</f>
        <v/>
      </c>
      <c r="F8" s="16"/>
      <c r="G8" s="16"/>
      <c r="H8" s="16"/>
      <c r="I8" s="16"/>
      <c r="J8" s="17" t="str">
        <f aca="false">IFERROR(INDEX(Ref_EV!$B$2:$B$201,MATCH(I8,Ref_EV!$A$2:$A$201,0)),"")</f>
        <v/>
      </c>
      <c r="K8" s="17" t="str">
        <f aca="false">IFERROR(INDEX(Ref_EV!$C$2:$C$201,MATCH(I8,Ref_EV!$A$2:$A$201,0)),"")</f>
        <v/>
      </c>
      <c r="L8" s="17" t="str">
        <f aca="false">IF(F8="TOD","1",IFERROR(INDEX(Sample_Guide!$C$5:$C$20,MATCH(E8,Sample_Guide!$A$5:$A$20,0))&amp;"–"&amp;INDEX(Sample_Guide!$D$5:$D$20,MATCH(E8,Sample_Guide!$A$5:$A$20,0)),""))</f>
        <v/>
      </c>
      <c r="M8" s="16"/>
      <c r="N8" s="18"/>
      <c r="O8" s="18"/>
      <c r="P8" s="17" t="str">
        <f aca="false">IF(A8="","",IF(OR(D8="ITAC",D8="IPE",D8="ITDM"),"Y","N"))</f>
        <v/>
      </c>
      <c r="Q8" s="16"/>
      <c r="R8" s="16"/>
      <c r="S8" s="18"/>
      <c r="T8" s="18"/>
      <c r="U8" s="16"/>
      <c r="V8" s="16"/>
      <c r="W8" s="16"/>
      <c r="X8" s="17" t="str">
        <f aca="false">IF(A8="","",IF(OR(B8="",F8="",G8="",H8=""),"Control, test type, attributes, procedure needed",IF(COUNTIF(Ref_CTRL!$A$2:$A$201,B8)=0,"CTRL-ID not in W05",IF(LEFT(A8,LEN(B8)+1)&lt;&gt;B8&amp;"-","TEST-ID must start with CTRL-ID-",IF(AND(F8="TOE",I8=""),"Population EV-ID needed (TOE)",IF(AND(I8&lt;&gt;"",J8&lt;&gt;"Pass"),"HOLD: population IPE not Pass",IF(AND(F8="TOE",M8=""),"Sample size needed",IF(AND(F8="TOE",OR(M8&lt;IFERROR(INDEX(Sample_Guide!$C$5:$C$20,MATCH(E8,Sample_Guide!$A$5:$A$20,0)),0),M8&gt;IFERROR(INDEX(Sample_Guide!$D$5:$D$20,MATCH(E8,Sample_Guide!$A$5:$A$20,0)),9999))),"Sample outside guide: justify",IF(OR(Q8="",R8=""),"Tester and reviewer needed",IF(Q8=R8,"Tester and reviewer must differ",IF(AND(W8&lt;&gt;"",W8&lt;&gt;"Not started",V8&lt;&gt;"Reviewed",V8&lt;&gt;"Closed"),"Result only after review","OK")))))))))))</f>
        <v/>
      </c>
    </row>
    <row r="9" customFormat="false" ht="15" hidden="false" customHeight="false" outlineLevel="0" collapsed="false">
      <c r="A9" s="16"/>
      <c r="B9" s="16"/>
      <c r="C9" s="17" t="str">
        <f aca="false">IFERROR(INDEX(Ref_CTRL!$B$2:$B$201,MATCH(B9,Ref_CTRL!$A$2:$A$201,0)),"")</f>
        <v/>
      </c>
      <c r="D9" s="17" t="str">
        <f aca="false">IFERROR(INDEX(Ref_CTRL!$C$2:$C$201,MATCH(B9,Ref_CTRL!$A$2:$A$201,0)),"")</f>
        <v/>
      </c>
      <c r="E9" s="17" t="str">
        <f aca="false">IFERROR(INDEX(Ref_CTRL!$D$2:$D$201,MATCH(B9,Ref_CTRL!$A$2:$A$201,0)),"")</f>
        <v/>
      </c>
      <c r="F9" s="16"/>
      <c r="G9" s="16"/>
      <c r="H9" s="16"/>
      <c r="I9" s="16"/>
      <c r="J9" s="17" t="str">
        <f aca="false">IFERROR(INDEX(Ref_EV!$B$2:$B$201,MATCH(I9,Ref_EV!$A$2:$A$201,0)),"")</f>
        <v/>
      </c>
      <c r="K9" s="17" t="str">
        <f aca="false">IFERROR(INDEX(Ref_EV!$C$2:$C$201,MATCH(I9,Ref_EV!$A$2:$A$201,0)),"")</f>
        <v/>
      </c>
      <c r="L9" s="17" t="str">
        <f aca="false">IF(F9="TOD","1",IFERROR(INDEX(Sample_Guide!$C$5:$C$20,MATCH(E9,Sample_Guide!$A$5:$A$20,0))&amp;"–"&amp;INDEX(Sample_Guide!$D$5:$D$20,MATCH(E9,Sample_Guide!$A$5:$A$20,0)),""))</f>
        <v/>
      </c>
      <c r="M9" s="16"/>
      <c r="N9" s="18"/>
      <c r="O9" s="18"/>
      <c r="P9" s="17" t="str">
        <f aca="false">IF(A9="","",IF(OR(D9="ITAC",D9="IPE",D9="ITDM"),"Y","N"))</f>
        <v/>
      </c>
      <c r="Q9" s="16"/>
      <c r="R9" s="16"/>
      <c r="S9" s="18"/>
      <c r="T9" s="18"/>
      <c r="U9" s="16"/>
      <c r="V9" s="16"/>
      <c r="W9" s="16"/>
      <c r="X9" s="17" t="str">
        <f aca="false">IF(A9="","",IF(OR(B9="",F9="",G9="",H9=""),"Control, test type, attributes, procedure needed",IF(COUNTIF(Ref_CTRL!$A$2:$A$201,B9)=0,"CTRL-ID not in W05",IF(LEFT(A9,LEN(B9)+1)&lt;&gt;B9&amp;"-","TEST-ID must start with CTRL-ID-",IF(AND(F9="TOE",I9=""),"Population EV-ID needed (TOE)",IF(AND(I9&lt;&gt;"",J9&lt;&gt;"Pass"),"HOLD: population IPE not Pass",IF(AND(F9="TOE",M9=""),"Sample size needed",IF(AND(F9="TOE",OR(M9&lt;IFERROR(INDEX(Sample_Guide!$C$5:$C$20,MATCH(E9,Sample_Guide!$A$5:$A$20,0)),0),M9&gt;IFERROR(INDEX(Sample_Guide!$D$5:$D$20,MATCH(E9,Sample_Guide!$A$5:$A$20,0)),9999))),"Sample outside guide: justify",IF(OR(Q9="",R9=""),"Tester and reviewer needed",IF(Q9=R9,"Tester and reviewer must differ",IF(AND(W9&lt;&gt;"",W9&lt;&gt;"Not started",V9&lt;&gt;"Reviewed",V9&lt;&gt;"Closed"),"Result only after review","OK")))))))))))</f>
        <v/>
      </c>
    </row>
    <row r="10" customFormat="false" ht="15" hidden="false" customHeight="false" outlineLevel="0" collapsed="false">
      <c r="A10" s="16"/>
      <c r="B10" s="16"/>
      <c r="C10" s="17" t="str">
        <f aca="false">IFERROR(INDEX(Ref_CTRL!$B$2:$B$201,MATCH(B10,Ref_CTRL!$A$2:$A$201,0)),"")</f>
        <v/>
      </c>
      <c r="D10" s="17" t="str">
        <f aca="false">IFERROR(INDEX(Ref_CTRL!$C$2:$C$201,MATCH(B10,Ref_CTRL!$A$2:$A$201,0)),"")</f>
        <v/>
      </c>
      <c r="E10" s="17" t="str">
        <f aca="false">IFERROR(INDEX(Ref_CTRL!$D$2:$D$201,MATCH(B10,Ref_CTRL!$A$2:$A$201,0)),"")</f>
        <v/>
      </c>
      <c r="F10" s="16"/>
      <c r="G10" s="16"/>
      <c r="H10" s="16"/>
      <c r="I10" s="16"/>
      <c r="J10" s="17" t="str">
        <f aca="false">IFERROR(INDEX(Ref_EV!$B$2:$B$201,MATCH(I10,Ref_EV!$A$2:$A$201,0)),"")</f>
        <v/>
      </c>
      <c r="K10" s="17" t="str">
        <f aca="false">IFERROR(INDEX(Ref_EV!$C$2:$C$201,MATCH(I10,Ref_EV!$A$2:$A$201,0)),"")</f>
        <v/>
      </c>
      <c r="L10" s="17" t="str">
        <f aca="false">IF(F10="TOD","1",IFERROR(INDEX(Sample_Guide!$C$5:$C$20,MATCH(E10,Sample_Guide!$A$5:$A$20,0))&amp;"–"&amp;INDEX(Sample_Guide!$D$5:$D$20,MATCH(E10,Sample_Guide!$A$5:$A$20,0)),""))</f>
        <v/>
      </c>
      <c r="M10" s="16"/>
      <c r="N10" s="18"/>
      <c r="O10" s="18"/>
      <c r="P10" s="17" t="str">
        <f aca="false">IF(A10="","",IF(OR(D10="ITAC",D10="IPE",D10="ITDM"),"Y","N"))</f>
        <v/>
      </c>
      <c r="Q10" s="16"/>
      <c r="R10" s="16"/>
      <c r="S10" s="18"/>
      <c r="T10" s="18"/>
      <c r="U10" s="16"/>
      <c r="V10" s="16"/>
      <c r="W10" s="16"/>
      <c r="X10" s="17" t="str">
        <f aca="false">IF(A10="","",IF(OR(B10="",F10="",G10="",H10=""),"Control, test type, attributes, procedure needed",IF(COUNTIF(Ref_CTRL!$A$2:$A$201,B10)=0,"CTRL-ID not in W05",IF(LEFT(A10,LEN(B10)+1)&lt;&gt;B10&amp;"-","TEST-ID must start with CTRL-ID-",IF(AND(F10="TOE",I10=""),"Population EV-ID needed (TOE)",IF(AND(I10&lt;&gt;"",J10&lt;&gt;"Pass"),"HOLD: population IPE not Pass",IF(AND(F10="TOE",M10=""),"Sample size needed",IF(AND(F10="TOE",OR(M10&lt;IFERROR(INDEX(Sample_Guide!$C$5:$C$20,MATCH(E10,Sample_Guide!$A$5:$A$20,0)),0),M10&gt;IFERROR(INDEX(Sample_Guide!$D$5:$D$20,MATCH(E10,Sample_Guide!$A$5:$A$20,0)),9999))),"Sample outside guide: justify",IF(OR(Q10="",R10=""),"Tester and reviewer needed",IF(Q10=R10,"Tester and reviewer must differ",IF(AND(W10&lt;&gt;"",W10&lt;&gt;"Not started",V10&lt;&gt;"Reviewed",V10&lt;&gt;"Closed"),"Result only after review","OK")))))))))))</f>
        <v/>
      </c>
    </row>
    <row r="11" customFormat="false" ht="15" hidden="false" customHeight="false" outlineLevel="0" collapsed="false">
      <c r="A11" s="16"/>
      <c r="B11" s="16"/>
      <c r="C11" s="17" t="str">
        <f aca="false">IFERROR(INDEX(Ref_CTRL!$B$2:$B$201,MATCH(B11,Ref_CTRL!$A$2:$A$201,0)),"")</f>
        <v/>
      </c>
      <c r="D11" s="17" t="str">
        <f aca="false">IFERROR(INDEX(Ref_CTRL!$C$2:$C$201,MATCH(B11,Ref_CTRL!$A$2:$A$201,0)),"")</f>
        <v/>
      </c>
      <c r="E11" s="17" t="str">
        <f aca="false">IFERROR(INDEX(Ref_CTRL!$D$2:$D$201,MATCH(B11,Ref_CTRL!$A$2:$A$201,0)),"")</f>
        <v/>
      </c>
      <c r="F11" s="16"/>
      <c r="G11" s="16"/>
      <c r="H11" s="16"/>
      <c r="I11" s="16"/>
      <c r="J11" s="17" t="str">
        <f aca="false">IFERROR(INDEX(Ref_EV!$B$2:$B$201,MATCH(I11,Ref_EV!$A$2:$A$201,0)),"")</f>
        <v/>
      </c>
      <c r="K11" s="17" t="str">
        <f aca="false">IFERROR(INDEX(Ref_EV!$C$2:$C$201,MATCH(I11,Ref_EV!$A$2:$A$201,0)),"")</f>
        <v/>
      </c>
      <c r="L11" s="17" t="str">
        <f aca="false">IF(F11="TOD","1",IFERROR(INDEX(Sample_Guide!$C$5:$C$20,MATCH(E11,Sample_Guide!$A$5:$A$20,0))&amp;"–"&amp;INDEX(Sample_Guide!$D$5:$D$20,MATCH(E11,Sample_Guide!$A$5:$A$20,0)),""))</f>
        <v/>
      </c>
      <c r="M11" s="16"/>
      <c r="N11" s="18"/>
      <c r="O11" s="18"/>
      <c r="P11" s="17" t="str">
        <f aca="false">IF(A11="","",IF(OR(D11="ITAC",D11="IPE",D11="ITDM"),"Y","N"))</f>
        <v/>
      </c>
      <c r="Q11" s="16"/>
      <c r="R11" s="16"/>
      <c r="S11" s="18"/>
      <c r="T11" s="18"/>
      <c r="U11" s="16"/>
      <c r="V11" s="16"/>
      <c r="W11" s="16"/>
      <c r="X11" s="17" t="str">
        <f aca="false">IF(A11="","",IF(OR(B11="",F11="",G11="",H11=""),"Control, test type, attributes, procedure needed",IF(COUNTIF(Ref_CTRL!$A$2:$A$201,B11)=0,"CTRL-ID not in W05",IF(LEFT(A11,LEN(B11)+1)&lt;&gt;B11&amp;"-","TEST-ID must start with CTRL-ID-",IF(AND(F11="TOE",I11=""),"Population EV-ID needed (TOE)",IF(AND(I11&lt;&gt;"",J11&lt;&gt;"Pass"),"HOLD: population IPE not Pass",IF(AND(F11="TOE",M11=""),"Sample size needed",IF(AND(F11="TOE",OR(M11&lt;IFERROR(INDEX(Sample_Guide!$C$5:$C$20,MATCH(E11,Sample_Guide!$A$5:$A$20,0)),0),M11&gt;IFERROR(INDEX(Sample_Guide!$D$5:$D$20,MATCH(E11,Sample_Guide!$A$5:$A$20,0)),9999))),"Sample outside guide: justify",IF(OR(Q11="",R11=""),"Tester and reviewer needed",IF(Q11=R11,"Tester and reviewer must differ",IF(AND(W11&lt;&gt;"",W11&lt;&gt;"Not started",V11&lt;&gt;"Reviewed",V11&lt;&gt;"Closed"),"Result only after review","OK")))))))))))</f>
        <v/>
      </c>
    </row>
    <row r="12" customFormat="false" ht="15" hidden="false" customHeight="false" outlineLevel="0" collapsed="false">
      <c r="A12" s="16"/>
      <c r="B12" s="16"/>
      <c r="C12" s="17" t="str">
        <f aca="false">IFERROR(INDEX(Ref_CTRL!$B$2:$B$201,MATCH(B12,Ref_CTRL!$A$2:$A$201,0)),"")</f>
        <v/>
      </c>
      <c r="D12" s="17" t="str">
        <f aca="false">IFERROR(INDEX(Ref_CTRL!$C$2:$C$201,MATCH(B12,Ref_CTRL!$A$2:$A$201,0)),"")</f>
        <v/>
      </c>
      <c r="E12" s="17" t="str">
        <f aca="false">IFERROR(INDEX(Ref_CTRL!$D$2:$D$201,MATCH(B12,Ref_CTRL!$A$2:$A$201,0)),"")</f>
        <v/>
      </c>
      <c r="F12" s="16"/>
      <c r="G12" s="16"/>
      <c r="H12" s="16"/>
      <c r="I12" s="16"/>
      <c r="J12" s="17" t="str">
        <f aca="false">IFERROR(INDEX(Ref_EV!$B$2:$B$201,MATCH(I12,Ref_EV!$A$2:$A$201,0)),"")</f>
        <v/>
      </c>
      <c r="K12" s="17" t="str">
        <f aca="false">IFERROR(INDEX(Ref_EV!$C$2:$C$201,MATCH(I12,Ref_EV!$A$2:$A$201,0)),"")</f>
        <v/>
      </c>
      <c r="L12" s="17" t="str">
        <f aca="false">IF(F12="TOD","1",IFERROR(INDEX(Sample_Guide!$C$5:$C$20,MATCH(E12,Sample_Guide!$A$5:$A$20,0))&amp;"–"&amp;INDEX(Sample_Guide!$D$5:$D$20,MATCH(E12,Sample_Guide!$A$5:$A$20,0)),""))</f>
        <v/>
      </c>
      <c r="M12" s="16"/>
      <c r="N12" s="18"/>
      <c r="O12" s="18"/>
      <c r="P12" s="17" t="str">
        <f aca="false">IF(A12="","",IF(OR(D12="ITAC",D12="IPE",D12="ITDM"),"Y","N"))</f>
        <v/>
      </c>
      <c r="Q12" s="16"/>
      <c r="R12" s="16"/>
      <c r="S12" s="18"/>
      <c r="T12" s="18"/>
      <c r="U12" s="16"/>
      <c r="V12" s="16"/>
      <c r="W12" s="16"/>
      <c r="X12" s="17" t="str">
        <f aca="false">IF(A12="","",IF(OR(B12="",F12="",G12="",H12=""),"Control, test type, attributes, procedure needed",IF(COUNTIF(Ref_CTRL!$A$2:$A$201,B12)=0,"CTRL-ID not in W05",IF(LEFT(A12,LEN(B12)+1)&lt;&gt;B12&amp;"-","TEST-ID must start with CTRL-ID-",IF(AND(F12="TOE",I12=""),"Population EV-ID needed (TOE)",IF(AND(I12&lt;&gt;"",J12&lt;&gt;"Pass"),"HOLD: population IPE not Pass",IF(AND(F12="TOE",M12=""),"Sample size needed",IF(AND(F12="TOE",OR(M12&lt;IFERROR(INDEX(Sample_Guide!$C$5:$C$20,MATCH(E12,Sample_Guide!$A$5:$A$20,0)),0),M12&gt;IFERROR(INDEX(Sample_Guide!$D$5:$D$20,MATCH(E12,Sample_Guide!$A$5:$A$20,0)),9999))),"Sample outside guide: justify",IF(OR(Q12="",R12=""),"Tester and reviewer needed",IF(Q12=R12,"Tester and reviewer must differ",IF(AND(W12&lt;&gt;"",W12&lt;&gt;"Not started",V12&lt;&gt;"Reviewed",V12&lt;&gt;"Closed"),"Result only after review","OK")))))))))))</f>
        <v/>
      </c>
    </row>
    <row r="13" customFormat="false" ht="15" hidden="false" customHeight="false" outlineLevel="0" collapsed="false">
      <c r="A13" s="16"/>
      <c r="B13" s="16"/>
      <c r="C13" s="17" t="str">
        <f aca="false">IFERROR(INDEX(Ref_CTRL!$B$2:$B$201,MATCH(B13,Ref_CTRL!$A$2:$A$201,0)),"")</f>
        <v/>
      </c>
      <c r="D13" s="17" t="str">
        <f aca="false">IFERROR(INDEX(Ref_CTRL!$C$2:$C$201,MATCH(B13,Ref_CTRL!$A$2:$A$201,0)),"")</f>
        <v/>
      </c>
      <c r="E13" s="17" t="str">
        <f aca="false">IFERROR(INDEX(Ref_CTRL!$D$2:$D$201,MATCH(B13,Ref_CTRL!$A$2:$A$201,0)),"")</f>
        <v/>
      </c>
      <c r="F13" s="16"/>
      <c r="G13" s="16"/>
      <c r="H13" s="16"/>
      <c r="I13" s="16"/>
      <c r="J13" s="17" t="str">
        <f aca="false">IFERROR(INDEX(Ref_EV!$B$2:$B$201,MATCH(I13,Ref_EV!$A$2:$A$201,0)),"")</f>
        <v/>
      </c>
      <c r="K13" s="17" t="str">
        <f aca="false">IFERROR(INDEX(Ref_EV!$C$2:$C$201,MATCH(I13,Ref_EV!$A$2:$A$201,0)),"")</f>
        <v/>
      </c>
      <c r="L13" s="17" t="str">
        <f aca="false">IF(F13="TOD","1",IFERROR(INDEX(Sample_Guide!$C$5:$C$20,MATCH(E13,Sample_Guide!$A$5:$A$20,0))&amp;"–"&amp;INDEX(Sample_Guide!$D$5:$D$20,MATCH(E13,Sample_Guide!$A$5:$A$20,0)),""))</f>
        <v/>
      </c>
      <c r="M13" s="16"/>
      <c r="N13" s="18"/>
      <c r="O13" s="18"/>
      <c r="P13" s="17" t="str">
        <f aca="false">IF(A13="","",IF(OR(D13="ITAC",D13="IPE",D13="ITDM"),"Y","N"))</f>
        <v/>
      </c>
      <c r="Q13" s="16"/>
      <c r="R13" s="16"/>
      <c r="S13" s="18"/>
      <c r="T13" s="18"/>
      <c r="U13" s="16"/>
      <c r="V13" s="16"/>
      <c r="W13" s="16"/>
      <c r="X13" s="17" t="str">
        <f aca="false">IF(A13="","",IF(OR(B13="",F13="",G13="",H13=""),"Control, test type, attributes, procedure needed",IF(COUNTIF(Ref_CTRL!$A$2:$A$201,B13)=0,"CTRL-ID not in W05",IF(LEFT(A13,LEN(B13)+1)&lt;&gt;B13&amp;"-","TEST-ID must start with CTRL-ID-",IF(AND(F13="TOE",I13=""),"Population EV-ID needed (TOE)",IF(AND(I13&lt;&gt;"",J13&lt;&gt;"Pass"),"HOLD: population IPE not Pass",IF(AND(F13="TOE",M13=""),"Sample size needed",IF(AND(F13="TOE",OR(M13&lt;IFERROR(INDEX(Sample_Guide!$C$5:$C$20,MATCH(E13,Sample_Guide!$A$5:$A$20,0)),0),M13&gt;IFERROR(INDEX(Sample_Guide!$D$5:$D$20,MATCH(E13,Sample_Guide!$A$5:$A$20,0)),9999))),"Sample outside guide: justify",IF(OR(Q13="",R13=""),"Tester and reviewer needed",IF(Q13=R13,"Tester and reviewer must differ",IF(AND(W13&lt;&gt;"",W13&lt;&gt;"Not started",V13&lt;&gt;"Reviewed",V13&lt;&gt;"Closed"),"Result only after review","OK")))))))))))</f>
        <v/>
      </c>
    </row>
    <row r="14" customFormat="false" ht="15" hidden="false" customHeight="false" outlineLevel="0" collapsed="false">
      <c r="A14" s="16"/>
      <c r="B14" s="16"/>
      <c r="C14" s="17" t="str">
        <f aca="false">IFERROR(INDEX(Ref_CTRL!$B$2:$B$201,MATCH(B14,Ref_CTRL!$A$2:$A$201,0)),"")</f>
        <v/>
      </c>
      <c r="D14" s="17" t="str">
        <f aca="false">IFERROR(INDEX(Ref_CTRL!$C$2:$C$201,MATCH(B14,Ref_CTRL!$A$2:$A$201,0)),"")</f>
        <v/>
      </c>
      <c r="E14" s="17" t="str">
        <f aca="false">IFERROR(INDEX(Ref_CTRL!$D$2:$D$201,MATCH(B14,Ref_CTRL!$A$2:$A$201,0)),"")</f>
        <v/>
      </c>
      <c r="F14" s="16"/>
      <c r="G14" s="16"/>
      <c r="H14" s="16"/>
      <c r="I14" s="16"/>
      <c r="J14" s="17" t="str">
        <f aca="false">IFERROR(INDEX(Ref_EV!$B$2:$B$201,MATCH(I14,Ref_EV!$A$2:$A$201,0)),"")</f>
        <v/>
      </c>
      <c r="K14" s="17" t="str">
        <f aca="false">IFERROR(INDEX(Ref_EV!$C$2:$C$201,MATCH(I14,Ref_EV!$A$2:$A$201,0)),"")</f>
        <v/>
      </c>
      <c r="L14" s="17" t="str">
        <f aca="false">IF(F14="TOD","1",IFERROR(INDEX(Sample_Guide!$C$5:$C$20,MATCH(E14,Sample_Guide!$A$5:$A$20,0))&amp;"–"&amp;INDEX(Sample_Guide!$D$5:$D$20,MATCH(E14,Sample_Guide!$A$5:$A$20,0)),""))</f>
        <v/>
      </c>
      <c r="M14" s="16"/>
      <c r="N14" s="18"/>
      <c r="O14" s="18"/>
      <c r="P14" s="17" t="str">
        <f aca="false">IF(A14="","",IF(OR(D14="ITAC",D14="IPE",D14="ITDM"),"Y","N"))</f>
        <v/>
      </c>
      <c r="Q14" s="16"/>
      <c r="R14" s="16"/>
      <c r="S14" s="18"/>
      <c r="T14" s="18"/>
      <c r="U14" s="16"/>
      <c r="V14" s="16"/>
      <c r="W14" s="16"/>
      <c r="X14" s="17" t="str">
        <f aca="false">IF(A14="","",IF(OR(B14="",F14="",G14="",H14=""),"Control, test type, attributes, procedure needed",IF(COUNTIF(Ref_CTRL!$A$2:$A$201,B14)=0,"CTRL-ID not in W05",IF(LEFT(A14,LEN(B14)+1)&lt;&gt;B14&amp;"-","TEST-ID must start with CTRL-ID-",IF(AND(F14="TOE",I14=""),"Population EV-ID needed (TOE)",IF(AND(I14&lt;&gt;"",J14&lt;&gt;"Pass"),"HOLD: population IPE not Pass",IF(AND(F14="TOE",M14=""),"Sample size needed",IF(AND(F14="TOE",OR(M14&lt;IFERROR(INDEX(Sample_Guide!$C$5:$C$20,MATCH(E14,Sample_Guide!$A$5:$A$20,0)),0),M14&gt;IFERROR(INDEX(Sample_Guide!$D$5:$D$20,MATCH(E14,Sample_Guide!$A$5:$A$20,0)),9999))),"Sample outside guide: justify",IF(OR(Q14="",R14=""),"Tester and reviewer needed",IF(Q14=R14,"Tester and reviewer must differ",IF(AND(W14&lt;&gt;"",W14&lt;&gt;"Not started",V14&lt;&gt;"Reviewed",V14&lt;&gt;"Closed"),"Result only after review","OK")))))))))))</f>
        <v/>
      </c>
    </row>
    <row r="15" customFormat="false" ht="15" hidden="false" customHeight="false" outlineLevel="0" collapsed="false">
      <c r="A15" s="16"/>
      <c r="B15" s="16"/>
      <c r="C15" s="17" t="str">
        <f aca="false">IFERROR(INDEX(Ref_CTRL!$B$2:$B$201,MATCH(B15,Ref_CTRL!$A$2:$A$201,0)),"")</f>
        <v/>
      </c>
      <c r="D15" s="17" t="str">
        <f aca="false">IFERROR(INDEX(Ref_CTRL!$C$2:$C$201,MATCH(B15,Ref_CTRL!$A$2:$A$201,0)),"")</f>
        <v/>
      </c>
      <c r="E15" s="17" t="str">
        <f aca="false">IFERROR(INDEX(Ref_CTRL!$D$2:$D$201,MATCH(B15,Ref_CTRL!$A$2:$A$201,0)),"")</f>
        <v/>
      </c>
      <c r="F15" s="16"/>
      <c r="G15" s="16"/>
      <c r="H15" s="16"/>
      <c r="I15" s="16"/>
      <c r="J15" s="17" t="str">
        <f aca="false">IFERROR(INDEX(Ref_EV!$B$2:$B$201,MATCH(I15,Ref_EV!$A$2:$A$201,0)),"")</f>
        <v/>
      </c>
      <c r="K15" s="17" t="str">
        <f aca="false">IFERROR(INDEX(Ref_EV!$C$2:$C$201,MATCH(I15,Ref_EV!$A$2:$A$201,0)),"")</f>
        <v/>
      </c>
      <c r="L15" s="17" t="str">
        <f aca="false">IF(F15="TOD","1",IFERROR(INDEX(Sample_Guide!$C$5:$C$20,MATCH(E15,Sample_Guide!$A$5:$A$20,0))&amp;"–"&amp;INDEX(Sample_Guide!$D$5:$D$20,MATCH(E15,Sample_Guide!$A$5:$A$20,0)),""))</f>
        <v/>
      </c>
      <c r="M15" s="16"/>
      <c r="N15" s="18"/>
      <c r="O15" s="18"/>
      <c r="P15" s="17" t="str">
        <f aca="false">IF(A15="","",IF(OR(D15="ITAC",D15="IPE",D15="ITDM"),"Y","N"))</f>
        <v/>
      </c>
      <c r="Q15" s="16"/>
      <c r="R15" s="16"/>
      <c r="S15" s="18"/>
      <c r="T15" s="18"/>
      <c r="U15" s="16"/>
      <c r="V15" s="16"/>
      <c r="W15" s="16"/>
      <c r="X15" s="17" t="str">
        <f aca="false">IF(A15="","",IF(OR(B15="",F15="",G15="",H15=""),"Control, test type, attributes, procedure needed",IF(COUNTIF(Ref_CTRL!$A$2:$A$201,B15)=0,"CTRL-ID not in W05",IF(LEFT(A15,LEN(B15)+1)&lt;&gt;B15&amp;"-","TEST-ID must start with CTRL-ID-",IF(AND(F15="TOE",I15=""),"Population EV-ID needed (TOE)",IF(AND(I15&lt;&gt;"",J15&lt;&gt;"Pass"),"HOLD: population IPE not Pass",IF(AND(F15="TOE",M15=""),"Sample size needed",IF(AND(F15="TOE",OR(M15&lt;IFERROR(INDEX(Sample_Guide!$C$5:$C$20,MATCH(E15,Sample_Guide!$A$5:$A$20,0)),0),M15&gt;IFERROR(INDEX(Sample_Guide!$D$5:$D$20,MATCH(E15,Sample_Guide!$A$5:$A$20,0)),9999))),"Sample outside guide: justify",IF(OR(Q15="",R15=""),"Tester and reviewer needed",IF(Q15=R15,"Tester and reviewer must differ",IF(AND(W15&lt;&gt;"",W15&lt;&gt;"Not started",V15&lt;&gt;"Reviewed",V15&lt;&gt;"Closed"),"Result only after review","OK")))))))))))</f>
        <v/>
      </c>
    </row>
    <row r="16" customFormat="false" ht="15" hidden="false" customHeight="false" outlineLevel="0" collapsed="false">
      <c r="A16" s="16"/>
      <c r="B16" s="16"/>
      <c r="C16" s="17" t="str">
        <f aca="false">IFERROR(INDEX(Ref_CTRL!$B$2:$B$201,MATCH(B16,Ref_CTRL!$A$2:$A$201,0)),"")</f>
        <v/>
      </c>
      <c r="D16" s="17" t="str">
        <f aca="false">IFERROR(INDEX(Ref_CTRL!$C$2:$C$201,MATCH(B16,Ref_CTRL!$A$2:$A$201,0)),"")</f>
        <v/>
      </c>
      <c r="E16" s="17" t="str">
        <f aca="false">IFERROR(INDEX(Ref_CTRL!$D$2:$D$201,MATCH(B16,Ref_CTRL!$A$2:$A$201,0)),"")</f>
        <v/>
      </c>
      <c r="F16" s="16"/>
      <c r="G16" s="16"/>
      <c r="H16" s="16"/>
      <c r="I16" s="16"/>
      <c r="J16" s="17" t="str">
        <f aca="false">IFERROR(INDEX(Ref_EV!$B$2:$B$201,MATCH(I16,Ref_EV!$A$2:$A$201,0)),"")</f>
        <v/>
      </c>
      <c r="K16" s="17" t="str">
        <f aca="false">IFERROR(INDEX(Ref_EV!$C$2:$C$201,MATCH(I16,Ref_EV!$A$2:$A$201,0)),"")</f>
        <v/>
      </c>
      <c r="L16" s="17" t="str">
        <f aca="false">IF(F16="TOD","1",IFERROR(INDEX(Sample_Guide!$C$5:$C$20,MATCH(E16,Sample_Guide!$A$5:$A$20,0))&amp;"–"&amp;INDEX(Sample_Guide!$D$5:$D$20,MATCH(E16,Sample_Guide!$A$5:$A$20,0)),""))</f>
        <v/>
      </c>
      <c r="M16" s="16"/>
      <c r="N16" s="18"/>
      <c r="O16" s="18"/>
      <c r="P16" s="17" t="str">
        <f aca="false">IF(A16="","",IF(OR(D16="ITAC",D16="IPE",D16="ITDM"),"Y","N"))</f>
        <v/>
      </c>
      <c r="Q16" s="16"/>
      <c r="R16" s="16"/>
      <c r="S16" s="18"/>
      <c r="T16" s="18"/>
      <c r="U16" s="16"/>
      <c r="V16" s="16"/>
      <c r="W16" s="16"/>
      <c r="X16" s="17" t="str">
        <f aca="false">IF(A16="","",IF(OR(B16="",F16="",G16="",H16=""),"Control, test type, attributes, procedure needed",IF(COUNTIF(Ref_CTRL!$A$2:$A$201,B16)=0,"CTRL-ID not in W05",IF(LEFT(A16,LEN(B16)+1)&lt;&gt;B16&amp;"-","TEST-ID must start with CTRL-ID-",IF(AND(F16="TOE",I16=""),"Population EV-ID needed (TOE)",IF(AND(I16&lt;&gt;"",J16&lt;&gt;"Pass"),"HOLD: population IPE not Pass",IF(AND(F16="TOE",M16=""),"Sample size needed",IF(AND(F16="TOE",OR(M16&lt;IFERROR(INDEX(Sample_Guide!$C$5:$C$20,MATCH(E16,Sample_Guide!$A$5:$A$20,0)),0),M16&gt;IFERROR(INDEX(Sample_Guide!$D$5:$D$20,MATCH(E16,Sample_Guide!$A$5:$A$20,0)),9999))),"Sample outside guide: justify",IF(OR(Q16="",R16=""),"Tester and reviewer needed",IF(Q16=R16,"Tester and reviewer must differ",IF(AND(W16&lt;&gt;"",W16&lt;&gt;"Not started",V16&lt;&gt;"Reviewed",V16&lt;&gt;"Closed"),"Result only after review","OK")))))))))))</f>
        <v/>
      </c>
    </row>
    <row r="17" customFormat="false" ht="15" hidden="false" customHeight="false" outlineLevel="0" collapsed="false">
      <c r="A17" s="16"/>
      <c r="B17" s="16"/>
      <c r="C17" s="17" t="str">
        <f aca="false">IFERROR(INDEX(Ref_CTRL!$B$2:$B$201,MATCH(B17,Ref_CTRL!$A$2:$A$201,0)),"")</f>
        <v/>
      </c>
      <c r="D17" s="17" t="str">
        <f aca="false">IFERROR(INDEX(Ref_CTRL!$C$2:$C$201,MATCH(B17,Ref_CTRL!$A$2:$A$201,0)),"")</f>
        <v/>
      </c>
      <c r="E17" s="17" t="str">
        <f aca="false">IFERROR(INDEX(Ref_CTRL!$D$2:$D$201,MATCH(B17,Ref_CTRL!$A$2:$A$201,0)),"")</f>
        <v/>
      </c>
      <c r="F17" s="16"/>
      <c r="G17" s="16"/>
      <c r="H17" s="16"/>
      <c r="I17" s="16"/>
      <c r="J17" s="17" t="str">
        <f aca="false">IFERROR(INDEX(Ref_EV!$B$2:$B$201,MATCH(I17,Ref_EV!$A$2:$A$201,0)),"")</f>
        <v/>
      </c>
      <c r="K17" s="17" t="str">
        <f aca="false">IFERROR(INDEX(Ref_EV!$C$2:$C$201,MATCH(I17,Ref_EV!$A$2:$A$201,0)),"")</f>
        <v/>
      </c>
      <c r="L17" s="17" t="str">
        <f aca="false">IF(F17="TOD","1",IFERROR(INDEX(Sample_Guide!$C$5:$C$20,MATCH(E17,Sample_Guide!$A$5:$A$20,0))&amp;"–"&amp;INDEX(Sample_Guide!$D$5:$D$20,MATCH(E17,Sample_Guide!$A$5:$A$20,0)),""))</f>
        <v/>
      </c>
      <c r="M17" s="16"/>
      <c r="N17" s="18"/>
      <c r="O17" s="18"/>
      <c r="P17" s="17" t="str">
        <f aca="false">IF(A17="","",IF(OR(D17="ITAC",D17="IPE",D17="ITDM"),"Y","N"))</f>
        <v/>
      </c>
      <c r="Q17" s="16"/>
      <c r="R17" s="16"/>
      <c r="S17" s="18"/>
      <c r="T17" s="18"/>
      <c r="U17" s="16"/>
      <c r="V17" s="16"/>
      <c r="W17" s="16"/>
      <c r="X17" s="17" t="str">
        <f aca="false">IF(A17="","",IF(OR(B17="",F17="",G17="",H17=""),"Control, test type, attributes, procedure needed",IF(COUNTIF(Ref_CTRL!$A$2:$A$201,B17)=0,"CTRL-ID not in W05",IF(LEFT(A17,LEN(B17)+1)&lt;&gt;B17&amp;"-","TEST-ID must start with CTRL-ID-",IF(AND(F17="TOE",I17=""),"Population EV-ID needed (TOE)",IF(AND(I17&lt;&gt;"",J17&lt;&gt;"Pass"),"HOLD: population IPE not Pass",IF(AND(F17="TOE",M17=""),"Sample size needed",IF(AND(F17="TOE",OR(M17&lt;IFERROR(INDEX(Sample_Guide!$C$5:$C$20,MATCH(E17,Sample_Guide!$A$5:$A$20,0)),0),M17&gt;IFERROR(INDEX(Sample_Guide!$D$5:$D$20,MATCH(E17,Sample_Guide!$A$5:$A$20,0)),9999))),"Sample outside guide: justify",IF(OR(Q17="",R17=""),"Tester and reviewer needed",IF(Q17=R17,"Tester and reviewer must differ",IF(AND(W17&lt;&gt;"",W17&lt;&gt;"Not started",V17&lt;&gt;"Reviewed",V17&lt;&gt;"Closed"),"Result only after review","OK")))))))))))</f>
        <v/>
      </c>
    </row>
    <row r="18" customFormat="false" ht="15" hidden="false" customHeight="false" outlineLevel="0" collapsed="false">
      <c r="A18" s="16"/>
      <c r="B18" s="16"/>
      <c r="C18" s="17" t="str">
        <f aca="false">IFERROR(INDEX(Ref_CTRL!$B$2:$B$201,MATCH(B18,Ref_CTRL!$A$2:$A$201,0)),"")</f>
        <v/>
      </c>
      <c r="D18" s="17" t="str">
        <f aca="false">IFERROR(INDEX(Ref_CTRL!$C$2:$C$201,MATCH(B18,Ref_CTRL!$A$2:$A$201,0)),"")</f>
        <v/>
      </c>
      <c r="E18" s="17" t="str">
        <f aca="false">IFERROR(INDEX(Ref_CTRL!$D$2:$D$201,MATCH(B18,Ref_CTRL!$A$2:$A$201,0)),"")</f>
        <v/>
      </c>
      <c r="F18" s="16"/>
      <c r="G18" s="16"/>
      <c r="H18" s="16"/>
      <c r="I18" s="16"/>
      <c r="J18" s="17" t="str">
        <f aca="false">IFERROR(INDEX(Ref_EV!$B$2:$B$201,MATCH(I18,Ref_EV!$A$2:$A$201,0)),"")</f>
        <v/>
      </c>
      <c r="K18" s="17" t="str">
        <f aca="false">IFERROR(INDEX(Ref_EV!$C$2:$C$201,MATCH(I18,Ref_EV!$A$2:$A$201,0)),"")</f>
        <v/>
      </c>
      <c r="L18" s="17" t="str">
        <f aca="false">IF(F18="TOD","1",IFERROR(INDEX(Sample_Guide!$C$5:$C$20,MATCH(E18,Sample_Guide!$A$5:$A$20,0))&amp;"–"&amp;INDEX(Sample_Guide!$D$5:$D$20,MATCH(E18,Sample_Guide!$A$5:$A$20,0)),""))</f>
        <v/>
      </c>
      <c r="M18" s="16"/>
      <c r="N18" s="18"/>
      <c r="O18" s="18"/>
      <c r="P18" s="17" t="str">
        <f aca="false">IF(A18="","",IF(OR(D18="ITAC",D18="IPE",D18="ITDM"),"Y","N"))</f>
        <v/>
      </c>
      <c r="Q18" s="16"/>
      <c r="R18" s="16"/>
      <c r="S18" s="18"/>
      <c r="T18" s="18"/>
      <c r="U18" s="16"/>
      <c r="V18" s="16"/>
      <c r="W18" s="16"/>
      <c r="X18" s="17" t="str">
        <f aca="false">IF(A18="","",IF(OR(B18="",F18="",G18="",H18=""),"Control, test type, attributes, procedure needed",IF(COUNTIF(Ref_CTRL!$A$2:$A$201,B18)=0,"CTRL-ID not in W05",IF(LEFT(A18,LEN(B18)+1)&lt;&gt;B18&amp;"-","TEST-ID must start with CTRL-ID-",IF(AND(F18="TOE",I18=""),"Population EV-ID needed (TOE)",IF(AND(I18&lt;&gt;"",J18&lt;&gt;"Pass"),"HOLD: population IPE not Pass",IF(AND(F18="TOE",M18=""),"Sample size needed",IF(AND(F18="TOE",OR(M18&lt;IFERROR(INDEX(Sample_Guide!$C$5:$C$20,MATCH(E18,Sample_Guide!$A$5:$A$20,0)),0),M18&gt;IFERROR(INDEX(Sample_Guide!$D$5:$D$20,MATCH(E18,Sample_Guide!$A$5:$A$20,0)),9999))),"Sample outside guide: justify",IF(OR(Q18="",R18=""),"Tester and reviewer needed",IF(Q18=R18,"Tester and reviewer must differ",IF(AND(W18&lt;&gt;"",W18&lt;&gt;"Not started",V18&lt;&gt;"Reviewed",V18&lt;&gt;"Closed"),"Result only after review","OK")))))))))))</f>
        <v/>
      </c>
    </row>
    <row r="19" customFormat="false" ht="15" hidden="false" customHeight="false" outlineLevel="0" collapsed="false">
      <c r="A19" s="16"/>
      <c r="B19" s="16"/>
      <c r="C19" s="17" t="str">
        <f aca="false">IFERROR(INDEX(Ref_CTRL!$B$2:$B$201,MATCH(B19,Ref_CTRL!$A$2:$A$201,0)),"")</f>
        <v/>
      </c>
      <c r="D19" s="17" t="str">
        <f aca="false">IFERROR(INDEX(Ref_CTRL!$C$2:$C$201,MATCH(B19,Ref_CTRL!$A$2:$A$201,0)),"")</f>
        <v/>
      </c>
      <c r="E19" s="17" t="str">
        <f aca="false">IFERROR(INDEX(Ref_CTRL!$D$2:$D$201,MATCH(B19,Ref_CTRL!$A$2:$A$201,0)),"")</f>
        <v/>
      </c>
      <c r="F19" s="16"/>
      <c r="G19" s="16"/>
      <c r="H19" s="16"/>
      <c r="I19" s="16"/>
      <c r="J19" s="17" t="str">
        <f aca="false">IFERROR(INDEX(Ref_EV!$B$2:$B$201,MATCH(I19,Ref_EV!$A$2:$A$201,0)),"")</f>
        <v/>
      </c>
      <c r="K19" s="17" t="str">
        <f aca="false">IFERROR(INDEX(Ref_EV!$C$2:$C$201,MATCH(I19,Ref_EV!$A$2:$A$201,0)),"")</f>
        <v/>
      </c>
      <c r="L19" s="17" t="str">
        <f aca="false">IF(F19="TOD","1",IFERROR(INDEX(Sample_Guide!$C$5:$C$20,MATCH(E19,Sample_Guide!$A$5:$A$20,0))&amp;"–"&amp;INDEX(Sample_Guide!$D$5:$D$20,MATCH(E19,Sample_Guide!$A$5:$A$20,0)),""))</f>
        <v/>
      </c>
      <c r="M19" s="16"/>
      <c r="N19" s="18"/>
      <c r="O19" s="18"/>
      <c r="P19" s="17" t="str">
        <f aca="false">IF(A19="","",IF(OR(D19="ITAC",D19="IPE",D19="ITDM"),"Y","N"))</f>
        <v/>
      </c>
      <c r="Q19" s="16"/>
      <c r="R19" s="16"/>
      <c r="S19" s="18"/>
      <c r="T19" s="18"/>
      <c r="U19" s="16"/>
      <c r="V19" s="16"/>
      <c r="W19" s="16"/>
      <c r="X19" s="17" t="str">
        <f aca="false">IF(A19="","",IF(OR(B19="",F19="",G19="",H19=""),"Control, test type, attributes, procedure needed",IF(COUNTIF(Ref_CTRL!$A$2:$A$201,B19)=0,"CTRL-ID not in W05",IF(LEFT(A19,LEN(B19)+1)&lt;&gt;B19&amp;"-","TEST-ID must start with CTRL-ID-",IF(AND(F19="TOE",I19=""),"Population EV-ID needed (TOE)",IF(AND(I19&lt;&gt;"",J19&lt;&gt;"Pass"),"HOLD: population IPE not Pass",IF(AND(F19="TOE",M19=""),"Sample size needed",IF(AND(F19="TOE",OR(M19&lt;IFERROR(INDEX(Sample_Guide!$C$5:$C$20,MATCH(E19,Sample_Guide!$A$5:$A$20,0)),0),M19&gt;IFERROR(INDEX(Sample_Guide!$D$5:$D$20,MATCH(E19,Sample_Guide!$A$5:$A$20,0)),9999))),"Sample outside guide: justify",IF(OR(Q19="",R19=""),"Tester and reviewer needed",IF(Q19=R19,"Tester and reviewer must differ",IF(AND(W19&lt;&gt;"",W19&lt;&gt;"Not started",V19&lt;&gt;"Reviewed",V19&lt;&gt;"Closed"),"Result only after review","OK")))))))))))</f>
        <v/>
      </c>
    </row>
    <row r="20" customFormat="false" ht="15" hidden="false" customHeight="false" outlineLevel="0" collapsed="false">
      <c r="A20" s="16"/>
      <c r="B20" s="16"/>
      <c r="C20" s="17" t="str">
        <f aca="false">IFERROR(INDEX(Ref_CTRL!$B$2:$B$201,MATCH(B20,Ref_CTRL!$A$2:$A$201,0)),"")</f>
        <v/>
      </c>
      <c r="D20" s="17" t="str">
        <f aca="false">IFERROR(INDEX(Ref_CTRL!$C$2:$C$201,MATCH(B20,Ref_CTRL!$A$2:$A$201,0)),"")</f>
        <v/>
      </c>
      <c r="E20" s="17" t="str">
        <f aca="false">IFERROR(INDEX(Ref_CTRL!$D$2:$D$201,MATCH(B20,Ref_CTRL!$A$2:$A$201,0)),"")</f>
        <v/>
      </c>
      <c r="F20" s="16"/>
      <c r="G20" s="16"/>
      <c r="H20" s="16"/>
      <c r="I20" s="16"/>
      <c r="J20" s="17" t="str">
        <f aca="false">IFERROR(INDEX(Ref_EV!$B$2:$B$201,MATCH(I20,Ref_EV!$A$2:$A$201,0)),"")</f>
        <v/>
      </c>
      <c r="K20" s="17" t="str">
        <f aca="false">IFERROR(INDEX(Ref_EV!$C$2:$C$201,MATCH(I20,Ref_EV!$A$2:$A$201,0)),"")</f>
        <v/>
      </c>
      <c r="L20" s="17" t="str">
        <f aca="false">IF(F20="TOD","1",IFERROR(INDEX(Sample_Guide!$C$5:$C$20,MATCH(E20,Sample_Guide!$A$5:$A$20,0))&amp;"–"&amp;INDEX(Sample_Guide!$D$5:$D$20,MATCH(E20,Sample_Guide!$A$5:$A$20,0)),""))</f>
        <v/>
      </c>
      <c r="M20" s="16"/>
      <c r="N20" s="18"/>
      <c r="O20" s="18"/>
      <c r="P20" s="17" t="str">
        <f aca="false">IF(A20="","",IF(OR(D20="ITAC",D20="IPE",D20="ITDM"),"Y","N"))</f>
        <v/>
      </c>
      <c r="Q20" s="16"/>
      <c r="R20" s="16"/>
      <c r="S20" s="18"/>
      <c r="T20" s="18"/>
      <c r="U20" s="16"/>
      <c r="V20" s="16"/>
      <c r="W20" s="16"/>
      <c r="X20" s="17" t="str">
        <f aca="false">IF(A20="","",IF(OR(B20="",F20="",G20="",H20=""),"Control, test type, attributes, procedure needed",IF(COUNTIF(Ref_CTRL!$A$2:$A$201,B20)=0,"CTRL-ID not in W05",IF(LEFT(A20,LEN(B20)+1)&lt;&gt;B20&amp;"-","TEST-ID must start with CTRL-ID-",IF(AND(F20="TOE",I20=""),"Population EV-ID needed (TOE)",IF(AND(I20&lt;&gt;"",J20&lt;&gt;"Pass"),"HOLD: population IPE not Pass",IF(AND(F20="TOE",M20=""),"Sample size needed",IF(AND(F20="TOE",OR(M20&lt;IFERROR(INDEX(Sample_Guide!$C$5:$C$20,MATCH(E20,Sample_Guide!$A$5:$A$20,0)),0),M20&gt;IFERROR(INDEX(Sample_Guide!$D$5:$D$20,MATCH(E20,Sample_Guide!$A$5:$A$20,0)),9999))),"Sample outside guide: justify",IF(OR(Q20="",R20=""),"Tester and reviewer needed",IF(Q20=R20,"Tester and reviewer must differ",IF(AND(W20&lt;&gt;"",W20&lt;&gt;"Not started",V20&lt;&gt;"Reviewed",V20&lt;&gt;"Closed"),"Result only after review","OK")))))))))))</f>
        <v/>
      </c>
    </row>
    <row r="21" customFormat="false" ht="15" hidden="false" customHeight="false" outlineLevel="0" collapsed="false">
      <c r="A21" s="16"/>
      <c r="B21" s="16"/>
      <c r="C21" s="17" t="str">
        <f aca="false">IFERROR(INDEX(Ref_CTRL!$B$2:$B$201,MATCH(B21,Ref_CTRL!$A$2:$A$201,0)),"")</f>
        <v/>
      </c>
      <c r="D21" s="17" t="str">
        <f aca="false">IFERROR(INDEX(Ref_CTRL!$C$2:$C$201,MATCH(B21,Ref_CTRL!$A$2:$A$201,0)),"")</f>
        <v/>
      </c>
      <c r="E21" s="17" t="str">
        <f aca="false">IFERROR(INDEX(Ref_CTRL!$D$2:$D$201,MATCH(B21,Ref_CTRL!$A$2:$A$201,0)),"")</f>
        <v/>
      </c>
      <c r="F21" s="16"/>
      <c r="G21" s="16"/>
      <c r="H21" s="16"/>
      <c r="I21" s="16"/>
      <c r="J21" s="17" t="str">
        <f aca="false">IFERROR(INDEX(Ref_EV!$B$2:$B$201,MATCH(I21,Ref_EV!$A$2:$A$201,0)),"")</f>
        <v/>
      </c>
      <c r="K21" s="17" t="str">
        <f aca="false">IFERROR(INDEX(Ref_EV!$C$2:$C$201,MATCH(I21,Ref_EV!$A$2:$A$201,0)),"")</f>
        <v/>
      </c>
      <c r="L21" s="17" t="str">
        <f aca="false">IF(F21="TOD","1",IFERROR(INDEX(Sample_Guide!$C$5:$C$20,MATCH(E21,Sample_Guide!$A$5:$A$20,0))&amp;"–"&amp;INDEX(Sample_Guide!$D$5:$D$20,MATCH(E21,Sample_Guide!$A$5:$A$20,0)),""))</f>
        <v/>
      </c>
      <c r="M21" s="16"/>
      <c r="N21" s="18"/>
      <c r="O21" s="18"/>
      <c r="P21" s="17" t="str">
        <f aca="false">IF(A21="","",IF(OR(D21="ITAC",D21="IPE",D21="ITDM"),"Y","N"))</f>
        <v/>
      </c>
      <c r="Q21" s="16"/>
      <c r="R21" s="16"/>
      <c r="S21" s="18"/>
      <c r="T21" s="18"/>
      <c r="U21" s="16"/>
      <c r="V21" s="16"/>
      <c r="W21" s="16"/>
      <c r="X21" s="17" t="str">
        <f aca="false">IF(A21="","",IF(OR(B21="",F21="",G21="",H21=""),"Control, test type, attributes, procedure needed",IF(COUNTIF(Ref_CTRL!$A$2:$A$201,B21)=0,"CTRL-ID not in W05",IF(LEFT(A21,LEN(B21)+1)&lt;&gt;B21&amp;"-","TEST-ID must start with CTRL-ID-",IF(AND(F21="TOE",I21=""),"Population EV-ID needed (TOE)",IF(AND(I21&lt;&gt;"",J21&lt;&gt;"Pass"),"HOLD: population IPE not Pass",IF(AND(F21="TOE",M21=""),"Sample size needed",IF(AND(F21="TOE",OR(M21&lt;IFERROR(INDEX(Sample_Guide!$C$5:$C$20,MATCH(E21,Sample_Guide!$A$5:$A$20,0)),0),M21&gt;IFERROR(INDEX(Sample_Guide!$D$5:$D$20,MATCH(E21,Sample_Guide!$A$5:$A$20,0)),9999))),"Sample outside guide: justify",IF(OR(Q21="",R21=""),"Tester and reviewer needed",IF(Q21=R21,"Tester and reviewer must differ",IF(AND(W21&lt;&gt;"",W21&lt;&gt;"Not started",V21&lt;&gt;"Reviewed",V21&lt;&gt;"Closed"),"Result only after review","OK")))))))))))</f>
        <v/>
      </c>
    </row>
    <row r="22" customFormat="false" ht="15" hidden="false" customHeight="false" outlineLevel="0" collapsed="false">
      <c r="A22" s="16"/>
      <c r="B22" s="16"/>
      <c r="C22" s="17" t="str">
        <f aca="false">IFERROR(INDEX(Ref_CTRL!$B$2:$B$201,MATCH(B22,Ref_CTRL!$A$2:$A$201,0)),"")</f>
        <v/>
      </c>
      <c r="D22" s="17" t="str">
        <f aca="false">IFERROR(INDEX(Ref_CTRL!$C$2:$C$201,MATCH(B22,Ref_CTRL!$A$2:$A$201,0)),"")</f>
        <v/>
      </c>
      <c r="E22" s="17" t="str">
        <f aca="false">IFERROR(INDEX(Ref_CTRL!$D$2:$D$201,MATCH(B22,Ref_CTRL!$A$2:$A$201,0)),"")</f>
        <v/>
      </c>
      <c r="F22" s="16"/>
      <c r="G22" s="16"/>
      <c r="H22" s="16"/>
      <c r="I22" s="16"/>
      <c r="J22" s="17" t="str">
        <f aca="false">IFERROR(INDEX(Ref_EV!$B$2:$B$201,MATCH(I22,Ref_EV!$A$2:$A$201,0)),"")</f>
        <v/>
      </c>
      <c r="K22" s="17" t="str">
        <f aca="false">IFERROR(INDEX(Ref_EV!$C$2:$C$201,MATCH(I22,Ref_EV!$A$2:$A$201,0)),"")</f>
        <v/>
      </c>
      <c r="L22" s="17" t="str">
        <f aca="false">IF(F22="TOD","1",IFERROR(INDEX(Sample_Guide!$C$5:$C$20,MATCH(E22,Sample_Guide!$A$5:$A$20,0))&amp;"–"&amp;INDEX(Sample_Guide!$D$5:$D$20,MATCH(E22,Sample_Guide!$A$5:$A$20,0)),""))</f>
        <v/>
      </c>
      <c r="M22" s="16"/>
      <c r="N22" s="18"/>
      <c r="O22" s="18"/>
      <c r="P22" s="17" t="str">
        <f aca="false">IF(A22="","",IF(OR(D22="ITAC",D22="IPE",D22="ITDM"),"Y","N"))</f>
        <v/>
      </c>
      <c r="Q22" s="16"/>
      <c r="R22" s="16"/>
      <c r="S22" s="18"/>
      <c r="T22" s="18"/>
      <c r="U22" s="16"/>
      <c r="V22" s="16"/>
      <c r="W22" s="16"/>
      <c r="X22" s="17" t="str">
        <f aca="false">IF(A22="","",IF(OR(B22="",F22="",G22="",H22=""),"Control, test type, attributes, procedure needed",IF(COUNTIF(Ref_CTRL!$A$2:$A$201,B22)=0,"CTRL-ID not in W05",IF(LEFT(A22,LEN(B22)+1)&lt;&gt;B22&amp;"-","TEST-ID must start with CTRL-ID-",IF(AND(F22="TOE",I22=""),"Population EV-ID needed (TOE)",IF(AND(I22&lt;&gt;"",J22&lt;&gt;"Pass"),"HOLD: population IPE not Pass",IF(AND(F22="TOE",M22=""),"Sample size needed",IF(AND(F22="TOE",OR(M22&lt;IFERROR(INDEX(Sample_Guide!$C$5:$C$20,MATCH(E22,Sample_Guide!$A$5:$A$20,0)),0),M22&gt;IFERROR(INDEX(Sample_Guide!$D$5:$D$20,MATCH(E22,Sample_Guide!$A$5:$A$20,0)),9999))),"Sample outside guide: justify",IF(OR(Q22="",R22=""),"Tester and reviewer needed",IF(Q22=R22,"Tester and reviewer must differ",IF(AND(W22&lt;&gt;"",W22&lt;&gt;"Not started",V22&lt;&gt;"Reviewed",V22&lt;&gt;"Closed"),"Result only after review","OK")))))))))))</f>
        <v/>
      </c>
    </row>
    <row r="23" customFormat="false" ht="15" hidden="false" customHeight="false" outlineLevel="0" collapsed="false">
      <c r="A23" s="16"/>
      <c r="B23" s="16"/>
      <c r="C23" s="17" t="str">
        <f aca="false">IFERROR(INDEX(Ref_CTRL!$B$2:$B$201,MATCH(B23,Ref_CTRL!$A$2:$A$201,0)),"")</f>
        <v/>
      </c>
      <c r="D23" s="17" t="str">
        <f aca="false">IFERROR(INDEX(Ref_CTRL!$C$2:$C$201,MATCH(B23,Ref_CTRL!$A$2:$A$201,0)),"")</f>
        <v/>
      </c>
      <c r="E23" s="17" t="str">
        <f aca="false">IFERROR(INDEX(Ref_CTRL!$D$2:$D$201,MATCH(B23,Ref_CTRL!$A$2:$A$201,0)),"")</f>
        <v/>
      </c>
      <c r="F23" s="16"/>
      <c r="G23" s="16"/>
      <c r="H23" s="16"/>
      <c r="I23" s="16"/>
      <c r="J23" s="17" t="str">
        <f aca="false">IFERROR(INDEX(Ref_EV!$B$2:$B$201,MATCH(I23,Ref_EV!$A$2:$A$201,0)),"")</f>
        <v/>
      </c>
      <c r="K23" s="17" t="str">
        <f aca="false">IFERROR(INDEX(Ref_EV!$C$2:$C$201,MATCH(I23,Ref_EV!$A$2:$A$201,0)),"")</f>
        <v/>
      </c>
      <c r="L23" s="17" t="str">
        <f aca="false">IF(F23="TOD","1",IFERROR(INDEX(Sample_Guide!$C$5:$C$20,MATCH(E23,Sample_Guide!$A$5:$A$20,0))&amp;"–"&amp;INDEX(Sample_Guide!$D$5:$D$20,MATCH(E23,Sample_Guide!$A$5:$A$20,0)),""))</f>
        <v/>
      </c>
      <c r="M23" s="16"/>
      <c r="N23" s="18"/>
      <c r="O23" s="18"/>
      <c r="P23" s="17" t="str">
        <f aca="false">IF(A23="","",IF(OR(D23="ITAC",D23="IPE",D23="ITDM"),"Y","N"))</f>
        <v/>
      </c>
      <c r="Q23" s="16"/>
      <c r="R23" s="16"/>
      <c r="S23" s="18"/>
      <c r="T23" s="18"/>
      <c r="U23" s="16"/>
      <c r="V23" s="16"/>
      <c r="W23" s="16"/>
      <c r="X23" s="17" t="str">
        <f aca="false">IF(A23="","",IF(OR(B23="",F23="",G23="",H23=""),"Control, test type, attributes, procedure needed",IF(COUNTIF(Ref_CTRL!$A$2:$A$201,B23)=0,"CTRL-ID not in W05",IF(LEFT(A23,LEN(B23)+1)&lt;&gt;B23&amp;"-","TEST-ID must start with CTRL-ID-",IF(AND(F23="TOE",I23=""),"Population EV-ID needed (TOE)",IF(AND(I23&lt;&gt;"",J23&lt;&gt;"Pass"),"HOLD: population IPE not Pass",IF(AND(F23="TOE",M23=""),"Sample size needed",IF(AND(F23="TOE",OR(M23&lt;IFERROR(INDEX(Sample_Guide!$C$5:$C$20,MATCH(E23,Sample_Guide!$A$5:$A$20,0)),0),M23&gt;IFERROR(INDEX(Sample_Guide!$D$5:$D$20,MATCH(E23,Sample_Guide!$A$5:$A$20,0)),9999))),"Sample outside guide: justify",IF(OR(Q23="",R23=""),"Tester and reviewer needed",IF(Q23=R23,"Tester and reviewer must differ",IF(AND(W23&lt;&gt;"",W23&lt;&gt;"Not started",V23&lt;&gt;"Reviewed",V23&lt;&gt;"Closed"),"Result only after review","OK")))))))))))</f>
        <v/>
      </c>
    </row>
    <row r="24" customFormat="false" ht="15" hidden="false" customHeight="false" outlineLevel="0" collapsed="false">
      <c r="A24" s="16"/>
      <c r="B24" s="16"/>
      <c r="C24" s="17" t="str">
        <f aca="false">IFERROR(INDEX(Ref_CTRL!$B$2:$B$201,MATCH(B24,Ref_CTRL!$A$2:$A$201,0)),"")</f>
        <v/>
      </c>
      <c r="D24" s="17" t="str">
        <f aca="false">IFERROR(INDEX(Ref_CTRL!$C$2:$C$201,MATCH(B24,Ref_CTRL!$A$2:$A$201,0)),"")</f>
        <v/>
      </c>
      <c r="E24" s="17" t="str">
        <f aca="false">IFERROR(INDEX(Ref_CTRL!$D$2:$D$201,MATCH(B24,Ref_CTRL!$A$2:$A$201,0)),"")</f>
        <v/>
      </c>
      <c r="F24" s="16"/>
      <c r="G24" s="16"/>
      <c r="H24" s="16"/>
      <c r="I24" s="16"/>
      <c r="J24" s="17" t="str">
        <f aca="false">IFERROR(INDEX(Ref_EV!$B$2:$B$201,MATCH(I24,Ref_EV!$A$2:$A$201,0)),"")</f>
        <v/>
      </c>
      <c r="K24" s="17" t="str">
        <f aca="false">IFERROR(INDEX(Ref_EV!$C$2:$C$201,MATCH(I24,Ref_EV!$A$2:$A$201,0)),"")</f>
        <v/>
      </c>
      <c r="L24" s="17" t="str">
        <f aca="false">IF(F24="TOD","1",IFERROR(INDEX(Sample_Guide!$C$5:$C$20,MATCH(E24,Sample_Guide!$A$5:$A$20,0))&amp;"–"&amp;INDEX(Sample_Guide!$D$5:$D$20,MATCH(E24,Sample_Guide!$A$5:$A$20,0)),""))</f>
        <v/>
      </c>
      <c r="M24" s="16"/>
      <c r="N24" s="18"/>
      <c r="O24" s="18"/>
      <c r="P24" s="17" t="str">
        <f aca="false">IF(A24="","",IF(OR(D24="ITAC",D24="IPE",D24="ITDM"),"Y","N"))</f>
        <v/>
      </c>
      <c r="Q24" s="16"/>
      <c r="R24" s="16"/>
      <c r="S24" s="18"/>
      <c r="T24" s="18"/>
      <c r="U24" s="16"/>
      <c r="V24" s="16"/>
      <c r="W24" s="16"/>
      <c r="X24" s="17" t="str">
        <f aca="false">IF(A24="","",IF(OR(B24="",F24="",G24="",H24=""),"Control, test type, attributes, procedure needed",IF(COUNTIF(Ref_CTRL!$A$2:$A$201,B24)=0,"CTRL-ID not in W05",IF(LEFT(A24,LEN(B24)+1)&lt;&gt;B24&amp;"-","TEST-ID must start with CTRL-ID-",IF(AND(F24="TOE",I24=""),"Population EV-ID needed (TOE)",IF(AND(I24&lt;&gt;"",J24&lt;&gt;"Pass"),"HOLD: population IPE not Pass",IF(AND(F24="TOE",M24=""),"Sample size needed",IF(AND(F24="TOE",OR(M24&lt;IFERROR(INDEX(Sample_Guide!$C$5:$C$20,MATCH(E24,Sample_Guide!$A$5:$A$20,0)),0),M24&gt;IFERROR(INDEX(Sample_Guide!$D$5:$D$20,MATCH(E24,Sample_Guide!$A$5:$A$20,0)),9999))),"Sample outside guide: justify",IF(OR(Q24="",R24=""),"Tester and reviewer needed",IF(Q24=R24,"Tester and reviewer must differ",IF(AND(W24&lt;&gt;"",W24&lt;&gt;"Not started",V24&lt;&gt;"Reviewed",V24&lt;&gt;"Closed"),"Result only after review","OK")))))))))))</f>
        <v/>
      </c>
    </row>
    <row r="25" customFormat="false" ht="15" hidden="false" customHeight="false" outlineLevel="0" collapsed="false">
      <c r="A25" s="16"/>
      <c r="B25" s="16"/>
      <c r="C25" s="17" t="str">
        <f aca="false">IFERROR(INDEX(Ref_CTRL!$B$2:$B$201,MATCH(B25,Ref_CTRL!$A$2:$A$201,0)),"")</f>
        <v/>
      </c>
      <c r="D25" s="17" t="str">
        <f aca="false">IFERROR(INDEX(Ref_CTRL!$C$2:$C$201,MATCH(B25,Ref_CTRL!$A$2:$A$201,0)),"")</f>
        <v/>
      </c>
      <c r="E25" s="17" t="str">
        <f aca="false">IFERROR(INDEX(Ref_CTRL!$D$2:$D$201,MATCH(B25,Ref_CTRL!$A$2:$A$201,0)),"")</f>
        <v/>
      </c>
      <c r="F25" s="16"/>
      <c r="G25" s="16"/>
      <c r="H25" s="16"/>
      <c r="I25" s="16"/>
      <c r="J25" s="17" t="str">
        <f aca="false">IFERROR(INDEX(Ref_EV!$B$2:$B$201,MATCH(I25,Ref_EV!$A$2:$A$201,0)),"")</f>
        <v/>
      </c>
      <c r="K25" s="17" t="str">
        <f aca="false">IFERROR(INDEX(Ref_EV!$C$2:$C$201,MATCH(I25,Ref_EV!$A$2:$A$201,0)),"")</f>
        <v/>
      </c>
      <c r="L25" s="17" t="str">
        <f aca="false">IF(F25="TOD","1",IFERROR(INDEX(Sample_Guide!$C$5:$C$20,MATCH(E25,Sample_Guide!$A$5:$A$20,0))&amp;"–"&amp;INDEX(Sample_Guide!$D$5:$D$20,MATCH(E25,Sample_Guide!$A$5:$A$20,0)),""))</f>
        <v/>
      </c>
      <c r="M25" s="16"/>
      <c r="N25" s="18"/>
      <c r="O25" s="18"/>
      <c r="P25" s="17" t="str">
        <f aca="false">IF(A25="","",IF(OR(D25="ITAC",D25="IPE",D25="ITDM"),"Y","N"))</f>
        <v/>
      </c>
      <c r="Q25" s="16"/>
      <c r="R25" s="16"/>
      <c r="S25" s="18"/>
      <c r="T25" s="18"/>
      <c r="U25" s="16"/>
      <c r="V25" s="16"/>
      <c r="W25" s="16"/>
      <c r="X25" s="17" t="str">
        <f aca="false">IF(A25="","",IF(OR(B25="",F25="",G25="",H25=""),"Control, test type, attributes, procedure needed",IF(COUNTIF(Ref_CTRL!$A$2:$A$201,B25)=0,"CTRL-ID not in W05",IF(LEFT(A25,LEN(B25)+1)&lt;&gt;B25&amp;"-","TEST-ID must start with CTRL-ID-",IF(AND(F25="TOE",I25=""),"Population EV-ID needed (TOE)",IF(AND(I25&lt;&gt;"",J25&lt;&gt;"Pass"),"HOLD: population IPE not Pass",IF(AND(F25="TOE",M25=""),"Sample size needed",IF(AND(F25="TOE",OR(M25&lt;IFERROR(INDEX(Sample_Guide!$C$5:$C$20,MATCH(E25,Sample_Guide!$A$5:$A$20,0)),0),M25&gt;IFERROR(INDEX(Sample_Guide!$D$5:$D$20,MATCH(E25,Sample_Guide!$A$5:$A$20,0)),9999))),"Sample outside guide: justify",IF(OR(Q25="",R25=""),"Tester and reviewer needed",IF(Q25=R25,"Tester and reviewer must differ",IF(AND(W25&lt;&gt;"",W25&lt;&gt;"Not started",V25&lt;&gt;"Reviewed",V25&lt;&gt;"Closed"),"Result only after review","OK")))))))))))</f>
        <v/>
      </c>
    </row>
    <row r="26" customFormat="false" ht="15" hidden="false" customHeight="false" outlineLevel="0" collapsed="false">
      <c r="A26" s="16"/>
      <c r="B26" s="16"/>
      <c r="C26" s="17" t="str">
        <f aca="false">IFERROR(INDEX(Ref_CTRL!$B$2:$B$201,MATCH(B26,Ref_CTRL!$A$2:$A$201,0)),"")</f>
        <v/>
      </c>
      <c r="D26" s="17" t="str">
        <f aca="false">IFERROR(INDEX(Ref_CTRL!$C$2:$C$201,MATCH(B26,Ref_CTRL!$A$2:$A$201,0)),"")</f>
        <v/>
      </c>
      <c r="E26" s="17" t="str">
        <f aca="false">IFERROR(INDEX(Ref_CTRL!$D$2:$D$201,MATCH(B26,Ref_CTRL!$A$2:$A$201,0)),"")</f>
        <v/>
      </c>
      <c r="F26" s="16"/>
      <c r="G26" s="16"/>
      <c r="H26" s="16"/>
      <c r="I26" s="16"/>
      <c r="J26" s="17" t="str">
        <f aca="false">IFERROR(INDEX(Ref_EV!$B$2:$B$201,MATCH(I26,Ref_EV!$A$2:$A$201,0)),"")</f>
        <v/>
      </c>
      <c r="K26" s="17" t="str">
        <f aca="false">IFERROR(INDEX(Ref_EV!$C$2:$C$201,MATCH(I26,Ref_EV!$A$2:$A$201,0)),"")</f>
        <v/>
      </c>
      <c r="L26" s="17" t="str">
        <f aca="false">IF(F26="TOD","1",IFERROR(INDEX(Sample_Guide!$C$5:$C$20,MATCH(E26,Sample_Guide!$A$5:$A$20,0))&amp;"–"&amp;INDEX(Sample_Guide!$D$5:$D$20,MATCH(E26,Sample_Guide!$A$5:$A$20,0)),""))</f>
        <v/>
      </c>
      <c r="M26" s="16"/>
      <c r="N26" s="18"/>
      <c r="O26" s="18"/>
      <c r="P26" s="17" t="str">
        <f aca="false">IF(A26="","",IF(OR(D26="ITAC",D26="IPE",D26="ITDM"),"Y","N"))</f>
        <v/>
      </c>
      <c r="Q26" s="16"/>
      <c r="R26" s="16"/>
      <c r="S26" s="18"/>
      <c r="T26" s="18"/>
      <c r="U26" s="16"/>
      <c r="V26" s="16"/>
      <c r="W26" s="16"/>
      <c r="X26" s="17" t="str">
        <f aca="false">IF(A26="","",IF(OR(B26="",F26="",G26="",H26=""),"Control, test type, attributes, procedure needed",IF(COUNTIF(Ref_CTRL!$A$2:$A$201,B26)=0,"CTRL-ID not in W05",IF(LEFT(A26,LEN(B26)+1)&lt;&gt;B26&amp;"-","TEST-ID must start with CTRL-ID-",IF(AND(F26="TOE",I26=""),"Population EV-ID needed (TOE)",IF(AND(I26&lt;&gt;"",J26&lt;&gt;"Pass"),"HOLD: population IPE not Pass",IF(AND(F26="TOE",M26=""),"Sample size needed",IF(AND(F26="TOE",OR(M26&lt;IFERROR(INDEX(Sample_Guide!$C$5:$C$20,MATCH(E26,Sample_Guide!$A$5:$A$20,0)),0),M26&gt;IFERROR(INDEX(Sample_Guide!$D$5:$D$20,MATCH(E26,Sample_Guide!$A$5:$A$20,0)),9999))),"Sample outside guide: justify",IF(OR(Q26="",R26=""),"Tester and reviewer needed",IF(Q26=R26,"Tester and reviewer must differ",IF(AND(W26&lt;&gt;"",W26&lt;&gt;"Not started",V26&lt;&gt;"Reviewed",V26&lt;&gt;"Closed"),"Result only after review","OK")))))))))))</f>
        <v/>
      </c>
    </row>
    <row r="27" customFormat="false" ht="15" hidden="false" customHeight="false" outlineLevel="0" collapsed="false">
      <c r="A27" s="16"/>
      <c r="B27" s="16"/>
      <c r="C27" s="17" t="str">
        <f aca="false">IFERROR(INDEX(Ref_CTRL!$B$2:$B$201,MATCH(B27,Ref_CTRL!$A$2:$A$201,0)),"")</f>
        <v/>
      </c>
      <c r="D27" s="17" t="str">
        <f aca="false">IFERROR(INDEX(Ref_CTRL!$C$2:$C$201,MATCH(B27,Ref_CTRL!$A$2:$A$201,0)),"")</f>
        <v/>
      </c>
      <c r="E27" s="17" t="str">
        <f aca="false">IFERROR(INDEX(Ref_CTRL!$D$2:$D$201,MATCH(B27,Ref_CTRL!$A$2:$A$201,0)),"")</f>
        <v/>
      </c>
      <c r="F27" s="16"/>
      <c r="G27" s="16"/>
      <c r="H27" s="16"/>
      <c r="I27" s="16"/>
      <c r="J27" s="17" t="str">
        <f aca="false">IFERROR(INDEX(Ref_EV!$B$2:$B$201,MATCH(I27,Ref_EV!$A$2:$A$201,0)),"")</f>
        <v/>
      </c>
      <c r="K27" s="17" t="str">
        <f aca="false">IFERROR(INDEX(Ref_EV!$C$2:$C$201,MATCH(I27,Ref_EV!$A$2:$A$201,0)),"")</f>
        <v/>
      </c>
      <c r="L27" s="17" t="str">
        <f aca="false">IF(F27="TOD","1",IFERROR(INDEX(Sample_Guide!$C$5:$C$20,MATCH(E27,Sample_Guide!$A$5:$A$20,0))&amp;"–"&amp;INDEX(Sample_Guide!$D$5:$D$20,MATCH(E27,Sample_Guide!$A$5:$A$20,0)),""))</f>
        <v/>
      </c>
      <c r="M27" s="16"/>
      <c r="N27" s="18"/>
      <c r="O27" s="18"/>
      <c r="P27" s="17" t="str">
        <f aca="false">IF(A27="","",IF(OR(D27="ITAC",D27="IPE",D27="ITDM"),"Y","N"))</f>
        <v/>
      </c>
      <c r="Q27" s="16"/>
      <c r="R27" s="16"/>
      <c r="S27" s="18"/>
      <c r="T27" s="18"/>
      <c r="U27" s="16"/>
      <c r="V27" s="16"/>
      <c r="W27" s="16"/>
      <c r="X27" s="17" t="str">
        <f aca="false">IF(A27="","",IF(OR(B27="",F27="",G27="",H27=""),"Control, test type, attributes, procedure needed",IF(COUNTIF(Ref_CTRL!$A$2:$A$201,B27)=0,"CTRL-ID not in W05",IF(LEFT(A27,LEN(B27)+1)&lt;&gt;B27&amp;"-","TEST-ID must start with CTRL-ID-",IF(AND(F27="TOE",I27=""),"Population EV-ID needed (TOE)",IF(AND(I27&lt;&gt;"",J27&lt;&gt;"Pass"),"HOLD: population IPE not Pass",IF(AND(F27="TOE",M27=""),"Sample size needed",IF(AND(F27="TOE",OR(M27&lt;IFERROR(INDEX(Sample_Guide!$C$5:$C$20,MATCH(E27,Sample_Guide!$A$5:$A$20,0)),0),M27&gt;IFERROR(INDEX(Sample_Guide!$D$5:$D$20,MATCH(E27,Sample_Guide!$A$5:$A$20,0)),9999))),"Sample outside guide: justify",IF(OR(Q27="",R27=""),"Tester and reviewer needed",IF(Q27=R27,"Tester and reviewer must differ",IF(AND(W27&lt;&gt;"",W27&lt;&gt;"Not started",V27&lt;&gt;"Reviewed",V27&lt;&gt;"Closed"),"Result only after review","OK")))))))))))</f>
        <v/>
      </c>
    </row>
    <row r="28" customFormat="false" ht="15" hidden="false" customHeight="false" outlineLevel="0" collapsed="false">
      <c r="A28" s="16"/>
      <c r="B28" s="16"/>
      <c r="C28" s="17" t="str">
        <f aca="false">IFERROR(INDEX(Ref_CTRL!$B$2:$B$201,MATCH(B28,Ref_CTRL!$A$2:$A$201,0)),"")</f>
        <v/>
      </c>
      <c r="D28" s="17" t="str">
        <f aca="false">IFERROR(INDEX(Ref_CTRL!$C$2:$C$201,MATCH(B28,Ref_CTRL!$A$2:$A$201,0)),"")</f>
        <v/>
      </c>
      <c r="E28" s="17" t="str">
        <f aca="false">IFERROR(INDEX(Ref_CTRL!$D$2:$D$201,MATCH(B28,Ref_CTRL!$A$2:$A$201,0)),"")</f>
        <v/>
      </c>
      <c r="F28" s="16"/>
      <c r="G28" s="16"/>
      <c r="H28" s="16"/>
      <c r="I28" s="16"/>
      <c r="J28" s="17" t="str">
        <f aca="false">IFERROR(INDEX(Ref_EV!$B$2:$B$201,MATCH(I28,Ref_EV!$A$2:$A$201,0)),"")</f>
        <v/>
      </c>
      <c r="K28" s="17" t="str">
        <f aca="false">IFERROR(INDEX(Ref_EV!$C$2:$C$201,MATCH(I28,Ref_EV!$A$2:$A$201,0)),"")</f>
        <v/>
      </c>
      <c r="L28" s="17" t="str">
        <f aca="false">IF(F28="TOD","1",IFERROR(INDEX(Sample_Guide!$C$5:$C$20,MATCH(E28,Sample_Guide!$A$5:$A$20,0))&amp;"–"&amp;INDEX(Sample_Guide!$D$5:$D$20,MATCH(E28,Sample_Guide!$A$5:$A$20,0)),""))</f>
        <v/>
      </c>
      <c r="M28" s="16"/>
      <c r="N28" s="18"/>
      <c r="O28" s="18"/>
      <c r="P28" s="17" t="str">
        <f aca="false">IF(A28="","",IF(OR(D28="ITAC",D28="IPE",D28="ITDM"),"Y","N"))</f>
        <v/>
      </c>
      <c r="Q28" s="16"/>
      <c r="R28" s="16"/>
      <c r="S28" s="18"/>
      <c r="T28" s="18"/>
      <c r="U28" s="16"/>
      <c r="V28" s="16"/>
      <c r="W28" s="16"/>
      <c r="X28" s="17" t="str">
        <f aca="false">IF(A28="","",IF(OR(B28="",F28="",G28="",H28=""),"Control, test type, attributes, procedure needed",IF(COUNTIF(Ref_CTRL!$A$2:$A$201,B28)=0,"CTRL-ID not in W05",IF(LEFT(A28,LEN(B28)+1)&lt;&gt;B28&amp;"-","TEST-ID must start with CTRL-ID-",IF(AND(F28="TOE",I28=""),"Population EV-ID needed (TOE)",IF(AND(I28&lt;&gt;"",J28&lt;&gt;"Pass"),"HOLD: population IPE not Pass",IF(AND(F28="TOE",M28=""),"Sample size needed",IF(AND(F28="TOE",OR(M28&lt;IFERROR(INDEX(Sample_Guide!$C$5:$C$20,MATCH(E28,Sample_Guide!$A$5:$A$20,0)),0),M28&gt;IFERROR(INDEX(Sample_Guide!$D$5:$D$20,MATCH(E28,Sample_Guide!$A$5:$A$20,0)),9999))),"Sample outside guide: justify",IF(OR(Q28="",R28=""),"Tester and reviewer needed",IF(Q28=R28,"Tester and reviewer must differ",IF(AND(W28&lt;&gt;"",W28&lt;&gt;"Not started",V28&lt;&gt;"Reviewed",V28&lt;&gt;"Closed"),"Result only after review","OK")))))))))))</f>
        <v/>
      </c>
    </row>
    <row r="29" customFormat="false" ht="15" hidden="false" customHeight="false" outlineLevel="0" collapsed="false">
      <c r="A29" s="16"/>
      <c r="B29" s="16"/>
      <c r="C29" s="17" t="str">
        <f aca="false">IFERROR(INDEX(Ref_CTRL!$B$2:$B$201,MATCH(B29,Ref_CTRL!$A$2:$A$201,0)),"")</f>
        <v/>
      </c>
      <c r="D29" s="17" t="str">
        <f aca="false">IFERROR(INDEX(Ref_CTRL!$C$2:$C$201,MATCH(B29,Ref_CTRL!$A$2:$A$201,0)),"")</f>
        <v/>
      </c>
      <c r="E29" s="17" t="str">
        <f aca="false">IFERROR(INDEX(Ref_CTRL!$D$2:$D$201,MATCH(B29,Ref_CTRL!$A$2:$A$201,0)),"")</f>
        <v/>
      </c>
      <c r="F29" s="16"/>
      <c r="G29" s="16"/>
      <c r="H29" s="16"/>
      <c r="I29" s="16"/>
      <c r="J29" s="17" t="str">
        <f aca="false">IFERROR(INDEX(Ref_EV!$B$2:$B$201,MATCH(I29,Ref_EV!$A$2:$A$201,0)),"")</f>
        <v/>
      </c>
      <c r="K29" s="17" t="str">
        <f aca="false">IFERROR(INDEX(Ref_EV!$C$2:$C$201,MATCH(I29,Ref_EV!$A$2:$A$201,0)),"")</f>
        <v/>
      </c>
      <c r="L29" s="17" t="str">
        <f aca="false">IF(F29="TOD","1",IFERROR(INDEX(Sample_Guide!$C$5:$C$20,MATCH(E29,Sample_Guide!$A$5:$A$20,0))&amp;"–"&amp;INDEX(Sample_Guide!$D$5:$D$20,MATCH(E29,Sample_Guide!$A$5:$A$20,0)),""))</f>
        <v/>
      </c>
      <c r="M29" s="16"/>
      <c r="N29" s="18"/>
      <c r="O29" s="18"/>
      <c r="P29" s="17" t="str">
        <f aca="false">IF(A29="","",IF(OR(D29="ITAC",D29="IPE",D29="ITDM"),"Y","N"))</f>
        <v/>
      </c>
      <c r="Q29" s="16"/>
      <c r="R29" s="16"/>
      <c r="S29" s="18"/>
      <c r="T29" s="18"/>
      <c r="U29" s="16"/>
      <c r="V29" s="16"/>
      <c r="W29" s="16"/>
      <c r="X29" s="17" t="str">
        <f aca="false">IF(A29="","",IF(OR(B29="",F29="",G29="",H29=""),"Control, test type, attributes, procedure needed",IF(COUNTIF(Ref_CTRL!$A$2:$A$201,B29)=0,"CTRL-ID not in W05",IF(LEFT(A29,LEN(B29)+1)&lt;&gt;B29&amp;"-","TEST-ID must start with CTRL-ID-",IF(AND(F29="TOE",I29=""),"Population EV-ID needed (TOE)",IF(AND(I29&lt;&gt;"",J29&lt;&gt;"Pass"),"HOLD: population IPE not Pass",IF(AND(F29="TOE",M29=""),"Sample size needed",IF(AND(F29="TOE",OR(M29&lt;IFERROR(INDEX(Sample_Guide!$C$5:$C$20,MATCH(E29,Sample_Guide!$A$5:$A$20,0)),0),M29&gt;IFERROR(INDEX(Sample_Guide!$D$5:$D$20,MATCH(E29,Sample_Guide!$A$5:$A$20,0)),9999))),"Sample outside guide: justify",IF(OR(Q29="",R29=""),"Tester and reviewer needed",IF(Q29=R29,"Tester and reviewer must differ",IF(AND(W29&lt;&gt;"",W29&lt;&gt;"Not started",V29&lt;&gt;"Reviewed",V29&lt;&gt;"Closed"),"Result only after review","OK")))))))))))</f>
        <v/>
      </c>
    </row>
    <row r="30" customFormat="false" ht="15" hidden="false" customHeight="false" outlineLevel="0" collapsed="false">
      <c r="A30" s="16"/>
      <c r="B30" s="16"/>
      <c r="C30" s="17" t="str">
        <f aca="false">IFERROR(INDEX(Ref_CTRL!$B$2:$B$201,MATCH(B30,Ref_CTRL!$A$2:$A$201,0)),"")</f>
        <v/>
      </c>
      <c r="D30" s="17" t="str">
        <f aca="false">IFERROR(INDEX(Ref_CTRL!$C$2:$C$201,MATCH(B30,Ref_CTRL!$A$2:$A$201,0)),"")</f>
        <v/>
      </c>
      <c r="E30" s="17" t="str">
        <f aca="false">IFERROR(INDEX(Ref_CTRL!$D$2:$D$201,MATCH(B30,Ref_CTRL!$A$2:$A$201,0)),"")</f>
        <v/>
      </c>
      <c r="F30" s="16"/>
      <c r="G30" s="16"/>
      <c r="H30" s="16"/>
      <c r="I30" s="16"/>
      <c r="J30" s="17" t="str">
        <f aca="false">IFERROR(INDEX(Ref_EV!$B$2:$B$201,MATCH(I30,Ref_EV!$A$2:$A$201,0)),"")</f>
        <v/>
      </c>
      <c r="K30" s="17" t="str">
        <f aca="false">IFERROR(INDEX(Ref_EV!$C$2:$C$201,MATCH(I30,Ref_EV!$A$2:$A$201,0)),"")</f>
        <v/>
      </c>
      <c r="L30" s="17" t="str">
        <f aca="false">IF(F30="TOD","1",IFERROR(INDEX(Sample_Guide!$C$5:$C$20,MATCH(E30,Sample_Guide!$A$5:$A$20,0))&amp;"–"&amp;INDEX(Sample_Guide!$D$5:$D$20,MATCH(E30,Sample_Guide!$A$5:$A$20,0)),""))</f>
        <v/>
      </c>
      <c r="M30" s="16"/>
      <c r="N30" s="18"/>
      <c r="O30" s="18"/>
      <c r="P30" s="17" t="str">
        <f aca="false">IF(A30="","",IF(OR(D30="ITAC",D30="IPE",D30="ITDM"),"Y","N"))</f>
        <v/>
      </c>
      <c r="Q30" s="16"/>
      <c r="R30" s="16"/>
      <c r="S30" s="18"/>
      <c r="T30" s="18"/>
      <c r="U30" s="16"/>
      <c r="V30" s="16"/>
      <c r="W30" s="16"/>
      <c r="X30" s="17" t="str">
        <f aca="false">IF(A30="","",IF(OR(B30="",F30="",G30="",H30=""),"Control, test type, attributes, procedure needed",IF(COUNTIF(Ref_CTRL!$A$2:$A$201,B30)=0,"CTRL-ID not in W05",IF(LEFT(A30,LEN(B30)+1)&lt;&gt;B30&amp;"-","TEST-ID must start with CTRL-ID-",IF(AND(F30="TOE",I30=""),"Population EV-ID needed (TOE)",IF(AND(I30&lt;&gt;"",J30&lt;&gt;"Pass"),"HOLD: population IPE not Pass",IF(AND(F30="TOE",M30=""),"Sample size needed",IF(AND(F30="TOE",OR(M30&lt;IFERROR(INDEX(Sample_Guide!$C$5:$C$20,MATCH(E30,Sample_Guide!$A$5:$A$20,0)),0),M30&gt;IFERROR(INDEX(Sample_Guide!$D$5:$D$20,MATCH(E30,Sample_Guide!$A$5:$A$20,0)),9999))),"Sample outside guide: justify",IF(OR(Q30="",R30=""),"Tester and reviewer needed",IF(Q30=R30,"Tester and reviewer must differ",IF(AND(W30&lt;&gt;"",W30&lt;&gt;"Not started",V30&lt;&gt;"Reviewed",V30&lt;&gt;"Closed"),"Result only after review","OK")))))))))))</f>
        <v/>
      </c>
    </row>
    <row r="31" customFormat="false" ht="15" hidden="false" customHeight="false" outlineLevel="0" collapsed="false">
      <c r="A31" s="16"/>
      <c r="B31" s="16"/>
      <c r="C31" s="17" t="str">
        <f aca="false">IFERROR(INDEX(Ref_CTRL!$B$2:$B$201,MATCH(B31,Ref_CTRL!$A$2:$A$201,0)),"")</f>
        <v/>
      </c>
      <c r="D31" s="17" t="str">
        <f aca="false">IFERROR(INDEX(Ref_CTRL!$C$2:$C$201,MATCH(B31,Ref_CTRL!$A$2:$A$201,0)),"")</f>
        <v/>
      </c>
      <c r="E31" s="17" t="str">
        <f aca="false">IFERROR(INDEX(Ref_CTRL!$D$2:$D$201,MATCH(B31,Ref_CTRL!$A$2:$A$201,0)),"")</f>
        <v/>
      </c>
      <c r="F31" s="16"/>
      <c r="G31" s="16"/>
      <c r="H31" s="16"/>
      <c r="I31" s="16"/>
      <c r="J31" s="17" t="str">
        <f aca="false">IFERROR(INDEX(Ref_EV!$B$2:$B$201,MATCH(I31,Ref_EV!$A$2:$A$201,0)),"")</f>
        <v/>
      </c>
      <c r="K31" s="17" t="str">
        <f aca="false">IFERROR(INDEX(Ref_EV!$C$2:$C$201,MATCH(I31,Ref_EV!$A$2:$A$201,0)),"")</f>
        <v/>
      </c>
      <c r="L31" s="17" t="str">
        <f aca="false">IF(F31="TOD","1",IFERROR(INDEX(Sample_Guide!$C$5:$C$20,MATCH(E31,Sample_Guide!$A$5:$A$20,0))&amp;"–"&amp;INDEX(Sample_Guide!$D$5:$D$20,MATCH(E31,Sample_Guide!$A$5:$A$20,0)),""))</f>
        <v/>
      </c>
      <c r="M31" s="16"/>
      <c r="N31" s="18"/>
      <c r="O31" s="18"/>
      <c r="P31" s="17" t="str">
        <f aca="false">IF(A31="","",IF(OR(D31="ITAC",D31="IPE",D31="ITDM"),"Y","N"))</f>
        <v/>
      </c>
      <c r="Q31" s="16"/>
      <c r="R31" s="16"/>
      <c r="S31" s="18"/>
      <c r="T31" s="18"/>
      <c r="U31" s="16"/>
      <c r="V31" s="16"/>
      <c r="W31" s="16"/>
      <c r="X31" s="17" t="str">
        <f aca="false">IF(A31="","",IF(OR(B31="",F31="",G31="",H31=""),"Control, test type, attributes, procedure needed",IF(COUNTIF(Ref_CTRL!$A$2:$A$201,B31)=0,"CTRL-ID not in W05",IF(LEFT(A31,LEN(B31)+1)&lt;&gt;B31&amp;"-","TEST-ID must start with CTRL-ID-",IF(AND(F31="TOE",I31=""),"Population EV-ID needed (TOE)",IF(AND(I31&lt;&gt;"",J31&lt;&gt;"Pass"),"HOLD: population IPE not Pass",IF(AND(F31="TOE",M31=""),"Sample size needed",IF(AND(F31="TOE",OR(M31&lt;IFERROR(INDEX(Sample_Guide!$C$5:$C$20,MATCH(E31,Sample_Guide!$A$5:$A$20,0)),0),M31&gt;IFERROR(INDEX(Sample_Guide!$D$5:$D$20,MATCH(E31,Sample_Guide!$A$5:$A$20,0)),9999))),"Sample outside guide: justify",IF(OR(Q31="",R31=""),"Tester and reviewer needed",IF(Q31=R31,"Tester and reviewer must differ",IF(AND(W31&lt;&gt;"",W31&lt;&gt;"Not started",V31&lt;&gt;"Reviewed",V31&lt;&gt;"Closed"),"Result only after review","OK")))))))))))</f>
        <v/>
      </c>
    </row>
    <row r="32" customFormat="false" ht="15" hidden="false" customHeight="false" outlineLevel="0" collapsed="false">
      <c r="A32" s="16"/>
      <c r="B32" s="16"/>
      <c r="C32" s="17" t="str">
        <f aca="false">IFERROR(INDEX(Ref_CTRL!$B$2:$B$201,MATCH(B32,Ref_CTRL!$A$2:$A$201,0)),"")</f>
        <v/>
      </c>
      <c r="D32" s="17" t="str">
        <f aca="false">IFERROR(INDEX(Ref_CTRL!$C$2:$C$201,MATCH(B32,Ref_CTRL!$A$2:$A$201,0)),"")</f>
        <v/>
      </c>
      <c r="E32" s="17" t="str">
        <f aca="false">IFERROR(INDEX(Ref_CTRL!$D$2:$D$201,MATCH(B32,Ref_CTRL!$A$2:$A$201,0)),"")</f>
        <v/>
      </c>
      <c r="F32" s="16"/>
      <c r="G32" s="16"/>
      <c r="H32" s="16"/>
      <c r="I32" s="16"/>
      <c r="J32" s="17" t="str">
        <f aca="false">IFERROR(INDEX(Ref_EV!$B$2:$B$201,MATCH(I32,Ref_EV!$A$2:$A$201,0)),"")</f>
        <v/>
      </c>
      <c r="K32" s="17" t="str">
        <f aca="false">IFERROR(INDEX(Ref_EV!$C$2:$C$201,MATCH(I32,Ref_EV!$A$2:$A$201,0)),"")</f>
        <v/>
      </c>
      <c r="L32" s="17" t="str">
        <f aca="false">IF(F32="TOD","1",IFERROR(INDEX(Sample_Guide!$C$5:$C$20,MATCH(E32,Sample_Guide!$A$5:$A$20,0))&amp;"–"&amp;INDEX(Sample_Guide!$D$5:$D$20,MATCH(E32,Sample_Guide!$A$5:$A$20,0)),""))</f>
        <v/>
      </c>
      <c r="M32" s="16"/>
      <c r="N32" s="18"/>
      <c r="O32" s="18"/>
      <c r="P32" s="17" t="str">
        <f aca="false">IF(A32="","",IF(OR(D32="ITAC",D32="IPE",D32="ITDM"),"Y","N"))</f>
        <v/>
      </c>
      <c r="Q32" s="16"/>
      <c r="R32" s="16"/>
      <c r="S32" s="18"/>
      <c r="T32" s="18"/>
      <c r="U32" s="16"/>
      <c r="V32" s="16"/>
      <c r="W32" s="16"/>
      <c r="X32" s="17" t="str">
        <f aca="false">IF(A32="","",IF(OR(B32="",F32="",G32="",H32=""),"Control, test type, attributes, procedure needed",IF(COUNTIF(Ref_CTRL!$A$2:$A$201,B32)=0,"CTRL-ID not in W05",IF(LEFT(A32,LEN(B32)+1)&lt;&gt;B32&amp;"-","TEST-ID must start with CTRL-ID-",IF(AND(F32="TOE",I32=""),"Population EV-ID needed (TOE)",IF(AND(I32&lt;&gt;"",J32&lt;&gt;"Pass"),"HOLD: population IPE not Pass",IF(AND(F32="TOE",M32=""),"Sample size needed",IF(AND(F32="TOE",OR(M32&lt;IFERROR(INDEX(Sample_Guide!$C$5:$C$20,MATCH(E32,Sample_Guide!$A$5:$A$20,0)),0),M32&gt;IFERROR(INDEX(Sample_Guide!$D$5:$D$20,MATCH(E32,Sample_Guide!$A$5:$A$20,0)),9999))),"Sample outside guide: justify",IF(OR(Q32="",R32=""),"Tester and reviewer needed",IF(Q32=R32,"Tester and reviewer must differ",IF(AND(W32&lt;&gt;"",W32&lt;&gt;"Not started",V32&lt;&gt;"Reviewed",V32&lt;&gt;"Closed"),"Result only after review","OK")))))))))))</f>
        <v/>
      </c>
    </row>
    <row r="33" customFormat="false" ht="15" hidden="false" customHeight="false" outlineLevel="0" collapsed="false">
      <c r="A33" s="16"/>
      <c r="B33" s="16"/>
      <c r="C33" s="17" t="str">
        <f aca="false">IFERROR(INDEX(Ref_CTRL!$B$2:$B$201,MATCH(B33,Ref_CTRL!$A$2:$A$201,0)),"")</f>
        <v/>
      </c>
      <c r="D33" s="17" t="str">
        <f aca="false">IFERROR(INDEX(Ref_CTRL!$C$2:$C$201,MATCH(B33,Ref_CTRL!$A$2:$A$201,0)),"")</f>
        <v/>
      </c>
      <c r="E33" s="17" t="str">
        <f aca="false">IFERROR(INDEX(Ref_CTRL!$D$2:$D$201,MATCH(B33,Ref_CTRL!$A$2:$A$201,0)),"")</f>
        <v/>
      </c>
      <c r="F33" s="16"/>
      <c r="G33" s="16"/>
      <c r="H33" s="16"/>
      <c r="I33" s="16"/>
      <c r="J33" s="17" t="str">
        <f aca="false">IFERROR(INDEX(Ref_EV!$B$2:$B$201,MATCH(I33,Ref_EV!$A$2:$A$201,0)),"")</f>
        <v/>
      </c>
      <c r="K33" s="17" t="str">
        <f aca="false">IFERROR(INDEX(Ref_EV!$C$2:$C$201,MATCH(I33,Ref_EV!$A$2:$A$201,0)),"")</f>
        <v/>
      </c>
      <c r="L33" s="17" t="str">
        <f aca="false">IF(F33="TOD","1",IFERROR(INDEX(Sample_Guide!$C$5:$C$20,MATCH(E33,Sample_Guide!$A$5:$A$20,0))&amp;"–"&amp;INDEX(Sample_Guide!$D$5:$D$20,MATCH(E33,Sample_Guide!$A$5:$A$20,0)),""))</f>
        <v/>
      </c>
      <c r="M33" s="16"/>
      <c r="N33" s="18"/>
      <c r="O33" s="18"/>
      <c r="P33" s="17" t="str">
        <f aca="false">IF(A33="","",IF(OR(D33="ITAC",D33="IPE",D33="ITDM"),"Y","N"))</f>
        <v/>
      </c>
      <c r="Q33" s="16"/>
      <c r="R33" s="16"/>
      <c r="S33" s="18"/>
      <c r="T33" s="18"/>
      <c r="U33" s="16"/>
      <c r="V33" s="16"/>
      <c r="W33" s="16"/>
      <c r="X33" s="17" t="str">
        <f aca="false">IF(A33="","",IF(OR(B33="",F33="",G33="",H33=""),"Control, test type, attributes, procedure needed",IF(COUNTIF(Ref_CTRL!$A$2:$A$201,B33)=0,"CTRL-ID not in W05",IF(LEFT(A33,LEN(B33)+1)&lt;&gt;B33&amp;"-","TEST-ID must start with CTRL-ID-",IF(AND(F33="TOE",I33=""),"Population EV-ID needed (TOE)",IF(AND(I33&lt;&gt;"",J33&lt;&gt;"Pass"),"HOLD: population IPE not Pass",IF(AND(F33="TOE",M33=""),"Sample size needed",IF(AND(F33="TOE",OR(M33&lt;IFERROR(INDEX(Sample_Guide!$C$5:$C$20,MATCH(E33,Sample_Guide!$A$5:$A$20,0)),0),M33&gt;IFERROR(INDEX(Sample_Guide!$D$5:$D$20,MATCH(E33,Sample_Guide!$A$5:$A$20,0)),9999))),"Sample outside guide: justify",IF(OR(Q33="",R33=""),"Tester and reviewer needed",IF(Q33=R33,"Tester and reviewer must differ",IF(AND(W33&lt;&gt;"",W33&lt;&gt;"Not started",V33&lt;&gt;"Reviewed",V33&lt;&gt;"Closed"),"Result only after review","OK")))))))))))</f>
        <v/>
      </c>
    </row>
    <row r="34" customFormat="false" ht="15" hidden="false" customHeight="false" outlineLevel="0" collapsed="false">
      <c r="A34" s="16"/>
      <c r="B34" s="16"/>
      <c r="C34" s="17" t="str">
        <f aca="false">IFERROR(INDEX(Ref_CTRL!$B$2:$B$201,MATCH(B34,Ref_CTRL!$A$2:$A$201,0)),"")</f>
        <v/>
      </c>
      <c r="D34" s="17" t="str">
        <f aca="false">IFERROR(INDEX(Ref_CTRL!$C$2:$C$201,MATCH(B34,Ref_CTRL!$A$2:$A$201,0)),"")</f>
        <v/>
      </c>
      <c r="E34" s="17" t="str">
        <f aca="false">IFERROR(INDEX(Ref_CTRL!$D$2:$D$201,MATCH(B34,Ref_CTRL!$A$2:$A$201,0)),"")</f>
        <v/>
      </c>
      <c r="F34" s="16"/>
      <c r="G34" s="16"/>
      <c r="H34" s="16"/>
      <c r="I34" s="16"/>
      <c r="J34" s="17" t="str">
        <f aca="false">IFERROR(INDEX(Ref_EV!$B$2:$B$201,MATCH(I34,Ref_EV!$A$2:$A$201,0)),"")</f>
        <v/>
      </c>
      <c r="K34" s="17" t="str">
        <f aca="false">IFERROR(INDEX(Ref_EV!$C$2:$C$201,MATCH(I34,Ref_EV!$A$2:$A$201,0)),"")</f>
        <v/>
      </c>
      <c r="L34" s="17" t="str">
        <f aca="false">IF(F34="TOD","1",IFERROR(INDEX(Sample_Guide!$C$5:$C$20,MATCH(E34,Sample_Guide!$A$5:$A$20,0))&amp;"–"&amp;INDEX(Sample_Guide!$D$5:$D$20,MATCH(E34,Sample_Guide!$A$5:$A$20,0)),""))</f>
        <v/>
      </c>
      <c r="M34" s="16"/>
      <c r="N34" s="18"/>
      <c r="O34" s="18"/>
      <c r="P34" s="17" t="str">
        <f aca="false">IF(A34="","",IF(OR(D34="ITAC",D34="IPE",D34="ITDM"),"Y","N"))</f>
        <v/>
      </c>
      <c r="Q34" s="16"/>
      <c r="R34" s="16"/>
      <c r="S34" s="18"/>
      <c r="T34" s="18"/>
      <c r="U34" s="16"/>
      <c r="V34" s="16"/>
      <c r="W34" s="16"/>
      <c r="X34" s="17" t="str">
        <f aca="false">IF(A34="","",IF(OR(B34="",F34="",G34="",H34=""),"Control, test type, attributes, procedure needed",IF(COUNTIF(Ref_CTRL!$A$2:$A$201,B34)=0,"CTRL-ID not in W05",IF(LEFT(A34,LEN(B34)+1)&lt;&gt;B34&amp;"-","TEST-ID must start with CTRL-ID-",IF(AND(F34="TOE",I34=""),"Population EV-ID needed (TOE)",IF(AND(I34&lt;&gt;"",J34&lt;&gt;"Pass"),"HOLD: population IPE not Pass",IF(AND(F34="TOE",M34=""),"Sample size needed",IF(AND(F34="TOE",OR(M34&lt;IFERROR(INDEX(Sample_Guide!$C$5:$C$20,MATCH(E34,Sample_Guide!$A$5:$A$20,0)),0),M34&gt;IFERROR(INDEX(Sample_Guide!$D$5:$D$20,MATCH(E34,Sample_Guide!$A$5:$A$20,0)),9999))),"Sample outside guide: justify",IF(OR(Q34="",R34=""),"Tester and reviewer needed",IF(Q34=R34,"Tester and reviewer must differ",IF(AND(W34&lt;&gt;"",W34&lt;&gt;"Not started",V34&lt;&gt;"Reviewed",V34&lt;&gt;"Closed"),"Result only after review","OK")))))))))))</f>
        <v/>
      </c>
    </row>
    <row r="35" customFormat="false" ht="15" hidden="false" customHeight="false" outlineLevel="0" collapsed="false">
      <c r="A35" s="16"/>
      <c r="B35" s="16"/>
      <c r="C35" s="17" t="str">
        <f aca="false">IFERROR(INDEX(Ref_CTRL!$B$2:$B$201,MATCH(B35,Ref_CTRL!$A$2:$A$201,0)),"")</f>
        <v/>
      </c>
      <c r="D35" s="17" t="str">
        <f aca="false">IFERROR(INDEX(Ref_CTRL!$C$2:$C$201,MATCH(B35,Ref_CTRL!$A$2:$A$201,0)),"")</f>
        <v/>
      </c>
      <c r="E35" s="17" t="str">
        <f aca="false">IFERROR(INDEX(Ref_CTRL!$D$2:$D$201,MATCH(B35,Ref_CTRL!$A$2:$A$201,0)),"")</f>
        <v/>
      </c>
      <c r="F35" s="16"/>
      <c r="G35" s="16"/>
      <c r="H35" s="16"/>
      <c r="I35" s="16"/>
      <c r="J35" s="17" t="str">
        <f aca="false">IFERROR(INDEX(Ref_EV!$B$2:$B$201,MATCH(I35,Ref_EV!$A$2:$A$201,0)),"")</f>
        <v/>
      </c>
      <c r="K35" s="17" t="str">
        <f aca="false">IFERROR(INDEX(Ref_EV!$C$2:$C$201,MATCH(I35,Ref_EV!$A$2:$A$201,0)),"")</f>
        <v/>
      </c>
      <c r="L35" s="17" t="str">
        <f aca="false">IF(F35="TOD","1",IFERROR(INDEX(Sample_Guide!$C$5:$C$20,MATCH(E35,Sample_Guide!$A$5:$A$20,0))&amp;"–"&amp;INDEX(Sample_Guide!$D$5:$D$20,MATCH(E35,Sample_Guide!$A$5:$A$20,0)),""))</f>
        <v/>
      </c>
      <c r="M35" s="16"/>
      <c r="N35" s="18"/>
      <c r="O35" s="18"/>
      <c r="P35" s="17" t="str">
        <f aca="false">IF(A35="","",IF(OR(D35="ITAC",D35="IPE",D35="ITDM"),"Y","N"))</f>
        <v/>
      </c>
      <c r="Q35" s="16"/>
      <c r="R35" s="16"/>
      <c r="S35" s="18"/>
      <c r="T35" s="18"/>
      <c r="U35" s="16"/>
      <c r="V35" s="16"/>
      <c r="W35" s="16"/>
      <c r="X35" s="17" t="str">
        <f aca="false">IF(A35="","",IF(OR(B35="",F35="",G35="",H35=""),"Control, test type, attributes, procedure needed",IF(COUNTIF(Ref_CTRL!$A$2:$A$201,B35)=0,"CTRL-ID not in W05",IF(LEFT(A35,LEN(B35)+1)&lt;&gt;B35&amp;"-","TEST-ID must start with CTRL-ID-",IF(AND(F35="TOE",I35=""),"Population EV-ID needed (TOE)",IF(AND(I35&lt;&gt;"",J35&lt;&gt;"Pass"),"HOLD: population IPE not Pass",IF(AND(F35="TOE",M35=""),"Sample size needed",IF(AND(F35="TOE",OR(M35&lt;IFERROR(INDEX(Sample_Guide!$C$5:$C$20,MATCH(E35,Sample_Guide!$A$5:$A$20,0)),0),M35&gt;IFERROR(INDEX(Sample_Guide!$D$5:$D$20,MATCH(E35,Sample_Guide!$A$5:$A$20,0)),9999))),"Sample outside guide: justify",IF(OR(Q35="",R35=""),"Tester and reviewer needed",IF(Q35=R35,"Tester and reviewer must differ",IF(AND(W35&lt;&gt;"",W35&lt;&gt;"Not started",V35&lt;&gt;"Reviewed",V35&lt;&gt;"Closed"),"Result only after review","OK")))))))))))</f>
        <v/>
      </c>
    </row>
    <row r="36" customFormat="false" ht="15" hidden="false" customHeight="false" outlineLevel="0" collapsed="false">
      <c r="A36" s="16"/>
      <c r="B36" s="16"/>
      <c r="C36" s="17" t="str">
        <f aca="false">IFERROR(INDEX(Ref_CTRL!$B$2:$B$201,MATCH(B36,Ref_CTRL!$A$2:$A$201,0)),"")</f>
        <v/>
      </c>
      <c r="D36" s="17" t="str">
        <f aca="false">IFERROR(INDEX(Ref_CTRL!$C$2:$C$201,MATCH(B36,Ref_CTRL!$A$2:$A$201,0)),"")</f>
        <v/>
      </c>
      <c r="E36" s="17" t="str">
        <f aca="false">IFERROR(INDEX(Ref_CTRL!$D$2:$D$201,MATCH(B36,Ref_CTRL!$A$2:$A$201,0)),"")</f>
        <v/>
      </c>
      <c r="F36" s="16"/>
      <c r="G36" s="16"/>
      <c r="H36" s="16"/>
      <c r="I36" s="16"/>
      <c r="J36" s="17" t="str">
        <f aca="false">IFERROR(INDEX(Ref_EV!$B$2:$B$201,MATCH(I36,Ref_EV!$A$2:$A$201,0)),"")</f>
        <v/>
      </c>
      <c r="K36" s="17" t="str">
        <f aca="false">IFERROR(INDEX(Ref_EV!$C$2:$C$201,MATCH(I36,Ref_EV!$A$2:$A$201,0)),"")</f>
        <v/>
      </c>
      <c r="L36" s="17" t="str">
        <f aca="false">IF(F36="TOD","1",IFERROR(INDEX(Sample_Guide!$C$5:$C$20,MATCH(E36,Sample_Guide!$A$5:$A$20,0))&amp;"–"&amp;INDEX(Sample_Guide!$D$5:$D$20,MATCH(E36,Sample_Guide!$A$5:$A$20,0)),""))</f>
        <v/>
      </c>
      <c r="M36" s="16"/>
      <c r="N36" s="18"/>
      <c r="O36" s="18"/>
      <c r="P36" s="17" t="str">
        <f aca="false">IF(A36="","",IF(OR(D36="ITAC",D36="IPE",D36="ITDM"),"Y","N"))</f>
        <v/>
      </c>
      <c r="Q36" s="16"/>
      <c r="R36" s="16"/>
      <c r="S36" s="18"/>
      <c r="T36" s="18"/>
      <c r="U36" s="16"/>
      <c r="V36" s="16"/>
      <c r="W36" s="16"/>
      <c r="X36" s="17" t="str">
        <f aca="false">IF(A36="","",IF(OR(B36="",F36="",G36="",H36=""),"Control, test type, attributes, procedure needed",IF(COUNTIF(Ref_CTRL!$A$2:$A$201,B36)=0,"CTRL-ID not in W05",IF(LEFT(A36,LEN(B36)+1)&lt;&gt;B36&amp;"-","TEST-ID must start with CTRL-ID-",IF(AND(F36="TOE",I36=""),"Population EV-ID needed (TOE)",IF(AND(I36&lt;&gt;"",J36&lt;&gt;"Pass"),"HOLD: population IPE not Pass",IF(AND(F36="TOE",M36=""),"Sample size needed",IF(AND(F36="TOE",OR(M36&lt;IFERROR(INDEX(Sample_Guide!$C$5:$C$20,MATCH(E36,Sample_Guide!$A$5:$A$20,0)),0),M36&gt;IFERROR(INDEX(Sample_Guide!$D$5:$D$20,MATCH(E36,Sample_Guide!$A$5:$A$20,0)),9999))),"Sample outside guide: justify",IF(OR(Q36="",R36=""),"Tester and reviewer needed",IF(Q36=R36,"Tester and reviewer must differ",IF(AND(W36&lt;&gt;"",W36&lt;&gt;"Not started",V36&lt;&gt;"Reviewed",V36&lt;&gt;"Closed"),"Result only after review","OK")))))))))))</f>
        <v/>
      </c>
    </row>
    <row r="37" customFormat="false" ht="15" hidden="false" customHeight="false" outlineLevel="0" collapsed="false">
      <c r="A37" s="16"/>
      <c r="B37" s="16"/>
      <c r="C37" s="17" t="str">
        <f aca="false">IFERROR(INDEX(Ref_CTRL!$B$2:$B$201,MATCH(B37,Ref_CTRL!$A$2:$A$201,0)),"")</f>
        <v/>
      </c>
      <c r="D37" s="17" t="str">
        <f aca="false">IFERROR(INDEX(Ref_CTRL!$C$2:$C$201,MATCH(B37,Ref_CTRL!$A$2:$A$201,0)),"")</f>
        <v/>
      </c>
      <c r="E37" s="17" t="str">
        <f aca="false">IFERROR(INDEX(Ref_CTRL!$D$2:$D$201,MATCH(B37,Ref_CTRL!$A$2:$A$201,0)),"")</f>
        <v/>
      </c>
      <c r="F37" s="16"/>
      <c r="G37" s="16"/>
      <c r="H37" s="16"/>
      <c r="I37" s="16"/>
      <c r="J37" s="17" t="str">
        <f aca="false">IFERROR(INDEX(Ref_EV!$B$2:$B$201,MATCH(I37,Ref_EV!$A$2:$A$201,0)),"")</f>
        <v/>
      </c>
      <c r="K37" s="17" t="str">
        <f aca="false">IFERROR(INDEX(Ref_EV!$C$2:$C$201,MATCH(I37,Ref_EV!$A$2:$A$201,0)),"")</f>
        <v/>
      </c>
      <c r="L37" s="17" t="str">
        <f aca="false">IF(F37="TOD","1",IFERROR(INDEX(Sample_Guide!$C$5:$C$20,MATCH(E37,Sample_Guide!$A$5:$A$20,0))&amp;"–"&amp;INDEX(Sample_Guide!$D$5:$D$20,MATCH(E37,Sample_Guide!$A$5:$A$20,0)),""))</f>
        <v/>
      </c>
      <c r="M37" s="16"/>
      <c r="N37" s="18"/>
      <c r="O37" s="18"/>
      <c r="P37" s="17" t="str">
        <f aca="false">IF(A37="","",IF(OR(D37="ITAC",D37="IPE",D37="ITDM"),"Y","N"))</f>
        <v/>
      </c>
      <c r="Q37" s="16"/>
      <c r="R37" s="16"/>
      <c r="S37" s="18"/>
      <c r="T37" s="18"/>
      <c r="U37" s="16"/>
      <c r="V37" s="16"/>
      <c r="W37" s="16"/>
      <c r="X37" s="17" t="str">
        <f aca="false">IF(A37="","",IF(OR(B37="",F37="",G37="",H37=""),"Control, test type, attributes, procedure needed",IF(COUNTIF(Ref_CTRL!$A$2:$A$201,B37)=0,"CTRL-ID not in W05",IF(LEFT(A37,LEN(B37)+1)&lt;&gt;B37&amp;"-","TEST-ID must start with CTRL-ID-",IF(AND(F37="TOE",I37=""),"Population EV-ID needed (TOE)",IF(AND(I37&lt;&gt;"",J37&lt;&gt;"Pass"),"HOLD: population IPE not Pass",IF(AND(F37="TOE",M37=""),"Sample size needed",IF(AND(F37="TOE",OR(M37&lt;IFERROR(INDEX(Sample_Guide!$C$5:$C$20,MATCH(E37,Sample_Guide!$A$5:$A$20,0)),0),M37&gt;IFERROR(INDEX(Sample_Guide!$D$5:$D$20,MATCH(E37,Sample_Guide!$A$5:$A$20,0)),9999))),"Sample outside guide: justify",IF(OR(Q37="",R37=""),"Tester and reviewer needed",IF(Q37=R37,"Tester and reviewer must differ",IF(AND(W37&lt;&gt;"",W37&lt;&gt;"Not started",V37&lt;&gt;"Reviewed",V37&lt;&gt;"Closed"),"Result only after review","OK")))))))))))</f>
        <v/>
      </c>
    </row>
    <row r="38" customFormat="false" ht="15" hidden="false" customHeight="false" outlineLevel="0" collapsed="false">
      <c r="A38" s="16"/>
      <c r="B38" s="16"/>
      <c r="C38" s="17" t="str">
        <f aca="false">IFERROR(INDEX(Ref_CTRL!$B$2:$B$201,MATCH(B38,Ref_CTRL!$A$2:$A$201,0)),"")</f>
        <v/>
      </c>
      <c r="D38" s="17" t="str">
        <f aca="false">IFERROR(INDEX(Ref_CTRL!$C$2:$C$201,MATCH(B38,Ref_CTRL!$A$2:$A$201,0)),"")</f>
        <v/>
      </c>
      <c r="E38" s="17" t="str">
        <f aca="false">IFERROR(INDEX(Ref_CTRL!$D$2:$D$201,MATCH(B38,Ref_CTRL!$A$2:$A$201,0)),"")</f>
        <v/>
      </c>
      <c r="F38" s="16"/>
      <c r="G38" s="16"/>
      <c r="H38" s="16"/>
      <c r="I38" s="16"/>
      <c r="J38" s="17" t="str">
        <f aca="false">IFERROR(INDEX(Ref_EV!$B$2:$B$201,MATCH(I38,Ref_EV!$A$2:$A$201,0)),"")</f>
        <v/>
      </c>
      <c r="K38" s="17" t="str">
        <f aca="false">IFERROR(INDEX(Ref_EV!$C$2:$C$201,MATCH(I38,Ref_EV!$A$2:$A$201,0)),"")</f>
        <v/>
      </c>
      <c r="L38" s="17" t="str">
        <f aca="false">IF(F38="TOD","1",IFERROR(INDEX(Sample_Guide!$C$5:$C$20,MATCH(E38,Sample_Guide!$A$5:$A$20,0))&amp;"–"&amp;INDEX(Sample_Guide!$D$5:$D$20,MATCH(E38,Sample_Guide!$A$5:$A$20,0)),""))</f>
        <v/>
      </c>
      <c r="M38" s="16"/>
      <c r="N38" s="18"/>
      <c r="O38" s="18"/>
      <c r="P38" s="17" t="str">
        <f aca="false">IF(A38="","",IF(OR(D38="ITAC",D38="IPE",D38="ITDM"),"Y","N"))</f>
        <v/>
      </c>
      <c r="Q38" s="16"/>
      <c r="R38" s="16"/>
      <c r="S38" s="18"/>
      <c r="T38" s="18"/>
      <c r="U38" s="16"/>
      <c r="V38" s="16"/>
      <c r="W38" s="16"/>
      <c r="X38" s="17" t="str">
        <f aca="false">IF(A38="","",IF(OR(B38="",F38="",G38="",H38=""),"Control, test type, attributes, procedure needed",IF(COUNTIF(Ref_CTRL!$A$2:$A$201,B38)=0,"CTRL-ID not in W05",IF(LEFT(A38,LEN(B38)+1)&lt;&gt;B38&amp;"-","TEST-ID must start with CTRL-ID-",IF(AND(F38="TOE",I38=""),"Population EV-ID needed (TOE)",IF(AND(I38&lt;&gt;"",J38&lt;&gt;"Pass"),"HOLD: population IPE not Pass",IF(AND(F38="TOE",M38=""),"Sample size needed",IF(AND(F38="TOE",OR(M38&lt;IFERROR(INDEX(Sample_Guide!$C$5:$C$20,MATCH(E38,Sample_Guide!$A$5:$A$20,0)),0),M38&gt;IFERROR(INDEX(Sample_Guide!$D$5:$D$20,MATCH(E38,Sample_Guide!$A$5:$A$20,0)),9999))),"Sample outside guide: justify",IF(OR(Q38="",R38=""),"Tester and reviewer needed",IF(Q38=R38,"Tester and reviewer must differ",IF(AND(W38&lt;&gt;"",W38&lt;&gt;"Not started",V38&lt;&gt;"Reviewed",V38&lt;&gt;"Closed"),"Result only after review","OK")))))))))))</f>
        <v/>
      </c>
    </row>
    <row r="39" customFormat="false" ht="15" hidden="false" customHeight="false" outlineLevel="0" collapsed="false">
      <c r="A39" s="16"/>
      <c r="B39" s="16"/>
      <c r="C39" s="17" t="str">
        <f aca="false">IFERROR(INDEX(Ref_CTRL!$B$2:$B$201,MATCH(B39,Ref_CTRL!$A$2:$A$201,0)),"")</f>
        <v/>
      </c>
      <c r="D39" s="17" t="str">
        <f aca="false">IFERROR(INDEX(Ref_CTRL!$C$2:$C$201,MATCH(B39,Ref_CTRL!$A$2:$A$201,0)),"")</f>
        <v/>
      </c>
      <c r="E39" s="17" t="str">
        <f aca="false">IFERROR(INDEX(Ref_CTRL!$D$2:$D$201,MATCH(B39,Ref_CTRL!$A$2:$A$201,0)),"")</f>
        <v/>
      </c>
      <c r="F39" s="16"/>
      <c r="G39" s="16"/>
      <c r="H39" s="16"/>
      <c r="I39" s="16"/>
      <c r="J39" s="17" t="str">
        <f aca="false">IFERROR(INDEX(Ref_EV!$B$2:$B$201,MATCH(I39,Ref_EV!$A$2:$A$201,0)),"")</f>
        <v/>
      </c>
      <c r="K39" s="17" t="str">
        <f aca="false">IFERROR(INDEX(Ref_EV!$C$2:$C$201,MATCH(I39,Ref_EV!$A$2:$A$201,0)),"")</f>
        <v/>
      </c>
      <c r="L39" s="17" t="str">
        <f aca="false">IF(F39="TOD","1",IFERROR(INDEX(Sample_Guide!$C$5:$C$20,MATCH(E39,Sample_Guide!$A$5:$A$20,0))&amp;"–"&amp;INDEX(Sample_Guide!$D$5:$D$20,MATCH(E39,Sample_Guide!$A$5:$A$20,0)),""))</f>
        <v/>
      </c>
      <c r="M39" s="16"/>
      <c r="N39" s="18"/>
      <c r="O39" s="18"/>
      <c r="P39" s="17" t="str">
        <f aca="false">IF(A39="","",IF(OR(D39="ITAC",D39="IPE",D39="ITDM"),"Y","N"))</f>
        <v/>
      </c>
      <c r="Q39" s="16"/>
      <c r="R39" s="16"/>
      <c r="S39" s="18"/>
      <c r="T39" s="18"/>
      <c r="U39" s="16"/>
      <c r="V39" s="16"/>
      <c r="W39" s="16"/>
      <c r="X39" s="17" t="str">
        <f aca="false">IF(A39="","",IF(OR(B39="",F39="",G39="",H39=""),"Control, test type, attributes, procedure needed",IF(COUNTIF(Ref_CTRL!$A$2:$A$201,B39)=0,"CTRL-ID not in W05",IF(LEFT(A39,LEN(B39)+1)&lt;&gt;B39&amp;"-","TEST-ID must start with CTRL-ID-",IF(AND(F39="TOE",I39=""),"Population EV-ID needed (TOE)",IF(AND(I39&lt;&gt;"",J39&lt;&gt;"Pass"),"HOLD: population IPE not Pass",IF(AND(F39="TOE",M39=""),"Sample size needed",IF(AND(F39="TOE",OR(M39&lt;IFERROR(INDEX(Sample_Guide!$C$5:$C$20,MATCH(E39,Sample_Guide!$A$5:$A$20,0)),0),M39&gt;IFERROR(INDEX(Sample_Guide!$D$5:$D$20,MATCH(E39,Sample_Guide!$A$5:$A$20,0)),9999))),"Sample outside guide: justify",IF(OR(Q39="",R39=""),"Tester and reviewer needed",IF(Q39=R39,"Tester and reviewer must differ",IF(AND(W39&lt;&gt;"",W39&lt;&gt;"Not started",V39&lt;&gt;"Reviewed",V39&lt;&gt;"Closed"),"Result only after review","OK")))))))))))</f>
        <v/>
      </c>
    </row>
    <row r="40" customFormat="false" ht="15" hidden="false" customHeight="false" outlineLevel="0" collapsed="false">
      <c r="A40" s="16"/>
      <c r="B40" s="16"/>
      <c r="C40" s="17" t="str">
        <f aca="false">IFERROR(INDEX(Ref_CTRL!$B$2:$B$201,MATCH(B40,Ref_CTRL!$A$2:$A$201,0)),"")</f>
        <v/>
      </c>
      <c r="D40" s="17" t="str">
        <f aca="false">IFERROR(INDEX(Ref_CTRL!$C$2:$C$201,MATCH(B40,Ref_CTRL!$A$2:$A$201,0)),"")</f>
        <v/>
      </c>
      <c r="E40" s="17" t="str">
        <f aca="false">IFERROR(INDEX(Ref_CTRL!$D$2:$D$201,MATCH(B40,Ref_CTRL!$A$2:$A$201,0)),"")</f>
        <v/>
      </c>
      <c r="F40" s="16"/>
      <c r="G40" s="16"/>
      <c r="H40" s="16"/>
      <c r="I40" s="16"/>
      <c r="J40" s="17" t="str">
        <f aca="false">IFERROR(INDEX(Ref_EV!$B$2:$B$201,MATCH(I40,Ref_EV!$A$2:$A$201,0)),"")</f>
        <v/>
      </c>
      <c r="K40" s="17" t="str">
        <f aca="false">IFERROR(INDEX(Ref_EV!$C$2:$C$201,MATCH(I40,Ref_EV!$A$2:$A$201,0)),"")</f>
        <v/>
      </c>
      <c r="L40" s="17" t="str">
        <f aca="false">IF(F40="TOD","1",IFERROR(INDEX(Sample_Guide!$C$5:$C$20,MATCH(E40,Sample_Guide!$A$5:$A$20,0))&amp;"–"&amp;INDEX(Sample_Guide!$D$5:$D$20,MATCH(E40,Sample_Guide!$A$5:$A$20,0)),""))</f>
        <v/>
      </c>
      <c r="M40" s="16"/>
      <c r="N40" s="18"/>
      <c r="O40" s="18"/>
      <c r="P40" s="17" t="str">
        <f aca="false">IF(A40="","",IF(OR(D40="ITAC",D40="IPE",D40="ITDM"),"Y","N"))</f>
        <v/>
      </c>
      <c r="Q40" s="16"/>
      <c r="R40" s="16"/>
      <c r="S40" s="18"/>
      <c r="T40" s="18"/>
      <c r="U40" s="16"/>
      <c r="V40" s="16"/>
      <c r="W40" s="16"/>
      <c r="X40" s="17" t="str">
        <f aca="false">IF(A40="","",IF(OR(B40="",F40="",G40="",H40=""),"Control, test type, attributes, procedure needed",IF(COUNTIF(Ref_CTRL!$A$2:$A$201,B40)=0,"CTRL-ID not in W05",IF(LEFT(A40,LEN(B40)+1)&lt;&gt;B40&amp;"-","TEST-ID must start with CTRL-ID-",IF(AND(F40="TOE",I40=""),"Population EV-ID needed (TOE)",IF(AND(I40&lt;&gt;"",J40&lt;&gt;"Pass"),"HOLD: population IPE not Pass",IF(AND(F40="TOE",M40=""),"Sample size needed",IF(AND(F40="TOE",OR(M40&lt;IFERROR(INDEX(Sample_Guide!$C$5:$C$20,MATCH(E40,Sample_Guide!$A$5:$A$20,0)),0),M40&gt;IFERROR(INDEX(Sample_Guide!$D$5:$D$20,MATCH(E40,Sample_Guide!$A$5:$A$20,0)),9999))),"Sample outside guide: justify",IF(OR(Q40="",R40=""),"Tester and reviewer needed",IF(Q40=R40,"Tester and reviewer must differ",IF(AND(W40&lt;&gt;"",W40&lt;&gt;"Not started",V40&lt;&gt;"Reviewed",V40&lt;&gt;"Closed"),"Result only after review","OK")))))))))))</f>
        <v/>
      </c>
    </row>
    <row r="41" customFormat="false" ht="15" hidden="false" customHeight="false" outlineLevel="0" collapsed="false">
      <c r="A41" s="16"/>
      <c r="B41" s="16"/>
      <c r="C41" s="17" t="str">
        <f aca="false">IFERROR(INDEX(Ref_CTRL!$B$2:$B$201,MATCH(B41,Ref_CTRL!$A$2:$A$201,0)),"")</f>
        <v/>
      </c>
      <c r="D41" s="17" t="str">
        <f aca="false">IFERROR(INDEX(Ref_CTRL!$C$2:$C$201,MATCH(B41,Ref_CTRL!$A$2:$A$201,0)),"")</f>
        <v/>
      </c>
      <c r="E41" s="17" t="str">
        <f aca="false">IFERROR(INDEX(Ref_CTRL!$D$2:$D$201,MATCH(B41,Ref_CTRL!$A$2:$A$201,0)),"")</f>
        <v/>
      </c>
      <c r="F41" s="16"/>
      <c r="G41" s="16"/>
      <c r="H41" s="16"/>
      <c r="I41" s="16"/>
      <c r="J41" s="17" t="str">
        <f aca="false">IFERROR(INDEX(Ref_EV!$B$2:$B$201,MATCH(I41,Ref_EV!$A$2:$A$201,0)),"")</f>
        <v/>
      </c>
      <c r="K41" s="17" t="str">
        <f aca="false">IFERROR(INDEX(Ref_EV!$C$2:$C$201,MATCH(I41,Ref_EV!$A$2:$A$201,0)),"")</f>
        <v/>
      </c>
      <c r="L41" s="17" t="str">
        <f aca="false">IF(F41="TOD","1",IFERROR(INDEX(Sample_Guide!$C$5:$C$20,MATCH(E41,Sample_Guide!$A$5:$A$20,0))&amp;"–"&amp;INDEX(Sample_Guide!$D$5:$D$20,MATCH(E41,Sample_Guide!$A$5:$A$20,0)),""))</f>
        <v/>
      </c>
      <c r="M41" s="16"/>
      <c r="N41" s="18"/>
      <c r="O41" s="18"/>
      <c r="P41" s="17" t="str">
        <f aca="false">IF(A41="","",IF(OR(D41="ITAC",D41="IPE",D41="ITDM"),"Y","N"))</f>
        <v/>
      </c>
      <c r="Q41" s="16"/>
      <c r="R41" s="16"/>
      <c r="S41" s="18"/>
      <c r="T41" s="18"/>
      <c r="U41" s="16"/>
      <c r="V41" s="16"/>
      <c r="W41" s="16"/>
      <c r="X41" s="17" t="str">
        <f aca="false">IF(A41="","",IF(OR(B41="",F41="",G41="",H41=""),"Control, test type, attributes, procedure needed",IF(COUNTIF(Ref_CTRL!$A$2:$A$201,B41)=0,"CTRL-ID not in W05",IF(LEFT(A41,LEN(B41)+1)&lt;&gt;B41&amp;"-","TEST-ID must start with CTRL-ID-",IF(AND(F41="TOE",I41=""),"Population EV-ID needed (TOE)",IF(AND(I41&lt;&gt;"",J41&lt;&gt;"Pass"),"HOLD: population IPE not Pass",IF(AND(F41="TOE",M41=""),"Sample size needed",IF(AND(F41="TOE",OR(M41&lt;IFERROR(INDEX(Sample_Guide!$C$5:$C$20,MATCH(E41,Sample_Guide!$A$5:$A$20,0)),0),M41&gt;IFERROR(INDEX(Sample_Guide!$D$5:$D$20,MATCH(E41,Sample_Guide!$A$5:$A$20,0)),9999))),"Sample outside guide: justify",IF(OR(Q41="",R41=""),"Tester and reviewer needed",IF(Q41=R41,"Tester and reviewer must differ",IF(AND(W41&lt;&gt;"",W41&lt;&gt;"Not started",V41&lt;&gt;"Reviewed",V41&lt;&gt;"Closed"),"Result only after review","OK")))))))))))</f>
        <v/>
      </c>
    </row>
    <row r="42" customFormat="false" ht="15" hidden="false" customHeight="false" outlineLevel="0" collapsed="false">
      <c r="A42" s="16"/>
      <c r="B42" s="16"/>
      <c r="C42" s="17" t="str">
        <f aca="false">IFERROR(INDEX(Ref_CTRL!$B$2:$B$201,MATCH(B42,Ref_CTRL!$A$2:$A$201,0)),"")</f>
        <v/>
      </c>
      <c r="D42" s="17" t="str">
        <f aca="false">IFERROR(INDEX(Ref_CTRL!$C$2:$C$201,MATCH(B42,Ref_CTRL!$A$2:$A$201,0)),"")</f>
        <v/>
      </c>
      <c r="E42" s="17" t="str">
        <f aca="false">IFERROR(INDEX(Ref_CTRL!$D$2:$D$201,MATCH(B42,Ref_CTRL!$A$2:$A$201,0)),"")</f>
        <v/>
      </c>
      <c r="F42" s="16"/>
      <c r="G42" s="16"/>
      <c r="H42" s="16"/>
      <c r="I42" s="16"/>
      <c r="J42" s="17" t="str">
        <f aca="false">IFERROR(INDEX(Ref_EV!$B$2:$B$201,MATCH(I42,Ref_EV!$A$2:$A$201,0)),"")</f>
        <v/>
      </c>
      <c r="K42" s="17" t="str">
        <f aca="false">IFERROR(INDEX(Ref_EV!$C$2:$C$201,MATCH(I42,Ref_EV!$A$2:$A$201,0)),"")</f>
        <v/>
      </c>
      <c r="L42" s="17" t="str">
        <f aca="false">IF(F42="TOD","1",IFERROR(INDEX(Sample_Guide!$C$5:$C$20,MATCH(E42,Sample_Guide!$A$5:$A$20,0))&amp;"–"&amp;INDEX(Sample_Guide!$D$5:$D$20,MATCH(E42,Sample_Guide!$A$5:$A$20,0)),""))</f>
        <v/>
      </c>
      <c r="M42" s="16"/>
      <c r="N42" s="18"/>
      <c r="O42" s="18"/>
      <c r="P42" s="17" t="str">
        <f aca="false">IF(A42="","",IF(OR(D42="ITAC",D42="IPE",D42="ITDM"),"Y","N"))</f>
        <v/>
      </c>
      <c r="Q42" s="16"/>
      <c r="R42" s="16"/>
      <c r="S42" s="18"/>
      <c r="T42" s="18"/>
      <c r="U42" s="16"/>
      <c r="V42" s="16"/>
      <c r="W42" s="16"/>
      <c r="X42" s="17" t="str">
        <f aca="false">IF(A42="","",IF(OR(B42="",F42="",G42="",H42=""),"Control, test type, attributes, procedure needed",IF(COUNTIF(Ref_CTRL!$A$2:$A$201,B42)=0,"CTRL-ID not in W05",IF(LEFT(A42,LEN(B42)+1)&lt;&gt;B42&amp;"-","TEST-ID must start with CTRL-ID-",IF(AND(F42="TOE",I42=""),"Population EV-ID needed (TOE)",IF(AND(I42&lt;&gt;"",J42&lt;&gt;"Pass"),"HOLD: population IPE not Pass",IF(AND(F42="TOE",M42=""),"Sample size needed",IF(AND(F42="TOE",OR(M42&lt;IFERROR(INDEX(Sample_Guide!$C$5:$C$20,MATCH(E42,Sample_Guide!$A$5:$A$20,0)),0),M42&gt;IFERROR(INDEX(Sample_Guide!$D$5:$D$20,MATCH(E42,Sample_Guide!$A$5:$A$20,0)),9999))),"Sample outside guide: justify",IF(OR(Q42="",R42=""),"Tester and reviewer needed",IF(Q42=R42,"Tester and reviewer must differ",IF(AND(W42&lt;&gt;"",W42&lt;&gt;"Not started",V42&lt;&gt;"Reviewed",V42&lt;&gt;"Closed"),"Result only after review","OK")))))))))))</f>
        <v/>
      </c>
    </row>
    <row r="43" customFormat="false" ht="15" hidden="false" customHeight="false" outlineLevel="0" collapsed="false">
      <c r="A43" s="16"/>
      <c r="B43" s="16"/>
      <c r="C43" s="17" t="str">
        <f aca="false">IFERROR(INDEX(Ref_CTRL!$B$2:$B$201,MATCH(B43,Ref_CTRL!$A$2:$A$201,0)),"")</f>
        <v/>
      </c>
      <c r="D43" s="17" t="str">
        <f aca="false">IFERROR(INDEX(Ref_CTRL!$C$2:$C$201,MATCH(B43,Ref_CTRL!$A$2:$A$201,0)),"")</f>
        <v/>
      </c>
      <c r="E43" s="17" t="str">
        <f aca="false">IFERROR(INDEX(Ref_CTRL!$D$2:$D$201,MATCH(B43,Ref_CTRL!$A$2:$A$201,0)),"")</f>
        <v/>
      </c>
      <c r="F43" s="16"/>
      <c r="G43" s="16"/>
      <c r="H43" s="16"/>
      <c r="I43" s="16"/>
      <c r="J43" s="17" t="str">
        <f aca="false">IFERROR(INDEX(Ref_EV!$B$2:$B$201,MATCH(I43,Ref_EV!$A$2:$A$201,0)),"")</f>
        <v/>
      </c>
      <c r="K43" s="17" t="str">
        <f aca="false">IFERROR(INDEX(Ref_EV!$C$2:$C$201,MATCH(I43,Ref_EV!$A$2:$A$201,0)),"")</f>
        <v/>
      </c>
      <c r="L43" s="17" t="str">
        <f aca="false">IF(F43="TOD","1",IFERROR(INDEX(Sample_Guide!$C$5:$C$20,MATCH(E43,Sample_Guide!$A$5:$A$20,0))&amp;"–"&amp;INDEX(Sample_Guide!$D$5:$D$20,MATCH(E43,Sample_Guide!$A$5:$A$20,0)),""))</f>
        <v/>
      </c>
      <c r="M43" s="16"/>
      <c r="N43" s="18"/>
      <c r="O43" s="18"/>
      <c r="P43" s="17" t="str">
        <f aca="false">IF(A43="","",IF(OR(D43="ITAC",D43="IPE",D43="ITDM"),"Y","N"))</f>
        <v/>
      </c>
      <c r="Q43" s="16"/>
      <c r="R43" s="16"/>
      <c r="S43" s="18"/>
      <c r="T43" s="18"/>
      <c r="U43" s="16"/>
      <c r="V43" s="16"/>
      <c r="W43" s="16"/>
      <c r="X43" s="17" t="str">
        <f aca="false">IF(A43="","",IF(OR(B43="",F43="",G43="",H43=""),"Control, test type, attributes, procedure needed",IF(COUNTIF(Ref_CTRL!$A$2:$A$201,B43)=0,"CTRL-ID not in W05",IF(LEFT(A43,LEN(B43)+1)&lt;&gt;B43&amp;"-","TEST-ID must start with CTRL-ID-",IF(AND(F43="TOE",I43=""),"Population EV-ID needed (TOE)",IF(AND(I43&lt;&gt;"",J43&lt;&gt;"Pass"),"HOLD: population IPE not Pass",IF(AND(F43="TOE",M43=""),"Sample size needed",IF(AND(F43="TOE",OR(M43&lt;IFERROR(INDEX(Sample_Guide!$C$5:$C$20,MATCH(E43,Sample_Guide!$A$5:$A$20,0)),0),M43&gt;IFERROR(INDEX(Sample_Guide!$D$5:$D$20,MATCH(E43,Sample_Guide!$A$5:$A$20,0)),9999))),"Sample outside guide: justify",IF(OR(Q43="",R43=""),"Tester and reviewer needed",IF(Q43=R43,"Tester and reviewer must differ",IF(AND(W43&lt;&gt;"",W43&lt;&gt;"Not started",V43&lt;&gt;"Reviewed",V43&lt;&gt;"Closed"),"Result only after review","OK")))))))))))</f>
        <v/>
      </c>
    </row>
    <row r="44" customFormat="false" ht="15" hidden="false" customHeight="false" outlineLevel="0" collapsed="false">
      <c r="A44" s="16"/>
      <c r="B44" s="16"/>
      <c r="C44" s="17" t="str">
        <f aca="false">IFERROR(INDEX(Ref_CTRL!$B$2:$B$201,MATCH(B44,Ref_CTRL!$A$2:$A$201,0)),"")</f>
        <v/>
      </c>
      <c r="D44" s="17" t="str">
        <f aca="false">IFERROR(INDEX(Ref_CTRL!$C$2:$C$201,MATCH(B44,Ref_CTRL!$A$2:$A$201,0)),"")</f>
        <v/>
      </c>
      <c r="E44" s="17" t="str">
        <f aca="false">IFERROR(INDEX(Ref_CTRL!$D$2:$D$201,MATCH(B44,Ref_CTRL!$A$2:$A$201,0)),"")</f>
        <v/>
      </c>
      <c r="F44" s="16"/>
      <c r="G44" s="16"/>
      <c r="H44" s="16"/>
      <c r="I44" s="16"/>
      <c r="J44" s="17" t="str">
        <f aca="false">IFERROR(INDEX(Ref_EV!$B$2:$B$201,MATCH(I44,Ref_EV!$A$2:$A$201,0)),"")</f>
        <v/>
      </c>
      <c r="K44" s="17" t="str">
        <f aca="false">IFERROR(INDEX(Ref_EV!$C$2:$C$201,MATCH(I44,Ref_EV!$A$2:$A$201,0)),"")</f>
        <v/>
      </c>
      <c r="L44" s="17" t="str">
        <f aca="false">IF(F44="TOD","1",IFERROR(INDEX(Sample_Guide!$C$5:$C$20,MATCH(E44,Sample_Guide!$A$5:$A$20,0))&amp;"–"&amp;INDEX(Sample_Guide!$D$5:$D$20,MATCH(E44,Sample_Guide!$A$5:$A$20,0)),""))</f>
        <v/>
      </c>
      <c r="M44" s="16"/>
      <c r="N44" s="18"/>
      <c r="O44" s="18"/>
      <c r="P44" s="17" t="str">
        <f aca="false">IF(A44="","",IF(OR(D44="ITAC",D44="IPE",D44="ITDM"),"Y","N"))</f>
        <v/>
      </c>
      <c r="Q44" s="16"/>
      <c r="R44" s="16"/>
      <c r="S44" s="18"/>
      <c r="T44" s="18"/>
      <c r="U44" s="16"/>
      <c r="V44" s="16"/>
      <c r="W44" s="16"/>
      <c r="X44" s="17" t="str">
        <f aca="false">IF(A44="","",IF(OR(B44="",F44="",G44="",H44=""),"Control, test type, attributes, procedure needed",IF(COUNTIF(Ref_CTRL!$A$2:$A$201,B44)=0,"CTRL-ID not in W05",IF(LEFT(A44,LEN(B44)+1)&lt;&gt;B44&amp;"-","TEST-ID must start with CTRL-ID-",IF(AND(F44="TOE",I44=""),"Population EV-ID needed (TOE)",IF(AND(I44&lt;&gt;"",J44&lt;&gt;"Pass"),"HOLD: population IPE not Pass",IF(AND(F44="TOE",M44=""),"Sample size needed",IF(AND(F44="TOE",OR(M44&lt;IFERROR(INDEX(Sample_Guide!$C$5:$C$20,MATCH(E44,Sample_Guide!$A$5:$A$20,0)),0),M44&gt;IFERROR(INDEX(Sample_Guide!$D$5:$D$20,MATCH(E44,Sample_Guide!$A$5:$A$20,0)),9999))),"Sample outside guide: justify",IF(OR(Q44="",R44=""),"Tester and reviewer needed",IF(Q44=R44,"Tester and reviewer must differ",IF(AND(W44&lt;&gt;"",W44&lt;&gt;"Not started",V44&lt;&gt;"Reviewed",V44&lt;&gt;"Closed"),"Result only after review","OK")))))))))))</f>
        <v/>
      </c>
    </row>
    <row r="45" customFormat="false" ht="15" hidden="false" customHeight="false" outlineLevel="0" collapsed="false">
      <c r="A45" s="16"/>
      <c r="B45" s="16"/>
      <c r="C45" s="17" t="str">
        <f aca="false">IFERROR(INDEX(Ref_CTRL!$B$2:$B$201,MATCH(B45,Ref_CTRL!$A$2:$A$201,0)),"")</f>
        <v/>
      </c>
      <c r="D45" s="17" t="str">
        <f aca="false">IFERROR(INDEX(Ref_CTRL!$C$2:$C$201,MATCH(B45,Ref_CTRL!$A$2:$A$201,0)),"")</f>
        <v/>
      </c>
      <c r="E45" s="17" t="str">
        <f aca="false">IFERROR(INDEX(Ref_CTRL!$D$2:$D$201,MATCH(B45,Ref_CTRL!$A$2:$A$201,0)),"")</f>
        <v/>
      </c>
      <c r="F45" s="16"/>
      <c r="G45" s="16"/>
      <c r="H45" s="16"/>
      <c r="I45" s="16"/>
      <c r="J45" s="17" t="str">
        <f aca="false">IFERROR(INDEX(Ref_EV!$B$2:$B$201,MATCH(I45,Ref_EV!$A$2:$A$201,0)),"")</f>
        <v/>
      </c>
      <c r="K45" s="17" t="str">
        <f aca="false">IFERROR(INDEX(Ref_EV!$C$2:$C$201,MATCH(I45,Ref_EV!$A$2:$A$201,0)),"")</f>
        <v/>
      </c>
      <c r="L45" s="17" t="str">
        <f aca="false">IF(F45="TOD","1",IFERROR(INDEX(Sample_Guide!$C$5:$C$20,MATCH(E45,Sample_Guide!$A$5:$A$20,0))&amp;"–"&amp;INDEX(Sample_Guide!$D$5:$D$20,MATCH(E45,Sample_Guide!$A$5:$A$20,0)),""))</f>
        <v/>
      </c>
      <c r="M45" s="16"/>
      <c r="N45" s="18"/>
      <c r="O45" s="18"/>
      <c r="P45" s="17" t="str">
        <f aca="false">IF(A45="","",IF(OR(D45="ITAC",D45="IPE",D45="ITDM"),"Y","N"))</f>
        <v/>
      </c>
      <c r="Q45" s="16"/>
      <c r="R45" s="16"/>
      <c r="S45" s="18"/>
      <c r="T45" s="18"/>
      <c r="U45" s="16"/>
      <c r="V45" s="16"/>
      <c r="W45" s="16"/>
      <c r="X45" s="17" t="str">
        <f aca="false">IF(A45="","",IF(OR(B45="",F45="",G45="",H45=""),"Control, test type, attributes, procedure needed",IF(COUNTIF(Ref_CTRL!$A$2:$A$201,B45)=0,"CTRL-ID not in W05",IF(LEFT(A45,LEN(B45)+1)&lt;&gt;B45&amp;"-","TEST-ID must start with CTRL-ID-",IF(AND(F45="TOE",I45=""),"Population EV-ID needed (TOE)",IF(AND(I45&lt;&gt;"",J45&lt;&gt;"Pass"),"HOLD: population IPE not Pass",IF(AND(F45="TOE",M45=""),"Sample size needed",IF(AND(F45="TOE",OR(M45&lt;IFERROR(INDEX(Sample_Guide!$C$5:$C$20,MATCH(E45,Sample_Guide!$A$5:$A$20,0)),0),M45&gt;IFERROR(INDEX(Sample_Guide!$D$5:$D$20,MATCH(E45,Sample_Guide!$A$5:$A$20,0)),9999))),"Sample outside guide: justify",IF(OR(Q45="",R45=""),"Tester and reviewer needed",IF(Q45=R45,"Tester and reviewer must differ",IF(AND(W45&lt;&gt;"",W45&lt;&gt;"Not started",V45&lt;&gt;"Reviewed",V45&lt;&gt;"Closed"),"Result only after review","OK")))))))))))</f>
        <v/>
      </c>
    </row>
    <row r="46" customFormat="false" ht="15" hidden="false" customHeight="false" outlineLevel="0" collapsed="false">
      <c r="A46" s="16"/>
      <c r="B46" s="16"/>
      <c r="C46" s="17" t="str">
        <f aca="false">IFERROR(INDEX(Ref_CTRL!$B$2:$B$201,MATCH(B46,Ref_CTRL!$A$2:$A$201,0)),"")</f>
        <v/>
      </c>
      <c r="D46" s="17" t="str">
        <f aca="false">IFERROR(INDEX(Ref_CTRL!$C$2:$C$201,MATCH(B46,Ref_CTRL!$A$2:$A$201,0)),"")</f>
        <v/>
      </c>
      <c r="E46" s="17" t="str">
        <f aca="false">IFERROR(INDEX(Ref_CTRL!$D$2:$D$201,MATCH(B46,Ref_CTRL!$A$2:$A$201,0)),"")</f>
        <v/>
      </c>
      <c r="F46" s="16"/>
      <c r="G46" s="16"/>
      <c r="H46" s="16"/>
      <c r="I46" s="16"/>
      <c r="J46" s="17" t="str">
        <f aca="false">IFERROR(INDEX(Ref_EV!$B$2:$B$201,MATCH(I46,Ref_EV!$A$2:$A$201,0)),"")</f>
        <v/>
      </c>
      <c r="K46" s="17" t="str">
        <f aca="false">IFERROR(INDEX(Ref_EV!$C$2:$C$201,MATCH(I46,Ref_EV!$A$2:$A$201,0)),"")</f>
        <v/>
      </c>
      <c r="L46" s="17" t="str">
        <f aca="false">IF(F46="TOD","1",IFERROR(INDEX(Sample_Guide!$C$5:$C$20,MATCH(E46,Sample_Guide!$A$5:$A$20,0))&amp;"–"&amp;INDEX(Sample_Guide!$D$5:$D$20,MATCH(E46,Sample_Guide!$A$5:$A$20,0)),""))</f>
        <v/>
      </c>
      <c r="M46" s="16"/>
      <c r="N46" s="18"/>
      <c r="O46" s="18"/>
      <c r="P46" s="17" t="str">
        <f aca="false">IF(A46="","",IF(OR(D46="ITAC",D46="IPE",D46="ITDM"),"Y","N"))</f>
        <v/>
      </c>
      <c r="Q46" s="16"/>
      <c r="R46" s="16"/>
      <c r="S46" s="18"/>
      <c r="T46" s="18"/>
      <c r="U46" s="16"/>
      <c r="V46" s="16"/>
      <c r="W46" s="16"/>
      <c r="X46" s="17" t="str">
        <f aca="false">IF(A46="","",IF(OR(B46="",F46="",G46="",H46=""),"Control, test type, attributes, procedure needed",IF(COUNTIF(Ref_CTRL!$A$2:$A$201,B46)=0,"CTRL-ID not in W05",IF(LEFT(A46,LEN(B46)+1)&lt;&gt;B46&amp;"-","TEST-ID must start with CTRL-ID-",IF(AND(F46="TOE",I46=""),"Population EV-ID needed (TOE)",IF(AND(I46&lt;&gt;"",J46&lt;&gt;"Pass"),"HOLD: population IPE not Pass",IF(AND(F46="TOE",M46=""),"Sample size needed",IF(AND(F46="TOE",OR(M46&lt;IFERROR(INDEX(Sample_Guide!$C$5:$C$20,MATCH(E46,Sample_Guide!$A$5:$A$20,0)),0),M46&gt;IFERROR(INDEX(Sample_Guide!$D$5:$D$20,MATCH(E46,Sample_Guide!$A$5:$A$20,0)),9999))),"Sample outside guide: justify",IF(OR(Q46="",R46=""),"Tester and reviewer needed",IF(Q46=R46,"Tester and reviewer must differ",IF(AND(W46&lt;&gt;"",W46&lt;&gt;"Not started",V46&lt;&gt;"Reviewed",V46&lt;&gt;"Closed"),"Result only after review","OK")))))))))))</f>
        <v/>
      </c>
    </row>
    <row r="47" customFormat="false" ht="15" hidden="false" customHeight="false" outlineLevel="0" collapsed="false">
      <c r="A47" s="16"/>
      <c r="B47" s="16"/>
      <c r="C47" s="17" t="str">
        <f aca="false">IFERROR(INDEX(Ref_CTRL!$B$2:$B$201,MATCH(B47,Ref_CTRL!$A$2:$A$201,0)),"")</f>
        <v/>
      </c>
      <c r="D47" s="17" t="str">
        <f aca="false">IFERROR(INDEX(Ref_CTRL!$C$2:$C$201,MATCH(B47,Ref_CTRL!$A$2:$A$201,0)),"")</f>
        <v/>
      </c>
      <c r="E47" s="17" t="str">
        <f aca="false">IFERROR(INDEX(Ref_CTRL!$D$2:$D$201,MATCH(B47,Ref_CTRL!$A$2:$A$201,0)),"")</f>
        <v/>
      </c>
      <c r="F47" s="16"/>
      <c r="G47" s="16"/>
      <c r="H47" s="16"/>
      <c r="I47" s="16"/>
      <c r="J47" s="17" t="str">
        <f aca="false">IFERROR(INDEX(Ref_EV!$B$2:$B$201,MATCH(I47,Ref_EV!$A$2:$A$201,0)),"")</f>
        <v/>
      </c>
      <c r="K47" s="17" t="str">
        <f aca="false">IFERROR(INDEX(Ref_EV!$C$2:$C$201,MATCH(I47,Ref_EV!$A$2:$A$201,0)),"")</f>
        <v/>
      </c>
      <c r="L47" s="17" t="str">
        <f aca="false">IF(F47="TOD","1",IFERROR(INDEX(Sample_Guide!$C$5:$C$20,MATCH(E47,Sample_Guide!$A$5:$A$20,0))&amp;"–"&amp;INDEX(Sample_Guide!$D$5:$D$20,MATCH(E47,Sample_Guide!$A$5:$A$20,0)),""))</f>
        <v/>
      </c>
      <c r="M47" s="16"/>
      <c r="N47" s="18"/>
      <c r="O47" s="18"/>
      <c r="P47" s="17" t="str">
        <f aca="false">IF(A47="","",IF(OR(D47="ITAC",D47="IPE",D47="ITDM"),"Y","N"))</f>
        <v/>
      </c>
      <c r="Q47" s="16"/>
      <c r="R47" s="16"/>
      <c r="S47" s="18"/>
      <c r="T47" s="18"/>
      <c r="U47" s="16"/>
      <c r="V47" s="16"/>
      <c r="W47" s="16"/>
      <c r="X47" s="17" t="str">
        <f aca="false">IF(A47="","",IF(OR(B47="",F47="",G47="",H47=""),"Control, test type, attributes, procedure needed",IF(COUNTIF(Ref_CTRL!$A$2:$A$201,B47)=0,"CTRL-ID not in W05",IF(LEFT(A47,LEN(B47)+1)&lt;&gt;B47&amp;"-","TEST-ID must start with CTRL-ID-",IF(AND(F47="TOE",I47=""),"Population EV-ID needed (TOE)",IF(AND(I47&lt;&gt;"",J47&lt;&gt;"Pass"),"HOLD: population IPE not Pass",IF(AND(F47="TOE",M47=""),"Sample size needed",IF(AND(F47="TOE",OR(M47&lt;IFERROR(INDEX(Sample_Guide!$C$5:$C$20,MATCH(E47,Sample_Guide!$A$5:$A$20,0)),0),M47&gt;IFERROR(INDEX(Sample_Guide!$D$5:$D$20,MATCH(E47,Sample_Guide!$A$5:$A$20,0)),9999))),"Sample outside guide: justify",IF(OR(Q47="",R47=""),"Tester and reviewer needed",IF(Q47=R47,"Tester and reviewer must differ",IF(AND(W47&lt;&gt;"",W47&lt;&gt;"Not started",V47&lt;&gt;"Reviewed",V47&lt;&gt;"Closed"),"Result only after review","OK")))))))))))</f>
        <v/>
      </c>
    </row>
    <row r="48" customFormat="false" ht="15" hidden="false" customHeight="false" outlineLevel="0" collapsed="false">
      <c r="A48" s="16"/>
      <c r="B48" s="16"/>
      <c r="C48" s="17" t="str">
        <f aca="false">IFERROR(INDEX(Ref_CTRL!$B$2:$B$201,MATCH(B48,Ref_CTRL!$A$2:$A$201,0)),"")</f>
        <v/>
      </c>
      <c r="D48" s="17" t="str">
        <f aca="false">IFERROR(INDEX(Ref_CTRL!$C$2:$C$201,MATCH(B48,Ref_CTRL!$A$2:$A$201,0)),"")</f>
        <v/>
      </c>
      <c r="E48" s="17" t="str">
        <f aca="false">IFERROR(INDEX(Ref_CTRL!$D$2:$D$201,MATCH(B48,Ref_CTRL!$A$2:$A$201,0)),"")</f>
        <v/>
      </c>
      <c r="F48" s="16"/>
      <c r="G48" s="16"/>
      <c r="H48" s="16"/>
      <c r="I48" s="16"/>
      <c r="J48" s="17" t="str">
        <f aca="false">IFERROR(INDEX(Ref_EV!$B$2:$B$201,MATCH(I48,Ref_EV!$A$2:$A$201,0)),"")</f>
        <v/>
      </c>
      <c r="K48" s="17" t="str">
        <f aca="false">IFERROR(INDEX(Ref_EV!$C$2:$C$201,MATCH(I48,Ref_EV!$A$2:$A$201,0)),"")</f>
        <v/>
      </c>
      <c r="L48" s="17" t="str">
        <f aca="false">IF(F48="TOD","1",IFERROR(INDEX(Sample_Guide!$C$5:$C$20,MATCH(E48,Sample_Guide!$A$5:$A$20,0))&amp;"–"&amp;INDEX(Sample_Guide!$D$5:$D$20,MATCH(E48,Sample_Guide!$A$5:$A$20,0)),""))</f>
        <v/>
      </c>
      <c r="M48" s="16"/>
      <c r="N48" s="18"/>
      <c r="O48" s="18"/>
      <c r="P48" s="17" t="str">
        <f aca="false">IF(A48="","",IF(OR(D48="ITAC",D48="IPE",D48="ITDM"),"Y","N"))</f>
        <v/>
      </c>
      <c r="Q48" s="16"/>
      <c r="R48" s="16"/>
      <c r="S48" s="18"/>
      <c r="T48" s="18"/>
      <c r="U48" s="16"/>
      <c r="V48" s="16"/>
      <c r="W48" s="16"/>
      <c r="X48" s="17" t="str">
        <f aca="false">IF(A48="","",IF(OR(B48="",F48="",G48="",H48=""),"Control, test type, attributes, procedure needed",IF(COUNTIF(Ref_CTRL!$A$2:$A$201,B48)=0,"CTRL-ID not in W05",IF(LEFT(A48,LEN(B48)+1)&lt;&gt;B48&amp;"-","TEST-ID must start with CTRL-ID-",IF(AND(F48="TOE",I48=""),"Population EV-ID needed (TOE)",IF(AND(I48&lt;&gt;"",J48&lt;&gt;"Pass"),"HOLD: population IPE not Pass",IF(AND(F48="TOE",M48=""),"Sample size needed",IF(AND(F48="TOE",OR(M48&lt;IFERROR(INDEX(Sample_Guide!$C$5:$C$20,MATCH(E48,Sample_Guide!$A$5:$A$20,0)),0),M48&gt;IFERROR(INDEX(Sample_Guide!$D$5:$D$20,MATCH(E48,Sample_Guide!$A$5:$A$20,0)),9999))),"Sample outside guide: justify",IF(OR(Q48="",R48=""),"Tester and reviewer needed",IF(Q48=R48,"Tester and reviewer must differ",IF(AND(W48&lt;&gt;"",W48&lt;&gt;"Not started",V48&lt;&gt;"Reviewed",V48&lt;&gt;"Closed"),"Result only after review","OK")))))))))))</f>
        <v/>
      </c>
    </row>
    <row r="49" customFormat="false" ht="15" hidden="false" customHeight="false" outlineLevel="0" collapsed="false">
      <c r="A49" s="16"/>
      <c r="B49" s="16"/>
      <c r="C49" s="17" t="str">
        <f aca="false">IFERROR(INDEX(Ref_CTRL!$B$2:$B$201,MATCH(B49,Ref_CTRL!$A$2:$A$201,0)),"")</f>
        <v/>
      </c>
      <c r="D49" s="17" t="str">
        <f aca="false">IFERROR(INDEX(Ref_CTRL!$C$2:$C$201,MATCH(B49,Ref_CTRL!$A$2:$A$201,0)),"")</f>
        <v/>
      </c>
      <c r="E49" s="17" t="str">
        <f aca="false">IFERROR(INDEX(Ref_CTRL!$D$2:$D$201,MATCH(B49,Ref_CTRL!$A$2:$A$201,0)),"")</f>
        <v/>
      </c>
      <c r="F49" s="16"/>
      <c r="G49" s="16"/>
      <c r="H49" s="16"/>
      <c r="I49" s="16"/>
      <c r="J49" s="17" t="str">
        <f aca="false">IFERROR(INDEX(Ref_EV!$B$2:$B$201,MATCH(I49,Ref_EV!$A$2:$A$201,0)),"")</f>
        <v/>
      </c>
      <c r="K49" s="17" t="str">
        <f aca="false">IFERROR(INDEX(Ref_EV!$C$2:$C$201,MATCH(I49,Ref_EV!$A$2:$A$201,0)),"")</f>
        <v/>
      </c>
      <c r="L49" s="17" t="str">
        <f aca="false">IF(F49="TOD","1",IFERROR(INDEX(Sample_Guide!$C$5:$C$20,MATCH(E49,Sample_Guide!$A$5:$A$20,0))&amp;"–"&amp;INDEX(Sample_Guide!$D$5:$D$20,MATCH(E49,Sample_Guide!$A$5:$A$20,0)),""))</f>
        <v/>
      </c>
      <c r="M49" s="16"/>
      <c r="N49" s="18"/>
      <c r="O49" s="18"/>
      <c r="P49" s="17" t="str">
        <f aca="false">IF(A49="","",IF(OR(D49="ITAC",D49="IPE",D49="ITDM"),"Y","N"))</f>
        <v/>
      </c>
      <c r="Q49" s="16"/>
      <c r="R49" s="16"/>
      <c r="S49" s="18"/>
      <c r="T49" s="18"/>
      <c r="U49" s="16"/>
      <c r="V49" s="16"/>
      <c r="W49" s="16"/>
      <c r="X49" s="17" t="str">
        <f aca="false">IF(A49="","",IF(OR(B49="",F49="",G49="",H49=""),"Control, test type, attributes, procedure needed",IF(COUNTIF(Ref_CTRL!$A$2:$A$201,B49)=0,"CTRL-ID not in W05",IF(LEFT(A49,LEN(B49)+1)&lt;&gt;B49&amp;"-","TEST-ID must start with CTRL-ID-",IF(AND(F49="TOE",I49=""),"Population EV-ID needed (TOE)",IF(AND(I49&lt;&gt;"",J49&lt;&gt;"Pass"),"HOLD: population IPE not Pass",IF(AND(F49="TOE",M49=""),"Sample size needed",IF(AND(F49="TOE",OR(M49&lt;IFERROR(INDEX(Sample_Guide!$C$5:$C$20,MATCH(E49,Sample_Guide!$A$5:$A$20,0)),0),M49&gt;IFERROR(INDEX(Sample_Guide!$D$5:$D$20,MATCH(E49,Sample_Guide!$A$5:$A$20,0)),9999))),"Sample outside guide: justify",IF(OR(Q49="",R49=""),"Tester and reviewer needed",IF(Q49=R49,"Tester and reviewer must differ",IF(AND(W49&lt;&gt;"",W49&lt;&gt;"Not started",V49&lt;&gt;"Reviewed",V49&lt;&gt;"Closed"),"Result only after review","OK")))))))))))</f>
        <v/>
      </c>
    </row>
    <row r="50" customFormat="false" ht="15" hidden="false" customHeight="false" outlineLevel="0" collapsed="false">
      <c r="A50" s="16"/>
      <c r="B50" s="16"/>
      <c r="C50" s="17" t="str">
        <f aca="false">IFERROR(INDEX(Ref_CTRL!$B$2:$B$201,MATCH(B50,Ref_CTRL!$A$2:$A$201,0)),"")</f>
        <v/>
      </c>
      <c r="D50" s="17" t="str">
        <f aca="false">IFERROR(INDEX(Ref_CTRL!$C$2:$C$201,MATCH(B50,Ref_CTRL!$A$2:$A$201,0)),"")</f>
        <v/>
      </c>
      <c r="E50" s="17" t="str">
        <f aca="false">IFERROR(INDEX(Ref_CTRL!$D$2:$D$201,MATCH(B50,Ref_CTRL!$A$2:$A$201,0)),"")</f>
        <v/>
      </c>
      <c r="F50" s="16"/>
      <c r="G50" s="16"/>
      <c r="H50" s="16"/>
      <c r="I50" s="16"/>
      <c r="J50" s="17" t="str">
        <f aca="false">IFERROR(INDEX(Ref_EV!$B$2:$B$201,MATCH(I50,Ref_EV!$A$2:$A$201,0)),"")</f>
        <v/>
      </c>
      <c r="K50" s="17" t="str">
        <f aca="false">IFERROR(INDEX(Ref_EV!$C$2:$C$201,MATCH(I50,Ref_EV!$A$2:$A$201,0)),"")</f>
        <v/>
      </c>
      <c r="L50" s="17" t="str">
        <f aca="false">IF(F50="TOD","1",IFERROR(INDEX(Sample_Guide!$C$5:$C$20,MATCH(E50,Sample_Guide!$A$5:$A$20,0))&amp;"–"&amp;INDEX(Sample_Guide!$D$5:$D$20,MATCH(E50,Sample_Guide!$A$5:$A$20,0)),""))</f>
        <v/>
      </c>
      <c r="M50" s="16"/>
      <c r="N50" s="18"/>
      <c r="O50" s="18"/>
      <c r="P50" s="17" t="str">
        <f aca="false">IF(A50="","",IF(OR(D50="ITAC",D50="IPE",D50="ITDM"),"Y","N"))</f>
        <v/>
      </c>
      <c r="Q50" s="16"/>
      <c r="R50" s="16"/>
      <c r="S50" s="18"/>
      <c r="T50" s="18"/>
      <c r="U50" s="16"/>
      <c r="V50" s="16"/>
      <c r="W50" s="16"/>
      <c r="X50" s="17" t="str">
        <f aca="false">IF(A50="","",IF(OR(B50="",F50="",G50="",H50=""),"Control, test type, attributes, procedure needed",IF(COUNTIF(Ref_CTRL!$A$2:$A$201,B50)=0,"CTRL-ID not in W05",IF(LEFT(A50,LEN(B50)+1)&lt;&gt;B50&amp;"-","TEST-ID must start with CTRL-ID-",IF(AND(F50="TOE",I50=""),"Population EV-ID needed (TOE)",IF(AND(I50&lt;&gt;"",J50&lt;&gt;"Pass"),"HOLD: population IPE not Pass",IF(AND(F50="TOE",M50=""),"Sample size needed",IF(AND(F50="TOE",OR(M50&lt;IFERROR(INDEX(Sample_Guide!$C$5:$C$20,MATCH(E50,Sample_Guide!$A$5:$A$20,0)),0),M50&gt;IFERROR(INDEX(Sample_Guide!$D$5:$D$20,MATCH(E50,Sample_Guide!$A$5:$A$20,0)),9999))),"Sample outside guide: justify",IF(OR(Q50="",R50=""),"Tester and reviewer needed",IF(Q50=R50,"Tester and reviewer must differ",IF(AND(W50&lt;&gt;"",W50&lt;&gt;"Not started",V50&lt;&gt;"Reviewed",V50&lt;&gt;"Closed"),"Result only after review","OK")))))))))))</f>
        <v/>
      </c>
    </row>
    <row r="51" customFormat="false" ht="15" hidden="false" customHeight="false" outlineLevel="0" collapsed="false">
      <c r="A51" s="16"/>
      <c r="B51" s="16"/>
      <c r="C51" s="17" t="str">
        <f aca="false">IFERROR(INDEX(Ref_CTRL!$B$2:$B$201,MATCH(B51,Ref_CTRL!$A$2:$A$201,0)),"")</f>
        <v/>
      </c>
      <c r="D51" s="17" t="str">
        <f aca="false">IFERROR(INDEX(Ref_CTRL!$C$2:$C$201,MATCH(B51,Ref_CTRL!$A$2:$A$201,0)),"")</f>
        <v/>
      </c>
      <c r="E51" s="17" t="str">
        <f aca="false">IFERROR(INDEX(Ref_CTRL!$D$2:$D$201,MATCH(B51,Ref_CTRL!$A$2:$A$201,0)),"")</f>
        <v/>
      </c>
      <c r="F51" s="16"/>
      <c r="G51" s="16"/>
      <c r="H51" s="16"/>
      <c r="I51" s="16"/>
      <c r="J51" s="17" t="str">
        <f aca="false">IFERROR(INDEX(Ref_EV!$B$2:$B$201,MATCH(I51,Ref_EV!$A$2:$A$201,0)),"")</f>
        <v/>
      </c>
      <c r="K51" s="17" t="str">
        <f aca="false">IFERROR(INDEX(Ref_EV!$C$2:$C$201,MATCH(I51,Ref_EV!$A$2:$A$201,0)),"")</f>
        <v/>
      </c>
      <c r="L51" s="17" t="str">
        <f aca="false">IF(F51="TOD","1",IFERROR(INDEX(Sample_Guide!$C$5:$C$20,MATCH(E51,Sample_Guide!$A$5:$A$20,0))&amp;"–"&amp;INDEX(Sample_Guide!$D$5:$D$20,MATCH(E51,Sample_Guide!$A$5:$A$20,0)),""))</f>
        <v/>
      </c>
      <c r="M51" s="16"/>
      <c r="N51" s="18"/>
      <c r="O51" s="18"/>
      <c r="P51" s="17" t="str">
        <f aca="false">IF(A51="","",IF(OR(D51="ITAC",D51="IPE",D51="ITDM"),"Y","N"))</f>
        <v/>
      </c>
      <c r="Q51" s="16"/>
      <c r="R51" s="16"/>
      <c r="S51" s="18"/>
      <c r="T51" s="18"/>
      <c r="U51" s="16"/>
      <c r="V51" s="16"/>
      <c r="W51" s="16"/>
      <c r="X51" s="17" t="str">
        <f aca="false">IF(A51="","",IF(OR(B51="",F51="",G51="",H51=""),"Control, test type, attributes, procedure needed",IF(COUNTIF(Ref_CTRL!$A$2:$A$201,B51)=0,"CTRL-ID not in W05",IF(LEFT(A51,LEN(B51)+1)&lt;&gt;B51&amp;"-","TEST-ID must start with CTRL-ID-",IF(AND(F51="TOE",I51=""),"Population EV-ID needed (TOE)",IF(AND(I51&lt;&gt;"",J51&lt;&gt;"Pass"),"HOLD: population IPE not Pass",IF(AND(F51="TOE",M51=""),"Sample size needed",IF(AND(F51="TOE",OR(M51&lt;IFERROR(INDEX(Sample_Guide!$C$5:$C$20,MATCH(E51,Sample_Guide!$A$5:$A$20,0)),0),M51&gt;IFERROR(INDEX(Sample_Guide!$D$5:$D$20,MATCH(E51,Sample_Guide!$A$5:$A$20,0)),9999))),"Sample outside guide: justify",IF(OR(Q51="",R51=""),"Tester and reviewer needed",IF(Q51=R51,"Tester and reviewer must differ",IF(AND(W51&lt;&gt;"",W51&lt;&gt;"Not started",V51&lt;&gt;"Reviewed",V51&lt;&gt;"Closed"),"Result only after review","OK")))))))))))</f>
        <v/>
      </c>
    </row>
    <row r="52" customFormat="false" ht="15" hidden="false" customHeight="false" outlineLevel="0" collapsed="false">
      <c r="A52" s="16"/>
      <c r="B52" s="16"/>
      <c r="C52" s="17" t="str">
        <f aca="false">IFERROR(INDEX(Ref_CTRL!$B$2:$B$201,MATCH(B52,Ref_CTRL!$A$2:$A$201,0)),"")</f>
        <v/>
      </c>
      <c r="D52" s="17" t="str">
        <f aca="false">IFERROR(INDEX(Ref_CTRL!$C$2:$C$201,MATCH(B52,Ref_CTRL!$A$2:$A$201,0)),"")</f>
        <v/>
      </c>
      <c r="E52" s="17" t="str">
        <f aca="false">IFERROR(INDEX(Ref_CTRL!$D$2:$D$201,MATCH(B52,Ref_CTRL!$A$2:$A$201,0)),"")</f>
        <v/>
      </c>
      <c r="F52" s="16"/>
      <c r="G52" s="16"/>
      <c r="H52" s="16"/>
      <c r="I52" s="16"/>
      <c r="J52" s="17" t="str">
        <f aca="false">IFERROR(INDEX(Ref_EV!$B$2:$B$201,MATCH(I52,Ref_EV!$A$2:$A$201,0)),"")</f>
        <v/>
      </c>
      <c r="K52" s="17" t="str">
        <f aca="false">IFERROR(INDEX(Ref_EV!$C$2:$C$201,MATCH(I52,Ref_EV!$A$2:$A$201,0)),"")</f>
        <v/>
      </c>
      <c r="L52" s="17" t="str">
        <f aca="false">IF(F52="TOD","1",IFERROR(INDEX(Sample_Guide!$C$5:$C$20,MATCH(E52,Sample_Guide!$A$5:$A$20,0))&amp;"–"&amp;INDEX(Sample_Guide!$D$5:$D$20,MATCH(E52,Sample_Guide!$A$5:$A$20,0)),""))</f>
        <v/>
      </c>
      <c r="M52" s="16"/>
      <c r="N52" s="18"/>
      <c r="O52" s="18"/>
      <c r="P52" s="17" t="str">
        <f aca="false">IF(A52="","",IF(OR(D52="ITAC",D52="IPE",D52="ITDM"),"Y","N"))</f>
        <v/>
      </c>
      <c r="Q52" s="16"/>
      <c r="R52" s="16"/>
      <c r="S52" s="18"/>
      <c r="T52" s="18"/>
      <c r="U52" s="16"/>
      <c r="V52" s="16"/>
      <c r="W52" s="16"/>
      <c r="X52" s="17" t="str">
        <f aca="false">IF(A52="","",IF(OR(B52="",F52="",G52="",H52=""),"Control, test type, attributes, procedure needed",IF(COUNTIF(Ref_CTRL!$A$2:$A$201,B52)=0,"CTRL-ID not in W05",IF(LEFT(A52,LEN(B52)+1)&lt;&gt;B52&amp;"-","TEST-ID must start with CTRL-ID-",IF(AND(F52="TOE",I52=""),"Population EV-ID needed (TOE)",IF(AND(I52&lt;&gt;"",J52&lt;&gt;"Pass"),"HOLD: population IPE not Pass",IF(AND(F52="TOE",M52=""),"Sample size needed",IF(AND(F52="TOE",OR(M52&lt;IFERROR(INDEX(Sample_Guide!$C$5:$C$20,MATCH(E52,Sample_Guide!$A$5:$A$20,0)),0),M52&gt;IFERROR(INDEX(Sample_Guide!$D$5:$D$20,MATCH(E52,Sample_Guide!$A$5:$A$20,0)),9999))),"Sample outside guide: justify",IF(OR(Q52="",R52=""),"Tester and reviewer needed",IF(Q52=R52,"Tester and reviewer must differ",IF(AND(W52&lt;&gt;"",W52&lt;&gt;"Not started",V52&lt;&gt;"Reviewed",V52&lt;&gt;"Closed"),"Result only after review","OK")))))))))))</f>
        <v/>
      </c>
    </row>
    <row r="53" customFormat="false" ht="15" hidden="false" customHeight="false" outlineLevel="0" collapsed="false">
      <c r="A53" s="16"/>
      <c r="B53" s="16"/>
      <c r="C53" s="17" t="str">
        <f aca="false">IFERROR(INDEX(Ref_CTRL!$B$2:$B$201,MATCH(B53,Ref_CTRL!$A$2:$A$201,0)),"")</f>
        <v/>
      </c>
      <c r="D53" s="17" t="str">
        <f aca="false">IFERROR(INDEX(Ref_CTRL!$C$2:$C$201,MATCH(B53,Ref_CTRL!$A$2:$A$201,0)),"")</f>
        <v/>
      </c>
      <c r="E53" s="17" t="str">
        <f aca="false">IFERROR(INDEX(Ref_CTRL!$D$2:$D$201,MATCH(B53,Ref_CTRL!$A$2:$A$201,0)),"")</f>
        <v/>
      </c>
      <c r="F53" s="16"/>
      <c r="G53" s="16"/>
      <c r="H53" s="16"/>
      <c r="I53" s="16"/>
      <c r="J53" s="17" t="str">
        <f aca="false">IFERROR(INDEX(Ref_EV!$B$2:$B$201,MATCH(I53,Ref_EV!$A$2:$A$201,0)),"")</f>
        <v/>
      </c>
      <c r="K53" s="17" t="str">
        <f aca="false">IFERROR(INDEX(Ref_EV!$C$2:$C$201,MATCH(I53,Ref_EV!$A$2:$A$201,0)),"")</f>
        <v/>
      </c>
      <c r="L53" s="17" t="str">
        <f aca="false">IF(F53="TOD","1",IFERROR(INDEX(Sample_Guide!$C$5:$C$20,MATCH(E53,Sample_Guide!$A$5:$A$20,0))&amp;"–"&amp;INDEX(Sample_Guide!$D$5:$D$20,MATCH(E53,Sample_Guide!$A$5:$A$20,0)),""))</f>
        <v/>
      </c>
      <c r="M53" s="16"/>
      <c r="N53" s="18"/>
      <c r="O53" s="18"/>
      <c r="P53" s="17" t="str">
        <f aca="false">IF(A53="","",IF(OR(D53="ITAC",D53="IPE",D53="ITDM"),"Y","N"))</f>
        <v/>
      </c>
      <c r="Q53" s="16"/>
      <c r="R53" s="16"/>
      <c r="S53" s="18"/>
      <c r="T53" s="18"/>
      <c r="U53" s="16"/>
      <c r="V53" s="16"/>
      <c r="W53" s="16"/>
      <c r="X53" s="17" t="str">
        <f aca="false">IF(A53="","",IF(OR(B53="",F53="",G53="",H53=""),"Control, test type, attributes, procedure needed",IF(COUNTIF(Ref_CTRL!$A$2:$A$201,B53)=0,"CTRL-ID not in W05",IF(LEFT(A53,LEN(B53)+1)&lt;&gt;B53&amp;"-","TEST-ID must start with CTRL-ID-",IF(AND(F53="TOE",I53=""),"Population EV-ID needed (TOE)",IF(AND(I53&lt;&gt;"",J53&lt;&gt;"Pass"),"HOLD: population IPE not Pass",IF(AND(F53="TOE",M53=""),"Sample size needed",IF(AND(F53="TOE",OR(M53&lt;IFERROR(INDEX(Sample_Guide!$C$5:$C$20,MATCH(E53,Sample_Guide!$A$5:$A$20,0)),0),M53&gt;IFERROR(INDEX(Sample_Guide!$D$5:$D$20,MATCH(E53,Sample_Guide!$A$5:$A$20,0)),9999))),"Sample outside guide: justify",IF(OR(Q53="",R53=""),"Tester and reviewer needed",IF(Q53=R53,"Tester and reviewer must differ",IF(AND(W53&lt;&gt;"",W53&lt;&gt;"Not started",V53&lt;&gt;"Reviewed",V53&lt;&gt;"Closed"),"Result only after review","OK")))))))))))</f>
        <v/>
      </c>
    </row>
    <row r="54" customFormat="false" ht="15" hidden="false" customHeight="false" outlineLevel="0" collapsed="false">
      <c r="A54" s="16"/>
      <c r="B54" s="16"/>
      <c r="C54" s="17" t="str">
        <f aca="false">IFERROR(INDEX(Ref_CTRL!$B$2:$B$201,MATCH(B54,Ref_CTRL!$A$2:$A$201,0)),"")</f>
        <v/>
      </c>
      <c r="D54" s="17" t="str">
        <f aca="false">IFERROR(INDEX(Ref_CTRL!$C$2:$C$201,MATCH(B54,Ref_CTRL!$A$2:$A$201,0)),"")</f>
        <v/>
      </c>
      <c r="E54" s="17" t="str">
        <f aca="false">IFERROR(INDEX(Ref_CTRL!$D$2:$D$201,MATCH(B54,Ref_CTRL!$A$2:$A$201,0)),"")</f>
        <v/>
      </c>
      <c r="F54" s="16"/>
      <c r="G54" s="16"/>
      <c r="H54" s="16"/>
      <c r="I54" s="16"/>
      <c r="J54" s="17" t="str">
        <f aca="false">IFERROR(INDEX(Ref_EV!$B$2:$B$201,MATCH(I54,Ref_EV!$A$2:$A$201,0)),"")</f>
        <v/>
      </c>
      <c r="K54" s="17" t="str">
        <f aca="false">IFERROR(INDEX(Ref_EV!$C$2:$C$201,MATCH(I54,Ref_EV!$A$2:$A$201,0)),"")</f>
        <v/>
      </c>
      <c r="L54" s="17" t="str">
        <f aca="false">IF(F54="TOD","1",IFERROR(INDEX(Sample_Guide!$C$5:$C$20,MATCH(E54,Sample_Guide!$A$5:$A$20,0))&amp;"–"&amp;INDEX(Sample_Guide!$D$5:$D$20,MATCH(E54,Sample_Guide!$A$5:$A$20,0)),""))</f>
        <v/>
      </c>
      <c r="M54" s="16"/>
      <c r="N54" s="18"/>
      <c r="O54" s="18"/>
      <c r="P54" s="17" t="str">
        <f aca="false">IF(A54="","",IF(OR(D54="ITAC",D54="IPE",D54="ITDM"),"Y","N"))</f>
        <v/>
      </c>
      <c r="Q54" s="16"/>
      <c r="R54" s="16"/>
      <c r="S54" s="18"/>
      <c r="T54" s="18"/>
      <c r="U54" s="16"/>
      <c r="V54" s="16"/>
      <c r="W54" s="16"/>
      <c r="X54" s="17" t="str">
        <f aca="false">IF(A54="","",IF(OR(B54="",F54="",G54="",H54=""),"Control, test type, attributes, procedure needed",IF(COUNTIF(Ref_CTRL!$A$2:$A$201,B54)=0,"CTRL-ID not in W05",IF(LEFT(A54,LEN(B54)+1)&lt;&gt;B54&amp;"-","TEST-ID must start with CTRL-ID-",IF(AND(F54="TOE",I54=""),"Population EV-ID needed (TOE)",IF(AND(I54&lt;&gt;"",J54&lt;&gt;"Pass"),"HOLD: population IPE not Pass",IF(AND(F54="TOE",M54=""),"Sample size needed",IF(AND(F54="TOE",OR(M54&lt;IFERROR(INDEX(Sample_Guide!$C$5:$C$20,MATCH(E54,Sample_Guide!$A$5:$A$20,0)),0),M54&gt;IFERROR(INDEX(Sample_Guide!$D$5:$D$20,MATCH(E54,Sample_Guide!$A$5:$A$20,0)),9999))),"Sample outside guide: justify",IF(OR(Q54="",R54=""),"Tester and reviewer needed",IF(Q54=R54,"Tester and reviewer must differ",IF(AND(W54&lt;&gt;"",W54&lt;&gt;"Not started",V54&lt;&gt;"Reviewed",V54&lt;&gt;"Closed"),"Result only after review","OK")))))))))))</f>
        <v/>
      </c>
    </row>
    <row r="55" customFormat="false" ht="15" hidden="false" customHeight="false" outlineLevel="0" collapsed="false">
      <c r="A55" s="16"/>
      <c r="B55" s="16"/>
      <c r="C55" s="17" t="str">
        <f aca="false">IFERROR(INDEX(Ref_CTRL!$B$2:$B$201,MATCH(B55,Ref_CTRL!$A$2:$A$201,0)),"")</f>
        <v/>
      </c>
      <c r="D55" s="17" t="str">
        <f aca="false">IFERROR(INDEX(Ref_CTRL!$C$2:$C$201,MATCH(B55,Ref_CTRL!$A$2:$A$201,0)),"")</f>
        <v/>
      </c>
      <c r="E55" s="17" t="str">
        <f aca="false">IFERROR(INDEX(Ref_CTRL!$D$2:$D$201,MATCH(B55,Ref_CTRL!$A$2:$A$201,0)),"")</f>
        <v/>
      </c>
      <c r="F55" s="16"/>
      <c r="G55" s="16"/>
      <c r="H55" s="16"/>
      <c r="I55" s="16"/>
      <c r="J55" s="17" t="str">
        <f aca="false">IFERROR(INDEX(Ref_EV!$B$2:$B$201,MATCH(I55,Ref_EV!$A$2:$A$201,0)),"")</f>
        <v/>
      </c>
      <c r="K55" s="17" t="str">
        <f aca="false">IFERROR(INDEX(Ref_EV!$C$2:$C$201,MATCH(I55,Ref_EV!$A$2:$A$201,0)),"")</f>
        <v/>
      </c>
      <c r="L55" s="17" t="str">
        <f aca="false">IF(F55="TOD","1",IFERROR(INDEX(Sample_Guide!$C$5:$C$20,MATCH(E55,Sample_Guide!$A$5:$A$20,0))&amp;"–"&amp;INDEX(Sample_Guide!$D$5:$D$20,MATCH(E55,Sample_Guide!$A$5:$A$20,0)),""))</f>
        <v/>
      </c>
      <c r="M55" s="16"/>
      <c r="N55" s="18"/>
      <c r="O55" s="18"/>
      <c r="P55" s="17" t="str">
        <f aca="false">IF(A55="","",IF(OR(D55="ITAC",D55="IPE",D55="ITDM"),"Y","N"))</f>
        <v/>
      </c>
      <c r="Q55" s="16"/>
      <c r="R55" s="16"/>
      <c r="S55" s="18"/>
      <c r="T55" s="18"/>
      <c r="U55" s="16"/>
      <c r="V55" s="16"/>
      <c r="W55" s="16"/>
      <c r="X55" s="17" t="str">
        <f aca="false">IF(A55="","",IF(OR(B55="",F55="",G55="",H55=""),"Control, test type, attributes, procedure needed",IF(COUNTIF(Ref_CTRL!$A$2:$A$201,B55)=0,"CTRL-ID not in W05",IF(LEFT(A55,LEN(B55)+1)&lt;&gt;B55&amp;"-","TEST-ID must start with CTRL-ID-",IF(AND(F55="TOE",I55=""),"Population EV-ID needed (TOE)",IF(AND(I55&lt;&gt;"",J55&lt;&gt;"Pass"),"HOLD: population IPE not Pass",IF(AND(F55="TOE",M55=""),"Sample size needed",IF(AND(F55="TOE",OR(M55&lt;IFERROR(INDEX(Sample_Guide!$C$5:$C$20,MATCH(E55,Sample_Guide!$A$5:$A$20,0)),0),M55&gt;IFERROR(INDEX(Sample_Guide!$D$5:$D$20,MATCH(E55,Sample_Guide!$A$5:$A$20,0)),9999))),"Sample outside guide: justify",IF(OR(Q55="",R55=""),"Tester and reviewer needed",IF(Q55=R55,"Tester and reviewer must differ",IF(AND(W55&lt;&gt;"",W55&lt;&gt;"Not started",V55&lt;&gt;"Reviewed",V55&lt;&gt;"Closed"),"Result only after review","OK")))))))))))</f>
        <v/>
      </c>
    </row>
    <row r="56" customFormat="false" ht="15" hidden="false" customHeight="false" outlineLevel="0" collapsed="false">
      <c r="A56" s="16"/>
      <c r="B56" s="16"/>
      <c r="C56" s="17" t="str">
        <f aca="false">IFERROR(INDEX(Ref_CTRL!$B$2:$B$201,MATCH(B56,Ref_CTRL!$A$2:$A$201,0)),"")</f>
        <v/>
      </c>
      <c r="D56" s="17" t="str">
        <f aca="false">IFERROR(INDEX(Ref_CTRL!$C$2:$C$201,MATCH(B56,Ref_CTRL!$A$2:$A$201,0)),"")</f>
        <v/>
      </c>
      <c r="E56" s="17" t="str">
        <f aca="false">IFERROR(INDEX(Ref_CTRL!$D$2:$D$201,MATCH(B56,Ref_CTRL!$A$2:$A$201,0)),"")</f>
        <v/>
      </c>
      <c r="F56" s="16"/>
      <c r="G56" s="16"/>
      <c r="H56" s="16"/>
      <c r="I56" s="16"/>
      <c r="J56" s="17" t="str">
        <f aca="false">IFERROR(INDEX(Ref_EV!$B$2:$B$201,MATCH(I56,Ref_EV!$A$2:$A$201,0)),"")</f>
        <v/>
      </c>
      <c r="K56" s="17" t="str">
        <f aca="false">IFERROR(INDEX(Ref_EV!$C$2:$C$201,MATCH(I56,Ref_EV!$A$2:$A$201,0)),"")</f>
        <v/>
      </c>
      <c r="L56" s="17" t="str">
        <f aca="false">IF(F56="TOD","1",IFERROR(INDEX(Sample_Guide!$C$5:$C$20,MATCH(E56,Sample_Guide!$A$5:$A$20,0))&amp;"–"&amp;INDEX(Sample_Guide!$D$5:$D$20,MATCH(E56,Sample_Guide!$A$5:$A$20,0)),""))</f>
        <v/>
      </c>
      <c r="M56" s="16"/>
      <c r="N56" s="18"/>
      <c r="O56" s="18"/>
      <c r="P56" s="17" t="str">
        <f aca="false">IF(A56="","",IF(OR(D56="ITAC",D56="IPE",D56="ITDM"),"Y","N"))</f>
        <v/>
      </c>
      <c r="Q56" s="16"/>
      <c r="R56" s="16"/>
      <c r="S56" s="18"/>
      <c r="T56" s="18"/>
      <c r="U56" s="16"/>
      <c r="V56" s="16"/>
      <c r="W56" s="16"/>
      <c r="X56" s="17" t="str">
        <f aca="false">IF(A56="","",IF(OR(B56="",F56="",G56="",H56=""),"Control, test type, attributes, procedure needed",IF(COUNTIF(Ref_CTRL!$A$2:$A$201,B56)=0,"CTRL-ID not in W05",IF(LEFT(A56,LEN(B56)+1)&lt;&gt;B56&amp;"-","TEST-ID must start with CTRL-ID-",IF(AND(F56="TOE",I56=""),"Population EV-ID needed (TOE)",IF(AND(I56&lt;&gt;"",J56&lt;&gt;"Pass"),"HOLD: population IPE not Pass",IF(AND(F56="TOE",M56=""),"Sample size needed",IF(AND(F56="TOE",OR(M56&lt;IFERROR(INDEX(Sample_Guide!$C$5:$C$20,MATCH(E56,Sample_Guide!$A$5:$A$20,0)),0),M56&gt;IFERROR(INDEX(Sample_Guide!$D$5:$D$20,MATCH(E56,Sample_Guide!$A$5:$A$20,0)),9999))),"Sample outside guide: justify",IF(OR(Q56="",R56=""),"Tester and reviewer needed",IF(Q56=R56,"Tester and reviewer must differ",IF(AND(W56&lt;&gt;"",W56&lt;&gt;"Not started",V56&lt;&gt;"Reviewed",V56&lt;&gt;"Closed"),"Result only after review","OK")))))))))))</f>
        <v/>
      </c>
    </row>
    <row r="57" customFormat="false" ht="15" hidden="false" customHeight="false" outlineLevel="0" collapsed="false">
      <c r="A57" s="16"/>
      <c r="B57" s="16"/>
      <c r="C57" s="17" t="str">
        <f aca="false">IFERROR(INDEX(Ref_CTRL!$B$2:$B$201,MATCH(B57,Ref_CTRL!$A$2:$A$201,0)),"")</f>
        <v/>
      </c>
      <c r="D57" s="17" t="str">
        <f aca="false">IFERROR(INDEX(Ref_CTRL!$C$2:$C$201,MATCH(B57,Ref_CTRL!$A$2:$A$201,0)),"")</f>
        <v/>
      </c>
      <c r="E57" s="17" t="str">
        <f aca="false">IFERROR(INDEX(Ref_CTRL!$D$2:$D$201,MATCH(B57,Ref_CTRL!$A$2:$A$201,0)),"")</f>
        <v/>
      </c>
      <c r="F57" s="16"/>
      <c r="G57" s="16"/>
      <c r="H57" s="16"/>
      <c r="I57" s="16"/>
      <c r="J57" s="17" t="str">
        <f aca="false">IFERROR(INDEX(Ref_EV!$B$2:$B$201,MATCH(I57,Ref_EV!$A$2:$A$201,0)),"")</f>
        <v/>
      </c>
      <c r="K57" s="17" t="str">
        <f aca="false">IFERROR(INDEX(Ref_EV!$C$2:$C$201,MATCH(I57,Ref_EV!$A$2:$A$201,0)),"")</f>
        <v/>
      </c>
      <c r="L57" s="17" t="str">
        <f aca="false">IF(F57="TOD","1",IFERROR(INDEX(Sample_Guide!$C$5:$C$20,MATCH(E57,Sample_Guide!$A$5:$A$20,0))&amp;"–"&amp;INDEX(Sample_Guide!$D$5:$D$20,MATCH(E57,Sample_Guide!$A$5:$A$20,0)),""))</f>
        <v/>
      </c>
      <c r="M57" s="16"/>
      <c r="N57" s="18"/>
      <c r="O57" s="18"/>
      <c r="P57" s="17" t="str">
        <f aca="false">IF(A57="","",IF(OR(D57="ITAC",D57="IPE",D57="ITDM"),"Y","N"))</f>
        <v/>
      </c>
      <c r="Q57" s="16"/>
      <c r="R57" s="16"/>
      <c r="S57" s="18"/>
      <c r="T57" s="18"/>
      <c r="U57" s="16"/>
      <c r="V57" s="16"/>
      <c r="W57" s="16"/>
      <c r="X57" s="17" t="str">
        <f aca="false">IF(A57="","",IF(OR(B57="",F57="",G57="",H57=""),"Control, test type, attributes, procedure needed",IF(COUNTIF(Ref_CTRL!$A$2:$A$201,B57)=0,"CTRL-ID not in W05",IF(LEFT(A57,LEN(B57)+1)&lt;&gt;B57&amp;"-","TEST-ID must start with CTRL-ID-",IF(AND(F57="TOE",I57=""),"Population EV-ID needed (TOE)",IF(AND(I57&lt;&gt;"",J57&lt;&gt;"Pass"),"HOLD: population IPE not Pass",IF(AND(F57="TOE",M57=""),"Sample size needed",IF(AND(F57="TOE",OR(M57&lt;IFERROR(INDEX(Sample_Guide!$C$5:$C$20,MATCH(E57,Sample_Guide!$A$5:$A$20,0)),0),M57&gt;IFERROR(INDEX(Sample_Guide!$D$5:$D$20,MATCH(E57,Sample_Guide!$A$5:$A$20,0)),9999))),"Sample outside guide: justify",IF(OR(Q57="",R57=""),"Tester and reviewer needed",IF(Q57=R57,"Tester and reviewer must differ",IF(AND(W57&lt;&gt;"",W57&lt;&gt;"Not started",V57&lt;&gt;"Reviewed",V57&lt;&gt;"Closed"),"Result only after review","OK")))))))))))</f>
        <v/>
      </c>
    </row>
    <row r="58" customFormat="false" ht="15" hidden="false" customHeight="false" outlineLevel="0" collapsed="false">
      <c r="A58" s="16"/>
      <c r="B58" s="16"/>
      <c r="C58" s="17" t="str">
        <f aca="false">IFERROR(INDEX(Ref_CTRL!$B$2:$B$201,MATCH(B58,Ref_CTRL!$A$2:$A$201,0)),"")</f>
        <v/>
      </c>
      <c r="D58" s="17" t="str">
        <f aca="false">IFERROR(INDEX(Ref_CTRL!$C$2:$C$201,MATCH(B58,Ref_CTRL!$A$2:$A$201,0)),"")</f>
        <v/>
      </c>
      <c r="E58" s="17" t="str">
        <f aca="false">IFERROR(INDEX(Ref_CTRL!$D$2:$D$201,MATCH(B58,Ref_CTRL!$A$2:$A$201,0)),"")</f>
        <v/>
      </c>
      <c r="F58" s="16"/>
      <c r="G58" s="16"/>
      <c r="H58" s="16"/>
      <c r="I58" s="16"/>
      <c r="J58" s="17" t="str">
        <f aca="false">IFERROR(INDEX(Ref_EV!$B$2:$B$201,MATCH(I58,Ref_EV!$A$2:$A$201,0)),"")</f>
        <v/>
      </c>
      <c r="K58" s="17" t="str">
        <f aca="false">IFERROR(INDEX(Ref_EV!$C$2:$C$201,MATCH(I58,Ref_EV!$A$2:$A$201,0)),"")</f>
        <v/>
      </c>
      <c r="L58" s="17" t="str">
        <f aca="false">IF(F58="TOD","1",IFERROR(INDEX(Sample_Guide!$C$5:$C$20,MATCH(E58,Sample_Guide!$A$5:$A$20,0))&amp;"–"&amp;INDEX(Sample_Guide!$D$5:$D$20,MATCH(E58,Sample_Guide!$A$5:$A$20,0)),""))</f>
        <v/>
      </c>
      <c r="M58" s="16"/>
      <c r="N58" s="18"/>
      <c r="O58" s="18"/>
      <c r="P58" s="17" t="str">
        <f aca="false">IF(A58="","",IF(OR(D58="ITAC",D58="IPE",D58="ITDM"),"Y","N"))</f>
        <v/>
      </c>
      <c r="Q58" s="16"/>
      <c r="R58" s="16"/>
      <c r="S58" s="18"/>
      <c r="T58" s="18"/>
      <c r="U58" s="16"/>
      <c r="V58" s="16"/>
      <c r="W58" s="16"/>
      <c r="X58" s="17" t="str">
        <f aca="false">IF(A58="","",IF(OR(B58="",F58="",G58="",H58=""),"Control, test type, attributes, procedure needed",IF(COUNTIF(Ref_CTRL!$A$2:$A$201,B58)=0,"CTRL-ID not in W05",IF(LEFT(A58,LEN(B58)+1)&lt;&gt;B58&amp;"-","TEST-ID must start with CTRL-ID-",IF(AND(F58="TOE",I58=""),"Population EV-ID needed (TOE)",IF(AND(I58&lt;&gt;"",J58&lt;&gt;"Pass"),"HOLD: population IPE not Pass",IF(AND(F58="TOE",M58=""),"Sample size needed",IF(AND(F58="TOE",OR(M58&lt;IFERROR(INDEX(Sample_Guide!$C$5:$C$20,MATCH(E58,Sample_Guide!$A$5:$A$20,0)),0),M58&gt;IFERROR(INDEX(Sample_Guide!$D$5:$D$20,MATCH(E58,Sample_Guide!$A$5:$A$20,0)),9999))),"Sample outside guide: justify",IF(OR(Q58="",R58=""),"Tester and reviewer needed",IF(Q58=R58,"Tester and reviewer must differ",IF(AND(W58&lt;&gt;"",W58&lt;&gt;"Not started",V58&lt;&gt;"Reviewed",V58&lt;&gt;"Closed"),"Result only after review","OK")))))))))))</f>
        <v/>
      </c>
    </row>
    <row r="59" customFormat="false" ht="15" hidden="false" customHeight="false" outlineLevel="0" collapsed="false">
      <c r="A59" s="16"/>
      <c r="B59" s="16"/>
      <c r="C59" s="17" t="str">
        <f aca="false">IFERROR(INDEX(Ref_CTRL!$B$2:$B$201,MATCH(B59,Ref_CTRL!$A$2:$A$201,0)),"")</f>
        <v/>
      </c>
      <c r="D59" s="17" t="str">
        <f aca="false">IFERROR(INDEX(Ref_CTRL!$C$2:$C$201,MATCH(B59,Ref_CTRL!$A$2:$A$201,0)),"")</f>
        <v/>
      </c>
      <c r="E59" s="17" t="str">
        <f aca="false">IFERROR(INDEX(Ref_CTRL!$D$2:$D$201,MATCH(B59,Ref_CTRL!$A$2:$A$201,0)),"")</f>
        <v/>
      </c>
      <c r="F59" s="16"/>
      <c r="G59" s="16"/>
      <c r="H59" s="16"/>
      <c r="I59" s="16"/>
      <c r="J59" s="17" t="str">
        <f aca="false">IFERROR(INDEX(Ref_EV!$B$2:$B$201,MATCH(I59,Ref_EV!$A$2:$A$201,0)),"")</f>
        <v/>
      </c>
      <c r="K59" s="17" t="str">
        <f aca="false">IFERROR(INDEX(Ref_EV!$C$2:$C$201,MATCH(I59,Ref_EV!$A$2:$A$201,0)),"")</f>
        <v/>
      </c>
      <c r="L59" s="17" t="str">
        <f aca="false">IF(F59="TOD","1",IFERROR(INDEX(Sample_Guide!$C$5:$C$20,MATCH(E59,Sample_Guide!$A$5:$A$20,0))&amp;"–"&amp;INDEX(Sample_Guide!$D$5:$D$20,MATCH(E59,Sample_Guide!$A$5:$A$20,0)),""))</f>
        <v/>
      </c>
      <c r="M59" s="16"/>
      <c r="N59" s="18"/>
      <c r="O59" s="18"/>
      <c r="P59" s="17" t="str">
        <f aca="false">IF(A59="","",IF(OR(D59="ITAC",D59="IPE",D59="ITDM"),"Y","N"))</f>
        <v/>
      </c>
      <c r="Q59" s="16"/>
      <c r="R59" s="16"/>
      <c r="S59" s="18"/>
      <c r="T59" s="18"/>
      <c r="U59" s="16"/>
      <c r="V59" s="16"/>
      <c r="W59" s="16"/>
      <c r="X59" s="17" t="str">
        <f aca="false">IF(A59="","",IF(OR(B59="",F59="",G59="",H59=""),"Control, test type, attributes, procedure needed",IF(COUNTIF(Ref_CTRL!$A$2:$A$201,B59)=0,"CTRL-ID not in W05",IF(LEFT(A59,LEN(B59)+1)&lt;&gt;B59&amp;"-","TEST-ID must start with CTRL-ID-",IF(AND(F59="TOE",I59=""),"Population EV-ID needed (TOE)",IF(AND(I59&lt;&gt;"",J59&lt;&gt;"Pass"),"HOLD: population IPE not Pass",IF(AND(F59="TOE",M59=""),"Sample size needed",IF(AND(F59="TOE",OR(M59&lt;IFERROR(INDEX(Sample_Guide!$C$5:$C$20,MATCH(E59,Sample_Guide!$A$5:$A$20,0)),0),M59&gt;IFERROR(INDEX(Sample_Guide!$D$5:$D$20,MATCH(E59,Sample_Guide!$A$5:$A$20,0)),9999))),"Sample outside guide: justify",IF(OR(Q59="",R59=""),"Tester and reviewer needed",IF(Q59=R59,"Tester and reviewer must differ",IF(AND(W59&lt;&gt;"",W59&lt;&gt;"Not started",V59&lt;&gt;"Reviewed",V59&lt;&gt;"Closed"),"Result only after review","OK")))))))))))</f>
        <v/>
      </c>
    </row>
    <row r="60" customFormat="false" ht="15" hidden="false" customHeight="false" outlineLevel="0" collapsed="false">
      <c r="A60" s="16"/>
      <c r="B60" s="16"/>
      <c r="C60" s="17" t="str">
        <f aca="false">IFERROR(INDEX(Ref_CTRL!$B$2:$B$201,MATCH(B60,Ref_CTRL!$A$2:$A$201,0)),"")</f>
        <v/>
      </c>
      <c r="D60" s="17" t="str">
        <f aca="false">IFERROR(INDEX(Ref_CTRL!$C$2:$C$201,MATCH(B60,Ref_CTRL!$A$2:$A$201,0)),"")</f>
        <v/>
      </c>
      <c r="E60" s="17" t="str">
        <f aca="false">IFERROR(INDEX(Ref_CTRL!$D$2:$D$201,MATCH(B60,Ref_CTRL!$A$2:$A$201,0)),"")</f>
        <v/>
      </c>
      <c r="F60" s="16"/>
      <c r="G60" s="16"/>
      <c r="H60" s="16"/>
      <c r="I60" s="16"/>
      <c r="J60" s="17" t="str">
        <f aca="false">IFERROR(INDEX(Ref_EV!$B$2:$B$201,MATCH(I60,Ref_EV!$A$2:$A$201,0)),"")</f>
        <v/>
      </c>
      <c r="K60" s="17" t="str">
        <f aca="false">IFERROR(INDEX(Ref_EV!$C$2:$C$201,MATCH(I60,Ref_EV!$A$2:$A$201,0)),"")</f>
        <v/>
      </c>
      <c r="L60" s="17" t="str">
        <f aca="false">IF(F60="TOD","1",IFERROR(INDEX(Sample_Guide!$C$5:$C$20,MATCH(E60,Sample_Guide!$A$5:$A$20,0))&amp;"–"&amp;INDEX(Sample_Guide!$D$5:$D$20,MATCH(E60,Sample_Guide!$A$5:$A$20,0)),""))</f>
        <v/>
      </c>
      <c r="M60" s="16"/>
      <c r="N60" s="18"/>
      <c r="O60" s="18"/>
      <c r="P60" s="17" t="str">
        <f aca="false">IF(A60="","",IF(OR(D60="ITAC",D60="IPE",D60="ITDM"),"Y","N"))</f>
        <v/>
      </c>
      <c r="Q60" s="16"/>
      <c r="R60" s="16"/>
      <c r="S60" s="18"/>
      <c r="T60" s="18"/>
      <c r="U60" s="16"/>
      <c r="V60" s="16"/>
      <c r="W60" s="16"/>
      <c r="X60" s="17" t="str">
        <f aca="false">IF(A60="","",IF(OR(B60="",F60="",G60="",H60=""),"Control, test type, attributes, procedure needed",IF(COUNTIF(Ref_CTRL!$A$2:$A$201,B60)=0,"CTRL-ID not in W05",IF(LEFT(A60,LEN(B60)+1)&lt;&gt;B60&amp;"-","TEST-ID must start with CTRL-ID-",IF(AND(F60="TOE",I60=""),"Population EV-ID needed (TOE)",IF(AND(I60&lt;&gt;"",J60&lt;&gt;"Pass"),"HOLD: population IPE not Pass",IF(AND(F60="TOE",M60=""),"Sample size needed",IF(AND(F60="TOE",OR(M60&lt;IFERROR(INDEX(Sample_Guide!$C$5:$C$20,MATCH(E60,Sample_Guide!$A$5:$A$20,0)),0),M60&gt;IFERROR(INDEX(Sample_Guide!$D$5:$D$20,MATCH(E60,Sample_Guide!$A$5:$A$20,0)),9999))),"Sample outside guide: justify",IF(OR(Q60="",R60=""),"Tester and reviewer needed",IF(Q60=R60,"Tester and reviewer must differ",IF(AND(W60&lt;&gt;"",W60&lt;&gt;"Not started",V60&lt;&gt;"Reviewed",V60&lt;&gt;"Closed"),"Result only after review","OK")))))))))))</f>
        <v/>
      </c>
    </row>
    <row r="61" customFormat="false" ht="15" hidden="false" customHeight="false" outlineLevel="0" collapsed="false">
      <c r="A61" s="16"/>
      <c r="B61" s="16"/>
      <c r="C61" s="17" t="str">
        <f aca="false">IFERROR(INDEX(Ref_CTRL!$B$2:$B$201,MATCH(B61,Ref_CTRL!$A$2:$A$201,0)),"")</f>
        <v/>
      </c>
      <c r="D61" s="17" t="str">
        <f aca="false">IFERROR(INDEX(Ref_CTRL!$C$2:$C$201,MATCH(B61,Ref_CTRL!$A$2:$A$201,0)),"")</f>
        <v/>
      </c>
      <c r="E61" s="17" t="str">
        <f aca="false">IFERROR(INDEX(Ref_CTRL!$D$2:$D$201,MATCH(B61,Ref_CTRL!$A$2:$A$201,0)),"")</f>
        <v/>
      </c>
      <c r="F61" s="16"/>
      <c r="G61" s="16"/>
      <c r="H61" s="16"/>
      <c r="I61" s="16"/>
      <c r="J61" s="17" t="str">
        <f aca="false">IFERROR(INDEX(Ref_EV!$B$2:$B$201,MATCH(I61,Ref_EV!$A$2:$A$201,0)),"")</f>
        <v/>
      </c>
      <c r="K61" s="17" t="str">
        <f aca="false">IFERROR(INDEX(Ref_EV!$C$2:$C$201,MATCH(I61,Ref_EV!$A$2:$A$201,0)),"")</f>
        <v/>
      </c>
      <c r="L61" s="17" t="str">
        <f aca="false">IF(F61="TOD","1",IFERROR(INDEX(Sample_Guide!$C$5:$C$20,MATCH(E61,Sample_Guide!$A$5:$A$20,0))&amp;"–"&amp;INDEX(Sample_Guide!$D$5:$D$20,MATCH(E61,Sample_Guide!$A$5:$A$20,0)),""))</f>
        <v/>
      </c>
      <c r="M61" s="16"/>
      <c r="N61" s="18"/>
      <c r="O61" s="18"/>
      <c r="P61" s="17" t="str">
        <f aca="false">IF(A61="","",IF(OR(D61="ITAC",D61="IPE",D61="ITDM"),"Y","N"))</f>
        <v/>
      </c>
      <c r="Q61" s="16"/>
      <c r="R61" s="16"/>
      <c r="S61" s="18"/>
      <c r="T61" s="18"/>
      <c r="U61" s="16"/>
      <c r="V61" s="16"/>
      <c r="W61" s="16"/>
      <c r="X61" s="17" t="str">
        <f aca="false">IF(A61="","",IF(OR(B61="",F61="",G61="",H61=""),"Control, test type, attributes, procedure needed",IF(COUNTIF(Ref_CTRL!$A$2:$A$201,B61)=0,"CTRL-ID not in W05",IF(LEFT(A61,LEN(B61)+1)&lt;&gt;B61&amp;"-","TEST-ID must start with CTRL-ID-",IF(AND(F61="TOE",I61=""),"Population EV-ID needed (TOE)",IF(AND(I61&lt;&gt;"",J61&lt;&gt;"Pass"),"HOLD: population IPE not Pass",IF(AND(F61="TOE",M61=""),"Sample size needed",IF(AND(F61="TOE",OR(M61&lt;IFERROR(INDEX(Sample_Guide!$C$5:$C$20,MATCH(E61,Sample_Guide!$A$5:$A$20,0)),0),M61&gt;IFERROR(INDEX(Sample_Guide!$D$5:$D$20,MATCH(E61,Sample_Guide!$A$5:$A$20,0)),9999))),"Sample outside guide: justify",IF(OR(Q61="",R61=""),"Tester and reviewer needed",IF(Q61=R61,"Tester and reviewer must differ",IF(AND(W61&lt;&gt;"",W61&lt;&gt;"Not started",V61&lt;&gt;"Reviewed",V61&lt;&gt;"Closed"),"Result only after review","OK")))))))))))</f>
        <v/>
      </c>
    </row>
    <row r="62" customFormat="false" ht="15" hidden="false" customHeight="false" outlineLevel="0" collapsed="false">
      <c r="A62" s="16"/>
      <c r="B62" s="16"/>
      <c r="C62" s="17" t="str">
        <f aca="false">IFERROR(INDEX(Ref_CTRL!$B$2:$B$201,MATCH(B62,Ref_CTRL!$A$2:$A$201,0)),"")</f>
        <v/>
      </c>
      <c r="D62" s="17" t="str">
        <f aca="false">IFERROR(INDEX(Ref_CTRL!$C$2:$C$201,MATCH(B62,Ref_CTRL!$A$2:$A$201,0)),"")</f>
        <v/>
      </c>
      <c r="E62" s="17" t="str">
        <f aca="false">IFERROR(INDEX(Ref_CTRL!$D$2:$D$201,MATCH(B62,Ref_CTRL!$A$2:$A$201,0)),"")</f>
        <v/>
      </c>
      <c r="F62" s="16"/>
      <c r="G62" s="16"/>
      <c r="H62" s="16"/>
      <c r="I62" s="16"/>
      <c r="J62" s="17" t="str">
        <f aca="false">IFERROR(INDEX(Ref_EV!$B$2:$B$201,MATCH(I62,Ref_EV!$A$2:$A$201,0)),"")</f>
        <v/>
      </c>
      <c r="K62" s="17" t="str">
        <f aca="false">IFERROR(INDEX(Ref_EV!$C$2:$C$201,MATCH(I62,Ref_EV!$A$2:$A$201,0)),"")</f>
        <v/>
      </c>
      <c r="L62" s="17" t="str">
        <f aca="false">IF(F62="TOD","1",IFERROR(INDEX(Sample_Guide!$C$5:$C$20,MATCH(E62,Sample_Guide!$A$5:$A$20,0))&amp;"–"&amp;INDEX(Sample_Guide!$D$5:$D$20,MATCH(E62,Sample_Guide!$A$5:$A$20,0)),""))</f>
        <v/>
      </c>
      <c r="M62" s="16"/>
      <c r="N62" s="18"/>
      <c r="O62" s="18"/>
      <c r="P62" s="17" t="str">
        <f aca="false">IF(A62="","",IF(OR(D62="ITAC",D62="IPE",D62="ITDM"),"Y","N"))</f>
        <v/>
      </c>
      <c r="Q62" s="16"/>
      <c r="R62" s="16"/>
      <c r="S62" s="18"/>
      <c r="T62" s="18"/>
      <c r="U62" s="16"/>
      <c r="V62" s="16"/>
      <c r="W62" s="16"/>
      <c r="X62" s="17" t="str">
        <f aca="false">IF(A62="","",IF(OR(B62="",F62="",G62="",H62=""),"Control, test type, attributes, procedure needed",IF(COUNTIF(Ref_CTRL!$A$2:$A$201,B62)=0,"CTRL-ID not in W05",IF(LEFT(A62,LEN(B62)+1)&lt;&gt;B62&amp;"-","TEST-ID must start with CTRL-ID-",IF(AND(F62="TOE",I62=""),"Population EV-ID needed (TOE)",IF(AND(I62&lt;&gt;"",J62&lt;&gt;"Pass"),"HOLD: population IPE not Pass",IF(AND(F62="TOE",M62=""),"Sample size needed",IF(AND(F62="TOE",OR(M62&lt;IFERROR(INDEX(Sample_Guide!$C$5:$C$20,MATCH(E62,Sample_Guide!$A$5:$A$20,0)),0),M62&gt;IFERROR(INDEX(Sample_Guide!$D$5:$D$20,MATCH(E62,Sample_Guide!$A$5:$A$20,0)),9999))),"Sample outside guide: justify",IF(OR(Q62="",R62=""),"Tester and reviewer needed",IF(Q62=R62,"Tester and reviewer must differ",IF(AND(W62&lt;&gt;"",W62&lt;&gt;"Not started",V62&lt;&gt;"Reviewed",V62&lt;&gt;"Closed"),"Result only after review","OK")))))))))))</f>
        <v/>
      </c>
    </row>
    <row r="63" customFormat="false" ht="15" hidden="false" customHeight="false" outlineLevel="0" collapsed="false">
      <c r="A63" s="16"/>
      <c r="B63" s="16"/>
      <c r="C63" s="17" t="str">
        <f aca="false">IFERROR(INDEX(Ref_CTRL!$B$2:$B$201,MATCH(B63,Ref_CTRL!$A$2:$A$201,0)),"")</f>
        <v/>
      </c>
      <c r="D63" s="17" t="str">
        <f aca="false">IFERROR(INDEX(Ref_CTRL!$C$2:$C$201,MATCH(B63,Ref_CTRL!$A$2:$A$201,0)),"")</f>
        <v/>
      </c>
      <c r="E63" s="17" t="str">
        <f aca="false">IFERROR(INDEX(Ref_CTRL!$D$2:$D$201,MATCH(B63,Ref_CTRL!$A$2:$A$201,0)),"")</f>
        <v/>
      </c>
      <c r="F63" s="16"/>
      <c r="G63" s="16"/>
      <c r="H63" s="16"/>
      <c r="I63" s="16"/>
      <c r="J63" s="17" t="str">
        <f aca="false">IFERROR(INDEX(Ref_EV!$B$2:$B$201,MATCH(I63,Ref_EV!$A$2:$A$201,0)),"")</f>
        <v/>
      </c>
      <c r="K63" s="17" t="str">
        <f aca="false">IFERROR(INDEX(Ref_EV!$C$2:$C$201,MATCH(I63,Ref_EV!$A$2:$A$201,0)),"")</f>
        <v/>
      </c>
      <c r="L63" s="17" t="str">
        <f aca="false">IF(F63="TOD","1",IFERROR(INDEX(Sample_Guide!$C$5:$C$20,MATCH(E63,Sample_Guide!$A$5:$A$20,0))&amp;"–"&amp;INDEX(Sample_Guide!$D$5:$D$20,MATCH(E63,Sample_Guide!$A$5:$A$20,0)),""))</f>
        <v/>
      </c>
      <c r="M63" s="16"/>
      <c r="N63" s="18"/>
      <c r="O63" s="18"/>
      <c r="P63" s="17" t="str">
        <f aca="false">IF(A63="","",IF(OR(D63="ITAC",D63="IPE",D63="ITDM"),"Y","N"))</f>
        <v/>
      </c>
      <c r="Q63" s="16"/>
      <c r="R63" s="16"/>
      <c r="S63" s="18"/>
      <c r="T63" s="18"/>
      <c r="U63" s="16"/>
      <c r="V63" s="16"/>
      <c r="W63" s="16"/>
      <c r="X63" s="17" t="str">
        <f aca="false">IF(A63="","",IF(OR(B63="",F63="",G63="",H63=""),"Control, test type, attributes, procedure needed",IF(COUNTIF(Ref_CTRL!$A$2:$A$201,B63)=0,"CTRL-ID not in W05",IF(LEFT(A63,LEN(B63)+1)&lt;&gt;B63&amp;"-","TEST-ID must start with CTRL-ID-",IF(AND(F63="TOE",I63=""),"Population EV-ID needed (TOE)",IF(AND(I63&lt;&gt;"",J63&lt;&gt;"Pass"),"HOLD: population IPE not Pass",IF(AND(F63="TOE",M63=""),"Sample size needed",IF(AND(F63="TOE",OR(M63&lt;IFERROR(INDEX(Sample_Guide!$C$5:$C$20,MATCH(E63,Sample_Guide!$A$5:$A$20,0)),0),M63&gt;IFERROR(INDEX(Sample_Guide!$D$5:$D$20,MATCH(E63,Sample_Guide!$A$5:$A$20,0)),9999))),"Sample outside guide: justify",IF(OR(Q63="",R63=""),"Tester and reviewer needed",IF(Q63=R63,"Tester and reviewer must differ",IF(AND(W63&lt;&gt;"",W63&lt;&gt;"Not started",V63&lt;&gt;"Reviewed",V63&lt;&gt;"Closed"),"Result only after review","OK")))))))))))</f>
        <v/>
      </c>
    </row>
    <row r="64" customFormat="false" ht="15" hidden="false" customHeight="false" outlineLevel="0" collapsed="false">
      <c r="A64" s="16"/>
      <c r="B64" s="16"/>
      <c r="C64" s="17" t="str">
        <f aca="false">IFERROR(INDEX(Ref_CTRL!$B$2:$B$201,MATCH(B64,Ref_CTRL!$A$2:$A$201,0)),"")</f>
        <v/>
      </c>
      <c r="D64" s="17" t="str">
        <f aca="false">IFERROR(INDEX(Ref_CTRL!$C$2:$C$201,MATCH(B64,Ref_CTRL!$A$2:$A$201,0)),"")</f>
        <v/>
      </c>
      <c r="E64" s="17" t="str">
        <f aca="false">IFERROR(INDEX(Ref_CTRL!$D$2:$D$201,MATCH(B64,Ref_CTRL!$A$2:$A$201,0)),"")</f>
        <v/>
      </c>
      <c r="F64" s="16"/>
      <c r="G64" s="16"/>
      <c r="H64" s="16"/>
      <c r="I64" s="16"/>
      <c r="J64" s="17" t="str">
        <f aca="false">IFERROR(INDEX(Ref_EV!$B$2:$B$201,MATCH(I64,Ref_EV!$A$2:$A$201,0)),"")</f>
        <v/>
      </c>
      <c r="K64" s="17" t="str">
        <f aca="false">IFERROR(INDEX(Ref_EV!$C$2:$C$201,MATCH(I64,Ref_EV!$A$2:$A$201,0)),"")</f>
        <v/>
      </c>
      <c r="L64" s="17" t="str">
        <f aca="false">IF(F64="TOD","1",IFERROR(INDEX(Sample_Guide!$C$5:$C$20,MATCH(E64,Sample_Guide!$A$5:$A$20,0))&amp;"–"&amp;INDEX(Sample_Guide!$D$5:$D$20,MATCH(E64,Sample_Guide!$A$5:$A$20,0)),""))</f>
        <v/>
      </c>
      <c r="M64" s="16"/>
      <c r="N64" s="18"/>
      <c r="O64" s="18"/>
      <c r="P64" s="17" t="str">
        <f aca="false">IF(A64="","",IF(OR(D64="ITAC",D64="IPE",D64="ITDM"),"Y","N"))</f>
        <v/>
      </c>
      <c r="Q64" s="16"/>
      <c r="R64" s="16"/>
      <c r="S64" s="18"/>
      <c r="T64" s="18"/>
      <c r="U64" s="16"/>
      <c r="V64" s="16"/>
      <c r="W64" s="16"/>
      <c r="X64" s="17" t="str">
        <f aca="false">IF(A64="","",IF(OR(B64="",F64="",G64="",H64=""),"Control, test type, attributes, procedure needed",IF(COUNTIF(Ref_CTRL!$A$2:$A$201,B64)=0,"CTRL-ID not in W05",IF(LEFT(A64,LEN(B64)+1)&lt;&gt;B64&amp;"-","TEST-ID must start with CTRL-ID-",IF(AND(F64="TOE",I64=""),"Population EV-ID needed (TOE)",IF(AND(I64&lt;&gt;"",J64&lt;&gt;"Pass"),"HOLD: population IPE not Pass",IF(AND(F64="TOE",M64=""),"Sample size needed",IF(AND(F64="TOE",OR(M64&lt;IFERROR(INDEX(Sample_Guide!$C$5:$C$20,MATCH(E64,Sample_Guide!$A$5:$A$20,0)),0),M64&gt;IFERROR(INDEX(Sample_Guide!$D$5:$D$20,MATCH(E64,Sample_Guide!$A$5:$A$20,0)),9999))),"Sample outside guide: justify",IF(OR(Q64="",R64=""),"Tester and reviewer needed",IF(Q64=R64,"Tester and reviewer must differ",IF(AND(W64&lt;&gt;"",W64&lt;&gt;"Not started",V64&lt;&gt;"Reviewed",V64&lt;&gt;"Closed"),"Result only after review","OK")))))))))))</f>
        <v/>
      </c>
    </row>
    <row r="65" customFormat="false" ht="15" hidden="false" customHeight="false" outlineLevel="0" collapsed="false">
      <c r="A65" s="16"/>
      <c r="B65" s="16"/>
      <c r="C65" s="17" t="str">
        <f aca="false">IFERROR(INDEX(Ref_CTRL!$B$2:$B$201,MATCH(B65,Ref_CTRL!$A$2:$A$201,0)),"")</f>
        <v/>
      </c>
      <c r="D65" s="17" t="str">
        <f aca="false">IFERROR(INDEX(Ref_CTRL!$C$2:$C$201,MATCH(B65,Ref_CTRL!$A$2:$A$201,0)),"")</f>
        <v/>
      </c>
      <c r="E65" s="17" t="str">
        <f aca="false">IFERROR(INDEX(Ref_CTRL!$D$2:$D$201,MATCH(B65,Ref_CTRL!$A$2:$A$201,0)),"")</f>
        <v/>
      </c>
      <c r="F65" s="16"/>
      <c r="G65" s="16"/>
      <c r="H65" s="16"/>
      <c r="I65" s="16"/>
      <c r="J65" s="17" t="str">
        <f aca="false">IFERROR(INDEX(Ref_EV!$B$2:$B$201,MATCH(I65,Ref_EV!$A$2:$A$201,0)),"")</f>
        <v/>
      </c>
      <c r="K65" s="17" t="str">
        <f aca="false">IFERROR(INDEX(Ref_EV!$C$2:$C$201,MATCH(I65,Ref_EV!$A$2:$A$201,0)),"")</f>
        <v/>
      </c>
      <c r="L65" s="17" t="str">
        <f aca="false">IF(F65="TOD","1",IFERROR(INDEX(Sample_Guide!$C$5:$C$20,MATCH(E65,Sample_Guide!$A$5:$A$20,0))&amp;"–"&amp;INDEX(Sample_Guide!$D$5:$D$20,MATCH(E65,Sample_Guide!$A$5:$A$20,0)),""))</f>
        <v/>
      </c>
      <c r="M65" s="16"/>
      <c r="N65" s="18"/>
      <c r="O65" s="18"/>
      <c r="P65" s="17" t="str">
        <f aca="false">IF(A65="","",IF(OR(D65="ITAC",D65="IPE",D65="ITDM"),"Y","N"))</f>
        <v/>
      </c>
      <c r="Q65" s="16"/>
      <c r="R65" s="16"/>
      <c r="S65" s="18"/>
      <c r="T65" s="18"/>
      <c r="U65" s="16"/>
      <c r="V65" s="16"/>
      <c r="W65" s="16"/>
      <c r="X65" s="17" t="str">
        <f aca="false">IF(A65="","",IF(OR(B65="",F65="",G65="",H65=""),"Control, test type, attributes, procedure needed",IF(COUNTIF(Ref_CTRL!$A$2:$A$201,B65)=0,"CTRL-ID not in W05",IF(LEFT(A65,LEN(B65)+1)&lt;&gt;B65&amp;"-","TEST-ID must start with CTRL-ID-",IF(AND(F65="TOE",I65=""),"Population EV-ID needed (TOE)",IF(AND(I65&lt;&gt;"",J65&lt;&gt;"Pass"),"HOLD: population IPE not Pass",IF(AND(F65="TOE",M65=""),"Sample size needed",IF(AND(F65="TOE",OR(M65&lt;IFERROR(INDEX(Sample_Guide!$C$5:$C$20,MATCH(E65,Sample_Guide!$A$5:$A$20,0)),0),M65&gt;IFERROR(INDEX(Sample_Guide!$D$5:$D$20,MATCH(E65,Sample_Guide!$A$5:$A$20,0)),9999))),"Sample outside guide: justify",IF(OR(Q65="",R65=""),"Tester and reviewer needed",IF(Q65=R65,"Tester and reviewer must differ",IF(AND(W65&lt;&gt;"",W65&lt;&gt;"Not started",V65&lt;&gt;"Reviewed",V65&lt;&gt;"Closed"),"Result only after review","OK")))))))))))</f>
        <v/>
      </c>
    </row>
    <row r="66" customFormat="false" ht="15" hidden="false" customHeight="false" outlineLevel="0" collapsed="false">
      <c r="A66" s="16"/>
      <c r="B66" s="16"/>
      <c r="C66" s="17" t="str">
        <f aca="false">IFERROR(INDEX(Ref_CTRL!$B$2:$B$201,MATCH(B66,Ref_CTRL!$A$2:$A$201,0)),"")</f>
        <v/>
      </c>
      <c r="D66" s="17" t="str">
        <f aca="false">IFERROR(INDEX(Ref_CTRL!$C$2:$C$201,MATCH(B66,Ref_CTRL!$A$2:$A$201,0)),"")</f>
        <v/>
      </c>
      <c r="E66" s="17" t="str">
        <f aca="false">IFERROR(INDEX(Ref_CTRL!$D$2:$D$201,MATCH(B66,Ref_CTRL!$A$2:$A$201,0)),"")</f>
        <v/>
      </c>
      <c r="F66" s="16"/>
      <c r="G66" s="16"/>
      <c r="H66" s="16"/>
      <c r="I66" s="16"/>
      <c r="J66" s="17" t="str">
        <f aca="false">IFERROR(INDEX(Ref_EV!$B$2:$B$201,MATCH(I66,Ref_EV!$A$2:$A$201,0)),"")</f>
        <v/>
      </c>
      <c r="K66" s="17" t="str">
        <f aca="false">IFERROR(INDEX(Ref_EV!$C$2:$C$201,MATCH(I66,Ref_EV!$A$2:$A$201,0)),"")</f>
        <v/>
      </c>
      <c r="L66" s="17" t="str">
        <f aca="false">IF(F66="TOD","1",IFERROR(INDEX(Sample_Guide!$C$5:$C$20,MATCH(E66,Sample_Guide!$A$5:$A$20,0))&amp;"–"&amp;INDEX(Sample_Guide!$D$5:$D$20,MATCH(E66,Sample_Guide!$A$5:$A$20,0)),""))</f>
        <v/>
      </c>
      <c r="M66" s="16"/>
      <c r="N66" s="18"/>
      <c r="O66" s="18"/>
      <c r="P66" s="17" t="str">
        <f aca="false">IF(A66="","",IF(OR(D66="ITAC",D66="IPE",D66="ITDM"),"Y","N"))</f>
        <v/>
      </c>
      <c r="Q66" s="16"/>
      <c r="R66" s="16"/>
      <c r="S66" s="18"/>
      <c r="T66" s="18"/>
      <c r="U66" s="16"/>
      <c r="V66" s="16"/>
      <c r="W66" s="16"/>
      <c r="X66" s="17" t="str">
        <f aca="false">IF(A66="","",IF(OR(B66="",F66="",G66="",H66=""),"Control, test type, attributes, procedure needed",IF(COUNTIF(Ref_CTRL!$A$2:$A$201,B66)=0,"CTRL-ID not in W05",IF(LEFT(A66,LEN(B66)+1)&lt;&gt;B66&amp;"-","TEST-ID must start with CTRL-ID-",IF(AND(F66="TOE",I66=""),"Population EV-ID needed (TOE)",IF(AND(I66&lt;&gt;"",J66&lt;&gt;"Pass"),"HOLD: population IPE not Pass",IF(AND(F66="TOE",M66=""),"Sample size needed",IF(AND(F66="TOE",OR(M66&lt;IFERROR(INDEX(Sample_Guide!$C$5:$C$20,MATCH(E66,Sample_Guide!$A$5:$A$20,0)),0),M66&gt;IFERROR(INDEX(Sample_Guide!$D$5:$D$20,MATCH(E66,Sample_Guide!$A$5:$A$20,0)),9999))),"Sample outside guide: justify",IF(OR(Q66="",R66=""),"Tester and reviewer needed",IF(Q66=R66,"Tester and reviewer must differ",IF(AND(W66&lt;&gt;"",W66&lt;&gt;"Not started",V66&lt;&gt;"Reviewed",V66&lt;&gt;"Closed"),"Result only after review","OK")))))))))))</f>
        <v/>
      </c>
    </row>
    <row r="67" customFormat="false" ht="15" hidden="false" customHeight="false" outlineLevel="0" collapsed="false">
      <c r="A67" s="16"/>
      <c r="B67" s="16"/>
      <c r="C67" s="17" t="str">
        <f aca="false">IFERROR(INDEX(Ref_CTRL!$B$2:$B$201,MATCH(B67,Ref_CTRL!$A$2:$A$201,0)),"")</f>
        <v/>
      </c>
      <c r="D67" s="17" t="str">
        <f aca="false">IFERROR(INDEX(Ref_CTRL!$C$2:$C$201,MATCH(B67,Ref_CTRL!$A$2:$A$201,0)),"")</f>
        <v/>
      </c>
      <c r="E67" s="17" t="str">
        <f aca="false">IFERROR(INDEX(Ref_CTRL!$D$2:$D$201,MATCH(B67,Ref_CTRL!$A$2:$A$201,0)),"")</f>
        <v/>
      </c>
      <c r="F67" s="16"/>
      <c r="G67" s="16"/>
      <c r="H67" s="16"/>
      <c r="I67" s="16"/>
      <c r="J67" s="17" t="str">
        <f aca="false">IFERROR(INDEX(Ref_EV!$B$2:$B$201,MATCH(I67,Ref_EV!$A$2:$A$201,0)),"")</f>
        <v/>
      </c>
      <c r="K67" s="17" t="str">
        <f aca="false">IFERROR(INDEX(Ref_EV!$C$2:$C$201,MATCH(I67,Ref_EV!$A$2:$A$201,0)),"")</f>
        <v/>
      </c>
      <c r="L67" s="17" t="str">
        <f aca="false">IF(F67="TOD","1",IFERROR(INDEX(Sample_Guide!$C$5:$C$20,MATCH(E67,Sample_Guide!$A$5:$A$20,0))&amp;"–"&amp;INDEX(Sample_Guide!$D$5:$D$20,MATCH(E67,Sample_Guide!$A$5:$A$20,0)),""))</f>
        <v/>
      </c>
      <c r="M67" s="16"/>
      <c r="N67" s="18"/>
      <c r="O67" s="18"/>
      <c r="P67" s="17" t="str">
        <f aca="false">IF(A67="","",IF(OR(D67="ITAC",D67="IPE",D67="ITDM"),"Y","N"))</f>
        <v/>
      </c>
      <c r="Q67" s="16"/>
      <c r="R67" s="16"/>
      <c r="S67" s="18"/>
      <c r="T67" s="18"/>
      <c r="U67" s="16"/>
      <c r="V67" s="16"/>
      <c r="W67" s="16"/>
      <c r="X67" s="17" t="str">
        <f aca="false">IF(A67="","",IF(OR(B67="",F67="",G67="",H67=""),"Control, test type, attributes, procedure needed",IF(COUNTIF(Ref_CTRL!$A$2:$A$201,B67)=0,"CTRL-ID not in W05",IF(LEFT(A67,LEN(B67)+1)&lt;&gt;B67&amp;"-","TEST-ID must start with CTRL-ID-",IF(AND(F67="TOE",I67=""),"Population EV-ID needed (TOE)",IF(AND(I67&lt;&gt;"",J67&lt;&gt;"Pass"),"HOLD: population IPE not Pass",IF(AND(F67="TOE",M67=""),"Sample size needed",IF(AND(F67="TOE",OR(M67&lt;IFERROR(INDEX(Sample_Guide!$C$5:$C$20,MATCH(E67,Sample_Guide!$A$5:$A$20,0)),0),M67&gt;IFERROR(INDEX(Sample_Guide!$D$5:$D$20,MATCH(E67,Sample_Guide!$A$5:$A$20,0)),9999))),"Sample outside guide: justify",IF(OR(Q67="",R67=""),"Tester and reviewer needed",IF(Q67=R67,"Tester and reviewer must differ",IF(AND(W67&lt;&gt;"",W67&lt;&gt;"Not started",V67&lt;&gt;"Reviewed",V67&lt;&gt;"Closed"),"Result only after review","OK")))))))))))</f>
        <v/>
      </c>
    </row>
    <row r="68" customFormat="false" ht="15" hidden="false" customHeight="false" outlineLevel="0" collapsed="false">
      <c r="A68" s="16"/>
      <c r="B68" s="16"/>
      <c r="C68" s="17" t="str">
        <f aca="false">IFERROR(INDEX(Ref_CTRL!$B$2:$B$201,MATCH(B68,Ref_CTRL!$A$2:$A$201,0)),"")</f>
        <v/>
      </c>
      <c r="D68" s="17" t="str">
        <f aca="false">IFERROR(INDEX(Ref_CTRL!$C$2:$C$201,MATCH(B68,Ref_CTRL!$A$2:$A$201,0)),"")</f>
        <v/>
      </c>
      <c r="E68" s="17" t="str">
        <f aca="false">IFERROR(INDEX(Ref_CTRL!$D$2:$D$201,MATCH(B68,Ref_CTRL!$A$2:$A$201,0)),"")</f>
        <v/>
      </c>
      <c r="F68" s="16"/>
      <c r="G68" s="16"/>
      <c r="H68" s="16"/>
      <c r="I68" s="16"/>
      <c r="J68" s="17" t="str">
        <f aca="false">IFERROR(INDEX(Ref_EV!$B$2:$B$201,MATCH(I68,Ref_EV!$A$2:$A$201,0)),"")</f>
        <v/>
      </c>
      <c r="K68" s="17" t="str">
        <f aca="false">IFERROR(INDEX(Ref_EV!$C$2:$C$201,MATCH(I68,Ref_EV!$A$2:$A$201,0)),"")</f>
        <v/>
      </c>
      <c r="L68" s="17" t="str">
        <f aca="false">IF(F68="TOD","1",IFERROR(INDEX(Sample_Guide!$C$5:$C$20,MATCH(E68,Sample_Guide!$A$5:$A$20,0))&amp;"–"&amp;INDEX(Sample_Guide!$D$5:$D$20,MATCH(E68,Sample_Guide!$A$5:$A$20,0)),""))</f>
        <v/>
      </c>
      <c r="M68" s="16"/>
      <c r="N68" s="18"/>
      <c r="O68" s="18"/>
      <c r="P68" s="17" t="str">
        <f aca="false">IF(A68="","",IF(OR(D68="ITAC",D68="IPE",D68="ITDM"),"Y","N"))</f>
        <v/>
      </c>
      <c r="Q68" s="16"/>
      <c r="R68" s="16"/>
      <c r="S68" s="18"/>
      <c r="T68" s="18"/>
      <c r="U68" s="16"/>
      <c r="V68" s="16"/>
      <c r="W68" s="16"/>
      <c r="X68" s="17" t="str">
        <f aca="false">IF(A68="","",IF(OR(B68="",F68="",G68="",H68=""),"Control, test type, attributes, procedure needed",IF(COUNTIF(Ref_CTRL!$A$2:$A$201,B68)=0,"CTRL-ID not in W05",IF(LEFT(A68,LEN(B68)+1)&lt;&gt;B68&amp;"-","TEST-ID must start with CTRL-ID-",IF(AND(F68="TOE",I68=""),"Population EV-ID needed (TOE)",IF(AND(I68&lt;&gt;"",J68&lt;&gt;"Pass"),"HOLD: population IPE not Pass",IF(AND(F68="TOE",M68=""),"Sample size needed",IF(AND(F68="TOE",OR(M68&lt;IFERROR(INDEX(Sample_Guide!$C$5:$C$20,MATCH(E68,Sample_Guide!$A$5:$A$20,0)),0),M68&gt;IFERROR(INDEX(Sample_Guide!$D$5:$D$20,MATCH(E68,Sample_Guide!$A$5:$A$20,0)),9999))),"Sample outside guide: justify",IF(OR(Q68="",R68=""),"Tester and reviewer needed",IF(Q68=R68,"Tester and reviewer must differ",IF(AND(W68&lt;&gt;"",W68&lt;&gt;"Not started",V68&lt;&gt;"Reviewed",V68&lt;&gt;"Closed"),"Result only after review","OK")))))))))))</f>
        <v/>
      </c>
    </row>
    <row r="69" customFormat="false" ht="15" hidden="false" customHeight="false" outlineLevel="0" collapsed="false">
      <c r="A69" s="16"/>
      <c r="B69" s="16"/>
      <c r="C69" s="17" t="str">
        <f aca="false">IFERROR(INDEX(Ref_CTRL!$B$2:$B$201,MATCH(B69,Ref_CTRL!$A$2:$A$201,0)),"")</f>
        <v/>
      </c>
      <c r="D69" s="17" t="str">
        <f aca="false">IFERROR(INDEX(Ref_CTRL!$C$2:$C$201,MATCH(B69,Ref_CTRL!$A$2:$A$201,0)),"")</f>
        <v/>
      </c>
      <c r="E69" s="17" t="str">
        <f aca="false">IFERROR(INDEX(Ref_CTRL!$D$2:$D$201,MATCH(B69,Ref_CTRL!$A$2:$A$201,0)),"")</f>
        <v/>
      </c>
      <c r="F69" s="16"/>
      <c r="G69" s="16"/>
      <c r="H69" s="16"/>
      <c r="I69" s="16"/>
      <c r="J69" s="17" t="str">
        <f aca="false">IFERROR(INDEX(Ref_EV!$B$2:$B$201,MATCH(I69,Ref_EV!$A$2:$A$201,0)),"")</f>
        <v/>
      </c>
      <c r="K69" s="17" t="str">
        <f aca="false">IFERROR(INDEX(Ref_EV!$C$2:$C$201,MATCH(I69,Ref_EV!$A$2:$A$201,0)),"")</f>
        <v/>
      </c>
      <c r="L69" s="17" t="str">
        <f aca="false">IF(F69="TOD","1",IFERROR(INDEX(Sample_Guide!$C$5:$C$20,MATCH(E69,Sample_Guide!$A$5:$A$20,0))&amp;"–"&amp;INDEX(Sample_Guide!$D$5:$D$20,MATCH(E69,Sample_Guide!$A$5:$A$20,0)),""))</f>
        <v/>
      </c>
      <c r="M69" s="16"/>
      <c r="N69" s="18"/>
      <c r="O69" s="18"/>
      <c r="P69" s="17" t="str">
        <f aca="false">IF(A69="","",IF(OR(D69="ITAC",D69="IPE",D69="ITDM"),"Y","N"))</f>
        <v/>
      </c>
      <c r="Q69" s="16"/>
      <c r="R69" s="16"/>
      <c r="S69" s="18"/>
      <c r="T69" s="18"/>
      <c r="U69" s="16"/>
      <c r="V69" s="16"/>
      <c r="W69" s="16"/>
      <c r="X69" s="17" t="str">
        <f aca="false">IF(A69="","",IF(OR(B69="",F69="",G69="",H69=""),"Control, test type, attributes, procedure needed",IF(COUNTIF(Ref_CTRL!$A$2:$A$201,B69)=0,"CTRL-ID not in W05",IF(LEFT(A69,LEN(B69)+1)&lt;&gt;B69&amp;"-","TEST-ID must start with CTRL-ID-",IF(AND(F69="TOE",I69=""),"Population EV-ID needed (TOE)",IF(AND(I69&lt;&gt;"",J69&lt;&gt;"Pass"),"HOLD: population IPE not Pass",IF(AND(F69="TOE",M69=""),"Sample size needed",IF(AND(F69="TOE",OR(M69&lt;IFERROR(INDEX(Sample_Guide!$C$5:$C$20,MATCH(E69,Sample_Guide!$A$5:$A$20,0)),0),M69&gt;IFERROR(INDEX(Sample_Guide!$D$5:$D$20,MATCH(E69,Sample_Guide!$A$5:$A$20,0)),9999))),"Sample outside guide: justify",IF(OR(Q69="",R69=""),"Tester and reviewer needed",IF(Q69=R69,"Tester and reviewer must differ",IF(AND(W69&lt;&gt;"",W69&lt;&gt;"Not started",V69&lt;&gt;"Reviewed",V69&lt;&gt;"Closed"),"Result only after review","OK")))))))))))</f>
        <v/>
      </c>
    </row>
    <row r="70" customFormat="false" ht="15" hidden="false" customHeight="false" outlineLevel="0" collapsed="false">
      <c r="A70" s="16"/>
      <c r="B70" s="16"/>
      <c r="C70" s="17" t="str">
        <f aca="false">IFERROR(INDEX(Ref_CTRL!$B$2:$B$201,MATCH(B70,Ref_CTRL!$A$2:$A$201,0)),"")</f>
        <v/>
      </c>
      <c r="D70" s="17" t="str">
        <f aca="false">IFERROR(INDEX(Ref_CTRL!$C$2:$C$201,MATCH(B70,Ref_CTRL!$A$2:$A$201,0)),"")</f>
        <v/>
      </c>
      <c r="E70" s="17" t="str">
        <f aca="false">IFERROR(INDEX(Ref_CTRL!$D$2:$D$201,MATCH(B70,Ref_CTRL!$A$2:$A$201,0)),"")</f>
        <v/>
      </c>
      <c r="F70" s="16"/>
      <c r="G70" s="16"/>
      <c r="H70" s="16"/>
      <c r="I70" s="16"/>
      <c r="J70" s="17" t="str">
        <f aca="false">IFERROR(INDEX(Ref_EV!$B$2:$B$201,MATCH(I70,Ref_EV!$A$2:$A$201,0)),"")</f>
        <v/>
      </c>
      <c r="K70" s="17" t="str">
        <f aca="false">IFERROR(INDEX(Ref_EV!$C$2:$C$201,MATCH(I70,Ref_EV!$A$2:$A$201,0)),"")</f>
        <v/>
      </c>
      <c r="L70" s="17" t="str">
        <f aca="false">IF(F70="TOD","1",IFERROR(INDEX(Sample_Guide!$C$5:$C$20,MATCH(E70,Sample_Guide!$A$5:$A$20,0))&amp;"–"&amp;INDEX(Sample_Guide!$D$5:$D$20,MATCH(E70,Sample_Guide!$A$5:$A$20,0)),""))</f>
        <v/>
      </c>
      <c r="M70" s="16"/>
      <c r="N70" s="18"/>
      <c r="O70" s="18"/>
      <c r="P70" s="17" t="str">
        <f aca="false">IF(A70="","",IF(OR(D70="ITAC",D70="IPE",D70="ITDM"),"Y","N"))</f>
        <v/>
      </c>
      <c r="Q70" s="16"/>
      <c r="R70" s="16"/>
      <c r="S70" s="18"/>
      <c r="T70" s="18"/>
      <c r="U70" s="16"/>
      <c r="V70" s="16"/>
      <c r="W70" s="16"/>
      <c r="X70" s="17" t="str">
        <f aca="false">IF(A70="","",IF(OR(B70="",F70="",G70="",H70=""),"Control, test type, attributes, procedure needed",IF(COUNTIF(Ref_CTRL!$A$2:$A$201,B70)=0,"CTRL-ID not in W05",IF(LEFT(A70,LEN(B70)+1)&lt;&gt;B70&amp;"-","TEST-ID must start with CTRL-ID-",IF(AND(F70="TOE",I70=""),"Population EV-ID needed (TOE)",IF(AND(I70&lt;&gt;"",J70&lt;&gt;"Pass"),"HOLD: population IPE not Pass",IF(AND(F70="TOE",M70=""),"Sample size needed",IF(AND(F70="TOE",OR(M70&lt;IFERROR(INDEX(Sample_Guide!$C$5:$C$20,MATCH(E70,Sample_Guide!$A$5:$A$20,0)),0),M70&gt;IFERROR(INDEX(Sample_Guide!$D$5:$D$20,MATCH(E70,Sample_Guide!$A$5:$A$20,0)),9999))),"Sample outside guide: justify",IF(OR(Q70="",R70=""),"Tester and reviewer needed",IF(Q70=R70,"Tester and reviewer must differ",IF(AND(W70&lt;&gt;"",W70&lt;&gt;"Not started",V70&lt;&gt;"Reviewed",V70&lt;&gt;"Closed"),"Result only after review","OK")))))))))))</f>
        <v/>
      </c>
    </row>
    <row r="71" customFormat="false" ht="15" hidden="false" customHeight="false" outlineLevel="0" collapsed="false">
      <c r="A71" s="16"/>
      <c r="B71" s="16"/>
      <c r="C71" s="17" t="str">
        <f aca="false">IFERROR(INDEX(Ref_CTRL!$B$2:$B$201,MATCH(B71,Ref_CTRL!$A$2:$A$201,0)),"")</f>
        <v/>
      </c>
      <c r="D71" s="17" t="str">
        <f aca="false">IFERROR(INDEX(Ref_CTRL!$C$2:$C$201,MATCH(B71,Ref_CTRL!$A$2:$A$201,0)),"")</f>
        <v/>
      </c>
      <c r="E71" s="17" t="str">
        <f aca="false">IFERROR(INDEX(Ref_CTRL!$D$2:$D$201,MATCH(B71,Ref_CTRL!$A$2:$A$201,0)),"")</f>
        <v/>
      </c>
      <c r="F71" s="16"/>
      <c r="G71" s="16"/>
      <c r="H71" s="16"/>
      <c r="I71" s="16"/>
      <c r="J71" s="17" t="str">
        <f aca="false">IFERROR(INDEX(Ref_EV!$B$2:$B$201,MATCH(I71,Ref_EV!$A$2:$A$201,0)),"")</f>
        <v/>
      </c>
      <c r="K71" s="17" t="str">
        <f aca="false">IFERROR(INDEX(Ref_EV!$C$2:$C$201,MATCH(I71,Ref_EV!$A$2:$A$201,0)),"")</f>
        <v/>
      </c>
      <c r="L71" s="17" t="str">
        <f aca="false">IF(F71="TOD","1",IFERROR(INDEX(Sample_Guide!$C$5:$C$20,MATCH(E71,Sample_Guide!$A$5:$A$20,0))&amp;"–"&amp;INDEX(Sample_Guide!$D$5:$D$20,MATCH(E71,Sample_Guide!$A$5:$A$20,0)),""))</f>
        <v/>
      </c>
      <c r="M71" s="16"/>
      <c r="N71" s="18"/>
      <c r="O71" s="18"/>
      <c r="P71" s="17" t="str">
        <f aca="false">IF(A71="","",IF(OR(D71="ITAC",D71="IPE",D71="ITDM"),"Y","N"))</f>
        <v/>
      </c>
      <c r="Q71" s="16"/>
      <c r="R71" s="16"/>
      <c r="S71" s="18"/>
      <c r="T71" s="18"/>
      <c r="U71" s="16"/>
      <c r="V71" s="16"/>
      <c r="W71" s="16"/>
      <c r="X71" s="17" t="str">
        <f aca="false">IF(A71="","",IF(OR(B71="",F71="",G71="",H71=""),"Control, test type, attributes, procedure needed",IF(COUNTIF(Ref_CTRL!$A$2:$A$201,B71)=0,"CTRL-ID not in W05",IF(LEFT(A71,LEN(B71)+1)&lt;&gt;B71&amp;"-","TEST-ID must start with CTRL-ID-",IF(AND(F71="TOE",I71=""),"Population EV-ID needed (TOE)",IF(AND(I71&lt;&gt;"",J71&lt;&gt;"Pass"),"HOLD: population IPE not Pass",IF(AND(F71="TOE",M71=""),"Sample size needed",IF(AND(F71="TOE",OR(M71&lt;IFERROR(INDEX(Sample_Guide!$C$5:$C$20,MATCH(E71,Sample_Guide!$A$5:$A$20,0)),0),M71&gt;IFERROR(INDEX(Sample_Guide!$D$5:$D$20,MATCH(E71,Sample_Guide!$A$5:$A$20,0)),9999))),"Sample outside guide: justify",IF(OR(Q71="",R71=""),"Tester and reviewer needed",IF(Q71=R71,"Tester and reviewer must differ",IF(AND(W71&lt;&gt;"",W71&lt;&gt;"Not started",V71&lt;&gt;"Reviewed",V71&lt;&gt;"Closed"),"Result only after review","OK")))))))))))</f>
        <v/>
      </c>
    </row>
    <row r="72" customFormat="false" ht="15" hidden="false" customHeight="false" outlineLevel="0" collapsed="false">
      <c r="A72" s="16"/>
      <c r="B72" s="16"/>
      <c r="C72" s="17" t="str">
        <f aca="false">IFERROR(INDEX(Ref_CTRL!$B$2:$B$201,MATCH(B72,Ref_CTRL!$A$2:$A$201,0)),"")</f>
        <v/>
      </c>
      <c r="D72" s="17" t="str">
        <f aca="false">IFERROR(INDEX(Ref_CTRL!$C$2:$C$201,MATCH(B72,Ref_CTRL!$A$2:$A$201,0)),"")</f>
        <v/>
      </c>
      <c r="E72" s="17" t="str">
        <f aca="false">IFERROR(INDEX(Ref_CTRL!$D$2:$D$201,MATCH(B72,Ref_CTRL!$A$2:$A$201,0)),"")</f>
        <v/>
      </c>
      <c r="F72" s="16"/>
      <c r="G72" s="16"/>
      <c r="H72" s="16"/>
      <c r="I72" s="16"/>
      <c r="J72" s="17" t="str">
        <f aca="false">IFERROR(INDEX(Ref_EV!$B$2:$B$201,MATCH(I72,Ref_EV!$A$2:$A$201,0)),"")</f>
        <v/>
      </c>
      <c r="K72" s="17" t="str">
        <f aca="false">IFERROR(INDEX(Ref_EV!$C$2:$C$201,MATCH(I72,Ref_EV!$A$2:$A$201,0)),"")</f>
        <v/>
      </c>
      <c r="L72" s="17" t="str">
        <f aca="false">IF(F72="TOD","1",IFERROR(INDEX(Sample_Guide!$C$5:$C$20,MATCH(E72,Sample_Guide!$A$5:$A$20,0))&amp;"–"&amp;INDEX(Sample_Guide!$D$5:$D$20,MATCH(E72,Sample_Guide!$A$5:$A$20,0)),""))</f>
        <v/>
      </c>
      <c r="M72" s="16"/>
      <c r="N72" s="18"/>
      <c r="O72" s="18"/>
      <c r="P72" s="17" t="str">
        <f aca="false">IF(A72="","",IF(OR(D72="ITAC",D72="IPE",D72="ITDM"),"Y","N"))</f>
        <v/>
      </c>
      <c r="Q72" s="16"/>
      <c r="R72" s="16"/>
      <c r="S72" s="18"/>
      <c r="T72" s="18"/>
      <c r="U72" s="16"/>
      <c r="V72" s="16"/>
      <c r="W72" s="16"/>
      <c r="X72" s="17" t="str">
        <f aca="false">IF(A72="","",IF(OR(B72="",F72="",G72="",H72=""),"Control, test type, attributes, procedure needed",IF(COUNTIF(Ref_CTRL!$A$2:$A$201,B72)=0,"CTRL-ID not in W05",IF(LEFT(A72,LEN(B72)+1)&lt;&gt;B72&amp;"-","TEST-ID must start with CTRL-ID-",IF(AND(F72="TOE",I72=""),"Population EV-ID needed (TOE)",IF(AND(I72&lt;&gt;"",J72&lt;&gt;"Pass"),"HOLD: population IPE not Pass",IF(AND(F72="TOE",M72=""),"Sample size needed",IF(AND(F72="TOE",OR(M72&lt;IFERROR(INDEX(Sample_Guide!$C$5:$C$20,MATCH(E72,Sample_Guide!$A$5:$A$20,0)),0),M72&gt;IFERROR(INDEX(Sample_Guide!$D$5:$D$20,MATCH(E72,Sample_Guide!$A$5:$A$20,0)),9999))),"Sample outside guide: justify",IF(OR(Q72="",R72=""),"Tester and reviewer needed",IF(Q72=R72,"Tester and reviewer must differ",IF(AND(W72&lt;&gt;"",W72&lt;&gt;"Not started",V72&lt;&gt;"Reviewed",V72&lt;&gt;"Closed"),"Result only after review","OK")))))))))))</f>
        <v/>
      </c>
    </row>
    <row r="73" customFormat="false" ht="15" hidden="false" customHeight="false" outlineLevel="0" collapsed="false">
      <c r="A73" s="16"/>
      <c r="B73" s="16"/>
      <c r="C73" s="17" t="str">
        <f aca="false">IFERROR(INDEX(Ref_CTRL!$B$2:$B$201,MATCH(B73,Ref_CTRL!$A$2:$A$201,0)),"")</f>
        <v/>
      </c>
      <c r="D73" s="17" t="str">
        <f aca="false">IFERROR(INDEX(Ref_CTRL!$C$2:$C$201,MATCH(B73,Ref_CTRL!$A$2:$A$201,0)),"")</f>
        <v/>
      </c>
      <c r="E73" s="17" t="str">
        <f aca="false">IFERROR(INDEX(Ref_CTRL!$D$2:$D$201,MATCH(B73,Ref_CTRL!$A$2:$A$201,0)),"")</f>
        <v/>
      </c>
      <c r="F73" s="16"/>
      <c r="G73" s="16"/>
      <c r="H73" s="16"/>
      <c r="I73" s="16"/>
      <c r="J73" s="17" t="str">
        <f aca="false">IFERROR(INDEX(Ref_EV!$B$2:$B$201,MATCH(I73,Ref_EV!$A$2:$A$201,0)),"")</f>
        <v/>
      </c>
      <c r="K73" s="17" t="str">
        <f aca="false">IFERROR(INDEX(Ref_EV!$C$2:$C$201,MATCH(I73,Ref_EV!$A$2:$A$201,0)),"")</f>
        <v/>
      </c>
      <c r="L73" s="17" t="str">
        <f aca="false">IF(F73="TOD","1",IFERROR(INDEX(Sample_Guide!$C$5:$C$20,MATCH(E73,Sample_Guide!$A$5:$A$20,0))&amp;"–"&amp;INDEX(Sample_Guide!$D$5:$D$20,MATCH(E73,Sample_Guide!$A$5:$A$20,0)),""))</f>
        <v/>
      </c>
      <c r="M73" s="16"/>
      <c r="N73" s="18"/>
      <c r="O73" s="18"/>
      <c r="P73" s="17" t="str">
        <f aca="false">IF(A73="","",IF(OR(D73="ITAC",D73="IPE",D73="ITDM"),"Y","N"))</f>
        <v/>
      </c>
      <c r="Q73" s="16"/>
      <c r="R73" s="16"/>
      <c r="S73" s="18"/>
      <c r="T73" s="18"/>
      <c r="U73" s="16"/>
      <c r="V73" s="16"/>
      <c r="W73" s="16"/>
      <c r="X73" s="17" t="str">
        <f aca="false">IF(A73="","",IF(OR(B73="",F73="",G73="",H73=""),"Control, test type, attributes, procedure needed",IF(COUNTIF(Ref_CTRL!$A$2:$A$201,B73)=0,"CTRL-ID not in W05",IF(LEFT(A73,LEN(B73)+1)&lt;&gt;B73&amp;"-","TEST-ID must start with CTRL-ID-",IF(AND(F73="TOE",I73=""),"Population EV-ID needed (TOE)",IF(AND(I73&lt;&gt;"",J73&lt;&gt;"Pass"),"HOLD: population IPE not Pass",IF(AND(F73="TOE",M73=""),"Sample size needed",IF(AND(F73="TOE",OR(M73&lt;IFERROR(INDEX(Sample_Guide!$C$5:$C$20,MATCH(E73,Sample_Guide!$A$5:$A$20,0)),0),M73&gt;IFERROR(INDEX(Sample_Guide!$D$5:$D$20,MATCH(E73,Sample_Guide!$A$5:$A$20,0)),9999))),"Sample outside guide: justify",IF(OR(Q73="",R73=""),"Tester and reviewer needed",IF(Q73=R73,"Tester and reviewer must differ",IF(AND(W73&lt;&gt;"",W73&lt;&gt;"Not started",V73&lt;&gt;"Reviewed",V73&lt;&gt;"Closed"),"Result only after review","OK")))))))))))</f>
        <v/>
      </c>
    </row>
    <row r="74" customFormat="false" ht="15" hidden="false" customHeight="false" outlineLevel="0" collapsed="false">
      <c r="A74" s="16"/>
      <c r="B74" s="16"/>
      <c r="C74" s="17" t="str">
        <f aca="false">IFERROR(INDEX(Ref_CTRL!$B$2:$B$201,MATCH(B74,Ref_CTRL!$A$2:$A$201,0)),"")</f>
        <v/>
      </c>
      <c r="D74" s="17" t="str">
        <f aca="false">IFERROR(INDEX(Ref_CTRL!$C$2:$C$201,MATCH(B74,Ref_CTRL!$A$2:$A$201,0)),"")</f>
        <v/>
      </c>
      <c r="E74" s="17" t="str">
        <f aca="false">IFERROR(INDEX(Ref_CTRL!$D$2:$D$201,MATCH(B74,Ref_CTRL!$A$2:$A$201,0)),"")</f>
        <v/>
      </c>
      <c r="F74" s="16"/>
      <c r="G74" s="16"/>
      <c r="H74" s="16"/>
      <c r="I74" s="16"/>
      <c r="J74" s="17" t="str">
        <f aca="false">IFERROR(INDEX(Ref_EV!$B$2:$B$201,MATCH(I74,Ref_EV!$A$2:$A$201,0)),"")</f>
        <v/>
      </c>
      <c r="K74" s="17" t="str">
        <f aca="false">IFERROR(INDEX(Ref_EV!$C$2:$C$201,MATCH(I74,Ref_EV!$A$2:$A$201,0)),"")</f>
        <v/>
      </c>
      <c r="L74" s="17" t="str">
        <f aca="false">IF(F74="TOD","1",IFERROR(INDEX(Sample_Guide!$C$5:$C$20,MATCH(E74,Sample_Guide!$A$5:$A$20,0))&amp;"–"&amp;INDEX(Sample_Guide!$D$5:$D$20,MATCH(E74,Sample_Guide!$A$5:$A$20,0)),""))</f>
        <v/>
      </c>
      <c r="M74" s="16"/>
      <c r="N74" s="18"/>
      <c r="O74" s="18"/>
      <c r="P74" s="17" t="str">
        <f aca="false">IF(A74="","",IF(OR(D74="ITAC",D74="IPE",D74="ITDM"),"Y","N"))</f>
        <v/>
      </c>
      <c r="Q74" s="16"/>
      <c r="R74" s="16"/>
      <c r="S74" s="18"/>
      <c r="T74" s="18"/>
      <c r="U74" s="16"/>
      <c r="V74" s="16"/>
      <c r="W74" s="16"/>
      <c r="X74" s="17" t="str">
        <f aca="false">IF(A74="","",IF(OR(B74="",F74="",G74="",H74=""),"Control, test type, attributes, procedure needed",IF(COUNTIF(Ref_CTRL!$A$2:$A$201,B74)=0,"CTRL-ID not in W05",IF(LEFT(A74,LEN(B74)+1)&lt;&gt;B74&amp;"-","TEST-ID must start with CTRL-ID-",IF(AND(F74="TOE",I74=""),"Population EV-ID needed (TOE)",IF(AND(I74&lt;&gt;"",J74&lt;&gt;"Pass"),"HOLD: population IPE not Pass",IF(AND(F74="TOE",M74=""),"Sample size needed",IF(AND(F74="TOE",OR(M74&lt;IFERROR(INDEX(Sample_Guide!$C$5:$C$20,MATCH(E74,Sample_Guide!$A$5:$A$20,0)),0),M74&gt;IFERROR(INDEX(Sample_Guide!$D$5:$D$20,MATCH(E74,Sample_Guide!$A$5:$A$20,0)),9999))),"Sample outside guide: justify",IF(OR(Q74="",R74=""),"Tester and reviewer needed",IF(Q74=R74,"Tester and reviewer must differ",IF(AND(W74&lt;&gt;"",W74&lt;&gt;"Not started",V74&lt;&gt;"Reviewed",V74&lt;&gt;"Closed"),"Result only after review","OK")))))))))))</f>
        <v/>
      </c>
    </row>
    <row r="75" customFormat="false" ht="15" hidden="false" customHeight="false" outlineLevel="0" collapsed="false">
      <c r="A75" s="16"/>
      <c r="B75" s="16"/>
      <c r="C75" s="17" t="str">
        <f aca="false">IFERROR(INDEX(Ref_CTRL!$B$2:$B$201,MATCH(B75,Ref_CTRL!$A$2:$A$201,0)),"")</f>
        <v/>
      </c>
      <c r="D75" s="17" t="str">
        <f aca="false">IFERROR(INDEX(Ref_CTRL!$C$2:$C$201,MATCH(B75,Ref_CTRL!$A$2:$A$201,0)),"")</f>
        <v/>
      </c>
      <c r="E75" s="17" t="str">
        <f aca="false">IFERROR(INDEX(Ref_CTRL!$D$2:$D$201,MATCH(B75,Ref_CTRL!$A$2:$A$201,0)),"")</f>
        <v/>
      </c>
      <c r="F75" s="16"/>
      <c r="G75" s="16"/>
      <c r="H75" s="16"/>
      <c r="I75" s="16"/>
      <c r="J75" s="17" t="str">
        <f aca="false">IFERROR(INDEX(Ref_EV!$B$2:$B$201,MATCH(I75,Ref_EV!$A$2:$A$201,0)),"")</f>
        <v/>
      </c>
      <c r="K75" s="17" t="str">
        <f aca="false">IFERROR(INDEX(Ref_EV!$C$2:$C$201,MATCH(I75,Ref_EV!$A$2:$A$201,0)),"")</f>
        <v/>
      </c>
      <c r="L75" s="17" t="str">
        <f aca="false">IF(F75="TOD","1",IFERROR(INDEX(Sample_Guide!$C$5:$C$20,MATCH(E75,Sample_Guide!$A$5:$A$20,0))&amp;"–"&amp;INDEX(Sample_Guide!$D$5:$D$20,MATCH(E75,Sample_Guide!$A$5:$A$20,0)),""))</f>
        <v/>
      </c>
      <c r="M75" s="16"/>
      <c r="N75" s="18"/>
      <c r="O75" s="18"/>
      <c r="P75" s="17" t="str">
        <f aca="false">IF(A75="","",IF(OR(D75="ITAC",D75="IPE",D75="ITDM"),"Y","N"))</f>
        <v/>
      </c>
      <c r="Q75" s="16"/>
      <c r="R75" s="16"/>
      <c r="S75" s="18"/>
      <c r="T75" s="18"/>
      <c r="U75" s="16"/>
      <c r="V75" s="16"/>
      <c r="W75" s="16"/>
      <c r="X75" s="17" t="str">
        <f aca="false">IF(A75="","",IF(OR(B75="",F75="",G75="",H75=""),"Control, test type, attributes, procedure needed",IF(COUNTIF(Ref_CTRL!$A$2:$A$201,B75)=0,"CTRL-ID not in W05",IF(LEFT(A75,LEN(B75)+1)&lt;&gt;B75&amp;"-","TEST-ID must start with CTRL-ID-",IF(AND(F75="TOE",I75=""),"Population EV-ID needed (TOE)",IF(AND(I75&lt;&gt;"",J75&lt;&gt;"Pass"),"HOLD: population IPE not Pass",IF(AND(F75="TOE",M75=""),"Sample size needed",IF(AND(F75="TOE",OR(M75&lt;IFERROR(INDEX(Sample_Guide!$C$5:$C$20,MATCH(E75,Sample_Guide!$A$5:$A$20,0)),0),M75&gt;IFERROR(INDEX(Sample_Guide!$D$5:$D$20,MATCH(E75,Sample_Guide!$A$5:$A$20,0)),9999))),"Sample outside guide: justify",IF(OR(Q75="",R75=""),"Tester and reviewer needed",IF(Q75=R75,"Tester and reviewer must differ",IF(AND(W75&lt;&gt;"",W75&lt;&gt;"Not started",V75&lt;&gt;"Reviewed",V75&lt;&gt;"Closed"),"Result only after review","OK")))))))))))</f>
        <v/>
      </c>
    </row>
    <row r="76" customFormat="false" ht="15" hidden="false" customHeight="false" outlineLevel="0" collapsed="false">
      <c r="A76" s="16"/>
      <c r="B76" s="16"/>
      <c r="C76" s="17" t="str">
        <f aca="false">IFERROR(INDEX(Ref_CTRL!$B$2:$B$201,MATCH(B76,Ref_CTRL!$A$2:$A$201,0)),"")</f>
        <v/>
      </c>
      <c r="D76" s="17" t="str">
        <f aca="false">IFERROR(INDEX(Ref_CTRL!$C$2:$C$201,MATCH(B76,Ref_CTRL!$A$2:$A$201,0)),"")</f>
        <v/>
      </c>
      <c r="E76" s="17" t="str">
        <f aca="false">IFERROR(INDEX(Ref_CTRL!$D$2:$D$201,MATCH(B76,Ref_CTRL!$A$2:$A$201,0)),"")</f>
        <v/>
      </c>
      <c r="F76" s="16"/>
      <c r="G76" s="16"/>
      <c r="H76" s="16"/>
      <c r="I76" s="16"/>
      <c r="J76" s="17" t="str">
        <f aca="false">IFERROR(INDEX(Ref_EV!$B$2:$B$201,MATCH(I76,Ref_EV!$A$2:$A$201,0)),"")</f>
        <v/>
      </c>
      <c r="K76" s="17" t="str">
        <f aca="false">IFERROR(INDEX(Ref_EV!$C$2:$C$201,MATCH(I76,Ref_EV!$A$2:$A$201,0)),"")</f>
        <v/>
      </c>
      <c r="L76" s="17" t="str">
        <f aca="false">IF(F76="TOD","1",IFERROR(INDEX(Sample_Guide!$C$5:$C$20,MATCH(E76,Sample_Guide!$A$5:$A$20,0))&amp;"–"&amp;INDEX(Sample_Guide!$D$5:$D$20,MATCH(E76,Sample_Guide!$A$5:$A$20,0)),""))</f>
        <v/>
      </c>
      <c r="M76" s="16"/>
      <c r="N76" s="18"/>
      <c r="O76" s="18"/>
      <c r="P76" s="17" t="str">
        <f aca="false">IF(A76="","",IF(OR(D76="ITAC",D76="IPE",D76="ITDM"),"Y","N"))</f>
        <v/>
      </c>
      <c r="Q76" s="16"/>
      <c r="R76" s="16"/>
      <c r="S76" s="18"/>
      <c r="T76" s="18"/>
      <c r="U76" s="16"/>
      <c r="V76" s="16"/>
      <c r="W76" s="16"/>
      <c r="X76" s="17" t="str">
        <f aca="false">IF(A76="","",IF(OR(B76="",F76="",G76="",H76=""),"Control, test type, attributes, procedure needed",IF(COUNTIF(Ref_CTRL!$A$2:$A$201,B76)=0,"CTRL-ID not in W05",IF(LEFT(A76,LEN(B76)+1)&lt;&gt;B76&amp;"-","TEST-ID must start with CTRL-ID-",IF(AND(F76="TOE",I76=""),"Population EV-ID needed (TOE)",IF(AND(I76&lt;&gt;"",J76&lt;&gt;"Pass"),"HOLD: population IPE not Pass",IF(AND(F76="TOE",M76=""),"Sample size needed",IF(AND(F76="TOE",OR(M76&lt;IFERROR(INDEX(Sample_Guide!$C$5:$C$20,MATCH(E76,Sample_Guide!$A$5:$A$20,0)),0),M76&gt;IFERROR(INDEX(Sample_Guide!$D$5:$D$20,MATCH(E76,Sample_Guide!$A$5:$A$20,0)),9999))),"Sample outside guide: justify",IF(OR(Q76="",R76=""),"Tester and reviewer needed",IF(Q76=R76,"Tester and reviewer must differ",IF(AND(W76&lt;&gt;"",W76&lt;&gt;"Not started",V76&lt;&gt;"Reviewed",V76&lt;&gt;"Closed"),"Result only after review","OK")))))))))))</f>
        <v/>
      </c>
    </row>
    <row r="77" customFormat="false" ht="15" hidden="false" customHeight="false" outlineLevel="0" collapsed="false">
      <c r="A77" s="16"/>
      <c r="B77" s="16"/>
      <c r="C77" s="17" t="str">
        <f aca="false">IFERROR(INDEX(Ref_CTRL!$B$2:$B$201,MATCH(B77,Ref_CTRL!$A$2:$A$201,0)),"")</f>
        <v/>
      </c>
      <c r="D77" s="17" t="str">
        <f aca="false">IFERROR(INDEX(Ref_CTRL!$C$2:$C$201,MATCH(B77,Ref_CTRL!$A$2:$A$201,0)),"")</f>
        <v/>
      </c>
      <c r="E77" s="17" t="str">
        <f aca="false">IFERROR(INDEX(Ref_CTRL!$D$2:$D$201,MATCH(B77,Ref_CTRL!$A$2:$A$201,0)),"")</f>
        <v/>
      </c>
      <c r="F77" s="16"/>
      <c r="G77" s="16"/>
      <c r="H77" s="16"/>
      <c r="I77" s="16"/>
      <c r="J77" s="17" t="str">
        <f aca="false">IFERROR(INDEX(Ref_EV!$B$2:$B$201,MATCH(I77,Ref_EV!$A$2:$A$201,0)),"")</f>
        <v/>
      </c>
      <c r="K77" s="17" t="str">
        <f aca="false">IFERROR(INDEX(Ref_EV!$C$2:$C$201,MATCH(I77,Ref_EV!$A$2:$A$201,0)),"")</f>
        <v/>
      </c>
      <c r="L77" s="17" t="str">
        <f aca="false">IF(F77="TOD","1",IFERROR(INDEX(Sample_Guide!$C$5:$C$20,MATCH(E77,Sample_Guide!$A$5:$A$20,0))&amp;"–"&amp;INDEX(Sample_Guide!$D$5:$D$20,MATCH(E77,Sample_Guide!$A$5:$A$20,0)),""))</f>
        <v/>
      </c>
      <c r="M77" s="16"/>
      <c r="N77" s="18"/>
      <c r="O77" s="18"/>
      <c r="P77" s="17" t="str">
        <f aca="false">IF(A77="","",IF(OR(D77="ITAC",D77="IPE",D77="ITDM"),"Y","N"))</f>
        <v/>
      </c>
      <c r="Q77" s="16"/>
      <c r="R77" s="16"/>
      <c r="S77" s="18"/>
      <c r="T77" s="18"/>
      <c r="U77" s="16"/>
      <c r="V77" s="16"/>
      <c r="W77" s="16"/>
      <c r="X77" s="17" t="str">
        <f aca="false">IF(A77="","",IF(OR(B77="",F77="",G77="",H77=""),"Control, test type, attributes, procedure needed",IF(COUNTIF(Ref_CTRL!$A$2:$A$201,B77)=0,"CTRL-ID not in W05",IF(LEFT(A77,LEN(B77)+1)&lt;&gt;B77&amp;"-","TEST-ID must start with CTRL-ID-",IF(AND(F77="TOE",I77=""),"Population EV-ID needed (TOE)",IF(AND(I77&lt;&gt;"",J77&lt;&gt;"Pass"),"HOLD: population IPE not Pass",IF(AND(F77="TOE",M77=""),"Sample size needed",IF(AND(F77="TOE",OR(M77&lt;IFERROR(INDEX(Sample_Guide!$C$5:$C$20,MATCH(E77,Sample_Guide!$A$5:$A$20,0)),0),M77&gt;IFERROR(INDEX(Sample_Guide!$D$5:$D$20,MATCH(E77,Sample_Guide!$A$5:$A$20,0)),9999))),"Sample outside guide: justify",IF(OR(Q77="",R77=""),"Tester and reviewer needed",IF(Q77=R77,"Tester and reviewer must differ",IF(AND(W77&lt;&gt;"",W77&lt;&gt;"Not started",V77&lt;&gt;"Reviewed",V77&lt;&gt;"Closed"),"Result only after review","OK")))))))))))</f>
        <v/>
      </c>
    </row>
    <row r="78" customFormat="false" ht="15" hidden="false" customHeight="false" outlineLevel="0" collapsed="false">
      <c r="A78" s="16"/>
      <c r="B78" s="16"/>
      <c r="C78" s="17" t="str">
        <f aca="false">IFERROR(INDEX(Ref_CTRL!$B$2:$B$201,MATCH(B78,Ref_CTRL!$A$2:$A$201,0)),"")</f>
        <v/>
      </c>
      <c r="D78" s="17" t="str">
        <f aca="false">IFERROR(INDEX(Ref_CTRL!$C$2:$C$201,MATCH(B78,Ref_CTRL!$A$2:$A$201,0)),"")</f>
        <v/>
      </c>
      <c r="E78" s="17" t="str">
        <f aca="false">IFERROR(INDEX(Ref_CTRL!$D$2:$D$201,MATCH(B78,Ref_CTRL!$A$2:$A$201,0)),"")</f>
        <v/>
      </c>
      <c r="F78" s="16"/>
      <c r="G78" s="16"/>
      <c r="H78" s="16"/>
      <c r="I78" s="16"/>
      <c r="J78" s="17" t="str">
        <f aca="false">IFERROR(INDEX(Ref_EV!$B$2:$B$201,MATCH(I78,Ref_EV!$A$2:$A$201,0)),"")</f>
        <v/>
      </c>
      <c r="K78" s="17" t="str">
        <f aca="false">IFERROR(INDEX(Ref_EV!$C$2:$C$201,MATCH(I78,Ref_EV!$A$2:$A$201,0)),"")</f>
        <v/>
      </c>
      <c r="L78" s="17" t="str">
        <f aca="false">IF(F78="TOD","1",IFERROR(INDEX(Sample_Guide!$C$5:$C$20,MATCH(E78,Sample_Guide!$A$5:$A$20,0))&amp;"–"&amp;INDEX(Sample_Guide!$D$5:$D$20,MATCH(E78,Sample_Guide!$A$5:$A$20,0)),""))</f>
        <v/>
      </c>
      <c r="M78" s="16"/>
      <c r="N78" s="18"/>
      <c r="O78" s="18"/>
      <c r="P78" s="17" t="str">
        <f aca="false">IF(A78="","",IF(OR(D78="ITAC",D78="IPE",D78="ITDM"),"Y","N"))</f>
        <v/>
      </c>
      <c r="Q78" s="16"/>
      <c r="R78" s="16"/>
      <c r="S78" s="18"/>
      <c r="T78" s="18"/>
      <c r="U78" s="16"/>
      <c r="V78" s="16"/>
      <c r="W78" s="16"/>
      <c r="X78" s="17" t="str">
        <f aca="false">IF(A78="","",IF(OR(B78="",F78="",G78="",H78=""),"Control, test type, attributes, procedure needed",IF(COUNTIF(Ref_CTRL!$A$2:$A$201,B78)=0,"CTRL-ID not in W05",IF(LEFT(A78,LEN(B78)+1)&lt;&gt;B78&amp;"-","TEST-ID must start with CTRL-ID-",IF(AND(F78="TOE",I78=""),"Population EV-ID needed (TOE)",IF(AND(I78&lt;&gt;"",J78&lt;&gt;"Pass"),"HOLD: population IPE not Pass",IF(AND(F78="TOE",M78=""),"Sample size needed",IF(AND(F78="TOE",OR(M78&lt;IFERROR(INDEX(Sample_Guide!$C$5:$C$20,MATCH(E78,Sample_Guide!$A$5:$A$20,0)),0),M78&gt;IFERROR(INDEX(Sample_Guide!$D$5:$D$20,MATCH(E78,Sample_Guide!$A$5:$A$20,0)),9999))),"Sample outside guide: justify",IF(OR(Q78="",R78=""),"Tester and reviewer needed",IF(Q78=R78,"Tester and reviewer must differ",IF(AND(W78&lt;&gt;"",W78&lt;&gt;"Not started",V78&lt;&gt;"Reviewed",V78&lt;&gt;"Closed"),"Result only after review","OK")))))))))))</f>
        <v/>
      </c>
    </row>
    <row r="79" customFormat="false" ht="15" hidden="false" customHeight="false" outlineLevel="0" collapsed="false">
      <c r="A79" s="16"/>
      <c r="B79" s="16"/>
      <c r="C79" s="17" t="str">
        <f aca="false">IFERROR(INDEX(Ref_CTRL!$B$2:$B$201,MATCH(B79,Ref_CTRL!$A$2:$A$201,0)),"")</f>
        <v/>
      </c>
      <c r="D79" s="17" t="str">
        <f aca="false">IFERROR(INDEX(Ref_CTRL!$C$2:$C$201,MATCH(B79,Ref_CTRL!$A$2:$A$201,0)),"")</f>
        <v/>
      </c>
      <c r="E79" s="17" t="str">
        <f aca="false">IFERROR(INDEX(Ref_CTRL!$D$2:$D$201,MATCH(B79,Ref_CTRL!$A$2:$A$201,0)),"")</f>
        <v/>
      </c>
      <c r="F79" s="16"/>
      <c r="G79" s="16"/>
      <c r="H79" s="16"/>
      <c r="I79" s="16"/>
      <c r="J79" s="17" t="str">
        <f aca="false">IFERROR(INDEX(Ref_EV!$B$2:$B$201,MATCH(I79,Ref_EV!$A$2:$A$201,0)),"")</f>
        <v/>
      </c>
      <c r="K79" s="17" t="str">
        <f aca="false">IFERROR(INDEX(Ref_EV!$C$2:$C$201,MATCH(I79,Ref_EV!$A$2:$A$201,0)),"")</f>
        <v/>
      </c>
      <c r="L79" s="17" t="str">
        <f aca="false">IF(F79="TOD","1",IFERROR(INDEX(Sample_Guide!$C$5:$C$20,MATCH(E79,Sample_Guide!$A$5:$A$20,0))&amp;"–"&amp;INDEX(Sample_Guide!$D$5:$D$20,MATCH(E79,Sample_Guide!$A$5:$A$20,0)),""))</f>
        <v/>
      </c>
      <c r="M79" s="16"/>
      <c r="N79" s="18"/>
      <c r="O79" s="18"/>
      <c r="P79" s="17" t="str">
        <f aca="false">IF(A79="","",IF(OR(D79="ITAC",D79="IPE",D79="ITDM"),"Y","N"))</f>
        <v/>
      </c>
      <c r="Q79" s="16"/>
      <c r="R79" s="16"/>
      <c r="S79" s="18"/>
      <c r="T79" s="18"/>
      <c r="U79" s="16"/>
      <c r="V79" s="16"/>
      <c r="W79" s="16"/>
      <c r="X79" s="17" t="str">
        <f aca="false">IF(A79="","",IF(OR(B79="",F79="",G79="",H79=""),"Control, test type, attributes, procedure needed",IF(COUNTIF(Ref_CTRL!$A$2:$A$201,B79)=0,"CTRL-ID not in W05",IF(LEFT(A79,LEN(B79)+1)&lt;&gt;B79&amp;"-","TEST-ID must start with CTRL-ID-",IF(AND(F79="TOE",I79=""),"Population EV-ID needed (TOE)",IF(AND(I79&lt;&gt;"",J79&lt;&gt;"Pass"),"HOLD: population IPE not Pass",IF(AND(F79="TOE",M79=""),"Sample size needed",IF(AND(F79="TOE",OR(M79&lt;IFERROR(INDEX(Sample_Guide!$C$5:$C$20,MATCH(E79,Sample_Guide!$A$5:$A$20,0)),0),M79&gt;IFERROR(INDEX(Sample_Guide!$D$5:$D$20,MATCH(E79,Sample_Guide!$A$5:$A$20,0)),9999))),"Sample outside guide: justify",IF(OR(Q79="",R79=""),"Tester and reviewer needed",IF(Q79=R79,"Tester and reviewer must differ",IF(AND(W79&lt;&gt;"",W79&lt;&gt;"Not started",V79&lt;&gt;"Reviewed",V79&lt;&gt;"Closed"),"Result only after review","OK")))))))))))</f>
        <v/>
      </c>
    </row>
    <row r="80" customFormat="false" ht="15" hidden="false" customHeight="false" outlineLevel="0" collapsed="false">
      <c r="A80" s="16"/>
      <c r="B80" s="16"/>
      <c r="C80" s="17" t="str">
        <f aca="false">IFERROR(INDEX(Ref_CTRL!$B$2:$B$201,MATCH(B80,Ref_CTRL!$A$2:$A$201,0)),"")</f>
        <v/>
      </c>
      <c r="D80" s="17" t="str">
        <f aca="false">IFERROR(INDEX(Ref_CTRL!$C$2:$C$201,MATCH(B80,Ref_CTRL!$A$2:$A$201,0)),"")</f>
        <v/>
      </c>
      <c r="E80" s="17" t="str">
        <f aca="false">IFERROR(INDEX(Ref_CTRL!$D$2:$D$201,MATCH(B80,Ref_CTRL!$A$2:$A$201,0)),"")</f>
        <v/>
      </c>
      <c r="F80" s="16"/>
      <c r="G80" s="16"/>
      <c r="H80" s="16"/>
      <c r="I80" s="16"/>
      <c r="J80" s="17" t="str">
        <f aca="false">IFERROR(INDEX(Ref_EV!$B$2:$B$201,MATCH(I80,Ref_EV!$A$2:$A$201,0)),"")</f>
        <v/>
      </c>
      <c r="K80" s="17" t="str">
        <f aca="false">IFERROR(INDEX(Ref_EV!$C$2:$C$201,MATCH(I80,Ref_EV!$A$2:$A$201,0)),"")</f>
        <v/>
      </c>
      <c r="L80" s="17" t="str">
        <f aca="false">IF(F80="TOD","1",IFERROR(INDEX(Sample_Guide!$C$5:$C$20,MATCH(E80,Sample_Guide!$A$5:$A$20,0))&amp;"–"&amp;INDEX(Sample_Guide!$D$5:$D$20,MATCH(E80,Sample_Guide!$A$5:$A$20,0)),""))</f>
        <v/>
      </c>
      <c r="M80" s="16"/>
      <c r="N80" s="18"/>
      <c r="O80" s="18"/>
      <c r="P80" s="17" t="str">
        <f aca="false">IF(A80="","",IF(OR(D80="ITAC",D80="IPE",D80="ITDM"),"Y","N"))</f>
        <v/>
      </c>
      <c r="Q80" s="16"/>
      <c r="R80" s="16"/>
      <c r="S80" s="18"/>
      <c r="T80" s="18"/>
      <c r="U80" s="16"/>
      <c r="V80" s="16"/>
      <c r="W80" s="16"/>
      <c r="X80" s="17" t="str">
        <f aca="false">IF(A80="","",IF(OR(B80="",F80="",G80="",H80=""),"Control, test type, attributes, procedure needed",IF(COUNTIF(Ref_CTRL!$A$2:$A$201,B80)=0,"CTRL-ID not in W05",IF(LEFT(A80,LEN(B80)+1)&lt;&gt;B80&amp;"-","TEST-ID must start with CTRL-ID-",IF(AND(F80="TOE",I80=""),"Population EV-ID needed (TOE)",IF(AND(I80&lt;&gt;"",J80&lt;&gt;"Pass"),"HOLD: population IPE not Pass",IF(AND(F80="TOE",M80=""),"Sample size needed",IF(AND(F80="TOE",OR(M80&lt;IFERROR(INDEX(Sample_Guide!$C$5:$C$20,MATCH(E80,Sample_Guide!$A$5:$A$20,0)),0),M80&gt;IFERROR(INDEX(Sample_Guide!$D$5:$D$20,MATCH(E80,Sample_Guide!$A$5:$A$20,0)),9999))),"Sample outside guide: justify",IF(OR(Q80="",R80=""),"Tester and reviewer needed",IF(Q80=R80,"Tester and reviewer must differ",IF(AND(W80&lt;&gt;"",W80&lt;&gt;"Not started",V80&lt;&gt;"Reviewed",V80&lt;&gt;"Closed"),"Result only after review","OK")))))))))))</f>
        <v/>
      </c>
    </row>
    <row r="81" customFormat="false" ht="15" hidden="false" customHeight="false" outlineLevel="0" collapsed="false">
      <c r="A81" s="16"/>
      <c r="B81" s="16"/>
      <c r="C81" s="17" t="str">
        <f aca="false">IFERROR(INDEX(Ref_CTRL!$B$2:$B$201,MATCH(B81,Ref_CTRL!$A$2:$A$201,0)),"")</f>
        <v/>
      </c>
      <c r="D81" s="17" t="str">
        <f aca="false">IFERROR(INDEX(Ref_CTRL!$C$2:$C$201,MATCH(B81,Ref_CTRL!$A$2:$A$201,0)),"")</f>
        <v/>
      </c>
      <c r="E81" s="17" t="str">
        <f aca="false">IFERROR(INDEX(Ref_CTRL!$D$2:$D$201,MATCH(B81,Ref_CTRL!$A$2:$A$201,0)),"")</f>
        <v/>
      </c>
      <c r="F81" s="16"/>
      <c r="G81" s="16"/>
      <c r="H81" s="16"/>
      <c r="I81" s="16"/>
      <c r="J81" s="17" t="str">
        <f aca="false">IFERROR(INDEX(Ref_EV!$B$2:$B$201,MATCH(I81,Ref_EV!$A$2:$A$201,0)),"")</f>
        <v/>
      </c>
      <c r="K81" s="17" t="str">
        <f aca="false">IFERROR(INDEX(Ref_EV!$C$2:$C$201,MATCH(I81,Ref_EV!$A$2:$A$201,0)),"")</f>
        <v/>
      </c>
      <c r="L81" s="17" t="str">
        <f aca="false">IF(F81="TOD","1",IFERROR(INDEX(Sample_Guide!$C$5:$C$20,MATCH(E81,Sample_Guide!$A$5:$A$20,0))&amp;"–"&amp;INDEX(Sample_Guide!$D$5:$D$20,MATCH(E81,Sample_Guide!$A$5:$A$20,0)),""))</f>
        <v/>
      </c>
      <c r="M81" s="16"/>
      <c r="N81" s="18"/>
      <c r="O81" s="18"/>
      <c r="P81" s="17" t="str">
        <f aca="false">IF(A81="","",IF(OR(D81="ITAC",D81="IPE",D81="ITDM"),"Y","N"))</f>
        <v/>
      </c>
      <c r="Q81" s="16"/>
      <c r="R81" s="16"/>
      <c r="S81" s="18"/>
      <c r="T81" s="18"/>
      <c r="U81" s="16"/>
      <c r="V81" s="16"/>
      <c r="W81" s="16"/>
      <c r="X81" s="17" t="str">
        <f aca="false">IF(A81="","",IF(OR(B81="",F81="",G81="",H81=""),"Control, test type, attributes, procedure needed",IF(COUNTIF(Ref_CTRL!$A$2:$A$201,B81)=0,"CTRL-ID not in W05",IF(LEFT(A81,LEN(B81)+1)&lt;&gt;B81&amp;"-","TEST-ID must start with CTRL-ID-",IF(AND(F81="TOE",I81=""),"Population EV-ID needed (TOE)",IF(AND(I81&lt;&gt;"",J81&lt;&gt;"Pass"),"HOLD: population IPE not Pass",IF(AND(F81="TOE",M81=""),"Sample size needed",IF(AND(F81="TOE",OR(M81&lt;IFERROR(INDEX(Sample_Guide!$C$5:$C$20,MATCH(E81,Sample_Guide!$A$5:$A$20,0)),0),M81&gt;IFERROR(INDEX(Sample_Guide!$D$5:$D$20,MATCH(E81,Sample_Guide!$A$5:$A$20,0)),9999))),"Sample outside guide: justify",IF(OR(Q81="",R81=""),"Tester and reviewer needed",IF(Q81=R81,"Tester and reviewer must differ",IF(AND(W81&lt;&gt;"",W81&lt;&gt;"Not started",V81&lt;&gt;"Reviewed",V81&lt;&gt;"Closed"),"Result only after review","OK")))))))))))</f>
        <v/>
      </c>
    </row>
    <row r="82" customFormat="false" ht="15" hidden="false" customHeight="false" outlineLevel="0" collapsed="false">
      <c r="A82" s="16"/>
      <c r="B82" s="16"/>
      <c r="C82" s="17" t="str">
        <f aca="false">IFERROR(INDEX(Ref_CTRL!$B$2:$B$201,MATCH(B82,Ref_CTRL!$A$2:$A$201,0)),"")</f>
        <v/>
      </c>
      <c r="D82" s="17" t="str">
        <f aca="false">IFERROR(INDEX(Ref_CTRL!$C$2:$C$201,MATCH(B82,Ref_CTRL!$A$2:$A$201,0)),"")</f>
        <v/>
      </c>
      <c r="E82" s="17" t="str">
        <f aca="false">IFERROR(INDEX(Ref_CTRL!$D$2:$D$201,MATCH(B82,Ref_CTRL!$A$2:$A$201,0)),"")</f>
        <v/>
      </c>
      <c r="F82" s="16"/>
      <c r="G82" s="16"/>
      <c r="H82" s="16"/>
      <c r="I82" s="16"/>
      <c r="J82" s="17" t="str">
        <f aca="false">IFERROR(INDEX(Ref_EV!$B$2:$B$201,MATCH(I82,Ref_EV!$A$2:$A$201,0)),"")</f>
        <v/>
      </c>
      <c r="K82" s="17" t="str">
        <f aca="false">IFERROR(INDEX(Ref_EV!$C$2:$C$201,MATCH(I82,Ref_EV!$A$2:$A$201,0)),"")</f>
        <v/>
      </c>
      <c r="L82" s="17" t="str">
        <f aca="false">IF(F82="TOD","1",IFERROR(INDEX(Sample_Guide!$C$5:$C$20,MATCH(E82,Sample_Guide!$A$5:$A$20,0))&amp;"–"&amp;INDEX(Sample_Guide!$D$5:$D$20,MATCH(E82,Sample_Guide!$A$5:$A$20,0)),""))</f>
        <v/>
      </c>
      <c r="M82" s="16"/>
      <c r="N82" s="18"/>
      <c r="O82" s="18"/>
      <c r="P82" s="17" t="str">
        <f aca="false">IF(A82="","",IF(OR(D82="ITAC",D82="IPE",D82="ITDM"),"Y","N"))</f>
        <v/>
      </c>
      <c r="Q82" s="16"/>
      <c r="R82" s="16"/>
      <c r="S82" s="18"/>
      <c r="T82" s="18"/>
      <c r="U82" s="16"/>
      <c r="V82" s="16"/>
      <c r="W82" s="16"/>
      <c r="X82" s="17" t="str">
        <f aca="false">IF(A82="","",IF(OR(B82="",F82="",G82="",H82=""),"Control, test type, attributes, procedure needed",IF(COUNTIF(Ref_CTRL!$A$2:$A$201,B82)=0,"CTRL-ID not in W05",IF(LEFT(A82,LEN(B82)+1)&lt;&gt;B82&amp;"-","TEST-ID must start with CTRL-ID-",IF(AND(F82="TOE",I82=""),"Population EV-ID needed (TOE)",IF(AND(I82&lt;&gt;"",J82&lt;&gt;"Pass"),"HOLD: population IPE not Pass",IF(AND(F82="TOE",M82=""),"Sample size needed",IF(AND(F82="TOE",OR(M82&lt;IFERROR(INDEX(Sample_Guide!$C$5:$C$20,MATCH(E82,Sample_Guide!$A$5:$A$20,0)),0),M82&gt;IFERROR(INDEX(Sample_Guide!$D$5:$D$20,MATCH(E82,Sample_Guide!$A$5:$A$20,0)),9999))),"Sample outside guide: justify",IF(OR(Q82="",R82=""),"Tester and reviewer needed",IF(Q82=R82,"Tester and reviewer must differ",IF(AND(W82&lt;&gt;"",W82&lt;&gt;"Not started",V82&lt;&gt;"Reviewed",V82&lt;&gt;"Closed"),"Result only after review","OK")))))))))))</f>
        <v/>
      </c>
    </row>
    <row r="83" customFormat="false" ht="15" hidden="false" customHeight="false" outlineLevel="0" collapsed="false">
      <c r="A83" s="16"/>
      <c r="B83" s="16"/>
      <c r="C83" s="17" t="str">
        <f aca="false">IFERROR(INDEX(Ref_CTRL!$B$2:$B$201,MATCH(B83,Ref_CTRL!$A$2:$A$201,0)),"")</f>
        <v/>
      </c>
      <c r="D83" s="17" t="str">
        <f aca="false">IFERROR(INDEX(Ref_CTRL!$C$2:$C$201,MATCH(B83,Ref_CTRL!$A$2:$A$201,0)),"")</f>
        <v/>
      </c>
      <c r="E83" s="17" t="str">
        <f aca="false">IFERROR(INDEX(Ref_CTRL!$D$2:$D$201,MATCH(B83,Ref_CTRL!$A$2:$A$201,0)),"")</f>
        <v/>
      </c>
      <c r="F83" s="16"/>
      <c r="G83" s="16"/>
      <c r="H83" s="16"/>
      <c r="I83" s="16"/>
      <c r="J83" s="17" t="str">
        <f aca="false">IFERROR(INDEX(Ref_EV!$B$2:$B$201,MATCH(I83,Ref_EV!$A$2:$A$201,0)),"")</f>
        <v/>
      </c>
      <c r="K83" s="17" t="str">
        <f aca="false">IFERROR(INDEX(Ref_EV!$C$2:$C$201,MATCH(I83,Ref_EV!$A$2:$A$201,0)),"")</f>
        <v/>
      </c>
      <c r="L83" s="17" t="str">
        <f aca="false">IF(F83="TOD","1",IFERROR(INDEX(Sample_Guide!$C$5:$C$20,MATCH(E83,Sample_Guide!$A$5:$A$20,0))&amp;"–"&amp;INDEX(Sample_Guide!$D$5:$D$20,MATCH(E83,Sample_Guide!$A$5:$A$20,0)),""))</f>
        <v/>
      </c>
      <c r="M83" s="16"/>
      <c r="N83" s="18"/>
      <c r="O83" s="18"/>
      <c r="P83" s="17" t="str">
        <f aca="false">IF(A83="","",IF(OR(D83="ITAC",D83="IPE",D83="ITDM"),"Y","N"))</f>
        <v/>
      </c>
      <c r="Q83" s="16"/>
      <c r="R83" s="16"/>
      <c r="S83" s="18"/>
      <c r="T83" s="18"/>
      <c r="U83" s="16"/>
      <c r="V83" s="16"/>
      <c r="W83" s="16"/>
      <c r="X83" s="17" t="str">
        <f aca="false">IF(A83="","",IF(OR(B83="",F83="",G83="",H83=""),"Control, test type, attributes, procedure needed",IF(COUNTIF(Ref_CTRL!$A$2:$A$201,B83)=0,"CTRL-ID not in W05",IF(LEFT(A83,LEN(B83)+1)&lt;&gt;B83&amp;"-","TEST-ID must start with CTRL-ID-",IF(AND(F83="TOE",I83=""),"Population EV-ID needed (TOE)",IF(AND(I83&lt;&gt;"",J83&lt;&gt;"Pass"),"HOLD: population IPE not Pass",IF(AND(F83="TOE",M83=""),"Sample size needed",IF(AND(F83="TOE",OR(M83&lt;IFERROR(INDEX(Sample_Guide!$C$5:$C$20,MATCH(E83,Sample_Guide!$A$5:$A$20,0)),0),M83&gt;IFERROR(INDEX(Sample_Guide!$D$5:$D$20,MATCH(E83,Sample_Guide!$A$5:$A$20,0)),9999))),"Sample outside guide: justify",IF(OR(Q83="",R83=""),"Tester and reviewer needed",IF(Q83=R83,"Tester and reviewer must differ",IF(AND(W83&lt;&gt;"",W83&lt;&gt;"Not started",V83&lt;&gt;"Reviewed",V83&lt;&gt;"Closed"),"Result only after review","OK")))))))))))</f>
        <v/>
      </c>
    </row>
    <row r="84" customFormat="false" ht="15" hidden="false" customHeight="false" outlineLevel="0" collapsed="false">
      <c r="A84" s="16"/>
      <c r="B84" s="16"/>
      <c r="C84" s="17" t="str">
        <f aca="false">IFERROR(INDEX(Ref_CTRL!$B$2:$B$201,MATCH(B84,Ref_CTRL!$A$2:$A$201,0)),"")</f>
        <v/>
      </c>
      <c r="D84" s="17" t="str">
        <f aca="false">IFERROR(INDEX(Ref_CTRL!$C$2:$C$201,MATCH(B84,Ref_CTRL!$A$2:$A$201,0)),"")</f>
        <v/>
      </c>
      <c r="E84" s="17" t="str">
        <f aca="false">IFERROR(INDEX(Ref_CTRL!$D$2:$D$201,MATCH(B84,Ref_CTRL!$A$2:$A$201,0)),"")</f>
        <v/>
      </c>
      <c r="F84" s="16"/>
      <c r="G84" s="16"/>
      <c r="H84" s="16"/>
      <c r="I84" s="16"/>
      <c r="J84" s="17" t="str">
        <f aca="false">IFERROR(INDEX(Ref_EV!$B$2:$B$201,MATCH(I84,Ref_EV!$A$2:$A$201,0)),"")</f>
        <v/>
      </c>
      <c r="K84" s="17" t="str">
        <f aca="false">IFERROR(INDEX(Ref_EV!$C$2:$C$201,MATCH(I84,Ref_EV!$A$2:$A$201,0)),"")</f>
        <v/>
      </c>
      <c r="L84" s="17" t="str">
        <f aca="false">IF(F84="TOD","1",IFERROR(INDEX(Sample_Guide!$C$5:$C$20,MATCH(E84,Sample_Guide!$A$5:$A$20,0))&amp;"–"&amp;INDEX(Sample_Guide!$D$5:$D$20,MATCH(E84,Sample_Guide!$A$5:$A$20,0)),""))</f>
        <v/>
      </c>
      <c r="M84" s="16"/>
      <c r="N84" s="18"/>
      <c r="O84" s="18"/>
      <c r="P84" s="17" t="str">
        <f aca="false">IF(A84="","",IF(OR(D84="ITAC",D84="IPE",D84="ITDM"),"Y","N"))</f>
        <v/>
      </c>
      <c r="Q84" s="16"/>
      <c r="R84" s="16"/>
      <c r="S84" s="18"/>
      <c r="T84" s="18"/>
      <c r="U84" s="16"/>
      <c r="V84" s="16"/>
      <c r="W84" s="16"/>
      <c r="X84" s="17" t="str">
        <f aca="false">IF(A84="","",IF(OR(B84="",F84="",G84="",H84=""),"Control, test type, attributes, procedure needed",IF(COUNTIF(Ref_CTRL!$A$2:$A$201,B84)=0,"CTRL-ID not in W05",IF(LEFT(A84,LEN(B84)+1)&lt;&gt;B84&amp;"-","TEST-ID must start with CTRL-ID-",IF(AND(F84="TOE",I84=""),"Population EV-ID needed (TOE)",IF(AND(I84&lt;&gt;"",J84&lt;&gt;"Pass"),"HOLD: population IPE not Pass",IF(AND(F84="TOE",M84=""),"Sample size needed",IF(AND(F84="TOE",OR(M84&lt;IFERROR(INDEX(Sample_Guide!$C$5:$C$20,MATCH(E84,Sample_Guide!$A$5:$A$20,0)),0),M84&gt;IFERROR(INDEX(Sample_Guide!$D$5:$D$20,MATCH(E84,Sample_Guide!$A$5:$A$20,0)),9999))),"Sample outside guide: justify",IF(OR(Q84="",R84=""),"Tester and reviewer needed",IF(Q84=R84,"Tester and reviewer must differ",IF(AND(W84&lt;&gt;"",W84&lt;&gt;"Not started",V84&lt;&gt;"Reviewed",V84&lt;&gt;"Closed"),"Result only after review","OK")))))))))))</f>
        <v/>
      </c>
    </row>
    <row r="85" customFormat="false" ht="15" hidden="false" customHeight="false" outlineLevel="0" collapsed="false">
      <c r="A85" s="16"/>
      <c r="B85" s="16"/>
      <c r="C85" s="17" t="str">
        <f aca="false">IFERROR(INDEX(Ref_CTRL!$B$2:$B$201,MATCH(B85,Ref_CTRL!$A$2:$A$201,0)),"")</f>
        <v/>
      </c>
      <c r="D85" s="17" t="str">
        <f aca="false">IFERROR(INDEX(Ref_CTRL!$C$2:$C$201,MATCH(B85,Ref_CTRL!$A$2:$A$201,0)),"")</f>
        <v/>
      </c>
      <c r="E85" s="17" t="str">
        <f aca="false">IFERROR(INDEX(Ref_CTRL!$D$2:$D$201,MATCH(B85,Ref_CTRL!$A$2:$A$201,0)),"")</f>
        <v/>
      </c>
      <c r="F85" s="16"/>
      <c r="G85" s="16"/>
      <c r="H85" s="16"/>
      <c r="I85" s="16"/>
      <c r="J85" s="17" t="str">
        <f aca="false">IFERROR(INDEX(Ref_EV!$B$2:$B$201,MATCH(I85,Ref_EV!$A$2:$A$201,0)),"")</f>
        <v/>
      </c>
      <c r="K85" s="17" t="str">
        <f aca="false">IFERROR(INDEX(Ref_EV!$C$2:$C$201,MATCH(I85,Ref_EV!$A$2:$A$201,0)),"")</f>
        <v/>
      </c>
      <c r="L85" s="17" t="str">
        <f aca="false">IF(F85="TOD","1",IFERROR(INDEX(Sample_Guide!$C$5:$C$20,MATCH(E85,Sample_Guide!$A$5:$A$20,0))&amp;"–"&amp;INDEX(Sample_Guide!$D$5:$D$20,MATCH(E85,Sample_Guide!$A$5:$A$20,0)),""))</f>
        <v/>
      </c>
      <c r="M85" s="16"/>
      <c r="N85" s="18"/>
      <c r="O85" s="18"/>
      <c r="P85" s="17" t="str">
        <f aca="false">IF(A85="","",IF(OR(D85="ITAC",D85="IPE",D85="ITDM"),"Y","N"))</f>
        <v/>
      </c>
      <c r="Q85" s="16"/>
      <c r="R85" s="16"/>
      <c r="S85" s="18"/>
      <c r="T85" s="18"/>
      <c r="U85" s="16"/>
      <c r="V85" s="16"/>
      <c r="W85" s="16"/>
      <c r="X85" s="17" t="str">
        <f aca="false">IF(A85="","",IF(OR(B85="",F85="",G85="",H85=""),"Control, test type, attributes, procedure needed",IF(COUNTIF(Ref_CTRL!$A$2:$A$201,B85)=0,"CTRL-ID not in W05",IF(LEFT(A85,LEN(B85)+1)&lt;&gt;B85&amp;"-","TEST-ID must start with CTRL-ID-",IF(AND(F85="TOE",I85=""),"Population EV-ID needed (TOE)",IF(AND(I85&lt;&gt;"",J85&lt;&gt;"Pass"),"HOLD: population IPE not Pass",IF(AND(F85="TOE",M85=""),"Sample size needed",IF(AND(F85="TOE",OR(M85&lt;IFERROR(INDEX(Sample_Guide!$C$5:$C$20,MATCH(E85,Sample_Guide!$A$5:$A$20,0)),0),M85&gt;IFERROR(INDEX(Sample_Guide!$D$5:$D$20,MATCH(E85,Sample_Guide!$A$5:$A$20,0)),9999))),"Sample outside guide: justify",IF(OR(Q85="",R85=""),"Tester and reviewer needed",IF(Q85=R85,"Tester and reviewer must differ",IF(AND(W85&lt;&gt;"",W85&lt;&gt;"Not started",V85&lt;&gt;"Reviewed",V85&lt;&gt;"Closed"),"Result only after review","OK")))))))))))</f>
        <v/>
      </c>
    </row>
    <row r="86" customFormat="false" ht="15" hidden="false" customHeight="false" outlineLevel="0" collapsed="false">
      <c r="A86" s="16"/>
      <c r="B86" s="16"/>
      <c r="C86" s="17" t="str">
        <f aca="false">IFERROR(INDEX(Ref_CTRL!$B$2:$B$201,MATCH(B86,Ref_CTRL!$A$2:$A$201,0)),"")</f>
        <v/>
      </c>
      <c r="D86" s="17" t="str">
        <f aca="false">IFERROR(INDEX(Ref_CTRL!$C$2:$C$201,MATCH(B86,Ref_CTRL!$A$2:$A$201,0)),"")</f>
        <v/>
      </c>
      <c r="E86" s="17" t="str">
        <f aca="false">IFERROR(INDEX(Ref_CTRL!$D$2:$D$201,MATCH(B86,Ref_CTRL!$A$2:$A$201,0)),"")</f>
        <v/>
      </c>
      <c r="F86" s="16"/>
      <c r="G86" s="16"/>
      <c r="H86" s="16"/>
      <c r="I86" s="16"/>
      <c r="J86" s="17" t="str">
        <f aca="false">IFERROR(INDEX(Ref_EV!$B$2:$B$201,MATCH(I86,Ref_EV!$A$2:$A$201,0)),"")</f>
        <v/>
      </c>
      <c r="K86" s="17" t="str">
        <f aca="false">IFERROR(INDEX(Ref_EV!$C$2:$C$201,MATCH(I86,Ref_EV!$A$2:$A$201,0)),"")</f>
        <v/>
      </c>
      <c r="L86" s="17" t="str">
        <f aca="false">IF(F86="TOD","1",IFERROR(INDEX(Sample_Guide!$C$5:$C$20,MATCH(E86,Sample_Guide!$A$5:$A$20,0))&amp;"–"&amp;INDEX(Sample_Guide!$D$5:$D$20,MATCH(E86,Sample_Guide!$A$5:$A$20,0)),""))</f>
        <v/>
      </c>
      <c r="M86" s="16"/>
      <c r="N86" s="18"/>
      <c r="O86" s="18"/>
      <c r="P86" s="17" t="str">
        <f aca="false">IF(A86="","",IF(OR(D86="ITAC",D86="IPE",D86="ITDM"),"Y","N"))</f>
        <v/>
      </c>
      <c r="Q86" s="16"/>
      <c r="R86" s="16"/>
      <c r="S86" s="18"/>
      <c r="T86" s="18"/>
      <c r="U86" s="16"/>
      <c r="V86" s="16"/>
      <c r="W86" s="16"/>
      <c r="X86" s="17" t="str">
        <f aca="false">IF(A86="","",IF(OR(B86="",F86="",G86="",H86=""),"Control, test type, attributes, procedure needed",IF(COUNTIF(Ref_CTRL!$A$2:$A$201,B86)=0,"CTRL-ID not in W05",IF(LEFT(A86,LEN(B86)+1)&lt;&gt;B86&amp;"-","TEST-ID must start with CTRL-ID-",IF(AND(F86="TOE",I86=""),"Population EV-ID needed (TOE)",IF(AND(I86&lt;&gt;"",J86&lt;&gt;"Pass"),"HOLD: population IPE not Pass",IF(AND(F86="TOE",M86=""),"Sample size needed",IF(AND(F86="TOE",OR(M86&lt;IFERROR(INDEX(Sample_Guide!$C$5:$C$20,MATCH(E86,Sample_Guide!$A$5:$A$20,0)),0),M86&gt;IFERROR(INDEX(Sample_Guide!$D$5:$D$20,MATCH(E86,Sample_Guide!$A$5:$A$20,0)),9999))),"Sample outside guide: justify",IF(OR(Q86="",R86=""),"Tester and reviewer needed",IF(Q86=R86,"Tester and reviewer must differ",IF(AND(W86&lt;&gt;"",W86&lt;&gt;"Not started",V86&lt;&gt;"Reviewed",V86&lt;&gt;"Closed"),"Result only after review","OK")))))))))))</f>
        <v/>
      </c>
    </row>
    <row r="87" customFormat="false" ht="15" hidden="false" customHeight="false" outlineLevel="0" collapsed="false">
      <c r="A87" s="16"/>
      <c r="B87" s="16"/>
      <c r="C87" s="17" t="str">
        <f aca="false">IFERROR(INDEX(Ref_CTRL!$B$2:$B$201,MATCH(B87,Ref_CTRL!$A$2:$A$201,0)),"")</f>
        <v/>
      </c>
      <c r="D87" s="17" t="str">
        <f aca="false">IFERROR(INDEX(Ref_CTRL!$C$2:$C$201,MATCH(B87,Ref_CTRL!$A$2:$A$201,0)),"")</f>
        <v/>
      </c>
      <c r="E87" s="17" t="str">
        <f aca="false">IFERROR(INDEX(Ref_CTRL!$D$2:$D$201,MATCH(B87,Ref_CTRL!$A$2:$A$201,0)),"")</f>
        <v/>
      </c>
      <c r="F87" s="16"/>
      <c r="G87" s="16"/>
      <c r="H87" s="16"/>
      <c r="I87" s="16"/>
      <c r="J87" s="17" t="str">
        <f aca="false">IFERROR(INDEX(Ref_EV!$B$2:$B$201,MATCH(I87,Ref_EV!$A$2:$A$201,0)),"")</f>
        <v/>
      </c>
      <c r="K87" s="17" t="str">
        <f aca="false">IFERROR(INDEX(Ref_EV!$C$2:$C$201,MATCH(I87,Ref_EV!$A$2:$A$201,0)),"")</f>
        <v/>
      </c>
      <c r="L87" s="17" t="str">
        <f aca="false">IF(F87="TOD","1",IFERROR(INDEX(Sample_Guide!$C$5:$C$20,MATCH(E87,Sample_Guide!$A$5:$A$20,0))&amp;"–"&amp;INDEX(Sample_Guide!$D$5:$D$20,MATCH(E87,Sample_Guide!$A$5:$A$20,0)),""))</f>
        <v/>
      </c>
      <c r="M87" s="16"/>
      <c r="N87" s="18"/>
      <c r="O87" s="18"/>
      <c r="P87" s="17" t="str">
        <f aca="false">IF(A87="","",IF(OR(D87="ITAC",D87="IPE",D87="ITDM"),"Y","N"))</f>
        <v/>
      </c>
      <c r="Q87" s="16"/>
      <c r="R87" s="16"/>
      <c r="S87" s="18"/>
      <c r="T87" s="18"/>
      <c r="U87" s="16"/>
      <c r="V87" s="16"/>
      <c r="W87" s="16"/>
      <c r="X87" s="17" t="str">
        <f aca="false">IF(A87="","",IF(OR(B87="",F87="",G87="",H87=""),"Control, test type, attributes, procedure needed",IF(COUNTIF(Ref_CTRL!$A$2:$A$201,B87)=0,"CTRL-ID not in W05",IF(LEFT(A87,LEN(B87)+1)&lt;&gt;B87&amp;"-","TEST-ID must start with CTRL-ID-",IF(AND(F87="TOE",I87=""),"Population EV-ID needed (TOE)",IF(AND(I87&lt;&gt;"",J87&lt;&gt;"Pass"),"HOLD: population IPE not Pass",IF(AND(F87="TOE",M87=""),"Sample size needed",IF(AND(F87="TOE",OR(M87&lt;IFERROR(INDEX(Sample_Guide!$C$5:$C$20,MATCH(E87,Sample_Guide!$A$5:$A$20,0)),0),M87&gt;IFERROR(INDEX(Sample_Guide!$D$5:$D$20,MATCH(E87,Sample_Guide!$A$5:$A$20,0)),9999))),"Sample outside guide: justify",IF(OR(Q87="",R87=""),"Tester and reviewer needed",IF(Q87=R87,"Tester and reviewer must differ",IF(AND(W87&lt;&gt;"",W87&lt;&gt;"Not started",V87&lt;&gt;"Reviewed",V87&lt;&gt;"Closed"),"Result only after review","OK")))))))))))</f>
        <v/>
      </c>
    </row>
    <row r="88" customFormat="false" ht="15" hidden="false" customHeight="false" outlineLevel="0" collapsed="false">
      <c r="A88" s="16"/>
      <c r="B88" s="16"/>
      <c r="C88" s="17" t="str">
        <f aca="false">IFERROR(INDEX(Ref_CTRL!$B$2:$B$201,MATCH(B88,Ref_CTRL!$A$2:$A$201,0)),"")</f>
        <v/>
      </c>
      <c r="D88" s="17" t="str">
        <f aca="false">IFERROR(INDEX(Ref_CTRL!$C$2:$C$201,MATCH(B88,Ref_CTRL!$A$2:$A$201,0)),"")</f>
        <v/>
      </c>
      <c r="E88" s="17" t="str">
        <f aca="false">IFERROR(INDEX(Ref_CTRL!$D$2:$D$201,MATCH(B88,Ref_CTRL!$A$2:$A$201,0)),"")</f>
        <v/>
      </c>
      <c r="F88" s="16"/>
      <c r="G88" s="16"/>
      <c r="H88" s="16"/>
      <c r="I88" s="16"/>
      <c r="J88" s="17" t="str">
        <f aca="false">IFERROR(INDEX(Ref_EV!$B$2:$B$201,MATCH(I88,Ref_EV!$A$2:$A$201,0)),"")</f>
        <v/>
      </c>
      <c r="K88" s="17" t="str">
        <f aca="false">IFERROR(INDEX(Ref_EV!$C$2:$C$201,MATCH(I88,Ref_EV!$A$2:$A$201,0)),"")</f>
        <v/>
      </c>
      <c r="L88" s="17" t="str">
        <f aca="false">IF(F88="TOD","1",IFERROR(INDEX(Sample_Guide!$C$5:$C$20,MATCH(E88,Sample_Guide!$A$5:$A$20,0))&amp;"–"&amp;INDEX(Sample_Guide!$D$5:$D$20,MATCH(E88,Sample_Guide!$A$5:$A$20,0)),""))</f>
        <v/>
      </c>
      <c r="M88" s="16"/>
      <c r="N88" s="18"/>
      <c r="O88" s="18"/>
      <c r="P88" s="17" t="str">
        <f aca="false">IF(A88="","",IF(OR(D88="ITAC",D88="IPE",D88="ITDM"),"Y","N"))</f>
        <v/>
      </c>
      <c r="Q88" s="16"/>
      <c r="R88" s="16"/>
      <c r="S88" s="18"/>
      <c r="T88" s="18"/>
      <c r="U88" s="16"/>
      <c r="V88" s="16"/>
      <c r="W88" s="16"/>
      <c r="X88" s="17" t="str">
        <f aca="false">IF(A88="","",IF(OR(B88="",F88="",G88="",H88=""),"Control, test type, attributes, procedure needed",IF(COUNTIF(Ref_CTRL!$A$2:$A$201,B88)=0,"CTRL-ID not in W05",IF(LEFT(A88,LEN(B88)+1)&lt;&gt;B88&amp;"-","TEST-ID must start with CTRL-ID-",IF(AND(F88="TOE",I88=""),"Population EV-ID needed (TOE)",IF(AND(I88&lt;&gt;"",J88&lt;&gt;"Pass"),"HOLD: population IPE not Pass",IF(AND(F88="TOE",M88=""),"Sample size needed",IF(AND(F88="TOE",OR(M88&lt;IFERROR(INDEX(Sample_Guide!$C$5:$C$20,MATCH(E88,Sample_Guide!$A$5:$A$20,0)),0),M88&gt;IFERROR(INDEX(Sample_Guide!$D$5:$D$20,MATCH(E88,Sample_Guide!$A$5:$A$20,0)),9999))),"Sample outside guide: justify",IF(OR(Q88="",R88=""),"Tester and reviewer needed",IF(Q88=R88,"Tester and reviewer must differ",IF(AND(W88&lt;&gt;"",W88&lt;&gt;"Not started",V88&lt;&gt;"Reviewed",V88&lt;&gt;"Closed"),"Result only after review","OK")))))))))))</f>
        <v/>
      </c>
    </row>
    <row r="89" customFormat="false" ht="15" hidden="false" customHeight="false" outlineLevel="0" collapsed="false">
      <c r="A89" s="16"/>
      <c r="B89" s="16"/>
      <c r="C89" s="17" t="str">
        <f aca="false">IFERROR(INDEX(Ref_CTRL!$B$2:$B$201,MATCH(B89,Ref_CTRL!$A$2:$A$201,0)),"")</f>
        <v/>
      </c>
      <c r="D89" s="17" t="str">
        <f aca="false">IFERROR(INDEX(Ref_CTRL!$C$2:$C$201,MATCH(B89,Ref_CTRL!$A$2:$A$201,0)),"")</f>
        <v/>
      </c>
      <c r="E89" s="17" t="str">
        <f aca="false">IFERROR(INDEX(Ref_CTRL!$D$2:$D$201,MATCH(B89,Ref_CTRL!$A$2:$A$201,0)),"")</f>
        <v/>
      </c>
      <c r="F89" s="16"/>
      <c r="G89" s="16"/>
      <c r="H89" s="16"/>
      <c r="I89" s="16"/>
      <c r="J89" s="17" t="str">
        <f aca="false">IFERROR(INDEX(Ref_EV!$B$2:$B$201,MATCH(I89,Ref_EV!$A$2:$A$201,0)),"")</f>
        <v/>
      </c>
      <c r="K89" s="17" t="str">
        <f aca="false">IFERROR(INDEX(Ref_EV!$C$2:$C$201,MATCH(I89,Ref_EV!$A$2:$A$201,0)),"")</f>
        <v/>
      </c>
      <c r="L89" s="17" t="str">
        <f aca="false">IF(F89="TOD","1",IFERROR(INDEX(Sample_Guide!$C$5:$C$20,MATCH(E89,Sample_Guide!$A$5:$A$20,0))&amp;"–"&amp;INDEX(Sample_Guide!$D$5:$D$20,MATCH(E89,Sample_Guide!$A$5:$A$20,0)),""))</f>
        <v/>
      </c>
      <c r="M89" s="16"/>
      <c r="N89" s="18"/>
      <c r="O89" s="18"/>
      <c r="P89" s="17" t="str">
        <f aca="false">IF(A89="","",IF(OR(D89="ITAC",D89="IPE",D89="ITDM"),"Y","N"))</f>
        <v/>
      </c>
      <c r="Q89" s="16"/>
      <c r="R89" s="16"/>
      <c r="S89" s="18"/>
      <c r="T89" s="18"/>
      <c r="U89" s="16"/>
      <c r="V89" s="16"/>
      <c r="W89" s="16"/>
      <c r="X89" s="17" t="str">
        <f aca="false">IF(A89="","",IF(OR(B89="",F89="",G89="",H89=""),"Control, test type, attributes, procedure needed",IF(COUNTIF(Ref_CTRL!$A$2:$A$201,B89)=0,"CTRL-ID not in W05",IF(LEFT(A89,LEN(B89)+1)&lt;&gt;B89&amp;"-","TEST-ID must start with CTRL-ID-",IF(AND(F89="TOE",I89=""),"Population EV-ID needed (TOE)",IF(AND(I89&lt;&gt;"",J89&lt;&gt;"Pass"),"HOLD: population IPE not Pass",IF(AND(F89="TOE",M89=""),"Sample size needed",IF(AND(F89="TOE",OR(M89&lt;IFERROR(INDEX(Sample_Guide!$C$5:$C$20,MATCH(E89,Sample_Guide!$A$5:$A$20,0)),0),M89&gt;IFERROR(INDEX(Sample_Guide!$D$5:$D$20,MATCH(E89,Sample_Guide!$A$5:$A$20,0)),9999))),"Sample outside guide: justify",IF(OR(Q89="",R89=""),"Tester and reviewer needed",IF(Q89=R89,"Tester and reviewer must differ",IF(AND(W89&lt;&gt;"",W89&lt;&gt;"Not started",V89&lt;&gt;"Reviewed",V89&lt;&gt;"Closed"),"Result only after review","OK")))))))))))</f>
        <v/>
      </c>
    </row>
    <row r="90" customFormat="false" ht="15" hidden="false" customHeight="false" outlineLevel="0" collapsed="false">
      <c r="A90" s="16"/>
      <c r="B90" s="16"/>
      <c r="C90" s="17" t="str">
        <f aca="false">IFERROR(INDEX(Ref_CTRL!$B$2:$B$201,MATCH(B90,Ref_CTRL!$A$2:$A$201,0)),"")</f>
        <v/>
      </c>
      <c r="D90" s="17" t="str">
        <f aca="false">IFERROR(INDEX(Ref_CTRL!$C$2:$C$201,MATCH(B90,Ref_CTRL!$A$2:$A$201,0)),"")</f>
        <v/>
      </c>
      <c r="E90" s="17" t="str">
        <f aca="false">IFERROR(INDEX(Ref_CTRL!$D$2:$D$201,MATCH(B90,Ref_CTRL!$A$2:$A$201,0)),"")</f>
        <v/>
      </c>
      <c r="F90" s="16"/>
      <c r="G90" s="16"/>
      <c r="H90" s="16"/>
      <c r="I90" s="16"/>
      <c r="J90" s="17" t="str">
        <f aca="false">IFERROR(INDEX(Ref_EV!$B$2:$B$201,MATCH(I90,Ref_EV!$A$2:$A$201,0)),"")</f>
        <v/>
      </c>
      <c r="K90" s="17" t="str">
        <f aca="false">IFERROR(INDEX(Ref_EV!$C$2:$C$201,MATCH(I90,Ref_EV!$A$2:$A$201,0)),"")</f>
        <v/>
      </c>
      <c r="L90" s="17" t="str">
        <f aca="false">IF(F90="TOD","1",IFERROR(INDEX(Sample_Guide!$C$5:$C$20,MATCH(E90,Sample_Guide!$A$5:$A$20,0))&amp;"–"&amp;INDEX(Sample_Guide!$D$5:$D$20,MATCH(E90,Sample_Guide!$A$5:$A$20,0)),""))</f>
        <v/>
      </c>
      <c r="M90" s="16"/>
      <c r="N90" s="18"/>
      <c r="O90" s="18"/>
      <c r="P90" s="17" t="str">
        <f aca="false">IF(A90="","",IF(OR(D90="ITAC",D90="IPE",D90="ITDM"),"Y","N"))</f>
        <v/>
      </c>
      <c r="Q90" s="16"/>
      <c r="R90" s="16"/>
      <c r="S90" s="18"/>
      <c r="T90" s="18"/>
      <c r="U90" s="16"/>
      <c r="V90" s="16"/>
      <c r="W90" s="16"/>
      <c r="X90" s="17" t="str">
        <f aca="false">IF(A90="","",IF(OR(B90="",F90="",G90="",H90=""),"Control, test type, attributes, procedure needed",IF(COUNTIF(Ref_CTRL!$A$2:$A$201,B90)=0,"CTRL-ID not in W05",IF(LEFT(A90,LEN(B90)+1)&lt;&gt;B90&amp;"-","TEST-ID must start with CTRL-ID-",IF(AND(F90="TOE",I90=""),"Population EV-ID needed (TOE)",IF(AND(I90&lt;&gt;"",J90&lt;&gt;"Pass"),"HOLD: population IPE not Pass",IF(AND(F90="TOE",M90=""),"Sample size needed",IF(AND(F90="TOE",OR(M90&lt;IFERROR(INDEX(Sample_Guide!$C$5:$C$20,MATCH(E90,Sample_Guide!$A$5:$A$20,0)),0),M90&gt;IFERROR(INDEX(Sample_Guide!$D$5:$D$20,MATCH(E90,Sample_Guide!$A$5:$A$20,0)),9999))),"Sample outside guide: justify",IF(OR(Q90="",R90=""),"Tester and reviewer needed",IF(Q90=R90,"Tester and reviewer must differ",IF(AND(W90&lt;&gt;"",W90&lt;&gt;"Not started",V90&lt;&gt;"Reviewed",V90&lt;&gt;"Closed"),"Result only after review","OK")))))))))))</f>
        <v/>
      </c>
    </row>
    <row r="91" customFormat="false" ht="15" hidden="false" customHeight="false" outlineLevel="0" collapsed="false">
      <c r="A91" s="16"/>
      <c r="B91" s="16"/>
      <c r="C91" s="17" t="str">
        <f aca="false">IFERROR(INDEX(Ref_CTRL!$B$2:$B$201,MATCH(B91,Ref_CTRL!$A$2:$A$201,0)),"")</f>
        <v/>
      </c>
      <c r="D91" s="17" t="str">
        <f aca="false">IFERROR(INDEX(Ref_CTRL!$C$2:$C$201,MATCH(B91,Ref_CTRL!$A$2:$A$201,0)),"")</f>
        <v/>
      </c>
      <c r="E91" s="17" t="str">
        <f aca="false">IFERROR(INDEX(Ref_CTRL!$D$2:$D$201,MATCH(B91,Ref_CTRL!$A$2:$A$201,0)),"")</f>
        <v/>
      </c>
      <c r="F91" s="16"/>
      <c r="G91" s="16"/>
      <c r="H91" s="16"/>
      <c r="I91" s="16"/>
      <c r="J91" s="17" t="str">
        <f aca="false">IFERROR(INDEX(Ref_EV!$B$2:$B$201,MATCH(I91,Ref_EV!$A$2:$A$201,0)),"")</f>
        <v/>
      </c>
      <c r="K91" s="17" t="str">
        <f aca="false">IFERROR(INDEX(Ref_EV!$C$2:$C$201,MATCH(I91,Ref_EV!$A$2:$A$201,0)),"")</f>
        <v/>
      </c>
      <c r="L91" s="17" t="str">
        <f aca="false">IF(F91="TOD","1",IFERROR(INDEX(Sample_Guide!$C$5:$C$20,MATCH(E91,Sample_Guide!$A$5:$A$20,0))&amp;"–"&amp;INDEX(Sample_Guide!$D$5:$D$20,MATCH(E91,Sample_Guide!$A$5:$A$20,0)),""))</f>
        <v/>
      </c>
      <c r="M91" s="16"/>
      <c r="N91" s="18"/>
      <c r="O91" s="18"/>
      <c r="P91" s="17" t="str">
        <f aca="false">IF(A91="","",IF(OR(D91="ITAC",D91="IPE",D91="ITDM"),"Y","N"))</f>
        <v/>
      </c>
      <c r="Q91" s="16"/>
      <c r="R91" s="16"/>
      <c r="S91" s="18"/>
      <c r="T91" s="18"/>
      <c r="U91" s="16"/>
      <c r="V91" s="16"/>
      <c r="W91" s="16"/>
      <c r="X91" s="17" t="str">
        <f aca="false">IF(A91="","",IF(OR(B91="",F91="",G91="",H91=""),"Control, test type, attributes, procedure needed",IF(COUNTIF(Ref_CTRL!$A$2:$A$201,B91)=0,"CTRL-ID not in W05",IF(LEFT(A91,LEN(B91)+1)&lt;&gt;B91&amp;"-","TEST-ID must start with CTRL-ID-",IF(AND(F91="TOE",I91=""),"Population EV-ID needed (TOE)",IF(AND(I91&lt;&gt;"",J91&lt;&gt;"Pass"),"HOLD: population IPE not Pass",IF(AND(F91="TOE",M91=""),"Sample size needed",IF(AND(F91="TOE",OR(M91&lt;IFERROR(INDEX(Sample_Guide!$C$5:$C$20,MATCH(E91,Sample_Guide!$A$5:$A$20,0)),0),M91&gt;IFERROR(INDEX(Sample_Guide!$D$5:$D$20,MATCH(E91,Sample_Guide!$A$5:$A$20,0)),9999))),"Sample outside guide: justify",IF(OR(Q91="",R91=""),"Tester and reviewer needed",IF(Q91=R91,"Tester and reviewer must differ",IF(AND(W91&lt;&gt;"",W91&lt;&gt;"Not started",V91&lt;&gt;"Reviewed",V91&lt;&gt;"Closed"),"Result only after review","OK")))))))))))</f>
        <v/>
      </c>
    </row>
    <row r="92" customFormat="false" ht="15" hidden="false" customHeight="false" outlineLevel="0" collapsed="false">
      <c r="A92" s="16"/>
      <c r="B92" s="16"/>
      <c r="C92" s="17" t="str">
        <f aca="false">IFERROR(INDEX(Ref_CTRL!$B$2:$B$201,MATCH(B92,Ref_CTRL!$A$2:$A$201,0)),"")</f>
        <v/>
      </c>
      <c r="D92" s="17" t="str">
        <f aca="false">IFERROR(INDEX(Ref_CTRL!$C$2:$C$201,MATCH(B92,Ref_CTRL!$A$2:$A$201,0)),"")</f>
        <v/>
      </c>
      <c r="E92" s="17" t="str">
        <f aca="false">IFERROR(INDEX(Ref_CTRL!$D$2:$D$201,MATCH(B92,Ref_CTRL!$A$2:$A$201,0)),"")</f>
        <v/>
      </c>
      <c r="F92" s="16"/>
      <c r="G92" s="16"/>
      <c r="H92" s="16"/>
      <c r="I92" s="16"/>
      <c r="J92" s="17" t="str">
        <f aca="false">IFERROR(INDEX(Ref_EV!$B$2:$B$201,MATCH(I92,Ref_EV!$A$2:$A$201,0)),"")</f>
        <v/>
      </c>
      <c r="K92" s="17" t="str">
        <f aca="false">IFERROR(INDEX(Ref_EV!$C$2:$C$201,MATCH(I92,Ref_EV!$A$2:$A$201,0)),"")</f>
        <v/>
      </c>
      <c r="L92" s="17" t="str">
        <f aca="false">IF(F92="TOD","1",IFERROR(INDEX(Sample_Guide!$C$5:$C$20,MATCH(E92,Sample_Guide!$A$5:$A$20,0))&amp;"–"&amp;INDEX(Sample_Guide!$D$5:$D$20,MATCH(E92,Sample_Guide!$A$5:$A$20,0)),""))</f>
        <v/>
      </c>
      <c r="M92" s="16"/>
      <c r="N92" s="18"/>
      <c r="O92" s="18"/>
      <c r="P92" s="17" t="str">
        <f aca="false">IF(A92="","",IF(OR(D92="ITAC",D92="IPE",D92="ITDM"),"Y","N"))</f>
        <v/>
      </c>
      <c r="Q92" s="16"/>
      <c r="R92" s="16"/>
      <c r="S92" s="18"/>
      <c r="T92" s="18"/>
      <c r="U92" s="16"/>
      <c r="V92" s="16"/>
      <c r="W92" s="16"/>
      <c r="X92" s="17" t="str">
        <f aca="false">IF(A92="","",IF(OR(B92="",F92="",G92="",H92=""),"Control, test type, attributes, procedure needed",IF(COUNTIF(Ref_CTRL!$A$2:$A$201,B92)=0,"CTRL-ID not in W05",IF(LEFT(A92,LEN(B92)+1)&lt;&gt;B92&amp;"-","TEST-ID must start with CTRL-ID-",IF(AND(F92="TOE",I92=""),"Population EV-ID needed (TOE)",IF(AND(I92&lt;&gt;"",J92&lt;&gt;"Pass"),"HOLD: population IPE not Pass",IF(AND(F92="TOE",M92=""),"Sample size needed",IF(AND(F92="TOE",OR(M92&lt;IFERROR(INDEX(Sample_Guide!$C$5:$C$20,MATCH(E92,Sample_Guide!$A$5:$A$20,0)),0),M92&gt;IFERROR(INDEX(Sample_Guide!$D$5:$D$20,MATCH(E92,Sample_Guide!$A$5:$A$20,0)),9999))),"Sample outside guide: justify",IF(OR(Q92="",R92=""),"Tester and reviewer needed",IF(Q92=R92,"Tester and reviewer must differ",IF(AND(W92&lt;&gt;"",W92&lt;&gt;"Not started",V92&lt;&gt;"Reviewed",V92&lt;&gt;"Closed"),"Result only after review","OK")))))))))))</f>
        <v/>
      </c>
    </row>
    <row r="93" customFormat="false" ht="15" hidden="false" customHeight="false" outlineLevel="0" collapsed="false">
      <c r="A93" s="16"/>
      <c r="B93" s="16"/>
      <c r="C93" s="17" t="str">
        <f aca="false">IFERROR(INDEX(Ref_CTRL!$B$2:$B$201,MATCH(B93,Ref_CTRL!$A$2:$A$201,0)),"")</f>
        <v/>
      </c>
      <c r="D93" s="17" t="str">
        <f aca="false">IFERROR(INDEX(Ref_CTRL!$C$2:$C$201,MATCH(B93,Ref_CTRL!$A$2:$A$201,0)),"")</f>
        <v/>
      </c>
      <c r="E93" s="17" t="str">
        <f aca="false">IFERROR(INDEX(Ref_CTRL!$D$2:$D$201,MATCH(B93,Ref_CTRL!$A$2:$A$201,0)),"")</f>
        <v/>
      </c>
      <c r="F93" s="16"/>
      <c r="G93" s="16"/>
      <c r="H93" s="16"/>
      <c r="I93" s="16"/>
      <c r="J93" s="17" t="str">
        <f aca="false">IFERROR(INDEX(Ref_EV!$B$2:$B$201,MATCH(I93,Ref_EV!$A$2:$A$201,0)),"")</f>
        <v/>
      </c>
      <c r="K93" s="17" t="str">
        <f aca="false">IFERROR(INDEX(Ref_EV!$C$2:$C$201,MATCH(I93,Ref_EV!$A$2:$A$201,0)),"")</f>
        <v/>
      </c>
      <c r="L93" s="17" t="str">
        <f aca="false">IF(F93="TOD","1",IFERROR(INDEX(Sample_Guide!$C$5:$C$20,MATCH(E93,Sample_Guide!$A$5:$A$20,0))&amp;"–"&amp;INDEX(Sample_Guide!$D$5:$D$20,MATCH(E93,Sample_Guide!$A$5:$A$20,0)),""))</f>
        <v/>
      </c>
      <c r="M93" s="16"/>
      <c r="N93" s="18"/>
      <c r="O93" s="18"/>
      <c r="P93" s="17" t="str">
        <f aca="false">IF(A93="","",IF(OR(D93="ITAC",D93="IPE",D93="ITDM"),"Y","N"))</f>
        <v/>
      </c>
      <c r="Q93" s="16"/>
      <c r="R93" s="16"/>
      <c r="S93" s="18"/>
      <c r="T93" s="18"/>
      <c r="U93" s="16"/>
      <c r="V93" s="16"/>
      <c r="W93" s="16"/>
      <c r="X93" s="17" t="str">
        <f aca="false">IF(A93="","",IF(OR(B93="",F93="",G93="",H93=""),"Control, test type, attributes, procedure needed",IF(COUNTIF(Ref_CTRL!$A$2:$A$201,B93)=0,"CTRL-ID not in W05",IF(LEFT(A93,LEN(B93)+1)&lt;&gt;B93&amp;"-","TEST-ID must start with CTRL-ID-",IF(AND(F93="TOE",I93=""),"Population EV-ID needed (TOE)",IF(AND(I93&lt;&gt;"",J93&lt;&gt;"Pass"),"HOLD: population IPE not Pass",IF(AND(F93="TOE",M93=""),"Sample size needed",IF(AND(F93="TOE",OR(M93&lt;IFERROR(INDEX(Sample_Guide!$C$5:$C$20,MATCH(E93,Sample_Guide!$A$5:$A$20,0)),0),M93&gt;IFERROR(INDEX(Sample_Guide!$D$5:$D$20,MATCH(E93,Sample_Guide!$A$5:$A$20,0)),9999))),"Sample outside guide: justify",IF(OR(Q93="",R93=""),"Tester and reviewer needed",IF(Q93=R93,"Tester and reviewer must differ",IF(AND(W93&lt;&gt;"",W93&lt;&gt;"Not started",V93&lt;&gt;"Reviewed",V93&lt;&gt;"Closed"),"Result only after review","OK")))))))))))</f>
        <v/>
      </c>
    </row>
    <row r="94" customFormat="false" ht="15" hidden="false" customHeight="false" outlineLevel="0" collapsed="false">
      <c r="A94" s="16"/>
      <c r="B94" s="16"/>
      <c r="C94" s="17" t="str">
        <f aca="false">IFERROR(INDEX(Ref_CTRL!$B$2:$B$201,MATCH(B94,Ref_CTRL!$A$2:$A$201,0)),"")</f>
        <v/>
      </c>
      <c r="D94" s="17" t="str">
        <f aca="false">IFERROR(INDEX(Ref_CTRL!$C$2:$C$201,MATCH(B94,Ref_CTRL!$A$2:$A$201,0)),"")</f>
        <v/>
      </c>
      <c r="E94" s="17" t="str">
        <f aca="false">IFERROR(INDEX(Ref_CTRL!$D$2:$D$201,MATCH(B94,Ref_CTRL!$A$2:$A$201,0)),"")</f>
        <v/>
      </c>
      <c r="F94" s="16"/>
      <c r="G94" s="16"/>
      <c r="H94" s="16"/>
      <c r="I94" s="16"/>
      <c r="J94" s="17" t="str">
        <f aca="false">IFERROR(INDEX(Ref_EV!$B$2:$B$201,MATCH(I94,Ref_EV!$A$2:$A$201,0)),"")</f>
        <v/>
      </c>
      <c r="K94" s="17" t="str">
        <f aca="false">IFERROR(INDEX(Ref_EV!$C$2:$C$201,MATCH(I94,Ref_EV!$A$2:$A$201,0)),"")</f>
        <v/>
      </c>
      <c r="L94" s="17" t="str">
        <f aca="false">IF(F94="TOD","1",IFERROR(INDEX(Sample_Guide!$C$5:$C$20,MATCH(E94,Sample_Guide!$A$5:$A$20,0))&amp;"–"&amp;INDEX(Sample_Guide!$D$5:$D$20,MATCH(E94,Sample_Guide!$A$5:$A$20,0)),""))</f>
        <v/>
      </c>
      <c r="M94" s="16"/>
      <c r="N94" s="18"/>
      <c r="O94" s="18"/>
      <c r="P94" s="17" t="str">
        <f aca="false">IF(A94="","",IF(OR(D94="ITAC",D94="IPE",D94="ITDM"),"Y","N"))</f>
        <v/>
      </c>
      <c r="Q94" s="16"/>
      <c r="R94" s="16"/>
      <c r="S94" s="18"/>
      <c r="T94" s="18"/>
      <c r="U94" s="16"/>
      <c r="V94" s="16"/>
      <c r="W94" s="16"/>
      <c r="X94" s="17" t="str">
        <f aca="false">IF(A94="","",IF(OR(B94="",F94="",G94="",H94=""),"Control, test type, attributes, procedure needed",IF(COUNTIF(Ref_CTRL!$A$2:$A$201,B94)=0,"CTRL-ID not in W05",IF(LEFT(A94,LEN(B94)+1)&lt;&gt;B94&amp;"-","TEST-ID must start with CTRL-ID-",IF(AND(F94="TOE",I94=""),"Population EV-ID needed (TOE)",IF(AND(I94&lt;&gt;"",J94&lt;&gt;"Pass"),"HOLD: population IPE not Pass",IF(AND(F94="TOE",M94=""),"Sample size needed",IF(AND(F94="TOE",OR(M94&lt;IFERROR(INDEX(Sample_Guide!$C$5:$C$20,MATCH(E94,Sample_Guide!$A$5:$A$20,0)),0),M94&gt;IFERROR(INDEX(Sample_Guide!$D$5:$D$20,MATCH(E94,Sample_Guide!$A$5:$A$20,0)),9999))),"Sample outside guide: justify",IF(OR(Q94="",R94=""),"Tester and reviewer needed",IF(Q94=R94,"Tester and reviewer must differ",IF(AND(W94&lt;&gt;"",W94&lt;&gt;"Not started",V94&lt;&gt;"Reviewed",V94&lt;&gt;"Closed"),"Result only after review","OK")))))))))))</f>
        <v/>
      </c>
    </row>
    <row r="95" customFormat="false" ht="15" hidden="false" customHeight="false" outlineLevel="0" collapsed="false">
      <c r="A95" s="16"/>
      <c r="B95" s="16"/>
      <c r="C95" s="17" t="str">
        <f aca="false">IFERROR(INDEX(Ref_CTRL!$B$2:$B$201,MATCH(B95,Ref_CTRL!$A$2:$A$201,0)),"")</f>
        <v/>
      </c>
      <c r="D95" s="17" t="str">
        <f aca="false">IFERROR(INDEX(Ref_CTRL!$C$2:$C$201,MATCH(B95,Ref_CTRL!$A$2:$A$201,0)),"")</f>
        <v/>
      </c>
      <c r="E95" s="17" t="str">
        <f aca="false">IFERROR(INDEX(Ref_CTRL!$D$2:$D$201,MATCH(B95,Ref_CTRL!$A$2:$A$201,0)),"")</f>
        <v/>
      </c>
      <c r="F95" s="16"/>
      <c r="G95" s="16"/>
      <c r="H95" s="16"/>
      <c r="I95" s="16"/>
      <c r="J95" s="17" t="str">
        <f aca="false">IFERROR(INDEX(Ref_EV!$B$2:$B$201,MATCH(I95,Ref_EV!$A$2:$A$201,0)),"")</f>
        <v/>
      </c>
      <c r="K95" s="17" t="str">
        <f aca="false">IFERROR(INDEX(Ref_EV!$C$2:$C$201,MATCH(I95,Ref_EV!$A$2:$A$201,0)),"")</f>
        <v/>
      </c>
      <c r="L95" s="17" t="str">
        <f aca="false">IF(F95="TOD","1",IFERROR(INDEX(Sample_Guide!$C$5:$C$20,MATCH(E95,Sample_Guide!$A$5:$A$20,0))&amp;"–"&amp;INDEX(Sample_Guide!$D$5:$D$20,MATCH(E95,Sample_Guide!$A$5:$A$20,0)),""))</f>
        <v/>
      </c>
      <c r="M95" s="16"/>
      <c r="N95" s="18"/>
      <c r="O95" s="18"/>
      <c r="P95" s="17" t="str">
        <f aca="false">IF(A95="","",IF(OR(D95="ITAC",D95="IPE",D95="ITDM"),"Y","N"))</f>
        <v/>
      </c>
      <c r="Q95" s="16"/>
      <c r="R95" s="16"/>
      <c r="S95" s="18"/>
      <c r="T95" s="18"/>
      <c r="U95" s="16"/>
      <c r="V95" s="16"/>
      <c r="W95" s="16"/>
      <c r="X95" s="17" t="str">
        <f aca="false">IF(A95="","",IF(OR(B95="",F95="",G95="",H95=""),"Control, test type, attributes, procedure needed",IF(COUNTIF(Ref_CTRL!$A$2:$A$201,B95)=0,"CTRL-ID not in W05",IF(LEFT(A95,LEN(B95)+1)&lt;&gt;B95&amp;"-","TEST-ID must start with CTRL-ID-",IF(AND(F95="TOE",I95=""),"Population EV-ID needed (TOE)",IF(AND(I95&lt;&gt;"",J95&lt;&gt;"Pass"),"HOLD: population IPE not Pass",IF(AND(F95="TOE",M95=""),"Sample size needed",IF(AND(F95="TOE",OR(M95&lt;IFERROR(INDEX(Sample_Guide!$C$5:$C$20,MATCH(E95,Sample_Guide!$A$5:$A$20,0)),0),M95&gt;IFERROR(INDEX(Sample_Guide!$D$5:$D$20,MATCH(E95,Sample_Guide!$A$5:$A$20,0)),9999))),"Sample outside guide: justify",IF(OR(Q95="",R95=""),"Tester and reviewer needed",IF(Q95=R95,"Tester and reviewer must differ",IF(AND(W95&lt;&gt;"",W95&lt;&gt;"Not started",V95&lt;&gt;"Reviewed",V95&lt;&gt;"Closed"),"Result only after review","OK")))))))))))</f>
        <v/>
      </c>
    </row>
    <row r="96" customFormat="false" ht="15" hidden="false" customHeight="false" outlineLevel="0" collapsed="false">
      <c r="A96" s="16"/>
      <c r="B96" s="16"/>
      <c r="C96" s="17" t="str">
        <f aca="false">IFERROR(INDEX(Ref_CTRL!$B$2:$B$201,MATCH(B96,Ref_CTRL!$A$2:$A$201,0)),"")</f>
        <v/>
      </c>
      <c r="D96" s="17" t="str">
        <f aca="false">IFERROR(INDEX(Ref_CTRL!$C$2:$C$201,MATCH(B96,Ref_CTRL!$A$2:$A$201,0)),"")</f>
        <v/>
      </c>
      <c r="E96" s="17" t="str">
        <f aca="false">IFERROR(INDEX(Ref_CTRL!$D$2:$D$201,MATCH(B96,Ref_CTRL!$A$2:$A$201,0)),"")</f>
        <v/>
      </c>
      <c r="F96" s="16"/>
      <c r="G96" s="16"/>
      <c r="H96" s="16"/>
      <c r="I96" s="16"/>
      <c r="J96" s="17" t="str">
        <f aca="false">IFERROR(INDEX(Ref_EV!$B$2:$B$201,MATCH(I96,Ref_EV!$A$2:$A$201,0)),"")</f>
        <v/>
      </c>
      <c r="K96" s="17" t="str">
        <f aca="false">IFERROR(INDEX(Ref_EV!$C$2:$C$201,MATCH(I96,Ref_EV!$A$2:$A$201,0)),"")</f>
        <v/>
      </c>
      <c r="L96" s="17" t="str">
        <f aca="false">IF(F96="TOD","1",IFERROR(INDEX(Sample_Guide!$C$5:$C$20,MATCH(E96,Sample_Guide!$A$5:$A$20,0))&amp;"–"&amp;INDEX(Sample_Guide!$D$5:$D$20,MATCH(E96,Sample_Guide!$A$5:$A$20,0)),""))</f>
        <v/>
      </c>
      <c r="M96" s="16"/>
      <c r="N96" s="18"/>
      <c r="O96" s="18"/>
      <c r="P96" s="17" t="str">
        <f aca="false">IF(A96="","",IF(OR(D96="ITAC",D96="IPE",D96="ITDM"),"Y","N"))</f>
        <v/>
      </c>
      <c r="Q96" s="16"/>
      <c r="R96" s="16"/>
      <c r="S96" s="18"/>
      <c r="T96" s="18"/>
      <c r="U96" s="16"/>
      <c r="V96" s="16"/>
      <c r="W96" s="16"/>
      <c r="X96" s="17" t="str">
        <f aca="false">IF(A96="","",IF(OR(B96="",F96="",G96="",H96=""),"Control, test type, attributes, procedure needed",IF(COUNTIF(Ref_CTRL!$A$2:$A$201,B96)=0,"CTRL-ID not in W05",IF(LEFT(A96,LEN(B96)+1)&lt;&gt;B96&amp;"-","TEST-ID must start with CTRL-ID-",IF(AND(F96="TOE",I96=""),"Population EV-ID needed (TOE)",IF(AND(I96&lt;&gt;"",J96&lt;&gt;"Pass"),"HOLD: population IPE not Pass",IF(AND(F96="TOE",M96=""),"Sample size needed",IF(AND(F96="TOE",OR(M96&lt;IFERROR(INDEX(Sample_Guide!$C$5:$C$20,MATCH(E96,Sample_Guide!$A$5:$A$20,0)),0),M96&gt;IFERROR(INDEX(Sample_Guide!$D$5:$D$20,MATCH(E96,Sample_Guide!$A$5:$A$20,0)),9999))),"Sample outside guide: justify",IF(OR(Q96="",R96=""),"Tester and reviewer needed",IF(Q96=R96,"Tester and reviewer must differ",IF(AND(W96&lt;&gt;"",W96&lt;&gt;"Not started",V96&lt;&gt;"Reviewed",V96&lt;&gt;"Closed"),"Result only after review","OK")))))))))))</f>
        <v/>
      </c>
    </row>
    <row r="97" customFormat="false" ht="15" hidden="false" customHeight="false" outlineLevel="0" collapsed="false">
      <c r="A97" s="16"/>
      <c r="B97" s="16"/>
      <c r="C97" s="17" t="str">
        <f aca="false">IFERROR(INDEX(Ref_CTRL!$B$2:$B$201,MATCH(B97,Ref_CTRL!$A$2:$A$201,0)),"")</f>
        <v/>
      </c>
      <c r="D97" s="17" t="str">
        <f aca="false">IFERROR(INDEX(Ref_CTRL!$C$2:$C$201,MATCH(B97,Ref_CTRL!$A$2:$A$201,0)),"")</f>
        <v/>
      </c>
      <c r="E97" s="17" t="str">
        <f aca="false">IFERROR(INDEX(Ref_CTRL!$D$2:$D$201,MATCH(B97,Ref_CTRL!$A$2:$A$201,0)),"")</f>
        <v/>
      </c>
      <c r="F97" s="16"/>
      <c r="G97" s="16"/>
      <c r="H97" s="16"/>
      <c r="I97" s="16"/>
      <c r="J97" s="17" t="str">
        <f aca="false">IFERROR(INDEX(Ref_EV!$B$2:$B$201,MATCH(I97,Ref_EV!$A$2:$A$201,0)),"")</f>
        <v/>
      </c>
      <c r="K97" s="17" t="str">
        <f aca="false">IFERROR(INDEX(Ref_EV!$C$2:$C$201,MATCH(I97,Ref_EV!$A$2:$A$201,0)),"")</f>
        <v/>
      </c>
      <c r="L97" s="17" t="str">
        <f aca="false">IF(F97="TOD","1",IFERROR(INDEX(Sample_Guide!$C$5:$C$20,MATCH(E97,Sample_Guide!$A$5:$A$20,0))&amp;"–"&amp;INDEX(Sample_Guide!$D$5:$D$20,MATCH(E97,Sample_Guide!$A$5:$A$20,0)),""))</f>
        <v/>
      </c>
      <c r="M97" s="16"/>
      <c r="N97" s="18"/>
      <c r="O97" s="18"/>
      <c r="P97" s="17" t="str">
        <f aca="false">IF(A97="","",IF(OR(D97="ITAC",D97="IPE",D97="ITDM"),"Y","N"))</f>
        <v/>
      </c>
      <c r="Q97" s="16"/>
      <c r="R97" s="16"/>
      <c r="S97" s="18"/>
      <c r="T97" s="18"/>
      <c r="U97" s="16"/>
      <c r="V97" s="16"/>
      <c r="W97" s="16"/>
      <c r="X97" s="17" t="str">
        <f aca="false">IF(A97="","",IF(OR(B97="",F97="",G97="",H97=""),"Control, test type, attributes, procedure needed",IF(COUNTIF(Ref_CTRL!$A$2:$A$201,B97)=0,"CTRL-ID not in W05",IF(LEFT(A97,LEN(B97)+1)&lt;&gt;B97&amp;"-","TEST-ID must start with CTRL-ID-",IF(AND(F97="TOE",I97=""),"Population EV-ID needed (TOE)",IF(AND(I97&lt;&gt;"",J97&lt;&gt;"Pass"),"HOLD: population IPE not Pass",IF(AND(F97="TOE",M97=""),"Sample size needed",IF(AND(F97="TOE",OR(M97&lt;IFERROR(INDEX(Sample_Guide!$C$5:$C$20,MATCH(E97,Sample_Guide!$A$5:$A$20,0)),0),M97&gt;IFERROR(INDEX(Sample_Guide!$D$5:$D$20,MATCH(E97,Sample_Guide!$A$5:$A$20,0)),9999))),"Sample outside guide: justify",IF(OR(Q97="",R97=""),"Tester and reviewer needed",IF(Q97=R97,"Tester and reviewer must differ",IF(AND(W97&lt;&gt;"",W97&lt;&gt;"Not started",V97&lt;&gt;"Reviewed",V97&lt;&gt;"Closed"),"Result only after review","OK")))))))))))</f>
        <v/>
      </c>
    </row>
    <row r="98" customFormat="false" ht="15" hidden="false" customHeight="false" outlineLevel="0" collapsed="false">
      <c r="A98" s="16"/>
      <c r="B98" s="16"/>
      <c r="C98" s="17" t="str">
        <f aca="false">IFERROR(INDEX(Ref_CTRL!$B$2:$B$201,MATCH(B98,Ref_CTRL!$A$2:$A$201,0)),"")</f>
        <v/>
      </c>
      <c r="D98" s="17" t="str">
        <f aca="false">IFERROR(INDEX(Ref_CTRL!$C$2:$C$201,MATCH(B98,Ref_CTRL!$A$2:$A$201,0)),"")</f>
        <v/>
      </c>
      <c r="E98" s="17" t="str">
        <f aca="false">IFERROR(INDEX(Ref_CTRL!$D$2:$D$201,MATCH(B98,Ref_CTRL!$A$2:$A$201,0)),"")</f>
        <v/>
      </c>
      <c r="F98" s="16"/>
      <c r="G98" s="16"/>
      <c r="H98" s="16"/>
      <c r="I98" s="16"/>
      <c r="J98" s="17" t="str">
        <f aca="false">IFERROR(INDEX(Ref_EV!$B$2:$B$201,MATCH(I98,Ref_EV!$A$2:$A$201,0)),"")</f>
        <v/>
      </c>
      <c r="K98" s="17" t="str">
        <f aca="false">IFERROR(INDEX(Ref_EV!$C$2:$C$201,MATCH(I98,Ref_EV!$A$2:$A$201,0)),"")</f>
        <v/>
      </c>
      <c r="L98" s="17" t="str">
        <f aca="false">IF(F98="TOD","1",IFERROR(INDEX(Sample_Guide!$C$5:$C$20,MATCH(E98,Sample_Guide!$A$5:$A$20,0))&amp;"–"&amp;INDEX(Sample_Guide!$D$5:$D$20,MATCH(E98,Sample_Guide!$A$5:$A$20,0)),""))</f>
        <v/>
      </c>
      <c r="M98" s="16"/>
      <c r="N98" s="18"/>
      <c r="O98" s="18"/>
      <c r="P98" s="17" t="str">
        <f aca="false">IF(A98="","",IF(OR(D98="ITAC",D98="IPE",D98="ITDM"),"Y","N"))</f>
        <v/>
      </c>
      <c r="Q98" s="16"/>
      <c r="R98" s="16"/>
      <c r="S98" s="18"/>
      <c r="T98" s="18"/>
      <c r="U98" s="16"/>
      <c r="V98" s="16"/>
      <c r="W98" s="16"/>
      <c r="X98" s="17" t="str">
        <f aca="false">IF(A98="","",IF(OR(B98="",F98="",G98="",H98=""),"Control, test type, attributes, procedure needed",IF(COUNTIF(Ref_CTRL!$A$2:$A$201,B98)=0,"CTRL-ID not in W05",IF(LEFT(A98,LEN(B98)+1)&lt;&gt;B98&amp;"-","TEST-ID must start with CTRL-ID-",IF(AND(F98="TOE",I98=""),"Population EV-ID needed (TOE)",IF(AND(I98&lt;&gt;"",J98&lt;&gt;"Pass"),"HOLD: population IPE not Pass",IF(AND(F98="TOE",M98=""),"Sample size needed",IF(AND(F98="TOE",OR(M98&lt;IFERROR(INDEX(Sample_Guide!$C$5:$C$20,MATCH(E98,Sample_Guide!$A$5:$A$20,0)),0),M98&gt;IFERROR(INDEX(Sample_Guide!$D$5:$D$20,MATCH(E98,Sample_Guide!$A$5:$A$20,0)),9999))),"Sample outside guide: justify",IF(OR(Q98="",R98=""),"Tester and reviewer needed",IF(Q98=R98,"Tester and reviewer must differ",IF(AND(W98&lt;&gt;"",W98&lt;&gt;"Not started",V98&lt;&gt;"Reviewed",V98&lt;&gt;"Closed"),"Result only after review","OK")))))))))))</f>
        <v/>
      </c>
    </row>
    <row r="99" customFormat="false" ht="15" hidden="false" customHeight="false" outlineLevel="0" collapsed="false">
      <c r="A99" s="16"/>
      <c r="B99" s="16"/>
      <c r="C99" s="17" t="str">
        <f aca="false">IFERROR(INDEX(Ref_CTRL!$B$2:$B$201,MATCH(B99,Ref_CTRL!$A$2:$A$201,0)),"")</f>
        <v/>
      </c>
      <c r="D99" s="17" t="str">
        <f aca="false">IFERROR(INDEX(Ref_CTRL!$C$2:$C$201,MATCH(B99,Ref_CTRL!$A$2:$A$201,0)),"")</f>
        <v/>
      </c>
      <c r="E99" s="17" t="str">
        <f aca="false">IFERROR(INDEX(Ref_CTRL!$D$2:$D$201,MATCH(B99,Ref_CTRL!$A$2:$A$201,0)),"")</f>
        <v/>
      </c>
      <c r="F99" s="16"/>
      <c r="G99" s="16"/>
      <c r="H99" s="16"/>
      <c r="I99" s="16"/>
      <c r="J99" s="17" t="str">
        <f aca="false">IFERROR(INDEX(Ref_EV!$B$2:$B$201,MATCH(I99,Ref_EV!$A$2:$A$201,0)),"")</f>
        <v/>
      </c>
      <c r="K99" s="17" t="str">
        <f aca="false">IFERROR(INDEX(Ref_EV!$C$2:$C$201,MATCH(I99,Ref_EV!$A$2:$A$201,0)),"")</f>
        <v/>
      </c>
      <c r="L99" s="17" t="str">
        <f aca="false">IF(F99="TOD","1",IFERROR(INDEX(Sample_Guide!$C$5:$C$20,MATCH(E99,Sample_Guide!$A$5:$A$20,0))&amp;"–"&amp;INDEX(Sample_Guide!$D$5:$D$20,MATCH(E99,Sample_Guide!$A$5:$A$20,0)),""))</f>
        <v/>
      </c>
      <c r="M99" s="16"/>
      <c r="N99" s="18"/>
      <c r="O99" s="18"/>
      <c r="P99" s="17" t="str">
        <f aca="false">IF(A99="","",IF(OR(D99="ITAC",D99="IPE",D99="ITDM"),"Y","N"))</f>
        <v/>
      </c>
      <c r="Q99" s="16"/>
      <c r="R99" s="16"/>
      <c r="S99" s="18"/>
      <c r="T99" s="18"/>
      <c r="U99" s="16"/>
      <c r="V99" s="16"/>
      <c r="W99" s="16"/>
      <c r="X99" s="17" t="str">
        <f aca="false">IF(A99="","",IF(OR(B99="",F99="",G99="",H99=""),"Control, test type, attributes, procedure needed",IF(COUNTIF(Ref_CTRL!$A$2:$A$201,B99)=0,"CTRL-ID not in W05",IF(LEFT(A99,LEN(B99)+1)&lt;&gt;B99&amp;"-","TEST-ID must start with CTRL-ID-",IF(AND(F99="TOE",I99=""),"Population EV-ID needed (TOE)",IF(AND(I99&lt;&gt;"",J99&lt;&gt;"Pass"),"HOLD: population IPE not Pass",IF(AND(F99="TOE",M99=""),"Sample size needed",IF(AND(F99="TOE",OR(M99&lt;IFERROR(INDEX(Sample_Guide!$C$5:$C$20,MATCH(E99,Sample_Guide!$A$5:$A$20,0)),0),M99&gt;IFERROR(INDEX(Sample_Guide!$D$5:$D$20,MATCH(E99,Sample_Guide!$A$5:$A$20,0)),9999))),"Sample outside guide: justify",IF(OR(Q99="",R99=""),"Tester and reviewer needed",IF(Q99=R99,"Tester and reviewer must differ",IF(AND(W99&lt;&gt;"",W99&lt;&gt;"Not started",V99&lt;&gt;"Reviewed",V99&lt;&gt;"Closed"),"Result only after review","OK")))))))))))</f>
        <v/>
      </c>
    </row>
    <row r="100" customFormat="false" ht="15" hidden="false" customHeight="false" outlineLevel="0" collapsed="false">
      <c r="A100" s="16"/>
      <c r="B100" s="16"/>
      <c r="C100" s="17" t="str">
        <f aca="false">IFERROR(INDEX(Ref_CTRL!$B$2:$B$201,MATCH(B100,Ref_CTRL!$A$2:$A$201,0)),"")</f>
        <v/>
      </c>
      <c r="D100" s="17" t="str">
        <f aca="false">IFERROR(INDEX(Ref_CTRL!$C$2:$C$201,MATCH(B100,Ref_CTRL!$A$2:$A$201,0)),"")</f>
        <v/>
      </c>
      <c r="E100" s="17" t="str">
        <f aca="false">IFERROR(INDEX(Ref_CTRL!$D$2:$D$201,MATCH(B100,Ref_CTRL!$A$2:$A$201,0)),"")</f>
        <v/>
      </c>
      <c r="F100" s="16"/>
      <c r="G100" s="16"/>
      <c r="H100" s="16"/>
      <c r="I100" s="16"/>
      <c r="J100" s="17" t="str">
        <f aca="false">IFERROR(INDEX(Ref_EV!$B$2:$B$201,MATCH(I100,Ref_EV!$A$2:$A$201,0)),"")</f>
        <v/>
      </c>
      <c r="K100" s="17" t="str">
        <f aca="false">IFERROR(INDEX(Ref_EV!$C$2:$C$201,MATCH(I100,Ref_EV!$A$2:$A$201,0)),"")</f>
        <v/>
      </c>
      <c r="L100" s="17" t="str">
        <f aca="false">IF(F100="TOD","1",IFERROR(INDEX(Sample_Guide!$C$5:$C$20,MATCH(E100,Sample_Guide!$A$5:$A$20,0))&amp;"–"&amp;INDEX(Sample_Guide!$D$5:$D$20,MATCH(E100,Sample_Guide!$A$5:$A$20,0)),""))</f>
        <v/>
      </c>
      <c r="M100" s="16"/>
      <c r="N100" s="18"/>
      <c r="O100" s="18"/>
      <c r="P100" s="17" t="str">
        <f aca="false">IF(A100="","",IF(OR(D100="ITAC",D100="IPE",D100="ITDM"),"Y","N"))</f>
        <v/>
      </c>
      <c r="Q100" s="16"/>
      <c r="R100" s="16"/>
      <c r="S100" s="18"/>
      <c r="T100" s="18"/>
      <c r="U100" s="16"/>
      <c r="V100" s="16"/>
      <c r="W100" s="16"/>
      <c r="X100" s="17" t="str">
        <f aca="false">IF(A100="","",IF(OR(B100="",F100="",G100="",H100=""),"Control, test type, attributes, procedure needed",IF(COUNTIF(Ref_CTRL!$A$2:$A$201,B100)=0,"CTRL-ID not in W05",IF(LEFT(A100,LEN(B100)+1)&lt;&gt;B100&amp;"-","TEST-ID must start with CTRL-ID-",IF(AND(F100="TOE",I100=""),"Population EV-ID needed (TOE)",IF(AND(I100&lt;&gt;"",J100&lt;&gt;"Pass"),"HOLD: population IPE not Pass",IF(AND(F100="TOE",M100=""),"Sample size needed",IF(AND(F100="TOE",OR(M100&lt;IFERROR(INDEX(Sample_Guide!$C$5:$C$20,MATCH(E100,Sample_Guide!$A$5:$A$20,0)),0),M100&gt;IFERROR(INDEX(Sample_Guide!$D$5:$D$20,MATCH(E100,Sample_Guide!$A$5:$A$20,0)),9999))),"Sample outside guide: justify",IF(OR(Q100="",R100=""),"Tester and reviewer needed",IF(Q100=R100,"Tester and reviewer must differ",IF(AND(W100&lt;&gt;"",W100&lt;&gt;"Not started",V100&lt;&gt;"Reviewed",V100&lt;&gt;"Closed"),"Result only after review","OK")))))))))))</f>
        <v/>
      </c>
    </row>
    <row r="101" customFormat="false" ht="15" hidden="false" customHeight="false" outlineLevel="0" collapsed="false">
      <c r="A101" s="16"/>
      <c r="B101" s="16"/>
      <c r="C101" s="17" t="str">
        <f aca="false">IFERROR(INDEX(Ref_CTRL!$B$2:$B$201,MATCH(B101,Ref_CTRL!$A$2:$A$201,0)),"")</f>
        <v/>
      </c>
      <c r="D101" s="17" t="str">
        <f aca="false">IFERROR(INDEX(Ref_CTRL!$C$2:$C$201,MATCH(B101,Ref_CTRL!$A$2:$A$201,0)),"")</f>
        <v/>
      </c>
      <c r="E101" s="17" t="str">
        <f aca="false">IFERROR(INDEX(Ref_CTRL!$D$2:$D$201,MATCH(B101,Ref_CTRL!$A$2:$A$201,0)),"")</f>
        <v/>
      </c>
      <c r="F101" s="16"/>
      <c r="G101" s="16"/>
      <c r="H101" s="16"/>
      <c r="I101" s="16"/>
      <c r="J101" s="17" t="str">
        <f aca="false">IFERROR(INDEX(Ref_EV!$B$2:$B$201,MATCH(I101,Ref_EV!$A$2:$A$201,0)),"")</f>
        <v/>
      </c>
      <c r="K101" s="17" t="str">
        <f aca="false">IFERROR(INDEX(Ref_EV!$C$2:$C$201,MATCH(I101,Ref_EV!$A$2:$A$201,0)),"")</f>
        <v/>
      </c>
      <c r="L101" s="17" t="str">
        <f aca="false">IF(F101="TOD","1",IFERROR(INDEX(Sample_Guide!$C$5:$C$20,MATCH(E101,Sample_Guide!$A$5:$A$20,0))&amp;"–"&amp;INDEX(Sample_Guide!$D$5:$D$20,MATCH(E101,Sample_Guide!$A$5:$A$20,0)),""))</f>
        <v/>
      </c>
      <c r="M101" s="16"/>
      <c r="N101" s="18"/>
      <c r="O101" s="18"/>
      <c r="P101" s="17" t="str">
        <f aca="false">IF(A101="","",IF(OR(D101="ITAC",D101="IPE",D101="ITDM"),"Y","N"))</f>
        <v/>
      </c>
      <c r="Q101" s="16"/>
      <c r="R101" s="16"/>
      <c r="S101" s="18"/>
      <c r="T101" s="18"/>
      <c r="U101" s="16"/>
      <c r="V101" s="16"/>
      <c r="W101" s="16"/>
      <c r="X101" s="17" t="str">
        <f aca="false">IF(A101="","",IF(OR(B101="",F101="",G101="",H101=""),"Control, test type, attributes, procedure needed",IF(COUNTIF(Ref_CTRL!$A$2:$A$201,B101)=0,"CTRL-ID not in W05",IF(LEFT(A101,LEN(B101)+1)&lt;&gt;B101&amp;"-","TEST-ID must start with CTRL-ID-",IF(AND(F101="TOE",I101=""),"Population EV-ID needed (TOE)",IF(AND(I101&lt;&gt;"",J101&lt;&gt;"Pass"),"HOLD: population IPE not Pass",IF(AND(F101="TOE",M101=""),"Sample size needed",IF(AND(F101="TOE",OR(M101&lt;IFERROR(INDEX(Sample_Guide!$C$5:$C$20,MATCH(E101,Sample_Guide!$A$5:$A$20,0)),0),M101&gt;IFERROR(INDEX(Sample_Guide!$D$5:$D$20,MATCH(E101,Sample_Guide!$A$5:$A$20,0)),9999))),"Sample outside guide: justify",IF(OR(Q101="",R101=""),"Tester and reviewer needed",IF(Q101=R101,"Tester and reviewer must differ",IF(AND(W101&lt;&gt;"",W101&lt;&gt;"Not started",V101&lt;&gt;"Reviewed",V101&lt;&gt;"Closed"),"Result only after review","OK")))))))))))</f>
        <v/>
      </c>
    </row>
    <row r="102" customFormat="false" ht="15" hidden="false" customHeight="false" outlineLevel="0" collapsed="false">
      <c r="A102" s="16"/>
      <c r="B102" s="16"/>
      <c r="C102" s="17" t="str">
        <f aca="false">IFERROR(INDEX(Ref_CTRL!$B$2:$B$201,MATCH(B102,Ref_CTRL!$A$2:$A$201,0)),"")</f>
        <v/>
      </c>
      <c r="D102" s="17" t="str">
        <f aca="false">IFERROR(INDEX(Ref_CTRL!$C$2:$C$201,MATCH(B102,Ref_CTRL!$A$2:$A$201,0)),"")</f>
        <v/>
      </c>
      <c r="E102" s="17" t="str">
        <f aca="false">IFERROR(INDEX(Ref_CTRL!$D$2:$D$201,MATCH(B102,Ref_CTRL!$A$2:$A$201,0)),"")</f>
        <v/>
      </c>
      <c r="F102" s="16"/>
      <c r="G102" s="16"/>
      <c r="H102" s="16"/>
      <c r="I102" s="16"/>
      <c r="J102" s="17" t="str">
        <f aca="false">IFERROR(INDEX(Ref_EV!$B$2:$B$201,MATCH(I102,Ref_EV!$A$2:$A$201,0)),"")</f>
        <v/>
      </c>
      <c r="K102" s="17" t="str">
        <f aca="false">IFERROR(INDEX(Ref_EV!$C$2:$C$201,MATCH(I102,Ref_EV!$A$2:$A$201,0)),"")</f>
        <v/>
      </c>
      <c r="L102" s="17" t="str">
        <f aca="false">IF(F102="TOD","1",IFERROR(INDEX(Sample_Guide!$C$5:$C$20,MATCH(E102,Sample_Guide!$A$5:$A$20,0))&amp;"–"&amp;INDEX(Sample_Guide!$D$5:$D$20,MATCH(E102,Sample_Guide!$A$5:$A$20,0)),""))</f>
        <v/>
      </c>
      <c r="M102" s="16"/>
      <c r="N102" s="18"/>
      <c r="O102" s="18"/>
      <c r="P102" s="17" t="str">
        <f aca="false">IF(A102="","",IF(OR(D102="ITAC",D102="IPE",D102="ITDM"),"Y","N"))</f>
        <v/>
      </c>
      <c r="Q102" s="16"/>
      <c r="R102" s="16"/>
      <c r="S102" s="18"/>
      <c r="T102" s="18"/>
      <c r="U102" s="16"/>
      <c r="V102" s="16"/>
      <c r="W102" s="16"/>
      <c r="X102" s="17" t="str">
        <f aca="false">IF(A102="","",IF(OR(B102="",F102="",G102="",H102=""),"Control, test type, attributes, procedure needed",IF(COUNTIF(Ref_CTRL!$A$2:$A$201,B102)=0,"CTRL-ID not in W05",IF(LEFT(A102,LEN(B102)+1)&lt;&gt;B102&amp;"-","TEST-ID must start with CTRL-ID-",IF(AND(F102="TOE",I102=""),"Population EV-ID needed (TOE)",IF(AND(I102&lt;&gt;"",J102&lt;&gt;"Pass"),"HOLD: population IPE not Pass",IF(AND(F102="TOE",M102=""),"Sample size needed",IF(AND(F102="TOE",OR(M102&lt;IFERROR(INDEX(Sample_Guide!$C$5:$C$20,MATCH(E102,Sample_Guide!$A$5:$A$20,0)),0),M102&gt;IFERROR(INDEX(Sample_Guide!$D$5:$D$20,MATCH(E102,Sample_Guide!$A$5:$A$20,0)),9999))),"Sample outside guide: justify",IF(OR(Q102="",R102=""),"Tester and reviewer needed",IF(Q102=R102,"Tester and reviewer must differ",IF(AND(W102&lt;&gt;"",W102&lt;&gt;"Not started",V102&lt;&gt;"Reviewed",V102&lt;&gt;"Closed"),"Result only after review","OK")))))))))))</f>
        <v/>
      </c>
    </row>
    <row r="103" customFormat="false" ht="15" hidden="false" customHeight="false" outlineLevel="0" collapsed="false">
      <c r="A103" s="16"/>
      <c r="B103" s="16"/>
      <c r="C103" s="17" t="str">
        <f aca="false">IFERROR(INDEX(Ref_CTRL!$B$2:$B$201,MATCH(B103,Ref_CTRL!$A$2:$A$201,0)),"")</f>
        <v/>
      </c>
      <c r="D103" s="17" t="str">
        <f aca="false">IFERROR(INDEX(Ref_CTRL!$C$2:$C$201,MATCH(B103,Ref_CTRL!$A$2:$A$201,0)),"")</f>
        <v/>
      </c>
      <c r="E103" s="17" t="str">
        <f aca="false">IFERROR(INDEX(Ref_CTRL!$D$2:$D$201,MATCH(B103,Ref_CTRL!$A$2:$A$201,0)),"")</f>
        <v/>
      </c>
      <c r="F103" s="16"/>
      <c r="G103" s="16"/>
      <c r="H103" s="16"/>
      <c r="I103" s="16"/>
      <c r="J103" s="17" t="str">
        <f aca="false">IFERROR(INDEX(Ref_EV!$B$2:$B$201,MATCH(I103,Ref_EV!$A$2:$A$201,0)),"")</f>
        <v/>
      </c>
      <c r="K103" s="17" t="str">
        <f aca="false">IFERROR(INDEX(Ref_EV!$C$2:$C$201,MATCH(I103,Ref_EV!$A$2:$A$201,0)),"")</f>
        <v/>
      </c>
      <c r="L103" s="17" t="str">
        <f aca="false">IF(F103="TOD","1",IFERROR(INDEX(Sample_Guide!$C$5:$C$20,MATCH(E103,Sample_Guide!$A$5:$A$20,0))&amp;"–"&amp;INDEX(Sample_Guide!$D$5:$D$20,MATCH(E103,Sample_Guide!$A$5:$A$20,0)),""))</f>
        <v/>
      </c>
      <c r="M103" s="16"/>
      <c r="N103" s="18"/>
      <c r="O103" s="18"/>
      <c r="P103" s="17" t="str">
        <f aca="false">IF(A103="","",IF(OR(D103="ITAC",D103="IPE",D103="ITDM"),"Y","N"))</f>
        <v/>
      </c>
      <c r="Q103" s="16"/>
      <c r="R103" s="16"/>
      <c r="S103" s="18"/>
      <c r="T103" s="18"/>
      <c r="U103" s="16"/>
      <c r="V103" s="16"/>
      <c r="W103" s="16"/>
      <c r="X103" s="17" t="str">
        <f aca="false">IF(A103="","",IF(OR(B103="",F103="",G103="",H103=""),"Control, test type, attributes, procedure needed",IF(COUNTIF(Ref_CTRL!$A$2:$A$201,B103)=0,"CTRL-ID not in W05",IF(LEFT(A103,LEN(B103)+1)&lt;&gt;B103&amp;"-","TEST-ID must start with CTRL-ID-",IF(AND(F103="TOE",I103=""),"Population EV-ID needed (TOE)",IF(AND(I103&lt;&gt;"",J103&lt;&gt;"Pass"),"HOLD: population IPE not Pass",IF(AND(F103="TOE",M103=""),"Sample size needed",IF(AND(F103="TOE",OR(M103&lt;IFERROR(INDEX(Sample_Guide!$C$5:$C$20,MATCH(E103,Sample_Guide!$A$5:$A$20,0)),0),M103&gt;IFERROR(INDEX(Sample_Guide!$D$5:$D$20,MATCH(E103,Sample_Guide!$A$5:$A$20,0)),9999))),"Sample outside guide: justify",IF(OR(Q103="",R103=""),"Tester and reviewer needed",IF(Q103=R103,"Tester and reviewer must differ",IF(AND(W103&lt;&gt;"",W103&lt;&gt;"Not started",V103&lt;&gt;"Reviewed",V103&lt;&gt;"Closed"),"Result only after review","OK")))))))))))</f>
        <v/>
      </c>
    </row>
    <row r="104" customFormat="false" ht="15" hidden="false" customHeight="false" outlineLevel="0" collapsed="false">
      <c r="A104" s="16"/>
      <c r="B104" s="16"/>
      <c r="C104" s="17" t="str">
        <f aca="false">IFERROR(INDEX(Ref_CTRL!$B$2:$B$201,MATCH(B104,Ref_CTRL!$A$2:$A$201,0)),"")</f>
        <v/>
      </c>
      <c r="D104" s="17" t="str">
        <f aca="false">IFERROR(INDEX(Ref_CTRL!$C$2:$C$201,MATCH(B104,Ref_CTRL!$A$2:$A$201,0)),"")</f>
        <v/>
      </c>
      <c r="E104" s="17" t="str">
        <f aca="false">IFERROR(INDEX(Ref_CTRL!$D$2:$D$201,MATCH(B104,Ref_CTRL!$A$2:$A$201,0)),"")</f>
        <v/>
      </c>
      <c r="F104" s="16"/>
      <c r="G104" s="16"/>
      <c r="H104" s="16"/>
      <c r="I104" s="16"/>
      <c r="J104" s="17" t="str">
        <f aca="false">IFERROR(INDEX(Ref_EV!$B$2:$B$201,MATCH(I104,Ref_EV!$A$2:$A$201,0)),"")</f>
        <v/>
      </c>
      <c r="K104" s="17" t="str">
        <f aca="false">IFERROR(INDEX(Ref_EV!$C$2:$C$201,MATCH(I104,Ref_EV!$A$2:$A$201,0)),"")</f>
        <v/>
      </c>
      <c r="L104" s="17" t="str">
        <f aca="false">IF(F104="TOD","1",IFERROR(INDEX(Sample_Guide!$C$5:$C$20,MATCH(E104,Sample_Guide!$A$5:$A$20,0))&amp;"–"&amp;INDEX(Sample_Guide!$D$5:$D$20,MATCH(E104,Sample_Guide!$A$5:$A$20,0)),""))</f>
        <v/>
      </c>
      <c r="M104" s="16"/>
      <c r="N104" s="18"/>
      <c r="O104" s="18"/>
      <c r="P104" s="17" t="str">
        <f aca="false">IF(A104="","",IF(OR(D104="ITAC",D104="IPE",D104="ITDM"),"Y","N"))</f>
        <v/>
      </c>
      <c r="Q104" s="16"/>
      <c r="R104" s="16"/>
      <c r="S104" s="18"/>
      <c r="T104" s="18"/>
      <c r="U104" s="16"/>
      <c r="V104" s="16"/>
      <c r="W104" s="16"/>
      <c r="X104" s="17" t="str">
        <f aca="false">IF(A104="","",IF(OR(B104="",F104="",G104="",H104=""),"Control, test type, attributes, procedure needed",IF(COUNTIF(Ref_CTRL!$A$2:$A$201,B104)=0,"CTRL-ID not in W05",IF(LEFT(A104,LEN(B104)+1)&lt;&gt;B104&amp;"-","TEST-ID must start with CTRL-ID-",IF(AND(F104="TOE",I104=""),"Population EV-ID needed (TOE)",IF(AND(I104&lt;&gt;"",J104&lt;&gt;"Pass"),"HOLD: population IPE not Pass",IF(AND(F104="TOE",M104=""),"Sample size needed",IF(AND(F104="TOE",OR(M104&lt;IFERROR(INDEX(Sample_Guide!$C$5:$C$20,MATCH(E104,Sample_Guide!$A$5:$A$20,0)),0),M104&gt;IFERROR(INDEX(Sample_Guide!$D$5:$D$20,MATCH(E104,Sample_Guide!$A$5:$A$20,0)),9999))),"Sample outside guide: justify",IF(OR(Q104="",R104=""),"Tester and reviewer needed",IF(Q104=R104,"Tester and reviewer must differ",IF(AND(W104&lt;&gt;"",W104&lt;&gt;"Not started",V104&lt;&gt;"Reviewed",V104&lt;&gt;"Closed"),"Result only after review","OK")))))))))))</f>
        <v/>
      </c>
    </row>
    <row r="105" customFormat="false" ht="15" hidden="false" customHeight="false" outlineLevel="0" collapsed="false">
      <c r="A105" s="16"/>
      <c r="B105" s="16"/>
      <c r="C105" s="17" t="str">
        <f aca="false">IFERROR(INDEX(Ref_CTRL!$B$2:$B$201,MATCH(B105,Ref_CTRL!$A$2:$A$201,0)),"")</f>
        <v/>
      </c>
      <c r="D105" s="17" t="str">
        <f aca="false">IFERROR(INDEX(Ref_CTRL!$C$2:$C$201,MATCH(B105,Ref_CTRL!$A$2:$A$201,0)),"")</f>
        <v/>
      </c>
      <c r="E105" s="17" t="str">
        <f aca="false">IFERROR(INDEX(Ref_CTRL!$D$2:$D$201,MATCH(B105,Ref_CTRL!$A$2:$A$201,0)),"")</f>
        <v/>
      </c>
      <c r="F105" s="16"/>
      <c r="G105" s="16"/>
      <c r="H105" s="16"/>
      <c r="I105" s="16"/>
      <c r="J105" s="17" t="str">
        <f aca="false">IFERROR(INDEX(Ref_EV!$B$2:$B$201,MATCH(I105,Ref_EV!$A$2:$A$201,0)),"")</f>
        <v/>
      </c>
      <c r="K105" s="17" t="str">
        <f aca="false">IFERROR(INDEX(Ref_EV!$C$2:$C$201,MATCH(I105,Ref_EV!$A$2:$A$201,0)),"")</f>
        <v/>
      </c>
      <c r="L105" s="17" t="str">
        <f aca="false">IF(F105="TOD","1",IFERROR(INDEX(Sample_Guide!$C$5:$C$20,MATCH(E105,Sample_Guide!$A$5:$A$20,0))&amp;"–"&amp;INDEX(Sample_Guide!$D$5:$D$20,MATCH(E105,Sample_Guide!$A$5:$A$20,0)),""))</f>
        <v/>
      </c>
      <c r="M105" s="16"/>
      <c r="N105" s="18"/>
      <c r="O105" s="18"/>
      <c r="P105" s="17" t="str">
        <f aca="false">IF(A105="","",IF(OR(D105="ITAC",D105="IPE",D105="ITDM"),"Y","N"))</f>
        <v/>
      </c>
      <c r="Q105" s="16"/>
      <c r="R105" s="16"/>
      <c r="S105" s="18"/>
      <c r="T105" s="18"/>
      <c r="U105" s="16"/>
      <c r="V105" s="16"/>
      <c r="W105" s="16"/>
      <c r="X105" s="17" t="str">
        <f aca="false">IF(A105="","",IF(OR(B105="",F105="",G105="",H105=""),"Control, test type, attributes, procedure needed",IF(COUNTIF(Ref_CTRL!$A$2:$A$201,B105)=0,"CTRL-ID not in W05",IF(LEFT(A105,LEN(B105)+1)&lt;&gt;B105&amp;"-","TEST-ID must start with CTRL-ID-",IF(AND(F105="TOE",I105=""),"Population EV-ID needed (TOE)",IF(AND(I105&lt;&gt;"",J105&lt;&gt;"Pass"),"HOLD: population IPE not Pass",IF(AND(F105="TOE",M105=""),"Sample size needed",IF(AND(F105="TOE",OR(M105&lt;IFERROR(INDEX(Sample_Guide!$C$5:$C$20,MATCH(E105,Sample_Guide!$A$5:$A$20,0)),0),M105&gt;IFERROR(INDEX(Sample_Guide!$D$5:$D$20,MATCH(E105,Sample_Guide!$A$5:$A$20,0)),9999))),"Sample outside guide: justify",IF(OR(Q105="",R105=""),"Tester and reviewer needed",IF(Q105=R105,"Tester and reviewer must differ",IF(AND(W105&lt;&gt;"",W105&lt;&gt;"Not started",V105&lt;&gt;"Reviewed",V105&lt;&gt;"Closed"),"Result only after review","OK")))))))))))</f>
        <v/>
      </c>
    </row>
    <row r="106" customFormat="false" ht="15" hidden="false" customHeight="false" outlineLevel="0" collapsed="false">
      <c r="A106" s="16"/>
      <c r="B106" s="16"/>
      <c r="C106" s="17" t="str">
        <f aca="false">IFERROR(INDEX(Ref_CTRL!$B$2:$B$201,MATCH(B106,Ref_CTRL!$A$2:$A$201,0)),"")</f>
        <v/>
      </c>
      <c r="D106" s="17" t="str">
        <f aca="false">IFERROR(INDEX(Ref_CTRL!$C$2:$C$201,MATCH(B106,Ref_CTRL!$A$2:$A$201,0)),"")</f>
        <v/>
      </c>
      <c r="E106" s="17" t="str">
        <f aca="false">IFERROR(INDEX(Ref_CTRL!$D$2:$D$201,MATCH(B106,Ref_CTRL!$A$2:$A$201,0)),"")</f>
        <v/>
      </c>
      <c r="F106" s="16"/>
      <c r="G106" s="16"/>
      <c r="H106" s="16"/>
      <c r="I106" s="16"/>
      <c r="J106" s="17" t="str">
        <f aca="false">IFERROR(INDEX(Ref_EV!$B$2:$B$201,MATCH(I106,Ref_EV!$A$2:$A$201,0)),"")</f>
        <v/>
      </c>
      <c r="K106" s="17" t="str">
        <f aca="false">IFERROR(INDEX(Ref_EV!$C$2:$C$201,MATCH(I106,Ref_EV!$A$2:$A$201,0)),"")</f>
        <v/>
      </c>
      <c r="L106" s="17" t="str">
        <f aca="false">IF(F106="TOD","1",IFERROR(INDEX(Sample_Guide!$C$5:$C$20,MATCH(E106,Sample_Guide!$A$5:$A$20,0))&amp;"–"&amp;INDEX(Sample_Guide!$D$5:$D$20,MATCH(E106,Sample_Guide!$A$5:$A$20,0)),""))</f>
        <v/>
      </c>
      <c r="M106" s="16"/>
      <c r="N106" s="18"/>
      <c r="O106" s="18"/>
      <c r="P106" s="17" t="str">
        <f aca="false">IF(A106="","",IF(OR(D106="ITAC",D106="IPE",D106="ITDM"),"Y","N"))</f>
        <v/>
      </c>
      <c r="Q106" s="16"/>
      <c r="R106" s="16"/>
      <c r="S106" s="18"/>
      <c r="T106" s="18"/>
      <c r="U106" s="16"/>
      <c r="V106" s="16"/>
      <c r="W106" s="16"/>
      <c r="X106" s="17" t="str">
        <f aca="false">IF(A106="","",IF(OR(B106="",F106="",G106="",H106=""),"Control, test type, attributes, procedure needed",IF(COUNTIF(Ref_CTRL!$A$2:$A$201,B106)=0,"CTRL-ID not in W05",IF(LEFT(A106,LEN(B106)+1)&lt;&gt;B106&amp;"-","TEST-ID must start with CTRL-ID-",IF(AND(F106="TOE",I106=""),"Population EV-ID needed (TOE)",IF(AND(I106&lt;&gt;"",J106&lt;&gt;"Pass"),"HOLD: population IPE not Pass",IF(AND(F106="TOE",M106=""),"Sample size needed",IF(AND(F106="TOE",OR(M106&lt;IFERROR(INDEX(Sample_Guide!$C$5:$C$20,MATCH(E106,Sample_Guide!$A$5:$A$20,0)),0),M106&gt;IFERROR(INDEX(Sample_Guide!$D$5:$D$20,MATCH(E106,Sample_Guide!$A$5:$A$20,0)),9999))),"Sample outside guide: justify",IF(OR(Q106="",R106=""),"Tester and reviewer needed",IF(Q106=R106,"Tester and reviewer must differ",IF(AND(W106&lt;&gt;"",W106&lt;&gt;"Not started",V106&lt;&gt;"Reviewed",V106&lt;&gt;"Closed"),"Result only after review","OK")))))))))))</f>
        <v/>
      </c>
    </row>
    <row r="107" customFormat="false" ht="15" hidden="false" customHeight="false" outlineLevel="0" collapsed="false">
      <c r="A107" s="16"/>
      <c r="B107" s="16"/>
      <c r="C107" s="17" t="str">
        <f aca="false">IFERROR(INDEX(Ref_CTRL!$B$2:$B$201,MATCH(B107,Ref_CTRL!$A$2:$A$201,0)),"")</f>
        <v/>
      </c>
      <c r="D107" s="17" t="str">
        <f aca="false">IFERROR(INDEX(Ref_CTRL!$C$2:$C$201,MATCH(B107,Ref_CTRL!$A$2:$A$201,0)),"")</f>
        <v/>
      </c>
      <c r="E107" s="17" t="str">
        <f aca="false">IFERROR(INDEX(Ref_CTRL!$D$2:$D$201,MATCH(B107,Ref_CTRL!$A$2:$A$201,0)),"")</f>
        <v/>
      </c>
      <c r="F107" s="16"/>
      <c r="G107" s="16"/>
      <c r="H107" s="16"/>
      <c r="I107" s="16"/>
      <c r="J107" s="17" t="str">
        <f aca="false">IFERROR(INDEX(Ref_EV!$B$2:$B$201,MATCH(I107,Ref_EV!$A$2:$A$201,0)),"")</f>
        <v/>
      </c>
      <c r="K107" s="17" t="str">
        <f aca="false">IFERROR(INDEX(Ref_EV!$C$2:$C$201,MATCH(I107,Ref_EV!$A$2:$A$201,0)),"")</f>
        <v/>
      </c>
      <c r="L107" s="17" t="str">
        <f aca="false">IF(F107="TOD","1",IFERROR(INDEX(Sample_Guide!$C$5:$C$20,MATCH(E107,Sample_Guide!$A$5:$A$20,0))&amp;"–"&amp;INDEX(Sample_Guide!$D$5:$D$20,MATCH(E107,Sample_Guide!$A$5:$A$20,0)),""))</f>
        <v/>
      </c>
      <c r="M107" s="16"/>
      <c r="N107" s="18"/>
      <c r="O107" s="18"/>
      <c r="P107" s="17" t="str">
        <f aca="false">IF(A107="","",IF(OR(D107="ITAC",D107="IPE",D107="ITDM"),"Y","N"))</f>
        <v/>
      </c>
      <c r="Q107" s="16"/>
      <c r="R107" s="16"/>
      <c r="S107" s="18"/>
      <c r="T107" s="18"/>
      <c r="U107" s="16"/>
      <c r="V107" s="16"/>
      <c r="W107" s="16"/>
      <c r="X107" s="17" t="str">
        <f aca="false">IF(A107="","",IF(OR(B107="",F107="",G107="",H107=""),"Control, test type, attributes, procedure needed",IF(COUNTIF(Ref_CTRL!$A$2:$A$201,B107)=0,"CTRL-ID not in W05",IF(LEFT(A107,LEN(B107)+1)&lt;&gt;B107&amp;"-","TEST-ID must start with CTRL-ID-",IF(AND(F107="TOE",I107=""),"Population EV-ID needed (TOE)",IF(AND(I107&lt;&gt;"",J107&lt;&gt;"Pass"),"HOLD: population IPE not Pass",IF(AND(F107="TOE",M107=""),"Sample size needed",IF(AND(F107="TOE",OR(M107&lt;IFERROR(INDEX(Sample_Guide!$C$5:$C$20,MATCH(E107,Sample_Guide!$A$5:$A$20,0)),0),M107&gt;IFERROR(INDEX(Sample_Guide!$D$5:$D$20,MATCH(E107,Sample_Guide!$A$5:$A$20,0)),9999))),"Sample outside guide: justify",IF(OR(Q107="",R107=""),"Tester and reviewer needed",IF(Q107=R107,"Tester and reviewer must differ",IF(AND(W107&lt;&gt;"",W107&lt;&gt;"Not started",V107&lt;&gt;"Reviewed",V107&lt;&gt;"Closed"),"Result only after review","OK")))))))))))</f>
        <v/>
      </c>
    </row>
    <row r="108" customFormat="false" ht="15" hidden="false" customHeight="false" outlineLevel="0" collapsed="false">
      <c r="A108" s="16"/>
      <c r="B108" s="16"/>
      <c r="C108" s="17" t="str">
        <f aca="false">IFERROR(INDEX(Ref_CTRL!$B$2:$B$201,MATCH(B108,Ref_CTRL!$A$2:$A$201,0)),"")</f>
        <v/>
      </c>
      <c r="D108" s="17" t="str">
        <f aca="false">IFERROR(INDEX(Ref_CTRL!$C$2:$C$201,MATCH(B108,Ref_CTRL!$A$2:$A$201,0)),"")</f>
        <v/>
      </c>
      <c r="E108" s="17" t="str">
        <f aca="false">IFERROR(INDEX(Ref_CTRL!$D$2:$D$201,MATCH(B108,Ref_CTRL!$A$2:$A$201,0)),"")</f>
        <v/>
      </c>
      <c r="F108" s="16"/>
      <c r="G108" s="16"/>
      <c r="H108" s="16"/>
      <c r="I108" s="16"/>
      <c r="J108" s="17" t="str">
        <f aca="false">IFERROR(INDEX(Ref_EV!$B$2:$B$201,MATCH(I108,Ref_EV!$A$2:$A$201,0)),"")</f>
        <v/>
      </c>
      <c r="K108" s="17" t="str">
        <f aca="false">IFERROR(INDEX(Ref_EV!$C$2:$C$201,MATCH(I108,Ref_EV!$A$2:$A$201,0)),"")</f>
        <v/>
      </c>
      <c r="L108" s="17" t="str">
        <f aca="false">IF(F108="TOD","1",IFERROR(INDEX(Sample_Guide!$C$5:$C$20,MATCH(E108,Sample_Guide!$A$5:$A$20,0))&amp;"–"&amp;INDEX(Sample_Guide!$D$5:$D$20,MATCH(E108,Sample_Guide!$A$5:$A$20,0)),""))</f>
        <v/>
      </c>
      <c r="M108" s="16"/>
      <c r="N108" s="18"/>
      <c r="O108" s="18"/>
      <c r="P108" s="17" t="str">
        <f aca="false">IF(A108="","",IF(OR(D108="ITAC",D108="IPE",D108="ITDM"),"Y","N"))</f>
        <v/>
      </c>
      <c r="Q108" s="16"/>
      <c r="R108" s="16"/>
      <c r="S108" s="18"/>
      <c r="T108" s="18"/>
      <c r="U108" s="16"/>
      <c r="V108" s="16"/>
      <c r="W108" s="16"/>
      <c r="X108" s="17" t="str">
        <f aca="false">IF(A108="","",IF(OR(B108="",F108="",G108="",H108=""),"Control, test type, attributes, procedure needed",IF(COUNTIF(Ref_CTRL!$A$2:$A$201,B108)=0,"CTRL-ID not in W05",IF(LEFT(A108,LEN(B108)+1)&lt;&gt;B108&amp;"-","TEST-ID must start with CTRL-ID-",IF(AND(F108="TOE",I108=""),"Population EV-ID needed (TOE)",IF(AND(I108&lt;&gt;"",J108&lt;&gt;"Pass"),"HOLD: population IPE not Pass",IF(AND(F108="TOE",M108=""),"Sample size needed",IF(AND(F108="TOE",OR(M108&lt;IFERROR(INDEX(Sample_Guide!$C$5:$C$20,MATCH(E108,Sample_Guide!$A$5:$A$20,0)),0),M108&gt;IFERROR(INDEX(Sample_Guide!$D$5:$D$20,MATCH(E108,Sample_Guide!$A$5:$A$20,0)),9999))),"Sample outside guide: justify",IF(OR(Q108="",R108=""),"Tester and reviewer needed",IF(Q108=R108,"Tester and reviewer must differ",IF(AND(W108&lt;&gt;"",W108&lt;&gt;"Not started",V108&lt;&gt;"Reviewed",V108&lt;&gt;"Closed"),"Result only after review","OK")))))))))))</f>
        <v/>
      </c>
    </row>
    <row r="109" customFormat="false" ht="15" hidden="false" customHeight="false" outlineLevel="0" collapsed="false">
      <c r="A109" s="16"/>
      <c r="B109" s="16"/>
      <c r="C109" s="17" t="str">
        <f aca="false">IFERROR(INDEX(Ref_CTRL!$B$2:$B$201,MATCH(B109,Ref_CTRL!$A$2:$A$201,0)),"")</f>
        <v/>
      </c>
      <c r="D109" s="17" t="str">
        <f aca="false">IFERROR(INDEX(Ref_CTRL!$C$2:$C$201,MATCH(B109,Ref_CTRL!$A$2:$A$201,0)),"")</f>
        <v/>
      </c>
      <c r="E109" s="17" t="str">
        <f aca="false">IFERROR(INDEX(Ref_CTRL!$D$2:$D$201,MATCH(B109,Ref_CTRL!$A$2:$A$201,0)),"")</f>
        <v/>
      </c>
      <c r="F109" s="16"/>
      <c r="G109" s="16"/>
      <c r="H109" s="16"/>
      <c r="I109" s="16"/>
      <c r="J109" s="17" t="str">
        <f aca="false">IFERROR(INDEX(Ref_EV!$B$2:$B$201,MATCH(I109,Ref_EV!$A$2:$A$201,0)),"")</f>
        <v/>
      </c>
      <c r="K109" s="17" t="str">
        <f aca="false">IFERROR(INDEX(Ref_EV!$C$2:$C$201,MATCH(I109,Ref_EV!$A$2:$A$201,0)),"")</f>
        <v/>
      </c>
      <c r="L109" s="17" t="str">
        <f aca="false">IF(F109="TOD","1",IFERROR(INDEX(Sample_Guide!$C$5:$C$20,MATCH(E109,Sample_Guide!$A$5:$A$20,0))&amp;"–"&amp;INDEX(Sample_Guide!$D$5:$D$20,MATCH(E109,Sample_Guide!$A$5:$A$20,0)),""))</f>
        <v/>
      </c>
      <c r="M109" s="16"/>
      <c r="N109" s="18"/>
      <c r="O109" s="18"/>
      <c r="P109" s="17" t="str">
        <f aca="false">IF(A109="","",IF(OR(D109="ITAC",D109="IPE",D109="ITDM"),"Y","N"))</f>
        <v/>
      </c>
      <c r="Q109" s="16"/>
      <c r="R109" s="16"/>
      <c r="S109" s="18"/>
      <c r="T109" s="18"/>
      <c r="U109" s="16"/>
      <c r="V109" s="16"/>
      <c r="W109" s="16"/>
      <c r="X109" s="17" t="str">
        <f aca="false">IF(A109="","",IF(OR(B109="",F109="",G109="",H109=""),"Control, test type, attributes, procedure needed",IF(COUNTIF(Ref_CTRL!$A$2:$A$201,B109)=0,"CTRL-ID not in W05",IF(LEFT(A109,LEN(B109)+1)&lt;&gt;B109&amp;"-","TEST-ID must start with CTRL-ID-",IF(AND(F109="TOE",I109=""),"Population EV-ID needed (TOE)",IF(AND(I109&lt;&gt;"",J109&lt;&gt;"Pass"),"HOLD: population IPE not Pass",IF(AND(F109="TOE",M109=""),"Sample size needed",IF(AND(F109="TOE",OR(M109&lt;IFERROR(INDEX(Sample_Guide!$C$5:$C$20,MATCH(E109,Sample_Guide!$A$5:$A$20,0)),0),M109&gt;IFERROR(INDEX(Sample_Guide!$D$5:$D$20,MATCH(E109,Sample_Guide!$A$5:$A$20,0)),9999))),"Sample outside guide: justify",IF(OR(Q109="",R109=""),"Tester and reviewer needed",IF(Q109=R109,"Tester and reviewer must differ",IF(AND(W109&lt;&gt;"",W109&lt;&gt;"Not started",V109&lt;&gt;"Reviewed",V109&lt;&gt;"Closed"),"Result only after review","OK")))))))))))</f>
        <v/>
      </c>
    </row>
    <row r="110" customFormat="false" ht="15" hidden="false" customHeight="false" outlineLevel="0" collapsed="false">
      <c r="A110" s="16"/>
      <c r="B110" s="16"/>
      <c r="C110" s="17" t="str">
        <f aca="false">IFERROR(INDEX(Ref_CTRL!$B$2:$B$201,MATCH(B110,Ref_CTRL!$A$2:$A$201,0)),"")</f>
        <v/>
      </c>
      <c r="D110" s="17" t="str">
        <f aca="false">IFERROR(INDEX(Ref_CTRL!$C$2:$C$201,MATCH(B110,Ref_CTRL!$A$2:$A$201,0)),"")</f>
        <v/>
      </c>
      <c r="E110" s="17" t="str">
        <f aca="false">IFERROR(INDEX(Ref_CTRL!$D$2:$D$201,MATCH(B110,Ref_CTRL!$A$2:$A$201,0)),"")</f>
        <v/>
      </c>
      <c r="F110" s="16"/>
      <c r="G110" s="16"/>
      <c r="H110" s="16"/>
      <c r="I110" s="16"/>
      <c r="J110" s="17" t="str">
        <f aca="false">IFERROR(INDEX(Ref_EV!$B$2:$B$201,MATCH(I110,Ref_EV!$A$2:$A$201,0)),"")</f>
        <v/>
      </c>
      <c r="K110" s="17" t="str">
        <f aca="false">IFERROR(INDEX(Ref_EV!$C$2:$C$201,MATCH(I110,Ref_EV!$A$2:$A$201,0)),"")</f>
        <v/>
      </c>
      <c r="L110" s="17" t="str">
        <f aca="false">IF(F110="TOD","1",IFERROR(INDEX(Sample_Guide!$C$5:$C$20,MATCH(E110,Sample_Guide!$A$5:$A$20,0))&amp;"–"&amp;INDEX(Sample_Guide!$D$5:$D$20,MATCH(E110,Sample_Guide!$A$5:$A$20,0)),""))</f>
        <v/>
      </c>
      <c r="M110" s="16"/>
      <c r="N110" s="18"/>
      <c r="O110" s="18"/>
      <c r="P110" s="17" t="str">
        <f aca="false">IF(A110="","",IF(OR(D110="ITAC",D110="IPE",D110="ITDM"),"Y","N"))</f>
        <v/>
      </c>
      <c r="Q110" s="16"/>
      <c r="R110" s="16"/>
      <c r="S110" s="18"/>
      <c r="T110" s="18"/>
      <c r="U110" s="16"/>
      <c r="V110" s="16"/>
      <c r="W110" s="16"/>
      <c r="X110" s="17" t="str">
        <f aca="false">IF(A110="","",IF(OR(B110="",F110="",G110="",H110=""),"Control, test type, attributes, procedure needed",IF(COUNTIF(Ref_CTRL!$A$2:$A$201,B110)=0,"CTRL-ID not in W05",IF(LEFT(A110,LEN(B110)+1)&lt;&gt;B110&amp;"-","TEST-ID must start with CTRL-ID-",IF(AND(F110="TOE",I110=""),"Population EV-ID needed (TOE)",IF(AND(I110&lt;&gt;"",J110&lt;&gt;"Pass"),"HOLD: population IPE not Pass",IF(AND(F110="TOE",M110=""),"Sample size needed",IF(AND(F110="TOE",OR(M110&lt;IFERROR(INDEX(Sample_Guide!$C$5:$C$20,MATCH(E110,Sample_Guide!$A$5:$A$20,0)),0),M110&gt;IFERROR(INDEX(Sample_Guide!$D$5:$D$20,MATCH(E110,Sample_Guide!$A$5:$A$20,0)),9999))),"Sample outside guide: justify",IF(OR(Q110="",R110=""),"Tester and reviewer needed",IF(Q110=R110,"Tester and reviewer must differ",IF(AND(W110&lt;&gt;"",W110&lt;&gt;"Not started",V110&lt;&gt;"Reviewed",V110&lt;&gt;"Closed"),"Result only after review","OK")))))))))))</f>
        <v/>
      </c>
    </row>
    <row r="111" customFormat="false" ht="15" hidden="false" customHeight="false" outlineLevel="0" collapsed="false">
      <c r="A111" s="16"/>
      <c r="B111" s="16"/>
      <c r="C111" s="17" t="str">
        <f aca="false">IFERROR(INDEX(Ref_CTRL!$B$2:$B$201,MATCH(B111,Ref_CTRL!$A$2:$A$201,0)),"")</f>
        <v/>
      </c>
      <c r="D111" s="17" t="str">
        <f aca="false">IFERROR(INDEX(Ref_CTRL!$C$2:$C$201,MATCH(B111,Ref_CTRL!$A$2:$A$201,0)),"")</f>
        <v/>
      </c>
      <c r="E111" s="17" t="str">
        <f aca="false">IFERROR(INDEX(Ref_CTRL!$D$2:$D$201,MATCH(B111,Ref_CTRL!$A$2:$A$201,0)),"")</f>
        <v/>
      </c>
      <c r="F111" s="16"/>
      <c r="G111" s="16"/>
      <c r="H111" s="16"/>
      <c r="I111" s="16"/>
      <c r="J111" s="17" t="str">
        <f aca="false">IFERROR(INDEX(Ref_EV!$B$2:$B$201,MATCH(I111,Ref_EV!$A$2:$A$201,0)),"")</f>
        <v/>
      </c>
      <c r="K111" s="17" t="str">
        <f aca="false">IFERROR(INDEX(Ref_EV!$C$2:$C$201,MATCH(I111,Ref_EV!$A$2:$A$201,0)),"")</f>
        <v/>
      </c>
      <c r="L111" s="17" t="str">
        <f aca="false">IF(F111="TOD","1",IFERROR(INDEX(Sample_Guide!$C$5:$C$20,MATCH(E111,Sample_Guide!$A$5:$A$20,0))&amp;"–"&amp;INDEX(Sample_Guide!$D$5:$D$20,MATCH(E111,Sample_Guide!$A$5:$A$20,0)),""))</f>
        <v/>
      </c>
      <c r="M111" s="16"/>
      <c r="N111" s="18"/>
      <c r="O111" s="18"/>
      <c r="P111" s="17" t="str">
        <f aca="false">IF(A111="","",IF(OR(D111="ITAC",D111="IPE",D111="ITDM"),"Y","N"))</f>
        <v/>
      </c>
      <c r="Q111" s="16"/>
      <c r="R111" s="16"/>
      <c r="S111" s="18"/>
      <c r="T111" s="18"/>
      <c r="U111" s="16"/>
      <c r="V111" s="16"/>
      <c r="W111" s="16"/>
      <c r="X111" s="17" t="str">
        <f aca="false">IF(A111="","",IF(OR(B111="",F111="",G111="",H111=""),"Control, test type, attributes, procedure needed",IF(COUNTIF(Ref_CTRL!$A$2:$A$201,B111)=0,"CTRL-ID not in W05",IF(LEFT(A111,LEN(B111)+1)&lt;&gt;B111&amp;"-","TEST-ID must start with CTRL-ID-",IF(AND(F111="TOE",I111=""),"Population EV-ID needed (TOE)",IF(AND(I111&lt;&gt;"",J111&lt;&gt;"Pass"),"HOLD: population IPE not Pass",IF(AND(F111="TOE",M111=""),"Sample size needed",IF(AND(F111="TOE",OR(M111&lt;IFERROR(INDEX(Sample_Guide!$C$5:$C$20,MATCH(E111,Sample_Guide!$A$5:$A$20,0)),0),M111&gt;IFERROR(INDEX(Sample_Guide!$D$5:$D$20,MATCH(E111,Sample_Guide!$A$5:$A$20,0)),9999))),"Sample outside guide: justify",IF(OR(Q111="",R111=""),"Tester and reviewer needed",IF(Q111=R111,"Tester and reviewer must differ",IF(AND(W111&lt;&gt;"",W111&lt;&gt;"Not started",V111&lt;&gt;"Reviewed",V111&lt;&gt;"Closed"),"Result only after review","OK")))))))))))</f>
        <v/>
      </c>
    </row>
    <row r="112" customFormat="false" ht="15" hidden="false" customHeight="false" outlineLevel="0" collapsed="false">
      <c r="A112" s="16"/>
      <c r="B112" s="16"/>
      <c r="C112" s="17" t="str">
        <f aca="false">IFERROR(INDEX(Ref_CTRL!$B$2:$B$201,MATCH(B112,Ref_CTRL!$A$2:$A$201,0)),"")</f>
        <v/>
      </c>
      <c r="D112" s="17" t="str">
        <f aca="false">IFERROR(INDEX(Ref_CTRL!$C$2:$C$201,MATCH(B112,Ref_CTRL!$A$2:$A$201,0)),"")</f>
        <v/>
      </c>
      <c r="E112" s="17" t="str">
        <f aca="false">IFERROR(INDEX(Ref_CTRL!$D$2:$D$201,MATCH(B112,Ref_CTRL!$A$2:$A$201,0)),"")</f>
        <v/>
      </c>
      <c r="F112" s="16"/>
      <c r="G112" s="16"/>
      <c r="H112" s="16"/>
      <c r="I112" s="16"/>
      <c r="J112" s="17" t="str">
        <f aca="false">IFERROR(INDEX(Ref_EV!$B$2:$B$201,MATCH(I112,Ref_EV!$A$2:$A$201,0)),"")</f>
        <v/>
      </c>
      <c r="K112" s="17" t="str">
        <f aca="false">IFERROR(INDEX(Ref_EV!$C$2:$C$201,MATCH(I112,Ref_EV!$A$2:$A$201,0)),"")</f>
        <v/>
      </c>
      <c r="L112" s="17" t="str">
        <f aca="false">IF(F112="TOD","1",IFERROR(INDEX(Sample_Guide!$C$5:$C$20,MATCH(E112,Sample_Guide!$A$5:$A$20,0))&amp;"–"&amp;INDEX(Sample_Guide!$D$5:$D$20,MATCH(E112,Sample_Guide!$A$5:$A$20,0)),""))</f>
        <v/>
      </c>
      <c r="M112" s="16"/>
      <c r="N112" s="18"/>
      <c r="O112" s="18"/>
      <c r="P112" s="17" t="str">
        <f aca="false">IF(A112="","",IF(OR(D112="ITAC",D112="IPE",D112="ITDM"),"Y","N"))</f>
        <v/>
      </c>
      <c r="Q112" s="16"/>
      <c r="R112" s="16"/>
      <c r="S112" s="18"/>
      <c r="T112" s="18"/>
      <c r="U112" s="16"/>
      <c r="V112" s="16"/>
      <c r="W112" s="16"/>
      <c r="X112" s="17" t="str">
        <f aca="false">IF(A112="","",IF(OR(B112="",F112="",G112="",H112=""),"Control, test type, attributes, procedure needed",IF(COUNTIF(Ref_CTRL!$A$2:$A$201,B112)=0,"CTRL-ID not in W05",IF(LEFT(A112,LEN(B112)+1)&lt;&gt;B112&amp;"-","TEST-ID must start with CTRL-ID-",IF(AND(F112="TOE",I112=""),"Population EV-ID needed (TOE)",IF(AND(I112&lt;&gt;"",J112&lt;&gt;"Pass"),"HOLD: population IPE not Pass",IF(AND(F112="TOE",M112=""),"Sample size needed",IF(AND(F112="TOE",OR(M112&lt;IFERROR(INDEX(Sample_Guide!$C$5:$C$20,MATCH(E112,Sample_Guide!$A$5:$A$20,0)),0),M112&gt;IFERROR(INDEX(Sample_Guide!$D$5:$D$20,MATCH(E112,Sample_Guide!$A$5:$A$20,0)),9999))),"Sample outside guide: justify",IF(OR(Q112="",R112=""),"Tester and reviewer needed",IF(Q112=R112,"Tester and reviewer must differ",IF(AND(W112&lt;&gt;"",W112&lt;&gt;"Not started",V112&lt;&gt;"Reviewed",V112&lt;&gt;"Closed"),"Result only after review","OK")))))))))))</f>
        <v/>
      </c>
    </row>
    <row r="113" customFormat="false" ht="15" hidden="false" customHeight="false" outlineLevel="0" collapsed="false">
      <c r="A113" s="16"/>
      <c r="B113" s="16"/>
      <c r="C113" s="17" t="str">
        <f aca="false">IFERROR(INDEX(Ref_CTRL!$B$2:$B$201,MATCH(B113,Ref_CTRL!$A$2:$A$201,0)),"")</f>
        <v/>
      </c>
      <c r="D113" s="17" t="str">
        <f aca="false">IFERROR(INDEX(Ref_CTRL!$C$2:$C$201,MATCH(B113,Ref_CTRL!$A$2:$A$201,0)),"")</f>
        <v/>
      </c>
      <c r="E113" s="17" t="str">
        <f aca="false">IFERROR(INDEX(Ref_CTRL!$D$2:$D$201,MATCH(B113,Ref_CTRL!$A$2:$A$201,0)),"")</f>
        <v/>
      </c>
      <c r="F113" s="16"/>
      <c r="G113" s="16"/>
      <c r="H113" s="16"/>
      <c r="I113" s="16"/>
      <c r="J113" s="17" t="str">
        <f aca="false">IFERROR(INDEX(Ref_EV!$B$2:$B$201,MATCH(I113,Ref_EV!$A$2:$A$201,0)),"")</f>
        <v/>
      </c>
      <c r="K113" s="17" t="str">
        <f aca="false">IFERROR(INDEX(Ref_EV!$C$2:$C$201,MATCH(I113,Ref_EV!$A$2:$A$201,0)),"")</f>
        <v/>
      </c>
      <c r="L113" s="17" t="str">
        <f aca="false">IF(F113="TOD","1",IFERROR(INDEX(Sample_Guide!$C$5:$C$20,MATCH(E113,Sample_Guide!$A$5:$A$20,0))&amp;"–"&amp;INDEX(Sample_Guide!$D$5:$D$20,MATCH(E113,Sample_Guide!$A$5:$A$20,0)),""))</f>
        <v/>
      </c>
      <c r="M113" s="16"/>
      <c r="N113" s="18"/>
      <c r="O113" s="18"/>
      <c r="P113" s="17" t="str">
        <f aca="false">IF(A113="","",IF(OR(D113="ITAC",D113="IPE",D113="ITDM"),"Y","N"))</f>
        <v/>
      </c>
      <c r="Q113" s="16"/>
      <c r="R113" s="16"/>
      <c r="S113" s="18"/>
      <c r="T113" s="18"/>
      <c r="U113" s="16"/>
      <c r="V113" s="16"/>
      <c r="W113" s="16"/>
      <c r="X113" s="17" t="str">
        <f aca="false">IF(A113="","",IF(OR(B113="",F113="",G113="",H113=""),"Control, test type, attributes, procedure needed",IF(COUNTIF(Ref_CTRL!$A$2:$A$201,B113)=0,"CTRL-ID not in W05",IF(LEFT(A113,LEN(B113)+1)&lt;&gt;B113&amp;"-","TEST-ID must start with CTRL-ID-",IF(AND(F113="TOE",I113=""),"Population EV-ID needed (TOE)",IF(AND(I113&lt;&gt;"",J113&lt;&gt;"Pass"),"HOLD: population IPE not Pass",IF(AND(F113="TOE",M113=""),"Sample size needed",IF(AND(F113="TOE",OR(M113&lt;IFERROR(INDEX(Sample_Guide!$C$5:$C$20,MATCH(E113,Sample_Guide!$A$5:$A$20,0)),0),M113&gt;IFERROR(INDEX(Sample_Guide!$D$5:$D$20,MATCH(E113,Sample_Guide!$A$5:$A$20,0)),9999))),"Sample outside guide: justify",IF(OR(Q113="",R113=""),"Tester and reviewer needed",IF(Q113=R113,"Tester and reviewer must differ",IF(AND(W113&lt;&gt;"",W113&lt;&gt;"Not started",V113&lt;&gt;"Reviewed",V113&lt;&gt;"Closed"),"Result only after review","OK")))))))))))</f>
        <v/>
      </c>
    </row>
    <row r="114" customFormat="false" ht="15" hidden="false" customHeight="false" outlineLevel="0" collapsed="false">
      <c r="A114" s="16"/>
      <c r="B114" s="16"/>
      <c r="C114" s="17" t="str">
        <f aca="false">IFERROR(INDEX(Ref_CTRL!$B$2:$B$201,MATCH(B114,Ref_CTRL!$A$2:$A$201,0)),"")</f>
        <v/>
      </c>
      <c r="D114" s="17" t="str">
        <f aca="false">IFERROR(INDEX(Ref_CTRL!$C$2:$C$201,MATCH(B114,Ref_CTRL!$A$2:$A$201,0)),"")</f>
        <v/>
      </c>
      <c r="E114" s="17" t="str">
        <f aca="false">IFERROR(INDEX(Ref_CTRL!$D$2:$D$201,MATCH(B114,Ref_CTRL!$A$2:$A$201,0)),"")</f>
        <v/>
      </c>
      <c r="F114" s="16"/>
      <c r="G114" s="16"/>
      <c r="H114" s="16"/>
      <c r="I114" s="16"/>
      <c r="J114" s="17" t="str">
        <f aca="false">IFERROR(INDEX(Ref_EV!$B$2:$B$201,MATCH(I114,Ref_EV!$A$2:$A$201,0)),"")</f>
        <v/>
      </c>
      <c r="K114" s="17" t="str">
        <f aca="false">IFERROR(INDEX(Ref_EV!$C$2:$C$201,MATCH(I114,Ref_EV!$A$2:$A$201,0)),"")</f>
        <v/>
      </c>
      <c r="L114" s="17" t="str">
        <f aca="false">IF(F114="TOD","1",IFERROR(INDEX(Sample_Guide!$C$5:$C$20,MATCH(E114,Sample_Guide!$A$5:$A$20,0))&amp;"–"&amp;INDEX(Sample_Guide!$D$5:$D$20,MATCH(E114,Sample_Guide!$A$5:$A$20,0)),""))</f>
        <v/>
      </c>
      <c r="M114" s="16"/>
      <c r="N114" s="18"/>
      <c r="O114" s="18"/>
      <c r="P114" s="17" t="str">
        <f aca="false">IF(A114="","",IF(OR(D114="ITAC",D114="IPE",D114="ITDM"),"Y","N"))</f>
        <v/>
      </c>
      <c r="Q114" s="16"/>
      <c r="R114" s="16"/>
      <c r="S114" s="18"/>
      <c r="T114" s="18"/>
      <c r="U114" s="16"/>
      <c r="V114" s="16"/>
      <c r="W114" s="16"/>
      <c r="X114" s="17" t="str">
        <f aca="false">IF(A114="","",IF(OR(B114="",F114="",G114="",H114=""),"Control, test type, attributes, procedure needed",IF(COUNTIF(Ref_CTRL!$A$2:$A$201,B114)=0,"CTRL-ID not in W05",IF(LEFT(A114,LEN(B114)+1)&lt;&gt;B114&amp;"-","TEST-ID must start with CTRL-ID-",IF(AND(F114="TOE",I114=""),"Population EV-ID needed (TOE)",IF(AND(I114&lt;&gt;"",J114&lt;&gt;"Pass"),"HOLD: population IPE not Pass",IF(AND(F114="TOE",M114=""),"Sample size needed",IF(AND(F114="TOE",OR(M114&lt;IFERROR(INDEX(Sample_Guide!$C$5:$C$20,MATCH(E114,Sample_Guide!$A$5:$A$20,0)),0),M114&gt;IFERROR(INDEX(Sample_Guide!$D$5:$D$20,MATCH(E114,Sample_Guide!$A$5:$A$20,0)),9999))),"Sample outside guide: justify",IF(OR(Q114="",R114=""),"Tester and reviewer needed",IF(Q114=R114,"Tester and reviewer must differ",IF(AND(W114&lt;&gt;"",W114&lt;&gt;"Not started",V114&lt;&gt;"Reviewed",V114&lt;&gt;"Closed"),"Result only after review","OK")))))))))))</f>
        <v/>
      </c>
    </row>
    <row r="115" customFormat="false" ht="15" hidden="false" customHeight="false" outlineLevel="0" collapsed="false">
      <c r="A115" s="16"/>
      <c r="B115" s="16"/>
      <c r="C115" s="17" t="str">
        <f aca="false">IFERROR(INDEX(Ref_CTRL!$B$2:$B$201,MATCH(B115,Ref_CTRL!$A$2:$A$201,0)),"")</f>
        <v/>
      </c>
      <c r="D115" s="17" t="str">
        <f aca="false">IFERROR(INDEX(Ref_CTRL!$C$2:$C$201,MATCH(B115,Ref_CTRL!$A$2:$A$201,0)),"")</f>
        <v/>
      </c>
      <c r="E115" s="17" t="str">
        <f aca="false">IFERROR(INDEX(Ref_CTRL!$D$2:$D$201,MATCH(B115,Ref_CTRL!$A$2:$A$201,0)),"")</f>
        <v/>
      </c>
      <c r="F115" s="16"/>
      <c r="G115" s="16"/>
      <c r="H115" s="16"/>
      <c r="I115" s="16"/>
      <c r="J115" s="17" t="str">
        <f aca="false">IFERROR(INDEX(Ref_EV!$B$2:$B$201,MATCH(I115,Ref_EV!$A$2:$A$201,0)),"")</f>
        <v/>
      </c>
      <c r="K115" s="17" t="str">
        <f aca="false">IFERROR(INDEX(Ref_EV!$C$2:$C$201,MATCH(I115,Ref_EV!$A$2:$A$201,0)),"")</f>
        <v/>
      </c>
      <c r="L115" s="17" t="str">
        <f aca="false">IF(F115="TOD","1",IFERROR(INDEX(Sample_Guide!$C$5:$C$20,MATCH(E115,Sample_Guide!$A$5:$A$20,0))&amp;"–"&amp;INDEX(Sample_Guide!$D$5:$D$20,MATCH(E115,Sample_Guide!$A$5:$A$20,0)),""))</f>
        <v/>
      </c>
      <c r="M115" s="16"/>
      <c r="N115" s="18"/>
      <c r="O115" s="18"/>
      <c r="P115" s="17" t="str">
        <f aca="false">IF(A115="","",IF(OR(D115="ITAC",D115="IPE",D115="ITDM"),"Y","N"))</f>
        <v/>
      </c>
      <c r="Q115" s="16"/>
      <c r="R115" s="16"/>
      <c r="S115" s="18"/>
      <c r="T115" s="18"/>
      <c r="U115" s="16"/>
      <c r="V115" s="16"/>
      <c r="W115" s="16"/>
      <c r="X115" s="17" t="str">
        <f aca="false">IF(A115="","",IF(OR(B115="",F115="",G115="",H115=""),"Control, test type, attributes, procedure needed",IF(COUNTIF(Ref_CTRL!$A$2:$A$201,B115)=0,"CTRL-ID not in W05",IF(LEFT(A115,LEN(B115)+1)&lt;&gt;B115&amp;"-","TEST-ID must start with CTRL-ID-",IF(AND(F115="TOE",I115=""),"Population EV-ID needed (TOE)",IF(AND(I115&lt;&gt;"",J115&lt;&gt;"Pass"),"HOLD: population IPE not Pass",IF(AND(F115="TOE",M115=""),"Sample size needed",IF(AND(F115="TOE",OR(M115&lt;IFERROR(INDEX(Sample_Guide!$C$5:$C$20,MATCH(E115,Sample_Guide!$A$5:$A$20,0)),0),M115&gt;IFERROR(INDEX(Sample_Guide!$D$5:$D$20,MATCH(E115,Sample_Guide!$A$5:$A$20,0)),9999))),"Sample outside guide: justify",IF(OR(Q115="",R115=""),"Tester and reviewer needed",IF(Q115=R115,"Tester and reviewer must differ",IF(AND(W115&lt;&gt;"",W115&lt;&gt;"Not started",V115&lt;&gt;"Reviewed",V115&lt;&gt;"Closed"),"Result only after review","OK")))))))))))</f>
        <v/>
      </c>
    </row>
    <row r="116" customFormat="false" ht="15" hidden="false" customHeight="false" outlineLevel="0" collapsed="false">
      <c r="A116" s="16"/>
      <c r="B116" s="16"/>
      <c r="C116" s="17" t="str">
        <f aca="false">IFERROR(INDEX(Ref_CTRL!$B$2:$B$201,MATCH(B116,Ref_CTRL!$A$2:$A$201,0)),"")</f>
        <v/>
      </c>
      <c r="D116" s="17" t="str">
        <f aca="false">IFERROR(INDEX(Ref_CTRL!$C$2:$C$201,MATCH(B116,Ref_CTRL!$A$2:$A$201,0)),"")</f>
        <v/>
      </c>
      <c r="E116" s="17" t="str">
        <f aca="false">IFERROR(INDEX(Ref_CTRL!$D$2:$D$201,MATCH(B116,Ref_CTRL!$A$2:$A$201,0)),"")</f>
        <v/>
      </c>
      <c r="F116" s="16"/>
      <c r="G116" s="16"/>
      <c r="H116" s="16"/>
      <c r="I116" s="16"/>
      <c r="J116" s="17" t="str">
        <f aca="false">IFERROR(INDEX(Ref_EV!$B$2:$B$201,MATCH(I116,Ref_EV!$A$2:$A$201,0)),"")</f>
        <v/>
      </c>
      <c r="K116" s="17" t="str">
        <f aca="false">IFERROR(INDEX(Ref_EV!$C$2:$C$201,MATCH(I116,Ref_EV!$A$2:$A$201,0)),"")</f>
        <v/>
      </c>
      <c r="L116" s="17" t="str">
        <f aca="false">IF(F116="TOD","1",IFERROR(INDEX(Sample_Guide!$C$5:$C$20,MATCH(E116,Sample_Guide!$A$5:$A$20,0))&amp;"–"&amp;INDEX(Sample_Guide!$D$5:$D$20,MATCH(E116,Sample_Guide!$A$5:$A$20,0)),""))</f>
        <v/>
      </c>
      <c r="M116" s="16"/>
      <c r="N116" s="18"/>
      <c r="O116" s="18"/>
      <c r="P116" s="17" t="str">
        <f aca="false">IF(A116="","",IF(OR(D116="ITAC",D116="IPE",D116="ITDM"),"Y","N"))</f>
        <v/>
      </c>
      <c r="Q116" s="16"/>
      <c r="R116" s="16"/>
      <c r="S116" s="18"/>
      <c r="T116" s="18"/>
      <c r="U116" s="16"/>
      <c r="V116" s="16"/>
      <c r="W116" s="16"/>
      <c r="X116" s="17" t="str">
        <f aca="false">IF(A116="","",IF(OR(B116="",F116="",G116="",H116=""),"Control, test type, attributes, procedure needed",IF(COUNTIF(Ref_CTRL!$A$2:$A$201,B116)=0,"CTRL-ID not in W05",IF(LEFT(A116,LEN(B116)+1)&lt;&gt;B116&amp;"-","TEST-ID must start with CTRL-ID-",IF(AND(F116="TOE",I116=""),"Population EV-ID needed (TOE)",IF(AND(I116&lt;&gt;"",J116&lt;&gt;"Pass"),"HOLD: population IPE not Pass",IF(AND(F116="TOE",M116=""),"Sample size needed",IF(AND(F116="TOE",OR(M116&lt;IFERROR(INDEX(Sample_Guide!$C$5:$C$20,MATCH(E116,Sample_Guide!$A$5:$A$20,0)),0),M116&gt;IFERROR(INDEX(Sample_Guide!$D$5:$D$20,MATCH(E116,Sample_Guide!$A$5:$A$20,0)),9999))),"Sample outside guide: justify",IF(OR(Q116="",R116=""),"Tester and reviewer needed",IF(Q116=R116,"Tester and reviewer must differ",IF(AND(W116&lt;&gt;"",W116&lt;&gt;"Not started",V116&lt;&gt;"Reviewed",V116&lt;&gt;"Closed"),"Result only after review","OK")))))))))))</f>
        <v/>
      </c>
    </row>
    <row r="117" customFormat="false" ht="15" hidden="false" customHeight="false" outlineLevel="0" collapsed="false">
      <c r="A117" s="16"/>
      <c r="B117" s="16"/>
      <c r="C117" s="17" t="str">
        <f aca="false">IFERROR(INDEX(Ref_CTRL!$B$2:$B$201,MATCH(B117,Ref_CTRL!$A$2:$A$201,0)),"")</f>
        <v/>
      </c>
      <c r="D117" s="17" t="str">
        <f aca="false">IFERROR(INDEX(Ref_CTRL!$C$2:$C$201,MATCH(B117,Ref_CTRL!$A$2:$A$201,0)),"")</f>
        <v/>
      </c>
      <c r="E117" s="17" t="str">
        <f aca="false">IFERROR(INDEX(Ref_CTRL!$D$2:$D$201,MATCH(B117,Ref_CTRL!$A$2:$A$201,0)),"")</f>
        <v/>
      </c>
      <c r="F117" s="16"/>
      <c r="G117" s="16"/>
      <c r="H117" s="16"/>
      <c r="I117" s="16"/>
      <c r="J117" s="17" t="str">
        <f aca="false">IFERROR(INDEX(Ref_EV!$B$2:$B$201,MATCH(I117,Ref_EV!$A$2:$A$201,0)),"")</f>
        <v/>
      </c>
      <c r="K117" s="17" t="str">
        <f aca="false">IFERROR(INDEX(Ref_EV!$C$2:$C$201,MATCH(I117,Ref_EV!$A$2:$A$201,0)),"")</f>
        <v/>
      </c>
      <c r="L117" s="17" t="str">
        <f aca="false">IF(F117="TOD","1",IFERROR(INDEX(Sample_Guide!$C$5:$C$20,MATCH(E117,Sample_Guide!$A$5:$A$20,0))&amp;"–"&amp;INDEX(Sample_Guide!$D$5:$D$20,MATCH(E117,Sample_Guide!$A$5:$A$20,0)),""))</f>
        <v/>
      </c>
      <c r="M117" s="16"/>
      <c r="N117" s="18"/>
      <c r="O117" s="18"/>
      <c r="P117" s="17" t="str">
        <f aca="false">IF(A117="","",IF(OR(D117="ITAC",D117="IPE",D117="ITDM"),"Y","N"))</f>
        <v/>
      </c>
      <c r="Q117" s="16"/>
      <c r="R117" s="16"/>
      <c r="S117" s="18"/>
      <c r="T117" s="18"/>
      <c r="U117" s="16"/>
      <c r="V117" s="16"/>
      <c r="W117" s="16"/>
      <c r="X117" s="17" t="str">
        <f aca="false">IF(A117="","",IF(OR(B117="",F117="",G117="",H117=""),"Control, test type, attributes, procedure needed",IF(COUNTIF(Ref_CTRL!$A$2:$A$201,B117)=0,"CTRL-ID not in W05",IF(LEFT(A117,LEN(B117)+1)&lt;&gt;B117&amp;"-","TEST-ID must start with CTRL-ID-",IF(AND(F117="TOE",I117=""),"Population EV-ID needed (TOE)",IF(AND(I117&lt;&gt;"",J117&lt;&gt;"Pass"),"HOLD: population IPE not Pass",IF(AND(F117="TOE",M117=""),"Sample size needed",IF(AND(F117="TOE",OR(M117&lt;IFERROR(INDEX(Sample_Guide!$C$5:$C$20,MATCH(E117,Sample_Guide!$A$5:$A$20,0)),0),M117&gt;IFERROR(INDEX(Sample_Guide!$D$5:$D$20,MATCH(E117,Sample_Guide!$A$5:$A$20,0)),9999))),"Sample outside guide: justify",IF(OR(Q117="",R117=""),"Tester and reviewer needed",IF(Q117=R117,"Tester and reviewer must differ",IF(AND(W117&lt;&gt;"",W117&lt;&gt;"Not started",V117&lt;&gt;"Reviewed",V117&lt;&gt;"Closed"),"Result only after review","OK")))))))))))</f>
        <v/>
      </c>
    </row>
    <row r="118" customFormat="false" ht="15" hidden="false" customHeight="false" outlineLevel="0" collapsed="false">
      <c r="A118" s="16"/>
      <c r="B118" s="16"/>
      <c r="C118" s="17" t="str">
        <f aca="false">IFERROR(INDEX(Ref_CTRL!$B$2:$B$201,MATCH(B118,Ref_CTRL!$A$2:$A$201,0)),"")</f>
        <v/>
      </c>
      <c r="D118" s="17" t="str">
        <f aca="false">IFERROR(INDEX(Ref_CTRL!$C$2:$C$201,MATCH(B118,Ref_CTRL!$A$2:$A$201,0)),"")</f>
        <v/>
      </c>
      <c r="E118" s="17" t="str">
        <f aca="false">IFERROR(INDEX(Ref_CTRL!$D$2:$D$201,MATCH(B118,Ref_CTRL!$A$2:$A$201,0)),"")</f>
        <v/>
      </c>
      <c r="F118" s="16"/>
      <c r="G118" s="16"/>
      <c r="H118" s="16"/>
      <c r="I118" s="16"/>
      <c r="J118" s="17" t="str">
        <f aca="false">IFERROR(INDEX(Ref_EV!$B$2:$B$201,MATCH(I118,Ref_EV!$A$2:$A$201,0)),"")</f>
        <v/>
      </c>
      <c r="K118" s="17" t="str">
        <f aca="false">IFERROR(INDEX(Ref_EV!$C$2:$C$201,MATCH(I118,Ref_EV!$A$2:$A$201,0)),"")</f>
        <v/>
      </c>
      <c r="L118" s="17" t="str">
        <f aca="false">IF(F118="TOD","1",IFERROR(INDEX(Sample_Guide!$C$5:$C$20,MATCH(E118,Sample_Guide!$A$5:$A$20,0))&amp;"–"&amp;INDEX(Sample_Guide!$D$5:$D$20,MATCH(E118,Sample_Guide!$A$5:$A$20,0)),""))</f>
        <v/>
      </c>
      <c r="M118" s="16"/>
      <c r="N118" s="18"/>
      <c r="O118" s="18"/>
      <c r="P118" s="17" t="str">
        <f aca="false">IF(A118="","",IF(OR(D118="ITAC",D118="IPE",D118="ITDM"),"Y","N"))</f>
        <v/>
      </c>
      <c r="Q118" s="16"/>
      <c r="R118" s="16"/>
      <c r="S118" s="18"/>
      <c r="T118" s="18"/>
      <c r="U118" s="16"/>
      <c r="V118" s="16"/>
      <c r="W118" s="16"/>
      <c r="X118" s="17" t="str">
        <f aca="false">IF(A118="","",IF(OR(B118="",F118="",G118="",H118=""),"Control, test type, attributes, procedure needed",IF(COUNTIF(Ref_CTRL!$A$2:$A$201,B118)=0,"CTRL-ID not in W05",IF(LEFT(A118,LEN(B118)+1)&lt;&gt;B118&amp;"-","TEST-ID must start with CTRL-ID-",IF(AND(F118="TOE",I118=""),"Population EV-ID needed (TOE)",IF(AND(I118&lt;&gt;"",J118&lt;&gt;"Pass"),"HOLD: population IPE not Pass",IF(AND(F118="TOE",M118=""),"Sample size needed",IF(AND(F118="TOE",OR(M118&lt;IFERROR(INDEX(Sample_Guide!$C$5:$C$20,MATCH(E118,Sample_Guide!$A$5:$A$20,0)),0),M118&gt;IFERROR(INDEX(Sample_Guide!$D$5:$D$20,MATCH(E118,Sample_Guide!$A$5:$A$20,0)),9999))),"Sample outside guide: justify",IF(OR(Q118="",R118=""),"Tester and reviewer needed",IF(Q118=R118,"Tester and reviewer must differ",IF(AND(W118&lt;&gt;"",W118&lt;&gt;"Not started",V118&lt;&gt;"Reviewed",V118&lt;&gt;"Closed"),"Result only after review","OK")))))))))))</f>
        <v/>
      </c>
    </row>
    <row r="119" customFormat="false" ht="15" hidden="false" customHeight="false" outlineLevel="0" collapsed="false">
      <c r="A119" s="16"/>
      <c r="B119" s="16"/>
      <c r="C119" s="17" t="str">
        <f aca="false">IFERROR(INDEX(Ref_CTRL!$B$2:$B$201,MATCH(B119,Ref_CTRL!$A$2:$A$201,0)),"")</f>
        <v/>
      </c>
      <c r="D119" s="17" t="str">
        <f aca="false">IFERROR(INDEX(Ref_CTRL!$C$2:$C$201,MATCH(B119,Ref_CTRL!$A$2:$A$201,0)),"")</f>
        <v/>
      </c>
      <c r="E119" s="17" t="str">
        <f aca="false">IFERROR(INDEX(Ref_CTRL!$D$2:$D$201,MATCH(B119,Ref_CTRL!$A$2:$A$201,0)),"")</f>
        <v/>
      </c>
      <c r="F119" s="16"/>
      <c r="G119" s="16"/>
      <c r="H119" s="16"/>
      <c r="I119" s="16"/>
      <c r="J119" s="17" t="str">
        <f aca="false">IFERROR(INDEX(Ref_EV!$B$2:$B$201,MATCH(I119,Ref_EV!$A$2:$A$201,0)),"")</f>
        <v/>
      </c>
      <c r="K119" s="17" t="str">
        <f aca="false">IFERROR(INDEX(Ref_EV!$C$2:$C$201,MATCH(I119,Ref_EV!$A$2:$A$201,0)),"")</f>
        <v/>
      </c>
      <c r="L119" s="17" t="str">
        <f aca="false">IF(F119="TOD","1",IFERROR(INDEX(Sample_Guide!$C$5:$C$20,MATCH(E119,Sample_Guide!$A$5:$A$20,0))&amp;"–"&amp;INDEX(Sample_Guide!$D$5:$D$20,MATCH(E119,Sample_Guide!$A$5:$A$20,0)),""))</f>
        <v/>
      </c>
      <c r="M119" s="16"/>
      <c r="N119" s="18"/>
      <c r="O119" s="18"/>
      <c r="P119" s="17" t="str">
        <f aca="false">IF(A119="","",IF(OR(D119="ITAC",D119="IPE",D119="ITDM"),"Y","N"))</f>
        <v/>
      </c>
      <c r="Q119" s="16"/>
      <c r="R119" s="16"/>
      <c r="S119" s="18"/>
      <c r="T119" s="18"/>
      <c r="U119" s="16"/>
      <c r="V119" s="16"/>
      <c r="W119" s="16"/>
      <c r="X119" s="17" t="str">
        <f aca="false">IF(A119="","",IF(OR(B119="",F119="",G119="",H119=""),"Control, test type, attributes, procedure needed",IF(COUNTIF(Ref_CTRL!$A$2:$A$201,B119)=0,"CTRL-ID not in W05",IF(LEFT(A119,LEN(B119)+1)&lt;&gt;B119&amp;"-","TEST-ID must start with CTRL-ID-",IF(AND(F119="TOE",I119=""),"Population EV-ID needed (TOE)",IF(AND(I119&lt;&gt;"",J119&lt;&gt;"Pass"),"HOLD: population IPE not Pass",IF(AND(F119="TOE",M119=""),"Sample size needed",IF(AND(F119="TOE",OR(M119&lt;IFERROR(INDEX(Sample_Guide!$C$5:$C$20,MATCH(E119,Sample_Guide!$A$5:$A$20,0)),0),M119&gt;IFERROR(INDEX(Sample_Guide!$D$5:$D$20,MATCH(E119,Sample_Guide!$A$5:$A$20,0)),9999))),"Sample outside guide: justify",IF(OR(Q119="",R119=""),"Tester and reviewer needed",IF(Q119=R119,"Tester and reviewer must differ",IF(AND(W119&lt;&gt;"",W119&lt;&gt;"Not started",V119&lt;&gt;"Reviewed",V119&lt;&gt;"Closed"),"Result only after review","OK")))))))))))</f>
        <v/>
      </c>
    </row>
    <row r="120" customFormat="false" ht="15" hidden="false" customHeight="false" outlineLevel="0" collapsed="false">
      <c r="A120" s="16"/>
      <c r="B120" s="16"/>
      <c r="C120" s="17" t="str">
        <f aca="false">IFERROR(INDEX(Ref_CTRL!$B$2:$B$201,MATCH(B120,Ref_CTRL!$A$2:$A$201,0)),"")</f>
        <v/>
      </c>
      <c r="D120" s="17" t="str">
        <f aca="false">IFERROR(INDEX(Ref_CTRL!$C$2:$C$201,MATCH(B120,Ref_CTRL!$A$2:$A$201,0)),"")</f>
        <v/>
      </c>
      <c r="E120" s="17" t="str">
        <f aca="false">IFERROR(INDEX(Ref_CTRL!$D$2:$D$201,MATCH(B120,Ref_CTRL!$A$2:$A$201,0)),"")</f>
        <v/>
      </c>
      <c r="F120" s="16"/>
      <c r="G120" s="16"/>
      <c r="H120" s="16"/>
      <c r="I120" s="16"/>
      <c r="J120" s="17" t="str">
        <f aca="false">IFERROR(INDEX(Ref_EV!$B$2:$B$201,MATCH(I120,Ref_EV!$A$2:$A$201,0)),"")</f>
        <v/>
      </c>
      <c r="K120" s="17" t="str">
        <f aca="false">IFERROR(INDEX(Ref_EV!$C$2:$C$201,MATCH(I120,Ref_EV!$A$2:$A$201,0)),"")</f>
        <v/>
      </c>
      <c r="L120" s="17" t="str">
        <f aca="false">IF(F120="TOD","1",IFERROR(INDEX(Sample_Guide!$C$5:$C$20,MATCH(E120,Sample_Guide!$A$5:$A$20,0))&amp;"–"&amp;INDEX(Sample_Guide!$D$5:$D$20,MATCH(E120,Sample_Guide!$A$5:$A$20,0)),""))</f>
        <v/>
      </c>
      <c r="M120" s="16"/>
      <c r="N120" s="18"/>
      <c r="O120" s="18"/>
      <c r="P120" s="17" t="str">
        <f aca="false">IF(A120="","",IF(OR(D120="ITAC",D120="IPE",D120="ITDM"),"Y","N"))</f>
        <v/>
      </c>
      <c r="Q120" s="16"/>
      <c r="R120" s="16"/>
      <c r="S120" s="18"/>
      <c r="T120" s="18"/>
      <c r="U120" s="16"/>
      <c r="V120" s="16"/>
      <c r="W120" s="16"/>
      <c r="X120" s="17" t="str">
        <f aca="false">IF(A120="","",IF(OR(B120="",F120="",G120="",H120=""),"Control, test type, attributes, procedure needed",IF(COUNTIF(Ref_CTRL!$A$2:$A$201,B120)=0,"CTRL-ID not in W05",IF(LEFT(A120,LEN(B120)+1)&lt;&gt;B120&amp;"-","TEST-ID must start with CTRL-ID-",IF(AND(F120="TOE",I120=""),"Population EV-ID needed (TOE)",IF(AND(I120&lt;&gt;"",J120&lt;&gt;"Pass"),"HOLD: population IPE not Pass",IF(AND(F120="TOE",M120=""),"Sample size needed",IF(AND(F120="TOE",OR(M120&lt;IFERROR(INDEX(Sample_Guide!$C$5:$C$20,MATCH(E120,Sample_Guide!$A$5:$A$20,0)),0),M120&gt;IFERROR(INDEX(Sample_Guide!$D$5:$D$20,MATCH(E120,Sample_Guide!$A$5:$A$20,0)),9999))),"Sample outside guide: justify",IF(OR(Q120="",R120=""),"Tester and reviewer needed",IF(Q120=R120,"Tester and reviewer must differ",IF(AND(W120&lt;&gt;"",W120&lt;&gt;"Not started",V120&lt;&gt;"Reviewed",V120&lt;&gt;"Closed"),"Result only after review","OK")))))))))))</f>
        <v/>
      </c>
    </row>
    <row r="121" customFormat="false" ht="15" hidden="false" customHeight="false" outlineLevel="0" collapsed="false">
      <c r="A121" s="16"/>
      <c r="B121" s="16"/>
      <c r="C121" s="17" t="str">
        <f aca="false">IFERROR(INDEX(Ref_CTRL!$B$2:$B$201,MATCH(B121,Ref_CTRL!$A$2:$A$201,0)),"")</f>
        <v/>
      </c>
      <c r="D121" s="17" t="str">
        <f aca="false">IFERROR(INDEX(Ref_CTRL!$C$2:$C$201,MATCH(B121,Ref_CTRL!$A$2:$A$201,0)),"")</f>
        <v/>
      </c>
      <c r="E121" s="17" t="str">
        <f aca="false">IFERROR(INDEX(Ref_CTRL!$D$2:$D$201,MATCH(B121,Ref_CTRL!$A$2:$A$201,0)),"")</f>
        <v/>
      </c>
      <c r="F121" s="16"/>
      <c r="G121" s="16"/>
      <c r="H121" s="16"/>
      <c r="I121" s="16"/>
      <c r="J121" s="17" t="str">
        <f aca="false">IFERROR(INDEX(Ref_EV!$B$2:$B$201,MATCH(I121,Ref_EV!$A$2:$A$201,0)),"")</f>
        <v/>
      </c>
      <c r="K121" s="17" t="str">
        <f aca="false">IFERROR(INDEX(Ref_EV!$C$2:$C$201,MATCH(I121,Ref_EV!$A$2:$A$201,0)),"")</f>
        <v/>
      </c>
      <c r="L121" s="17" t="str">
        <f aca="false">IF(F121="TOD","1",IFERROR(INDEX(Sample_Guide!$C$5:$C$20,MATCH(E121,Sample_Guide!$A$5:$A$20,0))&amp;"–"&amp;INDEX(Sample_Guide!$D$5:$D$20,MATCH(E121,Sample_Guide!$A$5:$A$20,0)),""))</f>
        <v/>
      </c>
      <c r="M121" s="16"/>
      <c r="N121" s="18"/>
      <c r="O121" s="18"/>
      <c r="P121" s="17" t="str">
        <f aca="false">IF(A121="","",IF(OR(D121="ITAC",D121="IPE",D121="ITDM"),"Y","N"))</f>
        <v/>
      </c>
      <c r="Q121" s="16"/>
      <c r="R121" s="16"/>
      <c r="S121" s="18"/>
      <c r="T121" s="18"/>
      <c r="U121" s="16"/>
      <c r="V121" s="16"/>
      <c r="W121" s="16"/>
      <c r="X121" s="17" t="str">
        <f aca="false">IF(A121="","",IF(OR(B121="",F121="",G121="",H121=""),"Control, test type, attributes, procedure needed",IF(COUNTIF(Ref_CTRL!$A$2:$A$201,B121)=0,"CTRL-ID not in W05",IF(LEFT(A121,LEN(B121)+1)&lt;&gt;B121&amp;"-","TEST-ID must start with CTRL-ID-",IF(AND(F121="TOE",I121=""),"Population EV-ID needed (TOE)",IF(AND(I121&lt;&gt;"",J121&lt;&gt;"Pass"),"HOLD: population IPE not Pass",IF(AND(F121="TOE",M121=""),"Sample size needed",IF(AND(F121="TOE",OR(M121&lt;IFERROR(INDEX(Sample_Guide!$C$5:$C$20,MATCH(E121,Sample_Guide!$A$5:$A$20,0)),0),M121&gt;IFERROR(INDEX(Sample_Guide!$D$5:$D$20,MATCH(E121,Sample_Guide!$A$5:$A$20,0)),9999))),"Sample outside guide: justify",IF(OR(Q121="",R121=""),"Tester and reviewer needed",IF(Q121=R121,"Tester and reviewer must differ",IF(AND(W121&lt;&gt;"",W121&lt;&gt;"Not started",V121&lt;&gt;"Reviewed",V121&lt;&gt;"Closed"),"Result only after review","OK")))))))))))</f>
        <v/>
      </c>
    </row>
    <row r="122" customFormat="false" ht="15" hidden="false" customHeight="false" outlineLevel="0" collapsed="false">
      <c r="A122" s="16"/>
      <c r="B122" s="16"/>
      <c r="C122" s="17" t="str">
        <f aca="false">IFERROR(INDEX(Ref_CTRL!$B$2:$B$201,MATCH(B122,Ref_CTRL!$A$2:$A$201,0)),"")</f>
        <v/>
      </c>
      <c r="D122" s="17" t="str">
        <f aca="false">IFERROR(INDEX(Ref_CTRL!$C$2:$C$201,MATCH(B122,Ref_CTRL!$A$2:$A$201,0)),"")</f>
        <v/>
      </c>
      <c r="E122" s="17" t="str">
        <f aca="false">IFERROR(INDEX(Ref_CTRL!$D$2:$D$201,MATCH(B122,Ref_CTRL!$A$2:$A$201,0)),"")</f>
        <v/>
      </c>
      <c r="F122" s="16"/>
      <c r="G122" s="16"/>
      <c r="H122" s="16"/>
      <c r="I122" s="16"/>
      <c r="J122" s="17" t="str">
        <f aca="false">IFERROR(INDEX(Ref_EV!$B$2:$B$201,MATCH(I122,Ref_EV!$A$2:$A$201,0)),"")</f>
        <v/>
      </c>
      <c r="K122" s="17" t="str">
        <f aca="false">IFERROR(INDEX(Ref_EV!$C$2:$C$201,MATCH(I122,Ref_EV!$A$2:$A$201,0)),"")</f>
        <v/>
      </c>
      <c r="L122" s="17" t="str">
        <f aca="false">IF(F122="TOD","1",IFERROR(INDEX(Sample_Guide!$C$5:$C$20,MATCH(E122,Sample_Guide!$A$5:$A$20,0))&amp;"–"&amp;INDEX(Sample_Guide!$D$5:$D$20,MATCH(E122,Sample_Guide!$A$5:$A$20,0)),""))</f>
        <v/>
      </c>
      <c r="M122" s="16"/>
      <c r="N122" s="18"/>
      <c r="O122" s="18"/>
      <c r="P122" s="17" t="str">
        <f aca="false">IF(A122="","",IF(OR(D122="ITAC",D122="IPE",D122="ITDM"),"Y","N"))</f>
        <v/>
      </c>
      <c r="Q122" s="16"/>
      <c r="R122" s="16"/>
      <c r="S122" s="18"/>
      <c r="T122" s="18"/>
      <c r="U122" s="16"/>
      <c r="V122" s="16"/>
      <c r="W122" s="16"/>
      <c r="X122" s="17" t="str">
        <f aca="false">IF(A122="","",IF(OR(B122="",F122="",G122="",H122=""),"Control, test type, attributes, procedure needed",IF(COUNTIF(Ref_CTRL!$A$2:$A$201,B122)=0,"CTRL-ID not in W05",IF(LEFT(A122,LEN(B122)+1)&lt;&gt;B122&amp;"-","TEST-ID must start with CTRL-ID-",IF(AND(F122="TOE",I122=""),"Population EV-ID needed (TOE)",IF(AND(I122&lt;&gt;"",J122&lt;&gt;"Pass"),"HOLD: population IPE not Pass",IF(AND(F122="TOE",M122=""),"Sample size needed",IF(AND(F122="TOE",OR(M122&lt;IFERROR(INDEX(Sample_Guide!$C$5:$C$20,MATCH(E122,Sample_Guide!$A$5:$A$20,0)),0),M122&gt;IFERROR(INDEX(Sample_Guide!$D$5:$D$20,MATCH(E122,Sample_Guide!$A$5:$A$20,0)),9999))),"Sample outside guide: justify",IF(OR(Q122="",R122=""),"Tester and reviewer needed",IF(Q122=R122,"Tester and reviewer must differ",IF(AND(W122&lt;&gt;"",W122&lt;&gt;"Not started",V122&lt;&gt;"Reviewed",V122&lt;&gt;"Closed"),"Result only after review","OK")))))))))))</f>
        <v/>
      </c>
    </row>
    <row r="123" customFormat="false" ht="15" hidden="false" customHeight="false" outlineLevel="0" collapsed="false">
      <c r="A123" s="16"/>
      <c r="B123" s="16"/>
      <c r="C123" s="17" t="str">
        <f aca="false">IFERROR(INDEX(Ref_CTRL!$B$2:$B$201,MATCH(B123,Ref_CTRL!$A$2:$A$201,0)),"")</f>
        <v/>
      </c>
      <c r="D123" s="17" t="str">
        <f aca="false">IFERROR(INDEX(Ref_CTRL!$C$2:$C$201,MATCH(B123,Ref_CTRL!$A$2:$A$201,0)),"")</f>
        <v/>
      </c>
      <c r="E123" s="17" t="str">
        <f aca="false">IFERROR(INDEX(Ref_CTRL!$D$2:$D$201,MATCH(B123,Ref_CTRL!$A$2:$A$201,0)),"")</f>
        <v/>
      </c>
      <c r="F123" s="16"/>
      <c r="G123" s="16"/>
      <c r="H123" s="16"/>
      <c r="I123" s="16"/>
      <c r="J123" s="17" t="str">
        <f aca="false">IFERROR(INDEX(Ref_EV!$B$2:$B$201,MATCH(I123,Ref_EV!$A$2:$A$201,0)),"")</f>
        <v/>
      </c>
      <c r="K123" s="17" t="str">
        <f aca="false">IFERROR(INDEX(Ref_EV!$C$2:$C$201,MATCH(I123,Ref_EV!$A$2:$A$201,0)),"")</f>
        <v/>
      </c>
      <c r="L123" s="17" t="str">
        <f aca="false">IF(F123="TOD","1",IFERROR(INDEX(Sample_Guide!$C$5:$C$20,MATCH(E123,Sample_Guide!$A$5:$A$20,0))&amp;"–"&amp;INDEX(Sample_Guide!$D$5:$D$20,MATCH(E123,Sample_Guide!$A$5:$A$20,0)),""))</f>
        <v/>
      </c>
      <c r="M123" s="16"/>
      <c r="N123" s="18"/>
      <c r="O123" s="18"/>
      <c r="P123" s="17" t="str">
        <f aca="false">IF(A123="","",IF(OR(D123="ITAC",D123="IPE",D123="ITDM"),"Y","N"))</f>
        <v/>
      </c>
      <c r="Q123" s="16"/>
      <c r="R123" s="16"/>
      <c r="S123" s="18"/>
      <c r="T123" s="18"/>
      <c r="U123" s="16"/>
      <c r="V123" s="16"/>
      <c r="W123" s="16"/>
      <c r="X123" s="17" t="str">
        <f aca="false">IF(A123="","",IF(OR(B123="",F123="",G123="",H123=""),"Control, test type, attributes, procedure needed",IF(COUNTIF(Ref_CTRL!$A$2:$A$201,B123)=0,"CTRL-ID not in W05",IF(LEFT(A123,LEN(B123)+1)&lt;&gt;B123&amp;"-","TEST-ID must start with CTRL-ID-",IF(AND(F123="TOE",I123=""),"Population EV-ID needed (TOE)",IF(AND(I123&lt;&gt;"",J123&lt;&gt;"Pass"),"HOLD: population IPE not Pass",IF(AND(F123="TOE",M123=""),"Sample size needed",IF(AND(F123="TOE",OR(M123&lt;IFERROR(INDEX(Sample_Guide!$C$5:$C$20,MATCH(E123,Sample_Guide!$A$5:$A$20,0)),0),M123&gt;IFERROR(INDEX(Sample_Guide!$D$5:$D$20,MATCH(E123,Sample_Guide!$A$5:$A$20,0)),9999))),"Sample outside guide: justify",IF(OR(Q123="",R123=""),"Tester and reviewer needed",IF(Q123=R123,"Tester and reviewer must differ",IF(AND(W123&lt;&gt;"",W123&lt;&gt;"Not started",V123&lt;&gt;"Reviewed",V123&lt;&gt;"Closed"),"Result only after review","OK")))))))))))</f>
        <v/>
      </c>
    </row>
    <row r="124" customFormat="false" ht="15" hidden="false" customHeight="false" outlineLevel="0" collapsed="false">
      <c r="A124" s="16"/>
      <c r="B124" s="16"/>
      <c r="C124" s="17" t="str">
        <f aca="false">IFERROR(INDEX(Ref_CTRL!$B$2:$B$201,MATCH(B124,Ref_CTRL!$A$2:$A$201,0)),"")</f>
        <v/>
      </c>
      <c r="D124" s="17" t="str">
        <f aca="false">IFERROR(INDEX(Ref_CTRL!$C$2:$C$201,MATCH(B124,Ref_CTRL!$A$2:$A$201,0)),"")</f>
        <v/>
      </c>
      <c r="E124" s="17" t="str">
        <f aca="false">IFERROR(INDEX(Ref_CTRL!$D$2:$D$201,MATCH(B124,Ref_CTRL!$A$2:$A$201,0)),"")</f>
        <v/>
      </c>
      <c r="F124" s="16"/>
      <c r="G124" s="16"/>
      <c r="H124" s="16"/>
      <c r="I124" s="16"/>
      <c r="J124" s="17" t="str">
        <f aca="false">IFERROR(INDEX(Ref_EV!$B$2:$B$201,MATCH(I124,Ref_EV!$A$2:$A$201,0)),"")</f>
        <v/>
      </c>
      <c r="K124" s="17" t="str">
        <f aca="false">IFERROR(INDEX(Ref_EV!$C$2:$C$201,MATCH(I124,Ref_EV!$A$2:$A$201,0)),"")</f>
        <v/>
      </c>
      <c r="L124" s="17" t="str">
        <f aca="false">IF(F124="TOD","1",IFERROR(INDEX(Sample_Guide!$C$5:$C$20,MATCH(E124,Sample_Guide!$A$5:$A$20,0))&amp;"–"&amp;INDEX(Sample_Guide!$D$5:$D$20,MATCH(E124,Sample_Guide!$A$5:$A$20,0)),""))</f>
        <v/>
      </c>
      <c r="M124" s="16"/>
      <c r="N124" s="18"/>
      <c r="O124" s="18"/>
      <c r="P124" s="17" t="str">
        <f aca="false">IF(A124="","",IF(OR(D124="ITAC",D124="IPE",D124="ITDM"),"Y","N"))</f>
        <v/>
      </c>
      <c r="Q124" s="16"/>
      <c r="R124" s="16"/>
      <c r="S124" s="18"/>
      <c r="T124" s="18"/>
      <c r="U124" s="16"/>
      <c r="V124" s="16"/>
      <c r="W124" s="16"/>
      <c r="X124" s="17" t="str">
        <f aca="false">IF(A124="","",IF(OR(B124="",F124="",G124="",H124=""),"Control, test type, attributes, procedure needed",IF(COUNTIF(Ref_CTRL!$A$2:$A$201,B124)=0,"CTRL-ID not in W05",IF(LEFT(A124,LEN(B124)+1)&lt;&gt;B124&amp;"-","TEST-ID must start with CTRL-ID-",IF(AND(F124="TOE",I124=""),"Population EV-ID needed (TOE)",IF(AND(I124&lt;&gt;"",J124&lt;&gt;"Pass"),"HOLD: population IPE not Pass",IF(AND(F124="TOE",M124=""),"Sample size needed",IF(AND(F124="TOE",OR(M124&lt;IFERROR(INDEX(Sample_Guide!$C$5:$C$20,MATCH(E124,Sample_Guide!$A$5:$A$20,0)),0),M124&gt;IFERROR(INDEX(Sample_Guide!$D$5:$D$20,MATCH(E124,Sample_Guide!$A$5:$A$20,0)),9999))),"Sample outside guide: justify",IF(OR(Q124="",R124=""),"Tester and reviewer needed",IF(Q124=R124,"Tester and reviewer must differ",IF(AND(W124&lt;&gt;"",W124&lt;&gt;"Not started",V124&lt;&gt;"Reviewed",V124&lt;&gt;"Closed"),"Result only after review","OK")))))))))))</f>
        <v/>
      </c>
    </row>
    <row r="125" customFormat="false" ht="15" hidden="false" customHeight="false" outlineLevel="0" collapsed="false">
      <c r="A125" s="16"/>
      <c r="B125" s="16"/>
      <c r="C125" s="17" t="str">
        <f aca="false">IFERROR(INDEX(Ref_CTRL!$B$2:$B$201,MATCH(B125,Ref_CTRL!$A$2:$A$201,0)),"")</f>
        <v/>
      </c>
      <c r="D125" s="17" t="str">
        <f aca="false">IFERROR(INDEX(Ref_CTRL!$C$2:$C$201,MATCH(B125,Ref_CTRL!$A$2:$A$201,0)),"")</f>
        <v/>
      </c>
      <c r="E125" s="17" t="str">
        <f aca="false">IFERROR(INDEX(Ref_CTRL!$D$2:$D$201,MATCH(B125,Ref_CTRL!$A$2:$A$201,0)),"")</f>
        <v/>
      </c>
      <c r="F125" s="16"/>
      <c r="G125" s="16"/>
      <c r="H125" s="16"/>
      <c r="I125" s="16"/>
      <c r="J125" s="17" t="str">
        <f aca="false">IFERROR(INDEX(Ref_EV!$B$2:$B$201,MATCH(I125,Ref_EV!$A$2:$A$201,0)),"")</f>
        <v/>
      </c>
      <c r="K125" s="17" t="str">
        <f aca="false">IFERROR(INDEX(Ref_EV!$C$2:$C$201,MATCH(I125,Ref_EV!$A$2:$A$201,0)),"")</f>
        <v/>
      </c>
      <c r="L125" s="17" t="str">
        <f aca="false">IF(F125="TOD","1",IFERROR(INDEX(Sample_Guide!$C$5:$C$20,MATCH(E125,Sample_Guide!$A$5:$A$20,0))&amp;"–"&amp;INDEX(Sample_Guide!$D$5:$D$20,MATCH(E125,Sample_Guide!$A$5:$A$20,0)),""))</f>
        <v/>
      </c>
      <c r="M125" s="16"/>
      <c r="N125" s="18"/>
      <c r="O125" s="18"/>
      <c r="P125" s="17" t="str">
        <f aca="false">IF(A125="","",IF(OR(D125="ITAC",D125="IPE",D125="ITDM"),"Y","N"))</f>
        <v/>
      </c>
      <c r="Q125" s="16"/>
      <c r="R125" s="16"/>
      <c r="S125" s="18"/>
      <c r="T125" s="18"/>
      <c r="U125" s="16"/>
      <c r="V125" s="16"/>
      <c r="W125" s="16"/>
      <c r="X125" s="17" t="str">
        <f aca="false">IF(A125="","",IF(OR(B125="",F125="",G125="",H125=""),"Control, test type, attributes, procedure needed",IF(COUNTIF(Ref_CTRL!$A$2:$A$201,B125)=0,"CTRL-ID not in W05",IF(LEFT(A125,LEN(B125)+1)&lt;&gt;B125&amp;"-","TEST-ID must start with CTRL-ID-",IF(AND(F125="TOE",I125=""),"Population EV-ID needed (TOE)",IF(AND(I125&lt;&gt;"",J125&lt;&gt;"Pass"),"HOLD: population IPE not Pass",IF(AND(F125="TOE",M125=""),"Sample size needed",IF(AND(F125="TOE",OR(M125&lt;IFERROR(INDEX(Sample_Guide!$C$5:$C$20,MATCH(E125,Sample_Guide!$A$5:$A$20,0)),0),M125&gt;IFERROR(INDEX(Sample_Guide!$D$5:$D$20,MATCH(E125,Sample_Guide!$A$5:$A$20,0)),9999))),"Sample outside guide: justify",IF(OR(Q125="",R125=""),"Tester and reviewer needed",IF(Q125=R125,"Tester and reviewer must differ",IF(AND(W125&lt;&gt;"",W125&lt;&gt;"Not started",V125&lt;&gt;"Reviewed",V125&lt;&gt;"Closed"),"Result only after review","OK")))))))))))</f>
        <v/>
      </c>
    </row>
    <row r="126" customFormat="false" ht="15" hidden="false" customHeight="false" outlineLevel="0" collapsed="false">
      <c r="A126" s="16"/>
      <c r="B126" s="16"/>
      <c r="C126" s="17" t="str">
        <f aca="false">IFERROR(INDEX(Ref_CTRL!$B$2:$B$201,MATCH(B126,Ref_CTRL!$A$2:$A$201,0)),"")</f>
        <v/>
      </c>
      <c r="D126" s="17" t="str">
        <f aca="false">IFERROR(INDEX(Ref_CTRL!$C$2:$C$201,MATCH(B126,Ref_CTRL!$A$2:$A$201,0)),"")</f>
        <v/>
      </c>
      <c r="E126" s="17" t="str">
        <f aca="false">IFERROR(INDEX(Ref_CTRL!$D$2:$D$201,MATCH(B126,Ref_CTRL!$A$2:$A$201,0)),"")</f>
        <v/>
      </c>
      <c r="F126" s="16"/>
      <c r="G126" s="16"/>
      <c r="H126" s="16"/>
      <c r="I126" s="16"/>
      <c r="J126" s="17" t="str">
        <f aca="false">IFERROR(INDEX(Ref_EV!$B$2:$B$201,MATCH(I126,Ref_EV!$A$2:$A$201,0)),"")</f>
        <v/>
      </c>
      <c r="K126" s="17" t="str">
        <f aca="false">IFERROR(INDEX(Ref_EV!$C$2:$C$201,MATCH(I126,Ref_EV!$A$2:$A$201,0)),"")</f>
        <v/>
      </c>
      <c r="L126" s="17" t="str">
        <f aca="false">IF(F126="TOD","1",IFERROR(INDEX(Sample_Guide!$C$5:$C$20,MATCH(E126,Sample_Guide!$A$5:$A$20,0))&amp;"–"&amp;INDEX(Sample_Guide!$D$5:$D$20,MATCH(E126,Sample_Guide!$A$5:$A$20,0)),""))</f>
        <v/>
      </c>
      <c r="M126" s="16"/>
      <c r="N126" s="18"/>
      <c r="O126" s="18"/>
      <c r="P126" s="17" t="str">
        <f aca="false">IF(A126="","",IF(OR(D126="ITAC",D126="IPE",D126="ITDM"),"Y","N"))</f>
        <v/>
      </c>
      <c r="Q126" s="16"/>
      <c r="R126" s="16"/>
      <c r="S126" s="18"/>
      <c r="T126" s="18"/>
      <c r="U126" s="16"/>
      <c r="V126" s="16"/>
      <c r="W126" s="16"/>
      <c r="X126" s="17" t="str">
        <f aca="false">IF(A126="","",IF(OR(B126="",F126="",G126="",H126=""),"Control, test type, attributes, procedure needed",IF(COUNTIF(Ref_CTRL!$A$2:$A$201,B126)=0,"CTRL-ID not in W05",IF(LEFT(A126,LEN(B126)+1)&lt;&gt;B126&amp;"-","TEST-ID must start with CTRL-ID-",IF(AND(F126="TOE",I126=""),"Population EV-ID needed (TOE)",IF(AND(I126&lt;&gt;"",J126&lt;&gt;"Pass"),"HOLD: population IPE not Pass",IF(AND(F126="TOE",M126=""),"Sample size needed",IF(AND(F126="TOE",OR(M126&lt;IFERROR(INDEX(Sample_Guide!$C$5:$C$20,MATCH(E126,Sample_Guide!$A$5:$A$20,0)),0),M126&gt;IFERROR(INDEX(Sample_Guide!$D$5:$D$20,MATCH(E126,Sample_Guide!$A$5:$A$20,0)),9999))),"Sample outside guide: justify",IF(OR(Q126="",R126=""),"Tester and reviewer needed",IF(Q126=R126,"Tester and reviewer must differ",IF(AND(W126&lt;&gt;"",W126&lt;&gt;"Not started",V126&lt;&gt;"Reviewed",V126&lt;&gt;"Closed"),"Result only after review","OK")))))))))))</f>
        <v/>
      </c>
    </row>
    <row r="127" customFormat="false" ht="15" hidden="false" customHeight="false" outlineLevel="0" collapsed="false">
      <c r="A127" s="16"/>
      <c r="B127" s="16"/>
      <c r="C127" s="17" t="str">
        <f aca="false">IFERROR(INDEX(Ref_CTRL!$B$2:$B$201,MATCH(B127,Ref_CTRL!$A$2:$A$201,0)),"")</f>
        <v/>
      </c>
      <c r="D127" s="17" t="str">
        <f aca="false">IFERROR(INDEX(Ref_CTRL!$C$2:$C$201,MATCH(B127,Ref_CTRL!$A$2:$A$201,0)),"")</f>
        <v/>
      </c>
      <c r="E127" s="17" t="str">
        <f aca="false">IFERROR(INDEX(Ref_CTRL!$D$2:$D$201,MATCH(B127,Ref_CTRL!$A$2:$A$201,0)),"")</f>
        <v/>
      </c>
      <c r="F127" s="16"/>
      <c r="G127" s="16"/>
      <c r="H127" s="16"/>
      <c r="I127" s="16"/>
      <c r="J127" s="17" t="str">
        <f aca="false">IFERROR(INDEX(Ref_EV!$B$2:$B$201,MATCH(I127,Ref_EV!$A$2:$A$201,0)),"")</f>
        <v/>
      </c>
      <c r="K127" s="17" t="str">
        <f aca="false">IFERROR(INDEX(Ref_EV!$C$2:$C$201,MATCH(I127,Ref_EV!$A$2:$A$201,0)),"")</f>
        <v/>
      </c>
      <c r="L127" s="17" t="str">
        <f aca="false">IF(F127="TOD","1",IFERROR(INDEX(Sample_Guide!$C$5:$C$20,MATCH(E127,Sample_Guide!$A$5:$A$20,0))&amp;"–"&amp;INDEX(Sample_Guide!$D$5:$D$20,MATCH(E127,Sample_Guide!$A$5:$A$20,0)),""))</f>
        <v/>
      </c>
      <c r="M127" s="16"/>
      <c r="N127" s="18"/>
      <c r="O127" s="18"/>
      <c r="P127" s="17" t="str">
        <f aca="false">IF(A127="","",IF(OR(D127="ITAC",D127="IPE",D127="ITDM"),"Y","N"))</f>
        <v/>
      </c>
      <c r="Q127" s="16"/>
      <c r="R127" s="16"/>
      <c r="S127" s="18"/>
      <c r="T127" s="18"/>
      <c r="U127" s="16"/>
      <c r="V127" s="16"/>
      <c r="W127" s="16"/>
      <c r="X127" s="17" t="str">
        <f aca="false">IF(A127="","",IF(OR(B127="",F127="",G127="",H127=""),"Control, test type, attributes, procedure needed",IF(COUNTIF(Ref_CTRL!$A$2:$A$201,B127)=0,"CTRL-ID not in W05",IF(LEFT(A127,LEN(B127)+1)&lt;&gt;B127&amp;"-","TEST-ID must start with CTRL-ID-",IF(AND(F127="TOE",I127=""),"Population EV-ID needed (TOE)",IF(AND(I127&lt;&gt;"",J127&lt;&gt;"Pass"),"HOLD: population IPE not Pass",IF(AND(F127="TOE",M127=""),"Sample size needed",IF(AND(F127="TOE",OR(M127&lt;IFERROR(INDEX(Sample_Guide!$C$5:$C$20,MATCH(E127,Sample_Guide!$A$5:$A$20,0)),0),M127&gt;IFERROR(INDEX(Sample_Guide!$D$5:$D$20,MATCH(E127,Sample_Guide!$A$5:$A$20,0)),9999))),"Sample outside guide: justify",IF(OR(Q127="",R127=""),"Tester and reviewer needed",IF(Q127=R127,"Tester and reviewer must differ",IF(AND(W127&lt;&gt;"",W127&lt;&gt;"Not started",V127&lt;&gt;"Reviewed",V127&lt;&gt;"Closed"),"Result only after review","OK")))))))))))</f>
        <v/>
      </c>
    </row>
    <row r="128" customFormat="false" ht="15" hidden="false" customHeight="false" outlineLevel="0" collapsed="false">
      <c r="A128" s="16"/>
      <c r="B128" s="16"/>
      <c r="C128" s="17" t="str">
        <f aca="false">IFERROR(INDEX(Ref_CTRL!$B$2:$B$201,MATCH(B128,Ref_CTRL!$A$2:$A$201,0)),"")</f>
        <v/>
      </c>
      <c r="D128" s="17" t="str">
        <f aca="false">IFERROR(INDEX(Ref_CTRL!$C$2:$C$201,MATCH(B128,Ref_CTRL!$A$2:$A$201,0)),"")</f>
        <v/>
      </c>
      <c r="E128" s="17" t="str">
        <f aca="false">IFERROR(INDEX(Ref_CTRL!$D$2:$D$201,MATCH(B128,Ref_CTRL!$A$2:$A$201,0)),"")</f>
        <v/>
      </c>
      <c r="F128" s="16"/>
      <c r="G128" s="16"/>
      <c r="H128" s="16"/>
      <c r="I128" s="16"/>
      <c r="J128" s="17" t="str">
        <f aca="false">IFERROR(INDEX(Ref_EV!$B$2:$B$201,MATCH(I128,Ref_EV!$A$2:$A$201,0)),"")</f>
        <v/>
      </c>
      <c r="K128" s="17" t="str">
        <f aca="false">IFERROR(INDEX(Ref_EV!$C$2:$C$201,MATCH(I128,Ref_EV!$A$2:$A$201,0)),"")</f>
        <v/>
      </c>
      <c r="L128" s="17" t="str">
        <f aca="false">IF(F128="TOD","1",IFERROR(INDEX(Sample_Guide!$C$5:$C$20,MATCH(E128,Sample_Guide!$A$5:$A$20,0))&amp;"–"&amp;INDEX(Sample_Guide!$D$5:$D$20,MATCH(E128,Sample_Guide!$A$5:$A$20,0)),""))</f>
        <v/>
      </c>
      <c r="M128" s="16"/>
      <c r="N128" s="18"/>
      <c r="O128" s="18"/>
      <c r="P128" s="17" t="str">
        <f aca="false">IF(A128="","",IF(OR(D128="ITAC",D128="IPE",D128="ITDM"),"Y","N"))</f>
        <v/>
      </c>
      <c r="Q128" s="16"/>
      <c r="R128" s="16"/>
      <c r="S128" s="18"/>
      <c r="T128" s="18"/>
      <c r="U128" s="16"/>
      <c r="V128" s="16"/>
      <c r="W128" s="16"/>
      <c r="X128" s="17" t="str">
        <f aca="false">IF(A128="","",IF(OR(B128="",F128="",G128="",H128=""),"Control, test type, attributes, procedure needed",IF(COUNTIF(Ref_CTRL!$A$2:$A$201,B128)=0,"CTRL-ID not in W05",IF(LEFT(A128,LEN(B128)+1)&lt;&gt;B128&amp;"-","TEST-ID must start with CTRL-ID-",IF(AND(F128="TOE",I128=""),"Population EV-ID needed (TOE)",IF(AND(I128&lt;&gt;"",J128&lt;&gt;"Pass"),"HOLD: population IPE not Pass",IF(AND(F128="TOE",M128=""),"Sample size needed",IF(AND(F128="TOE",OR(M128&lt;IFERROR(INDEX(Sample_Guide!$C$5:$C$20,MATCH(E128,Sample_Guide!$A$5:$A$20,0)),0),M128&gt;IFERROR(INDEX(Sample_Guide!$D$5:$D$20,MATCH(E128,Sample_Guide!$A$5:$A$20,0)),9999))),"Sample outside guide: justify",IF(OR(Q128="",R128=""),"Tester and reviewer needed",IF(Q128=R128,"Tester and reviewer must differ",IF(AND(W128&lt;&gt;"",W128&lt;&gt;"Not started",V128&lt;&gt;"Reviewed",V128&lt;&gt;"Closed"),"Result only after review","OK")))))))))))</f>
        <v/>
      </c>
    </row>
    <row r="129" customFormat="false" ht="15" hidden="false" customHeight="false" outlineLevel="0" collapsed="false">
      <c r="A129" s="16"/>
      <c r="B129" s="16"/>
      <c r="C129" s="17" t="str">
        <f aca="false">IFERROR(INDEX(Ref_CTRL!$B$2:$B$201,MATCH(B129,Ref_CTRL!$A$2:$A$201,0)),"")</f>
        <v/>
      </c>
      <c r="D129" s="17" t="str">
        <f aca="false">IFERROR(INDEX(Ref_CTRL!$C$2:$C$201,MATCH(B129,Ref_CTRL!$A$2:$A$201,0)),"")</f>
        <v/>
      </c>
      <c r="E129" s="17" t="str">
        <f aca="false">IFERROR(INDEX(Ref_CTRL!$D$2:$D$201,MATCH(B129,Ref_CTRL!$A$2:$A$201,0)),"")</f>
        <v/>
      </c>
      <c r="F129" s="16"/>
      <c r="G129" s="16"/>
      <c r="H129" s="16"/>
      <c r="I129" s="16"/>
      <c r="J129" s="17" t="str">
        <f aca="false">IFERROR(INDEX(Ref_EV!$B$2:$B$201,MATCH(I129,Ref_EV!$A$2:$A$201,0)),"")</f>
        <v/>
      </c>
      <c r="K129" s="17" t="str">
        <f aca="false">IFERROR(INDEX(Ref_EV!$C$2:$C$201,MATCH(I129,Ref_EV!$A$2:$A$201,0)),"")</f>
        <v/>
      </c>
      <c r="L129" s="17" t="str">
        <f aca="false">IF(F129="TOD","1",IFERROR(INDEX(Sample_Guide!$C$5:$C$20,MATCH(E129,Sample_Guide!$A$5:$A$20,0))&amp;"–"&amp;INDEX(Sample_Guide!$D$5:$D$20,MATCH(E129,Sample_Guide!$A$5:$A$20,0)),""))</f>
        <v/>
      </c>
      <c r="M129" s="16"/>
      <c r="N129" s="18"/>
      <c r="O129" s="18"/>
      <c r="P129" s="17" t="str">
        <f aca="false">IF(A129="","",IF(OR(D129="ITAC",D129="IPE",D129="ITDM"),"Y","N"))</f>
        <v/>
      </c>
      <c r="Q129" s="16"/>
      <c r="R129" s="16"/>
      <c r="S129" s="18"/>
      <c r="T129" s="18"/>
      <c r="U129" s="16"/>
      <c r="V129" s="16"/>
      <c r="W129" s="16"/>
      <c r="X129" s="17" t="str">
        <f aca="false">IF(A129="","",IF(OR(B129="",F129="",G129="",H129=""),"Control, test type, attributes, procedure needed",IF(COUNTIF(Ref_CTRL!$A$2:$A$201,B129)=0,"CTRL-ID not in W05",IF(LEFT(A129,LEN(B129)+1)&lt;&gt;B129&amp;"-","TEST-ID must start with CTRL-ID-",IF(AND(F129="TOE",I129=""),"Population EV-ID needed (TOE)",IF(AND(I129&lt;&gt;"",J129&lt;&gt;"Pass"),"HOLD: population IPE not Pass",IF(AND(F129="TOE",M129=""),"Sample size needed",IF(AND(F129="TOE",OR(M129&lt;IFERROR(INDEX(Sample_Guide!$C$5:$C$20,MATCH(E129,Sample_Guide!$A$5:$A$20,0)),0),M129&gt;IFERROR(INDEX(Sample_Guide!$D$5:$D$20,MATCH(E129,Sample_Guide!$A$5:$A$20,0)),9999))),"Sample outside guide: justify",IF(OR(Q129="",R129=""),"Tester and reviewer needed",IF(Q129=R129,"Tester and reviewer must differ",IF(AND(W129&lt;&gt;"",W129&lt;&gt;"Not started",V129&lt;&gt;"Reviewed",V129&lt;&gt;"Closed"),"Result only after review","OK")))))))))))</f>
        <v/>
      </c>
    </row>
    <row r="130" customFormat="false" ht="15" hidden="false" customHeight="false" outlineLevel="0" collapsed="false">
      <c r="A130" s="16"/>
      <c r="B130" s="16"/>
      <c r="C130" s="17" t="str">
        <f aca="false">IFERROR(INDEX(Ref_CTRL!$B$2:$B$201,MATCH(B130,Ref_CTRL!$A$2:$A$201,0)),"")</f>
        <v/>
      </c>
      <c r="D130" s="17" t="str">
        <f aca="false">IFERROR(INDEX(Ref_CTRL!$C$2:$C$201,MATCH(B130,Ref_CTRL!$A$2:$A$201,0)),"")</f>
        <v/>
      </c>
      <c r="E130" s="17" t="str">
        <f aca="false">IFERROR(INDEX(Ref_CTRL!$D$2:$D$201,MATCH(B130,Ref_CTRL!$A$2:$A$201,0)),"")</f>
        <v/>
      </c>
      <c r="F130" s="16"/>
      <c r="G130" s="16"/>
      <c r="H130" s="16"/>
      <c r="I130" s="16"/>
      <c r="J130" s="17" t="str">
        <f aca="false">IFERROR(INDEX(Ref_EV!$B$2:$B$201,MATCH(I130,Ref_EV!$A$2:$A$201,0)),"")</f>
        <v/>
      </c>
      <c r="K130" s="17" t="str">
        <f aca="false">IFERROR(INDEX(Ref_EV!$C$2:$C$201,MATCH(I130,Ref_EV!$A$2:$A$201,0)),"")</f>
        <v/>
      </c>
      <c r="L130" s="17" t="str">
        <f aca="false">IF(F130="TOD","1",IFERROR(INDEX(Sample_Guide!$C$5:$C$20,MATCH(E130,Sample_Guide!$A$5:$A$20,0))&amp;"–"&amp;INDEX(Sample_Guide!$D$5:$D$20,MATCH(E130,Sample_Guide!$A$5:$A$20,0)),""))</f>
        <v/>
      </c>
      <c r="M130" s="16"/>
      <c r="N130" s="18"/>
      <c r="O130" s="18"/>
      <c r="P130" s="17" t="str">
        <f aca="false">IF(A130="","",IF(OR(D130="ITAC",D130="IPE",D130="ITDM"),"Y","N"))</f>
        <v/>
      </c>
      <c r="Q130" s="16"/>
      <c r="R130" s="16"/>
      <c r="S130" s="18"/>
      <c r="T130" s="18"/>
      <c r="U130" s="16"/>
      <c r="V130" s="16"/>
      <c r="W130" s="16"/>
      <c r="X130" s="17" t="str">
        <f aca="false">IF(A130="","",IF(OR(B130="",F130="",G130="",H130=""),"Control, test type, attributes, procedure needed",IF(COUNTIF(Ref_CTRL!$A$2:$A$201,B130)=0,"CTRL-ID not in W05",IF(LEFT(A130,LEN(B130)+1)&lt;&gt;B130&amp;"-","TEST-ID must start with CTRL-ID-",IF(AND(F130="TOE",I130=""),"Population EV-ID needed (TOE)",IF(AND(I130&lt;&gt;"",J130&lt;&gt;"Pass"),"HOLD: population IPE not Pass",IF(AND(F130="TOE",M130=""),"Sample size needed",IF(AND(F130="TOE",OR(M130&lt;IFERROR(INDEX(Sample_Guide!$C$5:$C$20,MATCH(E130,Sample_Guide!$A$5:$A$20,0)),0),M130&gt;IFERROR(INDEX(Sample_Guide!$D$5:$D$20,MATCH(E130,Sample_Guide!$A$5:$A$20,0)),9999))),"Sample outside guide: justify",IF(OR(Q130="",R130=""),"Tester and reviewer needed",IF(Q130=R130,"Tester and reviewer must differ",IF(AND(W130&lt;&gt;"",W130&lt;&gt;"Not started",V130&lt;&gt;"Reviewed",V130&lt;&gt;"Closed"),"Result only after review","OK")))))))))))</f>
        <v/>
      </c>
    </row>
    <row r="131" customFormat="false" ht="15" hidden="false" customHeight="false" outlineLevel="0" collapsed="false">
      <c r="A131" s="16"/>
      <c r="B131" s="16"/>
      <c r="C131" s="17" t="str">
        <f aca="false">IFERROR(INDEX(Ref_CTRL!$B$2:$B$201,MATCH(B131,Ref_CTRL!$A$2:$A$201,0)),"")</f>
        <v/>
      </c>
      <c r="D131" s="17" t="str">
        <f aca="false">IFERROR(INDEX(Ref_CTRL!$C$2:$C$201,MATCH(B131,Ref_CTRL!$A$2:$A$201,0)),"")</f>
        <v/>
      </c>
      <c r="E131" s="17" t="str">
        <f aca="false">IFERROR(INDEX(Ref_CTRL!$D$2:$D$201,MATCH(B131,Ref_CTRL!$A$2:$A$201,0)),"")</f>
        <v/>
      </c>
      <c r="F131" s="16"/>
      <c r="G131" s="16"/>
      <c r="H131" s="16"/>
      <c r="I131" s="16"/>
      <c r="J131" s="17" t="str">
        <f aca="false">IFERROR(INDEX(Ref_EV!$B$2:$B$201,MATCH(I131,Ref_EV!$A$2:$A$201,0)),"")</f>
        <v/>
      </c>
      <c r="K131" s="17" t="str">
        <f aca="false">IFERROR(INDEX(Ref_EV!$C$2:$C$201,MATCH(I131,Ref_EV!$A$2:$A$201,0)),"")</f>
        <v/>
      </c>
      <c r="L131" s="17" t="str">
        <f aca="false">IF(F131="TOD","1",IFERROR(INDEX(Sample_Guide!$C$5:$C$20,MATCH(E131,Sample_Guide!$A$5:$A$20,0))&amp;"–"&amp;INDEX(Sample_Guide!$D$5:$D$20,MATCH(E131,Sample_Guide!$A$5:$A$20,0)),""))</f>
        <v/>
      </c>
      <c r="M131" s="16"/>
      <c r="N131" s="18"/>
      <c r="O131" s="18"/>
      <c r="P131" s="17" t="str">
        <f aca="false">IF(A131="","",IF(OR(D131="ITAC",D131="IPE",D131="ITDM"),"Y","N"))</f>
        <v/>
      </c>
      <c r="Q131" s="16"/>
      <c r="R131" s="16"/>
      <c r="S131" s="18"/>
      <c r="T131" s="18"/>
      <c r="U131" s="16"/>
      <c r="V131" s="16"/>
      <c r="W131" s="16"/>
      <c r="X131" s="17" t="str">
        <f aca="false">IF(A131="","",IF(OR(B131="",F131="",G131="",H131=""),"Control, test type, attributes, procedure needed",IF(COUNTIF(Ref_CTRL!$A$2:$A$201,B131)=0,"CTRL-ID not in W05",IF(LEFT(A131,LEN(B131)+1)&lt;&gt;B131&amp;"-","TEST-ID must start with CTRL-ID-",IF(AND(F131="TOE",I131=""),"Population EV-ID needed (TOE)",IF(AND(I131&lt;&gt;"",J131&lt;&gt;"Pass"),"HOLD: population IPE not Pass",IF(AND(F131="TOE",M131=""),"Sample size needed",IF(AND(F131="TOE",OR(M131&lt;IFERROR(INDEX(Sample_Guide!$C$5:$C$20,MATCH(E131,Sample_Guide!$A$5:$A$20,0)),0),M131&gt;IFERROR(INDEX(Sample_Guide!$D$5:$D$20,MATCH(E131,Sample_Guide!$A$5:$A$20,0)),9999))),"Sample outside guide: justify",IF(OR(Q131="",R131=""),"Tester and reviewer needed",IF(Q131=R131,"Tester and reviewer must differ",IF(AND(W131&lt;&gt;"",W131&lt;&gt;"Not started",V131&lt;&gt;"Reviewed",V131&lt;&gt;"Closed"),"Result only after review","OK")))))))))))</f>
        <v/>
      </c>
    </row>
    <row r="132" customFormat="false" ht="15" hidden="false" customHeight="false" outlineLevel="0" collapsed="false">
      <c r="A132" s="16"/>
      <c r="B132" s="16"/>
      <c r="C132" s="17" t="str">
        <f aca="false">IFERROR(INDEX(Ref_CTRL!$B$2:$B$201,MATCH(B132,Ref_CTRL!$A$2:$A$201,0)),"")</f>
        <v/>
      </c>
      <c r="D132" s="17" t="str">
        <f aca="false">IFERROR(INDEX(Ref_CTRL!$C$2:$C$201,MATCH(B132,Ref_CTRL!$A$2:$A$201,0)),"")</f>
        <v/>
      </c>
      <c r="E132" s="17" t="str">
        <f aca="false">IFERROR(INDEX(Ref_CTRL!$D$2:$D$201,MATCH(B132,Ref_CTRL!$A$2:$A$201,0)),"")</f>
        <v/>
      </c>
      <c r="F132" s="16"/>
      <c r="G132" s="16"/>
      <c r="H132" s="16"/>
      <c r="I132" s="16"/>
      <c r="J132" s="17" t="str">
        <f aca="false">IFERROR(INDEX(Ref_EV!$B$2:$B$201,MATCH(I132,Ref_EV!$A$2:$A$201,0)),"")</f>
        <v/>
      </c>
      <c r="K132" s="17" t="str">
        <f aca="false">IFERROR(INDEX(Ref_EV!$C$2:$C$201,MATCH(I132,Ref_EV!$A$2:$A$201,0)),"")</f>
        <v/>
      </c>
      <c r="L132" s="17" t="str">
        <f aca="false">IF(F132="TOD","1",IFERROR(INDEX(Sample_Guide!$C$5:$C$20,MATCH(E132,Sample_Guide!$A$5:$A$20,0))&amp;"–"&amp;INDEX(Sample_Guide!$D$5:$D$20,MATCH(E132,Sample_Guide!$A$5:$A$20,0)),""))</f>
        <v/>
      </c>
      <c r="M132" s="16"/>
      <c r="N132" s="18"/>
      <c r="O132" s="18"/>
      <c r="P132" s="17" t="str">
        <f aca="false">IF(A132="","",IF(OR(D132="ITAC",D132="IPE",D132="ITDM"),"Y","N"))</f>
        <v/>
      </c>
      <c r="Q132" s="16"/>
      <c r="R132" s="16"/>
      <c r="S132" s="18"/>
      <c r="T132" s="18"/>
      <c r="U132" s="16"/>
      <c r="V132" s="16"/>
      <c r="W132" s="16"/>
      <c r="X132" s="17" t="str">
        <f aca="false">IF(A132="","",IF(OR(B132="",F132="",G132="",H132=""),"Control, test type, attributes, procedure needed",IF(COUNTIF(Ref_CTRL!$A$2:$A$201,B132)=0,"CTRL-ID not in W05",IF(LEFT(A132,LEN(B132)+1)&lt;&gt;B132&amp;"-","TEST-ID must start with CTRL-ID-",IF(AND(F132="TOE",I132=""),"Population EV-ID needed (TOE)",IF(AND(I132&lt;&gt;"",J132&lt;&gt;"Pass"),"HOLD: population IPE not Pass",IF(AND(F132="TOE",M132=""),"Sample size needed",IF(AND(F132="TOE",OR(M132&lt;IFERROR(INDEX(Sample_Guide!$C$5:$C$20,MATCH(E132,Sample_Guide!$A$5:$A$20,0)),0),M132&gt;IFERROR(INDEX(Sample_Guide!$D$5:$D$20,MATCH(E132,Sample_Guide!$A$5:$A$20,0)),9999))),"Sample outside guide: justify",IF(OR(Q132="",R132=""),"Tester and reviewer needed",IF(Q132=R132,"Tester and reviewer must differ",IF(AND(W132&lt;&gt;"",W132&lt;&gt;"Not started",V132&lt;&gt;"Reviewed",V132&lt;&gt;"Closed"),"Result only after review","OK")))))))))))</f>
        <v/>
      </c>
    </row>
    <row r="133" customFormat="false" ht="15" hidden="false" customHeight="false" outlineLevel="0" collapsed="false">
      <c r="A133" s="16"/>
      <c r="B133" s="16"/>
      <c r="C133" s="17" t="str">
        <f aca="false">IFERROR(INDEX(Ref_CTRL!$B$2:$B$201,MATCH(B133,Ref_CTRL!$A$2:$A$201,0)),"")</f>
        <v/>
      </c>
      <c r="D133" s="17" t="str">
        <f aca="false">IFERROR(INDEX(Ref_CTRL!$C$2:$C$201,MATCH(B133,Ref_CTRL!$A$2:$A$201,0)),"")</f>
        <v/>
      </c>
      <c r="E133" s="17" t="str">
        <f aca="false">IFERROR(INDEX(Ref_CTRL!$D$2:$D$201,MATCH(B133,Ref_CTRL!$A$2:$A$201,0)),"")</f>
        <v/>
      </c>
      <c r="F133" s="16"/>
      <c r="G133" s="16"/>
      <c r="H133" s="16"/>
      <c r="I133" s="16"/>
      <c r="J133" s="17" t="str">
        <f aca="false">IFERROR(INDEX(Ref_EV!$B$2:$B$201,MATCH(I133,Ref_EV!$A$2:$A$201,0)),"")</f>
        <v/>
      </c>
      <c r="K133" s="17" t="str">
        <f aca="false">IFERROR(INDEX(Ref_EV!$C$2:$C$201,MATCH(I133,Ref_EV!$A$2:$A$201,0)),"")</f>
        <v/>
      </c>
      <c r="L133" s="17" t="str">
        <f aca="false">IF(F133="TOD","1",IFERROR(INDEX(Sample_Guide!$C$5:$C$20,MATCH(E133,Sample_Guide!$A$5:$A$20,0))&amp;"–"&amp;INDEX(Sample_Guide!$D$5:$D$20,MATCH(E133,Sample_Guide!$A$5:$A$20,0)),""))</f>
        <v/>
      </c>
      <c r="M133" s="16"/>
      <c r="N133" s="18"/>
      <c r="O133" s="18"/>
      <c r="P133" s="17" t="str">
        <f aca="false">IF(A133="","",IF(OR(D133="ITAC",D133="IPE",D133="ITDM"),"Y","N"))</f>
        <v/>
      </c>
      <c r="Q133" s="16"/>
      <c r="R133" s="16"/>
      <c r="S133" s="18"/>
      <c r="T133" s="18"/>
      <c r="U133" s="16"/>
      <c r="V133" s="16"/>
      <c r="W133" s="16"/>
      <c r="X133" s="17" t="str">
        <f aca="false">IF(A133="","",IF(OR(B133="",F133="",G133="",H133=""),"Control, test type, attributes, procedure needed",IF(COUNTIF(Ref_CTRL!$A$2:$A$201,B133)=0,"CTRL-ID not in W05",IF(LEFT(A133,LEN(B133)+1)&lt;&gt;B133&amp;"-","TEST-ID must start with CTRL-ID-",IF(AND(F133="TOE",I133=""),"Population EV-ID needed (TOE)",IF(AND(I133&lt;&gt;"",J133&lt;&gt;"Pass"),"HOLD: population IPE not Pass",IF(AND(F133="TOE",M133=""),"Sample size needed",IF(AND(F133="TOE",OR(M133&lt;IFERROR(INDEX(Sample_Guide!$C$5:$C$20,MATCH(E133,Sample_Guide!$A$5:$A$20,0)),0),M133&gt;IFERROR(INDEX(Sample_Guide!$D$5:$D$20,MATCH(E133,Sample_Guide!$A$5:$A$20,0)),9999))),"Sample outside guide: justify",IF(OR(Q133="",R133=""),"Tester and reviewer needed",IF(Q133=R133,"Tester and reviewer must differ",IF(AND(W133&lt;&gt;"",W133&lt;&gt;"Not started",V133&lt;&gt;"Reviewed",V133&lt;&gt;"Closed"),"Result only after review","OK")))))))))))</f>
        <v/>
      </c>
    </row>
    <row r="134" customFormat="false" ht="15" hidden="false" customHeight="false" outlineLevel="0" collapsed="false">
      <c r="A134" s="16"/>
      <c r="B134" s="16"/>
      <c r="C134" s="17" t="str">
        <f aca="false">IFERROR(INDEX(Ref_CTRL!$B$2:$B$201,MATCH(B134,Ref_CTRL!$A$2:$A$201,0)),"")</f>
        <v/>
      </c>
      <c r="D134" s="17" t="str">
        <f aca="false">IFERROR(INDEX(Ref_CTRL!$C$2:$C$201,MATCH(B134,Ref_CTRL!$A$2:$A$201,0)),"")</f>
        <v/>
      </c>
      <c r="E134" s="17" t="str">
        <f aca="false">IFERROR(INDEX(Ref_CTRL!$D$2:$D$201,MATCH(B134,Ref_CTRL!$A$2:$A$201,0)),"")</f>
        <v/>
      </c>
      <c r="F134" s="16"/>
      <c r="G134" s="16"/>
      <c r="H134" s="16"/>
      <c r="I134" s="16"/>
      <c r="J134" s="17" t="str">
        <f aca="false">IFERROR(INDEX(Ref_EV!$B$2:$B$201,MATCH(I134,Ref_EV!$A$2:$A$201,0)),"")</f>
        <v/>
      </c>
      <c r="K134" s="17" t="str">
        <f aca="false">IFERROR(INDEX(Ref_EV!$C$2:$C$201,MATCH(I134,Ref_EV!$A$2:$A$201,0)),"")</f>
        <v/>
      </c>
      <c r="L134" s="17" t="str">
        <f aca="false">IF(F134="TOD","1",IFERROR(INDEX(Sample_Guide!$C$5:$C$20,MATCH(E134,Sample_Guide!$A$5:$A$20,0))&amp;"–"&amp;INDEX(Sample_Guide!$D$5:$D$20,MATCH(E134,Sample_Guide!$A$5:$A$20,0)),""))</f>
        <v/>
      </c>
      <c r="M134" s="16"/>
      <c r="N134" s="18"/>
      <c r="O134" s="18"/>
      <c r="P134" s="17" t="str">
        <f aca="false">IF(A134="","",IF(OR(D134="ITAC",D134="IPE",D134="ITDM"),"Y","N"))</f>
        <v/>
      </c>
      <c r="Q134" s="16"/>
      <c r="R134" s="16"/>
      <c r="S134" s="18"/>
      <c r="T134" s="18"/>
      <c r="U134" s="16"/>
      <c r="V134" s="16"/>
      <c r="W134" s="16"/>
      <c r="X134" s="17" t="str">
        <f aca="false">IF(A134="","",IF(OR(B134="",F134="",G134="",H134=""),"Control, test type, attributes, procedure needed",IF(COUNTIF(Ref_CTRL!$A$2:$A$201,B134)=0,"CTRL-ID not in W05",IF(LEFT(A134,LEN(B134)+1)&lt;&gt;B134&amp;"-","TEST-ID must start with CTRL-ID-",IF(AND(F134="TOE",I134=""),"Population EV-ID needed (TOE)",IF(AND(I134&lt;&gt;"",J134&lt;&gt;"Pass"),"HOLD: population IPE not Pass",IF(AND(F134="TOE",M134=""),"Sample size needed",IF(AND(F134="TOE",OR(M134&lt;IFERROR(INDEX(Sample_Guide!$C$5:$C$20,MATCH(E134,Sample_Guide!$A$5:$A$20,0)),0),M134&gt;IFERROR(INDEX(Sample_Guide!$D$5:$D$20,MATCH(E134,Sample_Guide!$A$5:$A$20,0)),9999))),"Sample outside guide: justify",IF(OR(Q134="",R134=""),"Tester and reviewer needed",IF(Q134=R134,"Tester and reviewer must differ",IF(AND(W134&lt;&gt;"",W134&lt;&gt;"Not started",V134&lt;&gt;"Reviewed",V134&lt;&gt;"Closed"),"Result only after review","OK")))))))))))</f>
        <v/>
      </c>
    </row>
    <row r="135" customFormat="false" ht="15" hidden="false" customHeight="false" outlineLevel="0" collapsed="false">
      <c r="A135" s="16"/>
      <c r="B135" s="16"/>
      <c r="C135" s="17" t="str">
        <f aca="false">IFERROR(INDEX(Ref_CTRL!$B$2:$B$201,MATCH(B135,Ref_CTRL!$A$2:$A$201,0)),"")</f>
        <v/>
      </c>
      <c r="D135" s="17" t="str">
        <f aca="false">IFERROR(INDEX(Ref_CTRL!$C$2:$C$201,MATCH(B135,Ref_CTRL!$A$2:$A$201,0)),"")</f>
        <v/>
      </c>
      <c r="E135" s="17" t="str">
        <f aca="false">IFERROR(INDEX(Ref_CTRL!$D$2:$D$201,MATCH(B135,Ref_CTRL!$A$2:$A$201,0)),"")</f>
        <v/>
      </c>
      <c r="F135" s="16"/>
      <c r="G135" s="16"/>
      <c r="H135" s="16"/>
      <c r="I135" s="16"/>
      <c r="J135" s="17" t="str">
        <f aca="false">IFERROR(INDEX(Ref_EV!$B$2:$B$201,MATCH(I135,Ref_EV!$A$2:$A$201,0)),"")</f>
        <v/>
      </c>
      <c r="K135" s="17" t="str">
        <f aca="false">IFERROR(INDEX(Ref_EV!$C$2:$C$201,MATCH(I135,Ref_EV!$A$2:$A$201,0)),"")</f>
        <v/>
      </c>
      <c r="L135" s="17" t="str">
        <f aca="false">IF(F135="TOD","1",IFERROR(INDEX(Sample_Guide!$C$5:$C$20,MATCH(E135,Sample_Guide!$A$5:$A$20,0))&amp;"–"&amp;INDEX(Sample_Guide!$D$5:$D$20,MATCH(E135,Sample_Guide!$A$5:$A$20,0)),""))</f>
        <v/>
      </c>
      <c r="M135" s="16"/>
      <c r="N135" s="18"/>
      <c r="O135" s="18"/>
      <c r="P135" s="17" t="str">
        <f aca="false">IF(A135="","",IF(OR(D135="ITAC",D135="IPE",D135="ITDM"),"Y","N"))</f>
        <v/>
      </c>
      <c r="Q135" s="16"/>
      <c r="R135" s="16"/>
      <c r="S135" s="18"/>
      <c r="T135" s="18"/>
      <c r="U135" s="16"/>
      <c r="V135" s="16"/>
      <c r="W135" s="16"/>
      <c r="X135" s="17" t="str">
        <f aca="false">IF(A135="","",IF(OR(B135="",F135="",G135="",H135=""),"Control, test type, attributes, procedure needed",IF(COUNTIF(Ref_CTRL!$A$2:$A$201,B135)=0,"CTRL-ID not in W05",IF(LEFT(A135,LEN(B135)+1)&lt;&gt;B135&amp;"-","TEST-ID must start with CTRL-ID-",IF(AND(F135="TOE",I135=""),"Population EV-ID needed (TOE)",IF(AND(I135&lt;&gt;"",J135&lt;&gt;"Pass"),"HOLD: population IPE not Pass",IF(AND(F135="TOE",M135=""),"Sample size needed",IF(AND(F135="TOE",OR(M135&lt;IFERROR(INDEX(Sample_Guide!$C$5:$C$20,MATCH(E135,Sample_Guide!$A$5:$A$20,0)),0),M135&gt;IFERROR(INDEX(Sample_Guide!$D$5:$D$20,MATCH(E135,Sample_Guide!$A$5:$A$20,0)),9999))),"Sample outside guide: justify",IF(OR(Q135="",R135=""),"Tester and reviewer needed",IF(Q135=R135,"Tester and reviewer must differ",IF(AND(W135&lt;&gt;"",W135&lt;&gt;"Not started",V135&lt;&gt;"Reviewed",V135&lt;&gt;"Closed"),"Result only after review","OK")))))))))))</f>
        <v/>
      </c>
    </row>
    <row r="136" customFormat="false" ht="15" hidden="false" customHeight="false" outlineLevel="0" collapsed="false">
      <c r="A136" s="16"/>
      <c r="B136" s="16"/>
      <c r="C136" s="17" t="str">
        <f aca="false">IFERROR(INDEX(Ref_CTRL!$B$2:$B$201,MATCH(B136,Ref_CTRL!$A$2:$A$201,0)),"")</f>
        <v/>
      </c>
      <c r="D136" s="17" t="str">
        <f aca="false">IFERROR(INDEX(Ref_CTRL!$C$2:$C$201,MATCH(B136,Ref_CTRL!$A$2:$A$201,0)),"")</f>
        <v/>
      </c>
      <c r="E136" s="17" t="str">
        <f aca="false">IFERROR(INDEX(Ref_CTRL!$D$2:$D$201,MATCH(B136,Ref_CTRL!$A$2:$A$201,0)),"")</f>
        <v/>
      </c>
      <c r="F136" s="16"/>
      <c r="G136" s="16"/>
      <c r="H136" s="16"/>
      <c r="I136" s="16"/>
      <c r="J136" s="17" t="str">
        <f aca="false">IFERROR(INDEX(Ref_EV!$B$2:$B$201,MATCH(I136,Ref_EV!$A$2:$A$201,0)),"")</f>
        <v/>
      </c>
      <c r="K136" s="17" t="str">
        <f aca="false">IFERROR(INDEX(Ref_EV!$C$2:$C$201,MATCH(I136,Ref_EV!$A$2:$A$201,0)),"")</f>
        <v/>
      </c>
      <c r="L136" s="17" t="str">
        <f aca="false">IF(F136="TOD","1",IFERROR(INDEX(Sample_Guide!$C$5:$C$20,MATCH(E136,Sample_Guide!$A$5:$A$20,0))&amp;"–"&amp;INDEX(Sample_Guide!$D$5:$D$20,MATCH(E136,Sample_Guide!$A$5:$A$20,0)),""))</f>
        <v/>
      </c>
      <c r="M136" s="16"/>
      <c r="N136" s="18"/>
      <c r="O136" s="18"/>
      <c r="P136" s="17" t="str">
        <f aca="false">IF(A136="","",IF(OR(D136="ITAC",D136="IPE",D136="ITDM"),"Y","N"))</f>
        <v/>
      </c>
      <c r="Q136" s="16"/>
      <c r="R136" s="16"/>
      <c r="S136" s="18"/>
      <c r="T136" s="18"/>
      <c r="U136" s="16"/>
      <c r="V136" s="16"/>
      <c r="W136" s="16"/>
      <c r="X136" s="17" t="str">
        <f aca="false">IF(A136="","",IF(OR(B136="",F136="",G136="",H136=""),"Control, test type, attributes, procedure needed",IF(COUNTIF(Ref_CTRL!$A$2:$A$201,B136)=0,"CTRL-ID not in W05",IF(LEFT(A136,LEN(B136)+1)&lt;&gt;B136&amp;"-","TEST-ID must start with CTRL-ID-",IF(AND(F136="TOE",I136=""),"Population EV-ID needed (TOE)",IF(AND(I136&lt;&gt;"",J136&lt;&gt;"Pass"),"HOLD: population IPE not Pass",IF(AND(F136="TOE",M136=""),"Sample size needed",IF(AND(F136="TOE",OR(M136&lt;IFERROR(INDEX(Sample_Guide!$C$5:$C$20,MATCH(E136,Sample_Guide!$A$5:$A$20,0)),0),M136&gt;IFERROR(INDEX(Sample_Guide!$D$5:$D$20,MATCH(E136,Sample_Guide!$A$5:$A$20,0)),9999))),"Sample outside guide: justify",IF(OR(Q136="",R136=""),"Tester and reviewer needed",IF(Q136=R136,"Tester and reviewer must differ",IF(AND(W136&lt;&gt;"",W136&lt;&gt;"Not started",V136&lt;&gt;"Reviewed",V136&lt;&gt;"Closed"),"Result only after review","OK")))))))))))</f>
        <v/>
      </c>
    </row>
    <row r="137" customFormat="false" ht="15" hidden="false" customHeight="false" outlineLevel="0" collapsed="false">
      <c r="A137" s="16"/>
      <c r="B137" s="16"/>
      <c r="C137" s="17" t="str">
        <f aca="false">IFERROR(INDEX(Ref_CTRL!$B$2:$B$201,MATCH(B137,Ref_CTRL!$A$2:$A$201,0)),"")</f>
        <v/>
      </c>
      <c r="D137" s="17" t="str">
        <f aca="false">IFERROR(INDEX(Ref_CTRL!$C$2:$C$201,MATCH(B137,Ref_CTRL!$A$2:$A$201,0)),"")</f>
        <v/>
      </c>
      <c r="E137" s="17" t="str">
        <f aca="false">IFERROR(INDEX(Ref_CTRL!$D$2:$D$201,MATCH(B137,Ref_CTRL!$A$2:$A$201,0)),"")</f>
        <v/>
      </c>
      <c r="F137" s="16"/>
      <c r="G137" s="16"/>
      <c r="H137" s="16"/>
      <c r="I137" s="16"/>
      <c r="J137" s="17" t="str">
        <f aca="false">IFERROR(INDEX(Ref_EV!$B$2:$B$201,MATCH(I137,Ref_EV!$A$2:$A$201,0)),"")</f>
        <v/>
      </c>
      <c r="K137" s="17" t="str">
        <f aca="false">IFERROR(INDEX(Ref_EV!$C$2:$C$201,MATCH(I137,Ref_EV!$A$2:$A$201,0)),"")</f>
        <v/>
      </c>
      <c r="L137" s="17" t="str">
        <f aca="false">IF(F137="TOD","1",IFERROR(INDEX(Sample_Guide!$C$5:$C$20,MATCH(E137,Sample_Guide!$A$5:$A$20,0))&amp;"–"&amp;INDEX(Sample_Guide!$D$5:$D$20,MATCH(E137,Sample_Guide!$A$5:$A$20,0)),""))</f>
        <v/>
      </c>
      <c r="M137" s="16"/>
      <c r="N137" s="18"/>
      <c r="O137" s="18"/>
      <c r="P137" s="17" t="str">
        <f aca="false">IF(A137="","",IF(OR(D137="ITAC",D137="IPE",D137="ITDM"),"Y","N"))</f>
        <v/>
      </c>
      <c r="Q137" s="16"/>
      <c r="R137" s="16"/>
      <c r="S137" s="18"/>
      <c r="T137" s="18"/>
      <c r="U137" s="16"/>
      <c r="V137" s="16"/>
      <c r="W137" s="16"/>
      <c r="X137" s="17" t="str">
        <f aca="false">IF(A137="","",IF(OR(B137="",F137="",G137="",H137=""),"Control, test type, attributes, procedure needed",IF(COUNTIF(Ref_CTRL!$A$2:$A$201,B137)=0,"CTRL-ID not in W05",IF(LEFT(A137,LEN(B137)+1)&lt;&gt;B137&amp;"-","TEST-ID must start with CTRL-ID-",IF(AND(F137="TOE",I137=""),"Population EV-ID needed (TOE)",IF(AND(I137&lt;&gt;"",J137&lt;&gt;"Pass"),"HOLD: population IPE not Pass",IF(AND(F137="TOE",M137=""),"Sample size needed",IF(AND(F137="TOE",OR(M137&lt;IFERROR(INDEX(Sample_Guide!$C$5:$C$20,MATCH(E137,Sample_Guide!$A$5:$A$20,0)),0),M137&gt;IFERROR(INDEX(Sample_Guide!$D$5:$D$20,MATCH(E137,Sample_Guide!$A$5:$A$20,0)),9999))),"Sample outside guide: justify",IF(OR(Q137="",R137=""),"Tester and reviewer needed",IF(Q137=R137,"Tester and reviewer must differ",IF(AND(W137&lt;&gt;"",W137&lt;&gt;"Not started",V137&lt;&gt;"Reviewed",V137&lt;&gt;"Closed"),"Result only after review","OK")))))))))))</f>
        <v/>
      </c>
    </row>
    <row r="138" customFormat="false" ht="15" hidden="false" customHeight="false" outlineLevel="0" collapsed="false">
      <c r="A138" s="16"/>
      <c r="B138" s="16"/>
      <c r="C138" s="17" t="str">
        <f aca="false">IFERROR(INDEX(Ref_CTRL!$B$2:$B$201,MATCH(B138,Ref_CTRL!$A$2:$A$201,0)),"")</f>
        <v/>
      </c>
      <c r="D138" s="17" t="str">
        <f aca="false">IFERROR(INDEX(Ref_CTRL!$C$2:$C$201,MATCH(B138,Ref_CTRL!$A$2:$A$201,0)),"")</f>
        <v/>
      </c>
      <c r="E138" s="17" t="str">
        <f aca="false">IFERROR(INDEX(Ref_CTRL!$D$2:$D$201,MATCH(B138,Ref_CTRL!$A$2:$A$201,0)),"")</f>
        <v/>
      </c>
      <c r="F138" s="16"/>
      <c r="G138" s="16"/>
      <c r="H138" s="16"/>
      <c r="I138" s="16"/>
      <c r="J138" s="17" t="str">
        <f aca="false">IFERROR(INDEX(Ref_EV!$B$2:$B$201,MATCH(I138,Ref_EV!$A$2:$A$201,0)),"")</f>
        <v/>
      </c>
      <c r="K138" s="17" t="str">
        <f aca="false">IFERROR(INDEX(Ref_EV!$C$2:$C$201,MATCH(I138,Ref_EV!$A$2:$A$201,0)),"")</f>
        <v/>
      </c>
      <c r="L138" s="17" t="str">
        <f aca="false">IF(F138="TOD","1",IFERROR(INDEX(Sample_Guide!$C$5:$C$20,MATCH(E138,Sample_Guide!$A$5:$A$20,0))&amp;"–"&amp;INDEX(Sample_Guide!$D$5:$D$20,MATCH(E138,Sample_Guide!$A$5:$A$20,0)),""))</f>
        <v/>
      </c>
      <c r="M138" s="16"/>
      <c r="N138" s="18"/>
      <c r="O138" s="18"/>
      <c r="P138" s="17" t="str">
        <f aca="false">IF(A138="","",IF(OR(D138="ITAC",D138="IPE",D138="ITDM"),"Y","N"))</f>
        <v/>
      </c>
      <c r="Q138" s="16"/>
      <c r="R138" s="16"/>
      <c r="S138" s="18"/>
      <c r="T138" s="18"/>
      <c r="U138" s="16"/>
      <c r="V138" s="16"/>
      <c r="W138" s="16"/>
      <c r="X138" s="17" t="str">
        <f aca="false">IF(A138="","",IF(OR(B138="",F138="",G138="",H138=""),"Control, test type, attributes, procedure needed",IF(COUNTIF(Ref_CTRL!$A$2:$A$201,B138)=0,"CTRL-ID not in W05",IF(LEFT(A138,LEN(B138)+1)&lt;&gt;B138&amp;"-","TEST-ID must start with CTRL-ID-",IF(AND(F138="TOE",I138=""),"Population EV-ID needed (TOE)",IF(AND(I138&lt;&gt;"",J138&lt;&gt;"Pass"),"HOLD: population IPE not Pass",IF(AND(F138="TOE",M138=""),"Sample size needed",IF(AND(F138="TOE",OR(M138&lt;IFERROR(INDEX(Sample_Guide!$C$5:$C$20,MATCH(E138,Sample_Guide!$A$5:$A$20,0)),0),M138&gt;IFERROR(INDEX(Sample_Guide!$D$5:$D$20,MATCH(E138,Sample_Guide!$A$5:$A$20,0)),9999))),"Sample outside guide: justify",IF(OR(Q138="",R138=""),"Tester and reviewer needed",IF(Q138=R138,"Tester and reviewer must differ",IF(AND(W138&lt;&gt;"",W138&lt;&gt;"Not started",V138&lt;&gt;"Reviewed",V138&lt;&gt;"Closed"),"Result only after review","OK")))))))))))</f>
        <v/>
      </c>
    </row>
    <row r="139" customFormat="false" ht="15" hidden="false" customHeight="false" outlineLevel="0" collapsed="false">
      <c r="A139" s="16"/>
      <c r="B139" s="16"/>
      <c r="C139" s="17" t="str">
        <f aca="false">IFERROR(INDEX(Ref_CTRL!$B$2:$B$201,MATCH(B139,Ref_CTRL!$A$2:$A$201,0)),"")</f>
        <v/>
      </c>
      <c r="D139" s="17" t="str">
        <f aca="false">IFERROR(INDEX(Ref_CTRL!$C$2:$C$201,MATCH(B139,Ref_CTRL!$A$2:$A$201,0)),"")</f>
        <v/>
      </c>
      <c r="E139" s="17" t="str">
        <f aca="false">IFERROR(INDEX(Ref_CTRL!$D$2:$D$201,MATCH(B139,Ref_CTRL!$A$2:$A$201,0)),"")</f>
        <v/>
      </c>
      <c r="F139" s="16"/>
      <c r="G139" s="16"/>
      <c r="H139" s="16"/>
      <c r="I139" s="16"/>
      <c r="J139" s="17" t="str">
        <f aca="false">IFERROR(INDEX(Ref_EV!$B$2:$B$201,MATCH(I139,Ref_EV!$A$2:$A$201,0)),"")</f>
        <v/>
      </c>
      <c r="K139" s="17" t="str">
        <f aca="false">IFERROR(INDEX(Ref_EV!$C$2:$C$201,MATCH(I139,Ref_EV!$A$2:$A$201,0)),"")</f>
        <v/>
      </c>
      <c r="L139" s="17" t="str">
        <f aca="false">IF(F139="TOD","1",IFERROR(INDEX(Sample_Guide!$C$5:$C$20,MATCH(E139,Sample_Guide!$A$5:$A$20,0))&amp;"–"&amp;INDEX(Sample_Guide!$D$5:$D$20,MATCH(E139,Sample_Guide!$A$5:$A$20,0)),""))</f>
        <v/>
      </c>
      <c r="M139" s="16"/>
      <c r="N139" s="18"/>
      <c r="O139" s="18"/>
      <c r="P139" s="17" t="str">
        <f aca="false">IF(A139="","",IF(OR(D139="ITAC",D139="IPE",D139="ITDM"),"Y","N"))</f>
        <v/>
      </c>
      <c r="Q139" s="16"/>
      <c r="R139" s="16"/>
      <c r="S139" s="18"/>
      <c r="T139" s="18"/>
      <c r="U139" s="16"/>
      <c r="V139" s="16"/>
      <c r="W139" s="16"/>
      <c r="X139" s="17" t="str">
        <f aca="false">IF(A139="","",IF(OR(B139="",F139="",G139="",H139=""),"Control, test type, attributes, procedure needed",IF(COUNTIF(Ref_CTRL!$A$2:$A$201,B139)=0,"CTRL-ID not in W05",IF(LEFT(A139,LEN(B139)+1)&lt;&gt;B139&amp;"-","TEST-ID must start with CTRL-ID-",IF(AND(F139="TOE",I139=""),"Population EV-ID needed (TOE)",IF(AND(I139&lt;&gt;"",J139&lt;&gt;"Pass"),"HOLD: population IPE not Pass",IF(AND(F139="TOE",M139=""),"Sample size needed",IF(AND(F139="TOE",OR(M139&lt;IFERROR(INDEX(Sample_Guide!$C$5:$C$20,MATCH(E139,Sample_Guide!$A$5:$A$20,0)),0),M139&gt;IFERROR(INDEX(Sample_Guide!$D$5:$D$20,MATCH(E139,Sample_Guide!$A$5:$A$20,0)),9999))),"Sample outside guide: justify",IF(OR(Q139="",R139=""),"Tester and reviewer needed",IF(Q139=R139,"Tester and reviewer must differ",IF(AND(W139&lt;&gt;"",W139&lt;&gt;"Not started",V139&lt;&gt;"Reviewed",V139&lt;&gt;"Closed"),"Result only after review","OK")))))))))))</f>
        <v/>
      </c>
    </row>
    <row r="140" customFormat="false" ht="15" hidden="false" customHeight="false" outlineLevel="0" collapsed="false">
      <c r="A140" s="16"/>
      <c r="B140" s="16"/>
      <c r="C140" s="17" t="str">
        <f aca="false">IFERROR(INDEX(Ref_CTRL!$B$2:$B$201,MATCH(B140,Ref_CTRL!$A$2:$A$201,0)),"")</f>
        <v/>
      </c>
      <c r="D140" s="17" t="str">
        <f aca="false">IFERROR(INDEX(Ref_CTRL!$C$2:$C$201,MATCH(B140,Ref_CTRL!$A$2:$A$201,0)),"")</f>
        <v/>
      </c>
      <c r="E140" s="17" t="str">
        <f aca="false">IFERROR(INDEX(Ref_CTRL!$D$2:$D$201,MATCH(B140,Ref_CTRL!$A$2:$A$201,0)),"")</f>
        <v/>
      </c>
      <c r="F140" s="16"/>
      <c r="G140" s="16"/>
      <c r="H140" s="16"/>
      <c r="I140" s="16"/>
      <c r="J140" s="17" t="str">
        <f aca="false">IFERROR(INDEX(Ref_EV!$B$2:$B$201,MATCH(I140,Ref_EV!$A$2:$A$201,0)),"")</f>
        <v/>
      </c>
      <c r="K140" s="17" t="str">
        <f aca="false">IFERROR(INDEX(Ref_EV!$C$2:$C$201,MATCH(I140,Ref_EV!$A$2:$A$201,0)),"")</f>
        <v/>
      </c>
      <c r="L140" s="17" t="str">
        <f aca="false">IF(F140="TOD","1",IFERROR(INDEX(Sample_Guide!$C$5:$C$20,MATCH(E140,Sample_Guide!$A$5:$A$20,0))&amp;"–"&amp;INDEX(Sample_Guide!$D$5:$D$20,MATCH(E140,Sample_Guide!$A$5:$A$20,0)),""))</f>
        <v/>
      </c>
      <c r="M140" s="16"/>
      <c r="N140" s="18"/>
      <c r="O140" s="18"/>
      <c r="P140" s="17" t="str">
        <f aca="false">IF(A140="","",IF(OR(D140="ITAC",D140="IPE",D140="ITDM"),"Y","N"))</f>
        <v/>
      </c>
      <c r="Q140" s="16"/>
      <c r="R140" s="16"/>
      <c r="S140" s="18"/>
      <c r="T140" s="18"/>
      <c r="U140" s="16"/>
      <c r="V140" s="16"/>
      <c r="W140" s="16"/>
      <c r="X140" s="17" t="str">
        <f aca="false">IF(A140="","",IF(OR(B140="",F140="",G140="",H140=""),"Control, test type, attributes, procedure needed",IF(COUNTIF(Ref_CTRL!$A$2:$A$201,B140)=0,"CTRL-ID not in W05",IF(LEFT(A140,LEN(B140)+1)&lt;&gt;B140&amp;"-","TEST-ID must start with CTRL-ID-",IF(AND(F140="TOE",I140=""),"Population EV-ID needed (TOE)",IF(AND(I140&lt;&gt;"",J140&lt;&gt;"Pass"),"HOLD: population IPE not Pass",IF(AND(F140="TOE",M140=""),"Sample size needed",IF(AND(F140="TOE",OR(M140&lt;IFERROR(INDEX(Sample_Guide!$C$5:$C$20,MATCH(E140,Sample_Guide!$A$5:$A$20,0)),0),M140&gt;IFERROR(INDEX(Sample_Guide!$D$5:$D$20,MATCH(E140,Sample_Guide!$A$5:$A$20,0)),9999))),"Sample outside guide: justify",IF(OR(Q140="",R140=""),"Tester and reviewer needed",IF(Q140=R140,"Tester and reviewer must differ",IF(AND(W140&lt;&gt;"",W140&lt;&gt;"Not started",V140&lt;&gt;"Reviewed",V140&lt;&gt;"Closed"),"Result only after review","OK")))))))))))</f>
        <v/>
      </c>
    </row>
    <row r="141" customFormat="false" ht="15" hidden="false" customHeight="false" outlineLevel="0" collapsed="false">
      <c r="A141" s="16"/>
      <c r="B141" s="16"/>
      <c r="C141" s="17" t="str">
        <f aca="false">IFERROR(INDEX(Ref_CTRL!$B$2:$B$201,MATCH(B141,Ref_CTRL!$A$2:$A$201,0)),"")</f>
        <v/>
      </c>
      <c r="D141" s="17" t="str">
        <f aca="false">IFERROR(INDEX(Ref_CTRL!$C$2:$C$201,MATCH(B141,Ref_CTRL!$A$2:$A$201,0)),"")</f>
        <v/>
      </c>
      <c r="E141" s="17" t="str">
        <f aca="false">IFERROR(INDEX(Ref_CTRL!$D$2:$D$201,MATCH(B141,Ref_CTRL!$A$2:$A$201,0)),"")</f>
        <v/>
      </c>
      <c r="F141" s="16"/>
      <c r="G141" s="16"/>
      <c r="H141" s="16"/>
      <c r="I141" s="16"/>
      <c r="J141" s="17" t="str">
        <f aca="false">IFERROR(INDEX(Ref_EV!$B$2:$B$201,MATCH(I141,Ref_EV!$A$2:$A$201,0)),"")</f>
        <v/>
      </c>
      <c r="K141" s="17" t="str">
        <f aca="false">IFERROR(INDEX(Ref_EV!$C$2:$C$201,MATCH(I141,Ref_EV!$A$2:$A$201,0)),"")</f>
        <v/>
      </c>
      <c r="L141" s="17" t="str">
        <f aca="false">IF(F141="TOD","1",IFERROR(INDEX(Sample_Guide!$C$5:$C$20,MATCH(E141,Sample_Guide!$A$5:$A$20,0))&amp;"–"&amp;INDEX(Sample_Guide!$D$5:$D$20,MATCH(E141,Sample_Guide!$A$5:$A$20,0)),""))</f>
        <v/>
      </c>
      <c r="M141" s="16"/>
      <c r="N141" s="18"/>
      <c r="O141" s="18"/>
      <c r="P141" s="17" t="str">
        <f aca="false">IF(A141="","",IF(OR(D141="ITAC",D141="IPE",D141="ITDM"),"Y","N"))</f>
        <v/>
      </c>
      <c r="Q141" s="16"/>
      <c r="R141" s="16"/>
      <c r="S141" s="18"/>
      <c r="T141" s="18"/>
      <c r="U141" s="16"/>
      <c r="V141" s="16"/>
      <c r="W141" s="16"/>
      <c r="X141" s="17" t="str">
        <f aca="false">IF(A141="","",IF(OR(B141="",F141="",G141="",H141=""),"Control, test type, attributes, procedure needed",IF(COUNTIF(Ref_CTRL!$A$2:$A$201,B141)=0,"CTRL-ID not in W05",IF(LEFT(A141,LEN(B141)+1)&lt;&gt;B141&amp;"-","TEST-ID must start with CTRL-ID-",IF(AND(F141="TOE",I141=""),"Population EV-ID needed (TOE)",IF(AND(I141&lt;&gt;"",J141&lt;&gt;"Pass"),"HOLD: population IPE not Pass",IF(AND(F141="TOE",M141=""),"Sample size needed",IF(AND(F141="TOE",OR(M141&lt;IFERROR(INDEX(Sample_Guide!$C$5:$C$20,MATCH(E141,Sample_Guide!$A$5:$A$20,0)),0),M141&gt;IFERROR(INDEX(Sample_Guide!$D$5:$D$20,MATCH(E141,Sample_Guide!$A$5:$A$20,0)),9999))),"Sample outside guide: justify",IF(OR(Q141="",R141=""),"Tester and reviewer needed",IF(Q141=R141,"Tester and reviewer must differ",IF(AND(W141&lt;&gt;"",W141&lt;&gt;"Not started",V141&lt;&gt;"Reviewed",V141&lt;&gt;"Closed"),"Result only after review","OK")))))))))))</f>
        <v/>
      </c>
    </row>
    <row r="142" customFormat="false" ht="15" hidden="false" customHeight="false" outlineLevel="0" collapsed="false">
      <c r="A142" s="16"/>
      <c r="B142" s="16"/>
      <c r="C142" s="17" t="str">
        <f aca="false">IFERROR(INDEX(Ref_CTRL!$B$2:$B$201,MATCH(B142,Ref_CTRL!$A$2:$A$201,0)),"")</f>
        <v/>
      </c>
      <c r="D142" s="17" t="str">
        <f aca="false">IFERROR(INDEX(Ref_CTRL!$C$2:$C$201,MATCH(B142,Ref_CTRL!$A$2:$A$201,0)),"")</f>
        <v/>
      </c>
      <c r="E142" s="17" t="str">
        <f aca="false">IFERROR(INDEX(Ref_CTRL!$D$2:$D$201,MATCH(B142,Ref_CTRL!$A$2:$A$201,0)),"")</f>
        <v/>
      </c>
      <c r="F142" s="16"/>
      <c r="G142" s="16"/>
      <c r="H142" s="16"/>
      <c r="I142" s="16"/>
      <c r="J142" s="17" t="str">
        <f aca="false">IFERROR(INDEX(Ref_EV!$B$2:$B$201,MATCH(I142,Ref_EV!$A$2:$A$201,0)),"")</f>
        <v/>
      </c>
      <c r="K142" s="17" t="str">
        <f aca="false">IFERROR(INDEX(Ref_EV!$C$2:$C$201,MATCH(I142,Ref_EV!$A$2:$A$201,0)),"")</f>
        <v/>
      </c>
      <c r="L142" s="17" t="str">
        <f aca="false">IF(F142="TOD","1",IFERROR(INDEX(Sample_Guide!$C$5:$C$20,MATCH(E142,Sample_Guide!$A$5:$A$20,0))&amp;"–"&amp;INDEX(Sample_Guide!$D$5:$D$20,MATCH(E142,Sample_Guide!$A$5:$A$20,0)),""))</f>
        <v/>
      </c>
      <c r="M142" s="16"/>
      <c r="N142" s="18"/>
      <c r="O142" s="18"/>
      <c r="P142" s="17" t="str">
        <f aca="false">IF(A142="","",IF(OR(D142="ITAC",D142="IPE",D142="ITDM"),"Y","N"))</f>
        <v/>
      </c>
      <c r="Q142" s="16"/>
      <c r="R142" s="16"/>
      <c r="S142" s="18"/>
      <c r="T142" s="18"/>
      <c r="U142" s="16"/>
      <c r="V142" s="16"/>
      <c r="W142" s="16"/>
      <c r="X142" s="17" t="str">
        <f aca="false">IF(A142="","",IF(OR(B142="",F142="",G142="",H142=""),"Control, test type, attributes, procedure needed",IF(COUNTIF(Ref_CTRL!$A$2:$A$201,B142)=0,"CTRL-ID not in W05",IF(LEFT(A142,LEN(B142)+1)&lt;&gt;B142&amp;"-","TEST-ID must start with CTRL-ID-",IF(AND(F142="TOE",I142=""),"Population EV-ID needed (TOE)",IF(AND(I142&lt;&gt;"",J142&lt;&gt;"Pass"),"HOLD: population IPE not Pass",IF(AND(F142="TOE",M142=""),"Sample size needed",IF(AND(F142="TOE",OR(M142&lt;IFERROR(INDEX(Sample_Guide!$C$5:$C$20,MATCH(E142,Sample_Guide!$A$5:$A$20,0)),0),M142&gt;IFERROR(INDEX(Sample_Guide!$D$5:$D$20,MATCH(E142,Sample_Guide!$A$5:$A$20,0)),9999))),"Sample outside guide: justify",IF(OR(Q142="",R142=""),"Tester and reviewer needed",IF(Q142=R142,"Tester and reviewer must differ",IF(AND(W142&lt;&gt;"",W142&lt;&gt;"Not started",V142&lt;&gt;"Reviewed",V142&lt;&gt;"Closed"),"Result only after review","OK")))))))))))</f>
        <v/>
      </c>
    </row>
    <row r="143" customFormat="false" ht="15" hidden="false" customHeight="false" outlineLevel="0" collapsed="false">
      <c r="A143" s="16"/>
      <c r="B143" s="16"/>
      <c r="C143" s="17" t="str">
        <f aca="false">IFERROR(INDEX(Ref_CTRL!$B$2:$B$201,MATCH(B143,Ref_CTRL!$A$2:$A$201,0)),"")</f>
        <v/>
      </c>
      <c r="D143" s="17" t="str">
        <f aca="false">IFERROR(INDEX(Ref_CTRL!$C$2:$C$201,MATCH(B143,Ref_CTRL!$A$2:$A$201,0)),"")</f>
        <v/>
      </c>
      <c r="E143" s="17" t="str">
        <f aca="false">IFERROR(INDEX(Ref_CTRL!$D$2:$D$201,MATCH(B143,Ref_CTRL!$A$2:$A$201,0)),"")</f>
        <v/>
      </c>
      <c r="F143" s="16"/>
      <c r="G143" s="16"/>
      <c r="H143" s="16"/>
      <c r="I143" s="16"/>
      <c r="J143" s="17" t="str">
        <f aca="false">IFERROR(INDEX(Ref_EV!$B$2:$B$201,MATCH(I143,Ref_EV!$A$2:$A$201,0)),"")</f>
        <v/>
      </c>
      <c r="K143" s="17" t="str">
        <f aca="false">IFERROR(INDEX(Ref_EV!$C$2:$C$201,MATCH(I143,Ref_EV!$A$2:$A$201,0)),"")</f>
        <v/>
      </c>
      <c r="L143" s="17" t="str">
        <f aca="false">IF(F143="TOD","1",IFERROR(INDEX(Sample_Guide!$C$5:$C$20,MATCH(E143,Sample_Guide!$A$5:$A$20,0))&amp;"–"&amp;INDEX(Sample_Guide!$D$5:$D$20,MATCH(E143,Sample_Guide!$A$5:$A$20,0)),""))</f>
        <v/>
      </c>
      <c r="M143" s="16"/>
      <c r="N143" s="18"/>
      <c r="O143" s="18"/>
      <c r="P143" s="17" t="str">
        <f aca="false">IF(A143="","",IF(OR(D143="ITAC",D143="IPE",D143="ITDM"),"Y","N"))</f>
        <v/>
      </c>
      <c r="Q143" s="16"/>
      <c r="R143" s="16"/>
      <c r="S143" s="18"/>
      <c r="T143" s="18"/>
      <c r="U143" s="16"/>
      <c r="V143" s="16"/>
      <c r="W143" s="16"/>
      <c r="X143" s="17" t="str">
        <f aca="false">IF(A143="","",IF(OR(B143="",F143="",G143="",H143=""),"Control, test type, attributes, procedure needed",IF(COUNTIF(Ref_CTRL!$A$2:$A$201,B143)=0,"CTRL-ID not in W05",IF(LEFT(A143,LEN(B143)+1)&lt;&gt;B143&amp;"-","TEST-ID must start with CTRL-ID-",IF(AND(F143="TOE",I143=""),"Population EV-ID needed (TOE)",IF(AND(I143&lt;&gt;"",J143&lt;&gt;"Pass"),"HOLD: population IPE not Pass",IF(AND(F143="TOE",M143=""),"Sample size needed",IF(AND(F143="TOE",OR(M143&lt;IFERROR(INDEX(Sample_Guide!$C$5:$C$20,MATCH(E143,Sample_Guide!$A$5:$A$20,0)),0),M143&gt;IFERROR(INDEX(Sample_Guide!$D$5:$D$20,MATCH(E143,Sample_Guide!$A$5:$A$20,0)),9999))),"Sample outside guide: justify",IF(OR(Q143="",R143=""),"Tester and reviewer needed",IF(Q143=R143,"Tester and reviewer must differ",IF(AND(W143&lt;&gt;"",W143&lt;&gt;"Not started",V143&lt;&gt;"Reviewed",V143&lt;&gt;"Closed"),"Result only after review","OK")))))))))))</f>
        <v/>
      </c>
    </row>
    <row r="144" customFormat="false" ht="15" hidden="false" customHeight="false" outlineLevel="0" collapsed="false">
      <c r="A144" s="16"/>
      <c r="B144" s="16"/>
      <c r="C144" s="17" t="str">
        <f aca="false">IFERROR(INDEX(Ref_CTRL!$B$2:$B$201,MATCH(B144,Ref_CTRL!$A$2:$A$201,0)),"")</f>
        <v/>
      </c>
      <c r="D144" s="17" t="str">
        <f aca="false">IFERROR(INDEX(Ref_CTRL!$C$2:$C$201,MATCH(B144,Ref_CTRL!$A$2:$A$201,0)),"")</f>
        <v/>
      </c>
      <c r="E144" s="17" t="str">
        <f aca="false">IFERROR(INDEX(Ref_CTRL!$D$2:$D$201,MATCH(B144,Ref_CTRL!$A$2:$A$201,0)),"")</f>
        <v/>
      </c>
      <c r="F144" s="16"/>
      <c r="G144" s="16"/>
      <c r="H144" s="16"/>
      <c r="I144" s="16"/>
      <c r="J144" s="17" t="str">
        <f aca="false">IFERROR(INDEX(Ref_EV!$B$2:$B$201,MATCH(I144,Ref_EV!$A$2:$A$201,0)),"")</f>
        <v/>
      </c>
      <c r="K144" s="17" t="str">
        <f aca="false">IFERROR(INDEX(Ref_EV!$C$2:$C$201,MATCH(I144,Ref_EV!$A$2:$A$201,0)),"")</f>
        <v/>
      </c>
      <c r="L144" s="17" t="str">
        <f aca="false">IF(F144="TOD","1",IFERROR(INDEX(Sample_Guide!$C$5:$C$20,MATCH(E144,Sample_Guide!$A$5:$A$20,0))&amp;"–"&amp;INDEX(Sample_Guide!$D$5:$D$20,MATCH(E144,Sample_Guide!$A$5:$A$20,0)),""))</f>
        <v/>
      </c>
      <c r="M144" s="16"/>
      <c r="N144" s="18"/>
      <c r="O144" s="18"/>
      <c r="P144" s="17" t="str">
        <f aca="false">IF(A144="","",IF(OR(D144="ITAC",D144="IPE",D144="ITDM"),"Y","N"))</f>
        <v/>
      </c>
      <c r="Q144" s="16"/>
      <c r="R144" s="16"/>
      <c r="S144" s="18"/>
      <c r="T144" s="18"/>
      <c r="U144" s="16"/>
      <c r="V144" s="16"/>
      <c r="W144" s="16"/>
      <c r="X144" s="17" t="str">
        <f aca="false">IF(A144="","",IF(OR(B144="",F144="",G144="",H144=""),"Control, test type, attributes, procedure needed",IF(COUNTIF(Ref_CTRL!$A$2:$A$201,B144)=0,"CTRL-ID not in W05",IF(LEFT(A144,LEN(B144)+1)&lt;&gt;B144&amp;"-","TEST-ID must start with CTRL-ID-",IF(AND(F144="TOE",I144=""),"Population EV-ID needed (TOE)",IF(AND(I144&lt;&gt;"",J144&lt;&gt;"Pass"),"HOLD: population IPE not Pass",IF(AND(F144="TOE",M144=""),"Sample size needed",IF(AND(F144="TOE",OR(M144&lt;IFERROR(INDEX(Sample_Guide!$C$5:$C$20,MATCH(E144,Sample_Guide!$A$5:$A$20,0)),0),M144&gt;IFERROR(INDEX(Sample_Guide!$D$5:$D$20,MATCH(E144,Sample_Guide!$A$5:$A$20,0)),9999))),"Sample outside guide: justify",IF(OR(Q144="",R144=""),"Tester and reviewer needed",IF(Q144=R144,"Tester and reviewer must differ",IF(AND(W144&lt;&gt;"",W144&lt;&gt;"Not started",V144&lt;&gt;"Reviewed",V144&lt;&gt;"Closed"),"Result only after review","OK")))))))))))</f>
        <v/>
      </c>
    </row>
    <row r="145" customFormat="false" ht="15" hidden="false" customHeight="false" outlineLevel="0" collapsed="false">
      <c r="A145" s="16"/>
      <c r="B145" s="16"/>
      <c r="C145" s="17" t="str">
        <f aca="false">IFERROR(INDEX(Ref_CTRL!$B$2:$B$201,MATCH(B145,Ref_CTRL!$A$2:$A$201,0)),"")</f>
        <v/>
      </c>
      <c r="D145" s="17" t="str">
        <f aca="false">IFERROR(INDEX(Ref_CTRL!$C$2:$C$201,MATCH(B145,Ref_CTRL!$A$2:$A$201,0)),"")</f>
        <v/>
      </c>
      <c r="E145" s="17" t="str">
        <f aca="false">IFERROR(INDEX(Ref_CTRL!$D$2:$D$201,MATCH(B145,Ref_CTRL!$A$2:$A$201,0)),"")</f>
        <v/>
      </c>
      <c r="F145" s="16"/>
      <c r="G145" s="16"/>
      <c r="H145" s="16"/>
      <c r="I145" s="16"/>
      <c r="J145" s="17" t="str">
        <f aca="false">IFERROR(INDEX(Ref_EV!$B$2:$B$201,MATCH(I145,Ref_EV!$A$2:$A$201,0)),"")</f>
        <v/>
      </c>
      <c r="K145" s="17" t="str">
        <f aca="false">IFERROR(INDEX(Ref_EV!$C$2:$C$201,MATCH(I145,Ref_EV!$A$2:$A$201,0)),"")</f>
        <v/>
      </c>
      <c r="L145" s="17" t="str">
        <f aca="false">IF(F145="TOD","1",IFERROR(INDEX(Sample_Guide!$C$5:$C$20,MATCH(E145,Sample_Guide!$A$5:$A$20,0))&amp;"–"&amp;INDEX(Sample_Guide!$D$5:$D$20,MATCH(E145,Sample_Guide!$A$5:$A$20,0)),""))</f>
        <v/>
      </c>
      <c r="M145" s="16"/>
      <c r="N145" s="18"/>
      <c r="O145" s="18"/>
      <c r="P145" s="17" t="str">
        <f aca="false">IF(A145="","",IF(OR(D145="ITAC",D145="IPE",D145="ITDM"),"Y","N"))</f>
        <v/>
      </c>
      <c r="Q145" s="16"/>
      <c r="R145" s="16"/>
      <c r="S145" s="18"/>
      <c r="T145" s="18"/>
      <c r="U145" s="16"/>
      <c r="V145" s="16"/>
      <c r="W145" s="16"/>
      <c r="X145" s="17" t="str">
        <f aca="false">IF(A145="","",IF(OR(B145="",F145="",G145="",H145=""),"Control, test type, attributes, procedure needed",IF(COUNTIF(Ref_CTRL!$A$2:$A$201,B145)=0,"CTRL-ID not in W05",IF(LEFT(A145,LEN(B145)+1)&lt;&gt;B145&amp;"-","TEST-ID must start with CTRL-ID-",IF(AND(F145="TOE",I145=""),"Population EV-ID needed (TOE)",IF(AND(I145&lt;&gt;"",J145&lt;&gt;"Pass"),"HOLD: population IPE not Pass",IF(AND(F145="TOE",M145=""),"Sample size needed",IF(AND(F145="TOE",OR(M145&lt;IFERROR(INDEX(Sample_Guide!$C$5:$C$20,MATCH(E145,Sample_Guide!$A$5:$A$20,0)),0),M145&gt;IFERROR(INDEX(Sample_Guide!$D$5:$D$20,MATCH(E145,Sample_Guide!$A$5:$A$20,0)),9999))),"Sample outside guide: justify",IF(OR(Q145="",R145=""),"Tester and reviewer needed",IF(Q145=R145,"Tester and reviewer must differ",IF(AND(W145&lt;&gt;"",W145&lt;&gt;"Not started",V145&lt;&gt;"Reviewed",V145&lt;&gt;"Closed"),"Result only after review","OK")))))))))))</f>
        <v/>
      </c>
    </row>
    <row r="146" customFormat="false" ht="15" hidden="false" customHeight="false" outlineLevel="0" collapsed="false">
      <c r="A146" s="16"/>
      <c r="B146" s="16"/>
      <c r="C146" s="17" t="str">
        <f aca="false">IFERROR(INDEX(Ref_CTRL!$B$2:$B$201,MATCH(B146,Ref_CTRL!$A$2:$A$201,0)),"")</f>
        <v/>
      </c>
      <c r="D146" s="17" t="str">
        <f aca="false">IFERROR(INDEX(Ref_CTRL!$C$2:$C$201,MATCH(B146,Ref_CTRL!$A$2:$A$201,0)),"")</f>
        <v/>
      </c>
      <c r="E146" s="17" t="str">
        <f aca="false">IFERROR(INDEX(Ref_CTRL!$D$2:$D$201,MATCH(B146,Ref_CTRL!$A$2:$A$201,0)),"")</f>
        <v/>
      </c>
      <c r="F146" s="16"/>
      <c r="G146" s="16"/>
      <c r="H146" s="16"/>
      <c r="I146" s="16"/>
      <c r="J146" s="17" t="str">
        <f aca="false">IFERROR(INDEX(Ref_EV!$B$2:$B$201,MATCH(I146,Ref_EV!$A$2:$A$201,0)),"")</f>
        <v/>
      </c>
      <c r="K146" s="17" t="str">
        <f aca="false">IFERROR(INDEX(Ref_EV!$C$2:$C$201,MATCH(I146,Ref_EV!$A$2:$A$201,0)),"")</f>
        <v/>
      </c>
      <c r="L146" s="17" t="str">
        <f aca="false">IF(F146="TOD","1",IFERROR(INDEX(Sample_Guide!$C$5:$C$20,MATCH(E146,Sample_Guide!$A$5:$A$20,0))&amp;"–"&amp;INDEX(Sample_Guide!$D$5:$D$20,MATCH(E146,Sample_Guide!$A$5:$A$20,0)),""))</f>
        <v/>
      </c>
      <c r="M146" s="16"/>
      <c r="N146" s="18"/>
      <c r="O146" s="18"/>
      <c r="P146" s="17" t="str">
        <f aca="false">IF(A146="","",IF(OR(D146="ITAC",D146="IPE",D146="ITDM"),"Y","N"))</f>
        <v/>
      </c>
      <c r="Q146" s="16"/>
      <c r="R146" s="16"/>
      <c r="S146" s="18"/>
      <c r="T146" s="18"/>
      <c r="U146" s="16"/>
      <c r="V146" s="16"/>
      <c r="W146" s="16"/>
      <c r="X146" s="17" t="str">
        <f aca="false">IF(A146="","",IF(OR(B146="",F146="",G146="",H146=""),"Control, test type, attributes, procedure needed",IF(COUNTIF(Ref_CTRL!$A$2:$A$201,B146)=0,"CTRL-ID not in W05",IF(LEFT(A146,LEN(B146)+1)&lt;&gt;B146&amp;"-","TEST-ID must start with CTRL-ID-",IF(AND(F146="TOE",I146=""),"Population EV-ID needed (TOE)",IF(AND(I146&lt;&gt;"",J146&lt;&gt;"Pass"),"HOLD: population IPE not Pass",IF(AND(F146="TOE",M146=""),"Sample size needed",IF(AND(F146="TOE",OR(M146&lt;IFERROR(INDEX(Sample_Guide!$C$5:$C$20,MATCH(E146,Sample_Guide!$A$5:$A$20,0)),0),M146&gt;IFERROR(INDEX(Sample_Guide!$D$5:$D$20,MATCH(E146,Sample_Guide!$A$5:$A$20,0)),9999))),"Sample outside guide: justify",IF(OR(Q146="",R146=""),"Tester and reviewer needed",IF(Q146=R146,"Tester and reviewer must differ",IF(AND(W146&lt;&gt;"",W146&lt;&gt;"Not started",V146&lt;&gt;"Reviewed",V146&lt;&gt;"Closed"),"Result only after review","OK")))))))))))</f>
        <v/>
      </c>
    </row>
    <row r="147" customFormat="false" ht="15" hidden="false" customHeight="false" outlineLevel="0" collapsed="false">
      <c r="A147" s="16"/>
      <c r="B147" s="16"/>
      <c r="C147" s="17" t="str">
        <f aca="false">IFERROR(INDEX(Ref_CTRL!$B$2:$B$201,MATCH(B147,Ref_CTRL!$A$2:$A$201,0)),"")</f>
        <v/>
      </c>
      <c r="D147" s="17" t="str">
        <f aca="false">IFERROR(INDEX(Ref_CTRL!$C$2:$C$201,MATCH(B147,Ref_CTRL!$A$2:$A$201,0)),"")</f>
        <v/>
      </c>
      <c r="E147" s="17" t="str">
        <f aca="false">IFERROR(INDEX(Ref_CTRL!$D$2:$D$201,MATCH(B147,Ref_CTRL!$A$2:$A$201,0)),"")</f>
        <v/>
      </c>
      <c r="F147" s="16"/>
      <c r="G147" s="16"/>
      <c r="H147" s="16"/>
      <c r="I147" s="16"/>
      <c r="J147" s="17" t="str">
        <f aca="false">IFERROR(INDEX(Ref_EV!$B$2:$B$201,MATCH(I147,Ref_EV!$A$2:$A$201,0)),"")</f>
        <v/>
      </c>
      <c r="K147" s="17" t="str">
        <f aca="false">IFERROR(INDEX(Ref_EV!$C$2:$C$201,MATCH(I147,Ref_EV!$A$2:$A$201,0)),"")</f>
        <v/>
      </c>
      <c r="L147" s="17" t="str">
        <f aca="false">IF(F147="TOD","1",IFERROR(INDEX(Sample_Guide!$C$5:$C$20,MATCH(E147,Sample_Guide!$A$5:$A$20,0))&amp;"–"&amp;INDEX(Sample_Guide!$D$5:$D$20,MATCH(E147,Sample_Guide!$A$5:$A$20,0)),""))</f>
        <v/>
      </c>
      <c r="M147" s="16"/>
      <c r="N147" s="18"/>
      <c r="O147" s="18"/>
      <c r="P147" s="17" t="str">
        <f aca="false">IF(A147="","",IF(OR(D147="ITAC",D147="IPE",D147="ITDM"),"Y","N"))</f>
        <v/>
      </c>
      <c r="Q147" s="16"/>
      <c r="R147" s="16"/>
      <c r="S147" s="18"/>
      <c r="T147" s="18"/>
      <c r="U147" s="16"/>
      <c r="V147" s="16"/>
      <c r="W147" s="16"/>
      <c r="X147" s="17" t="str">
        <f aca="false">IF(A147="","",IF(OR(B147="",F147="",G147="",H147=""),"Control, test type, attributes, procedure needed",IF(COUNTIF(Ref_CTRL!$A$2:$A$201,B147)=0,"CTRL-ID not in W05",IF(LEFT(A147,LEN(B147)+1)&lt;&gt;B147&amp;"-","TEST-ID must start with CTRL-ID-",IF(AND(F147="TOE",I147=""),"Population EV-ID needed (TOE)",IF(AND(I147&lt;&gt;"",J147&lt;&gt;"Pass"),"HOLD: population IPE not Pass",IF(AND(F147="TOE",M147=""),"Sample size needed",IF(AND(F147="TOE",OR(M147&lt;IFERROR(INDEX(Sample_Guide!$C$5:$C$20,MATCH(E147,Sample_Guide!$A$5:$A$20,0)),0),M147&gt;IFERROR(INDEX(Sample_Guide!$D$5:$D$20,MATCH(E147,Sample_Guide!$A$5:$A$20,0)),9999))),"Sample outside guide: justify",IF(OR(Q147="",R147=""),"Tester and reviewer needed",IF(Q147=R147,"Tester and reviewer must differ",IF(AND(W147&lt;&gt;"",W147&lt;&gt;"Not started",V147&lt;&gt;"Reviewed",V147&lt;&gt;"Closed"),"Result only after review","OK")))))))))))</f>
        <v/>
      </c>
    </row>
    <row r="148" customFormat="false" ht="15" hidden="false" customHeight="false" outlineLevel="0" collapsed="false">
      <c r="A148" s="16"/>
      <c r="B148" s="16"/>
      <c r="C148" s="17" t="str">
        <f aca="false">IFERROR(INDEX(Ref_CTRL!$B$2:$B$201,MATCH(B148,Ref_CTRL!$A$2:$A$201,0)),"")</f>
        <v/>
      </c>
      <c r="D148" s="17" t="str">
        <f aca="false">IFERROR(INDEX(Ref_CTRL!$C$2:$C$201,MATCH(B148,Ref_CTRL!$A$2:$A$201,0)),"")</f>
        <v/>
      </c>
      <c r="E148" s="17" t="str">
        <f aca="false">IFERROR(INDEX(Ref_CTRL!$D$2:$D$201,MATCH(B148,Ref_CTRL!$A$2:$A$201,0)),"")</f>
        <v/>
      </c>
      <c r="F148" s="16"/>
      <c r="G148" s="16"/>
      <c r="H148" s="16"/>
      <c r="I148" s="16"/>
      <c r="J148" s="17" t="str">
        <f aca="false">IFERROR(INDEX(Ref_EV!$B$2:$B$201,MATCH(I148,Ref_EV!$A$2:$A$201,0)),"")</f>
        <v/>
      </c>
      <c r="K148" s="17" t="str">
        <f aca="false">IFERROR(INDEX(Ref_EV!$C$2:$C$201,MATCH(I148,Ref_EV!$A$2:$A$201,0)),"")</f>
        <v/>
      </c>
      <c r="L148" s="17" t="str">
        <f aca="false">IF(F148="TOD","1",IFERROR(INDEX(Sample_Guide!$C$5:$C$20,MATCH(E148,Sample_Guide!$A$5:$A$20,0))&amp;"–"&amp;INDEX(Sample_Guide!$D$5:$D$20,MATCH(E148,Sample_Guide!$A$5:$A$20,0)),""))</f>
        <v/>
      </c>
      <c r="M148" s="16"/>
      <c r="N148" s="18"/>
      <c r="O148" s="18"/>
      <c r="P148" s="17" t="str">
        <f aca="false">IF(A148="","",IF(OR(D148="ITAC",D148="IPE",D148="ITDM"),"Y","N"))</f>
        <v/>
      </c>
      <c r="Q148" s="16"/>
      <c r="R148" s="16"/>
      <c r="S148" s="18"/>
      <c r="T148" s="18"/>
      <c r="U148" s="16"/>
      <c r="V148" s="16"/>
      <c r="W148" s="16"/>
      <c r="X148" s="17" t="str">
        <f aca="false">IF(A148="","",IF(OR(B148="",F148="",G148="",H148=""),"Control, test type, attributes, procedure needed",IF(COUNTIF(Ref_CTRL!$A$2:$A$201,B148)=0,"CTRL-ID not in W05",IF(LEFT(A148,LEN(B148)+1)&lt;&gt;B148&amp;"-","TEST-ID must start with CTRL-ID-",IF(AND(F148="TOE",I148=""),"Population EV-ID needed (TOE)",IF(AND(I148&lt;&gt;"",J148&lt;&gt;"Pass"),"HOLD: population IPE not Pass",IF(AND(F148="TOE",M148=""),"Sample size needed",IF(AND(F148="TOE",OR(M148&lt;IFERROR(INDEX(Sample_Guide!$C$5:$C$20,MATCH(E148,Sample_Guide!$A$5:$A$20,0)),0),M148&gt;IFERROR(INDEX(Sample_Guide!$D$5:$D$20,MATCH(E148,Sample_Guide!$A$5:$A$20,0)),9999))),"Sample outside guide: justify",IF(OR(Q148="",R148=""),"Tester and reviewer needed",IF(Q148=R148,"Tester and reviewer must differ",IF(AND(W148&lt;&gt;"",W148&lt;&gt;"Not started",V148&lt;&gt;"Reviewed",V148&lt;&gt;"Closed"),"Result only after review","OK")))))))))))</f>
        <v/>
      </c>
    </row>
    <row r="149" customFormat="false" ht="15" hidden="false" customHeight="false" outlineLevel="0" collapsed="false">
      <c r="A149" s="16"/>
      <c r="B149" s="16"/>
      <c r="C149" s="17" t="str">
        <f aca="false">IFERROR(INDEX(Ref_CTRL!$B$2:$B$201,MATCH(B149,Ref_CTRL!$A$2:$A$201,0)),"")</f>
        <v/>
      </c>
      <c r="D149" s="17" t="str">
        <f aca="false">IFERROR(INDEX(Ref_CTRL!$C$2:$C$201,MATCH(B149,Ref_CTRL!$A$2:$A$201,0)),"")</f>
        <v/>
      </c>
      <c r="E149" s="17" t="str">
        <f aca="false">IFERROR(INDEX(Ref_CTRL!$D$2:$D$201,MATCH(B149,Ref_CTRL!$A$2:$A$201,0)),"")</f>
        <v/>
      </c>
      <c r="F149" s="16"/>
      <c r="G149" s="16"/>
      <c r="H149" s="16"/>
      <c r="I149" s="16"/>
      <c r="J149" s="17" t="str">
        <f aca="false">IFERROR(INDEX(Ref_EV!$B$2:$B$201,MATCH(I149,Ref_EV!$A$2:$A$201,0)),"")</f>
        <v/>
      </c>
      <c r="K149" s="17" t="str">
        <f aca="false">IFERROR(INDEX(Ref_EV!$C$2:$C$201,MATCH(I149,Ref_EV!$A$2:$A$201,0)),"")</f>
        <v/>
      </c>
      <c r="L149" s="17" t="str">
        <f aca="false">IF(F149="TOD","1",IFERROR(INDEX(Sample_Guide!$C$5:$C$20,MATCH(E149,Sample_Guide!$A$5:$A$20,0))&amp;"–"&amp;INDEX(Sample_Guide!$D$5:$D$20,MATCH(E149,Sample_Guide!$A$5:$A$20,0)),""))</f>
        <v/>
      </c>
      <c r="M149" s="16"/>
      <c r="N149" s="18"/>
      <c r="O149" s="18"/>
      <c r="P149" s="17" t="str">
        <f aca="false">IF(A149="","",IF(OR(D149="ITAC",D149="IPE",D149="ITDM"),"Y","N"))</f>
        <v/>
      </c>
      <c r="Q149" s="16"/>
      <c r="R149" s="16"/>
      <c r="S149" s="18"/>
      <c r="T149" s="18"/>
      <c r="U149" s="16"/>
      <c r="V149" s="16"/>
      <c r="W149" s="16"/>
      <c r="X149" s="17" t="str">
        <f aca="false">IF(A149="","",IF(OR(B149="",F149="",G149="",H149=""),"Control, test type, attributes, procedure needed",IF(COUNTIF(Ref_CTRL!$A$2:$A$201,B149)=0,"CTRL-ID not in W05",IF(LEFT(A149,LEN(B149)+1)&lt;&gt;B149&amp;"-","TEST-ID must start with CTRL-ID-",IF(AND(F149="TOE",I149=""),"Population EV-ID needed (TOE)",IF(AND(I149&lt;&gt;"",J149&lt;&gt;"Pass"),"HOLD: population IPE not Pass",IF(AND(F149="TOE",M149=""),"Sample size needed",IF(AND(F149="TOE",OR(M149&lt;IFERROR(INDEX(Sample_Guide!$C$5:$C$20,MATCH(E149,Sample_Guide!$A$5:$A$20,0)),0),M149&gt;IFERROR(INDEX(Sample_Guide!$D$5:$D$20,MATCH(E149,Sample_Guide!$A$5:$A$20,0)),9999))),"Sample outside guide: justify",IF(OR(Q149="",R149=""),"Tester and reviewer needed",IF(Q149=R149,"Tester and reviewer must differ",IF(AND(W149&lt;&gt;"",W149&lt;&gt;"Not started",V149&lt;&gt;"Reviewed",V149&lt;&gt;"Closed"),"Result only after review","OK")))))))))))</f>
        <v/>
      </c>
    </row>
    <row r="150" customFormat="false" ht="15" hidden="false" customHeight="false" outlineLevel="0" collapsed="false">
      <c r="A150" s="16"/>
      <c r="B150" s="16"/>
      <c r="C150" s="17" t="str">
        <f aca="false">IFERROR(INDEX(Ref_CTRL!$B$2:$B$201,MATCH(B150,Ref_CTRL!$A$2:$A$201,0)),"")</f>
        <v/>
      </c>
      <c r="D150" s="17" t="str">
        <f aca="false">IFERROR(INDEX(Ref_CTRL!$C$2:$C$201,MATCH(B150,Ref_CTRL!$A$2:$A$201,0)),"")</f>
        <v/>
      </c>
      <c r="E150" s="17" t="str">
        <f aca="false">IFERROR(INDEX(Ref_CTRL!$D$2:$D$201,MATCH(B150,Ref_CTRL!$A$2:$A$201,0)),"")</f>
        <v/>
      </c>
      <c r="F150" s="16"/>
      <c r="G150" s="16"/>
      <c r="H150" s="16"/>
      <c r="I150" s="16"/>
      <c r="J150" s="17" t="str">
        <f aca="false">IFERROR(INDEX(Ref_EV!$B$2:$B$201,MATCH(I150,Ref_EV!$A$2:$A$201,0)),"")</f>
        <v/>
      </c>
      <c r="K150" s="17" t="str">
        <f aca="false">IFERROR(INDEX(Ref_EV!$C$2:$C$201,MATCH(I150,Ref_EV!$A$2:$A$201,0)),"")</f>
        <v/>
      </c>
      <c r="L150" s="17" t="str">
        <f aca="false">IF(F150="TOD","1",IFERROR(INDEX(Sample_Guide!$C$5:$C$20,MATCH(E150,Sample_Guide!$A$5:$A$20,0))&amp;"–"&amp;INDEX(Sample_Guide!$D$5:$D$20,MATCH(E150,Sample_Guide!$A$5:$A$20,0)),""))</f>
        <v/>
      </c>
      <c r="M150" s="16"/>
      <c r="N150" s="18"/>
      <c r="O150" s="18"/>
      <c r="P150" s="17" t="str">
        <f aca="false">IF(A150="","",IF(OR(D150="ITAC",D150="IPE",D150="ITDM"),"Y","N"))</f>
        <v/>
      </c>
      <c r="Q150" s="16"/>
      <c r="R150" s="16"/>
      <c r="S150" s="18"/>
      <c r="T150" s="18"/>
      <c r="U150" s="16"/>
      <c r="V150" s="16"/>
      <c r="W150" s="16"/>
      <c r="X150" s="17" t="str">
        <f aca="false">IF(A150="","",IF(OR(B150="",F150="",G150="",H150=""),"Control, test type, attributes, procedure needed",IF(COUNTIF(Ref_CTRL!$A$2:$A$201,B150)=0,"CTRL-ID not in W05",IF(LEFT(A150,LEN(B150)+1)&lt;&gt;B150&amp;"-","TEST-ID must start with CTRL-ID-",IF(AND(F150="TOE",I150=""),"Population EV-ID needed (TOE)",IF(AND(I150&lt;&gt;"",J150&lt;&gt;"Pass"),"HOLD: population IPE not Pass",IF(AND(F150="TOE",M150=""),"Sample size needed",IF(AND(F150="TOE",OR(M150&lt;IFERROR(INDEX(Sample_Guide!$C$5:$C$20,MATCH(E150,Sample_Guide!$A$5:$A$20,0)),0),M150&gt;IFERROR(INDEX(Sample_Guide!$D$5:$D$20,MATCH(E150,Sample_Guide!$A$5:$A$20,0)),9999))),"Sample outside guide: justify",IF(OR(Q150="",R150=""),"Tester and reviewer needed",IF(Q150=R150,"Tester and reviewer must differ",IF(AND(W150&lt;&gt;"",W150&lt;&gt;"Not started",V150&lt;&gt;"Reviewed",V150&lt;&gt;"Closed"),"Result only after review","OK")))))))))))</f>
        <v/>
      </c>
    </row>
    <row r="151" customFormat="false" ht="15" hidden="false" customHeight="false" outlineLevel="0" collapsed="false">
      <c r="A151" s="16"/>
      <c r="B151" s="16"/>
      <c r="C151" s="17" t="str">
        <f aca="false">IFERROR(INDEX(Ref_CTRL!$B$2:$B$201,MATCH(B151,Ref_CTRL!$A$2:$A$201,0)),"")</f>
        <v/>
      </c>
      <c r="D151" s="17" t="str">
        <f aca="false">IFERROR(INDEX(Ref_CTRL!$C$2:$C$201,MATCH(B151,Ref_CTRL!$A$2:$A$201,0)),"")</f>
        <v/>
      </c>
      <c r="E151" s="17" t="str">
        <f aca="false">IFERROR(INDEX(Ref_CTRL!$D$2:$D$201,MATCH(B151,Ref_CTRL!$A$2:$A$201,0)),"")</f>
        <v/>
      </c>
      <c r="F151" s="16"/>
      <c r="G151" s="16"/>
      <c r="H151" s="16"/>
      <c r="I151" s="16"/>
      <c r="J151" s="17" t="str">
        <f aca="false">IFERROR(INDEX(Ref_EV!$B$2:$B$201,MATCH(I151,Ref_EV!$A$2:$A$201,0)),"")</f>
        <v/>
      </c>
      <c r="K151" s="17" t="str">
        <f aca="false">IFERROR(INDEX(Ref_EV!$C$2:$C$201,MATCH(I151,Ref_EV!$A$2:$A$201,0)),"")</f>
        <v/>
      </c>
      <c r="L151" s="17" t="str">
        <f aca="false">IF(F151="TOD","1",IFERROR(INDEX(Sample_Guide!$C$5:$C$20,MATCH(E151,Sample_Guide!$A$5:$A$20,0))&amp;"–"&amp;INDEX(Sample_Guide!$D$5:$D$20,MATCH(E151,Sample_Guide!$A$5:$A$20,0)),""))</f>
        <v/>
      </c>
      <c r="M151" s="16"/>
      <c r="N151" s="18"/>
      <c r="O151" s="18"/>
      <c r="P151" s="17" t="str">
        <f aca="false">IF(A151="","",IF(OR(D151="ITAC",D151="IPE",D151="ITDM"),"Y","N"))</f>
        <v/>
      </c>
      <c r="Q151" s="16"/>
      <c r="R151" s="16"/>
      <c r="S151" s="18"/>
      <c r="T151" s="18"/>
      <c r="U151" s="16"/>
      <c r="V151" s="16"/>
      <c r="W151" s="16"/>
      <c r="X151" s="17" t="str">
        <f aca="false">IF(A151="","",IF(OR(B151="",F151="",G151="",H151=""),"Control, test type, attributes, procedure needed",IF(COUNTIF(Ref_CTRL!$A$2:$A$201,B151)=0,"CTRL-ID not in W05",IF(LEFT(A151,LEN(B151)+1)&lt;&gt;B151&amp;"-","TEST-ID must start with CTRL-ID-",IF(AND(F151="TOE",I151=""),"Population EV-ID needed (TOE)",IF(AND(I151&lt;&gt;"",J151&lt;&gt;"Pass"),"HOLD: population IPE not Pass",IF(AND(F151="TOE",M151=""),"Sample size needed",IF(AND(F151="TOE",OR(M151&lt;IFERROR(INDEX(Sample_Guide!$C$5:$C$20,MATCH(E151,Sample_Guide!$A$5:$A$20,0)),0),M151&gt;IFERROR(INDEX(Sample_Guide!$D$5:$D$20,MATCH(E151,Sample_Guide!$A$5:$A$20,0)),9999))),"Sample outside guide: justify",IF(OR(Q151="",R151=""),"Tester and reviewer needed",IF(Q151=R151,"Tester and reviewer must differ",IF(AND(W151&lt;&gt;"",W151&lt;&gt;"Not started",V151&lt;&gt;"Reviewed",V151&lt;&gt;"Closed"),"Result only after review","OK")))))))))))</f>
        <v/>
      </c>
    </row>
    <row r="152" customFormat="false" ht="15" hidden="false" customHeight="false" outlineLevel="0" collapsed="false">
      <c r="A152" s="16"/>
      <c r="B152" s="16"/>
      <c r="C152" s="17" t="str">
        <f aca="false">IFERROR(INDEX(Ref_CTRL!$B$2:$B$201,MATCH(B152,Ref_CTRL!$A$2:$A$201,0)),"")</f>
        <v/>
      </c>
      <c r="D152" s="17" t="str">
        <f aca="false">IFERROR(INDEX(Ref_CTRL!$C$2:$C$201,MATCH(B152,Ref_CTRL!$A$2:$A$201,0)),"")</f>
        <v/>
      </c>
      <c r="E152" s="17" t="str">
        <f aca="false">IFERROR(INDEX(Ref_CTRL!$D$2:$D$201,MATCH(B152,Ref_CTRL!$A$2:$A$201,0)),"")</f>
        <v/>
      </c>
      <c r="F152" s="16"/>
      <c r="G152" s="16"/>
      <c r="H152" s="16"/>
      <c r="I152" s="16"/>
      <c r="J152" s="17" t="str">
        <f aca="false">IFERROR(INDEX(Ref_EV!$B$2:$B$201,MATCH(I152,Ref_EV!$A$2:$A$201,0)),"")</f>
        <v/>
      </c>
      <c r="K152" s="17" t="str">
        <f aca="false">IFERROR(INDEX(Ref_EV!$C$2:$C$201,MATCH(I152,Ref_EV!$A$2:$A$201,0)),"")</f>
        <v/>
      </c>
      <c r="L152" s="17" t="str">
        <f aca="false">IF(F152="TOD","1",IFERROR(INDEX(Sample_Guide!$C$5:$C$20,MATCH(E152,Sample_Guide!$A$5:$A$20,0))&amp;"–"&amp;INDEX(Sample_Guide!$D$5:$D$20,MATCH(E152,Sample_Guide!$A$5:$A$20,0)),""))</f>
        <v/>
      </c>
      <c r="M152" s="16"/>
      <c r="N152" s="18"/>
      <c r="O152" s="18"/>
      <c r="P152" s="17" t="str">
        <f aca="false">IF(A152="","",IF(OR(D152="ITAC",D152="IPE",D152="ITDM"),"Y","N"))</f>
        <v/>
      </c>
      <c r="Q152" s="16"/>
      <c r="R152" s="16"/>
      <c r="S152" s="18"/>
      <c r="T152" s="18"/>
      <c r="U152" s="16"/>
      <c r="V152" s="16"/>
      <c r="W152" s="16"/>
      <c r="X152" s="17" t="str">
        <f aca="false">IF(A152="","",IF(OR(B152="",F152="",G152="",H152=""),"Control, test type, attributes, procedure needed",IF(COUNTIF(Ref_CTRL!$A$2:$A$201,B152)=0,"CTRL-ID not in W05",IF(LEFT(A152,LEN(B152)+1)&lt;&gt;B152&amp;"-","TEST-ID must start with CTRL-ID-",IF(AND(F152="TOE",I152=""),"Population EV-ID needed (TOE)",IF(AND(I152&lt;&gt;"",J152&lt;&gt;"Pass"),"HOLD: population IPE not Pass",IF(AND(F152="TOE",M152=""),"Sample size needed",IF(AND(F152="TOE",OR(M152&lt;IFERROR(INDEX(Sample_Guide!$C$5:$C$20,MATCH(E152,Sample_Guide!$A$5:$A$20,0)),0),M152&gt;IFERROR(INDEX(Sample_Guide!$D$5:$D$20,MATCH(E152,Sample_Guide!$A$5:$A$20,0)),9999))),"Sample outside guide: justify",IF(OR(Q152="",R152=""),"Tester and reviewer needed",IF(Q152=R152,"Tester and reviewer must differ",IF(AND(W152&lt;&gt;"",W152&lt;&gt;"Not started",V152&lt;&gt;"Reviewed",V152&lt;&gt;"Closed"),"Result only after review","OK")))))))))))</f>
        <v/>
      </c>
    </row>
    <row r="153" customFormat="false" ht="15" hidden="false" customHeight="false" outlineLevel="0" collapsed="false">
      <c r="A153" s="16"/>
      <c r="B153" s="16"/>
      <c r="C153" s="17" t="str">
        <f aca="false">IFERROR(INDEX(Ref_CTRL!$B$2:$B$201,MATCH(B153,Ref_CTRL!$A$2:$A$201,0)),"")</f>
        <v/>
      </c>
      <c r="D153" s="17" t="str">
        <f aca="false">IFERROR(INDEX(Ref_CTRL!$C$2:$C$201,MATCH(B153,Ref_CTRL!$A$2:$A$201,0)),"")</f>
        <v/>
      </c>
      <c r="E153" s="17" t="str">
        <f aca="false">IFERROR(INDEX(Ref_CTRL!$D$2:$D$201,MATCH(B153,Ref_CTRL!$A$2:$A$201,0)),"")</f>
        <v/>
      </c>
      <c r="F153" s="16"/>
      <c r="G153" s="16"/>
      <c r="H153" s="16"/>
      <c r="I153" s="16"/>
      <c r="J153" s="17" t="str">
        <f aca="false">IFERROR(INDEX(Ref_EV!$B$2:$B$201,MATCH(I153,Ref_EV!$A$2:$A$201,0)),"")</f>
        <v/>
      </c>
      <c r="K153" s="17" t="str">
        <f aca="false">IFERROR(INDEX(Ref_EV!$C$2:$C$201,MATCH(I153,Ref_EV!$A$2:$A$201,0)),"")</f>
        <v/>
      </c>
      <c r="L153" s="17" t="str">
        <f aca="false">IF(F153="TOD","1",IFERROR(INDEX(Sample_Guide!$C$5:$C$20,MATCH(E153,Sample_Guide!$A$5:$A$20,0))&amp;"–"&amp;INDEX(Sample_Guide!$D$5:$D$20,MATCH(E153,Sample_Guide!$A$5:$A$20,0)),""))</f>
        <v/>
      </c>
      <c r="M153" s="16"/>
      <c r="N153" s="18"/>
      <c r="O153" s="18"/>
      <c r="P153" s="17" t="str">
        <f aca="false">IF(A153="","",IF(OR(D153="ITAC",D153="IPE",D153="ITDM"),"Y","N"))</f>
        <v/>
      </c>
      <c r="Q153" s="16"/>
      <c r="R153" s="16"/>
      <c r="S153" s="18"/>
      <c r="T153" s="18"/>
      <c r="U153" s="16"/>
      <c r="V153" s="16"/>
      <c r="W153" s="16"/>
      <c r="X153" s="17" t="str">
        <f aca="false">IF(A153="","",IF(OR(B153="",F153="",G153="",H153=""),"Control, test type, attributes, procedure needed",IF(COUNTIF(Ref_CTRL!$A$2:$A$201,B153)=0,"CTRL-ID not in W05",IF(LEFT(A153,LEN(B153)+1)&lt;&gt;B153&amp;"-","TEST-ID must start with CTRL-ID-",IF(AND(F153="TOE",I153=""),"Population EV-ID needed (TOE)",IF(AND(I153&lt;&gt;"",J153&lt;&gt;"Pass"),"HOLD: population IPE not Pass",IF(AND(F153="TOE",M153=""),"Sample size needed",IF(AND(F153="TOE",OR(M153&lt;IFERROR(INDEX(Sample_Guide!$C$5:$C$20,MATCH(E153,Sample_Guide!$A$5:$A$20,0)),0),M153&gt;IFERROR(INDEX(Sample_Guide!$D$5:$D$20,MATCH(E153,Sample_Guide!$A$5:$A$20,0)),9999))),"Sample outside guide: justify",IF(OR(Q153="",R153=""),"Tester and reviewer needed",IF(Q153=R153,"Tester and reviewer must differ",IF(AND(W153&lt;&gt;"",W153&lt;&gt;"Not started",V153&lt;&gt;"Reviewed",V153&lt;&gt;"Closed"),"Result only after review","OK")))))))))))</f>
        <v/>
      </c>
    </row>
    <row r="154" customFormat="false" ht="15" hidden="false" customHeight="false" outlineLevel="0" collapsed="false">
      <c r="A154" s="16"/>
      <c r="B154" s="16"/>
      <c r="C154" s="17" t="str">
        <f aca="false">IFERROR(INDEX(Ref_CTRL!$B$2:$B$201,MATCH(B154,Ref_CTRL!$A$2:$A$201,0)),"")</f>
        <v/>
      </c>
      <c r="D154" s="17" t="str">
        <f aca="false">IFERROR(INDEX(Ref_CTRL!$C$2:$C$201,MATCH(B154,Ref_CTRL!$A$2:$A$201,0)),"")</f>
        <v/>
      </c>
      <c r="E154" s="17" t="str">
        <f aca="false">IFERROR(INDEX(Ref_CTRL!$D$2:$D$201,MATCH(B154,Ref_CTRL!$A$2:$A$201,0)),"")</f>
        <v/>
      </c>
      <c r="F154" s="16"/>
      <c r="G154" s="16"/>
      <c r="H154" s="16"/>
      <c r="I154" s="16"/>
      <c r="J154" s="17" t="str">
        <f aca="false">IFERROR(INDEX(Ref_EV!$B$2:$B$201,MATCH(I154,Ref_EV!$A$2:$A$201,0)),"")</f>
        <v/>
      </c>
      <c r="K154" s="17" t="str">
        <f aca="false">IFERROR(INDEX(Ref_EV!$C$2:$C$201,MATCH(I154,Ref_EV!$A$2:$A$201,0)),"")</f>
        <v/>
      </c>
      <c r="L154" s="17" t="str">
        <f aca="false">IF(F154="TOD","1",IFERROR(INDEX(Sample_Guide!$C$5:$C$20,MATCH(E154,Sample_Guide!$A$5:$A$20,0))&amp;"–"&amp;INDEX(Sample_Guide!$D$5:$D$20,MATCH(E154,Sample_Guide!$A$5:$A$20,0)),""))</f>
        <v/>
      </c>
      <c r="M154" s="16"/>
      <c r="N154" s="18"/>
      <c r="O154" s="18"/>
      <c r="P154" s="17" t="str">
        <f aca="false">IF(A154="","",IF(OR(D154="ITAC",D154="IPE",D154="ITDM"),"Y","N"))</f>
        <v/>
      </c>
      <c r="Q154" s="16"/>
      <c r="R154" s="16"/>
      <c r="S154" s="18"/>
      <c r="T154" s="18"/>
      <c r="U154" s="16"/>
      <c r="V154" s="16"/>
      <c r="W154" s="16"/>
      <c r="X154" s="17" t="str">
        <f aca="false">IF(A154="","",IF(OR(B154="",F154="",G154="",H154=""),"Control, test type, attributes, procedure needed",IF(COUNTIF(Ref_CTRL!$A$2:$A$201,B154)=0,"CTRL-ID not in W05",IF(LEFT(A154,LEN(B154)+1)&lt;&gt;B154&amp;"-","TEST-ID must start with CTRL-ID-",IF(AND(F154="TOE",I154=""),"Population EV-ID needed (TOE)",IF(AND(I154&lt;&gt;"",J154&lt;&gt;"Pass"),"HOLD: population IPE not Pass",IF(AND(F154="TOE",M154=""),"Sample size needed",IF(AND(F154="TOE",OR(M154&lt;IFERROR(INDEX(Sample_Guide!$C$5:$C$20,MATCH(E154,Sample_Guide!$A$5:$A$20,0)),0),M154&gt;IFERROR(INDEX(Sample_Guide!$D$5:$D$20,MATCH(E154,Sample_Guide!$A$5:$A$20,0)),9999))),"Sample outside guide: justify",IF(OR(Q154="",R154=""),"Tester and reviewer needed",IF(Q154=R154,"Tester and reviewer must differ",IF(AND(W154&lt;&gt;"",W154&lt;&gt;"Not started",V154&lt;&gt;"Reviewed",V154&lt;&gt;"Closed"),"Result only after review","OK")))))))))))</f>
        <v/>
      </c>
    </row>
    <row r="155" customFormat="false" ht="15" hidden="false" customHeight="false" outlineLevel="0" collapsed="false">
      <c r="A155" s="16"/>
      <c r="B155" s="16"/>
      <c r="C155" s="17" t="str">
        <f aca="false">IFERROR(INDEX(Ref_CTRL!$B$2:$B$201,MATCH(B155,Ref_CTRL!$A$2:$A$201,0)),"")</f>
        <v/>
      </c>
      <c r="D155" s="17" t="str">
        <f aca="false">IFERROR(INDEX(Ref_CTRL!$C$2:$C$201,MATCH(B155,Ref_CTRL!$A$2:$A$201,0)),"")</f>
        <v/>
      </c>
      <c r="E155" s="17" t="str">
        <f aca="false">IFERROR(INDEX(Ref_CTRL!$D$2:$D$201,MATCH(B155,Ref_CTRL!$A$2:$A$201,0)),"")</f>
        <v/>
      </c>
      <c r="F155" s="16"/>
      <c r="G155" s="16"/>
      <c r="H155" s="16"/>
      <c r="I155" s="16"/>
      <c r="J155" s="17" t="str">
        <f aca="false">IFERROR(INDEX(Ref_EV!$B$2:$B$201,MATCH(I155,Ref_EV!$A$2:$A$201,0)),"")</f>
        <v/>
      </c>
      <c r="K155" s="17" t="str">
        <f aca="false">IFERROR(INDEX(Ref_EV!$C$2:$C$201,MATCH(I155,Ref_EV!$A$2:$A$201,0)),"")</f>
        <v/>
      </c>
      <c r="L155" s="17" t="str">
        <f aca="false">IF(F155="TOD","1",IFERROR(INDEX(Sample_Guide!$C$5:$C$20,MATCH(E155,Sample_Guide!$A$5:$A$20,0))&amp;"–"&amp;INDEX(Sample_Guide!$D$5:$D$20,MATCH(E155,Sample_Guide!$A$5:$A$20,0)),""))</f>
        <v/>
      </c>
      <c r="M155" s="16"/>
      <c r="N155" s="18"/>
      <c r="O155" s="18"/>
      <c r="P155" s="17" t="str">
        <f aca="false">IF(A155="","",IF(OR(D155="ITAC",D155="IPE",D155="ITDM"),"Y","N"))</f>
        <v/>
      </c>
      <c r="Q155" s="16"/>
      <c r="R155" s="16"/>
      <c r="S155" s="18"/>
      <c r="T155" s="18"/>
      <c r="U155" s="16"/>
      <c r="V155" s="16"/>
      <c r="W155" s="16"/>
      <c r="X155" s="17" t="str">
        <f aca="false">IF(A155="","",IF(OR(B155="",F155="",G155="",H155=""),"Control, test type, attributes, procedure needed",IF(COUNTIF(Ref_CTRL!$A$2:$A$201,B155)=0,"CTRL-ID not in W05",IF(LEFT(A155,LEN(B155)+1)&lt;&gt;B155&amp;"-","TEST-ID must start with CTRL-ID-",IF(AND(F155="TOE",I155=""),"Population EV-ID needed (TOE)",IF(AND(I155&lt;&gt;"",J155&lt;&gt;"Pass"),"HOLD: population IPE not Pass",IF(AND(F155="TOE",M155=""),"Sample size needed",IF(AND(F155="TOE",OR(M155&lt;IFERROR(INDEX(Sample_Guide!$C$5:$C$20,MATCH(E155,Sample_Guide!$A$5:$A$20,0)),0),M155&gt;IFERROR(INDEX(Sample_Guide!$D$5:$D$20,MATCH(E155,Sample_Guide!$A$5:$A$20,0)),9999))),"Sample outside guide: justify",IF(OR(Q155="",R155=""),"Tester and reviewer needed",IF(Q155=R155,"Tester and reviewer must differ",IF(AND(W155&lt;&gt;"",W155&lt;&gt;"Not started",V155&lt;&gt;"Reviewed",V155&lt;&gt;"Closed"),"Result only after review","OK")))))))))))</f>
        <v/>
      </c>
    </row>
    <row r="156" customFormat="false" ht="15" hidden="false" customHeight="false" outlineLevel="0" collapsed="false">
      <c r="A156" s="16"/>
      <c r="B156" s="16"/>
      <c r="C156" s="17" t="str">
        <f aca="false">IFERROR(INDEX(Ref_CTRL!$B$2:$B$201,MATCH(B156,Ref_CTRL!$A$2:$A$201,0)),"")</f>
        <v/>
      </c>
      <c r="D156" s="17" t="str">
        <f aca="false">IFERROR(INDEX(Ref_CTRL!$C$2:$C$201,MATCH(B156,Ref_CTRL!$A$2:$A$201,0)),"")</f>
        <v/>
      </c>
      <c r="E156" s="17" t="str">
        <f aca="false">IFERROR(INDEX(Ref_CTRL!$D$2:$D$201,MATCH(B156,Ref_CTRL!$A$2:$A$201,0)),"")</f>
        <v/>
      </c>
      <c r="F156" s="16"/>
      <c r="G156" s="16"/>
      <c r="H156" s="16"/>
      <c r="I156" s="16"/>
      <c r="J156" s="17" t="str">
        <f aca="false">IFERROR(INDEX(Ref_EV!$B$2:$B$201,MATCH(I156,Ref_EV!$A$2:$A$201,0)),"")</f>
        <v/>
      </c>
      <c r="K156" s="17" t="str">
        <f aca="false">IFERROR(INDEX(Ref_EV!$C$2:$C$201,MATCH(I156,Ref_EV!$A$2:$A$201,0)),"")</f>
        <v/>
      </c>
      <c r="L156" s="17" t="str">
        <f aca="false">IF(F156="TOD","1",IFERROR(INDEX(Sample_Guide!$C$5:$C$20,MATCH(E156,Sample_Guide!$A$5:$A$20,0))&amp;"–"&amp;INDEX(Sample_Guide!$D$5:$D$20,MATCH(E156,Sample_Guide!$A$5:$A$20,0)),""))</f>
        <v/>
      </c>
      <c r="M156" s="16"/>
      <c r="N156" s="18"/>
      <c r="O156" s="18"/>
      <c r="P156" s="17" t="str">
        <f aca="false">IF(A156="","",IF(OR(D156="ITAC",D156="IPE",D156="ITDM"),"Y","N"))</f>
        <v/>
      </c>
      <c r="Q156" s="16"/>
      <c r="R156" s="16"/>
      <c r="S156" s="18"/>
      <c r="T156" s="18"/>
      <c r="U156" s="16"/>
      <c r="V156" s="16"/>
      <c r="W156" s="16"/>
      <c r="X156" s="17" t="str">
        <f aca="false">IF(A156="","",IF(OR(B156="",F156="",G156="",H156=""),"Control, test type, attributes, procedure needed",IF(COUNTIF(Ref_CTRL!$A$2:$A$201,B156)=0,"CTRL-ID not in W05",IF(LEFT(A156,LEN(B156)+1)&lt;&gt;B156&amp;"-","TEST-ID must start with CTRL-ID-",IF(AND(F156="TOE",I156=""),"Population EV-ID needed (TOE)",IF(AND(I156&lt;&gt;"",J156&lt;&gt;"Pass"),"HOLD: population IPE not Pass",IF(AND(F156="TOE",M156=""),"Sample size needed",IF(AND(F156="TOE",OR(M156&lt;IFERROR(INDEX(Sample_Guide!$C$5:$C$20,MATCH(E156,Sample_Guide!$A$5:$A$20,0)),0),M156&gt;IFERROR(INDEX(Sample_Guide!$D$5:$D$20,MATCH(E156,Sample_Guide!$A$5:$A$20,0)),9999))),"Sample outside guide: justify",IF(OR(Q156="",R156=""),"Tester and reviewer needed",IF(Q156=R156,"Tester and reviewer must differ",IF(AND(W156&lt;&gt;"",W156&lt;&gt;"Not started",V156&lt;&gt;"Reviewed",V156&lt;&gt;"Closed"),"Result only after review","OK")))))))))))</f>
        <v/>
      </c>
    </row>
    <row r="157" customFormat="false" ht="15" hidden="false" customHeight="false" outlineLevel="0" collapsed="false">
      <c r="A157" s="16"/>
      <c r="B157" s="16"/>
      <c r="C157" s="17" t="str">
        <f aca="false">IFERROR(INDEX(Ref_CTRL!$B$2:$B$201,MATCH(B157,Ref_CTRL!$A$2:$A$201,0)),"")</f>
        <v/>
      </c>
      <c r="D157" s="17" t="str">
        <f aca="false">IFERROR(INDEX(Ref_CTRL!$C$2:$C$201,MATCH(B157,Ref_CTRL!$A$2:$A$201,0)),"")</f>
        <v/>
      </c>
      <c r="E157" s="17" t="str">
        <f aca="false">IFERROR(INDEX(Ref_CTRL!$D$2:$D$201,MATCH(B157,Ref_CTRL!$A$2:$A$201,0)),"")</f>
        <v/>
      </c>
      <c r="F157" s="16"/>
      <c r="G157" s="16"/>
      <c r="H157" s="16"/>
      <c r="I157" s="16"/>
      <c r="J157" s="17" t="str">
        <f aca="false">IFERROR(INDEX(Ref_EV!$B$2:$B$201,MATCH(I157,Ref_EV!$A$2:$A$201,0)),"")</f>
        <v/>
      </c>
      <c r="K157" s="17" t="str">
        <f aca="false">IFERROR(INDEX(Ref_EV!$C$2:$C$201,MATCH(I157,Ref_EV!$A$2:$A$201,0)),"")</f>
        <v/>
      </c>
      <c r="L157" s="17" t="str">
        <f aca="false">IF(F157="TOD","1",IFERROR(INDEX(Sample_Guide!$C$5:$C$20,MATCH(E157,Sample_Guide!$A$5:$A$20,0))&amp;"–"&amp;INDEX(Sample_Guide!$D$5:$D$20,MATCH(E157,Sample_Guide!$A$5:$A$20,0)),""))</f>
        <v/>
      </c>
      <c r="M157" s="16"/>
      <c r="N157" s="18"/>
      <c r="O157" s="18"/>
      <c r="P157" s="17" t="str">
        <f aca="false">IF(A157="","",IF(OR(D157="ITAC",D157="IPE",D157="ITDM"),"Y","N"))</f>
        <v/>
      </c>
      <c r="Q157" s="16"/>
      <c r="R157" s="16"/>
      <c r="S157" s="18"/>
      <c r="T157" s="18"/>
      <c r="U157" s="16"/>
      <c r="V157" s="16"/>
      <c r="W157" s="16"/>
      <c r="X157" s="17" t="str">
        <f aca="false">IF(A157="","",IF(OR(B157="",F157="",G157="",H157=""),"Control, test type, attributes, procedure needed",IF(COUNTIF(Ref_CTRL!$A$2:$A$201,B157)=0,"CTRL-ID not in W05",IF(LEFT(A157,LEN(B157)+1)&lt;&gt;B157&amp;"-","TEST-ID must start with CTRL-ID-",IF(AND(F157="TOE",I157=""),"Population EV-ID needed (TOE)",IF(AND(I157&lt;&gt;"",J157&lt;&gt;"Pass"),"HOLD: population IPE not Pass",IF(AND(F157="TOE",M157=""),"Sample size needed",IF(AND(F157="TOE",OR(M157&lt;IFERROR(INDEX(Sample_Guide!$C$5:$C$20,MATCH(E157,Sample_Guide!$A$5:$A$20,0)),0),M157&gt;IFERROR(INDEX(Sample_Guide!$D$5:$D$20,MATCH(E157,Sample_Guide!$A$5:$A$20,0)),9999))),"Sample outside guide: justify",IF(OR(Q157="",R157=""),"Tester and reviewer needed",IF(Q157=R157,"Tester and reviewer must differ",IF(AND(W157&lt;&gt;"",W157&lt;&gt;"Not started",V157&lt;&gt;"Reviewed",V157&lt;&gt;"Closed"),"Result only after review","OK")))))))))))</f>
        <v/>
      </c>
    </row>
    <row r="158" customFormat="false" ht="15" hidden="false" customHeight="false" outlineLevel="0" collapsed="false">
      <c r="A158" s="16"/>
      <c r="B158" s="16"/>
      <c r="C158" s="17" t="str">
        <f aca="false">IFERROR(INDEX(Ref_CTRL!$B$2:$B$201,MATCH(B158,Ref_CTRL!$A$2:$A$201,0)),"")</f>
        <v/>
      </c>
      <c r="D158" s="17" t="str">
        <f aca="false">IFERROR(INDEX(Ref_CTRL!$C$2:$C$201,MATCH(B158,Ref_CTRL!$A$2:$A$201,0)),"")</f>
        <v/>
      </c>
      <c r="E158" s="17" t="str">
        <f aca="false">IFERROR(INDEX(Ref_CTRL!$D$2:$D$201,MATCH(B158,Ref_CTRL!$A$2:$A$201,0)),"")</f>
        <v/>
      </c>
      <c r="F158" s="16"/>
      <c r="G158" s="16"/>
      <c r="H158" s="16"/>
      <c r="I158" s="16"/>
      <c r="J158" s="17" t="str">
        <f aca="false">IFERROR(INDEX(Ref_EV!$B$2:$B$201,MATCH(I158,Ref_EV!$A$2:$A$201,0)),"")</f>
        <v/>
      </c>
      <c r="K158" s="17" t="str">
        <f aca="false">IFERROR(INDEX(Ref_EV!$C$2:$C$201,MATCH(I158,Ref_EV!$A$2:$A$201,0)),"")</f>
        <v/>
      </c>
      <c r="L158" s="17" t="str">
        <f aca="false">IF(F158="TOD","1",IFERROR(INDEX(Sample_Guide!$C$5:$C$20,MATCH(E158,Sample_Guide!$A$5:$A$20,0))&amp;"–"&amp;INDEX(Sample_Guide!$D$5:$D$20,MATCH(E158,Sample_Guide!$A$5:$A$20,0)),""))</f>
        <v/>
      </c>
      <c r="M158" s="16"/>
      <c r="N158" s="18"/>
      <c r="O158" s="18"/>
      <c r="P158" s="17" t="str">
        <f aca="false">IF(A158="","",IF(OR(D158="ITAC",D158="IPE",D158="ITDM"),"Y","N"))</f>
        <v/>
      </c>
      <c r="Q158" s="16"/>
      <c r="R158" s="16"/>
      <c r="S158" s="18"/>
      <c r="T158" s="18"/>
      <c r="U158" s="16"/>
      <c r="V158" s="16"/>
      <c r="W158" s="16"/>
      <c r="X158" s="17" t="str">
        <f aca="false">IF(A158="","",IF(OR(B158="",F158="",G158="",H158=""),"Control, test type, attributes, procedure needed",IF(COUNTIF(Ref_CTRL!$A$2:$A$201,B158)=0,"CTRL-ID not in W05",IF(LEFT(A158,LEN(B158)+1)&lt;&gt;B158&amp;"-","TEST-ID must start with CTRL-ID-",IF(AND(F158="TOE",I158=""),"Population EV-ID needed (TOE)",IF(AND(I158&lt;&gt;"",J158&lt;&gt;"Pass"),"HOLD: population IPE not Pass",IF(AND(F158="TOE",M158=""),"Sample size needed",IF(AND(F158="TOE",OR(M158&lt;IFERROR(INDEX(Sample_Guide!$C$5:$C$20,MATCH(E158,Sample_Guide!$A$5:$A$20,0)),0),M158&gt;IFERROR(INDEX(Sample_Guide!$D$5:$D$20,MATCH(E158,Sample_Guide!$A$5:$A$20,0)),9999))),"Sample outside guide: justify",IF(OR(Q158="",R158=""),"Tester and reviewer needed",IF(Q158=R158,"Tester and reviewer must differ",IF(AND(W158&lt;&gt;"",W158&lt;&gt;"Not started",V158&lt;&gt;"Reviewed",V158&lt;&gt;"Closed"),"Result only after review","OK")))))))))))</f>
        <v/>
      </c>
    </row>
    <row r="159" customFormat="false" ht="15" hidden="false" customHeight="false" outlineLevel="0" collapsed="false">
      <c r="A159" s="16"/>
      <c r="B159" s="16"/>
      <c r="C159" s="17" t="str">
        <f aca="false">IFERROR(INDEX(Ref_CTRL!$B$2:$B$201,MATCH(B159,Ref_CTRL!$A$2:$A$201,0)),"")</f>
        <v/>
      </c>
      <c r="D159" s="17" t="str">
        <f aca="false">IFERROR(INDEX(Ref_CTRL!$C$2:$C$201,MATCH(B159,Ref_CTRL!$A$2:$A$201,0)),"")</f>
        <v/>
      </c>
      <c r="E159" s="17" t="str">
        <f aca="false">IFERROR(INDEX(Ref_CTRL!$D$2:$D$201,MATCH(B159,Ref_CTRL!$A$2:$A$201,0)),"")</f>
        <v/>
      </c>
      <c r="F159" s="16"/>
      <c r="G159" s="16"/>
      <c r="H159" s="16"/>
      <c r="I159" s="16"/>
      <c r="J159" s="17" t="str">
        <f aca="false">IFERROR(INDEX(Ref_EV!$B$2:$B$201,MATCH(I159,Ref_EV!$A$2:$A$201,0)),"")</f>
        <v/>
      </c>
      <c r="K159" s="17" t="str">
        <f aca="false">IFERROR(INDEX(Ref_EV!$C$2:$C$201,MATCH(I159,Ref_EV!$A$2:$A$201,0)),"")</f>
        <v/>
      </c>
      <c r="L159" s="17" t="str">
        <f aca="false">IF(F159="TOD","1",IFERROR(INDEX(Sample_Guide!$C$5:$C$20,MATCH(E159,Sample_Guide!$A$5:$A$20,0))&amp;"–"&amp;INDEX(Sample_Guide!$D$5:$D$20,MATCH(E159,Sample_Guide!$A$5:$A$20,0)),""))</f>
        <v/>
      </c>
      <c r="M159" s="16"/>
      <c r="N159" s="18"/>
      <c r="O159" s="18"/>
      <c r="P159" s="17" t="str">
        <f aca="false">IF(A159="","",IF(OR(D159="ITAC",D159="IPE",D159="ITDM"),"Y","N"))</f>
        <v/>
      </c>
      <c r="Q159" s="16"/>
      <c r="R159" s="16"/>
      <c r="S159" s="18"/>
      <c r="T159" s="18"/>
      <c r="U159" s="16"/>
      <c r="V159" s="16"/>
      <c r="W159" s="16"/>
      <c r="X159" s="17" t="str">
        <f aca="false">IF(A159="","",IF(OR(B159="",F159="",G159="",H159=""),"Control, test type, attributes, procedure needed",IF(COUNTIF(Ref_CTRL!$A$2:$A$201,B159)=0,"CTRL-ID not in W05",IF(LEFT(A159,LEN(B159)+1)&lt;&gt;B159&amp;"-","TEST-ID must start with CTRL-ID-",IF(AND(F159="TOE",I159=""),"Population EV-ID needed (TOE)",IF(AND(I159&lt;&gt;"",J159&lt;&gt;"Pass"),"HOLD: population IPE not Pass",IF(AND(F159="TOE",M159=""),"Sample size needed",IF(AND(F159="TOE",OR(M159&lt;IFERROR(INDEX(Sample_Guide!$C$5:$C$20,MATCH(E159,Sample_Guide!$A$5:$A$20,0)),0),M159&gt;IFERROR(INDEX(Sample_Guide!$D$5:$D$20,MATCH(E159,Sample_Guide!$A$5:$A$20,0)),9999))),"Sample outside guide: justify",IF(OR(Q159="",R159=""),"Tester and reviewer needed",IF(Q159=R159,"Tester and reviewer must differ",IF(AND(W159&lt;&gt;"",W159&lt;&gt;"Not started",V159&lt;&gt;"Reviewed",V159&lt;&gt;"Closed"),"Result only after review","OK")))))))))))</f>
        <v/>
      </c>
    </row>
    <row r="160" customFormat="false" ht="15" hidden="false" customHeight="false" outlineLevel="0" collapsed="false">
      <c r="A160" s="16"/>
      <c r="B160" s="16"/>
      <c r="C160" s="17" t="str">
        <f aca="false">IFERROR(INDEX(Ref_CTRL!$B$2:$B$201,MATCH(B160,Ref_CTRL!$A$2:$A$201,0)),"")</f>
        <v/>
      </c>
      <c r="D160" s="17" t="str">
        <f aca="false">IFERROR(INDEX(Ref_CTRL!$C$2:$C$201,MATCH(B160,Ref_CTRL!$A$2:$A$201,0)),"")</f>
        <v/>
      </c>
      <c r="E160" s="17" t="str">
        <f aca="false">IFERROR(INDEX(Ref_CTRL!$D$2:$D$201,MATCH(B160,Ref_CTRL!$A$2:$A$201,0)),"")</f>
        <v/>
      </c>
      <c r="F160" s="16"/>
      <c r="G160" s="16"/>
      <c r="H160" s="16"/>
      <c r="I160" s="16"/>
      <c r="J160" s="17" t="str">
        <f aca="false">IFERROR(INDEX(Ref_EV!$B$2:$B$201,MATCH(I160,Ref_EV!$A$2:$A$201,0)),"")</f>
        <v/>
      </c>
      <c r="K160" s="17" t="str">
        <f aca="false">IFERROR(INDEX(Ref_EV!$C$2:$C$201,MATCH(I160,Ref_EV!$A$2:$A$201,0)),"")</f>
        <v/>
      </c>
      <c r="L160" s="17" t="str">
        <f aca="false">IF(F160="TOD","1",IFERROR(INDEX(Sample_Guide!$C$5:$C$20,MATCH(E160,Sample_Guide!$A$5:$A$20,0))&amp;"–"&amp;INDEX(Sample_Guide!$D$5:$D$20,MATCH(E160,Sample_Guide!$A$5:$A$20,0)),""))</f>
        <v/>
      </c>
      <c r="M160" s="16"/>
      <c r="N160" s="18"/>
      <c r="O160" s="18"/>
      <c r="P160" s="17" t="str">
        <f aca="false">IF(A160="","",IF(OR(D160="ITAC",D160="IPE",D160="ITDM"),"Y","N"))</f>
        <v/>
      </c>
      <c r="Q160" s="16"/>
      <c r="R160" s="16"/>
      <c r="S160" s="18"/>
      <c r="T160" s="18"/>
      <c r="U160" s="16"/>
      <c r="V160" s="16"/>
      <c r="W160" s="16"/>
      <c r="X160" s="17" t="str">
        <f aca="false">IF(A160="","",IF(OR(B160="",F160="",G160="",H160=""),"Control, test type, attributes, procedure needed",IF(COUNTIF(Ref_CTRL!$A$2:$A$201,B160)=0,"CTRL-ID not in W05",IF(LEFT(A160,LEN(B160)+1)&lt;&gt;B160&amp;"-","TEST-ID must start with CTRL-ID-",IF(AND(F160="TOE",I160=""),"Population EV-ID needed (TOE)",IF(AND(I160&lt;&gt;"",J160&lt;&gt;"Pass"),"HOLD: population IPE not Pass",IF(AND(F160="TOE",M160=""),"Sample size needed",IF(AND(F160="TOE",OR(M160&lt;IFERROR(INDEX(Sample_Guide!$C$5:$C$20,MATCH(E160,Sample_Guide!$A$5:$A$20,0)),0),M160&gt;IFERROR(INDEX(Sample_Guide!$D$5:$D$20,MATCH(E160,Sample_Guide!$A$5:$A$20,0)),9999))),"Sample outside guide: justify",IF(OR(Q160="",R160=""),"Tester and reviewer needed",IF(Q160=R160,"Tester and reviewer must differ",IF(AND(W160&lt;&gt;"",W160&lt;&gt;"Not started",V160&lt;&gt;"Reviewed",V160&lt;&gt;"Closed"),"Result only after review","OK")))))))))))</f>
        <v/>
      </c>
    </row>
    <row r="161" customFormat="false" ht="15" hidden="false" customHeight="false" outlineLevel="0" collapsed="false">
      <c r="A161" s="16"/>
      <c r="B161" s="16"/>
      <c r="C161" s="17" t="str">
        <f aca="false">IFERROR(INDEX(Ref_CTRL!$B$2:$B$201,MATCH(B161,Ref_CTRL!$A$2:$A$201,0)),"")</f>
        <v/>
      </c>
      <c r="D161" s="17" t="str">
        <f aca="false">IFERROR(INDEX(Ref_CTRL!$C$2:$C$201,MATCH(B161,Ref_CTRL!$A$2:$A$201,0)),"")</f>
        <v/>
      </c>
      <c r="E161" s="17" t="str">
        <f aca="false">IFERROR(INDEX(Ref_CTRL!$D$2:$D$201,MATCH(B161,Ref_CTRL!$A$2:$A$201,0)),"")</f>
        <v/>
      </c>
      <c r="F161" s="16"/>
      <c r="G161" s="16"/>
      <c r="H161" s="16"/>
      <c r="I161" s="16"/>
      <c r="J161" s="17" t="str">
        <f aca="false">IFERROR(INDEX(Ref_EV!$B$2:$B$201,MATCH(I161,Ref_EV!$A$2:$A$201,0)),"")</f>
        <v/>
      </c>
      <c r="K161" s="17" t="str">
        <f aca="false">IFERROR(INDEX(Ref_EV!$C$2:$C$201,MATCH(I161,Ref_EV!$A$2:$A$201,0)),"")</f>
        <v/>
      </c>
      <c r="L161" s="17" t="str">
        <f aca="false">IF(F161="TOD","1",IFERROR(INDEX(Sample_Guide!$C$5:$C$20,MATCH(E161,Sample_Guide!$A$5:$A$20,0))&amp;"–"&amp;INDEX(Sample_Guide!$D$5:$D$20,MATCH(E161,Sample_Guide!$A$5:$A$20,0)),""))</f>
        <v/>
      </c>
      <c r="M161" s="16"/>
      <c r="N161" s="18"/>
      <c r="O161" s="18"/>
      <c r="P161" s="17" t="str">
        <f aca="false">IF(A161="","",IF(OR(D161="ITAC",D161="IPE",D161="ITDM"),"Y","N"))</f>
        <v/>
      </c>
      <c r="Q161" s="16"/>
      <c r="R161" s="16"/>
      <c r="S161" s="18"/>
      <c r="T161" s="18"/>
      <c r="U161" s="16"/>
      <c r="V161" s="16"/>
      <c r="W161" s="16"/>
      <c r="X161" s="17" t="str">
        <f aca="false">IF(A161="","",IF(OR(B161="",F161="",G161="",H161=""),"Control, test type, attributes, procedure needed",IF(COUNTIF(Ref_CTRL!$A$2:$A$201,B161)=0,"CTRL-ID not in W05",IF(LEFT(A161,LEN(B161)+1)&lt;&gt;B161&amp;"-","TEST-ID must start with CTRL-ID-",IF(AND(F161="TOE",I161=""),"Population EV-ID needed (TOE)",IF(AND(I161&lt;&gt;"",J161&lt;&gt;"Pass"),"HOLD: population IPE not Pass",IF(AND(F161="TOE",M161=""),"Sample size needed",IF(AND(F161="TOE",OR(M161&lt;IFERROR(INDEX(Sample_Guide!$C$5:$C$20,MATCH(E161,Sample_Guide!$A$5:$A$20,0)),0),M161&gt;IFERROR(INDEX(Sample_Guide!$D$5:$D$20,MATCH(E161,Sample_Guide!$A$5:$A$20,0)),9999))),"Sample outside guide: justify",IF(OR(Q161="",R161=""),"Tester and reviewer needed",IF(Q161=R161,"Tester and reviewer must differ",IF(AND(W161&lt;&gt;"",W161&lt;&gt;"Not started",V161&lt;&gt;"Reviewed",V161&lt;&gt;"Closed"),"Result only after review","OK")))))))))))</f>
        <v/>
      </c>
    </row>
    <row r="162" customFormat="false" ht="15" hidden="false" customHeight="false" outlineLevel="0" collapsed="false">
      <c r="A162" s="16"/>
      <c r="B162" s="16"/>
      <c r="C162" s="17" t="str">
        <f aca="false">IFERROR(INDEX(Ref_CTRL!$B$2:$B$201,MATCH(B162,Ref_CTRL!$A$2:$A$201,0)),"")</f>
        <v/>
      </c>
      <c r="D162" s="17" t="str">
        <f aca="false">IFERROR(INDEX(Ref_CTRL!$C$2:$C$201,MATCH(B162,Ref_CTRL!$A$2:$A$201,0)),"")</f>
        <v/>
      </c>
      <c r="E162" s="17" t="str">
        <f aca="false">IFERROR(INDEX(Ref_CTRL!$D$2:$D$201,MATCH(B162,Ref_CTRL!$A$2:$A$201,0)),"")</f>
        <v/>
      </c>
      <c r="F162" s="16"/>
      <c r="G162" s="16"/>
      <c r="H162" s="16"/>
      <c r="I162" s="16"/>
      <c r="J162" s="17" t="str">
        <f aca="false">IFERROR(INDEX(Ref_EV!$B$2:$B$201,MATCH(I162,Ref_EV!$A$2:$A$201,0)),"")</f>
        <v/>
      </c>
      <c r="K162" s="17" t="str">
        <f aca="false">IFERROR(INDEX(Ref_EV!$C$2:$C$201,MATCH(I162,Ref_EV!$A$2:$A$201,0)),"")</f>
        <v/>
      </c>
      <c r="L162" s="17" t="str">
        <f aca="false">IF(F162="TOD","1",IFERROR(INDEX(Sample_Guide!$C$5:$C$20,MATCH(E162,Sample_Guide!$A$5:$A$20,0))&amp;"–"&amp;INDEX(Sample_Guide!$D$5:$D$20,MATCH(E162,Sample_Guide!$A$5:$A$20,0)),""))</f>
        <v/>
      </c>
      <c r="M162" s="16"/>
      <c r="N162" s="18"/>
      <c r="O162" s="18"/>
      <c r="P162" s="17" t="str">
        <f aca="false">IF(A162="","",IF(OR(D162="ITAC",D162="IPE",D162="ITDM"),"Y","N"))</f>
        <v/>
      </c>
      <c r="Q162" s="16"/>
      <c r="R162" s="16"/>
      <c r="S162" s="18"/>
      <c r="T162" s="18"/>
      <c r="U162" s="16"/>
      <c r="V162" s="16"/>
      <c r="W162" s="16"/>
      <c r="X162" s="17" t="str">
        <f aca="false">IF(A162="","",IF(OR(B162="",F162="",G162="",H162=""),"Control, test type, attributes, procedure needed",IF(COUNTIF(Ref_CTRL!$A$2:$A$201,B162)=0,"CTRL-ID not in W05",IF(LEFT(A162,LEN(B162)+1)&lt;&gt;B162&amp;"-","TEST-ID must start with CTRL-ID-",IF(AND(F162="TOE",I162=""),"Population EV-ID needed (TOE)",IF(AND(I162&lt;&gt;"",J162&lt;&gt;"Pass"),"HOLD: population IPE not Pass",IF(AND(F162="TOE",M162=""),"Sample size needed",IF(AND(F162="TOE",OR(M162&lt;IFERROR(INDEX(Sample_Guide!$C$5:$C$20,MATCH(E162,Sample_Guide!$A$5:$A$20,0)),0),M162&gt;IFERROR(INDEX(Sample_Guide!$D$5:$D$20,MATCH(E162,Sample_Guide!$A$5:$A$20,0)),9999))),"Sample outside guide: justify",IF(OR(Q162="",R162=""),"Tester and reviewer needed",IF(Q162=R162,"Tester and reviewer must differ",IF(AND(W162&lt;&gt;"",W162&lt;&gt;"Not started",V162&lt;&gt;"Reviewed",V162&lt;&gt;"Closed"),"Result only after review","OK")))))))))))</f>
        <v/>
      </c>
    </row>
    <row r="163" customFormat="false" ht="15" hidden="false" customHeight="false" outlineLevel="0" collapsed="false">
      <c r="A163" s="16"/>
      <c r="B163" s="16"/>
      <c r="C163" s="17" t="str">
        <f aca="false">IFERROR(INDEX(Ref_CTRL!$B$2:$B$201,MATCH(B163,Ref_CTRL!$A$2:$A$201,0)),"")</f>
        <v/>
      </c>
      <c r="D163" s="17" t="str">
        <f aca="false">IFERROR(INDEX(Ref_CTRL!$C$2:$C$201,MATCH(B163,Ref_CTRL!$A$2:$A$201,0)),"")</f>
        <v/>
      </c>
      <c r="E163" s="17" t="str">
        <f aca="false">IFERROR(INDEX(Ref_CTRL!$D$2:$D$201,MATCH(B163,Ref_CTRL!$A$2:$A$201,0)),"")</f>
        <v/>
      </c>
      <c r="F163" s="16"/>
      <c r="G163" s="16"/>
      <c r="H163" s="16"/>
      <c r="I163" s="16"/>
      <c r="J163" s="17" t="str">
        <f aca="false">IFERROR(INDEX(Ref_EV!$B$2:$B$201,MATCH(I163,Ref_EV!$A$2:$A$201,0)),"")</f>
        <v/>
      </c>
      <c r="K163" s="17" t="str">
        <f aca="false">IFERROR(INDEX(Ref_EV!$C$2:$C$201,MATCH(I163,Ref_EV!$A$2:$A$201,0)),"")</f>
        <v/>
      </c>
      <c r="L163" s="17" t="str">
        <f aca="false">IF(F163="TOD","1",IFERROR(INDEX(Sample_Guide!$C$5:$C$20,MATCH(E163,Sample_Guide!$A$5:$A$20,0))&amp;"–"&amp;INDEX(Sample_Guide!$D$5:$D$20,MATCH(E163,Sample_Guide!$A$5:$A$20,0)),""))</f>
        <v/>
      </c>
      <c r="M163" s="16"/>
      <c r="N163" s="18"/>
      <c r="O163" s="18"/>
      <c r="P163" s="17" t="str">
        <f aca="false">IF(A163="","",IF(OR(D163="ITAC",D163="IPE",D163="ITDM"),"Y","N"))</f>
        <v/>
      </c>
      <c r="Q163" s="16"/>
      <c r="R163" s="16"/>
      <c r="S163" s="18"/>
      <c r="T163" s="18"/>
      <c r="U163" s="16"/>
      <c r="V163" s="16"/>
      <c r="W163" s="16"/>
      <c r="X163" s="17" t="str">
        <f aca="false">IF(A163="","",IF(OR(B163="",F163="",G163="",H163=""),"Control, test type, attributes, procedure needed",IF(COUNTIF(Ref_CTRL!$A$2:$A$201,B163)=0,"CTRL-ID not in W05",IF(LEFT(A163,LEN(B163)+1)&lt;&gt;B163&amp;"-","TEST-ID must start with CTRL-ID-",IF(AND(F163="TOE",I163=""),"Population EV-ID needed (TOE)",IF(AND(I163&lt;&gt;"",J163&lt;&gt;"Pass"),"HOLD: population IPE not Pass",IF(AND(F163="TOE",M163=""),"Sample size needed",IF(AND(F163="TOE",OR(M163&lt;IFERROR(INDEX(Sample_Guide!$C$5:$C$20,MATCH(E163,Sample_Guide!$A$5:$A$20,0)),0),M163&gt;IFERROR(INDEX(Sample_Guide!$D$5:$D$20,MATCH(E163,Sample_Guide!$A$5:$A$20,0)),9999))),"Sample outside guide: justify",IF(OR(Q163="",R163=""),"Tester and reviewer needed",IF(Q163=R163,"Tester and reviewer must differ",IF(AND(W163&lt;&gt;"",W163&lt;&gt;"Not started",V163&lt;&gt;"Reviewed",V163&lt;&gt;"Closed"),"Result only after review","OK")))))))))))</f>
        <v/>
      </c>
    </row>
    <row r="164" customFormat="false" ht="15" hidden="false" customHeight="false" outlineLevel="0" collapsed="false">
      <c r="A164" s="16"/>
      <c r="B164" s="16"/>
      <c r="C164" s="17" t="str">
        <f aca="false">IFERROR(INDEX(Ref_CTRL!$B$2:$B$201,MATCH(B164,Ref_CTRL!$A$2:$A$201,0)),"")</f>
        <v/>
      </c>
      <c r="D164" s="17" t="str">
        <f aca="false">IFERROR(INDEX(Ref_CTRL!$C$2:$C$201,MATCH(B164,Ref_CTRL!$A$2:$A$201,0)),"")</f>
        <v/>
      </c>
      <c r="E164" s="17" t="str">
        <f aca="false">IFERROR(INDEX(Ref_CTRL!$D$2:$D$201,MATCH(B164,Ref_CTRL!$A$2:$A$201,0)),"")</f>
        <v/>
      </c>
      <c r="F164" s="16"/>
      <c r="G164" s="16"/>
      <c r="H164" s="16"/>
      <c r="I164" s="16"/>
      <c r="J164" s="17" t="str">
        <f aca="false">IFERROR(INDEX(Ref_EV!$B$2:$B$201,MATCH(I164,Ref_EV!$A$2:$A$201,0)),"")</f>
        <v/>
      </c>
      <c r="K164" s="17" t="str">
        <f aca="false">IFERROR(INDEX(Ref_EV!$C$2:$C$201,MATCH(I164,Ref_EV!$A$2:$A$201,0)),"")</f>
        <v/>
      </c>
      <c r="L164" s="17" t="str">
        <f aca="false">IF(F164="TOD","1",IFERROR(INDEX(Sample_Guide!$C$5:$C$20,MATCH(E164,Sample_Guide!$A$5:$A$20,0))&amp;"–"&amp;INDEX(Sample_Guide!$D$5:$D$20,MATCH(E164,Sample_Guide!$A$5:$A$20,0)),""))</f>
        <v/>
      </c>
      <c r="M164" s="16"/>
      <c r="N164" s="18"/>
      <c r="O164" s="18"/>
      <c r="P164" s="17" t="str">
        <f aca="false">IF(A164="","",IF(OR(D164="ITAC",D164="IPE",D164="ITDM"),"Y","N"))</f>
        <v/>
      </c>
      <c r="Q164" s="16"/>
      <c r="R164" s="16"/>
      <c r="S164" s="18"/>
      <c r="T164" s="18"/>
      <c r="U164" s="16"/>
      <c r="V164" s="16"/>
      <c r="W164" s="16"/>
      <c r="X164" s="17" t="str">
        <f aca="false">IF(A164="","",IF(OR(B164="",F164="",G164="",H164=""),"Control, test type, attributes, procedure needed",IF(COUNTIF(Ref_CTRL!$A$2:$A$201,B164)=0,"CTRL-ID not in W05",IF(LEFT(A164,LEN(B164)+1)&lt;&gt;B164&amp;"-","TEST-ID must start with CTRL-ID-",IF(AND(F164="TOE",I164=""),"Population EV-ID needed (TOE)",IF(AND(I164&lt;&gt;"",J164&lt;&gt;"Pass"),"HOLD: population IPE not Pass",IF(AND(F164="TOE",M164=""),"Sample size needed",IF(AND(F164="TOE",OR(M164&lt;IFERROR(INDEX(Sample_Guide!$C$5:$C$20,MATCH(E164,Sample_Guide!$A$5:$A$20,0)),0),M164&gt;IFERROR(INDEX(Sample_Guide!$D$5:$D$20,MATCH(E164,Sample_Guide!$A$5:$A$20,0)),9999))),"Sample outside guide: justify",IF(OR(Q164="",R164=""),"Tester and reviewer needed",IF(Q164=R164,"Tester and reviewer must differ",IF(AND(W164&lt;&gt;"",W164&lt;&gt;"Not started",V164&lt;&gt;"Reviewed",V164&lt;&gt;"Closed"),"Result only after review","OK")))))))))))</f>
        <v/>
      </c>
    </row>
    <row r="165" customFormat="false" ht="15" hidden="false" customHeight="false" outlineLevel="0" collapsed="false">
      <c r="A165" s="16"/>
      <c r="B165" s="16"/>
      <c r="C165" s="17" t="str">
        <f aca="false">IFERROR(INDEX(Ref_CTRL!$B$2:$B$201,MATCH(B165,Ref_CTRL!$A$2:$A$201,0)),"")</f>
        <v/>
      </c>
      <c r="D165" s="17" t="str">
        <f aca="false">IFERROR(INDEX(Ref_CTRL!$C$2:$C$201,MATCH(B165,Ref_CTRL!$A$2:$A$201,0)),"")</f>
        <v/>
      </c>
      <c r="E165" s="17" t="str">
        <f aca="false">IFERROR(INDEX(Ref_CTRL!$D$2:$D$201,MATCH(B165,Ref_CTRL!$A$2:$A$201,0)),"")</f>
        <v/>
      </c>
      <c r="F165" s="16"/>
      <c r="G165" s="16"/>
      <c r="H165" s="16"/>
      <c r="I165" s="16"/>
      <c r="J165" s="17" t="str">
        <f aca="false">IFERROR(INDEX(Ref_EV!$B$2:$B$201,MATCH(I165,Ref_EV!$A$2:$A$201,0)),"")</f>
        <v/>
      </c>
      <c r="K165" s="17" t="str">
        <f aca="false">IFERROR(INDEX(Ref_EV!$C$2:$C$201,MATCH(I165,Ref_EV!$A$2:$A$201,0)),"")</f>
        <v/>
      </c>
      <c r="L165" s="17" t="str">
        <f aca="false">IF(F165="TOD","1",IFERROR(INDEX(Sample_Guide!$C$5:$C$20,MATCH(E165,Sample_Guide!$A$5:$A$20,0))&amp;"–"&amp;INDEX(Sample_Guide!$D$5:$D$20,MATCH(E165,Sample_Guide!$A$5:$A$20,0)),""))</f>
        <v/>
      </c>
      <c r="M165" s="16"/>
      <c r="N165" s="18"/>
      <c r="O165" s="18"/>
      <c r="P165" s="17" t="str">
        <f aca="false">IF(A165="","",IF(OR(D165="ITAC",D165="IPE",D165="ITDM"),"Y","N"))</f>
        <v/>
      </c>
      <c r="Q165" s="16"/>
      <c r="R165" s="16"/>
      <c r="S165" s="18"/>
      <c r="T165" s="18"/>
      <c r="U165" s="16"/>
      <c r="V165" s="16"/>
      <c r="W165" s="16"/>
      <c r="X165" s="17" t="str">
        <f aca="false">IF(A165="","",IF(OR(B165="",F165="",G165="",H165=""),"Control, test type, attributes, procedure needed",IF(COUNTIF(Ref_CTRL!$A$2:$A$201,B165)=0,"CTRL-ID not in W05",IF(LEFT(A165,LEN(B165)+1)&lt;&gt;B165&amp;"-","TEST-ID must start with CTRL-ID-",IF(AND(F165="TOE",I165=""),"Population EV-ID needed (TOE)",IF(AND(I165&lt;&gt;"",J165&lt;&gt;"Pass"),"HOLD: population IPE not Pass",IF(AND(F165="TOE",M165=""),"Sample size needed",IF(AND(F165="TOE",OR(M165&lt;IFERROR(INDEX(Sample_Guide!$C$5:$C$20,MATCH(E165,Sample_Guide!$A$5:$A$20,0)),0),M165&gt;IFERROR(INDEX(Sample_Guide!$D$5:$D$20,MATCH(E165,Sample_Guide!$A$5:$A$20,0)),9999))),"Sample outside guide: justify",IF(OR(Q165="",R165=""),"Tester and reviewer needed",IF(Q165=R165,"Tester and reviewer must differ",IF(AND(W165&lt;&gt;"",W165&lt;&gt;"Not started",V165&lt;&gt;"Reviewed",V165&lt;&gt;"Closed"),"Result only after review","OK")))))))))))</f>
        <v/>
      </c>
    </row>
    <row r="166" customFormat="false" ht="15" hidden="false" customHeight="false" outlineLevel="0" collapsed="false">
      <c r="A166" s="16"/>
      <c r="B166" s="16"/>
      <c r="C166" s="17" t="str">
        <f aca="false">IFERROR(INDEX(Ref_CTRL!$B$2:$B$201,MATCH(B166,Ref_CTRL!$A$2:$A$201,0)),"")</f>
        <v/>
      </c>
      <c r="D166" s="17" t="str">
        <f aca="false">IFERROR(INDEX(Ref_CTRL!$C$2:$C$201,MATCH(B166,Ref_CTRL!$A$2:$A$201,0)),"")</f>
        <v/>
      </c>
      <c r="E166" s="17" t="str">
        <f aca="false">IFERROR(INDEX(Ref_CTRL!$D$2:$D$201,MATCH(B166,Ref_CTRL!$A$2:$A$201,0)),"")</f>
        <v/>
      </c>
      <c r="F166" s="16"/>
      <c r="G166" s="16"/>
      <c r="H166" s="16"/>
      <c r="I166" s="16"/>
      <c r="J166" s="17" t="str">
        <f aca="false">IFERROR(INDEX(Ref_EV!$B$2:$B$201,MATCH(I166,Ref_EV!$A$2:$A$201,0)),"")</f>
        <v/>
      </c>
      <c r="K166" s="17" t="str">
        <f aca="false">IFERROR(INDEX(Ref_EV!$C$2:$C$201,MATCH(I166,Ref_EV!$A$2:$A$201,0)),"")</f>
        <v/>
      </c>
      <c r="L166" s="17" t="str">
        <f aca="false">IF(F166="TOD","1",IFERROR(INDEX(Sample_Guide!$C$5:$C$20,MATCH(E166,Sample_Guide!$A$5:$A$20,0))&amp;"–"&amp;INDEX(Sample_Guide!$D$5:$D$20,MATCH(E166,Sample_Guide!$A$5:$A$20,0)),""))</f>
        <v/>
      </c>
      <c r="M166" s="16"/>
      <c r="N166" s="18"/>
      <c r="O166" s="18"/>
      <c r="P166" s="17" t="str">
        <f aca="false">IF(A166="","",IF(OR(D166="ITAC",D166="IPE",D166="ITDM"),"Y","N"))</f>
        <v/>
      </c>
      <c r="Q166" s="16"/>
      <c r="R166" s="16"/>
      <c r="S166" s="18"/>
      <c r="T166" s="18"/>
      <c r="U166" s="16"/>
      <c r="V166" s="16"/>
      <c r="W166" s="16"/>
      <c r="X166" s="17" t="str">
        <f aca="false">IF(A166="","",IF(OR(B166="",F166="",G166="",H166=""),"Control, test type, attributes, procedure needed",IF(COUNTIF(Ref_CTRL!$A$2:$A$201,B166)=0,"CTRL-ID not in W05",IF(LEFT(A166,LEN(B166)+1)&lt;&gt;B166&amp;"-","TEST-ID must start with CTRL-ID-",IF(AND(F166="TOE",I166=""),"Population EV-ID needed (TOE)",IF(AND(I166&lt;&gt;"",J166&lt;&gt;"Pass"),"HOLD: population IPE not Pass",IF(AND(F166="TOE",M166=""),"Sample size needed",IF(AND(F166="TOE",OR(M166&lt;IFERROR(INDEX(Sample_Guide!$C$5:$C$20,MATCH(E166,Sample_Guide!$A$5:$A$20,0)),0),M166&gt;IFERROR(INDEX(Sample_Guide!$D$5:$D$20,MATCH(E166,Sample_Guide!$A$5:$A$20,0)),9999))),"Sample outside guide: justify",IF(OR(Q166="",R166=""),"Tester and reviewer needed",IF(Q166=R166,"Tester and reviewer must differ",IF(AND(W166&lt;&gt;"",W166&lt;&gt;"Not started",V166&lt;&gt;"Reviewed",V166&lt;&gt;"Closed"),"Result only after review","OK")))))))))))</f>
        <v/>
      </c>
    </row>
    <row r="167" customFormat="false" ht="15" hidden="false" customHeight="false" outlineLevel="0" collapsed="false">
      <c r="A167" s="16"/>
      <c r="B167" s="16"/>
      <c r="C167" s="17" t="str">
        <f aca="false">IFERROR(INDEX(Ref_CTRL!$B$2:$B$201,MATCH(B167,Ref_CTRL!$A$2:$A$201,0)),"")</f>
        <v/>
      </c>
      <c r="D167" s="17" t="str">
        <f aca="false">IFERROR(INDEX(Ref_CTRL!$C$2:$C$201,MATCH(B167,Ref_CTRL!$A$2:$A$201,0)),"")</f>
        <v/>
      </c>
      <c r="E167" s="17" t="str">
        <f aca="false">IFERROR(INDEX(Ref_CTRL!$D$2:$D$201,MATCH(B167,Ref_CTRL!$A$2:$A$201,0)),"")</f>
        <v/>
      </c>
      <c r="F167" s="16"/>
      <c r="G167" s="16"/>
      <c r="H167" s="16"/>
      <c r="I167" s="16"/>
      <c r="J167" s="17" t="str">
        <f aca="false">IFERROR(INDEX(Ref_EV!$B$2:$B$201,MATCH(I167,Ref_EV!$A$2:$A$201,0)),"")</f>
        <v/>
      </c>
      <c r="K167" s="17" t="str">
        <f aca="false">IFERROR(INDEX(Ref_EV!$C$2:$C$201,MATCH(I167,Ref_EV!$A$2:$A$201,0)),"")</f>
        <v/>
      </c>
      <c r="L167" s="17" t="str">
        <f aca="false">IF(F167="TOD","1",IFERROR(INDEX(Sample_Guide!$C$5:$C$20,MATCH(E167,Sample_Guide!$A$5:$A$20,0))&amp;"–"&amp;INDEX(Sample_Guide!$D$5:$D$20,MATCH(E167,Sample_Guide!$A$5:$A$20,0)),""))</f>
        <v/>
      </c>
      <c r="M167" s="16"/>
      <c r="N167" s="18"/>
      <c r="O167" s="18"/>
      <c r="P167" s="17" t="str">
        <f aca="false">IF(A167="","",IF(OR(D167="ITAC",D167="IPE",D167="ITDM"),"Y","N"))</f>
        <v/>
      </c>
      <c r="Q167" s="16"/>
      <c r="R167" s="16"/>
      <c r="S167" s="18"/>
      <c r="T167" s="18"/>
      <c r="U167" s="16"/>
      <c r="V167" s="16"/>
      <c r="W167" s="16"/>
      <c r="X167" s="17" t="str">
        <f aca="false">IF(A167="","",IF(OR(B167="",F167="",G167="",H167=""),"Control, test type, attributes, procedure needed",IF(COUNTIF(Ref_CTRL!$A$2:$A$201,B167)=0,"CTRL-ID not in W05",IF(LEFT(A167,LEN(B167)+1)&lt;&gt;B167&amp;"-","TEST-ID must start with CTRL-ID-",IF(AND(F167="TOE",I167=""),"Population EV-ID needed (TOE)",IF(AND(I167&lt;&gt;"",J167&lt;&gt;"Pass"),"HOLD: population IPE not Pass",IF(AND(F167="TOE",M167=""),"Sample size needed",IF(AND(F167="TOE",OR(M167&lt;IFERROR(INDEX(Sample_Guide!$C$5:$C$20,MATCH(E167,Sample_Guide!$A$5:$A$20,0)),0),M167&gt;IFERROR(INDEX(Sample_Guide!$D$5:$D$20,MATCH(E167,Sample_Guide!$A$5:$A$20,0)),9999))),"Sample outside guide: justify",IF(OR(Q167="",R167=""),"Tester and reviewer needed",IF(Q167=R167,"Tester and reviewer must differ",IF(AND(W167&lt;&gt;"",W167&lt;&gt;"Not started",V167&lt;&gt;"Reviewed",V167&lt;&gt;"Closed"),"Result only after review","OK")))))))))))</f>
        <v/>
      </c>
    </row>
    <row r="168" customFormat="false" ht="15" hidden="false" customHeight="false" outlineLevel="0" collapsed="false">
      <c r="A168" s="16"/>
      <c r="B168" s="16"/>
      <c r="C168" s="17" t="str">
        <f aca="false">IFERROR(INDEX(Ref_CTRL!$B$2:$B$201,MATCH(B168,Ref_CTRL!$A$2:$A$201,0)),"")</f>
        <v/>
      </c>
      <c r="D168" s="17" t="str">
        <f aca="false">IFERROR(INDEX(Ref_CTRL!$C$2:$C$201,MATCH(B168,Ref_CTRL!$A$2:$A$201,0)),"")</f>
        <v/>
      </c>
      <c r="E168" s="17" t="str">
        <f aca="false">IFERROR(INDEX(Ref_CTRL!$D$2:$D$201,MATCH(B168,Ref_CTRL!$A$2:$A$201,0)),"")</f>
        <v/>
      </c>
      <c r="F168" s="16"/>
      <c r="G168" s="16"/>
      <c r="H168" s="16"/>
      <c r="I168" s="16"/>
      <c r="J168" s="17" t="str">
        <f aca="false">IFERROR(INDEX(Ref_EV!$B$2:$B$201,MATCH(I168,Ref_EV!$A$2:$A$201,0)),"")</f>
        <v/>
      </c>
      <c r="K168" s="17" t="str">
        <f aca="false">IFERROR(INDEX(Ref_EV!$C$2:$C$201,MATCH(I168,Ref_EV!$A$2:$A$201,0)),"")</f>
        <v/>
      </c>
      <c r="L168" s="17" t="str">
        <f aca="false">IF(F168="TOD","1",IFERROR(INDEX(Sample_Guide!$C$5:$C$20,MATCH(E168,Sample_Guide!$A$5:$A$20,0))&amp;"–"&amp;INDEX(Sample_Guide!$D$5:$D$20,MATCH(E168,Sample_Guide!$A$5:$A$20,0)),""))</f>
        <v/>
      </c>
      <c r="M168" s="16"/>
      <c r="N168" s="18"/>
      <c r="O168" s="18"/>
      <c r="P168" s="17" t="str">
        <f aca="false">IF(A168="","",IF(OR(D168="ITAC",D168="IPE",D168="ITDM"),"Y","N"))</f>
        <v/>
      </c>
      <c r="Q168" s="16"/>
      <c r="R168" s="16"/>
      <c r="S168" s="18"/>
      <c r="T168" s="18"/>
      <c r="U168" s="16"/>
      <c r="V168" s="16"/>
      <c r="W168" s="16"/>
      <c r="X168" s="17" t="str">
        <f aca="false">IF(A168="","",IF(OR(B168="",F168="",G168="",H168=""),"Control, test type, attributes, procedure needed",IF(COUNTIF(Ref_CTRL!$A$2:$A$201,B168)=0,"CTRL-ID not in W05",IF(LEFT(A168,LEN(B168)+1)&lt;&gt;B168&amp;"-","TEST-ID must start with CTRL-ID-",IF(AND(F168="TOE",I168=""),"Population EV-ID needed (TOE)",IF(AND(I168&lt;&gt;"",J168&lt;&gt;"Pass"),"HOLD: population IPE not Pass",IF(AND(F168="TOE",M168=""),"Sample size needed",IF(AND(F168="TOE",OR(M168&lt;IFERROR(INDEX(Sample_Guide!$C$5:$C$20,MATCH(E168,Sample_Guide!$A$5:$A$20,0)),0),M168&gt;IFERROR(INDEX(Sample_Guide!$D$5:$D$20,MATCH(E168,Sample_Guide!$A$5:$A$20,0)),9999))),"Sample outside guide: justify",IF(OR(Q168="",R168=""),"Tester and reviewer needed",IF(Q168=R168,"Tester and reviewer must differ",IF(AND(W168&lt;&gt;"",W168&lt;&gt;"Not started",V168&lt;&gt;"Reviewed",V168&lt;&gt;"Closed"),"Result only after review","OK")))))))))))</f>
        <v/>
      </c>
    </row>
    <row r="169" customFormat="false" ht="15" hidden="false" customHeight="false" outlineLevel="0" collapsed="false">
      <c r="A169" s="16"/>
      <c r="B169" s="16"/>
      <c r="C169" s="17" t="str">
        <f aca="false">IFERROR(INDEX(Ref_CTRL!$B$2:$B$201,MATCH(B169,Ref_CTRL!$A$2:$A$201,0)),"")</f>
        <v/>
      </c>
      <c r="D169" s="17" t="str">
        <f aca="false">IFERROR(INDEX(Ref_CTRL!$C$2:$C$201,MATCH(B169,Ref_CTRL!$A$2:$A$201,0)),"")</f>
        <v/>
      </c>
      <c r="E169" s="17" t="str">
        <f aca="false">IFERROR(INDEX(Ref_CTRL!$D$2:$D$201,MATCH(B169,Ref_CTRL!$A$2:$A$201,0)),"")</f>
        <v/>
      </c>
      <c r="F169" s="16"/>
      <c r="G169" s="16"/>
      <c r="H169" s="16"/>
      <c r="I169" s="16"/>
      <c r="J169" s="17" t="str">
        <f aca="false">IFERROR(INDEX(Ref_EV!$B$2:$B$201,MATCH(I169,Ref_EV!$A$2:$A$201,0)),"")</f>
        <v/>
      </c>
      <c r="K169" s="17" t="str">
        <f aca="false">IFERROR(INDEX(Ref_EV!$C$2:$C$201,MATCH(I169,Ref_EV!$A$2:$A$201,0)),"")</f>
        <v/>
      </c>
      <c r="L169" s="17" t="str">
        <f aca="false">IF(F169="TOD","1",IFERROR(INDEX(Sample_Guide!$C$5:$C$20,MATCH(E169,Sample_Guide!$A$5:$A$20,0))&amp;"–"&amp;INDEX(Sample_Guide!$D$5:$D$20,MATCH(E169,Sample_Guide!$A$5:$A$20,0)),""))</f>
        <v/>
      </c>
      <c r="M169" s="16"/>
      <c r="N169" s="18"/>
      <c r="O169" s="18"/>
      <c r="P169" s="17" t="str">
        <f aca="false">IF(A169="","",IF(OR(D169="ITAC",D169="IPE",D169="ITDM"),"Y","N"))</f>
        <v/>
      </c>
      <c r="Q169" s="16"/>
      <c r="R169" s="16"/>
      <c r="S169" s="18"/>
      <c r="T169" s="18"/>
      <c r="U169" s="16"/>
      <c r="V169" s="16"/>
      <c r="W169" s="16"/>
      <c r="X169" s="17" t="str">
        <f aca="false">IF(A169="","",IF(OR(B169="",F169="",G169="",H169=""),"Control, test type, attributes, procedure needed",IF(COUNTIF(Ref_CTRL!$A$2:$A$201,B169)=0,"CTRL-ID not in W05",IF(LEFT(A169,LEN(B169)+1)&lt;&gt;B169&amp;"-","TEST-ID must start with CTRL-ID-",IF(AND(F169="TOE",I169=""),"Population EV-ID needed (TOE)",IF(AND(I169&lt;&gt;"",J169&lt;&gt;"Pass"),"HOLD: population IPE not Pass",IF(AND(F169="TOE",M169=""),"Sample size needed",IF(AND(F169="TOE",OR(M169&lt;IFERROR(INDEX(Sample_Guide!$C$5:$C$20,MATCH(E169,Sample_Guide!$A$5:$A$20,0)),0),M169&gt;IFERROR(INDEX(Sample_Guide!$D$5:$D$20,MATCH(E169,Sample_Guide!$A$5:$A$20,0)),9999))),"Sample outside guide: justify",IF(OR(Q169="",R169=""),"Tester and reviewer needed",IF(Q169=R169,"Tester and reviewer must differ",IF(AND(W169&lt;&gt;"",W169&lt;&gt;"Not started",V169&lt;&gt;"Reviewed",V169&lt;&gt;"Closed"),"Result only after review","OK")))))))))))</f>
        <v/>
      </c>
    </row>
    <row r="170" customFormat="false" ht="15" hidden="false" customHeight="false" outlineLevel="0" collapsed="false">
      <c r="A170" s="16"/>
      <c r="B170" s="16"/>
      <c r="C170" s="17" t="str">
        <f aca="false">IFERROR(INDEX(Ref_CTRL!$B$2:$B$201,MATCH(B170,Ref_CTRL!$A$2:$A$201,0)),"")</f>
        <v/>
      </c>
      <c r="D170" s="17" t="str">
        <f aca="false">IFERROR(INDEX(Ref_CTRL!$C$2:$C$201,MATCH(B170,Ref_CTRL!$A$2:$A$201,0)),"")</f>
        <v/>
      </c>
      <c r="E170" s="17" t="str">
        <f aca="false">IFERROR(INDEX(Ref_CTRL!$D$2:$D$201,MATCH(B170,Ref_CTRL!$A$2:$A$201,0)),"")</f>
        <v/>
      </c>
      <c r="F170" s="16"/>
      <c r="G170" s="16"/>
      <c r="H170" s="16"/>
      <c r="I170" s="16"/>
      <c r="J170" s="17" t="str">
        <f aca="false">IFERROR(INDEX(Ref_EV!$B$2:$B$201,MATCH(I170,Ref_EV!$A$2:$A$201,0)),"")</f>
        <v/>
      </c>
      <c r="K170" s="17" t="str">
        <f aca="false">IFERROR(INDEX(Ref_EV!$C$2:$C$201,MATCH(I170,Ref_EV!$A$2:$A$201,0)),"")</f>
        <v/>
      </c>
      <c r="L170" s="17" t="str">
        <f aca="false">IF(F170="TOD","1",IFERROR(INDEX(Sample_Guide!$C$5:$C$20,MATCH(E170,Sample_Guide!$A$5:$A$20,0))&amp;"–"&amp;INDEX(Sample_Guide!$D$5:$D$20,MATCH(E170,Sample_Guide!$A$5:$A$20,0)),""))</f>
        <v/>
      </c>
      <c r="M170" s="16"/>
      <c r="N170" s="18"/>
      <c r="O170" s="18"/>
      <c r="P170" s="17" t="str">
        <f aca="false">IF(A170="","",IF(OR(D170="ITAC",D170="IPE",D170="ITDM"),"Y","N"))</f>
        <v/>
      </c>
      <c r="Q170" s="16"/>
      <c r="R170" s="16"/>
      <c r="S170" s="18"/>
      <c r="T170" s="18"/>
      <c r="U170" s="16"/>
      <c r="V170" s="16"/>
      <c r="W170" s="16"/>
      <c r="X170" s="17" t="str">
        <f aca="false">IF(A170="","",IF(OR(B170="",F170="",G170="",H170=""),"Control, test type, attributes, procedure needed",IF(COUNTIF(Ref_CTRL!$A$2:$A$201,B170)=0,"CTRL-ID not in W05",IF(LEFT(A170,LEN(B170)+1)&lt;&gt;B170&amp;"-","TEST-ID must start with CTRL-ID-",IF(AND(F170="TOE",I170=""),"Population EV-ID needed (TOE)",IF(AND(I170&lt;&gt;"",J170&lt;&gt;"Pass"),"HOLD: population IPE not Pass",IF(AND(F170="TOE",M170=""),"Sample size needed",IF(AND(F170="TOE",OR(M170&lt;IFERROR(INDEX(Sample_Guide!$C$5:$C$20,MATCH(E170,Sample_Guide!$A$5:$A$20,0)),0),M170&gt;IFERROR(INDEX(Sample_Guide!$D$5:$D$20,MATCH(E170,Sample_Guide!$A$5:$A$20,0)),9999))),"Sample outside guide: justify",IF(OR(Q170="",R170=""),"Tester and reviewer needed",IF(Q170=R170,"Tester and reviewer must differ",IF(AND(W170&lt;&gt;"",W170&lt;&gt;"Not started",V170&lt;&gt;"Reviewed",V170&lt;&gt;"Closed"),"Result only after review","OK")))))))))))</f>
        <v/>
      </c>
    </row>
    <row r="171" customFormat="false" ht="15" hidden="false" customHeight="false" outlineLevel="0" collapsed="false">
      <c r="A171" s="16"/>
      <c r="B171" s="16"/>
      <c r="C171" s="17" t="str">
        <f aca="false">IFERROR(INDEX(Ref_CTRL!$B$2:$B$201,MATCH(B171,Ref_CTRL!$A$2:$A$201,0)),"")</f>
        <v/>
      </c>
      <c r="D171" s="17" t="str">
        <f aca="false">IFERROR(INDEX(Ref_CTRL!$C$2:$C$201,MATCH(B171,Ref_CTRL!$A$2:$A$201,0)),"")</f>
        <v/>
      </c>
      <c r="E171" s="17" t="str">
        <f aca="false">IFERROR(INDEX(Ref_CTRL!$D$2:$D$201,MATCH(B171,Ref_CTRL!$A$2:$A$201,0)),"")</f>
        <v/>
      </c>
      <c r="F171" s="16"/>
      <c r="G171" s="16"/>
      <c r="H171" s="16"/>
      <c r="I171" s="16"/>
      <c r="J171" s="17" t="str">
        <f aca="false">IFERROR(INDEX(Ref_EV!$B$2:$B$201,MATCH(I171,Ref_EV!$A$2:$A$201,0)),"")</f>
        <v/>
      </c>
      <c r="K171" s="17" t="str">
        <f aca="false">IFERROR(INDEX(Ref_EV!$C$2:$C$201,MATCH(I171,Ref_EV!$A$2:$A$201,0)),"")</f>
        <v/>
      </c>
      <c r="L171" s="17" t="str">
        <f aca="false">IF(F171="TOD","1",IFERROR(INDEX(Sample_Guide!$C$5:$C$20,MATCH(E171,Sample_Guide!$A$5:$A$20,0))&amp;"–"&amp;INDEX(Sample_Guide!$D$5:$D$20,MATCH(E171,Sample_Guide!$A$5:$A$20,0)),""))</f>
        <v/>
      </c>
      <c r="M171" s="16"/>
      <c r="N171" s="18"/>
      <c r="O171" s="18"/>
      <c r="P171" s="17" t="str">
        <f aca="false">IF(A171="","",IF(OR(D171="ITAC",D171="IPE",D171="ITDM"),"Y","N"))</f>
        <v/>
      </c>
      <c r="Q171" s="16"/>
      <c r="R171" s="16"/>
      <c r="S171" s="18"/>
      <c r="T171" s="18"/>
      <c r="U171" s="16"/>
      <c r="V171" s="16"/>
      <c r="W171" s="16"/>
      <c r="X171" s="17" t="str">
        <f aca="false">IF(A171="","",IF(OR(B171="",F171="",G171="",H171=""),"Control, test type, attributes, procedure needed",IF(COUNTIF(Ref_CTRL!$A$2:$A$201,B171)=0,"CTRL-ID not in W05",IF(LEFT(A171,LEN(B171)+1)&lt;&gt;B171&amp;"-","TEST-ID must start with CTRL-ID-",IF(AND(F171="TOE",I171=""),"Population EV-ID needed (TOE)",IF(AND(I171&lt;&gt;"",J171&lt;&gt;"Pass"),"HOLD: population IPE not Pass",IF(AND(F171="TOE",M171=""),"Sample size needed",IF(AND(F171="TOE",OR(M171&lt;IFERROR(INDEX(Sample_Guide!$C$5:$C$20,MATCH(E171,Sample_Guide!$A$5:$A$20,0)),0),M171&gt;IFERROR(INDEX(Sample_Guide!$D$5:$D$20,MATCH(E171,Sample_Guide!$A$5:$A$20,0)),9999))),"Sample outside guide: justify",IF(OR(Q171="",R171=""),"Tester and reviewer needed",IF(Q171=R171,"Tester and reviewer must differ",IF(AND(W171&lt;&gt;"",W171&lt;&gt;"Not started",V171&lt;&gt;"Reviewed",V171&lt;&gt;"Closed"),"Result only after review","OK")))))))))))</f>
        <v/>
      </c>
    </row>
    <row r="172" customFormat="false" ht="15" hidden="false" customHeight="false" outlineLevel="0" collapsed="false">
      <c r="A172" s="16"/>
      <c r="B172" s="16"/>
      <c r="C172" s="17" t="str">
        <f aca="false">IFERROR(INDEX(Ref_CTRL!$B$2:$B$201,MATCH(B172,Ref_CTRL!$A$2:$A$201,0)),"")</f>
        <v/>
      </c>
      <c r="D172" s="17" t="str">
        <f aca="false">IFERROR(INDEX(Ref_CTRL!$C$2:$C$201,MATCH(B172,Ref_CTRL!$A$2:$A$201,0)),"")</f>
        <v/>
      </c>
      <c r="E172" s="17" t="str">
        <f aca="false">IFERROR(INDEX(Ref_CTRL!$D$2:$D$201,MATCH(B172,Ref_CTRL!$A$2:$A$201,0)),"")</f>
        <v/>
      </c>
      <c r="F172" s="16"/>
      <c r="G172" s="16"/>
      <c r="H172" s="16"/>
      <c r="I172" s="16"/>
      <c r="J172" s="17" t="str">
        <f aca="false">IFERROR(INDEX(Ref_EV!$B$2:$B$201,MATCH(I172,Ref_EV!$A$2:$A$201,0)),"")</f>
        <v/>
      </c>
      <c r="K172" s="17" t="str">
        <f aca="false">IFERROR(INDEX(Ref_EV!$C$2:$C$201,MATCH(I172,Ref_EV!$A$2:$A$201,0)),"")</f>
        <v/>
      </c>
      <c r="L172" s="17" t="str">
        <f aca="false">IF(F172="TOD","1",IFERROR(INDEX(Sample_Guide!$C$5:$C$20,MATCH(E172,Sample_Guide!$A$5:$A$20,0))&amp;"–"&amp;INDEX(Sample_Guide!$D$5:$D$20,MATCH(E172,Sample_Guide!$A$5:$A$20,0)),""))</f>
        <v/>
      </c>
      <c r="M172" s="16"/>
      <c r="N172" s="18"/>
      <c r="O172" s="18"/>
      <c r="P172" s="17" t="str">
        <f aca="false">IF(A172="","",IF(OR(D172="ITAC",D172="IPE",D172="ITDM"),"Y","N"))</f>
        <v/>
      </c>
      <c r="Q172" s="16"/>
      <c r="R172" s="16"/>
      <c r="S172" s="18"/>
      <c r="T172" s="18"/>
      <c r="U172" s="16"/>
      <c r="V172" s="16"/>
      <c r="W172" s="16"/>
      <c r="X172" s="17" t="str">
        <f aca="false">IF(A172="","",IF(OR(B172="",F172="",G172="",H172=""),"Control, test type, attributes, procedure needed",IF(COUNTIF(Ref_CTRL!$A$2:$A$201,B172)=0,"CTRL-ID not in W05",IF(LEFT(A172,LEN(B172)+1)&lt;&gt;B172&amp;"-","TEST-ID must start with CTRL-ID-",IF(AND(F172="TOE",I172=""),"Population EV-ID needed (TOE)",IF(AND(I172&lt;&gt;"",J172&lt;&gt;"Pass"),"HOLD: population IPE not Pass",IF(AND(F172="TOE",M172=""),"Sample size needed",IF(AND(F172="TOE",OR(M172&lt;IFERROR(INDEX(Sample_Guide!$C$5:$C$20,MATCH(E172,Sample_Guide!$A$5:$A$20,0)),0),M172&gt;IFERROR(INDEX(Sample_Guide!$D$5:$D$20,MATCH(E172,Sample_Guide!$A$5:$A$20,0)),9999))),"Sample outside guide: justify",IF(OR(Q172="",R172=""),"Tester and reviewer needed",IF(Q172=R172,"Tester and reviewer must differ",IF(AND(W172&lt;&gt;"",W172&lt;&gt;"Not started",V172&lt;&gt;"Reviewed",V172&lt;&gt;"Closed"),"Result only after review","OK")))))))))))</f>
        <v/>
      </c>
    </row>
    <row r="173" customFormat="false" ht="15" hidden="false" customHeight="false" outlineLevel="0" collapsed="false">
      <c r="A173" s="16"/>
      <c r="B173" s="16"/>
      <c r="C173" s="17" t="str">
        <f aca="false">IFERROR(INDEX(Ref_CTRL!$B$2:$B$201,MATCH(B173,Ref_CTRL!$A$2:$A$201,0)),"")</f>
        <v/>
      </c>
      <c r="D173" s="17" t="str">
        <f aca="false">IFERROR(INDEX(Ref_CTRL!$C$2:$C$201,MATCH(B173,Ref_CTRL!$A$2:$A$201,0)),"")</f>
        <v/>
      </c>
      <c r="E173" s="17" t="str">
        <f aca="false">IFERROR(INDEX(Ref_CTRL!$D$2:$D$201,MATCH(B173,Ref_CTRL!$A$2:$A$201,0)),"")</f>
        <v/>
      </c>
      <c r="F173" s="16"/>
      <c r="G173" s="16"/>
      <c r="H173" s="16"/>
      <c r="I173" s="16"/>
      <c r="J173" s="17" t="str">
        <f aca="false">IFERROR(INDEX(Ref_EV!$B$2:$B$201,MATCH(I173,Ref_EV!$A$2:$A$201,0)),"")</f>
        <v/>
      </c>
      <c r="K173" s="17" t="str">
        <f aca="false">IFERROR(INDEX(Ref_EV!$C$2:$C$201,MATCH(I173,Ref_EV!$A$2:$A$201,0)),"")</f>
        <v/>
      </c>
      <c r="L173" s="17" t="str">
        <f aca="false">IF(F173="TOD","1",IFERROR(INDEX(Sample_Guide!$C$5:$C$20,MATCH(E173,Sample_Guide!$A$5:$A$20,0))&amp;"–"&amp;INDEX(Sample_Guide!$D$5:$D$20,MATCH(E173,Sample_Guide!$A$5:$A$20,0)),""))</f>
        <v/>
      </c>
      <c r="M173" s="16"/>
      <c r="N173" s="18"/>
      <c r="O173" s="18"/>
      <c r="P173" s="17" t="str">
        <f aca="false">IF(A173="","",IF(OR(D173="ITAC",D173="IPE",D173="ITDM"),"Y","N"))</f>
        <v/>
      </c>
      <c r="Q173" s="16"/>
      <c r="R173" s="16"/>
      <c r="S173" s="18"/>
      <c r="T173" s="18"/>
      <c r="U173" s="16"/>
      <c r="V173" s="16"/>
      <c r="W173" s="16"/>
      <c r="X173" s="17" t="str">
        <f aca="false">IF(A173="","",IF(OR(B173="",F173="",G173="",H173=""),"Control, test type, attributes, procedure needed",IF(COUNTIF(Ref_CTRL!$A$2:$A$201,B173)=0,"CTRL-ID not in W05",IF(LEFT(A173,LEN(B173)+1)&lt;&gt;B173&amp;"-","TEST-ID must start with CTRL-ID-",IF(AND(F173="TOE",I173=""),"Population EV-ID needed (TOE)",IF(AND(I173&lt;&gt;"",J173&lt;&gt;"Pass"),"HOLD: population IPE not Pass",IF(AND(F173="TOE",M173=""),"Sample size needed",IF(AND(F173="TOE",OR(M173&lt;IFERROR(INDEX(Sample_Guide!$C$5:$C$20,MATCH(E173,Sample_Guide!$A$5:$A$20,0)),0),M173&gt;IFERROR(INDEX(Sample_Guide!$D$5:$D$20,MATCH(E173,Sample_Guide!$A$5:$A$20,0)),9999))),"Sample outside guide: justify",IF(OR(Q173="",R173=""),"Tester and reviewer needed",IF(Q173=R173,"Tester and reviewer must differ",IF(AND(W173&lt;&gt;"",W173&lt;&gt;"Not started",V173&lt;&gt;"Reviewed",V173&lt;&gt;"Closed"),"Result only after review","OK")))))))))))</f>
        <v/>
      </c>
    </row>
    <row r="174" customFormat="false" ht="15" hidden="false" customHeight="false" outlineLevel="0" collapsed="false">
      <c r="A174" s="16"/>
      <c r="B174" s="16"/>
      <c r="C174" s="17" t="str">
        <f aca="false">IFERROR(INDEX(Ref_CTRL!$B$2:$B$201,MATCH(B174,Ref_CTRL!$A$2:$A$201,0)),"")</f>
        <v/>
      </c>
      <c r="D174" s="17" t="str">
        <f aca="false">IFERROR(INDEX(Ref_CTRL!$C$2:$C$201,MATCH(B174,Ref_CTRL!$A$2:$A$201,0)),"")</f>
        <v/>
      </c>
      <c r="E174" s="17" t="str">
        <f aca="false">IFERROR(INDEX(Ref_CTRL!$D$2:$D$201,MATCH(B174,Ref_CTRL!$A$2:$A$201,0)),"")</f>
        <v/>
      </c>
      <c r="F174" s="16"/>
      <c r="G174" s="16"/>
      <c r="H174" s="16"/>
      <c r="I174" s="16"/>
      <c r="J174" s="17" t="str">
        <f aca="false">IFERROR(INDEX(Ref_EV!$B$2:$B$201,MATCH(I174,Ref_EV!$A$2:$A$201,0)),"")</f>
        <v/>
      </c>
      <c r="K174" s="17" t="str">
        <f aca="false">IFERROR(INDEX(Ref_EV!$C$2:$C$201,MATCH(I174,Ref_EV!$A$2:$A$201,0)),"")</f>
        <v/>
      </c>
      <c r="L174" s="17" t="str">
        <f aca="false">IF(F174="TOD","1",IFERROR(INDEX(Sample_Guide!$C$5:$C$20,MATCH(E174,Sample_Guide!$A$5:$A$20,0))&amp;"–"&amp;INDEX(Sample_Guide!$D$5:$D$20,MATCH(E174,Sample_Guide!$A$5:$A$20,0)),""))</f>
        <v/>
      </c>
      <c r="M174" s="16"/>
      <c r="N174" s="18"/>
      <c r="O174" s="18"/>
      <c r="P174" s="17" t="str">
        <f aca="false">IF(A174="","",IF(OR(D174="ITAC",D174="IPE",D174="ITDM"),"Y","N"))</f>
        <v/>
      </c>
      <c r="Q174" s="16"/>
      <c r="R174" s="16"/>
      <c r="S174" s="18"/>
      <c r="T174" s="18"/>
      <c r="U174" s="16"/>
      <c r="V174" s="16"/>
      <c r="W174" s="16"/>
      <c r="X174" s="17" t="str">
        <f aca="false">IF(A174="","",IF(OR(B174="",F174="",G174="",H174=""),"Control, test type, attributes, procedure needed",IF(COUNTIF(Ref_CTRL!$A$2:$A$201,B174)=0,"CTRL-ID not in W05",IF(LEFT(A174,LEN(B174)+1)&lt;&gt;B174&amp;"-","TEST-ID must start with CTRL-ID-",IF(AND(F174="TOE",I174=""),"Population EV-ID needed (TOE)",IF(AND(I174&lt;&gt;"",J174&lt;&gt;"Pass"),"HOLD: population IPE not Pass",IF(AND(F174="TOE",M174=""),"Sample size needed",IF(AND(F174="TOE",OR(M174&lt;IFERROR(INDEX(Sample_Guide!$C$5:$C$20,MATCH(E174,Sample_Guide!$A$5:$A$20,0)),0),M174&gt;IFERROR(INDEX(Sample_Guide!$D$5:$D$20,MATCH(E174,Sample_Guide!$A$5:$A$20,0)),9999))),"Sample outside guide: justify",IF(OR(Q174="",R174=""),"Tester and reviewer needed",IF(Q174=R174,"Tester and reviewer must differ",IF(AND(W174&lt;&gt;"",W174&lt;&gt;"Not started",V174&lt;&gt;"Reviewed",V174&lt;&gt;"Closed"),"Result only after review","OK")))))))))))</f>
        <v/>
      </c>
    </row>
    <row r="175" customFormat="false" ht="15" hidden="false" customHeight="false" outlineLevel="0" collapsed="false">
      <c r="A175" s="16"/>
      <c r="B175" s="16"/>
      <c r="C175" s="17" t="str">
        <f aca="false">IFERROR(INDEX(Ref_CTRL!$B$2:$B$201,MATCH(B175,Ref_CTRL!$A$2:$A$201,0)),"")</f>
        <v/>
      </c>
      <c r="D175" s="17" t="str">
        <f aca="false">IFERROR(INDEX(Ref_CTRL!$C$2:$C$201,MATCH(B175,Ref_CTRL!$A$2:$A$201,0)),"")</f>
        <v/>
      </c>
      <c r="E175" s="17" t="str">
        <f aca="false">IFERROR(INDEX(Ref_CTRL!$D$2:$D$201,MATCH(B175,Ref_CTRL!$A$2:$A$201,0)),"")</f>
        <v/>
      </c>
      <c r="F175" s="16"/>
      <c r="G175" s="16"/>
      <c r="H175" s="16"/>
      <c r="I175" s="16"/>
      <c r="J175" s="17" t="str">
        <f aca="false">IFERROR(INDEX(Ref_EV!$B$2:$B$201,MATCH(I175,Ref_EV!$A$2:$A$201,0)),"")</f>
        <v/>
      </c>
      <c r="K175" s="17" t="str">
        <f aca="false">IFERROR(INDEX(Ref_EV!$C$2:$C$201,MATCH(I175,Ref_EV!$A$2:$A$201,0)),"")</f>
        <v/>
      </c>
      <c r="L175" s="17" t="str">
        <f aca="false">IF(F175="TOD","1",IFERROR(INDEX(Sample_Guide!$C$5:$C$20,MATCH(E175,Sample_Guide!$A$5:$A$20,0))&amp;"–"&amp;INDEX(Sample_Guide!$D$5:$D$20,MATCH(E175,Sample_Guide!$A$5:$A$20,0)),""))</f>
        <v/>
      </c>
      <c r="M175" s="16"/>
      <c r="N175" s="18"/>
      <c r="O175" s="18"/>
      <c r="P175" s="17" t="str">
        <f aca="false">IF(A175="","",IF(OR(D175="ITAC",D175="IPE",D175="ITDM"),"Y","N"))</f>
        <v/>
      </c>
      <c r="Q175" s="16"/>
      <c r="R175" s="16"/>
      <c r="S175" s="18"/>
      <c r="T175" s="18"/>
      <c r="U175" s="16"/>
      <c r="V175" s="16"/>
      <c r="W175" s="16"/>
      <c r="X175" s="17" t="str">
        <f aca="false">IF(A175="","",IF(OR(B175="",F175="",G175="",H175=""),"Control, test type, attributes, procedure needed",IF(COUNTIF(Ref_CTRL!$A$2:$A$201,B175)=0,"CTRL-ID not in W05",IF(LEFT(A175,LEN(B175)+1)&lt;&gt;B175&amp;"-","TEST-ID must start with CTRL-ID-",IF(AND(F175="TOE",I175=""),"Population EV-ID needed (TOE)",IF(AND(I175&lt;&gt;"",J175&lt;&gt;"Pass"),"HOLD: population IPE not Pass",IF(AND(F175="TOE",M175=""),"Sample size needed",IF(AND(F175="TOE",OR(M175&lt;IFERROR(INDEX(Sample_Guide!$C$5:$C$20,MATCH(E175,Sample_Guide!$A$5:$A$20,0)),0),M175&gt;IFERROR(INDEX(Sample_Guide!$D$5:$D$20,MATCH(E175,Sample_Guide!$A$5:$A$20,0)),9999))),"Sample outside guide: justify",IF(OR(Q175="",R175=""),"Tester and reviewer needed",IF(Q175=R175,"Tester and reviewer must differ",IF(AND(W175&lt;&gt;"",W175&lt;&gt;"Not started",V175&lt;&gt;"Reviewed",V175&lt;&gt;"Closed"),"Result only after review","OK")))))))))))</f>
        <v/>
      </c>
    </row>
    <row r="176" customFormat="false" ht="15" hidden="false" customHeight="false" outlineLevel="0" collapsed="false">
      <c r="A176" s="16"/>
      <c r="B176" s="16"/>
      <c r="C176" s="17" t="str">
        <f aca="false">IFERROR(INDEX(Ref_CTRL!$B$2:$B$201,MATCH(B176,Ref_CTRL!$A$2:$A$201,0)),"")</f>
        <v/>
      </c>
      <c r="D176" s="17" t="str">
        <f aca="false">IFERROR(INDEX(Ref_CTRL!$C$2:$C$201,MATCH(B176,Ref_CTRL!$A$2:$A$201,0)),"")</f>
        <v/>
      </c>
      <c r="E176" s="17" t="str">
        <f aca="false">IFERROR(INDEX(Ref_CTRL!$D$2:$D$201,MATCH(B176,Ref_CTRL!$A$2:$A$201,0)),"")</f>
        <v/>
      </c>
      <c r="F176" s="16"/>
      <c r="G176" s="16"/>
      <c r="H176" s="16"/>
      <c r="I176" s="16"/>
      <c r="J176" s="17" t="str">
        <f aca="false">IFERROR(INDEX(Ref_EV!$B$2:$B$201,MATCH(I176,Ref_EV!$A$2:$A$201,0)),"")</f>
        <v/>
      </c>
      <c r="K176" s="17" t="str">
        <f aca="false">IFERROR(INDEX(Ref_EV!$C$2:$C$201,MATCH(I176,Ref_EV!$A$2:$A$201,0)),"")</f>
        <v/>
      </c>
      <c r="L176" s="17" t="str">
        <f aca="false">IF(F176="TOD","1",IFERROR(INDEX(Sample_Guide!$C$5:$C$20,MATCH(E176,Sample_Guide!$A$5:$A$20,0))&amp;"–"&amp;INDEX(Sample_Guide!$D$5:$D$20,MATCH(E176,Sample_Guide!$A$5:$A$20,0)),""))</f>
        <v/>
      </c>
      <c r="M176" s="16"/>
      <c r="N176" s="18"/>
      <c r="O176" s="18"/>
      <c r="P176" s="17" t="str">
        <f aca="false">IF(A176="","",IF(OR(D176="ITAC",D176="IPE",D176="ITDM"),"Y","N"))</f>
        <v/>
      </c>
      <c r="Q176" s="16"/>
      <c r="R176" s="16"/>
      <c r="S176" s="18"/>
      <c r="T176" s="18"/>
      <c r="U176" s="16"/>
      <c r="V176" s="16"/>
      <c r="W176" s="16"/>
      <c r="X176" s="17" t="str">
        <f aca="false">IF(A176="","",IF(OR(B176="",F176="",G176="",H176=""),"Control, test type, attributes, procedure needed",IF(COUNTIF(Ref_CTRL!$A$2:$A$201,B176)=0,"CTRL-ID not in W05",IF(LEFT(A176,LEN(B176)+1)&lt;&gt;B176&amp;"-","TEST-ID must start with CTRL-ID-",IF(AND(F176="TOE",I176=""),"Population EV-ID needed (TOE)",IF(AND(I176&lt;&gt;"",J176&lt;&gt;"Pass"),"HOLD: population IPE not Pass",IF(AND(F176="TOE",M176=""),"Sample size needed",IF(AND(F176="TOE",OR(M176&lt;IFERROR(INDEX(Sample_Guide!$C$5:$C$20,MATCH(E176,Sample_Guide!$A$5:$A$20,0)),0),M176&gt;IFERROR(INDEX(Sample_Guide!$D$5:$D$20,MATCH(E176,Sample_Guide!$A$5:$A$20,0)),9999))),"Sample outside guide: justify",IF(OR(Q176="",R176=""),"Tester and reviewer needed",IF(Q176=R176,"Tester and reviewer must differ",IF(AND(W176&lt;&gt;"",W176&lt;&gt;"Not started",V176&lt;&gt;"Reviewed",V176&lt;&gt;"Closed"),"Result only after review","OK")))))))))))</f>
        <v/>
      </c>
    </row>
    <row r="177" customFormat="false" ht="15" hidden="false" customHeight="false" outlineLevel="0" collapsed="false">
      <c r="A177" s="16"/>
      <c r="B177" s="16"/>
      <c r="C177" s="17" t="str">
        <f aca="false">IFERROR(INDEX(Ref_CTRL!$B$2:$B$201,MATCH(B177,Ref_CTRL!$A$2:$A$201,0)),"")</f>
        <v/>
      </c>
      <c r="D177" s="17" t="str">
        <f aca="false">IFERROR(INDEX(Ref_CTRL!$C$2:$C$201,MATCH(B177,Ref_CTRL!$A$2:$A$201,0)),"")</f>
        <v/>
      </c>
      <c r="E177" s="17" t="str">
        <f aca="false">IFERROR(INDEX(Ref_CTRL!$D$2:$D$201,MATCH(B177,Ref_CTRL!$A$2:$A$201,0)),"")</f>
        <v/>
      </c>
      <c r="F177" s="16"/>
      <c r="G177" s="16"/>
      <c r="H177" s="16"/>
      <c r="I177" s="16"/>
      <c r="J177" s="17" t="str">
        <f aca="false">IFERROR(INDEX(Ref_EV!$B$2:$B$201,MATCH(I177,Ref_EV!$A$2:$A$201,0)),"")</f>
        <v/>
      </c>
      <c r="K177" s="17" t="str">
        <f aca="false">IFERROR(INDEX(Ref_EV!$C$2:$C$201,MATCH(I177,Ref_EV!$A$2:$A$201,0)),"")</f>
        <v/>
      </c>
      <c r="L177" s="17" t="str">
        <f aca="false">IF(F177="TOD","1",IFERROR(INDEX(Sample_Guide!$C$5:$C$20,MATCH(E177,Sample_Guide!$A$5:$A$20,0))&amp;"–"&amp;INDEX(Sample_Guide!$D$5:$D$20,MATCH(E177,Sample_Guide!$A$5:$A$20,0)),""))</f>
        <v/>
      </c>
      <c r="M177" s="16"/>
      <c r="N177" s="18"/>
      <c r="O177" s="18"/>
      <c r="P177" s="17" t="str">
        <f aca="false">IF(A177="","",IF(OR(D177="ITAC",D177="IPE",D177="ITDM"),"Y","N"))</f>
        <v/>
      </c>
      <c r="Q177" s="16"/>
      <c r="R177" s="16"/>
      <c r="S177" s="18"/>
      <c r="T177" s="18"/>
      <c r="U177" s="16"/>
      <c r="V177" s="16"/>
      <c r="W177" s="16"/>
      <c r="X177" s="17" t="str">
        <f aca="false">IF(A177="","",IF(OR(B177="",F177="",G177="",H177=""),"Control, test type, attributes, procedure needed",IF(COUNTIF(Ref_CTRL!$A$2:$A$201,B177)=0,"CTRL-ID not in W05",IF(LEFT(A177,LEN(B177)+1)&lt;&gt;B177&amp;"-","TEST-ID must start with CTRL-ID-",IF(AND(F177="TOE",I177=""),"Population EV-ID needed (TOE)",IF(AND(I177&lt;&gt;"",J177&lt;&gt;"Pass"),"HOLD: population IPE not Pass",IF(AND(F177="TOE",M177=""),"Sample size needed",IF(AND(F177="TOE",OR(M177&lt;IFERROR(INDEX(Sample_Guide!$C$5:$C$20,MATCH(E177,Sample_Guide!$A$5:$A$20,0)),0),M177&gt;IFERROR(INDEX(Sample_Guide!$D$5:$D$20,MATCH(E177,Sample_Guide!$A$5:$A$20,0)),9999))),"Sample outside guide: justify",IF(OR(Q177="",R177=""),"Tester and reviewer needed",IF(Q177=R177,"Tester and reviewer must differ",IF(AND(W177&lt;&gt;"",W177&lt;&gt;"Not started",V177&lt;&gt;"Reviewed",V177&lt;&gt;"Closed"),"Result only after review","OK")))))))))))</f>
        <v/>
      </c>
    </row>
    <row r="178" customFormat="false" ht="15" hidden="false" customHeight="false" outlineLevel="0" collapsed="false">
      <c r="A178" s="16"/>
      <c r="B178" s="16"/>
      <c r="C178" s="17" t="str">
        <f aca="false">IFERROR(INDEX(Ref_CTRL!$B$2:$B$201,MATCH(B178,Ref_CTRL!$A$2:$A$201,0)),"")</f>
        <v/>
      </c>
      <c r="D178" s="17" t="str">
        <f aca="false">IFERROR(INDEX(Ref_CTRL!$C$2:$C$201,MATCH(B178,Ref_CTRL!$A$2:$A$201,0)),"")</f>
        <v/>
      </c>
      <c r="E178" s="17" t="str">
        <f aca="false">IFERROR(INDEX(Ref_CTRL!$D$2:$D$201,MATCH(B178,Ref_CTRL!$A$2:$A$201,0)),"")</f>
        <v/>
      </c>
      <c r="F178" s="16"/>
      <c r="G178" s="16"/>
      <c r="H178" s="16"/>
      <c r="I178" s="16"/>
      <c r="J178" s="17" t="str">
        <f aca="false">IFERROR(INDEX(Ref_EV!$B$2:$B$201,MATCH(I178,Ref_EV!$A$2:$A$201,0)),"")</f>
        <v/>
      </c>
      <c r="K178" s="17" t="str">
        <f aca="false">IFERROR(INDEX(Ref_EV!$C$2:$C$201,MATCH(I178,Ref_EV!$A$2:$A$201,0)),"")</f>
        <v/>
      </c>
      <c r="L178" s="17" t="str">
        <f aca="false">IF(F178="TOD","1",IFERROR(INDEX(Sample_Guide!$C$5:$C$20,MATCH(E178,Sample_Guide!$A$5:$A$20,0))&amp;"–"&amp;INDEX(Sample_Guide!$D$5:$D$20,MATCH(E178,Sample_Guide!$A$5:$A$20,0)),""))</f>
        <v/>
      </c>
      <c r="M178" s="16"/>
      <c r="N178" s="18"/>
      <c r="O178" s="18"/>
      <c r="P178" s="17" t="str">
        <f aca="false">IF(A178="","",IF(OR(D178="ITAC",D178="IPE",D178="ITDM"),"Y","N"))</f>
        <v/>
      </c>
      <c r="Q178" s="16"/>
      <c r="R178" s="16"/>
      <c r="S178" s="18"/>
      <c r="T178" s="18"/>
      <c r="U178" s="16"/>
      <c r="V178" s="16"/>
      <c r="W178" s="16"/>
      <c r="X178" s="17" t="str">
        <f aca="false">IF(A178="","",IF(OR(B178="",F178="",G178="",H178=""),"Control, test type, attributes, procedure needed",IF(COUNTIF(Ref_CTRL!$A$2:$A$201,B178)=0,"CTRL-ID not in W05",IF(LEFT(A178,LEN(B178)+1)&lt;&gt;B178&amp;"-","TEST-ID must start with CTRL-ID-",IF(AND(F178="TOE",I178=""),"Population EV-ID needed (TOE)",IF(AND(I178&lt;&gt;"",J178&lt;&gt;"Pass"),"HOLD: population IPE not Pass",IF(AND(F178="TOE",M178=""),"Sample size needed",IF(AND(F178="TOE",OR(M178&lt;IFERROR(INDEX(Sample_Guide!$C$5:$C$20,MATCH(E178,Sample_Guide!$A$5:$A$20,0)),0),M178&gt;IFERROR(INDEX(Sample_Guide!$D$5:$D$20,MATCH(E178,Sample_Guide!$A$5:$A$20,0)),9999))),"Sample outside guide: justify",IF(OR(Q178="",R178=""),"Tester and reviewer needed",IF(Q178=R178,"Tester and reviewer must differ",IF(AND(W178&lt;&gt;"",W178&lt;&gt;"Not started",V178&lt;&gt;"Reviewed",V178&lt;&gt;"Closed"),"Result only after review","OK")))))))))))</f>
        <v/>
      </c>
    </row>
    <row r="179" customFormat="false" ht="15" hidden="false" customHeight="false" outlineLevel="0" collapsed="false">
      <c r="A179" s="16"/>
      <c r="B179" s="16"/>
      <c r="C179" s="17" t="str">
        <f aca="false">IFERROR(INDEX(Ref_CTRL!$B$2:$B$201,MATCH(B179,Ref_CTRL!$A$2:$A$201,0)),"")</f>
        <v/>
      </c>
      <c r="D179" s="17" t="str">
        <f aca="false">IFERROR(INDEX(Ref_CTRL!$C$2:$C$201,MATCH(B179,Ref_CTRL!$A$2:$A$201,0)),"")</f>
        <v/>
      </c>
      <c r="E179" s="17" t="str">
        <f aca="false">IFERROR(INDEX(Ref_CTRL!$D$2:$D$201,MATCH(B179,Ref_CTRL!$A$2:$A$201,0)),"")</f>
        <v/>
      </c>
      <c r="F179" s="16"/>
      <c r="G179" s="16"/>
      <c r="H179" s="16"/>
      <c r="I179" s="16"/>
      <c r="J179" s="17" t="str">
        <f aca="false">IFERROR(INDEX(Ref_EV!$B$2:$B$201,MATCH(I179,Ref_EV!$A$2:$A$201,0)),"")</f>
        <v/>
      </c>
      <c r="K179" s="17" t="str">
        <f aca="false">IFERROR(INDEX(Ref_EV!$C$2:$C$201,MATCH(I179,Ref_EV!$A$2:$A$201,0)),"")</f>
        <v/>
      </c>
      <c r="L179" s="17" t="str">
        <f aca="false">IF(F179="TOD","1",IFERROR(INDEX(Sample_Guide!$C$5:$C$20,MATCH(E179,Sample_Guide!$A$5:$A$20,0))&amp;"–"&amp;INDEX(Sample_Guide!$D$5:$D$20,MATCH(E179,Sample_Guide!$A$5:$A$20,0)),""))</f>
        <v/>
      </c>
      <c r="M179" s="16"/>
      <c r="N179" s="18"/>
      <c r="O179" s="18"/>
      <c r="P179" s="17" t="str">
        <f aca="false">IF(A179="","",IF(OR(D179="ITAC",D179="IPE",D179="ITDM"),"Y","N"))</f>
        <v/>
      </c>
      <c r="Q179" s="16"/>
      <c r="R179" s="16"/>
      <c r="S179" s="18"/>
      <c r="T179" s="18"/>
      <c r="U179" s="16"/>
      <c r="V179" s="16"/>
      <c r="W179" s="16"/>
      <c r="X179" s="17" t="str">
        <f aca="false">IF(A179="","",IF(OR(B179="",F179="",G179="",H179=""),"Control, test type, attributes, procedure needed",IF(COUNTIF(Ref_CTRL!$A$2:$A$201,B179)=0,"CTRL-ID not in W05",IF(LEFT(A179,LEN(B179)+1)&lt;&gt;B179&amp;"-","TEST-ID must start with CTRL-ID-",IF(AND(F179="TOE",I179=""),"Population EV-ID needed (TOE)",IF(AND(I179&lt;&gt;"",J179&lt;&gt;"Pass"),"HOLD: population IPE not Pass",IF(AND(F179="TOE",M179=""),"Sample size needed",IF(AND(F179="TOE",OR(M179&lt;IFERROR(INDEX(Sample_Guide!$C$5:$C$20,MATCH(E179,Sample_Guide!$A$5:$A$20,0)),0),M179&gt;IFERROR(INDEX(Sample_Guide!$D$5:$D$20,MATCH(E179,Sample_Guide!$A$5:$A$20,0)),9999))),"Sample outside guide: justify",IF(OR(Q179="",R179=""),"Tester and reviewer needed",IF(Q179=R179,"Tester and reviewer must differ",IF(AND(W179&lt;&gt;"",W179&lt;&gt;"Not started",V179&lt;&gt;"Reviewed",V179&lt;&gt;"Closed"),"Result only after review","OK")))))))))))</f>
        <v/>
      </c>
    </row>
    <row r="180" customFormat="false" ht="15" hidden="false" customHeight="false" outlineLevel="0" collapsed="false">
      <c r="A180" s="16"/>
      <c r="B180" s="16"/>
      <c r="C180" s="17" t="str">
        <f aca="false">IFERROR(INDEX(Ref_CTRL!$B$2:$B$201,MATCH(B180,Ref_CTRL!$A$2:$A$201,0)),"")</f>
        <v/>
      </c>
      <c r="D180" s="17" t="str">
        <f aca="false">IFERROR(INDEX(Ref_CTRL!$C$2:$C$201,MATCH(B180,Ref_CTRL!$A$2:$A$201,0)),"")</f>
        <v/>
      </c>
      <c r="E180" s="17" t="str">
        <f aca="false">IFERROR(INDEX(Ref_CTRL!$D$2:$D$201,MATCH(B180,Ref_CTRL!$A$2:$A$201,0)),"")</f>
        <v/>
      </c>
      <c r="F180" s="16"/>
      <c r="G180" s="16"/>
      <c r="H180" s="16"/>
      <c r="I180" s="16"/>
      <c r="J180" s="17" t="str">
        <f aca="false">IFERROR(INDEX(Ref_EV!$B$2:$B$201,MATCH(I180,Ref_EV!$A$2:$A$201,0)),"")</f>
        <v/>
      </c>
      <c r="K180" s="17" t="str">
        <f aca="false">IFERROR(INDEX(Ref_EV!$C$2:$C$201,MATCH(I180,Ref_EV!$A$2:$A$201,0)),"")</f>
        <v/>
      </c>
      <c r="L180" s="17" t="str">
        <f aca="false">IF(F180="TOD","1",IFERROR(INDEX(Sample_Guide!$C$5:$C$20,MATCH(E180,Sample_Guide!$A$5:$A$20,0))&amp;"–"&amp;INDEX(Sample_Guide!$D$5:$D$20,MATCH(E180,Sample_Guide!$A$5:$A$20,0)),""))</f>
        <v/>
      </c>
      <c r="M180" s="16"/>
      <c r="N180" s="18"/>
      <c r="O180" s="18"/>
      <c r="P180" s="17" t="str">
        <f aca="false">IF(A180="","",IF(OR(D180="ITAC",D180="IPE",D180="ITDM"),"Y","N"))</f>
        <v/>
      </c>
      <c r="Q180" s="16"/>
      <c r="R180" s="16"/>
      <c r="S180" s="18"/>
      <c r="T180" s="18"/>
      <c r="U180" s="16"/>
      <c r="V180" s="16"/>
      <c r="W180" s="16"/>
      <c r="X180" s="17" t="str">
        <f aca="false">IF(A180="","",IF(OR(B180="",F180="",G180="",H180=""),"Control, test type, attributes, procedure needed",IF(COUNTIF(Ref_CTRL!$A$2:$A$201,B180)=0,"CTRL-ID not in W05",IF(LEFT(A180,LEN(B180)+1)&lt;&gt;B180&amp;"-","TEST-ID must start with CTRL-ID-",IF(AND(F180="TOE",I180=""),"Population EV-ID needed (TOE)",IF(AND(I180&lt;&gt;"",J180&lt;&gt;"Pass"),"HOLD: population IPE not Pass",IF(AND(F180="TOE",M180=""),"Sample size needed",IF(AND(F180="TOE",OR(M180&lt;IFERROR(INDEX(Sample_Guide!$C$5:$C$20,MATCH(E180,Sample_Guide!$A$5:$A$20,0)),0),M180&gt;IFERROR(INDEX(Sample_Guide!$D$5:$D$20,MATCH(E180,Sample_Guide!$A$5:$A$20,0)),9999))),"Sample outside guide: justify",IF(OR(Q180="",R180=""),"Tester and reviewer needed",IF(Q180=R180,"Tester and reviewer must differ",IF(AND(W180&lt;&gt;"",W180&lt;&gt;"Not started",V180&lt;&gt;"Reviewed",V180&lt;&gt;"Closed"),"Result only after review","OK")))))))))))</f>
        <v/>
      </c>
    </row>
    <row r="181" customFormat="false" ht="15" hidden="false" customHeight="false" outlineLevel="0" collapsed="false">
      <c r="A181" s="16"/>
      <c r="B181" s="16"/>
      <c r="C181" s="17" t="str">
        <f aca="false">IFERROR(INDEX(Ref_CTRL!$B$2:$B$201,MATCH(B181,Ref_CTRL!$A$2:$A$201,0)),"")</f>
        <v/>
      </c>
      <c r="D181" s="17" t="str">
        <f aca="false">IFERROR(INDEX(Ref_CTRL!$C$2:$C$201,MATCH(B181,Ref_CTRL!$A$2:$A$201,0)),"")</f>
        <v/>
      </c>
      <c r="E181" s="17" t="str">
        <f aca="false">IFERROR(INDEX(Ref_CTRL!$D$2:$D$201,MATCH(B181,Ref_CTRL!$A$2:$A$201,0)),"")</f>
        <v/>
      </c>
      <c r="F181" s="16"/>
      <c r="G181" s="16"/>
      <c r="H181" s="16"/>
      <c r="I181" s="16"/>
      <c r="J181" s="17" t="str">
        <f aca="false">IFERROR(INDEX(Ref_EV!$B$2:$B$201,MATCH(I181,Ref_EV!$A$2:$A$201,0)),"")</f>
        <v/>
      </c>
      <c r="K181" s="17" t="str">
        <f aca="false">IFERROR(INDEX(Ref_EV!$C$2:$C$201,MATCH(I181,Ref_EV!$A$2:$A$201,0)),"")</f>
        <v/>
      </c>
      <c r="L181" s="17" t="str">
        <f aca="false">IF(F181="TOD","1",IFERROR(INDEX(Sample_Guide!$C$5:$C$20,MATCH(E181,Sample_Guide!$A$5:$A$20,0))&amp;"–"&amp;INDEX(Sample_Guide!$D$5:$D$20,MATCH(E181,Sample_Guide!$A$5:$A$20,0)),""))</f>
        <v/>
      </c>
      <c r="M181" s="16"/>
      <c r="N181" s="18"/>
      <c r="O181" s="18"/>
      <c r="P181" s="17" t="str">
        <f aca="false">IF(A181="","",IF(OR(D181="ITAC",D181="IPE",D181="ITDM"),"Y","N"))</f>
        <v/>
      </c>
      <c r="Q181" s="16"/>
      <c r="R181" s="16"/>
      <c r="S181" s="18"/>
      <c r="T181" s="18"/>
      <c r="U181" s="16"/>
      <c r="V181" s="16"/>
      <c r="W181" s="16"/>
      <c r="X181" s="17" t="str">
        <f aca="false">IF(A181="","",IF(OR(B181="",F181="",G181="",H181=""),"Control, test type, attributes, procedure needed",IF(COUNTIF(Ref_CTRL!$A$2:$A$201,B181)=0,"CTRL-ID not in W05",IF(LEFT(A181,LEN(B181)+1)&lt;&gt;B181&amp;"-","TEST-ID must start with CTRL-ID-",IF(AND(F181="TOE",I181=""),"Population EV-ID needed (TOE)",IF(AND(I181&lt;&gt;"",J181&lt;&gt;"Pass"),"HOLD: population IPE not Pass",IF(AND(F181="TOE",M181=""),"Sample size needed",IF(AND(F181="TOE",OR(M181&lt;IFERROR(INDEX(Sample_Guide!$C$5:$C$20,MATCH(E181,Sample_Guide!$A$5:$A$20,0)),0),M181&gt;IFERROR(INDEX(Sample_Guide!$D$5:$D$20,MATCH(E181,Sample_Guide!$A$5:$A$20,0)),9999))),"Sample outside guide: justify",IF(OR(Q181="",R181=""),"Tester and reviewer needed",IF(Q181=R181,"Tester and reviewer must differ",IF(AND(W181&lt;&gt;"",W181&lt;&gt;"Not started",V181&lt;&gt;"Reviewed",V181&lt;&gt;"Closed"),"Result only after review","OK")))))))))))</f>
        <v/>
      </c>
    </row>
    <row r="182" customFormat="false" ht="15" hidden="false" customHeight="false" outlineLevel="0" collapsed="false">
      <c r="A182" s="16"/>
      <c r="B182" s="16"/>
      <c r="C182" s="17" t="str">
        <f aca="false">IFERROR(INDEX(Ref_CTRL!$B$2:$B$201,MATCH(B182,Ref_CTRL!$A$2:$A$201,0)),"")</f>
        <v/>
      </c>
      <c r="D182" s="17" t="str">
        <f aca="false">IFERROR(INDEX(Ref_CTRL!$C$2:$C$201,MATCH(B182,Ref_CTRL!$A$2:$A$201,0)),"")</f>
        <v/>
      </c>
      <c r="E182" s="17" t="str">
        <f aca="false">IFERROR(INDEX(Ref_CTRL!$D$2:$D$201,MATCH(B182,Ref_CTRL!$A$2:$A$201,0)),"")</f>
        <v/>
      </c>
      <c r="F182" s="16"/>
      <c r="G182" s="16"/>
      <c r="H182" s="16"/>
      <c r="I182" s="16"/>
      <c r="J182" s="17" t="str">
        <f aca="false">IFERROR(INDEX(Ref_EV!$B$2:$B$201,MATCH(I182,Ref_EV!$A$2:$A$201,0)),"")</f>
        <v/>
      </c>
      <c r="K182" s="17" t="str">
        <f aca="false">IFERROR(INDEX(Ref_EV!$C$2:$C$201,MATCH(I182,Ref_EV!$A$2:$A$201,0)),"")</f>
        <v/>
      </c>
      <c r="L182" s="17" t="str">
        <f aca="false">IF(F182="TOD","1",IFERROR(INDEX(Sample_Guide!$C$5:$C$20,MATCH(E182,Sample_Guide!$A$5:$A$20,0))&amp;"–"&amp;INDEX(Sample_Guide!$D$5:$D$20,MATCH(E182,Sample_Guide!$A$5:$A$20,0)),""))</f>
        <v/>
      </c>
      <c r="M182" s="16"/>
      <c r="N182" s="18"/>
      <c r="O182" s="18"/>
      <c r="P182" s="17" t="str">
        <f aca="false">IF(A182="","",IF(OR(D182="ITAC",D182="IPE",D182="ITDM"),"Y","N"))</f>
        <v/>
      </c>
      <c r="Q182" s="16"/>
      <c r="R182" s="16"/>
      <c r="S182" s="18"/>
      <c r="T182" s="18"/>
      <c r="U182" s="16"/>
      <c r="V182" s="16"/>
      <c r="W182" s="16"/>
      <c r="X182" s="17" t="str">
        <f aca="false">IF(A182="","",IF(OR(B182="",F182="",G182="",H182=""),"Control, test type, attributes, procedure needed",IF(COUNTIF(Ref_CTRL!$A$2:$A$201,B182)=0,"CTRL-ID not in W05",IF(LEFT(A182,LEN(B182)+1)&lt;&gt;B182&amp;"-","TEST-ID must start with CTRL-ID-",IF(AND(F182="TOE",I182=""),"Population EV-ID needed (TOE)",IF(AND(I182&lt;&gt;"",J182&lt;&gt;"Pass"),"HOLD: population IPE not Pass",IF(AND(F182="TOE",M182=""),"Sample size needed",IF(AND(F182="TOE",OR(M182&lt;IFERROR(INDEX(Sample_Guide!$C$5:$C$20,MATCH(E182,Sample_Guide!$A$5:$A$20,0)),0),M182&gt;IFERROR(INDEX(Sample_Guide!$D$5:$D$20,MATCH(E182,Sample_Guide!$A$5:$A$20,0)),9999))),"Sample outside guide: justify",IF(OR(Q182="",R182=""),"Tester and reviewer needed",IF(Q182=R182,"Tester and reviewer must differ",IF(AND(W182&lt;&gt;"",W182&lt;&gt;"Not started",V182&lt;&gt;"Reviewed",V182&lt;&gt;"Closed"),"Result only after review","OK")))))))))))</f>
        <v/>
      </c>
    </row>
    <row r="183" customFormat="false" ht="15" hidden="false" customHeight="false" outlineLevel="0" collapsed="false">
      <c r="A183" s="16"/>
      <c r="B183" s="16"/>
      <c r="C183" s="17" t="str">
        <f aca="false">IFERROR(INDEX(Ref_CTRL!$B$2:$B$201,MATCH(B183,Ref_CTRL!$A$2:$A$201,0)),"")</f>
        <v/>
      </c>
      <c r="D183" s="17" t="str">
        <f aca="false">IFERROR(INDEX(Ref_CTRL!$C$2:$C$201,MATCH(B183,Ref_CTRL!$A$2:$A$201,0)),"")</f>
        <v/>
      </c>
      <c r="E183" s="17" t="str">
        <f aca="false">IFERROR(INDEX(Ref_CTRL!$D$2:$D$201,MATCH(B183,Ref_CTRL!$A$2:$A$201,0)),"")</f>
        <v/>
      </c>
      <c r="F183" s="16"/>
      <c r="G183" s="16"/>
      <c r="H183" s="16"/>
      <c r="I183" s="16"/>
      <c r="J183" s="17" t="str">
        <f aca="false">IFERROR(INDEX(Ref_EV!$B$2:$B$201,MATCH(I183,Ref_EV!$A$2:$A$201,0)),"")</f>
        <v/>
      </c>
      <c r="K183" s="17" t="str">
        <f aca="false">IFERROR(INDEX(Ref_EV!$C$2:$C$201,MATCH(I183,Ref_EV!$A$2:$A$201,0)),"")</f>
        <v/>
      </c>
      <c r="L183" s="17" t="str">
        <f aca="false">IF(F183="TOD","1",IFERROR(INDEX(Sample_Guide!$C$5:$C$20,MATCH(E183,Sample_Guide!$A$5:$A$20,0))&amp;"–"&amp;INDEX(Sample_Guide!$D$5:$D$20,MATCH(E183,Sample_Guide!$A$5:$A$20,0)),""))</f>
        <v/>
      </c>
      <c r="M183" s="16"/>
      <c r="N183" s="18"/>
      <c r="O183" s="18"/>
      <c r="P183" s="17" t="str">
        <f aca="false">IF(A183="","",IF(OR(D183="ITAC",D183="IPE",D183="ITDM"),"Y","N"))</f>
        <v/>
      </c>
      <c r="Q183" s="16"/>
      <c r="R183" s="16"/>
      <c r="S183" s="18"/>
      <c r="T183" s="18"/>
      <c r="U183" s="16"/>
      <c r="V183" s="16"/>
      <c r="W183" s="16"/>
      <c r="X183" s="17" t="str">
        <f aca="false">IF(A183="","",IF(OR(B183="",F183="",G183="",H183=""),"Control, test type, attributes, procedure needed",IF(COUNTIF(Ref_CTRL!$A$2:$A$201,B183)=0,"CTRL-ID not in W05",IF(LEFT(A183,LEN(B183)+1)&lt;&gt;B183&amp;"-","TEST-ID must start with CTRL-ID-",IF(AND(F183="TOE",I183=""),"Population EV-ID needed (TOE)",IF(AND(I183&lt;&gt;"",J183&lt;&gt;"Pass"),"HOLD: population IPE not Pass",IF(AND(F183="TOE",M183=""),"Sample size needed",IF(AND(F183="TOE",OR(M183&lt;IFERROR(INDEX(Sample_Guide!$C$5:$C$20,MATCH(E183,Sample_Guide!$A$5:$A$20,0)),0),M183&gt;IFERROR(INDEX(Sample_Guide!$D$5:$D$20,MATCH(E183,Sample_Guide!$A$5:$A$20,0)),9999))),"Sample outside guide: justify",IF(OR(Q183="",R183=""),"Tester and reviewer needed",IF(Q183=R183,"Tester and reviewer must differ",IF(AND(W183&lt;&gt;"",W183&lt;&gt;"Not started",V183&lt;&gt;"Reviewed",V183&lt;&gt;"Closed"),"Result only after review","OK")))))))))))</f>
        <v/>
      </c>
    </row>
    <row r="184" customFormat="false" ht="15" hidden="false" customHeight="false" outlineLevel="0" collapsed="false">
      <c r="A184" s="16"/>
      <c r="B184" s="16"/>
      <c r="C184" s="17" t="str">
        <f aca="false">IFERROR(INDEX(Ref_CTRL!$B$2:$B$201,MATCH(B184,Ref_CTRL!$A$2:$A$201,0)),"")</f>
        <v/>
      </c>
      <c r="D184" s="17" t="str">
        <f aca="false">IFERROR(INDEX(Ref_CTRL!$C$2:$C$201,MATCH(B184,Ref_CTRL!$A$2:$A$201,0)),"")</f>
        <v/>
      </c>
      <c r="E184" s="17" t="str">
        <f aca="false">IFERROR(INDEX(Ref_CTRL!$D$2:$D$201,MATCH(B184,Ref_CTRL!$A$2:$A$201,0)),"")</f>
        <v/>
      </c>
      <c r="F184" s="16"/>
      <c r="G184" s="16"/>
      <c r="H184" s="16"/>
      <c r="I184" s="16"/>
      <c r="J184" s="17" t="str">
        <f aca="false">IFERROR(INDEX(Ref_EV!$B$2:$B$201,MATCH(I184,Ref_EV!$A$2:$A$201,0)),"")</f>
        <v/>
      </c>
      <c r="K184" s="17" t="str">
        <f aca="false">IFERROR(INDEX(Ref_EV!$C$2:$C$201,MATCH(I184,Ref_EV!$A$2:$A$201,0)),"")</f>
        <v/>
      </c>
      <c r="L184" s="17" t="str">
        <f aca="false">IF(F184="TOD","1",IFERROR(INDEX(Sample_Guide!$C$5:$C$20,MATCH(E184,Sample_Guide!$A$5:$A$20,0))&amp;"–"&amp;INDEX(Sample_Guide!$D$5:$D$20,MATCH(E184,Sample_Guide!$A$5:$A$20,0)),""))</f>
        <v/>
      </c>
      <c r="M184" s="16"/>
      <c r="N184" s="18"/>
      <c r="O184" s="18"/>
      <c r="P184" s="17" t="str">
        <f aca="false">IF(A184="","",IF(OR(D184="ITAC",D184="IPE",D184="ITDM"),"Y","N"))</f>
        <v/>
      </c>
      <c r="Q184" s="16"/>
      <c r="R184" s="16"/>
      <c r="S184" s="18"/>
      <c r="T184" s="18"/>
      <c r="U184" s="16"/>
      <c r="V184" s="16"/>
      <c r="W184" s="16"/>
      <c r="X184" s="17" t="str">
        <f aca="false">IF(A184="","",IF(OR(B184="",F184="",G184="",H184=""),"Control, test type, attributes, procedure needed",IF(COUNTIF(Ref_CTRL!$A$2:$A$201,B184)=0,"CTRL-ID not in W05",IF(LEFT(A184,LEN(B184)+1)&lt;&gt;B184&amp;"-","TEST-ID must start with CTRL-ID-",IF(AND(F184="TOE",I184=""),"Population EV-ID needed (TOE)",IF(AND(I184&lt;&gt;"",J184&lt;&gt;"Pass"),"HOLD: population IPE not Pass",IF(AND(F184="TOE",M184=""),"Sample size needed",IF(AND(F184="TOE",OR(M184&lt;IFERROR(INDEX(Sample_Guide!$C$5:$C$20,MATCH(E184,Sample_Guide!$A$5:$A$20,0)),0),M184&gt;IFERROR(INDEX(Sample_Guide!$D$5:$D$20,MATCH(E184,Sample_Guide!$A$5:$A$20,0)),9999))),"Sample outside guide: justify",IF(OR(Q184="",R184=""),"Tester and reviewer needed",IF(Q184=R184,"Tester and reviewer must differ",IF(AND(W184&lt;&gt;"",W184&lt;&gt;"Not started",V184&lt;&gt;"Reviewed",V184&lt;&gt;"Closed"),"Result only after review","OK")))))))))))</f>
        <v/>
      </c>
    </row>
    <row r="185" customFormat="false" ht="15" hidden="false" customHeight="false" outlineLevel="0" collapsed="false">
      <c r="A185" s="16"/>
      <c r="B185" s="16"/>
      <c r="C185" s="17" t="str">
        <f aca="false">IFERROR(INDEX(Ref_CTRL!$B$2:$B$201,MATCH(B185,Ref_CTRL!$A$2:$A$201,0)),"")</f>
        <v/>
      </c>
      <c r="D185" s="17" t="str">
        <f aca="false">IFERROR(INDEX(Ref_CTRL!$C$2:$C$201,MATCH(B185,Ref_CTRL!$A$2:$A$201,0)),"")</f>
        <v/>
      </c>
      <c r="E185" s="17" t="str">
        <f aca="false">IFERROR(INDEX(Ref_CTRL!$D$2:$D$201,MATCH(B185,Ref_CTRL!$A$2:$A$201,0)),"")</f>
        <v/>
      </c>
      <c r="F185" s="16"/>
      <c r="G185" s="16"/>
      <c r="H185" s="16"/>
      <c r="I185" s="16"/>
      <c r="J185" s="17" t="str">
        <f aca="false">IFERROR(INDEX(Ref_EV!$B$2:$B$201,MATCH(I185,Ref_EV!$A$2:$A$201,0)),"")</f>
        <v/>
      </c>
      <c r="K185" s="17" t="str">
        <f aca="false">IFERROR(INDEX(Ref_EV!$C$2:$C$201,MATCH(I185,Ref_EV!$A$2:$A$201,0)),"")</f>
        <v/>
      </c>
      <c r="L185" s="17" t="str">
        <f aca="false">IF(F185="TOD","1",IFERROR(INDEX(Sample_Guide!$C$5:$C$20,MATCH(E185,Sample_Guide!$A$5:$A$20,0))&amp;"–"&amp;INDEX(Sample_Guide!$D$5:$D$20,MATCH(E185,Sample_Guide!$A$5:$A$20,0)),""))</f>
        <v/>
      </c>
      <c r="M185" s="16"/>
      <c r="N185" s="18"/>
      <c r="O185" s="18"/>
      <c r="P185" s="17" t="str">
        <f aca="false">IF(A185="","",IF(OR(D185="ITAC",D185="IPE",D185="ITDM"),"Y","N"))</f>
        <v/>
      </c>
      <c r="Q185" s="16"/>
      <c r="R185" s="16"/>
      <c r="S185" s="18"/>
      <c r="T185" s="18"/>
      <c r="U185" s="16"/>
      <c r="V185" s="16"/>
      <c r="W185" s="16"/>
      <c r="X185" s="17" t="str">
        <f aca="false">IF(A185="","",IF(OR(B185="",F185="",G185="",H185=""),"Control, test type, attributes, procedure needed",IF(COUNTIF(Ref_CTRL!$A$2:$A$201,B185)=0,"CTRL-ID not in W05",IF(LEFT(A185,LEN(B185)+1)&lt;&gt;B185&amp;"-","TEST-ID must start with CTRL-ID-",IF(AND(F185="TOE",I185=""),"Population EV-ID needed (TOE)",IF(AND(I185&lt;&gt;"",J185&lt;&gt;"Pass"),"HOLD: population IPE not Pass",IF(AND(F185="TOE",M185=""),"Sample size needed",IF(AND(F185="TOE",OR(M185&lt;IFERROR(INDEX(Sample_Guide!$C$5:$C$20,MATCH(E185,Sample_Guide!$A$5:$A$20,0)),0),M185&gt;IFERROR(INDEX(Sample_Guide!$D$5:$D$20,MATCH(E185,Sample_Guide!$A$5:$A$20,0)),9999))),"Sample outside guide: justify",IF(OR(Q185="",R185=""),"Tester and reviewer needed",IF(Q185=R185,"Tester and reviewer must differ",IF(AND(W185&lt;&gt;"",W185&lt;&gt;"Not started",V185&lt;&gt;"Reviewed",V185&lt;&gt;"Closed"),"Result only after review","OK")))))))))))</f>
        <v/>
      </c>
    </row>
    <row r="186" customFormat="false" ht="15" hidden="false" customHeight="false" outlineLevel="0" collapsed="false">
      <c r="A186" s="16"/>
      <c r="B186" s="16"/>
      <c r="C186" s="17" t="str">
        <f aca="false">IFERROR(INDEX(Ref_CTRL!$B$2:$B$201,MATCH(B186,Ref_CTRL!$A$2:$A$201,0)),"")</f>
        <v/>
      </c>
      <c r="D186" s="17" t="str">
        <f aca="false">IFERROR(INDEX(Ref_CTRL!$C$2:$C$201,MATCH(B186,Ref_CTRL!$A$2:$A$201,0)),"")</f>
        <v/>
      </c>
      <c r="E186" s="17" t="str">
        <f aca="false">IFERROR(INDEX(Ref_CTRL!$D$2:$D$201,MATCH(B186,Ref_CTRL!$A$2:$A$201,0)),"")</f>
        <v/>
      </c>
      <c r="F186" s="16"/>
      <c r="G186" s="16"/>
      <c r="H186" s="16"/>
      <c r="I186" s="16"/>
      <c r="J186" s="17" t="str">
        <f aca="false">IFERROR(INDEX(Ref_EV!$B$2:$B$201,MATCH(I186,Ref_EV!$A$2:$A$201,0)),"")</f>
        <v/>
      </c>
      <c r="K186" s="17" t="str">
        <f aca="false">IFERROR(INDEX(Ref_EV!$C$2:$C$201,MATCH(I186,Ref_EV!$A$2:$A$201,0)),"")</f>
        <v/>
      </c>
      <c r="L186" s="17" t="str">
        <f aca="false">IF(F186="TOD","1",IFERROR(INDEX(Sample_Guide!$C$5:$C$20,MATCH(E186,Sample_Guide!$A$5:$A$20,0))&amp;"–"&amp;INDEX(Sample_Guide!$D$5:$D$20,MATCH(E186,Sample_Guide!$A$5:$A$20,0)),""))</f>
        <v/>
      </c>
      <c r="M186" s="16"/>
      <c r="N186" s="18"/>
      <c r="O186" s="18"/>
      <c r="P186" s="17" t="str">
        <f aca="false">IF(A186="","",IF(OR(D186="ITAC",D186="IPE",D186="ITDM"),"Y","N"))</f>
        <v/>
      </c>
      <c r="Q186" s="16"/>
      <c r="R186" s="16"/>
      <c r="S186" s="18"/>
      <c r="T186" s="18"/>
      <c r="U186" s="16"/>
      <c r="V186" s="16"/>
      <c r="W186" s="16"/>
      <c r="X186" s="17" t="str">
        <f aca="false">IF(A186="","",IF(OR(B186="",F186="",G186="",H186=""),"Control, test type, attributes, procedure needed",IF(COUNTIF(Ref_CTRL!$A$2:$A$201,B186)=0,"CTRL-ID not in W05",IF(LEFT(A186,LEN(B186)+1)&lt;&gt;B186&amp;"-","TEST-ID must start with CTRL-ID-",IF(AND(F186="TOE",I186=""),"Population EV-ID needed (TOE)",IF(AND(I186&lt;&gt;"",J186&lt;&gt;"Pass"),"HOLD: population IPE not Pass",IF(AND(F186="TOE",M186=""),"Sample size needed",IF(AND(F186="TOE",OR(M186&lt;IFERROR(INDEX(Sample_Guide!$C$5:$C$20,MATCH(E186,Sample_Guide!$A$5:$A$20,0)),0),M186&gt;IFERROR(INDEX(Sample_Guide!$D$5:$D$20,MATCH(E186,Sample_Guide!$A$5:$A$20,0)),9999))),"Sample outside guide: justify",IF(OR(Q186="",R186=""),"Tester and reviewer needed",IF(Q186=R186,"Tester and reviewer must differ",IF(AND(W186&lt;&gt;"",W186&lt;&gt;"Not started",V186&lt;&gt;"Reviewed",V186&lt;&gt;"Closed"),"Result only after review","OK")))))))))))</f>
        <v/>
      </c>
    </row>
    <row r="187" customFormat="false" ht="15" hidden="false" customHeight="false" outlineLevel="0" collapsed="false">
      <c r="A187" s="16"/>
      <c r="B187" s="16"/>
      <c r="C187" s="17" t="str">
        <f aca="false">IFERROR(INDEX(Ref_CTRL!$B$2:$B$201,MATCH(B187,Ref_CTRL!$A$2:$A$201,0)),"")</f>
        <v/>
      </c>
      <c r="D187" s="17" t="str">
        <f aca="false">IFERROR(INDEX(Ref_CTRL!$C$2:$C$201,MATCH(B187,Ref_CTRL!$A$2:$A$201,0)),"")</f>
        <v/>
      </c>
      <c r="E187" s="17" t="str">
        <f aca="false">IFERROR(INDEX(Ref_CTRL!$D$2:$D$201,MATCH(B187,Ref_CTRL!$A$2:$A$201,0)),"")</f>
        <v/>
      </c>
      <c r="F187" s="16"/>
      <c r="G187" s="16"/>
      <c r="H187" s="16"/>
      <c r="I187" s="16"/>
      <c r="J187" s="17" t="str">
        <f aca="false">IFERROR(INDEX(Ref_EV!$B$2:$B$201,MATCH(I187,Ref_EV!$A$2:$A$201,0)),"")</f>
        <v/>
      </c>
      <c r="K187" s="17" t="str">
        <f aca="false">IFERROR(INDEX(Ref_EV!$C$2:$C$201,MATCH(I187,Ref_EV!$A$2:$A$201,0)),"")</f>
        <v/>
      </c>
      <c r="L187" s="17" t="str">
        <f aca="false">IF(F187="TOD","1",IFERROR(INDEX(Sample_Guide!$C$5:$C$20,MATCH(E187,Sample_Guide!$A$5:$A$20,0))&amp;"–"&amp;INDEX(Sample_Guide!$D$5:$D$20,MATCH(E187,Sample_Guide!$A$5:$A$20,0)),""))</f>
        <v/>
      </c>
      <c r="M187" s="16"/>
      <c r="N187" s="18"/>
      <c r="O187" s="18"/>
      <c r="P187" s="17" t="str">
        <f aca="false">IF(A187="","",IF(OR(D187="ITAC",D187="IPE",D187="ITDM"),"Y","N"))</f>
        <v/>
      </c>
      <c r="Q187" s="16"/>
      <c r="R187" s="16"/>
      <c r="S187" s="18"/>
      <c r="T187" s="18"/>
      <c r="U187" s="16"/>
      <c r="V187" s="16"/>
      <c r="W187" s="16"/>
      <c r="X187" s="17" t="str">
        <f aca="false">IF(A187="","",IF(OR(B187="",F187="",G187="",H187=""),"Control, test type, attributes, procedure needed",IF(COUNTIF(Ref_CTRL!$A$2:$A$201,B187)=0,"CTRL-ID not in W05",IF(LEFT(A187,LEN(B187)+1)&lt;&gt;B187&amp;"-","TEST-ID must start with CTRL-ID-",IF(AND(F187="TOE",I187=""),"Population EV-ID needed (TOE)",IF(AND(I187&lt;&gt;"",J187&lt;&gt;"Pass"),"HOLD: population IPE not Pass",IF(AND(F187="TOE",M187=""),"Sample size needed",IF(AND(F187="TOE",OR(M187&lt;IFERROR(INDEX(Sample_Guide!$C$5:$C$20,MATCH(E187,Sample_Guide!$A$5:$A$20,0)),0),M187&gt;IFERROR(INDEX(Sample_Guide!$D$5:$D$20,MATCH(E187,Sample_Guide!$A$5:$A$20,0)),9999))),"Sample outside guide: justify",IF(OR(Q187="",R187=""),"Tester and reviewer needed",IF(Q187=R187,"Tester and reviewer must differ",IF(AND(W187&lt;&gt;"",W187&lt;&gt;"Not started",V187&lt;&gt;"Reviewed",V187&lt;&gt;"Closed"),"Result only after review","OK")))))))))))</f>
        <v/>
      </c>
    </row>
    <row r="188" customFormat="false" ht="15" hidden="false" customHeight="false" outlineLevel="0" collapsed="false">
      <c r="A188" s="16"/>
      <c r="B188" s="16"/>
      <c r="C188" s="17" t="str">
        <f aca="false">IFERROR(INDEX(Ref_CTRL!$B$2:$B$201,MATCH(B188,Ref_CTRL!$A$2:$A$201,0)),"")</f>
        <v/>
      </c>
      <c r="D188" s="17" t="str">
        <f aca="false">IFERROR(INDEX(Ref_CTRL!$C$2:$C$201,MATCH(B188,Ref_CTRL!$A$2:$A$201,0)),"")</f>
        <v/>
      </c>
      <c r="E188" s="17" t="str">
        <f aca="false">IFERROR(INDEX(Ref_CTRL!$D$2:$D$201,MATCH(B188,Ref_CTRL!$A$2:$A$201,0)),"")</f>
        <v/>
      </c>
      <c r="F188" s="16"/>
      <c r="G188" s="16"/>
      <c r="H188" s="16"/>
      <c r="I188" s="16"/>
      <c r="J188" s="17" t="str">
        <f aca="false">IFERROR(INDEX(Ref_EV!$B$2:$B$201,MATCH(I188,Ref_EV!$A$2:$A$201,0)),"")</f>
        <v/>
      </c>
      <c r="K188" s="17" t="str">
        <f aca="false">IFERROR(INDEX(Ref_EV!$C$2:$C$201,MATCH(I188,Ref_EV!$A$2:$A$201,0)),"")</f>
        <v/>
      </c>
      <c r="L188" s="17" t="str">
        <f aca="false">IF(F188="TOD","1",IFERROR(INDEX(Sample_Guide!$C$5:$C$20,MATCH(E188,Sample_Guide!$A$5:$A$20,0))&amp;"–"&amp;INDEX(Sample_Guide!$D$5:$D$20,MATCH(E188,Sample_Guide!$A$5:$A$20,0)),""))</f>
        <v/>
      </c>
      <c r="M188" s="16"/>
      <c r="N188" s="18"/>
      <c r="O188" s="18"/>
      <c r="P188" s="17" t="str">
        <f aca="false">IF(A188="","",IF(OR(D188="ITAC",D188="IPE",D188="ITDM"),"Y","N"))</f>
        <v/>
      </c>
      <c r="Q188" s="16"/>
      <c r="R188" s="16"/>
      <c r="S188" s="18"/>
      <c r="T188" s="18"/>
      <c r="U188" s="16"/>
      <c r="V188" s="16"/>
      <c r="W188" s="16"/>
      <c r="X188" s="17" t="str">
        <f aca="false">IF(A188="","",IF(OR(B188="",F188="",G188="",H188=""),"Control, test type, attributes, procedure needed",IF(COUNTIF(Ref_CTRL!$A$2:$A$201,B188)=0,"CTRL-ID not in W05",IF(LEFT(A188,LEN(B188)+1)&lt;&gt;B188&amp;"-","TEST-ID must start with CTRL-ID-",IF(AND(F188="TOE",I188=""),"Population EV-ID needed (TOE)",IF(AND(I188&lt;&gt;"",J188&lt;&gt;"Pass"),"HOLD: population IPE not Pass",IF(AND(F188="TOE",M188=""),"Sample size needed",IF(AND(F188="TOE",OR(M188&lt;IFERROR(INDEX(Sample_Guide!$C$5:$C$20,MATCH(E188,Sample_Guide!$A$5:$A$20,0)),0),M188&gt;IFERROR(INDEX(Sample_Guide!$D$5:$D$20,MATCH(E188,Sample_Guide!$A$5:$A$20,0)),9999))),"Sample outside guide: justify",IF(OR(Q188="",R188=""),"Tester and reviewer needed",IF(Q188=R188,"Tester and reviewer must differ",IF(AND(W188&lt;&gt;"",W188&lt;&gt;"Not started",V188&lt;&gt;"Reviewed",V188&lt;&gt;"Closed"),"Result only after review","OK")))))))))))</f>
        <v/>
      </c>
    </row>
    <row r="189" customFormat="false" ht="15" hidden="false" customHeight="false" outlineLevel="0" collapsed="false">
      <c r="A189" s="16"/>
      <c r="B189" s="16"/>
      <c r="C189" s="17" t="str">
        <f aca="false">IFERROR(INDEX(Ref_CTRL!$B$2:$B$201,MATCH(B189,Ref_CTRL!$A$2:$A$201,0)),"")</f>
        <v/>
      </c>
      <c r="D189" s="17" t="str">
        <f aca="false">IFERROR(INDEX(Ref_CTRL!$C$2:$C$201,MATCH(B189,Ref_CTRL!$A$2:$A$201,0)),"")</f>
        <v/>
      </c>
      <c r="E189" s="17" t="str">
        <f aca="false">IFERROR(INDEX(Ref_CTRL!$D$2:$D$201,MATCH(B189,Ref_CTRL!$A$2:$A$201,0)),"")</f>
        <v/>
      </c>
      <c r="F189" s="16"/>
      <c r="G189" s="16"/>
      <c r="H189" s="16"/>
      <c r="I189" s="16"/>
      <c r="J189" s="17" t="str">
        <f aca="false">IFERROR(INDEX(Ref_EV!$B$2:$B$201,MATCH(I189,Ref_EV!$A$2:$A$201,0)),"")</f>
        <v/>
      </c>
      <c r="K189" s="17" t="str">
        <f aca="false">IFERROR(INDEX(Ref_EV!$C$2:$C$201,MATCH(I189,Ref_EV!$A$2:$A$201,0)),"")</f>
        <v/>
      </c>
      <c r="L189" s="17" t="str">
        <f aca="false">IF(F189="TOD","1",IFERROR(INDEX(Sample_Guide!$C$5:$C$20,MATCH(E189,Sample_Guide!$A$5:$A$20,0))&amp;"–"&amp;INDEX(Sample_Guide!$D$5:$D$20,MATCH(E189,Sample_Guide!$A$5:$A$20,0)),""))</f>
        <v/>
      </c>
      <c r="M189" s="16"/>
      <c r="N189" s="18"/>
      <c r="O189" s="18"/>
      <c r="P189" s="17" t="str">
        <f aca="false">IF(A189="","",IF(OR(D189="ITAC",D189="IPE",D189="ITDM"),"Y","N"))</f>
        <v/>
      </c>
      <c r="Q189" s="16"/>
      <c r="R189" s="16"/>
      <c r="S189" s="18"/>
      <c r="T189" s="18"/>
      <c r="U189" s="16"/>
      <c r="V189" s="16"/>
      <c r="W189" s="16"/>
      <c r="X189" s="17" t="str">
        <f aca="false">IF(A189="","",IF(OR(B189="",F189="",G189="",H189=""),"Control, test type, attributes, procedure needed",IF(COUNTIF(Ref_CTRL!$A$2:$A$201,B189)=0,"CTRL-ID not in W05",IF(LEFT(A189,LEN(B189)+1)&lt;&gt;B189&amp;"-","TEST-ID must start with CTRL-ID-",IF(AND(F189="TOE",I189=""),"Population EV-ID needed (TOE)",IF(AND(I189&lt;&gt;"",J189&lt;&gt;"Pass"),"HOLD: population IPE not Pass",IF(AND(F189="TOE",M189=""),"Sample size needed",IF(AND(F189="TOE",OR(M189&lt;IFERROR(INDEX(Sample_Guide!$C$5:$C$20,MATCH(E189,Sample_Guide!$A$5:$A$20,0)),0),M189&gt;IFERROR(INDEX(Sample_Guide!$D$5:$D$20,MATCH(E189,Sample_Guide!$A$5:$A$20,0)),9999))),"Sample outside guide: justify",IF(OR(Q189="",R189=""),"Tester and reviewer needed",IF(Q189=R189,"Tester and reviewer must differ",IF(AND(W189&lt;&gt;"",W189&lt;&gt;"Not started",V189&lt;&gt;"Reviewed",V189&lt;&gt;"Closed"),"Result only after review","OK")))))))))))</f>
        <v/>
      </c>
    </row>
    <row r="190" customFormat="false" ht="15" hidden="false" customHeight="false" outlineLevel="0" collapsed="false">
      <c r="A190" s="16"/>
      <c r="B190" s="16"/>
      <c r="C190" s="17" t="str">
        <f aca="false">IFERROR(INDEX(Ref_CTRL!$B$2:$B$201,MATCH(B190,Ref_CTRL!$A$2:$A$201,0)),"")</f>
        <v/>
      </c>
      <c r="D190" s="17" t="str">
        <f aca="false">IFERROR(INDEX(Ref_CTRL!$C$2:$C$201,MATCH(B190,Ref_CTRL!$A$2:$A$201,0)),"")</f>
        <v/>
      </c>
      <c r="E190" s="17" t="str">
        <f aca="false">IFERROR(INDEX(Ref_CTRL!$D$2:$D$201,MATCH(B190,Ref_CTRL!$A$2:$A$201,0)),"")</f>
        <v/>
      </c>
      <c r="F190" s="16"/>
      <c r="G190" s="16"/>
      <c r="H190" s="16"/>
      <c r="I190" s="16"/>
      <c r="J190" s="17" t="str">
        <f aca="false">IFERROR(INDEX(Ref_EV!$B$2:$B$201,MATCH(I190,Ref_EV!$A$2:$A$201,0)),"")</f>
        <v/>
      </c>
      <c r="K190" s="17" t="str">
        <f aca="false">IFERROR(INDEX(Ref_EV!$C$2:$C$201,MATCH(I190,Ref_EV!$A$2:$A$201,0)),"")</f>
        <v/>
      </c>
      <c r="L190" s="17" t="str">
        <f aca="false">IF(F190="TOD","1",IFERROR(INDEX(Sample_Guide!$C$5:$C$20,MATCH(E190,Sample_Guide!$A$5:$A$20,0))&amp;"–"&amp;INDEX(Sample_Guide!$D$5:$D$20,MATCH(E190,Sample_Guide!$A$5:$A$20,0)),""))</f>
        <v/>
      </c>
      <c r="M190" s="16"/>
      <c r="N190" s="18"/>
      <c r="O190" s="18"/>
      <c r="P190" s="17" t="str">
        <f aca="false">IF(A190="","",IF(OR(D190="ITAC",D190="IPE",D190="ITDM"),"Y","N"))</f>
        <v/>
      </c>
      <c r="Q190" s="16"/>
      <c r="R190" s="16"/>
      <c r="S190" s="18"/>
      <c r="T190" s="18"/>
      <c r="U190" s="16"/>
      <c r="V190" s="16"/>
      <c r="W190" s="16"/>
      <c r="X190" s="17" t="str">
        <f aca="false">IF(A190="","",IF(OR(B190="",F190="",G190="",H190=""),"Control, test type, attributes, procedure needed",IF(COUNTIF(Ref_CTRL!$A$2:$A$201,B190)=0,"CTRL-ID not in W05",IF(LEFT(A190,LEN(B190)+1)&lt;&gt;B190&amp;"-","TEST-ID must start with CTRL-ID-",IF(AND(F190="TOE",I190=""),"Population EV-ID needed (TOE)",IF(AND(I190&lt;&gt;"",J190&lt;&gt;"Pass"),"HOLD: population IPE not Pass",IF(AND(F190="TOE",M190=""),"Sample size needed",IF(AND(F190="TOE",OR(M190&lt;IFERROR(INDEX(Sample_Guide!$C$5:$C$20,MATCH(E190,Sample_Guide!$A$5:$A$20,0)),0),M190&gt;IFERROR(INDEX(Sample_Guide!$D$5:$D$20,MATCH(E190,Sample_Guide!$A$5:$A$20,0)),9999))),"Sample outside guide: justify",IF(OR(Q190="",R190=""),"Tester and reviewer needed",IF(Q190=R190,"Tester and reviewer must differ",IF(AND(W190&lt;&gt;"",W190&lt;&gt;"Not started",V190&lt;&gt;"Reviewed",V190&lt;&gt;"Closed"),"Result only after review","OK")))))))))))</f>
        <v/>
      </c>
    </row>
    <row r="191" customFormat="false" ht="15" hidden="false" customHeight="false" outlineLevel="0" collapsed="false">
      <c r="A191" s="16"/>
      <c r="B191" s="16"/>
      <c r="C191" s="17" t="str">
        <f aca="false">IFERROR(INDEX(Ref_CTRL!$B$2:$B$201,MATCH(B191,Ref_CTRL!$A$2:$A$201,0)),"")</f>
        <v/>
      </c>
      <c r="D191" s="17" t="str">
        <f aca="false">IFERROR(INDEX(Ref_CTRL!$C$2:$C$201,MATCH(B191,Ref_CTRL!$A$2:$A$201,0)),"")</f>
        <v/>
      </c>
      <c r="E191" s="17" t="str">
        <f aca="false">IFERROR(INDEX(Ref_CTRL!$D$2:$D$201,MATCH(B191,Ref_CTRL!$A$2:$A$201,0)),"")</f>
        <v/>
      </c>
      <c r="F191" s="16"/>
      <c r="G191" s="16"/>
      <c r="H191" s="16"/>
      <c r="I191" s="16"/>
      <c r="J191" s="17" t="str">
        <f aca="false">IFERROR(INDEX(Ref_EV!$B$2:$B$201,MATCH(I191,Ref_EV!$A$2:$A$201,0)),"")</f>
        <v/>
      </c>
      <c r="K191" s="17" t="str">
        <f aca="false">IFERROR(INDEX(Ref_EV!$C$2:$C$201,MATCH(I191,Ref_EV!$A$2:$A$201,0)),"")</f>
        <v/>
      </c>
      <c r="L191" s="17" t="str">
        <f aca="false">IF(F191="TOD","1",IFERROR(INDEX(Sample_Guide!$C$5:$C$20,MATCH(E191,Sample_Guide!$A$5:$A$20,0))&amp;"–"&amp;INDEX(Sample_Guide!$D$5:$D$20,MATCH(E191,Sample_Guide!$A$5:$A$20,0)),""))</f>
        <v/>
      </c>
      <c r="M191" s="16"/>
      <c r="N191" s="18"/>
      <c r="O191" s="18"/>
      <c r="P191" s="17" t="str">
        <f aca="false">IF(A191="","",IF(OR(D191="ITAC",D191="IPE",D191="ITDM"),"Y","N"))</f>
        <v/>
      </c>
      <c r="Q191" s="16"/>
      <c r="R191" s="16"/>
      <c r="S191" s="18"/>
      <c r="T191" s="18"/>
      <c r="U191" s="16"/>
      <c r="V191" s="16"/>
      <c r="W191" s="16"/>
      <c r="X191" s="17" t="str">
        <f aca="false">IF(A191="","",IF(OR(B191="",F191="",G191="",H191=""),"Control, test type, attributes, procedure needed",IF(COUNTIF(Ref_CTRL!$A$2:$A$201,B191)=0,"CTRL-ID not in W05",IF(LEFT(A191,LEN(B191)+1)&lt;&gt;B191&amp;"-","TEST-ID must start with CTRL-ID-",IF(AND(F191="TOE",I191=""),"Population EV-ID needed (TOE)",IF(AND(I191&lt;&gt;"",J191&lt;&gt;"Pass"),"HOLD: population IPE not Pass",IF(AND(F191="TOE",M191=""),"Sample size needed",IF(AND(F191="TOE",OR(M191&lt;IFERROR(INDEX(Sample_Guide!$C$5:$C$20,MATCH(E191,Sample_Guide!$A$5:$A$20,0)),0),M191&gt;IFERROR(INDEX(Sample_Guide!$D$5:$D$20,MATCH(E191,Sample_Guide!$A$5:$A$20,0)),9999))),"Sample outside guide: justify",IF(OR(Q191="",R191=""),"Tester and reviewer needed",IF(Q191=R191,"Tester and reviewer must differ",IF(AND(W191&lt;&gt;"",W191&lt;&gt;"Not started",V191&lt;&gt;"Reviewed",V191&lt;&gt;"Closed"),"Result only after review","OK")))))))))))</f>
        <v/>
      </c>
    </row>
    <row r="192" customFormat="false" ht="15" hidden="false" customHeight="false" outlineLevel="0" collapsed="false">
      <c r="A192" s="16"/>
      <c r="B192" s="16"/>
      <c r="C192" s="17" t="str">
        <f aca="false">IFERROR(INDEX(Ref_CTRL!$B$2:$B$201,MATCH(B192,Ref_CTRL!$A$2:$A$201,0)),"")</f>
        <v/>
      </c>
      <c r="D192" s="17" t="str">
        <f aca="false">IFERROR(INDEX(Ref_CTRL!$C$2:$C$201,MATCH(B192,Ref_CTRL!$A$2:$A$201,0)),"")</f>
        <v/>
      </c>
      <c r="E192" s="17" t="str">
        <f aca="false">IFERROR(INDEX(Ref_CTRL!$D$2:$D$201,MATCH(B192,Ref_CTRL!$A$2:$A$201,0)),"")</f>
        <v/>
      </c>
      <c r="F192" s="16"/>
      <c r="G192" s="16"/>
      <c r="H192" s="16"/>
      <c r="I192" s="16"/>
      <c r="J192" s="17" t="str">
        <f aca="false">IFERROR(INDEX(Ref_EV!$B$2:$B$201,MATCH(I192,Ref_EV!$A$2:$A$201,0)),"")</f>
        <v/>
      </c>
      <c r="K192" s="17" t="str">
        <f aca="false">IFERROR(INDEX(Ref_EV!$C$2:$C$201,MATCH(I192,Ref_EV!$A$2:$A$201,0)),"")</f>
        <v/>
      </c>
      <c r="L192" s="17" t="str">
        <f aca="false">IF(F192="TOD","1",IFERROR(INDEX(Sample_Guide!$C$5:$C$20,MATCH(E192,Sample_Guide!$A$5:$A$20,0))&amp;"–"&amp;INDEX(Sample_Guide!$D$5:$D$20,MATCH(E192,Sample_Guide!$A$5:$A$20,0)),""))</f>
        <v/>
      </c>
      <c r="M192" s="16"/>
      <c r="N192" s="18"/>
      <c r="O192" s="18"/>
      <c r="P192" s="17" t="str">
        <f aca="false">IF(A192="","",IF(OR(D192="ITAC",D192="IPE",D192="ITDM"),"Y","N"))</f>
        <v/>
      </c>
      <c r="Q192" s="16"/>
      <c r="R192" s="16"/>
      <c r="S192" s="18"/>
      <c r="T192" s="18"/>
      <c r="U192" s="16"/>
      <c r="V192" s="16"/>
      <c r="W192" s="16"/>
      <c r="X192" s="17" t="str">
        <f aca="false">IF(A192="","",IF(OR(B192="",F192="",G192="",H192=""),"Control, test type, attributes, procedure needed",IF(COUNTIF(Ref_CTRL!$A$2:$A$201,B192)=0,"CTRL-ID not in W05",IF(LEFT(A192,LEN(B192)+1)&lt;&gt;B192&amp;"-","TEST-ID must start with CTRL-ID-",IF(AND(F192="TOE",I192=""),"Population EV-ID needed (TOE)",IF(AND(I192&lt;&gt;"",J192&lt;&gt;"Pass"),"HOLD: population IPE not Pass",IF(AND(F192="TOE",M192=""),"Sample size needed",IF(AND(F192="TOE",OR(M192&lt;IFERROR(INDEX(Sample_Guide!$C$5:$C$20,MATCH(E192,Sample_Guide!$A$5:$A$20,0)),0),M192&gt;IFERROR(INDEX(Sample_Guide!$D$5:$D$20,MATCH(E192,Sample_Guide!$A$5:$A$20,0)),9999))),"Sample outside guide: justify",IF(OR(Q192="",R192=""),"Tester and reviewer needed",IF(Q192=R192,"Tester and reviewer must differ",IF(AND(W192&lt;&gt;"",W192&lt;&gt;"Not started",V192&lt;&gt;"Reviewed",V192&lt;&gt;"Closed"),"Result only after review","OK")))))))))))</f>
        <v/>
      </c>
    </row>
    <row r="193" customFormat="false" ht="15" hidden="false" customHeight="false" outlineLevel="0" collapsed="false">
      <c r="A193" s="16"/>
      <c r="B193" s="16"/>
      <c r="C193" s="17" t="str">
        <f aca="false">IFERROR(INDEX(Ref_CTRL!$B$2:$B$201,MATCH(B193,Ref_CTRL!$A$2:$A$201,0)),"")</f>
        <v/>
      </c>
      <c r="D193" s="17" t="str">
        <f aca="false">IFERROR(INDEX(Ref_CTRL!$C$2:$C$201,MATCH(B193,Ref_CTRL!$A$2:$A$201,0)),"")</f>
        <v/>
      </c>
      <c r="E193" s="17" t="str">
        <f aca="false">IFERROR(INDEX(Ref_CTRL!$D$2:$D$201,MATCH(B193,Ref_CTRL!$A$2:$A$201,0)),"")</f>
        <v/>
      </c>
      <c r="F193" s="16"/>
      <c r="G193" s="16"/>
      <c r="H193" s="16"/>
      <c r="I193" s="16"/>
      <c r="J193" s="17" t="str">
        <f aca="false">IFERROR(INDEX(Ref_EV!$B$2:$B$201,MATCH(I193,Ref_EV!$A$2:$A$201,0)),"")</f>
        <v/>
      </c>
      <c r="K193" s="17" t="str">
        <f aca="false">IFERROR(INDEX(Ref_EV!$C$2:$C$201,MATCH(I193,Ref_EV!$A$2:$A$201,0)),"")</f>
        <v/>
      </c>
      <c r="L193" s="17" t="str">
        <f aca="false">IF(F193="TOD","1",IFERROR(INDEX(Sample_Guide!$C$5:$C$20,MATCH(E193,Sample_Guide!$A$5:$A$20,0))&amp;"–"&amp;INDEX(Sample_Guide!$D$5:$D$20,MATCH(E193,Sample_Guide!$A$5:$A$20,0)),""))</f>
        <v/>
      </c>
      <c r="M193" s="16"/>
      <c r="N193" s="18"/>
      <c r="O193" s="18"/>
      <c r="P193" s="17" t="str">
        <f aca="false">IF(A193="","",IF(OR(D193="ITAC",D193="IPE",D193="ITDM"),"Y","N"))</f>
        <v/>
      </c>
      <c r="Q193" s="16"/>
      <c r="R193" s="16"/>
      <c r="S193" s="18"/>
      <c r="T193" s="18"/>
      <c r="U193" s="16"/>
      <c r="V193" s="16"/>
      <c r="W193" s="16"/>
      <c r="X193" s="17" t="str">
        <f aca="false">IF(A193="","",IF(OR(B193="",F193="",G193="",H193=""),"Control, test type, attributes, procedure needed",IF(COUNTIF(Ref_CTRL!$A$2:$A$201,B193)=0,"CTRL-ID not in W05",IF(LEFT(A193,LEN(B193)+1)&lt;&gt;B193&amp;"-","TEST-ID must start with CTRL-ID-",IF(AND(F193="TOE",I193=""),"Population EV-ID needed (TOE)",IF(AND(I193&lt;&gt;"",J193&lt;&gt;"Pass"),"HOLD: population IPE not Pass",IF(AND(F193="TOE",M193=""),"Sample size needed",IF(AND(F193="TOE",OR(M193&lt;IFERROR(INDEX(Sample_Guide!$C$5:$C$20,MATCH(E193,Sample_Guide!$A$5:$A$20,0)),0),M193&gt;IFERROR(INDEX(Sample_Guide!$D$5:$D$20,MATCH(E193,Sample_Guide!$A$5:$A$20,0)),9999))),"Sample outside guide: justify",IF(OR(Q193="",R193=""),"Tester and reviewer needed",IF(Q193=R193,"Tester and reviewer must differ",IF(AND(W193&lt;&gt;"",W193&lt;&gt;"Not started",V193&lt;&gt;"Reviewed",V193&lt;&gt;"Closed"),"Result only after review","OK")))))))))))</f>
        <v/>
      </c>
    </row>
    <row r="194" customFormat="false" ht="15" hidden="false" customHeight="false" outlineLevel="0" collapsed="false">
      <c r="A194" s="16"/>
      <c r="B194" s="16"/>
      <c r="C194" s="17" t="str">
        <f aca="false">IFERROR(INDEX(Ref_CTRL!$B$2:$B$201,MATCH(B194,Ref_CTRL!$A$2:$A$201,0)),"")</f>
        <v/>
      </c>
      <c r="D194" s="17" t="str">
        <f aca="false">IFERROR(INDEX(Ref_CTRL!$C$2:$C$201,MATCH(B194,Ref_CTRL!$A$2:$A$201,0)),"")</f>
        <v/>
      </c>
      <c r="E194" s="17" t="str">
        <f aca="false">IFERROR(INDEX(Ref_CTRL!$D$2:$D$201,MATCH(B194,Ref_CTRL!$A$2:$A$201,0)),"")</f>
        <v/>
      </c>
      <c r="F194" s="16"/>
      <c r="G194" s="16"/>
      <c r="H194" s="16"/>
      <c r="I194" s="16"/>
      <c r="J194" s="17" t="str">
        <f aca="false">IFERROR(INDEX(Ref_EV!$B$2:$B$201,MATCH(I194,Ref_EV!$A$2:$A$201,0)),"")</f>
        <v/>
      </c>
      <c r="K194" s="17" t="str">
        <f aca="false">IFERROR(INDEX(Ref_EV!$C$2:$C$201,MATCH(I194,Ref_EV!$A$2:$A$201,0)),"")</f>
        <v/>
      </c>
      <c r="L194" s="17" t="str">
        <f aca="false">IF(F194="TOD","1",IFERROR(INDEX(Sample_Guide!$C$5:$C$20,MATCH(E194,Sample_Guide!$A$5:$A$20,0))&amp;"–"&amp;INDEX(Sample_Guide!$D$5:$D$20,MATCH(E194,Sample_Guide!$A$5:$A$20,0)),""))</f>
        <v/>
      </c>
      <c r="M194" s="16"/>
      <c r="N194" s="18"/>
      <c r="O194" s="18"/>
      <c r="P194" s="17" t="str">
        <f aca="false">IF(A194="","",IF(OR(D194="ITAC",D194="IPE",D194="ITDM"),"Y","N"))</f>
        <v/>
      </c>
      <c r="Q194" s="16"/>
      <c r="R194" s="16"/>
      <c r="S194" s="18"/>
      <c r="T194" s="18"/>
      <c r="U194" s="16"/>
      <c r="V194" s="16"/>
      <c r="W194" s="16"/>
      <c r="X194" s="17" t="str">
        <f aca="false">IF(A194="","",IF(OR(B194="",F194="",G194="",H194=""),"Control, test type, attributes, procedure needed",IF(COUNTIF(Ref_CTRL!$A$2:$A$201,B194)=0,"CTRL-ID not in W05",IF(LEFT(A194,LEN(B194)+1)&lt;&gt;B194&amp;"-","TEST-ID must start with CTRL-ID-",IF(AND(F194="TOE",I194=""),"Population EV-ID needed (TOE)",IF(AND(I194&lt;&gt;"",J194&lt;&gt;"Pass"),"HOLD: population IPE not Pass",IF(AND(F194="TOE",M194=""),"Sample size needed",IF(AND(F194="TOE",OR(M194&lt;IFERROR(INDEX(Sample_Guide!$C$5:$C$20,MATCH(E194,Sample_Guide!$A$5:$A$20,0)),0),M194&gt;IFERROR(INDEX(Sample_Guide!$D$5:$D$20,MATCH(E194,Sample_Guide!$A$5:$A$20,0)),9999))),"Sample outside guide: justify",IF(OR(Q194="",R194=""),"Tester and reviewer needed",IF(Q194=R194,"Tester and reviewer must differ",IF(AND(W194&lt;&gt;"",W194&lt;&gt;"Not started",V194&lt;&gt;"Reviewed",V194&lt;&gt;"Closed"),"Result only after review","OK")))))))))))</f>
        <v/>
      </c>
    </row>
    <row r="195" customFormat="false" ht="15" hidden="false" customHeight="false" outlineLevel="0" collapsed="false">
      <c r="A195" s="16"/>
      <c r="B195" s="16"/>
      <c r="C195" s="17" t="str">
        <f aca="false">IFERROR(INDEX(Ref_CTRL!$B$2:$B$201,MATCH(B195,Ref_CTRL!$A$2:$A$201,0)),"")</f>
        <v/>
      </c>
      <c r="D195" s="17" t="str">
        <f aca="false">IFERROR(INDEX(Ref_CTRL!$C$2:$C$201,MATCH(B195,Ref_CTRL!$A$2:$A$201,0)),"")</f>
        <v/>
      </c>
      <c r="E195" s="17" t="str">
        <f aca="false">IFERROR(INDEX(Ref_CTRL!$D$2:$D$201,MATCH(B195,Ref_CTRL!$A$2:$A$201,0)),"")</f>
        <v/>
      </c>
      <c r="F195" s="16"/>
      <c r="G195" s="16"/>
      <c r="H195" s="16"/>
      <c r="I195" s="16"/>
      <c r="J195" s="17" t="str">
        <f aca="false">IFERROR(INDEX(Ref_EV!$B$2:$B$201,MATCH(I195,Ref_EV!$A$2:$A$201,0)),"")</f>
        <v/>
      </c>
      <c r="K195" s="17" t="str">
        <f aca="false">IFERROR(INDEX(Ref_EV!$C$2:$C$201,MATCH(I195,Ref_EV!$A$2:$A$201,0)),"")</f>
        <v/>
      </c>
      <c r="L195" s="17" t="str">
        <f aca="false">IF(F195="TOD","1",IFERROR(INDEX(Sample_Guide!$C$5:$C$20,MATCH(E195,Sample_Guide!$A$5:$A$20,0))&amp;"–"&amp;INDEX(Sample_Guide!$D$5:$D$20,MATCH(E195,Sample_Guide!$A$5:$A$20,0)),""))</f>
        <v/>
      </c>
      <c r="M195" s="16"/>
      <c r="N195" s="18"/>
      <c r="O195" s="18"/>
      <c r="P195" s="17" t="str">
        <f aca="false">IF(A195="","",IF(OR(D195="ITAC",D195="IPE",D195="ITDM"),"Y","N"))</f>
        <v/>
      </c>
      <c r="Q195" s="16"/>
      <c r="R195" s="16"/>
      <c r="S195" s="18"/>
      <c r="T195" s="18"/>
      <c r="U195" s="16"/>
      <c r="V195" s="16"/>
      <c r="W195" s="16"/>
      <c r="X195" s="17" t="str">
        <f aca="false">IF(A195="","",IF(OR(B195="",F195="",G195="",H195=""),"Control, test type, attributes, procedure needed",IF(COUNTIF(Ref_CTRL!$A$2:$A$201,B195)=0,"CTRL-ID not in W05",IF(LEFT(A195,LEN(B195)+1)&lt;&gt;B195&amp;"-","TEST-ID must start with CTRL-ID-",IF(AND(F195="TOE",I195=""),"Population EV-ID needed (TOE)",IF(AND(I195&lt;&gt;"",J195&lt;&gt;"Pass"),"HOLD: population IPE not Pass",IF(AND(F195="TOE",M195=""),"Sample size needed",IF(AND(F195="TOE",OR(M195&lt;IFERROR(INDEX(Sample_Guide!$C$5:$C$20,MATCH(E195,Sample_Guide!$A$5:$A$20,0)),0),M195&gt;IFERROR(INDEX(Sample_Guide!$D$5:$D$20,MATCH(E195,Sample_Guide!$A$5:$A$20,0)),9999))),"Sample outside guide: justify",IF(OR(Q195="",R195=""),"Tester and reviewer needed",IF(Q195=R195,"Tester and reviewer must differ",IF(AND(W195&lt;&gt;"",W195&lt;&gt;"Not started",V195&lt;&gt;"Reviewed",V195&lt;&gt;"Closed"),"Result only after review","OK")))))))))))</f>
        <v/>
      </c>
    </row>
    <row r="196" customFormat="false" ht="15" hidden="false" customHeight="false" outlineLevel="0" collapsed="false">
      <c r="A196" s="16"/>
      <c r="B196" s="16"/>
      <c r="C196" s="17" t="str">
        <f aca="false">IFERROR(INDEX(Ref_CTRL!$B$2:$B$201,MATCH(B196,Ref_CTRL!$A$2:$A$201,0)),"")</f>
        <v/>
      </c>
      <c r="D196" s="17" t="str">
        <f aca="false">IFERROR(INDEX(Ref_CTRL!$C$2:$C$201,MATCH(B196,Ref_CTRL!$A$2:$A$201,0)),"")</f>
        <v/>
      </c>
      <c r="E196" s="17" t="str">
        <f aca="false">IFERROR(INDEX(Ref_CTRL!$D$2:$D$201,MATCH(B196,Ref_CTRL!$A$2:$A$201,0)),"")</f>
        <v/>
      </c>
      <c r="F196" s="16"/>
      <c r="G196" s="16"/>
      <c r="H196" s="16"/>
      <c r="I196" s="16"/>
      <c r="J196" s="17" t="str">
        <f aca="false">IFERROR(INDEX(Ref_EV!$B$2:$B$201,MATCH(I196,Ref_EV!$A$2:$A$201,0)),"")</f>
        <v/>
      </c>
      <c r="K196" s="17" t="str">
        <f aca="false">IFERROR(INDEX(Ref_EV!$C$2:$C$201,MATCH(I196,Ref_EV!$A$2:$A$201,0)),"")</f>
        <v/>
      </c>
      <c r="L196" s="17" t="str">
        <f aca="false">IF(F196="TOD","1",IFERROR(INDEX(Sample_Guide!$C$5:$C$20,MATCH(E196,Sample_Guide!$A$5:$A$20,0))&amp;"–"&amp;INDEX(Sample_Guide!$D$5:$D$20,MATCH(E196,Sample_Guide!$A$5:$A$20,0)),""))</f>
        <v/>
      </c>
      <c r="M196" s="16"/>
      <c r="N196" s="18"/>
      <c r="O196" s="18"/>
      <c r="P196" s="17" t="str">
        <f aca="false">IF(A196="","",IF(OR(D196="ITAC",D196="IPE",D196="ITDM"),"Y","N"))</f>
        <v/>
      </c>
      <c r="Q196" s="16"/>
      <c r="R196" s="16"/>
      <c r="S196" s="18"/>
      <c r="T196" s="18"/>
      <c r="U196" s="16"/>
      <c r="V196" s="16"/>
      <c r="W196" s="16"/>
      <c r="X196" s="17" t="str">
        <f aca="false">IF(A196="","",IF(OR(B196="",F196="",G196="",H196=""),"Control, test type, attributes, procedure needed",IF(COUNTIF(Ref_CTRL!$A$2:$A$201,B196)=0,"CTRL-ID not in W05",IF(LEFT(A196,LEN(B196)+1)&lt;&gt;B196&amp;"-","TEST-ID must start with CTRL-ID-",IF(AND(F196="TOE",I196=""),"Population EV-ID needed (TOE)",IF(AND(I196&lt;&gt;"",J196&lt;&gt;"Pass"),"HOLD: population IPE not Pass",IF(AND(F196="TOE",M196=""),"Sample size needed",IF(AND(F196="TOE",OR(M196&lt;IFERROR(INDEX(Sample_Guide!$C$5:$C$20,MATCH(E196,Sample_Guide!$A$5:$A$20,0)),0),M196&gt;IFERROR(INDEX(Sample_Guide!$D$5:$D$20,MATCH(E196,Sample_Guide!$A$5:$A$20,0)),9999))),"Sample outside guide: justify",IF(OR(Q196="",R196=""),"Tester and reviewer needed",IF(Q196=R196,"Tester and reviewer must differ",IF(AND(W196&lt;&gt;"",W196&lt;&gt;"Not started",V196&lt;&gt;"Reviewed",V196&lt;&gt;"Closed"),"Result only after review","OK")))))))))))</f>
        <v/>
      </c>
    </row>
    <row r="197" customFormat="false" ht="15" hidden="false" customHeight="false" outlineLevel="0" collapsed="false">
      <c r="A197" s="16"/>
      <c r="B197" s="16"/>
      <c r="C197" s="17" t="str">
        <f aca="false">IFERROR(INDEX(Ref_CTRL!$B$2:$B$201,MATCH(B197,Ref_CTRL!$A$2:$A$201,0)),"")</f>
        <v/>
      </c>
      <c r="D197" s="17" t="str">
        <f aca="false">IFERROR(INDEX(Ref_CTRL!$C$2:$C$201,MATCH(B197,Ref_CTRL!$A$2:$A$201,0)),"")</f>
        <v/>
      </c>
      <c r="E197" s="17" t="str">
        <f aca="false">IFERROR(INDEX(Ref_CTRL!$D$2:$D$201,MATCH(B197,Ref_CTRL!$A$2:$A$201,0)),"")</f>
        <v/>
      </c>
      <c r="F197" s="16"/>
      <c r="G197" s="16"/>
      <c r="H197" s="16"/>
      <c r="I197" s="16"/>
      <c r="J197" s="17" t="str">
        <f aca="false">IFERROR(INDEX(Ref_EV!$B$2:$B$201,MATCH(I197,Ref_EV!$A$2:$A$201,0)),"")</f>
        <v/>
      </c>
      <c r="K197" s="17" t="str">
        <f aca="false">IFERROR(INDEX(Ref_EV!$C$2:$C$201,MATCH(I197,Ref_EV!$A$2:$A$201,0)),"")</f>
        <v/>
      </c>
      <c r="L197" s="17" t="str">
        <f aca="false">IF(F197="TOD","1",IFERROR(INDEX(Sample_Guide!$C$5:$C$20,MATCH(E197,Sample_Guide!$A$5:$A$20,0))&amp;"–"&amp;INDEX(Sample_Guide!$D$5:$D$20,MATCH(E197,Sample_Guide!$A$5:$A$20,0)),""))</f>
        <v/>
      </c>
      <c r="M197" s="16"/>
      <c r="N197" s="18"/>
      <c r="O197" s="18"/>
      <c r="P197" s="17" t="str">
        <f aca="false">IF(A197="","",IF(OR(D197="ITAC",D197="IPE",D197="ITDM"),"Y","N"))</f>
        <v/>
      </c>
      <c r="Q197" s="16"/>
      <c r="R197" s="16"/>
      <c r="S197" s="18"/>
      <c r="T197" s="18"/>
      <c r="U197" s="16"/>
      <c r="V197" s="16"/>
      <c r="W197" s="16"/>
      <c r="X197" s="17" t="str">
        <f aca="false">IF(A197="","",IF(OR(B197="",F197="",G197="",H197=""),"Control, test type, attributes, procedure needed",IF(COUNTIF(Ref_CTRL!$A$2:$A$201,B197)=0,"CTRL-ID not in W05",IF(LEFT(A197,LEN(B197)+1)&lt;&gt;B197&amp;"-","TEST-ID must start with CTRL-ID-",IF(AND(F197="TOE",I197=""),"Population EV-ID needed (TOE)",IF(AND(I197&lt;&gt;"",J197&lt;&gt;"Pass"),"HOLD: population IPE not Pass",IF(AND(F197="TOE",M197=""),"Sample size needed",IF(AND(F197="TOE",OR(M197&lt;IFERROR(INDEX(Sample_Guide!$C$5:$C$20,MATCH(E197,Sample_Guide!$A$5:$A$20,0)),0),M197&gt;IFERROR(INDEX(Sample_Guide!$D$5:$D$20,MATCH(E197,Sample_Guide!$A$5:$A$20,0)),9999))),"Sample outside guide: justify",IF(OR(Q197="",R197=""),"Tester and reviewer needed",IF(Q197=R197,"Tester and reviewer must differ",IF(AND(W197&lt;&gt;"",W197&lt;&gt;"Not started",V197&lt;&gt;"Reviewed",V197&lt;&gt;"Closed"),"Result only after review","OK")))))))))))</f>
        <v/>
      </c>
    </row>
    <row r="198" customFormat="false" ht="15" hidden="false" customHeight="false" outlineLevel="0" collapsed="false">
      <c r="A198" s="16"/>
      <c r="B198" s="16"/>
      <c r="C198" s="17" t="str">
        <f aca="false">IFERROR(INDEX(Ref_CTRL!$B$2:$B$201,MATCH(B198,Ref_CTRL!$A$2:$A$201,0)),"")</f>
        <v/>
      </c>
      <c r="D198" s="17" t="str">
        <f aca="false">IFERROR(INDEX(Ref_CTRL!$C$2:$C$201,MATCH(B198,Ref_CTRL!$A$2:$A$201,0)),"")</f>
        <v/>
      </c>
      <c r="E198" s="17" t="str">
        <f aca="false">IFERROR(INDEX(Ref_CTRL!$D$2:$D$201,MATCH(B198,Ref_CTRL!$A$2:$A$201,0)),"")</f>
        <v/>
      </c>
      <c r="F198" s="16"/>
      <c r="G198" s="16"/>
      <c r="H198" s="16"/>
      <c r="I198" s="16"/>
      <c r="J198" s="17" t="str">
        <f aca="false">IFERROR(INDEX(Ref_EV!$B$2:$B$201,MATCH(I198,Ref_EV!$A$2:$A$201,0)),"")</f>
        <v/>
      </c>
      <c r="K198" s="17" t="str">
        <f aca="false">IFERROR(INDEX(Ref_EV!$C$2:$C$201,MATCH(I198,Ref_EV!$A$2:$A$201,0)),"")</f>
        <v/>
      </c>
      <c r="L198" s="17" t="str">
        <f aca="false">IF(F198="TOD","1",IFERROR(INDEX(Sample_Guide!$C$5:$C$20,MATCH(E198,Sample_Guide!$A$5:$A$20,0))&amp;"–"&amp;INDEX(Sample_Guide!$D$5:$D$20,MATCH(E198,Sample_Guide!$A$5:$A$20,0)),""))</f>
        <v/>
      </c>
      <c r="M198" s="16"/>
      <c r="N198" s="18"/>
      <c r="O198" s="18"/>
      <c r="P198" s="17" t="str">
        <f aca="false">IF(A198="","",IF(OR(D198="ITAC",D198="IPE",D198="ITDM"),"Y","N"))</f>
        <v/>
      </c>
      <c r="Q198" s="16"/>
      <c r="R198" s="16"/>
      <c r="S198" s="18"/>
      <c r="T198" s="18"/>
      <c r="U198" s="16"/>
      <c r="V198" s="16"/>
      <c r="W198" s="16"/>
      <c r="X198" s="17" t="str">
        <f aca="false">IF(A198="","",IF(OR(B198="",F198="",G198="",H198=""),"Control, test type, attributes, procedure needed",IF(COUNTIF(Ref_CTRL!$A$2:$A$201,B198)=0,"CTRL-ID not in W05",IF(LEFT(A198,LEN(B198)+1)&lt;&gt;B198&amp;"-","TEST-ID must start with CTRL-ID-",IF(AND(F198="TOE",I198=""),"Population EV-ID needed (TOE)",IF(AND(I198&lt;&gt;"",J198&lt;&gt;"Pass"),"HOLD: population IPE not Pass",IF(AND(F198="TOE",M198=""),"Sample size needed",IF(AND(F198="TOE",OR(M198&lt;IFERROR(INDEX(Sample_Guide!$C$5:$C$20,MATCH(E198,Sample_Guide!$A$5:$A$20,0)),0),M198&gt;IFERROR(INDEX(Sample_Guide!$D$5:$D$20,MATCH(E198,Sample_Guide!$A$5:$A$20,0)),9999))),"Sample outside guide: justify",IF(OR(Q198="",R198=""),"Tester and reviewer needed",IF(Q198=R198,"Tester and reviewer must differ",IF(AND(W198&lt;&gt;"",W198&lt;&gt;"Not started",V198&lt;&gt;"Reviewed",V198&lt;&gt;"Closed"),"Result only after review","OK")))))))))))</f>
        <v/>
      </c>
    </row>
    <row r="199" customFormat="false" ht="15" hidden="false" customHeight="false" outlineLevel="0" collapsed="false">
      <c r="A199" s="16"/>
      <c r="B199" s="16"/>
      <c r="C199" s="17" t="str">
        <f aca="false">IFERROR(INDEX(Ref_CTRL!$B$2:$B$201,MATCH(B199,Ref_CTRL!$A$2:$A$201,0)),"")</f>
        <v/>
      </c>
      <c r="D199" s="17" t="str">
        <f aca="false">IFERROR(INDEX(Ref_CTRL!$C$2:$C$201,MATCH(B199,Ref_CTRL!$A$2:$A$201,0)),"")</f>
        <v/>
      </c>
      <c r="E199" s="17" t="str">
        <f aca="false">IFERROR(INDEX(Ref_CTRL!$D$2:$D$201,MATCH(B199,Ref_CTRL!$A$2:$A$201,0)),"")</f>
        <v/>
      </c>
      <c r="F199" s="16"/>
      <c r="G199" s="16"/>
      <c r="H199" s="16"/>
      <c r="I199" s="16"/>
      <c r="J199" s="17" t="str">
        <f aca="false">IFERROR(INDEX(Ref_EV!$B$2:$B$201,MATCH(I199,Ref_EV!$A$2:$A$201,0)),"")</f>
        <v/>
      </c>
      <c r="K199" s="17" t="str">
        <f aca="false">IFERROR(INDEX(Ref_EV!$C$2:$C$201,MATCH(I199,Ref_EV!$A$2:$A$201,0)),"")</f>
        <v/>
      </c>
      <c r="L199" s="17" t="str">
        <f aca="false">IF(F199="TOD","1",IFERROR(INDEX(Sample_Guide!$C$5:$C$20,MATCH(E199,Sample_Guide!$A$5:$A$20,0))&amp;"–"&amp;INDEX(Sample_Guide!$D$5:$D$20,MATCH(E199,Sample_Guide!$A$5:$A$20,0)),""))</f>
        <v/>
      </c>
      <c r="M199" s="16"/>
      <c r="N199" s="18"/>
      <c r="O199" s="18"/>
      <c r="P199" s="17" t="str">
        <f aca="false">IF(A199="","",IF(OR(D199="ITAC",D199="IPE",D199="ITDM"),"Y","N"))</f>
        <v/>
      </c>
      <c r="Q199" s="16"/>
      <c r="R199" s="16"/>
      <c r="S199" s="18"/>
      <c r="T199" s="18"/>
      <c r="U199" s="16"/>
      <c r="V199" s="16"/>
      <c r="W199" s="16"/>
      <c r="X199" s="17" t="str">
        <f aca="false">IF(A199="","",IF(OR(B199="",F199="",G199="",H199=""),"Control, test type, attributes, procedure needed",IF(COUNTIF(Ref_CTRL!$A$2:$A$201,B199)=0,"CTRL-ID not in W05",IF(LEFT(A199,LEN(B199)+1)&lt;&gt;B199&amp;"-","TEST-ID must start with CTRL-ID-",IF(AND(F199="TOE",I199=""),"Population EV-ID needed (TOE)",IF(AND(I199&lt;&gt;"",J199&lt;&gt;"Pass"),"HOLD: population IPE not Pass",IF(AND(F199="TOE",M199=""),"Sample size needed",IF(AND(F199="TOE",OR(M199&lt;IFERROR(INDEX(Sample_Guide!$C$5:$C$20,MATCH(E199,Sample_Guide!$A$5:$A$20,0)),0),M199&gt;IFERROR(INDEX(Sample_Guide!$D$5:$D$20,MATCH(E199,Sample_Guide!$A$5:$A$20,0)),9999))),"Sample outside guide: justify",IF(OR(Q199="",R199=""),"Tester and reviewer needed",IF(Q199=R199,"Tester and reviewer must differ",IF(AND(W199&lt;&gt;"",W199&lt;&gt;"Not started",V199&lt;&gt;"Reviewed",V199&lt;&gt;"Closed"),"Result only after review","OK")))))))))))</f>
        <v/>
      </c>
    </row>
    <row r="200" customFormat="false" ht="15" hidden="false" customHeight="false" outlineLevel="0" collapsed="false">
      <c r="A200" s="16"/>
      <c r="B200" s="16"/>
      <c r="C200" s="17" t="str">
        <f aca="false">IFERROR(INDEX(Ref_CTRL!$B$2:$B$201,MATCH(B200,Ref_CTRL!$A$2:$A$201,0)),"")</f>
        <v/>
      </c>
      <c r="D200" s="17" t="str">
        <f aca="false">IFERROR(INDEX(Ref_CTRL!$C$2:$C$201,MATCH(B200,Ref_CTRL!$A$2:$A$201,0)),"")</f>
        <v/>
      </c>
      <c r="E200" s="17" t="str">
        <f aca="false">IFERROR(INDEX(Ref_CTRL!$D$2:$D$201,MATCH(B200,Ref_CTRL!$A$2:$A$201,0)),"")</f>
        <v/>
      </c>
      <c r="F200" s="16"/>
      <c r="G200" s="16"/>
      <c r="H200" s="16"/>
      <c r="I200" s="16"/>
      <c r="J200" s="17" t="str">
        <f aca="false">IFERROR(INDEX(Ref_EV!$B$2:$B$201,MATCH(I200,Ref_EV!$A$2:$A$201,0)),"")</f>
        <v/>
      </c>
      <c r="K200" s="17" t="str">
        <f aca="false">IFERROR(INDEX(Ref_EV!$C$2:$C$201,MATCH(I200,Ref_EV!$A$2:$A$201,0)),"")</f>
        <v/>
      </c>
      <c r="L200" s="17" t="str">
        <f aca="false">IF(F200="TOD","1",IFERROR(INDEX(Sample_Guide!$C$5:$C$20,MATCH(E200,Sample_Guide!$A$5:$A$20,0))&amp;"–"&amp;INDEX(Sample_Guide!$D$5:$D$20,MATCH(E200,Sample_Guide!$A$5:$A$20,0)),""))</f>
        <v/>
      </c>
      <c r="M200" s="16"/>
      <c r="N200" s="18"/>
      <c r="O200" s="18"/>
      <c r="P200" s="17" t="str">
        <f aca="false">IF(A200="","",IF(OR(D200="ITAC",D200="IPE",D200="ITDM"),"Y","N"))</f>
        <v/>
      </c>
      <c r="Q200" s="16"/>
      <c r="R200" s="16"/>
      <c r="S200" s="18"/>
      <c r="T200" s="18"/>
      <c r="U200" s="16"/>
      <c r="V200" s="16"/>
      <c r="W200" s="16"/>
      <c r="X200" s="17" t="str">
        <f aca="false">IF(A200="","",IF(OR(B200="",F200="",G200="",H200=""),"Control, test type, attributes, procedure needed",IF(COUNTIF(Ref_CTRL!$A$2:$A$201,B200)=0,"CTRL-ID not in W05",IF(LEFT(A200,LEN(B200)+1)&lt;&gt;B200&amp;"-","TEST-ID must start with CTRL-ID-",IF(AND(F200="TOE",I200=""),"Population EV-ID needed (TOE)",IF(AND(I200&lt;&gt;"",J200&lt;&gt;"Pass"),"HOLD: population IPE not Pass",IF(AND(F200="TOE",M200=""),"Sample size needed",IF(AND(F200="TOE",OR(M200&lt;IFERROR(INDEX(Sample_Guide!$C$5:$C$20,MATCH(E200,Sample_Guide!$A$5:$A$20,0)),0),M200&gt;IFERROR(INDEX(Sample_Guide!$D$5:$D$20,MATCH(E200,Sample_Guide!$A$5:$A$20,0)),9999))),"Sample outside guide: justify",IF(OR(Q200="",R200=""),"Tester and reviewer needed",IF(Q200=R200,"Tester and reviewer must differ",IF(AND(W200&lt;&gt;"",W200&lt;&gt;"Not started",V200&lt;&gt;"Reviewed",V200&lt;&gt;"Closed"),"Result only after review","OK")))))))))))</f>
        <v/>
      </c>
    </row>
    <row r="201" customFormat="false" ht="15" hidden="false" customHeight="false" outlineLevel="0" collapsed="false">
      <c r="A201" s="16"/>
      <c r="B201" s="16"/>
      <c r="C201" s="17" t="str">
        <f aca="false">IFERROR(INDEX(Ref_CTRL!$B$2:$B$201,MATCH(B201,Ref_CTRL!$A$2:$A$201,0)),"")</f>
        <v/>
      </c>
      <c r="D201" s="17" t="str">
        <f aca="false">IFERROR(INDEX(Ref_CTRL!$C$2:$C$201,MATCH(B201,Ref_CTRL!$A$2:$A$201,0)),"")</f>
        <v/>
      </c>
      <c r="E201" s="17" t="str">
        <f aca="false">IFERROR(INDEX(Ref_CTRL!$D$2:$D$201,MATCH(B201,Ref_CTRL!$A$2:$A$201,0)),"")</f>
        <v/>
      </c>
      <c r="F201" s="16"/>
      <c r="G201" s="16"/>
      <c r="H201" s="16"/>
      <c r="I201" s="16"/>
      <c r="J201" s="17" t="str">
        <f aca="false">IFERROR(INDEX(Ref_EV!$B$2:$B$201,MATCH(I201,Ref_EV!$A$2:$A$201,0)),"")</f>
        <v/>
      </c>
      <c r="K201" s="17" t="str">
        <f aca="false">IFERROR(INDEX(Ref_EV!$C$2:$C$201,MATCH(I201,Ref_EV!$A$2:$A$201,0)),"")</f>
        <v/>
      </c>
      <c r="L201" s="17" t="str">
        <f aca="false">IF(F201="TOD","1",IFERROR(INDEX(Sample_Guide!$C$5:$C$20,MATCH(E201,Sample_Guide!$A$5:$A$20,0))&amp;"–"&amp;INDEX(Sample_Guide!$D$5:$D$20,MATCH(E201,Sample_Guide!$A$5:$A$20,0)),""))</f>
        <v/>
      </c>
      <c r="M201" s="16"/>
      <c r="N201" s="18"/>
      <c r="O201" s="18"/>
      <c r="P201" s="17" t="str">
        <f aca="false">IF(A201="","",IF(OR(D201="ITAC",D201="IPE",D201="ITDM"),"Y","N"))</f>
        <v/>
      </c>
      <c r="Q201" s="16"/>
      <c r="R201" s="16"/>
      <c r="S201" s="18"/>
      <c r="T201" s="18"/>
      <c r="U201" s="16"/>
      <c r="V201" s="16"/>
      <c r="W201" s="16"/>
      <c r="X201" s="17" t="str">
        <f aca="false">IF(A201="","",IF(OR(B201="",F201="",G201="",H201=""),"Control, test type, attributes, procedure needed",IF(COUNTIF(Ref_CTRL!$A$2:$A$201,B201)=0,"CTRL-ID not in W05",IF(LEFT(A201,LEN(B201)+1)&lt;&gt;B201&amp;"-","TEST-ID must start with CTRL-ID-",IF(AND(F201="TOE",I201=""),"Population EV-ID needed (TOE)",IF(AND(I201&lt;&gt;"",J201&lt;&gt;"Pass"),"HOLD: population IPE not Pass",IF(AND(F201="TOE",M201=""),"Sample size needed",IF(AND(F201="TOE",OR(M201&lt;IFERROR(INDEX(Sample_Guide!$C$5:$C$20,MATCH(E201,Sample_Guide!$A$5:$A$20,0)),0),M201&gt;IFERROR(INDEX(Sample_Guide!$D$5:$D$20,MATCH(E201,Sample_Guide!$A$5:$A$20,0)),9999))),"Sample outside guide: justify",IF(OR(Q201="",R201=""),"Tester and reviewer needed",IF(Q201=R201,"Tester and reviewer must differ",IF(AND(W201&lt;&gt;"",W201&lt;&gt;"Not started",V201&lt;&gt;"Reviewed",V201&lt;&gt;"Closed"),"Result only after review","OK")))))))))))</f>
        <v/>
      </c>
    </row>
    <row r="202" customFormat="false" ht="15" hidden="false" customHeight="false" outlineLevel="0" collapsed="false">
      <c r="A202" s="16"/>
      <c r="B202" s="16"/>
      <c r="C202" s="17" t="str">
        <f aca="false">IFERROR(INDEX(Ref_CTRL!$B$2:$B$201,MATCH(B202,Ref_CTRL!$A$2:$A$201,0)),"")</f>
        <v/>
      </c>
      <c r="D202" s="17" t="str">
        <f aca="false">IFERROR(INDEX(Ref_CTRL!$C$2:$C$201,MATCH(B202,Ref_CTRL!$A$2:$A$201,0)),"")</f>
        <v/>
      </c>
      <c r="E202" s="17" t="str">
        <f aca="false">IFERROR(INDEX(Ref_CTRL!$D$2:$D$201,MATCH(B202,Ref_CTRL!$A$2:$A$201,0)),"")</f>
        <v/>
      </c>
      <c r="F202" s="16"/>
      <c r="G202" s="16"/>
      <c r="H202" s="16"/>
      <c r="I202" s="16"/>
      <c r="J202" s="17" t="str">
        <f aca="false">IFERROR(INDEX(Ref_EV!$B$2:$B$201,MATCH(I202,Ref_EV!$A$2:$A$201,0)),"")</f>
        <v/>
      </c>
      <c r="K202" s="17" t="str">
        <f aca="false">IFERROR(INDEX(Ref_EV!$C$2:$C$201,MATCH(I202,Ref_EV!$A$2:$A$201,0)),"")</f>
        <v/>
      </c>
      <c r="L202" s="17" t="str">
        <f aca="false">IF(F202="TOD","1",IFERROR(INDEX(Sample_Guide!$C$5:$C$20,MATCH(E202,Sample_Guide!$A$5:$A$20,0))&amp;"–"&amp;INDEX(Sample_Guide!$D$5:$D$20,MATCH(E202,Sample_Guide!$A$5:$A$20,0)),""))</f>
        <v/>
      </c>
      <c r="M202" s="16"/>
      <c r="N202" s="18"/>
      <c r="O202" s="18"/>
      <c r="P202" s="17" t="str">
        <f aca="false">IF(A202="","",IF(OR(D202="ITAC",D202="IPE",D202="ITDM"),"Y","N"))</f>
        <v/>
      </c>
      <c r="Q202" s="16"/>
      <c r="R202" s="16"/>
      <c r="S202" s="18"/>
      <c r="T202" s="18"/>
      <c r="U202" s="16"/>
      <c r="V202" s="16"/>
      <c r="W202" s="16"/>
      <c r="X202" s="17" t="str">
        <f aca="false">IF(A202="","",IF(OR(B202="",F202="",G202="",H202=""),"Control, test type, attributes, procedure needed",IF(COUNTIF(Ref_CTRL!$A$2:$A$201,B202)=0,"CTRL-ID not in W05",IF(LEFT(A202,LEN(B202)+1)&lt;&gt;B202&amp;"-","TEST-ID must start with CTRL-ID-",IF(AND(F202="TOE",I202=""),"Population EV-ID needed (TOE)",IF(AND(I202&lt;&gt;"",J202&lt;&gt;"Pass"),"HOLD: population IPE not Pass",IF(AND(F202="TOE",M202=""),"Sample size needed",IF(AND(F202="TOE",OR(M202&lt;IFERROR(INDEX(Sample_Guide!$C$5:$C$20,MATCH(E202,Sample_Guide!$A$5:$A$20,0)),0),M202&gt;IFERROR(INDEX(Sample_Guide!$D$5:$D$20,MATCH(E202,Sample_Guide!$A$5:$A$20,0)),9999))),"Sample outside guide: justify",IF(OR(Q202="",R202=""),"Tester and reviewer needed",IF(Q202=R202,"Tester and reviewer must differ",IF(AND(W202&lt;&gt;"",W202&lt;&gt;"Not started",V202&lt;&gt;"Reviewed",V202&lt;&gt;"Closed"),"Result only after review","OK")))))))))))</f>
        <v/>
      </c>
    </row>
    <row r="203" customFormat="false" ht="15" hidden="false" customHeight="false" outlineLevel="0" collapsed="false">
      <c r="A203" s="16"/>
      <c r="B203" s="16"/>
      <c r="C203" s="17" t="str">
        <f aca="false">IFERROR(INDEX(Ref_CTRL!$B$2:$B$201,MATCH(B203,Ref_CTRL!$A$2:$A$201,0)),"")</f>
        <v/>
      </c>
      <c r="D203" s="17" t="str">
        <f aca="false">IFERROR(INDEX(Ref_CTRL!$C$2:$C$201,MATCH(B203,Ref_CTRL!$A$2:$A$201,0)),"")</f>
        <v/>
      </c>
      <c r="E203" s="17" t="str">
        <f aca="false">IFERROR(INDEX(Ref_CTRL!$D$2:$D$201,MATCH(B203,Ref_CTRL!$A$2:$A$201,0)),"")</f>
        <v/>
      </c>
      <c r="F203" s="16"/>
      <c r="G203" s="16"/>
      <c r="H203" s="16"/>
      <c r="I203" s="16"/>
      <c r="J203" s="17" t="str">
        <f aca="false">IFERROR(INDEX(Ref_EV!$B$2:$B$201,MATCH(I203,Ref_EV!$A$2:$A$201,0)),"")</f>
        <v/>
      </c>
      <c r="K203" s="17" t="str">
        <f aca="false">IFERROR(INDEX(Ref_EV!$C$2:$C$201,MATCH(I203,Ref_EV!$A$2:$A$201,0)),"")</f>
        <v/>
      </c>
      <c r="L203" s="17" t="str">
        <f aca="false">IF(F203="TOD","1",IFERROR(INDEX(Sample_Guide!$C$5:$C$20,MATCH(E203,Sample_Guide!$A$5:$A$20,0))&amp;"–"&amp;INDEX(Sample_Guide!$D$5:$D$20,MATCH(E203,Sample_Guide!$A$5:$A$20,0)),""))</f>
        <v/>
      </c>
      <c r="M203" s="16"/>
      <c r="N203" s="18"/>
      <c r="O203" s="18"/>
      <c r="P203" s="17" t="str">
        <f aca="false">IF(A203="","",IF(OR(D203="ITAC",D203="IPE",D203="ITDM"),"Y","N"))</f>
        <v/>
      </c>
      <c r="Q203" s="16"/>
      <c r="R203" s="16"/>
      <c r="S203" s="18"/>
      <c r="T203" s="18"/>
      <c r="U203" s="16"/>
      <c r="V203" s="16"/>
      <c r="W203" s="16"/>
      <c r="X203" s="17" t="str">
        <f aca="false">IF(A203="","",IF(OR(B203="",F203="",G203="",H203=""),"Control, test type, attributes, procedure needed",IF(COUNTIF(Ref_CTRL!$A$2:$A$201,B203)=0,"CTRL-ID not in W05",IF(LEFT(A203,LEN(B203)+1)&lt;&gt;B203&amp;"-","TEST-ID must start with CTRL-ID-",IF(AND(F203="TOE",I203=""),"Population EV-ID needed (TOE)",IF(AND(I203&lt;&gt;"",J203&lt;&gt;"Pass"),"HOLD: population IPE not Pass",IF(AND(F203="TOE",M203=""),"Sample size needed",IF(AND(F203="TOE",OR(M203&lt;IFERROR(INDEX(Sample_Guide!$C$5:$C$20,MATCH(E203,Sample_Guide!$A$5:$A$20,0)),0),M203&gt;IFERROR(INDEX(Sample_Guide!$D$5:$D$20,MATCH(E203,Sample_Guide!$A$5:$A$20,0)),9999))),"Sample outside guide: justify",IF(OR(Q203="",R203=""),"Tester and reviewer needed",IF(Q203=R203,"Tester and reviewer must differ",IF(AND(W203&lt;&gt;"",W203&lt;&gt;"Not started",V203&lt;&gt;"Reviewed",V203&lt;&gt;"Closed"),"Result only after review","OK")))))))))))</f>
        <v/>
      </c>
    </row>
    <row r="204" customFormat="false" ht="15" hidden="false" customHeight="false" outlineLevel="0" collapsed="false">
      <c r="A204" s="16"/>
      <c r="B204" s="16"/>
      <c r="C204" s="17" t="str">
        <f aca="false">IFERROR(INDEX(Ref_CTRL!$B$2:$B$201,MATCH(B204,Ref_CTRL!$A$2:$A$201,0)),"")</f>
        <v/>
      </c>
      <c r="D204" s="17" t="str">
        <f aca="false">IFERROR(INDEX(Ref_CTRL!$C$2:$C$201,MATCH(B204,Ref_CTRL!$A$2:$A$201,0)),"")</f>
        <v/>
      </c>
      <c r="E204" s="17" t="str">
        <f aca="false">IFERROR(INDEX(Ref_CTRL!$D$2:$D$201,MATCH(B204,Ref_CTRL!$A$2:$A$201,0)),"")</f>
        <v/>
      </c>
      <c r="F204" s="16"/>
      <c r="G204" s="16"/>
      <c r="H204" s="16"/>
      <c r="I204" s="16"/>
      <c r="J204" s="17" t="str">
        <f aca="false">IFERROR(INDEX(Ref_EV!$B$2:$B$201,MATCH(I204,Ref_EV!$A$2:$A$201,0)),"")</f>
        <v/>
      </c>
      <c r="K204" s="17" t="str">
        <f aca="false">IFERROR(INDEX(Ref_EV!$C$2:$C$201,MATCH(I204,Ref_EV!$A$2:$A$201,0)),"")</f>
        <v/>
      </c>
      <c r="L204" s="17" t="str">
        <f aca="false">IF(F204="TOD","1",IFERROR(INDEX(Sample_Guide!$C$5:$C$20,MATCH(E204,Sample_Guide!$A$5:$A$20,0))&amp;"–"&amp;INDEX(Sample_Guide!$D$5:$D$20,MATCH(E204,Sample_Guide!$A$5:$A$20,0)),""))</f>
        <v/>
      </c>
      <c r="M204" s="16"/>
      <c r="N204" s="18"/>
      <c r="O204" s="18"/>
      <c r="P204" s="17" t="str">
        <f aca="false">IF(A204="","",IF(OR(D204="ITAC",D204="IPE",D204="ITDM"),"Y","N"))</f>
        <v/>
      </c>
      <c r="Q204" s="16"/>
      <c r="R204" s="16"/>
      <c r="S204" s="18"/>
      <c r="T204" s="18"/>
      <c r="U204" s="16"/>
      <c r="V204" s="16"/>
      <c r="W204" s="16"/>
      <c r="X204" s="17" t="str">
        <f aca="false">IF(A204="","",IF(OR(B204="",F204="",G204="",H204=""),"Control, test type, attributes, procedure needed",IF(COUNTIF(Ref_CTRL!$A$2:$A$201,B204)=0,"CTRL-ID not in W05",IF(LEFT(A204,LEN(B204)+1)&lt;&gt;B204&amp;"-","TEST-ID must start with CTRL-ID-",IF(AND(F204="TOE",I204=""),"Population EV-ID needed (TOE)",IF(AND(I204&lt;&gt;"",J204&lt;&gt;"Pass"),"HOLD: population IPE not Pass",IF(AND(F204="TOE",M204=""),"Sample size needed",IF(AND(F204="TOE",OR(M204&lt;IFERROR(INDEX(Sample_Guide!$C$5:$C$20,MATCH(E204,Sample_Guide!$A$5:$A$20,0)),0),M204&gt;IFERROR(INDEX(Sample_Guide!$D$5:$D$20,MATCH(E204,Sample_Guide!$A$5:$A$20,0)),9999))),"Sample outside guide: justify",IF(OR(Q204="",R204=""),"Tester and reviewer needed",IF(Q204=R204,"Tester and reviewer must differ",IF(AND(W204&lt;&gt;"",W204&lt;&gt;"Not started",V204&lt;&gt;"Reviewed",V204&lt;&gt;"Closed"),"Result only after review","OK")))))))))))</f>
        <v/>
      </c>
    </row>
  </sheetData>
  <autoFilter ref="A4:X204"/>
  <dataValidations count="5">
    <dataValidation allowBlank="true" error="Pick a value from the list." errorStyle="warning" operator="between" showDropDown="false" showErrorMessage="true" showInputMessage="false" sqref="B5:B204" type="list">
      <formula1>Ref_CTRL!$A$2:$A$201</formula1>
      <formula2>0</formula2>
    </dataValidation>
    <dataValidation allowBlank="true" error="Pick a value from the list." errorStyle="stop" operator="between" showDropDown="false" showErrorMessage="true" showInputMessage="false" sqref="F5:F204" type="list">
      <formula1>Lists!$A$2:$A$3</formula1>
      <formula2>0</formula2>
    </dataValidation>
    <dataValidation allowBlank="true" error="Pick a value from the list." errorStyle="warning" operator="between" showDropDown="false" showErrorMessage="true" showInputMessage="false" sqref="I5:I204" type="list">
      <formula1>Ref_EV!$A$2:$A$201</formula1>
      <formula2>0</formula2>
    </dataValidation>
    <dataValidation allowBlank="true" error="Pick a value from the list." errorStyle="stop" operator="between" showDropDown="false" showErrorMessage="true" showInputMessage="false" sqref="V5:V204" type="list">
      <formula1>Lists!$B$2:$B$6</formula1>
      <formula2>0</formula2>
    </dataValidation>
    <dataValidation allowBlank="true" error="Pick a value from the list." errorStyle="stop" operator="between" showDropDown="false" showErrorMessage="true" showInputMessage="false" sqref="W5:W204" type="list">
      <formula1>Lists!$C$2:$C$5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9" t="s">
        <v>105</v>
      </c>
    </row>
    <row r="2" customFormat="false" ht="15" hidden="false" customHeight="false" outlineLevel="0" collapsed="false">
      <c r="A2" s="10" t="s">
        <v>106</v>
      </c>
    </row>
    <row r="4" customFormat="false" ht="15" hidden="false" customHeight="false" outlineLevel="0" collapsed="false">
      <c r="A4" s="19" t="s">
        <v>107</v>
      </c>
      <c r="B4" s="19" t="s">
        <v>108</v>
      </c>
      <c r="C4" s="19" t="s">
        <v>109</v>
      </c>
      <c r="D4" s="19" t="s">
        <v>110</v>
      </c>
      <c r="E4" s="19" t="s">
        <v>111</v>
      </c>
    </row>
    <row r="5" customFormat="false" ht="15" hidden="false" customHeight="false" outlineLevel="0" collapsed="false">
      <c r="A5" s="20" t="s">
        <v>112</v>
      </c>
      <c r="B5" s="20" t="n">
        <v>1</v>
      </c>
      <c r="C5" s="20" t="n">
        <v>1</v>
      </c>
      <c r="D5" s="20" t="n">
        <v>1</v>
      </c>
      <c r="E5" s="20"/>
    </row>
    <row r="6" customFormat="false" ht="15" hidden="false" customHeight="false" outlineLevel="0" collapsed="false">
      <c r="A6" s="20" t="s">
        <v>113</v>
      </c>
      <c r="B6" s="20" t="n">
        <v>4</v>
      </c>
      <c r="C6" s="20" t="n">
        <v>2</v>
      </c>
      <c r="D6" s="20" t="n">
        <v>2</v>
      </c>
      <c r="E6" s="20"/>
    </row>
    <row r="7" customFormat="false" ht="15" hidden="false" customHeight="false" outlineLevel="0" collapsed="false">
      <c r="A7" s="20" t="s">
        <v>114</v>
      </c>
      <c r="B7" s="20" t="n">
        <v>12</v>
      </c>
      <c r="C7" s="20" t="n">
        <v>2</v>
      </c>
      <c r="D7" s="20" t="n">
        <v>5</v>
      </c>
      <c r="E7" s="20"/>
    </row>
    <row r="8" customFormat="false" ht="15" hidden="false" customHeight="false" outlineLevel="0" collapsed="false">
      <c r="A8" s="20" t="s">
        <v>115</v>
      </c>
      <c r="B8" s="20" t="n">
        <v>52</v>
      </c>
      <c r="C8" s="20" t="n">
        <v>5</v>
      </c>
      <c r="D8" s="20" t="n">
        <v>15</v>
      </c>
      <c r="E8" s="20"/>
    </row>
    <row r="9" customFormat="false" ht="15" hidden="false" customHeight="false" outlineLevel="0" collapsed="false">
      <c r="A9" s="20" t="s">
        <v>116</v>
      </c>
      <c r="B9" s="20" t="n">
        <v>250</v>
      </c>
      <c r="C9" s="20" t="n">
        <v>20</v>
      </c>
      <c r="D9" s="20" t="n">
        <v>40</v>
      </c>
      <c r="E9" s="20"/>
    </row>
    <row r="10" customFormat="false" ht="15" hidden="false" customHeight="false" outlineLevel="0" collapsed="false">
      <c r="A10" s="20" t="s">
        <v>117</v>
      </c>
      <c r="B10" s="20" t="n">
        <v>300</v>
      </c>
      <c r="C10" s="20" t="n">
        <v>25</v>
      </c>
      <c r="D10" s="20" t="n">
        <v>60</v>
      </c>
      <c r="E10" s="20" t="s">
        <v>118</v>
      </c>
    </row>
    <row r="11" customFormat="false" ht="15" hidden="false" customHeight="false" outlineLevel="0" collapsed="false">
      <c r="A11" s="20" t="s">
        <v>119</v>
      </c>
      <c r="B11" s="20"/>
      <c r="C11" s="20" t="n">
        <v>1</v>
      </c>
      <c r="D11" s="20" t="n">
        <v>1</v>
      </c>
      <c r="E11" s="20" t="s">
        <v>120</v>
      </c>
    </row>
    <row r="12" customFormat="false" ht="15" hidden="false" customHeight="false" outlineLevel="0" collapsed="false">
      <c r="A12" s="20"/>
      <c r="B12" s="20"/>
      <c r="C12" s="20"/>
      <c r="D12" s="20"/>
      <c r="E12" s="20"/>
    </row>
    <row r="13" customFormat="false" ht="15" hidden="false" customHeight="false" outlineLevel="0" collapsed="false">
      <c r="A13" s="20"/>
      <c r="B13" s="20"/>
      <c r="C13" s="20"/>
      <c r="D13" s="20"/>
      <c r="E13" s="20"/>
    </row>
    <row r="14" customFormat="false" ht="15" hidden="false" customHeight="false" outlineLevel="0" collapsed="false">
      <c r="A14" s="20"/>
      <c r="B14" s="20"/>
      <c r="C14" s="20"/>
      <c r="D14" s="20"/>
      <c r="E14" s="20"/>
    </row>
    <row r="15" customFormat="false" ht="15" hidden="false" customHeight="false" outlineLevel="0" collapsed="false">
      <c r="A15" s="20"/>
      <c r="B15" s="20"/>
      <c r="C15" s="20"/>
      <c r="D15" s="20"/>
      <c r="E15" s="20"/>
    </row>
    <row r="16" customFormat="false" ht="15" hidden="false" customHeight="false" outlineLevel="0" collapsed="false">
      <c r="A16" s="20"/>
      <c r="B16" s="20"/>
      <c r="C16" s="20"/>
      <c r="D16" s="20"/>
      <c r="E16" s="20"/>
    </row>
    <row r="17" customFormat="false" ht="15" hidden="false" customHeight="false" outlineLevel="0" collapsed="false">
      <c r="A17" s="20"/>
      <c r="B17" s="20"/>
      <c r="C17" s="20"/>
      <c r="D17" s="20"/>
      <c r="E17" s="20"/>
    </row>
    <row r="18" customFormat="false" ht="15" hidden="false" customHeight="false" outlineLevel="0" collapsed="false">
      <c r="A18" s="20"/>
      <c r="B18" s="20"/>
      <c r="C18" s="20"/>
      <c r="D18" s="20"/>
      <c r="E18" s="20"/>
    </row>
    <row r="19" customFormat="false" ht="15" hidden="false" customHeight="false" outlineLevel="0" collapsed="false">
      <c r="A19" s="20"/>
      <c r="B19" s="20"/>
      <c r="C19" s="20"/>
      <c r="D19" s="20"/>
      <c r="E19" s="20"/>
    </row>
    <row r="20" customFormat="false" ht="15" hidden="false" customHeight="false" outlineLevel="0" collapsed="false">
      <c r="A20" s="20"/>
      <c r="B20" s="20"/>
      <c r="C20" s="20"/>
      <c r="D20" s="20"/>
      <c r="E20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44"/>
  </cols>
  <sheetData>
    <row r="1" customFormat="false" ht="31.5" hidden="false" customHeight="true" outlineLevel="0" collapsed="false">
      <c r="A1" s="21" t="s">
        <v>121</v>
      </c>
      <c r="B1" s="21" t="s">
        <v>33</v>
      </c>
      <c r="C1" s="21" t="s">
        <v>36</v>
      </c>
      <c r="D1" s="21" t="s">
        <v>38</v>
      </c>
      <c r="E1" s="21" t="s">
        <v>122</v>
      </c>
      <c r="F1" s="21" t="s">
        <v>123</v>
      </c>
    </row>
    <row r="2" customFormat="false" ht="15" hidden="false" customHeight="false" outlineLevel="0" collapsed="false">
      <c r="A2" s="20" t="s">
        <v>91</v>
      </c>
      <c r="B2" s="20" t="s">
        <v>124</v>
      </c>
      <c r="C2" s="20" t="s">
        <v>125</v>
      </c>
      <c r="D2" s="20" t="s">
        <v>117</v>
      </c>
      <c r="E2" s="20" t="s">
        <v>126</v>
      </c>
      <c r="F2" s="20" t="s">
        <v>126</v>
      </c>
    </row>
    <row r="3" customFormat="false" ht="15" hidden="false" customHeight="false" outlineLevel="0" collapsed="false">
      <c r="A3" s="20" t="s">
        <v>127</v>
      </c>
      <c r="B3" s="20" t="s">
        <v>128</v>
      </c>
      <c r="C3" s="20" t="s">
        <v>129</v>
      </c>
      <c r="D3" s="20" t="s">
        <v>117</v>
      </c>
      <c r="E3" s="20" t="s">
        <v>126</v>
      </c>
      <c r="F3" s="20" t="s">
        <v>126</v>
      </c>
    </row>
    <row r="4" customFormat="false" ht="15" hidden="false" customHeight="false" outlineLevel="0" collapsed="false">
      <c r="A4" s="20" t="s">
        <v>130</v>
      </c>
      <c r="B4" s="20" t="s">
        <v>131</v>
      </c>
      <c r="C4" s="20" t="s">
        <v>132</v>
      </c>
      <c r="D4" s="20" t="s">
        <v>119</v>
      </c>
      <c r="E4" s="20" t="s">
        <v>126</v>
      </c>
      <c r="F4" s="20" t="s">
        <v>126</v>
      </c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</row>
    <row r="6" customFormat="false" ht="15" hidden="false" customHeight="false" outlineLevel="0" collapsed="false">
      <c r="A6" s="20"/>
      <c r="B6" s="20"/>
      <c r="C6" s="20"/>
      <c r="D6" s="20"/>
      <c r="E6" s="20"/>
      <c r="F6" s="20"/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4"/>
  </cols>
  <sheetData>
    <row r="1" customFormat="false" ht="31.5" hidden="false" customHeight="true" outlineLevel="0" collapsed="false">
      <c r="A1" s="21" t="s">
        <v>133</v>
      </c>
      <c r="B1" s="21" t="s">
        <v>134</v>
      </c>
      <c r="C1" s="21" t="s">
        <v>135</v>
      </c>
    </row>
    <row r="2" customFormat="false" ht="15" hidden="false" customHeight="false" outlineLevel="0" collapsed="false">
      <c r="A2" s="20" t="s">
        <v>136</v>
      </c>
      <c r="B2" s="20" t="s">
        <v>137</v>
      </c>
      <c r="C2" s="20" t="n">
        <v>1284</v>
      </c>
    </row>
    <row r="3" customFormat="false" ht="15" hidden="false" customHeight="false" outlineLevel="0" collapsed="false">
      <c r="A3" s="20" t="s">
        <v>95</v>
      </c>
      <c r="B3" s="20" t="s">
        <v>137</v>
      </c>
      <c r="C3" s="20" t="n">
        <v>312</v>
      </c>
    </row>
    <row r="4" customFormat="false" ht="15" hidden="false" customHeight="false" outlineLevel="0" collapsed="false">
      <c r="A4" s="20" t="s">
        <v>138</v>
      </c>
      <c r="B4" s="20" t="s">
        <v>139</v>
      </c>
      <c r="C4" s="20" t="n">
        <v>48</v>
      </c>
    </row>
    <row r="5" customFormat="false" ht="15" hidden="false" customHeight="false" outlineLevel="0" collapsed="false">
      <c r="A5" s="20"/>
      <c r="B5" s="20"/>
      <c r="C5" s="20"/>
    </row>
    <row r="6" customFormat="false" ht="15" hidden="false" customHeight="false" outlineLevel="0" collapsed="false">
      <c r="A6" s="20"/>
      <c r="B6" s="20"/>
      <c r="C6" s="20"/>
    </row>
    <row r="7" customFormat="false" ht="15" hidden="false" customHeight="false" outlineLevel="0" collapsed="false">
      <c r="A7" s="20"/>
      <c r="B7" s="20"/>
      <c r="C7" s="20"/>
    </row>
    <row r="8" customFormat="false" ht="15" hidden="false" customHeight="false" outlineLevel="0" collapsed="false">
      <c r="A8" s="20"/>
      <c r="B8" s="20"/>
      <c r="C8" s="20"/>
    </row>
    <row r="9" customFormat="false" ht="15" hidden="false" customHeight="false" outlineLevel="0" collapsed="false">
      <c r="A9" s="20"/>
      <c r="B9" s="20"/>
      <c r="C9" s="20"/>
    </row>
    <row r="10" customFormat="false" ht="15" hidden="false" customHeight="false" outlineLevel="0" collapsed="false">
      <c r="A10" s="20"/>
      <c r="B10" s="20"/>
      <c r="C10" s="20"/>
    </row>
    <row r="11" customFormat="false" ht="15" hidden="false" customHeight="false" outlineLevel="0" collapsed="false">
      <c r="A11" s="20"/>
      <c r="B11" s="20"/>
      <c r="C11" s="20"/>
    </row>
    <row r="12" customFormat="false" ht="15" hidden="false" customHeight="false" outlineLevel="0" collapsed="false">
      <c r="A12" s="20"/>
      <c r="B12" s="20"/>
      <c r="C12" s="20"/>
    </row>
    <row r="13" customFormat="false" ht="15" hidden="false" customHeight="false" outlineLevel="0" collapsed="false">
      <c r="A13" s="20"/>
      <c r="B13" s="20"/>
      <c r="C13" s="20"/>
    </row>
    <row r="14" customFormat="false" ht="15" hidden="false" customHeight="false" outlineLevel="0" collapsed="false">
      <c r="A14" s="20"/>
      <c r="B14" s="20"/>
      <c r="C14" s="20"/>
    </row>
    <row r="15" customFormat="false" ht="15" hidden="false" customHeight="false" outlineLevel="0" collapsed="false">
      <c r="A15" s="20"/>
      <c r="B15" s="20"/>
      <c r="C15" s="20"/>
    </row>
    <row r="16" customFormat="false" ht="15" hidden="false" customHeight="false" outlineLevel="0" collapsed="false">
      <c r="A16" s="20"/>
      <c r="B16" s="20"/>
      <c r="C16" s="20"/>
    </row>
    <row r="17" customFormat="false" ht="15" hidden="false" customHeight="false" outlineLevel="0" collapsed="false">
      <c r="A17" s="20"/>
      <c r="B17" s="20"/>
      <c r="C17" s="20"/>
    </row>
    <row r="18" customFormat="false" ht="15" hidden="false" customHeight="false" outlineLevel="0" collapsed="false">
      <c r="A18" s="20"/>
      <c r="B18" s="20"/>
      <c r="C18" s="20"/>
    </row>
    <row r="19" customFormat="false" ht="15" hidden="false" customHeight="false" outlineLevel="0" collapsed="false">
      <c r="A19" s="20"/>
      <c r="B19" s="20"/>
      <c r="C19" s="20"/>
    </row>
    <row r="20" customFormat="false" ht="15" hidden="false" customHeight="false" outlineLevel="0" collapsed="false">
      <c r="A20" s="20"/>
      <c r="B20" s="20"/>
      <c r="C20" s="20"/>
    </row>
    <row r="21" customFormat="false" ht="15" hidden="false" customHeight="false" outlineLevel="0" collapsed="false">
      <c r="A21" s="20"/>
      <c r="B21" s="20"/>
      <c r="C21" s="20"/>
    </row>
    <row r="22" customFormat="false" ht="15" hidden="false" customHeight="false" outlineLevel="0" collapsed="false">
      <c r="A22" s="20"/>
      <c r="B22" s="20"/>
      <c r="C22" s="20"/>
    </row>
    <row r="23" customFormat="false" ht="15" hidden="false" customHeight="false" outlineLevel="0" collapsed="false">
      <c r="A23" s="20"/>
      <c r="B23" s="20"/>
      <c r="C23" s="20"/>
    </row>
    <row r="24" customFormat="false" ht="15" hidden="false" customHeight="false" outlineLevel="0" collapsed="false">
      <c r="A24" s="20"/>
      <c r="B24" s="20"/>
      <c r="C24" s="20"/>
    </row>
    <row r="25" customFormat="false" ht="15" hidden="false" customHeight="false" outlineLevel="0" collapsed="false">
      <c r="A25" s="20"/>
      <c r="B25" s="20"/>
      <c r="C25" s="20"/>
    </row>
    <row r="26" customFormat="false" ht="15" hidden="false" customHeight="false" outlineLevel="0" collapsed="false">
      <c r="A26" s="20"/>
      <c r="B26" s="20"/>
      <c r="C26" s="20"/>
    </row>
    <row r="27" customFormat="false" ht="15" hidden="false" customHeight="false" outlineLevel="0" collapsed="false">
      <c r="A27" s="20"/>
      <c r="B27" s="20"/>
      <c r="C27" s="20"/>
    </row>
    <row r="28" customFormat="false" ht="15" hidden="false" customHeight="false" outlineLevel="0" collapsed="false">
      <c r="A28" s="20"/>
      <c r="B28" s="20"/>
      <c r="C28" s="20"/>
    </row>
    <row r="29" customFormat="false" ht="15" hidden="false" customHeight="false" outlineLevel="0" collapsed="false">
      <c r="A29" s="20"/>
      <c r="B29" s="20"/>
      <c r="C29" s="20"/>
    </row>
    <row r="30" customFormat="false" ht="15" hidden="false" customHeight="false" outlineLevel="0" collapsed="false">
      <c r="A30" s="20"/>
      <c r="B30" s="20"/>
      <c r="C30" s="20"/>
    </row>
    <row r="31" customFormat="false" ht="15" hidden="false" customHeight="false" outlineLevel="0" collapsed="false">
      <c r="A31" s="20"/>
      <c r="B31" s="20"/>
      <c r="C31" s="20"/>
    </row>
    <row r="32" customFormat="false" ht="15" hidden="false" customHeight="false" outlineLevel="0" collapsed="false">
      <c r="A32" s="20"/>
      <c r="B32" s="20"/>
      <c r="C32" s="20"/>
    </row>
    <row r="33" customFormat="false" ht="15" hidden="false" customHeight="false" outlineLevel="0" collapsed="false">
      <c r="A33" s="20"/>
      <c r="B33" s="20"/>
      <c r="C33" s="20"/>
    </row>
    <row r="34" customFormat="false" ht="15" hidden="false" customHeight="false" outlineLevel="0" collapsed="false">
      <c r="A34" s="20"/>
      <c r="B34" s="20"/>
      <c r="C34" s="20"/>
    </row>
    <row r="35" customFormat="false" ht="15" hidden="false" customHeight="false" outlineLevel="0" collapsed="false">
      <c r="A35" s="20"/>
      <c r="B35" s="20"/>
      <c r="C35" s="20"/>
    </row>
    <row r="36" customFormat="false" ht="15" hidden="false" customHeight="false" outlineLevel="0" collapsed="false">
      <c r="A36" s="20"/>
      <c r="B36" s="20"/>
      <c r="C36" s="20"/>
    </row>
    <row r="37" customFormat="false" ht="15" hidden="false" customHeight="false" outlineLevel="0" collapsed="false">
      <c r="A37" s="20"/>
      <c r="B37" s="20"/>
      <c r="C37" s="20"/>
    </row>
    <row r="38" customFormat="false" ht="15" hidden="false" customHeight="false" outlineLevel="0" collapsed="false">
      <c r="A38" s="20"/>
      <c r="B38" s="20"/>
      <c r="C38" s="20"/>
    </row>
    <row r="39" customFormat="false" ht="15" hidden="false" customHeight="false" outlineLevel="0" collapsed="false">
      <c r="A39" s="20"/>
      <c r="B39" s="20"/>
      <c r="C39" s="20"/>
    </row>
    <row r="40" customFormat="false" ht="15" hidden="false" customHeight="false" outlineLevel="0" collapsed="false">
      <c r="A40" s="20"/>
      <c r="B40" s="20"/>
      <c r="C40" s="20"/>
    </row>
    <row r="41" customFormat="false" ht="15" hidden="false" customHeight="false" outlineLevel="0" collapsed="false">
      <c r="A41" s="20"/>
      <c r="B41" s="20"/>
      <c r="C41" s="20"/>
    </row>
    <row r="42" customFormat="false" ht="15" hidden="false" customHeight="false" outlineLevel="0" collapsed="false">
      <c r="A42" s="20"/>
      <c r="B42" s="20"/>
      <c r="C42" s="20"/>
    </row>
    <row r="43" customFormat="false" ht="15" hidden="false" customHeight="false" outlineLevel="0" collapsed="false">
      <c r="A43" s="20"/>
      <c r="B43" s="20"/>
      <c r="C43" s="20"/>
    </row>
    <row r="44" customFormat="false" ht="15" hidden="false" customHeight="false" outlineLevel="0" collapsed="false">
      <c r="A44" s="20"/>
      <c r="B44" s="20"/>
      <c r="C44" s="20"/>
    </row>
    <row r="45" customFormat="false" ht="15" hidden="false" customHeight="false" outlineLevel="0" collapsed="false">
      <c r="A45" s="20"/>
      <c r="B45" s="20"/>
      <c r="C45" s="20"/>
    </row>
    <row r="46" customFormat="false" ht="15" hidden="false" customHeight="false" outlineLevel="0" collapsed="false">
      <c r="A46" s="20"/>
      <c r="B46" s="20"/>
      <c r="C46" s="20"/>
    </row>
    <row r="47" customFormat="false" ht="15" hidden="false" customHeight="false" outlineLevel="0" collapsed="false">
      <c r="A47" s="20"/>
      <c r="B47" s="20"/>
      <c r="C47" s="20"/>
    </row>
    <row r="48" customFormat="false" ht="15" hidden="false" customHeight="false" outlineLevel="0" collapsed="false">
      <c r="A48" s="20"/>
      <c r="B48" s="20"/>
      <c r="C48" s="20"/>
    </row>
    <row r="49" customFormat="false" ht="15" hidden="false" customHeight="false" outlineLevel="0" collapsed="false">
      <c r="A49" s="20"/>
      <c r="B49" s="20"/>
      <c r="C49" s="20"/>
    </row>
    <row r="50" customFormat="false" ht="15" hidden="false" customHeight="false" outlineLevel="0" collapsed="false">
      <c r="A50" s="20"/>
      <c r="B50" s="20"/>
      <c r="C50" s="20"/>
    </row>
    <row r="51" customFormat="false" ht="15" hidden="false" customHeight="false" outlineLevel="0" collapsed="false">
      <c r="A51" s="20"/>
      <c r="B51" s="20"/>
      <c r="C51" s="20"/>
    </row>
    <row r="52" customFormat="false" ht="15" hidden="false" customHeight="false" outlineLevel="0" collapsed="false">
      <c r="A52" s="20"/>
      <c r="B52" s="20"/>
      <c r="C52" s="20"/>
    </row>
    <row r="53" customFormat="false" ht="15" hidden="false" customHeight="false" outlineLevel="0" collapsed="false">
      <c r="A53" s="20"/>
      <c r="B53" s="20"/>
      <c r="C53" s="20"/>
    </row>
    <row r="54" customFormat="false" ht="15" hidden="false" customHeight="false" outlineLevel="0" collapsed="false">
      <c r="A54" s="20"/>
      <c r="B54" s="20"/>
      <c r="C54" s="20"/>
    </row>
    <row r="55" customFormat="false" ht="15" hidden="false" customHeight="false" outlineLevel="0" collapsed="false">
      <c r="A55" s="20"/>
      <c r="B55" s="20"/>
      <c r="C55" s="20"/>
    </row>
    <row r="56" customFormat="false" ht="15" hidden="false" customHeight="false" outlineLevel="0" collapsed="false">
      <c r="A56" s="20"/>
      <c r="B56" s="20"/>
      <c r="C56" s="20"/>
    </row>
    <row r="57" customFormat="false" ht="15" hidden="false" customHeight="false" outlineLevel="0" collapsed="false">
      <c r="A57" s="20"/>
      <c r="B57" s="20"/>
      <c r="C57" s="20"/>
    </row>
    <row r="58" customFormat="false" ht="15" hidden="false" customHeight="false" outlineLevel="0" collapsed="false">
      <c r="A58" s="20"/>
      <c r="B58" s="20"/>
      <c r="C58" s="20"/>
    </row>
    <row r="59" customFormat="false" ht="15" hidden="false" customHeight="false" outlineLevel="0" collapsed="false">
      <c r="A59" s="20"/>
      <c r="B59" s="20"/>
      <c r="C59" s="20"/>
    </row>
    <row r="60" customFormat="false" ht="15" hidden="false" customHeight="false" outlineLevel="0" collapsed="false">
      <c r="A60" s="20"/>
      <c r="B60" s="20"/>
      <c r="C60" s="20"/>
    </row>
    <row r="61" customFormat="false" ht="15" hidden="false" customHeight="false" outlineLevel="0" collapsed="false">
      <c r="A61" s="20"/>
      <c r="B61" s="20"/>
      <c r="C61" s="20"/>
    </row>
    <row r="62" customFormat="false" ht="15" hidden="false" customHeight="false" outlineLevel="0" collapsed="false">
      <c r="A62" s="20"/>
      <c r="B62" s="20"/>
      <c r="C62" s="20"/>
    </row>
    <row r="63" customFormat="false" ht="15" hidden="false" customHeight="false" outlineLevel="0" collapsed="false">
      <c r="A63" s="20"/>
      <c r="B63" s="20"/>
      <c r="C63" s="20"/>
    </row>
    <row r="64" customFormat="false" ht="15" hidden="false" customHeight="false" outlineLevel="0" collapsed="false">
      <c r="A64" s="20"/>
      <c r="B64" s="20"/>
      <c r="C64" s="20"/>
    </row>
    <row r="65" customFormat="false" ht="15" hidden="false" customHeight="false" outlineLevel="0" collapsed="false">
      <c r="A65" s="20"/>
      <c r="B65" s="20"/>
      <c r="C65" s="20"/>
    </row>
    <row r="66" customFormat="false" ht="15" hidden="false" customHeight="false" outlineLevel="0" collapsed="false">
      <c r="A66" s="20"/>
      <c r="B66" s="20"/>
      <c r="C66" s="20"/>
    </row>
    <row r="67" customFormat="false" ht="15" hidden="false" customHeight="false" outlineLevel="0" collapsed="false">
      <c r="A67" s="20"/>
      <c r="B67" s="20"/>
      <c r="C67" s="20"/>
    </row>
    <row r="68" customFormat="false" ht="15" hidden="false" customHeight="false" outlineLevel="0" collapsed="false">
      <c r="A68" s="20"/>
      <c r="B68" s="20"/>
      <c r="C68" s="20"/>
    </row>
    <row r="69" customFormat="false" ht="15" hidden="false" customHeight="false" outlineLevel="0" collapsed="false">
      <c r="A69" s="20"/>
      <c r="B69" s="20"/>
      <c r="C69" s="20"/>
    </row>
    <row r="70" customFormat="false" ht="15" hidden="false" customHeight="false" outlineLevel="0" collapsed="false">
      <c r="A70" s="20"/>
      <c r="B70" s="20"/>
      <c r="C70" s="20"/>
    </row>
    <row r="71" customFormat="false" ht="15" hidden="false" customHeight="false" outlineLevel="0" collapsed="false">
      <c r="A71" s="20"/>
      <c r="B71" s="20"/>
      <c r="C71" s="20"/>
    </row>
    <row r="72" customFormat="false" ht="15" hidden="false" customHeight="false" outlineLevel="0" collapsed="false">
      <c r="A72" s="20"/>
      <c r="B72" s="20"/>
      <c r="C72" s="20"/>
    </row>
    <row r="73" customFormat="false" ht="15" hidden="false" customHeight="false" outlineLevel="0" collapsed="false">
      <c r="A73" s="20"/>
      <c r="B73" s="20"/>
      <c r="C73" s="20"/>
    </row>
    <row r="74" customFormat="false" ht="15" hidden="false" customHeight="false" outlineLevel="0" collapsed="false">
      <c r="A74" s="20"/>
      <c r="B74" s="20"/>
      <c r="C74" s="20"/>
    </row>
    <row r="75" customFormat="false" ht="15" hidden="false" customHeight="false" outlineLevel="0" collapsed="false">
      <c r="A75" s="20"/>
      <c r="B75" s="20"/>
      <c r="C75" s="20"/>
    </row>
    <row r="76" customFormat="false" ht="15" hidden="false" customHeight="false" outlineLevel="0" collapsed="false">
      <c r="A76" s="20"/>
      <c r="B76" s="20"/>
      <c r="C76" s="20"/>
    </row>
    <row r="77" customFormat="false" ht="15" hidden="false" customHeight="false" outlineLevel="0" collapsed="false">
      <c r="A77" s="20"/>
      <c r="B77" s="20"/>
      <c r="C77" s="20"/>
    </row>
    <row r="78" customFormat="false" ht="15" hidden="false" customHeight="false" outlineLevel="0" collapsed="false">
      <c r="A78" s="20"/>
      <c r="B78" s="20"/>
      <c r="C78" s="20"/>
    </row>
    <row r="79" customFormat="false" ht="15" hidden="false" customHeight="false" outlineLevel="0" collapsed="false">
      <c r="A79" s="20"/>
      <c r="B79" s="20"/>
      <c r="C79" s="20"/>
    </row>
    <row r="80" customFormat="false" ht="15" hidden="false" customHeight="false" outlineLevel="0" collapsed="false">
      <c r="A80" s="20"/>
      <c r="B80" s="20"/>
      <c r="C80" s="20"/>
    </row>
    <row r="81" customFormat="false" ht="15" hidden="false" customHeight="false" outlineLevel="0" collapsed="false">
      <c r="A81" s="20"/>
      <c r="B81" s="20"/>
      <c r="C81" s="20"/>
    </row>
    <row r="82" customFormat="false" ht="15" hidden="false" customHeight="false" outlineLevel="0" collapsed="false">
      <c r="A82" s="20"/>
      <c r="B82" s="20"/>
      <c r="C82" s="20"/>
    </row>
    <row r="83" customFormat="false" ht="15" hidden="false" customHeight="false" outlineLevel="0" collapsed="false">
      <c r="A83" s="20"/>
      <c r="B83" s="20"/>
      <c r="C83" s="20"/>
    </row>
    <row r="84" customFormat="false" ht="15" hidden="false" customHeight="false" outlineLevel="0" collapsed="false">
      <c r="A84" s="20"/>
      <c r="B84" s="20"/>
      <c r="C84" s="20"/>
    </row>
    <row r="85" customFormat="false" ht="15" hidden="false" customHeight="false" outlineLevel="0" collapsed="false">
      <c r="A85" s="20"/>
      <c r="B85" s="20"/>
      <c r="C85" s="20"/>
    </row>
    <row r="86" customFormat="false" ht="15" hidden="false" customHeight="false" outlineLevel="0" collapsed="false">
      <c r="A86" s="20"/>
      <c r="B86" s="20"/>
      <c r="C86" s="20"/>
    </row>
    <row r="87" customFormat="false" ht="15" hidden="false" customHeight="false" outlineLevel="0" collapsed="false">
      <c r="A87" s="20"/>
      <c r="B87" s="20"/>
      <c r="C87" s="20"/>
    </row>
    <row r="88" customFormat="false" ht="15" hidden="false" customHeight="false" outlineLevel="0" collapsed="false">
      <c r="A88" s="20"/>
      <c r="B88" s="20"/>
      <c r="C88" s="20"/>
    </row>
    <row r="89" customFormat="false" ht="15" hidden="false" customHeight="false" outlineLevel="0" collapsed="false">
      <c r="A89" s="20"/>
      <c r="B89" s="20"/>
      <c r="C89" s="20"/>
    </row>
    <row r="90" customFormat="false" ht="15" hidden="false" customHeight="false" outlineLevel="0" collapsed="false">
      <c r="A90" s="20"/>
      <c r="B90" s="20"/>
      <c r="C90" s="20"/>
    </row>
    <row r="91" customFormat="false" ht="15" hidden="false" customHeight="false" outlineLevel="0" collapsed="false">
      <c r="A91" s="20"/>
      <c r="B91" s="20"/>
      <c r="C91" s="20"/>
    </row>
    <row r="92" customFormat="false" ht="15" hidden="false" customHeight="false" outlineLevel="0" collapsed="false">
      <c r="A92" s="20"/>
      <c r="B92" s="20"/>
      <c r="C92" s="20"/>
    </row>
    <row r="93" customFormat="false" ht="15" hidden="false" customHeight="false" outlineLevel="0" collapsed="false">
      <c r="A93" s="20"/>
      <c r="B93" s="20"/>
      <c r="C93" s="20"/>
    </row>
    <row r="94" customFormat="false" ht="15" hidden="false" customHeight="false" outlineLevel="0" collapsed="false">
      <c r="A94" s="20"/>
      <c r="B94" s="20"/>
      <c r="C94" s="20"/>
    </row>
    <row r="95" customFormat="false" ht="15" hidden="false" customHeight="false" outlineLevel="0" collapsed="false">
      <c r="A95" s="20"/>
      <c r="B95" s="20"/>
      <c r="C95" s="20"/>
    </row>
    <row r="96" customFormat="false" ht="15" hidden="false" customHeight="false" outlineLevel="0" collapsed="false">
      <c r="A96" s="20"/>
      <c r="B96" s="20"/>
      <c r="C96" s="20"/>
    </row>
    <row r="97" customFormat="false" ht="15" hidden="false" customHeight="false" outlineLevel="0" collapsed="false">
      <c r="A97" s="20"/>
      <c r="B97" s="20"/>
      <c r="C97" s="20"/>
    </row>
    <row r="98" customFormat="false" ht="15" hidden="false" customHeight="false" outlineLevel="0" collapsed="false">
      <c r="A98" s="20"/>
      <c r="B98" s="20"/>
      <c r="C98" s="20"/>
    </row>
    <row r="99" customFormat="false" ht="15" hidden="false" customHeight="false" outlineLevel="0" collapsed="false">
      <c r="A99" s="20"/>
      <c r="B99" s="20"/>
      <c r="C99" s="20"/>
    </row>
    <row r="100" customFormat="false" ht="15" hidden="false" customHeight="false" outlineLevel="0" collapsed="false">
      <c r="A100" s="20"/>
      <c r="B100" s="20"/>
      <c r="C100" s="20"/>
    </row>
    <row r="101" customFormat="false" ht="15" hidden="false" customHeight="false" outlineLevel="0" collapsed="false">
      <c r="A101" s="20"/>
      <c r="B101" s="20"/>
      <c r="C101" s="20"/>
    </row>
    <row r="102" customFormat="false" ht="15" hidden="false" customHeight="false" outlineLevel="0" collapsed="false">
      <c r="A102" s="20"/>
      <c r="B102" s="20"/>
      <c r="C102" s="20"/>
    </row>
    <row r="103" customFormat="false" ht="15" hidden="false" customHeight="false" outlineLevel="0" collapsed="false">
      <c r="A103" s="20"/>
      <c r="B103" s="20"/>
      <c r="C103" s="20"/>
    </row>
    <row r="104" customFormat="false" ht="15" hidden="false" customHeight="false" outlineLevel="0" collapsed="false">
      <c r="A104" s="20"/>
      <c r="B104" s="20"/>
      <c r="C104" s="20"/>
    </row>
    <row r="105" customFormat="false" ht="15" hidden="false" customHeight="false" outlineLevel="0" collapsed="false">
      <c r="A105" s="20"/>
      <c r="B105" s="20"/>
      <c r="C105" s="20"/>
    </row>
    <row r="106" customFormat="false" ht="15" hidden="false" customHeight="false" outlineLevel="0" collapsed="false">
      <c r="A106" s="20"/>
      <c r="B106" s="20"/>
      <c r="C106" s="20"/>
    </row>
    <row r="107" customFormat="false" ht="15" hidden="false" customHeight="false" outlineLevel="0" collapsed="false">
      <c r="A107" s="20"/>
      <c r="B107" s="20"/>
      <c r="C107" s="20"/>
    </row>
    <row r="108" customFormat="false" ht="15" hidden="false" customHeight="false" outlineLevel="0" collapsed="false">
      <c r="A108" s="20"/>
      <c r="B108" s="20"/>
      <c r="C108" s="20"/>
    </row>
    <row r="109" customFormat="false" ht="15" hidden="false" customHeight="false" outlineLevel="0" collapsed="false">
      <c r="A109" s="20"/>
      <c r="B109" s="20"/>
      <c r="C109" s="20"/>
    </row>
    <row r="110" customFormat="false" ht="15" hidden="false" customHeight="false" outlineLevel="0" collapsed="false">
      <c r="A110" s="20"/>
      <c r="B110" s="20"/>
      <c r="C110" s="20"/>
    </row>
    <row r="111" customFormat="false" ht="15" hidden="false" customHeight="false" outlineLevel="0" collapsed="false">
      <c r="A111" s="20"/>
      <c r="B111" s="20"/>
      <c r="C111" s="20"/>
    </row>
    <row r="112" customFormat="false" ht="15" hidden="false" customHeight="false" outlineLevel="0" collapsed="false">
      <c r="A112" s="20"/>
      <c r="B112" s="20"/>
      <c r="C112" s="20"/>
    </row>
    <row r="113" customFormat="false" ht="15" hidden="false" customHeight="false" outlineLevel="0" collapsed="false">
      <c r="A113" s="20"/>
      <c r="B113" s="20"/>
      <c r="C113" s="20"/>
    </row>
    <row r="114" customFormat="false" ht="15" hidden="false" customHeight="false" outlineLevel="0" collapsed="false">
      <c r="A114" s="20"/>
      <c r="B114" s="20"/>
      <c r="C114" s="20"/>
    </row>
    <row r="115" customFormat="false" ht="15" hidden="false" customHeight="false" outlineLevel="0" collapsed="false">
      <c r="A115" s="20"/>
      <c r="B115" s="20"/>
      <c r="C115" s="20"/>
    </row>
    <row r="116" customFormat="false" ht="15" hidden="false" customHeight="false" outlineLevel="0" collapsed="false">
      <c r="A116" s="20"/>
      <c r="B116" s="20"/>
      <c r="C116" s="20"/>
    </row>
    <row r="117" customFormat="false" ht="15" hidden="false" customHeight="false" outlineLevel="0" collapsed="false">
      <c r="A117" s="20"/>
      <c r="B117" s="20"/>
      <c r="C117" s="20"/>
    </row>
    <row r="118" customFormat="false" ht="15" hidden="false" customHeight="false" outlineLevel="0" collapsed="false">
      <c r="A118" s="20"/>
      <c r="B118" s="20"/>
      <c r="C118" s="20"/>
    </row>
    <row r="119" customFormat="false" ht="15" hidden="false" customHeight="false" outlineLevel="0" collapsed="false">
      <c r="A119" s="20"/>
      <c r="B119" s="20"/>
      <c r="C119" s="20"/>
    </row>
    <row r="120" customFormat="false" ht="15" hidden="false" customHeight="false" outlineLevel="0" collapsed="false">
      <c r="A120" s="20"/>
      <c r="B120" s="20"/>
      <c r="C120" s="20"/>
    </row>
    <row r="121" customFormat="false" ht="15" hidden="false" customHeight="false" outlineLevel="0" collapsed="false">
      <c r="A121" s="20"/>
      <c r="B121" s="20"/>
      <c r="C121" s="20"/>
    </row>
    <row r="122" customFormat="false" ht="15" hidden="false" customHeight="false" outlineLevel="0" collapsed="false">
      <c r="A122" s="20"/>
      <c r="B122" s="20"/>
      <c r="C122" s="20"/>
    </row>
    <row r="123" customFormat="false" ht="15" hidden="false" customHeight="false" outlineLevel="0" collapsed="false">
      <c r="A123" s="20"/>
      <c r="B123" s="20"/>
      <c r="C123" s="20"/>
    </row>
    <row r="124" customFormat="false" ht="15" hidden="false" customHeight="false" outlineLevel="0" collapsed="false">
      <c r="A124" s="20"/>
      <c r="B124" s="20"/>
      <c r="C124" s="20"/>
    </row>
    <row r="125" customFormat="false" ht="15" hidden="false" customHeight="false" outlineLevel="0" collapsed="false">
      <c r="A125" s="20"/>
      <c r="B125" s="20"/>
      <c r="C125" s="20"/>
    </row>
    <row r="126" customFormat="false" ht="15" hidden="false" customHeight="false" outlineLevel="0" collapsed="false">
      <c r="A126" s="20"/>
      <c r="B126" s="20"/>
      <c r="C126" s="20"/>
    </row>
    <row r="127" customFormat="false" ht="15" hidden="false" customHeight="false" outlineLevel="0" collapsed="false">
      <c r="A127" s="20"/>
      <c r="B127" s="20"/>
      <c r="C127" s="20"/>
    </row>
    <row r="128" customFormat="false" ht="15" hidden="false" customHeight="false" outlineLevel="0" collapsed="false">
      <c r="A128" s="20"/>
      <c r="B128" s="20"/>
      <c r="C128" s="20"/>
    </row>
    <row r="129" customFormat="false" ht="15" hidden="false" customHeight="false" outlineLevel="0" collapsed="false">
      <c r="A129" s="20"/>
      <c r="B129" s="20"/>
      <c r="C129" s="20"/>
    </row>
    <row r="130" customFormat="false" ht="15" hidden="false" customHeight="false" outlineLevel="0" collapsed="false">
      <c r="A130" s="20"/>
      <c r="B130" s="20"/>
      <c r="C130" s="20"/>
    </row>
    <row r="131" customFormat="false" ht="15" hidden="false" customHeight="false" outlineLevel="0" collapsed="false">
      <c r="A131" s="20"/>
      <c r="B131" s="20"/>
      <c r="C131" s="20"/>
    </row>
    <row r="132" customFormat="false" ht="15" hidden="false" customHeight="false" outlineLevel="0" collapsed="false">
      <c r="A132" s="20"/>
      <c r="B132" s="20"/>
      <c r="C132" s="20"/>
    </row>
    <row r="133" customFormat="false" ht="15" hidden="false" customHeight="false" outlineLevel="0" collapsed="false">
      <c r="A133" s="20"/>
      <c r="B133" s="20"/>
      <c r="C133" s="20"/>
    </row>
    <row r="134" customFormat="false" ht="15" hidden="false" customHeight="false" outlineLevel="0" collapsed="false">
      <c r="A134" s="20"/>
      <c r="B134" s="20"/>
      <c r="C134" s="20"/>
    </row>
    <row r="135" customFormat="false" ht="15" hidden="false" customHeight="false" outlineLevel="0" collapsed="false">
      <c r="A135" s="20"/>
      <c r="B135" s="20"/>
      <c r="C135" s="20"/>
    </row>
    <row r="136" customFormat="false" ht="15" hidden="false" customHeight="false" outlineLevel="0" collapsed="false">
      <c r="A136" s="20"/>
      <c r="B136" s="20"/>
      <c r="C136" s="20"/>
    </row>
    <row r="137" customFormat="false" ht="15" hidden="false" customHeight="false" outlineLevel="0" collapsed="false">
      <c r="A137" s="20"/>
      <c r="B137" s="20"/>
      <c r="C137" s="20"/>
    </row>
    <row r="138" customFormat="false" ht="15" hidden="false" customHeight="false" outlineLevel="0" collapsed="false">
      <c r="A138" s="20"/>
      <c r="B138" s="20"/>
      <c r="C138" s="20"/>
    </row>
    <row r="139" customFormat="false" ht="15" hidden="false" customHeight="false" outlineLevel="0" collapsed="false">
      <c r="A139" s="20"/>
      <c r="B139" s="20"/>
      <c r="C139" s="20"/>
    </row>
    <row r="140" customFormat="false" ht="15" hidden="false" customHeight="false" outlineLevel="0" collapsed="false">
      <c r="A140" s="20"/>
      <c r="B140" s="20"/>
      <c r="C140" s="20"/>
    </row>
    <row r="141" customFormat="false" ht="15" hidden="false" customHeight="false" outlineLevel="0" collapsed="false">
      <c r="A141" s="20"/>
      <c r="B141" s="20"/>
      <c r="C141" s="20"/>
    </row>
    <row r="142" customFormat="false" ht="15" hidden="false" customHeight="false" outlineLevel="0" collapsed="false">
      <c r="A142" s="20"/>
      <c r="B142" s="20"/>
      <c r="C142" s="20"/>
    </row>
    <row r="143" customFormat="false" ht="15" hidden="false" customHeight="false" outlineLevel="0" collapsed="false">
      <c r="A143" s="20"/>
      <c r="B143" s="20"/>
      <c r="C143" s="20"/>
    </row>
    <row r="144" customFormat="false" ht="15" hidden="false" customHeight="false" outlineLevel="0" collapsed="false">
      <c r="A144" s="20"/>
      <c r="B144" s="20"/>
      <c r="C144" s="20"/>
    </row>
    <row r="145" customFormat="false" ht="15" hidden="false" customHeight="false" outlineLevel="0" collapsed="false">
      <c r="A145" s="20"/>
      <c r="B145" s="20"/>
      <c r="C145" s="20"/>
    </row>
    <row r="146" customFormat="false" ht="15" hidden="false" customHeight="false" outlineLevel="0" collapsed="false">
      <c r="A146" s="20"/>
      <c r="B146" s="20"/>
      <c r="C146" s="20"/>
    </row>
    <row r="147" customFormat="false" ht="15" hidden="false" customHeight="false" outlineLevel="0" collapsed="false">
      <c r="A147" s="20"/>
      <c r="B147" s="20"/>
      <c r="C147" s="20"/>
    </row>
    <row r="148" customFormat="false" ht="15" hidden="false" customHeight="false" outlineLevel="0" collapsed="false">
      <c r="A148" s="20"/>
      <c r="B148" s="20"/>
      <c r="C148" s="20"/>
    </row>
    <row r="149" customFormat="false" ht="15" hidden="false" customHeight="false" outlineLevel="0" collapsed="false">
      <c r="A149" s="20"/>
      <c r="B149" s="20"/>
      <c r="C149" s="20"/>
    </row>
    <row r="150" customFormat="false" ht="15" hidden="false" customHeight="false" outlineLevel="0" collapsed="false">
      <c r="A150" s="20"/>
      <c r="B150" s="20"/>
      <c r="C150" s="20"/>
    </row>
    <row r="151" customFormat="false" ht="15" hidden="false" customHeight="false" outlineLevel="0" collapsed="false">
      <c r="A151" s="20"/>
      <c r="B151" s="20"/>
      <c r="C151" s="20"/>
    </row>
    <row r="152" customFormat="false" ht="15" hidden="false" customHeight="false" outlineLevel="0" collapsed="false">
      <c r="A152" s="20"/>
      <c r="B152" s="20"/>
      <c r="C152" s="20"/>
    </row>
    <row r="153" customFormat="false" ht="15" hidden="false" customHeight="false" outlineLevel="0" collapsed="false">
      <c r="A153" s="20"/>
      <c r="B153" s="20"/>
      <c r="C153" s="20"/>
    </row>
    <row r="154" customFormat="false" ht="15" hidden="false" customHeight="false" outlineLevel="0" collapsed="false">
      <c r="A154" s="20"/>
      <c r="B154" s="20"/>
      <c r="C154" s="20"/>
    </row>
    <row r="155" customFormat="false" ht="15" hidden="false" customHeight="false" outlineLevel="0" collapsed="false">
      <c r="A155" s="20"/>
      <c r="B155" s="20"/>
      <c r="C155" s="20"/>
    </row>
    <row r="156" customFormat="false" ht="15" hidden="false" customHeight="false" outlineLevel="0" collapsed="false">
      <c r="A156" s="20"/>
      <c r="B156" s="20"/>
      <c r="C156" s="20"/>
    </row>
    <row r="157" customFormat="false" ht="15" hidden="false" customHeight="false" outlineLevel="0" collapsed="false">
      <c r="A157" s="20"/>
      <c r="B157" s="20"/>
      <c r="C157" s="20"/>
    </row>
    <row r="158" customFormat="false" ht="15" hidden="false" customHeight="false" outlineLevel="0" collapsed="false">
      <c r="A158" s="20"/>
      <c r="B158" s="20"/>
      <c r="C158" s="20"/>
    </row>
    <row r="159" customFormat="false" ht="15" hidden="false" customHeight="false" outlineLevel="0" collapsed="false">
      <c r="A159" s="20"/>
      <c r="B159" s="20"/>
      <c r="C159" s="20"/>
    </row>
    <row r="160" customFormat="false" ht="15" hidden="false" customHeight="false" outlineLevel="0" collapsed="false">
      <c r="A160" s="20"/>
      <c r="B160" s="20"/>
      <c r="C160" s="20"/>
    </row>
    <row r="161" customFormat="false" ht="15" hidden="false" customHeight="false" outlineLevel="0" collapsed="false">
      <c r="A161" s="20"/>
      <c r="B161" s="20"/>
      <c r="C161" s="20"/>
    </row>
    <row r="162" customFormat="false" ht="15" hidden="false" customHeight="false" outlineLevel="0" collapsed="false">
      <c r="A162" s="20"/>
      <c r="B162" s="20"/>
      <c r="C162" s="20"/>
    </row>
    <row r="163" customFormat="false" ht="15" hidden="false" customHeight="false" outlineLevel="0" collapsed="false">
      <c r="A163" s="20"/>
      <c r="B163" s="20"/>
      <c r="C163" s="20"/>
    </row>
    <row r="164" customFormat="false" ht="15" hidden="false" customHeight="false" outlineLevel="0" collapsed="false">
      <c r="A164" s="20"/>
      <c r="B164" s="20"/>
      <c r="C164" s="20"/>
    </row>
    <row r="165" customFormat="false" ht="15" hidden="false" customHeight="false" outlineLevel="0" collapsed="false">
      <c r="A165" s="20"/>
      <c r="B165" s="20"/>
      <c r="C165" s="20"/>
    </row>
    <row r="166" customFormat="false" ht="15" hidden="false" customHeight="false" outlineLevel="0" collapsed="false">
      <c r="A166" s="20"/>
      <c r="B166" s="20"/>
      <c r="C166" s="20"/>
    </row>
    <row r="167" customFormat="false" ht="15" hidden="false" customHeight="false" outlineLevel="0" collapsed="false">
      <c r="A167" s="20"/>
      <c r="B167" s="20"/>
      <c r="C167" s="20"/>
    </row>
    <row r="168" customFormat="false" ht="15" hidden="false" customHeight="false" outlineLevel="0" collapsed="false">
      <c r="A168" s="20"/>
      <c r="B168" s="20"/>
      <c r="C168" s="20"/>
    </row>
    <row r="169" customFormat="false" ht="15" hidden="false" customHeight="false" outlineLevel="0" collapsed="false">
      <c r="A169" s="20"/>
      <c r="B169" s="20"/>
      <c r="C169" s="20"/>
    </row>
    <row r="170" customFormat="false" ht="15" hidden="false" customHeight="false" outlineLevel="0" collapsed="false">
      <c r="A170" s="20"/>
      <c r="B170" s="20"/>
      <c r="C170" s="20"/>
    </row>
    <row r="171" customFormat="false" ht="15" hidden="false" customHeight="false" outlineLevel="0" collapsed="false">
      <c r="A171" s="20"/>
      <c r="B171" s="20"/>
      <c r="C171" s="20"/>
    </row>
    <row r="172" customFormat="false" ht="15" hidden="false" customHeight="false" outlineLevel="0" collapsed="false">
      <c r="A172" s="20"/>
      <c r="B172" s="20"/>
      <c r="C172" s="20"/>
    </row>
    <row r="173" customFormat="false" ht="15" hidden="false" customHeight="false" outlineLevel="0" collapsed="false">
      <c r="A173" s="20"/>
      <c r="B173" s="20"/>
      <c r="C173" s="20"/>
    </row>
    <row r="174" customFormat="false" ht="15" hidden="false" customHeight="false" outlineLevel="0" collapsed="false">
      <c r="A174" s="20"/>
      <c r="B174" s="20"/>
      <c r="C174" s="20"/>
    </row>
    <row r="175" customFormat="false" ht="15" hidden="false" customHeight="false" outlineLevel="0" collapsed="false">
      <c r="A175" s="20"/>
      <c r="B175" s="20"/>
      <c r="C175" s="20"/>
    </row>
    <row r="176" customFormat="false" ht="15" hidden="false" customHeight="false" outlineLevel="0" collapsed="false">
      <c r="A176" s="20"/>
      <c r="B176" s="20"/>
      <c r="C176" s="20"/>
    </row>
    <row r="177" customFormat="false" ht="15" hidden="false" customHeight="false" outlineLevel="0" collapsed="false">
      <c r="A177" s="20"/>
      <c r="B177" s="20"/>
      <c r="C177" s="20"/>
    </row>
    <row r="178" customFormat="false" ht="15" hidden="false" customHeight="false" outlineLevel="0" collapsed="false">
      <c r="A178" s="20"/>
      <c r="B178" s="20"/>
      <c r="C178" s="20"/>
    </row>
    <row r="179" customFormat="false" ht="15" hidden="false" customHeight="false" outlineLevel="0" collapsed="false">
      <c r="A179" s="20"/>
      <c r="B179" s="20"/>
      <c r="C179" s="20"/>
    </row>
    <row r="180" customFormat="false" ht="15" hidden="false" customHeight="false" outlineLevel="0" collapsed="false">
      <c r="A180" s="20"/>
      <c r="B180" s="20"/>
      <c r="C180" s="20"/>
    </row>
    <row r="181" customFormat="false" ht="15" hidden="false" customHeight="false" outlineLevel="0" collapsed="false">
      <c r="A181" s="20"/>
      <c r="B181" s="20"/>
      <c r="C181" s="20"/>
    </row>
    <row r="182" customFormat="false" ht="15" hidden="false" customHeight="false" outlineLevel="0" collapsed="false">
      <c r="A182" s="20"/>
      <c r="B182" s="20"/>
      <c r="C182" s="20"/>
    </row>
    <row r="183" customFormat="false" ht="15" hidden="false" customHeight="false" outlineLevel="0" collapsed="false">
      <c r="A183" s="20"/>
      <c r="B183" s="20"/>
      <c r="C183" s="20"/>
    </row>
    <row r="184" customFormat="false" ht="15" hidden="false" customHeight="false" outlineLevel="0" collapsed="false">
      <c r="A184" s="20"/>
      <c r="B184" s="20"/>
      <c r="C184" s="20"/>
    </row>
    <row r="185" customFormat="false" ht="15" hidden="false" customHeight="false" outlineLevel="0" collapsed="false">
      <c r="A185" s="20"/>
      <c r="B185" s="20"/>
      <c r="C185" s="20"/>
    </row>
    <row r="186" customFormat="false" ht="15" hidden="false" customHeight="false" outlineLevel="0" collapsed="false">
      <c r="A186" s="20"/>
      <c r="B186" s="20"/>
      <c r="C186" s="20"/>
    </row>
    <row r="187" customFormat="false" ht="15" hidden="false" customHeight="false" outlineLevel="0" collapsed="false">
      <c r="A187" s="20"/>
      <c r="B187" s="20"/>
      <c r="C187" s="20"/>
    </row>
    <row r="188" customFormat="false" ht="15" hidden="false" customHeight="false" outlineLevel="0" collapsed="false">
      <c r="A188" s="20"/>
      <c r="B188" s="20"/>
      <c r="C188" s="20"/>
    </row>
    <row r="189" customFormat="false" ht="15" hidden="false" customHeight="false" outlineLevel="0" collapsed="false">
      <c r="A189" s="20"/>
      <c r="B189" s="20"/>
      <c r="C189" s="20"/>
    </row>
    <row r="190" customFormat="false" ht="15" hidden="false" customHeight="false" outlineLevel="0" collapsed="false">
      <c r="A190" s="20"/>
      <c r="B190" s="20"/>
      <c r="C190" s="20"/>
    </row>
    <row r="191" customFormat="false" ht="15" hidden="false" customHeight="false" outlineLevel="0" collapsed="false">
      <c r="A191" s="20"/>
      <c r="B191" s="20"/>
      <c r="C191" s="20"/>
    </row>
    <row r="192" customFormat="false" ht="15" hidden="false" customHeight="false" outlineLevel="0" collapsed="false">
      <c r="A192" s="20"/>
      <c r="B192" s="20"/>
      <c r="C192" s="20"/>
    </row>
    <row r="193" customFormat="false" ht="15" hidden="false" customHeight="false" outlineLevel="0" collapsed="false">
      <c r="A193" s="20"/>
      <c r="B193" s="20"/>
      <c r="C193" s="20"/>
    </row>
    <row r="194" customFormat="false" ht="15" hidden="false" customHeight="false" outlineLevel="0" collapsed="false">
      <c r="A194" s="20"/>
      <c r="B194" s="20"/>
      <c r="C194" s="20"/>
    </row>
    <row r="195" customFormat="false" ht="15" hidden="false" customHeight="false" outlineLevel="0" collapsed="false">
      <c r="A195" s="20"/>
      <c r="B195" s="20"/>
      <c r="C195" s="20"/>
    </row>
    <row r="196" customFormat="false" ht="15" hidden="false" customHeight="false" outlineLevel="0" collapsed="false">
      <c r="A196" s="20"/>
      <c r="B196" s="20"/>
      <c r="C196" s="20"/>
    </row>
    <row r="197" customFormat="false" ht="15" hidden="false" customHeight="false" outlineLevel="0" collapsed="false">
      <c r="A197" s="20"/>
      <c r="B197" s="20"/>
      <c r="C197" s="20"/>
    </row>
    <row r="198" customFormat="false" ht="15" hidden="false" customHeight="false" outlineLevel="0" collapsed="false">
      <c r="A198" s="20"/>
      <c r="B198" s="20"/>
      <c r="C198" s="20"/>
    </row>
    <row r="199" customFormat="false" ht="15" hidden="false" customHeight="false" outlineLevel="0" collapsed="false">
      <c r="A199" s="20"/>
      <c r="B199" s="20"/>
      <c r="C199" s="20"/>
    </row>
    <row r="200" customFormat="false" ht="15" hidden="false" customHeight="false" outlineLevel="0" collapsed="false">
      <c r="A200" s="20"/>
      <c r="B200" s="20"/>
      <c r="C200" s="20"/>
    </row>
    <row r="201" customFormat="false" ht="15" hidden="false" customHeight="false" outlineLevel="0" collapsed="false">
      <c r="A201" s="20"/>
      <c r="B201" s="20"/>
      <c r="C20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6"/>
  </cols>
  <sheetData>
    <row r="1" customFormat="false" ht="15" hidden="false" customHeight="false" outlineLevel="0" collapsed="false">
      <c r="A1" s="22" t="s">
        <v>140</v>
      </c>
      <c r="B1" s="22" t="s">
        <v>141</v>
      </c>
      <c r="C1" s="22" t="s">
        <v>142</v>
      </c>
    </row>
    <row r="2" customFormat="false" ht="15" hidden="false" customHeight="false" outlineLevel="0" collapsed="false">
      <c r="A2" s="23" t="s">
        <v>101</v>
      </c>
      <c r="B2" s="23" t="s">
        <v>99</v>
      </c>
      <c r="C2" s="23" t="s">
        <v>99</v>
      </c>
    </row>
    <row r="3" customFormat="false" ht="15" hidden="false" customHeight="false" outlineLevel="0" collapsed="false">
      <c r="A3" s="23" t="s">
        <v>92</v>
      </c>
      <c r="B3" s="23" t="s">
        <v>143</v>
      </c>
      <c r="C3" s="23" t="s">
        <v>144</v>
      </c>
    </row>
    <row r="4" customFormat="false" ht="15" hidden="false" customHeight="false" outlineLevel="0" collapsed="false">
      <c r="B4" s="23" t="s">
        <v>145</v>
      </c>
      <c r="C4" s="23" t="s">
        <v>146</v>
      </c>
    </row>
    <row r="5" customFormat="false" ht="15" hidden="false" customHeight="false" outlineLevel="0" collapsed="false">
      <c r="B5" s="23" t="s">
        <v>147</v>
      </c>
      <c r="C5" s="23" t="s">
        <v>148</v>
      </c>
    </row>
    <row r="6" customFormat="false" ht="15" hidden="false" customHeight="false" outlineLevel="0" collapsed="false">
      <c r="B6" s="23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9" t="s">
        <v>150</v>
      </c>
    </row>
    <row r="2" customFormat="false" ht="15" hidden="false" customHeight="false" outlineLevel="0" collapsed="false">
      <c r="A2" s="10" t="s">
        <v>151</v>
      </c>
    </row>
    <row r="3" customFormat="false" ht="15" hidden="false" customHeight="false" outlineLevel="0" collapsed="false">
      <c r="A3" s="22" t="s">
        <v>152</v>
      </c>
      <c r="B3" s="24" t="str">
        <f aca="false">IF(COUNTIF(C6:C14,"REVIEW")=0,"ALL CHECKS PASS","REVIEW ITEMS: "&amp;COUNTIF(C6:C14,"REVIEW"))</f>
        <v>REVIEW ITEMS: 2</v>
      </c>
    </row>
    <row r="5" customFormat="false" ht="15" hidden="false" customHeight="false" outlineLevel="0" collapsed="false">
      <c r="A5" s="5" t="s">
        <v>153</v>
      </c>
      <c r="B5" s="5" t="s">
        <v>154</v>
      </c>
      <c r="C5" s="5" t="s">
        <v>78</v>
      </c>
      <c r="D5" s="5" t="s">
        <v>155</v>
      </c>
    </row>
    <row r="6" customFormat="false" ht="15" hidden="false" customHeight="false" outlineLevel="0" collapsed="false">
      <c r="A6" s="25" t="s">
        <v>156</v>
      </c>
      <c r="B6" s="25" t="n">
        <f aca="false">COUNTA(Test_Plan!A5:A204)</f>
        <v>2</v>
      </c>
      <c r="C6" s="25" t="s">
        <v>157</v>
      </c>
      <c r="D6" s="25" t="s">
        <v>158</v>
      </c>
    </row>
    <row r="7" customFormat="false" ht="15" hidden="false" customHeight="false" outlineLevel="0" collapsed="false">
      <c r="A7" s="25" t="s">
        <v>159</v>
      </c>
      <c r="B7" s="25" t="n">
        <f aca="false">SUMPRODUCT((Test_Plan!A5:A204&lt;&gt;"")*(COUNTIF(Test_Plan!A5:A204,Test_Plan!A5:A204)&gt;1))</f>
        <v>0</v>
      </c>
      <c r="C7" s="25" t="str">
        <f aca="false">IF(B7=0,"PASS","REVIEW")</f>
        <v>PASS</v>
      </c>
      <c r="D7" s="25" t="s">
        <v>160</v>
      </c>
    </row>
    <row r="8" customFormat="false" ht="15" hidden="false" customHeight="false" outlineLevel="0" collapsed="false">
      <c r="A8" s="25" t="s">
        <v>161</v>
      </c>
      <c r="B8" s="25" t="n">
        <f aca="false">SUMPRODUCT((Test_Plan!X5:X204&lt;&gt;"")*(Test_Plan!X5:X204&lt;&gt;"OK")*(LEFT(Test_Plan!X5:X204,2)&lt;&gt;"OK"))</f>
        <v>0</v>
      </c>
      <c r="C8" s="25" t="str">
        <f aca="false">IF(B8=0,"PASS","REVIEW")</f>
        <v>PASS</v>
      </c>
      <c r="D8" s="25" t="s">
        <v>162</v>
      </c>
    </row>
    <row r="9" customFormat="false" ht="15" hidden="false" customHeight="false" outlineLevel="0" collapsed="false">
      <c r="A9" s="25" t="s">
        <v>163</v>
      </c>
      <c r="B9" s="25" t="n">
        <f aca="false">SUMPRODUCT((Ref_CTRL!E2:E201="Y")*(COUNTIF(Test_Plan!A5:A204,Ref_CTRL!A2:A201&amp;"-TOD")=0))</f>
        <v>2</v>
      </c>
      <c r="C9" s="25" t="str">
        <f aca="false">IF(B9=0,"PASS","REVIEW")</f>
        <v>REVIEW</v>
      </c>
      <c r="D9" s="25" t="s">
        <v>164</v>
      </c>
    </row>
    <row r="10" customFormat="false" ht="15" hidden="false" customHeight="false" outlineLevel="0" collapsed="false">
      <c r="A10" s="25" t="s">
        <v>165</v>
      </c>
      <c r="B10" s="25" t="n">
        <f aca="false">SUMPRODUCT((Ref_CTRL!E2:E201="Y")*(COUNTIF(Test_Plan!A5:A204,Ref_CTRL!A2:A201&amp;"-TOE")=0))</f>
        <v>2</v>
      </c>
      <c r="C10" s="25" t="str">
        <f aca="false">IF(B10=0,"PASS","REVIEW")</f>
        <v>REVIEW</v>
      </c>
      <c r="D10" s="25" t="s">
        <v>166</v>
      </c>
    </row>
    <row r="11" customFormat="false" ht="23.85" hidden="false" customHeight="false" outlineLevel="0" collapsed="false">
      <c r="A11" s="25" t="s">
        <v>167</v>
      </c>
      <c r="B11" s="25" t="n">
        <f aca="false">SUMPRODUCT((Test_Plan!P5:P204="Y")*(Test_Plan!F5:F204="TOE")*ISERROR(SEARCH("-RT",Test_Plan!A5:A204))*(Test_Plan!S5:S204&gt;0)*(Test_Plan!S5:S204&lt;SUMPRODUCT(MAX((LEFT(Test_Plan!D5:D204,4)="ITGC")*(Test_Plan!F5:F204="TOE")*ISERROR(SEARCH("-RT",Test_Plan!A5:A204))*Test_Plan!T5:T204))))</f>
        <v>0</v>
      </c>
      <c r="C11" s="25" t="str">
        <f aca="false">IF(B11=0,"PASS","REVIEW")</f>
        <v>PASS</v>
      </c>
      <c r="D11" s="25" t="s">
        <v>168</v>
      </c>
    </row>
    <row r="12" customFormat="false" ht="15" hidden="false" customHeight="false" outlineLevel="0" collapsed="false">
      <c r="A12" s="25" t="s">
        <v>169</v>
      </c>
      <c r="B12" s="25" t="n">
        <f aca="false">COUNTIF(Test_Plan!V5:V204,"Not started")</f>
        <v>2</v>
      </c>
      <c r="C12" s="25" t="s">
        <v>157</v>
      </c>
      <c r="D12" s="25" t="s">
        <v>170</v>
      </c>
    </row>
    <row r="13" customFormat="false" ht="15" hidden="false" customHeight="false" outlineLevel="0" collapsed="false">
      <c r="A13" s="25" t="s">
        <v>171</v>
      </c>
      <c r="B13" s="25" t="n">
        <f aca="false">COUNTIF(Test_Plan!V5:V204,"Reviewed")+COUNTIF(Test_Plan!V5:V204,"Closed")</f>
        <v>0</v>
      </c>
      <c r="C13" s="25" t="s">
        <v>157</v>
      </c>
      <c r="D13" s="25" t="s">
        <v>172</v>
      </c>
    </row>
    <row r="14" customFormat="false" ht="15" hidden="false" customHeight="false" outlineLevel="0" collapsed="false">
      <c r="A14" s="25" t="s">
        <v>173</v>
      </c>
      <c r="B14" s="25" t="n">
        <f aca="false">COUNTIF(Test_Plan!W5:W204,"Exception noted")+COUNTIF(Test_Plan!W5:W204,"Ineffective")</f>
        <v>0</v>
      </c>
      <c r="C14" s="25" t="s">
        <v>157</v>
      </c>
      <c r="D14" s="2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2026-10-03T03:43:52Z</dcterms:created>
  <dc:creator>openpyxl</dc:creator>
  <dc:description/>
  <dc:language>en-US</dc:language>
  <cp:lastModifiedBy/>
  <dcterms:modified xsi:type="dcterms:W3CDTF">2026-10-03T03:43:52Z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