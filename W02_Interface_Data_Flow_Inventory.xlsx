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nterface_Register" sheetId="2" state="visible" r:id="rId4"/>
    <sheet name="RFC_Service_Users" sheetId="3" state="visible" r:id="rId5"/>
    <sheet name="Data_Flow_Map" sheetId="4" state="visible" r:id="rId6"/>
    <sheet name="Open_Items" sheetId="5" state="visible" r:id="rId7"/>
    <sheet name="Ref_SYS" sheetId="6" state="visible" r:id="rId8"/>
    <sheet name="Lists" sheetId="7" state="hidden" r:id="rId9"/>
    <sheet name="Checks" sheetId="8" state="visible" r:id="rId10"/>
  </sheets>
  <definedNames>
    <definedName function="false" hidden="true" localSheetId="3" name="_xlnm._FilterDatabase" vbProcedure="false">Data_Flow_Map!$A$4:$H$204</definedName>
    <definedName function="false" hidden="true" localSheetId="1" name="_xlnm._FilterDatabase" vbProcedure="false">Interface_Register!$A$4:$S$204</definedName>
    <definedName function="false" hidden="true" localSheetId="4" name="_xlnm._FilterDatabase" vbProcedure="false">Open_Items!$A$4:$H$204</definedName>
    <definedName function="false" hidden="true" localSheetId="2" name="_xlnm._FilterDatabase" vbProcedure="false">RFC_Service_Users!$A$4:$J$204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<sst xmlns="http://schemas.openxmlformats.org/spreadsheetml/2006/main" count="414" uniqueCount="236">
  <si>
    <t xml:space="preserve">TIB SYSTEMS LLC  |  SAP Controls Project Foundation Workbook Set</t>
  </si>
  <si>
    <t xml:space="preserve">W02 — Interface &amp; Data Flow Inventory</t>
  </si>
  <si>
    <t xml:space="preserve">Purpose</t>
  </si>
  <si>
    <t xml:space="preserve">Identifies each financially relevant interface, how it works, how errors are caught and who owns it. Also captures RFC destinations and service users, which are privileged access paths in their own right.</t>
  </si>
  <si>
    <t xml:space="preserve">How to use this workbook</t>
  </si>
  <si>
    <t xml:space="preserve">1. Paste the in-scope SYS-IDs from W01 into the Ref_SYS tab.</t>
  </si>
  <si>
    <t xml:space="preserve">2. Ask by process, not technology: what comes in from outside SAP, and what leaves? Enter each flow in Interface_Register.</t>
  </si>
  <si>
    <t xml:space="preserve">3. Confirm mechanism and technical user with Basis (WE20, SM59, PI/PO or CPI lists, SM37 file jobs).</t>
  </si>
  <si>
    <t xml:space="preserve">4. Record honestly how failures are detected, including "None".</t>
  </si>
  <si>
    <t xml:space="preserve">5. Complete RFC_Service_Users and Data_Flow_Map; back-fill BP-IDs after W03.</t>
  </si>
  <si>
    <t xml:space="preserve">Colour legend</t>
  </si>
  <si>
    <t xml:space="preserve">Yellow cells with blue text = you enter data here.   Grey cells = formulas (do not overwrite).   Row 5 of each register is a worked ABC Manufacturing example: overwrite it with your first record.</t>
  </si>
  <si>
    <t xml:space="preserve">Completion gate</t>
  </si>
  <si>
    <t xml:space="preserve">Every financially relevant inbound and outbound flow is listed.</t>
  </si>
  <si>
    <t xml:space="preserve">Every interface has a technology, a monitoring answer and an owner (or TBC).</t>
  </si>
  <si>
    <t xml:space="preserve">RFC / service users are listed and cross-referenced.</t>
  </si>
  <si>
    <t xml:space="preserve">Interfaces with no monitoring or reconciliation are visible for W04.</t>
  </si>
  <si>
    <t xml:space="preserve">Manual reference</t>
  </si>
  <si>
    <t xml:space="preserve">Part 1, Session 3 (W02).</t>
  </si>
  <si>
    <t xml:space="preserve">Column dictionary</t>
  </si>
  <si>
    <t xml:space="preserve">Tab</t>
  </si>
  <si>
    <t xml:space="preserve">Field</t>
  </si>
  <si>
    <t xml:space="preserve">Definition</t>
  </si>
  <si>
    <t xml:space="preserve">Allowed values / rule</t>
  </si>
  <si>
    <t xml:space="preserve">Type</t>
  </si>
  <si>
    <t xml:space="preserve">Interface_Register</t>
  </si>
  <si>
    <t xml:space="preserve">INT-ID</t>
  </si>
  <si>
    <t xml:space="preserve">Unique key</t>
  </si>
  <si>
    <t xml:space="preserve">INT-nn</t>
  </si>
  <si>
    <t xml:space="preserve">Input</t>
  </si>
  <si>
    <t xml:space="preserve">Interface name</t>
  </si>
  <si>
    <t xml:space="preserve">Business name</t>
  </si>
  <si>
    <t xml:space="preserve">Free text</t>
  </si>
  <si>
    <t xml:space="preserve">Source</t>
  </si>
  <si>
    <t xml:space="preserve">Where data originates</t>
  </si>
  <si>
    <t xml:space="preserve">SYS-ID or named external system</t>
  </si>
  <si>
    <t xml:space="preserve">Target</t>
  </si>
  <si>
    <t xml:space="preserve">Where data lands</t>
  </si>
  <si>
    <t xml:space="preserve">SYS-ID or named external system; at least one side must be an in-scope SYS-ID</t>
  </si>
  <si>
    <t xml:space="preserve">Direction</t>
  </si>
  <si>
    <t xml:space="preserve">Flow direction</t>
  </si>
  <si>
    <t xml:space="preserve">Inbound / Outbound / Bidirectional</t>
  </si>
  <si>
    <t xml:space="preserve">Technology</t>
  </si>
  <si>
    <t xml:space="preserve">How data moves</t>
  </si>
  <si>
    <t xml:space="preserve">Dropdown</t>
  </si>
  <si>
    <t xml:space="preserve">Data object</t>
  </si>
  <si>
    <t xml:space="preserve">What is transferred</t>
  </si>
  <si>
    <t xml:space="preserve">e.g. MT940 statements, ORDERS05</t>
  </si>
  <si>
    <t xml:space="preserve">BP-ID</t>
  </si>
  <si>
    <t xml:space="preserve">Process the data feeds</t>
  </si>
  <si>
    <t xml:space="preserve">Back-fill after W03</t>
  </si>
  <si>
    <t xml:space="preserve">Frequency &amp; volume</t>
  </si>
  <si>
    <t xml:space="preserve">How often and how much</t>
  </si>
  <si>
    <t xml:space="preserve">Financially relevant?</t>
  </si>
  <si>
    <t xml:space="preserve">Data reaches the financial statements</t>
  </si>
  <si>
    <t xml:space="preserve">Y / N</t>
  </si>
  <si>
    <t xml:space="preserve">Error monitoring</t>
  </si>
  <si>
    <t xml:space="preserve">How failures are detected</t>
  </si>
  <si>
    <t xml:space="preserve">"None" is a valid, important answer</t>
  </si>
  <si>
    <t xml:space="preserve">Reconciliation control?</t>
  </si>
  <si>
    <t xml:space="preserve">Completeness/accuracy check between source and target</t>
  </si>
  <si>
    <t xml:space="preserve">Y / N / TBC</t>
  </si>
  <si>
    <t xml:space="preserve">Interface owner</t>
  </si>
  <si>
    <t xml:space="preserve">Accountable person</t>
  </si>
  <si>
    <t xml:space="preserve">Name / role; TBC allowed</t>
  </si>
  <si>
    <t xml:space="preserve">RFC / service user</t>
  </si>
  <si>
    <t xml:space="preserve">Technical user used</t>
  </si>
  <si>
    <t xml:space="preserve">User ID; cross-ref RFC_Service_Users</t>
  </si>
  <si>
    <t xml:space="preserve">In scope?</t>
  </si>
  <si>
    <t xml:space="preserve">Included in engagement</t>
  </si>
  <si>
    <t xml:space="preserve">Evidence ref</t>
  </si>
  <si>
    <t xml:space="preserve">Supporting document</t>
  </si>
  <si>
    <t xml:space="preserve">EV-ID or filename</t>
  </si>
  <si>
    <t xml:space="preserve">Open question / rationale</t>
  </si>
  <si>
    <t xml:space="preserve">Still to confirm, or reason for exclusion</t>
  </si>
  <si>
    <t xml:space="preserve">Mandatory if In scope = N</t>
  </si>
  <si>
    <t xml:space="preserve">Risk flag</t>
  </si>
  <si>
    <t xml:space="preserve">Whether the interface feeds a W04 risk</t>
  </si>
  <si>
    <t xml:space="preserve">Formula</t>
  </si>
  <si>
    <t xml:space="preserve">Row check</t>
  </si>
  <si>
    <t xml:space="preserve">Automatic completeness test</t>
  </si>
  <si>
    <t xml:space="preserve">RFC_Service_Users</t>
  </si>
  <si>
    <t xml:space="preserve">RFC ID</t>
  </si>
  <si>
    <t xml:space="preserve">RFC-nn</t>
  </si>
  <si>
    <t xml:space="preserve">Interface using the connection</t>
  </si>
  <si>
    <t xml:space="preserve">Must exist in Interface_Register</t>
  </si>
  <si>
    <t xml:space="preserve">Interface (lookup)</t>
  </si>
  <si>
    <t xml:space="preserve">RFC destination / connection</t>
  </si>
  <si>
    <t xml:space="preserve">SM59 destination or connection name</t>
  </si>
  <si>
    <t xml:space="preserve">Technical user</t>
  </si>
  <si>
    <t xml:space="preserve">User the connection logs on with</t>
  </si>
  <si>
    <t xml:space="preserve">User ID</t>
  </si>
  <si>
    <t xml:space="preserve">User type</t>
  </si>
  <si>
    <t xml:space="preserve">USR02 user type</t>
  </si>
  <si>
    <t xml:space="preserve">Dialog / System / Communication / Service</t>
  </si>
  <si>
    <t xml:space="preserve">Authorisation level</t>
  </si>
  <si>
    <t xml:space="preserve">Roles or profiles held</t>
  </si>
  <si>
    <t xml:space="preserve">e.g. SAP_ALL, narrow technical role</t>
  </si>
  <si>
    <t xml:space="preserve">Stored credentials?</t>
  </si>
  <si>
    <t xml:space="preserve">Password stored in the destination</t>
  </si>
  <si>
    <t xml:space="preserve">Review flag</t>
  </si>
  <si>
    <t xml:space="preserve">Link to W06 sensitive access</t>
  </si>
  <si>
    <t xml:space="preserve">Note</t>
  </si>
  <si>
    <t xml:space="preserve">Anything relevant</t>
  </si>
  <si>
    <t xml:space="preserve">Data_Flow_Map</t>
  </si>
  <si>
    <t xml:space="preserve">Flow ID</t>
  </si>
  <si>
    <t xml:space="preserve">FL-nn</t>
  </si>
  <si>
    <t xml:space="preserve">Process the flow belongs to</t>
  </si>
  <si>
    <t xml:space="preserve">From W03</t>
  </si>
  <si>
    <t xml:space="preserve">Flow description</t>
  </si>
  <si>
    <t xml:space="preserve">What data moves and why</t>
  </si>
  <si>
    <t xml:space="preserve">Where it starts</t>
  </si>
  <si>
    <t xml:space="preserve">System or external</t>
  </si>
  <si>
    <t xml:space="preserve">Where it ends</t>
  </si>
  <si>
    <t xml:space="preserve">Interface carrying it</t>
  </si>
  <si>
    <t xml:space="preserve">INT-ID, or N/A if entirely in-system</t>
  </si>
  <si>
    <t xml:space="preserve">Coverage</t>
  </si>
  <si>
    <t xml:space="preserve">Is the flow covered by the register</t>
  </si>
  <si>
    <t xml:space="preserve">Open_Items</t>
  </si>
  <si>
    <t xml:space="preserve">Item ID</t>
  </si>
  <si>
    <t xml:space="preserve">Unique open-item reference</t>
  </si>
  <si>
    <t xml:space="preserve">OI-nn</t>
  </si>
  <si>
    <t xml:space="preserve">Workbook and key the question comes from</t>
  </si>
  <si>
    <t xml:space="preserve">e.g. SYS-05</t>
  </si>
  <si>
    <t xml:space="preserve">Question / dependency</t>
  </si>
  <si>
    <t xml:space="preserve">What must still be confirmed</t>
  </si>
  <si>
    <t xml:space="preserve">Owner</t>
  </si>
  <si>
    <t xml:space="preserve">Person who can answer</t>
  </si>
  <si>
    <t xml:space="preserve">Name / role</t>
  </si>
  <si>
    <t xml:space="preserve">Raised</t>
  </si>
  <si>
    <t xml:space="preserve">Date raised</t>
  </si>
  <si>
    <t xml:space="preserve">Date</t>
  </si>
  <si>
    <t xml:space="preserve">Target date</t>
  </si>
  <si>
    <t xml:space="preserve">Date needed by</t>
  </si>
  <si>
    <t xml:space="preserve">Status</t>
  </si>
  <si>
    <t xml:space="preserve">Progress</t>
  </si>
  <si>
    <t xml:space="preserve">Open / In progress / Closed</t>
  </si>
  <si>
    <t xml:space="preserve">Resolution</t>
  </si>
  <si>
    <t xml:space="preserve">How it was resolved</t>
  </si>
  <si>
    <t xml:space="preserve">Version history</t>
  </si>
  <si>
    <t xml:space="preserve">0.1 — October 2026 — initial template (TIB Systems LLC)</t>
  </si>
  <si>
    <t xml:space="preserve">Cross-workbook links: keys from other workbooks are pasted as values into the Ref_ tabs, so this file works on its own and never breaks when files are moved.</t>
  </si>
  <si>
    <t xml:space="preserve">W02 — Interface Register</t>
  </si>
  <si>
    <t xml:space="preserve">One row per interface. Row 5 is a worked example (INT-05 payment file). Overwrite it.</t>
  </si>
  <si>
    <t xml:space="preserve">INT-05</t>
  </si>
  <si>
    <t xml:space="preserve">Vendor payment file</t>
  </si>
  <si>
    <t xml:space="preserve">SYS-03</t>
  </si>
  <si>
    <t xml:space="preserve">Bank</t>
  </si>
  <si>
    <t xml:space="preserve">Outbound</t>
  </si>
  <si>
    <t xml:space="preserve">SFTP file</t>
  </si>
  <si>
    <t xml:space="preserve">pain.001 payment instructions</t>
  </si>
  <si>
    <t xml:space="preserve">BP-P2P-03</t>
  </si>
  <si>
    <t xml:space="preserve">Per payment run (~38 runs)</t>
  </si>
  <si>
    <t xml:space="preserve">Y</t>
  </si>
  <si>
    <t xml:space="preserve">TBC</t>
  </si>
  <si>
    <t xml:space="preserve">Treasury Manager</t>
  </si>
  <si>
    <t xml:space="preserve">SFTP service account</t>
  </si>
  <si>
    <t xml:space="preserve">Confirm file directory permissions</t>
  </si>
  <si>
    <t xml:space="preserve">W02 — RFC &amp; Service Users</t>
  </si>
  <si>
    <t xml:space="preserve">RFC destinations and the technical users behind them.</t>
  </si>
  <si>
    <t xml:space="preserve">RFC-01</t>
  </si>
  <si>
    <t xml:space="preserve">SFTP_BANK</t>
  </si>
  <si>
    <t xml:space="preserve">SFTP_SVC</t>
  </si>
  <si>
    <t xml:space="preserve">Service</t>
  </si>
  <si>
    <t xml:space="preserve">Narrow technical role</t>
  </si>
  <si>
    <t xml:space="preserve">W02 — Data Flow Map</t>
  </si>
  <si>
    <t xml:space="preserve">Source to target view per process, used to prove nothing is missed.</t>
  </si>
  <si>
    <t xml:space="preserve">FL-01</t>
  </si>
  <si>
    <t xml:space="preserve">Payment instructions sent to bank after F110</t>
  </si>
  <si>
    <t xml:space="preserve">W02 — Open Items</t>
  </si>
  <si>
    <t xml:space="preserve">Unresolved interface questions.</t>
  </si>
  <si>
    <t xml:space="preserve">OI-01</t>
  </si>
  <si>
    <t xml:space="preserve">INT-02</t>
  </si>
  <si>
    <t xml:space="preserve">Is payroll posted to FI through an interface? HR process not confirmed.</t>
  </si>
  <si>
    <t xml:space="preserve">HR Manager</t>
  </si>
  <si>
    <t xml:space="preserve">Open</t>
  </si>
  <si>
    <t xml:space="preserve">Paste SYS-IDs from W01 System_Inventory (values only, column A)</t>
  </si>
  <si>
    <t xml:space="preserve">SYS-01</t>
  </si>
  <si>
    <t xml:space="preserve">SYS-02</t>
  </si>
  <si>
    <t xml:space="preserve">SYS-04</t>
  </si>
  <si>
    <t xml:space="preserve">SYS-05</t>
  </si>
  <si>
    <t xml:space="preserve">SYS-06</t>
  </si>
  <si>
    <t xml:space="preserve">Dir</t>
  </si>
  <si>
    <t xml:space="preserve">Tech</t>
  </si>
  <si>
    <t xml:space="preserve">Mon</t>
  </si>
  <si>
    <t xml:space="preserve">YN</t>
  </si>
  <si>
    <t xml:space="preserve">YNT</t>
  </si>
  <si>
    <t xml:space="preserve">UType</t>
  </si>
  <si>
    <t xml:space="preserve">OpenStatus</t>
  </si>
  <si>
    <t xml:space="preserve">Inbound</t>
  </si>
  <si>
    <t xml:space="preserve">IDoc</t>
  </si>
  <si>
    <t xml:space="preserve">WE02/WE05</t>
  </si>
  <si>
    <t xml:space="preserve">Dialog</t>
  </si>
  <si>
    <t xml:space="preserve">RFC</t>
  </si>
  <si>
    <t xml:space="preserve">BD87</t>
  </si>
  <si>
    <t xml:space="preserve">N</t>
  </si>
  <si>
    <t xml:space="preserve">System</t>
  </si>
  <si>
    <t xml:space="preserve">In progress</t>
  </si>
  <si>
    <t xml:space="preserve">Bidirectional</t>
  </si>
  <si>
    <t xml:space="preserve">BAPI</t>
  </si>
  <si>
    <t xml:space="preserve">SM58</t>
  </si>
  <si>
    <t xml:space="preserve">Communication</t>
  </si>
  <si>
    <t xml:space="preserve">Closed</t>
  </si>
  <si>
    <t xml:space="preserve">OData</t>
  </si>
  <si>
    <t xml:space="preserve">SXMB_MONI</t>
  </si>
  <si>
    <t xml:space="preserve">CPI monitor</t>
  </si>
  <si>
    <t xml:space="preserve">PI-PO</t>
  </si>
  <si>
    <t xml:space="preserve">Email alert</t>
  </si>
  <si>
    <t xml:space="preserve">CPI</t>
  </si>
  <si>
    <t xml:space="preserve">Other documented</t>
  </si>
  <si>
    <t xml:space="preserve">Manual upload (LSMW/LTMC)</t>
  </si>
  <si>
    <t xml:space="preserve">None</t>
  </si>
  <si>
    <t xml:space="preserve">Other</t>
  </si>
  <si>
    <t xml:space="preserve">W02 — Completion checks</t>
  </si>
  <si>
    <t xml:space="preserve">All checks are formulas. A workbook passes its gate when every status reads PASS (INFO rows are counts for your information).</t>
  </si>
  <si>
    <t xml:space="preserve">Overall</t>
  </si>
  <si>
    <t xml:space="preserve">Check</t>
  </si>
  <si>
    <t xml:space="preserve">Count</t>
  </si>
  <si>
    <t xml:space="preserve">What to do if REVIEW</t>
  </si>
  <si>
    <t xml:space="preserve">Interfaces listed</t>
  </si>
  <si>
    <t xml:space="preserve">INFO</t>
  </si>
  <si>
    <t xml:space="preserve">—</t>
  </si>
  <si>
    <t xml:space="preserve">Duplicate INT-IDs</t>
  </si>
  <si>
    <t xml:space="preserve">Keys must be unique.</t>
  </si>
  <si>
    <t xml:space="preserve">Register rows needing attention</t>
  </si>
  <si>
    <t xml:space="preserve">Read the Row check column.</t>
  </si>
  <si>
    <t xml:space="preserve">Financially relevant interfaces with weak or unknown monitoring/reconciliation</t>
  </si>
  <si>
    <t xml:space="preserve">Each becomes a risk in W04 (e.g. unmonitored payment file).</t>
  </si>
  <si>
    <t xml:space="preserve">Financially relevant interfaces with no BP-ID yet</t>
  </si>
  <si>
    <t xml:space="preserve">Back-fill BP-IDs once W03 is built.</t>
  </si>
  <si>
    <t xml:space="preserve">RFC / service users flagged as sensitive</t>
  </si>
  <si>
    <t xml:space="preserve">Add to the W06 Sensitive_Access list.</t>
  </si>
  <si>
    <t xml:space="preserve">Data flows with no covering interface</t>
  </si>
  <si>
    <t xml:space="preserve">Add the interface to the register or mark N/A.</t>
  </si>
  <si>
    <t xml:space="preserve">Outbound interfaces recorded (payment files, etc.)</t>
  </si>
  <si>
    <t xml:space="preserve">Do not skip outbound files: the payment file is a top fraud risk.</t>
  </si>
</sst>
</file>

<file path=xl/styles.xml><?xml version="1.0" encoding="utf-8"?>
<styleSheet xmlns="http://schemas.openxmlformats.org/spreadsheetml/2006/main">
  <numFmts count="2">
    <numFmt numFmtId="164" formatCode="General"/>
    <numFmt numFmtId="165" formatCode="dd\-mmm\-yyyy"/>
  </numFmts>
  <fonts count="18">
    <font>
      <sz val="11"/>
      <color theme="1"/>
      <name val="Calibri"/>
      <family val="2"/>
      <charset val="1"/>
    </font>
    <font>
      <sz val="10"/>
      <name val="Arial"/>
      <family val="0"/>
    </font>
    <font>
      <sz val="10"/>
      <name val="Arial"/>
      <family val="0"/>
    </font>
    <font>
      <sz val="10"/>
      <name val="Arial"/>
      <family val="0"/>
    </font>
    <font>
      <b val="true"/>
      <sz val="9"/>
      <color rgb="FF0E7C86"/>
      <name val="Arial"/>
      <family val="0"/>
      <charset val="1"/>
    </font>
    <font>
      <b val="true"/>
      <sz val="16"/>
      <color rgb="FF1F3864"/>
      <name val="Arial"/>
      <family val="0"/>
      <charset val="1"/>
    </font>
    <font>
      <b val="true"/>
      <sz val="11"/>
      <color rgb="FF0E7C86"/>
      <name val="Arial"/>
      <family val="0"/>
      <charset val="1"/>
    </font>
    <font>
      <sz val="10"/>
      <name val="Arial"/>
      <family val="0"/>
      <charset val="1"/>
    </font>
    <font>
      <b val="true"/>
      <sz val="10"/>
      <color rgb="FFFFFFFF"/>
      <name val="Arial"/>
      <family val="0"/>
      <charset val="1"/>
    </font>
    <font>
      <sz val="9"/>
      <name val="Arial"/>
      <family val="0"/>
      <charset val="1"/>
    </font>
    <font>
      <i val="true"/>
      <sz val="9"/>
      <name val="Arial"/>
      <family val="0"/>
      <charset val="1"/>
    </font>
    <font>
      <b val="true"/>
      <sz val="14"/>
      <color rgb="FF1F3864"/>
      <name val="Arial"/>
      <family val="0"/>
      <charset val="1"/>
    </font>
    <font>
      <i val="true"/>
      <sz val="9"/>
      <color rgb="FF555555"/>
      <name val="Arial"/>
      <family val="0"/>
      <charset val="1"/>
    </font>
    <font>
      <i val="true"/>
      <sz val="10"/>
      <color rgb="FF0000FF"/>
      <name val="Arial"/>
      <family val="0"/>
      <charset val="1"/>
    </font>
    <font>
      <sz val="10"/>
      <color rgb="FF000000"/>
      <name val="Arial"/>
      <family val="0"/>
      <charset val="1"/>
    </font>
    <font>
      <sz val="10"/>
      <color rgb="FF0000FF"/>
      <name val="Arial"/>
      <family val="0"/>
      <charset val="1"/>
    </font>
    <font>
      <b val="true"/>
      <sz val="10"/>
      <name val="Arial"/>
      <family val="0"/>
      <charset val="1"/>
    </font>
    <font>
      <b val="true"/>
      <sz val="10"/>
      <color rgb="FF0E7C86"/>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5B6B82"/>
        <bgColor rgb="FF555555"/>
      </patternFill>
    </fill>
    <fill>
      <patternFill patternType="solid">
        <fgColor rgb="FFFFF2CC"/>
        <bgColor rgb="FFEDEFF3"/>
      </patternFill>
    </fill>
    <fill>
      <patternFill patternType="solid">
        <fgColor rgb="FFEDEFF3"/>
        <bgColor rgb="FFFFFFFF"/>
      </patternFill>
    </fill>
    <fill>
      <patternFill patternType="solid">
        <fgColor rgb="FF0E7C86"/>
        <bgColor rgb="FF008080"/>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true" applyProtection="false">
      <alignment horizontal="general" vertical="top" textRotation="0" wrapText="true" indent="0" shrinkToFit="false"/>
      <protection locked="true" hidden="false"/>
    </xf>
    <xf numFmtId="165" fontId="15" fillId="4" borderId="1" xfId="0" applyFont="true" applyBorder="tru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B6B82"/>
          <bgColor rgb="FF000000"/>
        </patternFill>
      </fill>
    </dxf>
    <dxf>
      <fill>
        <patternFill patternType="solid">
          <fgColor rgb="FFEDEFF3"/>
          <bgColor rgb="FF000000"/>
        </patternFill>
      </fill>
    </dxf>
    <dxf>
      <fill>
        <patternFill patternType="solid">
          <fgColor rgb="FF0000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BFC7D5"/>
      <rgbColor rgb="FF808080"/>
      <rgbColor rgb="FF9999FF"/>
      <rgbColor rgb="FF993366"/>
      <rgbColor rgb="FFFFF2CC"/>
      <rgbColor rgb="FFEDEF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2"/>
      <rgbColor rgb="FF96969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60"/>
    <col collapsed="false" customWidth="true" hidden="false" outlineLevel="0" max="4" min="4" style="0" width="44"/>
    <col collapsed="false" customWidth="true" hidden="false" outlineLevel="0" max="5" min="5" style="0" width="10"/>
  </cols>
  <sheetData>
    <row r="1" customFormat="false" ht="15" hidden="false" customHeight="false" outlineLevel="0" collapsed="false">
      <c r="A1" s="1" t="s">
        <v>0</v>
      </c>
    </row>
    <row r="2" customFormat="false" ht="19.7"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c r="C5" s="4"/>
      <c r="D5" s="4"/>
    </row>
    <row r="7" customFormat="false" ht="15" hidden="false" customHeight="false" outlineLevel="0" collapsed="false">
      <c r="A7" s="3" t="s">
        <v>4</v>
      </c>
    </row>
    <row r="8" customFormat="false" ht="15" hidden="false" customHeight="true" outlineLevel="0" collapsed="false">
      <c r="A8" s="4" t="s">
        <v>5</v>
      </c>
      <c r="B8" s="4"/>
      <c r="C8" s="4"/>
      <c r="D8" s="4"/>
    </row>
    <row r="9" customFormat="false" ht="30" hidden="false" customHeight="true" outlineLevel="0" collapsed="false">
      <c r="A9" s="4" t="s">
        <v>6</v>
      </c>
      <c r="B9" s="4"/>
      <c r="C9" s="4"/>
      <c r="D9" s="4"/>
    </row>
    <row r="10" customFormat="false" ht="15" hidden="false" customHeight="true" outlineLevel="0" collapsed="false">
      <c r="A10" s="4" t="s">
        <v>7</v>
      </c>
      <c r="B10" s="4"/>
      <c r="C10" s="4"/>
      <c r="D10" s="4"/>
    </row>
    <row r="11" customFormat="false" ht="15" hidden="false" customHeight="true" outlineLevel="0" collapsed="false">
      <c r="A11" s="4" t="s">
        <v>8</v>
      </c>
      <c r="B11" s="4"/>
      <c r="C11" s="4"/>
      <c r="D11" s="4"/>
    </row>
    <row r="12" customFormat="false" ht="15" hidden="false" customHeight="true" outlineLevel="0" collapsed="false">
      <c r="A12" s="4" t="s">
        <v>9</v>
      </c>
      <c r="B12" s="4"/>
      <c r="C12" s="4"/>
      <c r="D12" s="4"/>
    </row>
    <row r="14" customFormat="false" ht="15" hidden="false" customHeight="false" outlineLevel="0" collapsed="false">
      <c r="A14" s="3" t="s">
        <v>10</v>
      </c>
    </row>
    <row r="15" customFormat="false" ht="30" hidden="false" customHeight="true" outlineLevel="0" collapsed="false">
      <c r="A15" s="4" t="s">
        <v>11</v>
      </c>
      <c r="B15" s="4"/>
      <c r="C15" s="4"/>
      <c r="D15" s="4"/>
    </row>
    <row r="17" customFormat="false" ht="15" hidden="false" customHeight="false" outlineLevel="0" collapsed="false">
      <c r="A17" s="3" t="s">
        <v>12</v>
      </c>
    </row>
    <row r="18" customFormat="false" ht="15" hidden="false" customHeight="true" outlineLevel="0" collapsed="false">
      <c r="A18" s="4" t="s">
        <v>13</v>
      </c>
      <c r="B18" s="4"/>
      <c r="C18" s="4"/>
      <c r="D18" s="4"/>
    </row>
    <row r="19" customFormat="false" ht="15" hidden="false" customHeight="true" outlineLevel="0" collapsed="false">
      <c r="A19" s="4" t="s">
        <v>14</v>
      </c>
      <c r="B19" s="4"/>
      <c r="C19" s="4"/>
      <c r="D19" s="4"/>
    </row>
    <row r="20" customFormat="false" ht="15" hidden="false" customHeight="true" outlineLevel="0" collapsed="false">
      <c r="A20" s="4" t="s">
        <v>15</v>
      </c>
      <c r="B20" s="4"/>
      <c r="C20" s="4"/>
      <c r="D20" s="4"/>
    </row>
    <row r="21" customFormat="false" ht="15" hidden="false" customHeight="true" outlineLevel="0" collapsed="false">
      <c r="A21" s="4" t="s">
        <v>16</v>
      </c>
      <c r="B21" s="4"/>
      <c r="C21" s="4"/>
      <c r="D21" s="4"/>
    </row>
    <row r="23" customFormat="false" ht="15" hidden="false" customHeight="false" outlineLevel="0" collapsed="false">
      <c r="A23" s="3" t="s">
        <v>17</v>
      </c>
    </row>
    <row r="24" customFormat="false" ht="15" hidden="false" customHeight="true" outlineLevel="0" collapsed="false">
      <c r="A24" s="4" t="s">
        <v>18</v>
      </c>
      <c r="B24" s="4"/>
      <c r="C24" s="4"/>
      <c r="D24" s="4"/>
    </row>
    <row r="26" customFormat="false" ht="15" hidden="false" customHeight="false" outlineLevel="0" collapsed="false">
      <c r="A26" s="3" t="s">
        <v>19</v>
      </c>
    </row>
    <row r="27" customFormat="false" ht="15" hidden="false" customHeight="false" outlineLevel="0" collapsed="false">
      <c r="A27" s="5" t="s">
        <v>20</v>
      </c>
      <c r="B27" s="5" t="s">
        <v>21</v>
      </c>
      <c r="C27" s="5" t="s">
        <v>22</v>
      </c>
      <c r="D27" s="5" t="s">
        <v>23</v>
      </c>
      <c r="E27" s="5" t="s">
        <v>24</v>
      </c>
    </row>
    <row r="28" customFormat="false" ht="15" hidden="false" customHeight="false" outlineLevel="0" collapsed="false">
      <c r="A28" s="6" t="s">
        <v>25</v>
      </c>
      <c r="B28" s="6" t="s">
        <v>26</v>
      </c>
      <c r="C28" s="6" t="s">
        <v>27</v>
      </c>
      <c r="D28" s="6" t="s">
        <v>28</v>
      </c>
      <c r="E28" s="6" t="s">
        <v>29</v>
      </c>
    </row>
    <row r="29" customFormat="false" ht="15" hidden="false" customHeight="false" outlineLevel="0" collapsed="false">
      <c r="A29" s="6" t="s">
        <v>25</v>
      </c>
      <c r="B29" s="6" t="s">
        <v>30</v>
      </c>
      <c r="C29" s="6" t="s">
        <v>31</v>
      </c>
      <c r="D29" s="6" t="s">
        <v>32</v>
      </c>
      <c r="E29" s="6" t="s">
        <v>29</v>
      </c>
    </row>
    <row r="30" customFormat="false" ht="15" hidden="false" customHeight="false" outlineLevel="0" collapsed="false">
      <c r="A30" s="6" t="s">
        <v>25</v>
      </c>
      <c r="B30" s="6" t="s">
        <v>33</v>
      </c>
      <c r="C30" s="6" t="s">
        <v>34</v>
      </c>
      <c r="D30" s="6" t="s">
        <v>35</v>
      </c>
      <c r="E30" s="6" t="s">
        <v>29</v>
      </c>
    </row>
    <row r="31" customFormat="false" ht="22.35" hidden="false" customHeight="false" outlineLevel="0" collapsed="false">
      <c r="A31" s="6" t="s">
        <v>25</v>
      </c>
      <c r="B31" s="6" t="s">
        <v>36</v>
      </c>
      <c r="C31" s="6" t="s">
        <v>37</v>
      </c>
      <c r="D31" s="6" t="s">
        <v>38</v>
      </c>
      <c r="E31" s="6" t="s">
        <v>29</v>
      </c>
    </row>
    <row r="32" customFormat="false" ht="15" hidden="false" customHeight="false" outlineLevel="0" collapsed="false">
      <c r="A32" s="6" t="s">
        <v>25</v>
      </c>
      <c r="B32" s="6" t="s">
        <v>39</v>
      </c>
      <c r="C32" s="6" t="s">
        <v>40</v>
      </c>
      <c r="D32" s="6" t="s">
        <v>41</v>
      </c>
      <c r="E32" s="6" t="s">
        <v>29</v>
      </c>
    </row>
    <row r="33" customFormat="false" ht="15" hidden="false" customHeight="false" outlineLevel="0" collapsed="false">
      <c r="A33" s="6" t="s">
        <v>25</v>
      </c>
      <c r="B33" s="6" t="s">
        <v>42</v>
      </c>
      <c r="C33" s="6" t="s">
        <v>43</v>
      </c>
      <c r="D33" s="6" t="s">
        <v>44</v>
      </c>
      <c r="E33" s="6" t="s">
        <v>29</v>
      </c>
    </row>
    <row r="34" customFormat="false" ht="15" hidden="false" customHeight="false" outlineLevel="0" collapsed="false">
      <c r="A34" s="6" t="s">
        <v>25</v>
      </c>
      <c r="B34" s="6" t="s">
        <v>45</v>
      </c>
      <c r="C34" s="6" t="s">
        <v>46</v>
      </c>
      <c r="D34" s="6" t="s">
        <v>47</v>
      </c>
      <c r="E34" s="6" t="s">
        <v>29</v>
      </c>
    </row>
    <row r="35" customFormat="false" ht="15" hidden="false" customHeight="false" outlineLevel="0" collapsed="false">
      <c r="A35" s="6" t="s">
        <v>25</v>
      </c>
      <c r="B35" s="6" t="s">
        <v>48</v>
      </c>
      <c r="C35" s="6" t="s">
        <v>49</v>
      </c>
      <c r="D35" s="6" t="s">
        <v>50</v>
      </c>
      <c r="E35" s="6" t="s">
        <v>29</v>
      </c>
    </row>
    <row r="36" customFormat="false" ht="15" hidden="false" customHeight="false" outlineLevel="0" collapsed="false">
      <c r="A36" s="6" t="s">
        <v>25</v>
      </c>
      <c r="B36" s="6" t="s">
        <v>51</v>
      </c>
      <c r="C36" s="6" t="s">
        <v>52</v>
      </c>
      <c r="D36" s="6" t="s">
        <v>32</v>
      </c>
      <c r="E36" s="6" t="s">
        <v>29</v>
      </c>
    </row>
    <row r="37" customFormat="false" ht="15" hidden="false" customHeight="false" outlineLevel="0" collapsed="false">
      <c r="A37" s="6" t="s">
        <v>25</v>
      </c>
      <c r="B37" s="6" t="s">
        <v>53</v>
      </c>
      <c r="C37" s="6" t="s">
        <v>54</v>
      </c>
      <c r="D37" s="6" t="s">
        <v>55</v>
      </c>
      <c r="E37" s="6" t="s">
        <v>29</v>
      </c>
    </row>
    <row r="38" customFormat="false" ht="15" hidden="false" customHeight="false" outlineLevel="0" collapsed="false">
      <c r="A38" s="6" t="s">
        <v>25</v>
      </c>
      <c r="B38" s="6" t="s">
        <v>56</v>
      </c>
      <c r="C38" s="6" t="s">
        <v>57</v>
      </c>
      <c r="D38" s="6" t="s">
        <v>58</v>
      </c>
      <c r="E38" s="6" t="s">
        <v>29</v>
      </c>
    </row>
    <row r="39" customFormat="false" ht="15" hidden="false" customHeight="false" outlineLevel="0" collapsed="false">
      <c r="A39" s="6" t="s">
        <v>25</v>
      </c>
      <c r="B39" s="6" t="s">
        <v>59</v>
      </c>
      <c r="C39" s="6" t="s">
        <v>60</v>
      </c>
      <c r="D39" s="6" t="s">
        <v>61</v>
      </c>
      <c r="E39" s="6" t="s">
        <v>29</v>
      </c>
    </row>
    <row r="40" customFormat="false" ht="15" hidden="false" customHeight="false" outlineLevel="0" collapsed="false">
      <c r="A40" s="6" t="s">
        <v>25</v>
      </c>
      <c r="B40" s="6" t="s">
        <v>62</v>
      </c>
      <c r="C40" s="6" t="s">
        <v>63</v>
      </c>
      <c r="D40" s="6" t="s">
        <v>64</v>
      </c>
      <c r="E40" s="6" t="s">
        <v>29</v>
      </c>
    </row>
    <row r="41" customFormat="false" ht="15" hidden="false" customHeight="false" outlineLevel="0" collapsed="false">
      <c r="A41" s="6" t="s">
        <v>25</v>
      </c>
      <c r="B41" s="6" t="s">
        <v>65</v>
      </c>
      <c r="C41" s="6" t="s">
        <v>66</v>
      </c>
      <c r="D41" s="6" t="s">
        <v>67</v>
      </c>
      <c r="E41" s="6" t="s">
        <v>29</v>
      </c>
    </row>
    <row r="42" customFormat="false" ht="15" hidden="false" customHeight="false" outlineLevel="0" collapsed="false">
      <c r="A42" s="6" t="s">
        <v>25</v>
      </c>
      <c r="B42" s="6" t="s">
        <v>68</v>
      </c>
      <c r="C42" s="6" t="s">
        <v>69</v>
      </c>
      <c r="D42" s="6" t="s">
        <v>61</v>
      </c>
      <c r="E42" s="6" t="s">
        <v>29</v>
      </c>
    </row>
    <row r="43" customFormat="false" ht="15" hidden="false" customHeight="false" outlineLevel="0" collapsed="false">
      <c r="A43" s="6" t="s">
        <v>25</v>
      </c>
      <c r="B43" s="6" t="s">
        <v>70</v>
      </c>
      <c r="C43" s="6" t="s">
        <v>71</v>
      </c>
      <c r="D43" s="6" t="s">
        <v>72</v>
      </c>
      <c r="E43" s="6" t="s">
        <v>29</v>
      </c>
    </row>
    <row r="44" customFormat="false" ht="15" hidden="false" customHeight="false" outlineLevel="0" collapsed="false">
      <c r="A44" s="6" t="s">
        <v>25</v>
      </c>
      <c r="B44" s="6" t="s">
        <v>73</v>
      </c>
      <c r="C44" s="6" t="s">
        <v>74</v>
      </c>
      <c r="D44" s="6" t="s">
        <v>75</v>
      </c>
      <c r="E44" s="6" t="s">
        <v>29</v>
      </c>
    </row>
    <row r="45" customFormat="false" ht="15" hidden="false" customHeight="false" outlineLevel="0" collapsed="false">
      <c r="A45" s="6" t="s">
        <v>25</v>
      </c>
      <c r="B45" s="6" t="s">
        <v>76</v>
      </c>
      <c r="C45" s="6" t="s">
        <v>77</v>
      </c>
      <c r="D45" s="6" t="s">
        <v>78</v>
      </c>
      <c r="E45" s="6" t="s">
        <v>78</v>
      </c>
    </row>
    <row r="46" customFormat="false" ht="15" hidden="false" customHeight="false" outlineLevel="0" collapsed="false">
      <c r="A46" s="6" t="s">
        <v>25</v>
      </c>
      <c r="B46" s="6" t="s">
        <v>79</v>
      </c>
      <c r="C46" s="6" t="s">
        <v>80</v>
      </c>
      <c r="D46" s="6" t="s">
        <v>78</v>
      </c>
      <c r="E46" s="6" t="s">
        <v>78</v>
      </c>
    </row>
    <row r="47" customFormat="false" ht="15" hidden="false" customHeight="false" outlineLevel="0" collapsed="false">
      <c r="A47" s="6" t="s">
        <v>81</v>
      </c>
      <c r="B47" s="6" t="s">
        <v>82</v>
      </c>
      <c r="C47" s="6" t="s">
        <v>27</v>
      </c>
      <c r="D47" s="6" t="s">
        <v>83</v>
      </c>
      <c r="E47" s="6" t="s">
        <v>29</v>
      </c>
    </row>
    <row r="48" customFormat="false" ht="15" hidden="false" customHeight="false" outlineLevel="0" collapsed="false">
      <c r="A48" s="6" t="s">
        <v>81</v>
      </c>
      <c r="B48" s="6" t="s">
        <v>26</v>
      </c>
      <c r="C48" s="6" t="s">
        <v>84</v>
      </c>
      <c r="D48" s="6" t="s">
        <v>85</v>
      </c>
      <c r="E48" s="6" t="s">
        <v>29</v>
      </c>
    </row>
    <row r="49" customFormat="false" ht="15" hidden="false" customHeight="false" outlineLevel="0" collapsed="false">
      <c r="A49" s="6" t="s">
        <v>81</v>
      </c>
      <c r="B49" s="6" t="s">
        <v>86</v>
      </c>
      <c r="C49" s="6" t="s">
        <v>30</v>
      </c>
      <c r="D49" s="6" t="s">
        <v>78</v>
      </c>
      <c r="E49" s="6" t="s">
        <v>78</v>
      </c>
    </row>
    <row r="50" customFormat="false" ht="15" hidden="false" customHeight="false" outlineLevel="0" collapsed="false">
      <c r="A50" s="6" t="s">
        <v>81</v>
      </c>
      <c r="B50" s="6" t="s">
        <v>87</v>
      </c>
      <c r="C50" s="6" t="s">
        <v>88</v>
      </c>
      <c r="D50" s="6" t="s">
        <v>32</v>
      </c>
      <c r="E50" s="6" t="s">
        <v>29</v>
      </c>
    </row>
    <row r="51" customFormat="false" ht="15" hidden="false" customHeight="false" outlineLevel="0" collapsed="false">
      <c r="A51" s="6" t="s">
        <v>81</v>
      </c>
      <c r="B51" s="6" t="s">
        <v>89</v>
      </c>
      <c r="C51" s="6" t="s">
        <v>90</v>
      </c>
      <c r="D51" s="6" t="s">
        <v>91</v>
      </c>
      <c r="E51" s="6" t="s">
        <v>29</v>
      </c>
    </row>
    <row r="52" customFormat="false" ht="15" hidden="false" customHeight="false" outlineLevel="0" collapsed="false">
      <c r="A52" s="6" t="s">
        <v>81</v>
      </c>
      <c r="B52" s="6" t="s">
        <v>92</v>
      </c>
      <c r="C52" s="6" t="s">
        <v>93</v>
      </c>
      <c r="D52" s="6" t="s">
        <v>94</v>
      </c>
      <c r="E52" s="6" t="s">
        <v>29</v>
      </c>
    </row>
    <row r="53" customFormat="false" ht="15" hidden="false" customHeight="false" outlineLevel="0" collapsed="false">
      <c r="A53" s="6" t="s">
        <v>81</v>
      </c>
      <c r="B53" s="6" t="s">
        <v>95</v>
      </c>
      <c r="C53" s="6" t="s">
        <v>96</v>
      </c>
      <c r="D53" s="6" t="s">
        <v>97</v>
      </c>
      <c r="E53" s="6" t="s">
        <v>29</v>
      </c>
    </row>
    <row r="54" customFormat="false" ht="15" hidden="false" customHeight="false" outlineLevel="0" collapsed="false">
      <c r="A54" s="6" t="s">
        <v>81</v>
      </c>
      <c r="B54" s="6" t="s">
        <v>98</v>
      </c>
      <c r="C54" s="6" t="s">
        <v>99</v>
      </c>
      <c r="D54" s="6" t="s">
        <v>61</v>
      </c>
      <c r="E54" s="6" t="s">
        <v>29</v>
      </c>
    </row>
    <row r="55" customFormat="false" ht="15" hidden="false" customHeight="false" outlineLevel="0" collapsed="false">
      <c r="A55" s="6" t="s">
        <v>81</v>
      </c>
      <c r="B55" s="6" t="s">
        <v>100</v>
      </c>
      <c r="C55" s="6" t="s">
        <v>101</v>
      </c>
      <c r="D55" s="6" t="s">
        <v>78</v>
      </c>
      <c r="E55" s="6" t="s">
        <v>78</v>
      </c>
    </row>
    <row r="56" customFormat="false" ht="15" hidden="false" customHeight="false" outlineLevel="0" collapsed="false">
      <c r="A56" s="6" t="s">
        <v>81</v>
      </c>
      <c r="B56" s="6" t="s">
        <v>102</v>
      </c>
      <c r="C56" s="6" t="s">
        <v>103</v>
      </c>
      <c r="D56" s="6" t="s">
        <v>32</v>
      </c>
      <c r="E56" s="6" t="s">
        <v>29</v>
      </c>
    </row>
    <row r="57" customFormat="false" ht="15" hidden="false" customHeight="false" outlineLevel="0" collapsed="false">
      <c r="A57" s="6" t="s">
        <v>104</v>
      </c>
      <c r="B57" s="6" t="s">
        <v>105</v>
      </c>
      <c r="C57" s="6" t="s">
        <v>27</v>
      </c>
      <c r="D57" s="6" t="s">
        <v>106</v>
      </c>
      <c r="E57" s="6" t="s">
        <v>29</v>
      </c>
    </row>
    <row r="58" customFormat="false" ht="15" hidden="false" customHeight="false" outlineLevel="0" collapsed="false">
      <c r="A58" s="6" t="s">
        <v>104</v>
      </c>
      <c r="B58" s="6" t="s">
        <v>48</v>
      </c>
      <c r="C58" s="6" t="s">
        <v>107</v>
      </c>
      <c r="D58" s="6" t="s">
        <v>108</v>
      </c>
      <c r="E58" s="6" t="s">
        <v>29</v>
      </c>
    </row>
    <row r="59" customFormat="false" ht="15" hidden="false" customHeight="false" outlineLevel="0" collapsed="false">
      <c r="A59" s="6" t="s">
        <v>104</v>
      </c>
      <c r="B59" s="6" t="s">
        <v>109</v>
      </c>
      <c r="C59" s="6" t="s">
        <v>110</v>
      </c>
      <c r="D59" s="6" t="s">
        <v>32</v>
      </c>
      <c r="E59" s="6" t="s">
        <v>29</v>
      </c>
    </row>
    <row r="60" customFormat="false" ht="15" hidden="false" customHeight="false" outlineLevel="0" collapsed="false">
      <c r="A60" s="6" t="s">
        <v>104</v>
      </c>
      <c r="B60" s="6" t="s">
        <v>33</v>
      </c>
      <c r="C60" s="6" t="s">
        <v>111</v>
      </c>
      <c r="D60" s="6" t="s">
        <v>112</v>
      </c>
      <c r="E60" s="6" t="s">
        <v>29</v>
      </c>
    </row>
    <row r="61" customFormat="false" ht="15" hidden="false" customHeight="false" outlineLevel="0" collapsed="false">
      <c r="A61" s="6" t="s">
        <v>104</v>
      </c>
      <c r="B61" s="6" t="s">
        <v>36</v>
      </c>
      <c r="C61" s="6" t="s">
        <v>113</v>
      </c>
      <c r="D61" s="6" t="s">
        <v>112</v>
      </c>
      <c r="E61" s="6" t="s">
        <v>29</v>
      </c>
    </row>
    <row r="62" customFormat="false" ht="15" hidden="false" customHeight="false" outlineLevel="0" collapsed="false">
      <c r="A62" s="6" t="s">
        <v>104</v>
      </c>
      <c r="B62" s="6" t="s">
        <v>26</v>
      </c>
      <c r="C62" s="6" t="s">
        <v>114</v>
      </c>
      <c r="D62" s="6" t="s">
        <v>115</v>
      </c>
      <c r="E62" s="6" t="s">
        <v>29</v>
      </c>
    </row>
    <row r="63" customFormat="false" ht="15" hidden="false" customHeight="false" outlineLevel="0" collapsed="false">
      <c r="A63" s="6" t="s">
        <v>104</v>
      </c>
      <c r="B63" s="6" t="s">
        <v>116</v>
      </c>
      <c r="C63" s="6" t="s">
        <v>117</v>
      </c>
      <c r="D63" s="6" t="s">
        <v>78</v>
      </c>
      <c r="E63" s="6" t="s">
        <v>78</v>
      </c>
    </row>
    <row r="64" customFormat="false" ht="15" hidden="false" customHeight="false" outlineLevel="0" collapsed="false">
      <c r="A64" s="6" t="s">
        <v>104</v>
      </c>
      <c r="B64" s="6" t="s">
        <v>102</v>
      </c>
      <c r="C64" s="6" t="s">
        <v>103</v>
      </c>
      <c r="D64" s="6" t="s">
        <v>32</v>
      </c>
      <c r="E64" s="6" t="s">
        <v>29</v>
      </c>
    </row>
    <row r="65" customFormat="false" ht="15" hidden="false" customHeight="false" outlineLevel="0" collapsed="false">
      <c r="A65" s="6" t="s">
        <v>118</v>
      </c>
      <c r="B65" s="6" t="s">
        <v>119</v>
      </c>
      <c r="C65" s="6" t="s">
        <v>120</v>
      </c>
      <c r="D65" s="6" t="s">
        <v>121</v>
      </c>
      <c r="E65" s="6" t="s">
        <v>29</v>
      </c>
    </row>
    <row r="66" customFormat="false" ht="15" hidden="false" customHeight="false" outlineLevel="0" collapsed="false">
      <c r="A66" s="6" t="s">
        <v>118</v>
      </c>
      <c r="B66" s="6" t="s">
        <v>33</v>
      </c>
      <c r="C66" s="6" t="s">
        <v>122</v>
      </c>
      <c r="D66" s="6" t="s">
        <v>123</v>
      </c>
      <c r="E66" s="6" t="s">
        <v>29</v>
      </c>
    </row>
    <row r="67" customFormat="false" ht="15" hidden="false" customHeight="false" outlineLevel="0" collapsed="false">
      <c r="A67" s="6" t="s">
        <v>118</v>
      </c>
      <c r="B67" s="6" t="s">
        <v>124</v>
      </c>
      <c r="C67" s="6" t="s">
        <v>125</v>
      </c>
      <c r="D67" s="6" t="s">
        <v>32</v>
      </c>
      <c r="E67" s="6" t="s">
        <v>29</v>
      </c>
    </row>
    <row r="68" customFormat="false" ht="15" hidden="false" customHeight="false" outlineLevel="0" collapsed="false">
      <c r="A68" s="6" t="s">
        <v>118</v>
      </c>
      <c r="B68" s="6" t="s">
        <v>126</v>
      </c>
      <c r="C68" s="6" t="s">
        <v>127</v>
      </c>
      <c r="D68" s="6" t="s">
        <v>128</v>
      </c>
      <c r="E68" s="6" t="s">
        <v>29</v>
      </c>
    </row>
    <row r="69" customFormat="false" ht="15" hidden="false" customHeight="false" outlineLevel="0" collapsed="false">
      <c r="A69" s="6" t="s">
        <v>118</v>
      </c>
      <c r="B69" s="6" t="s">
        <v>129</v>
      </c>
      <c r="C69" s="6" t="s">
        <v>130</v>
      </c>
      <c r="D69" s="6" t="s">
        <v>131</v>
      </c>
      <c r="E69" s="6" t="s">
        <v>29</v>
      </c>
    </row>
    <row r="70" customFormat="false" ht="15" hidden="false" customHeight="false" outlineLevel="0" collapsed="false">
      <c r="A70" s="6" t="s">
        <v>118</v>
      </c>
      <c r="B70" s="6" t="s">
        <v>132</v>
      </c>
      <c r="C70" s="6" t="s">
        <v>133</v>
      </c>
      <c r="D70" s="6" t="s">
        <v>131</v>
      </c>
      <c r="E70" s="6" t="s">
        <v>29</v>
      </c>
    </row>
    <row r="71" customFormat="false" ht="15" hidden="false" customHeight="false" outlineLevel="0" collapsed="false">
      <c r="A71" s="6" t="s">
        <v>118</v>
      </c>
      <c r="B71" s="6" t="s">
        <v>134</v>
      </c>
      <c r="C71" s="6" t="s">
        <v>135</v>
      </c>
      <c r="D71" s="6" t="s">
        <v>136</v>
      </c>
      <c r="E71" s="6" t="s">
        <v>29</v>
      </c>
    </row>
    <row r="72" customFormat="false" ht="15" hidden="false" customHeight="false" outlineLevel="0" collapsed="false">
      <c r="A72" s="6" t="s">
        <v>118</v>
      </c>
      <c r="B72" s="6" t="s">
        <v>137</v>
      </c>
      <c r="C72" s="6" t="s">
        <v>138</v>
      </c>
      <c r="D72" s="6" t="s">
        <v>32</v>
      </c>
      <c r="E72" s="6" t="s">
        <v>29</v>
      </c>
    </row>
    <row r="74" customFormat="false" ht="15" hidden="false" customHeight="false" outlineLevel="0" collapsed="false">
      <c r="A74" s="3" t="s">
        <v>139</v>
      </c>
    </row>
    <row r="75" customFormat="false" ht="15" hidden="false" customHeight="false" outlineLevel="0" collapsed="false">
      <c r="A75" s="7" t="s">
        <v>140</v>
      </c>
    </row>
    <row r="76" customFormat="false" ht="15" hidden="false" customHeight="false" outlineLevel="0" collapsed="false">
      <c r="A76" s="8" t="s">
        <v>141</v>
      </c>
    </row>
  </sheetData>
  <mergeCells count="12">
    <mergeCell ref="A5:D5"/>
    <mergeCell ref="A8:D8"/>
    <mergeCell ref="A9:D9"/>
    <mergeCell ref="A10:D10"/>
    <mergeCell ref="A11:D11"/>
    <mergeCell ref="A12:D12"/>
    <mergeCell ref="A15:D15"/>
    <mergeCell ref="A18:D18"/>
    <mergeCell ref="A19:D19"/>
    <mergeCell ref="A20:D20"/>
    <mergeCell ref="A21:D2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4" min="3" style="0" width="18"/>
    <col collapsed="false" customWidth="true" hidden="false" outlineLevel="0" max="5" min="5" style="0" width="12"/>
    <col collapsed="false" customWidth="true" hidden="false" outlineLevel="0" max="6" min="6" style="0" width="20"/>
    <col collapsed="false" customWidth="true" hidden="false" outlineLevel="0" max="7" min="7" style="0" width="24"/>
    <col collapsed="false" customWidth="true" hidden="false" outlineLevel="0" max="8" min="8" style="0" width="12"/>
    <col collapsed="false" customWidth="true" hidden="false" outlineLevel="0" max="9" min="9" style="0" width="16"/>
    <col collapsed="false" customWidth="true" hidden="false" outlineLevel="0" max="10" min="10" style="0" width="11"/>
    <col collapsed="false" customWidth="true" hidden="false" outlineLevel="0" max="11" min="11" style="0" width="20"/>
    <col collapsed="false" customWidth="true" hidden="false" outlineLevel="0" max="12" min="12" style="0" width="13"/>
    <col collapsed="false" customWidth="true" hidden="false" outlineLevel="0" max="13" min="13" style="0" width="16"/>
    <col collapsed="false" customWidth="true" hidden="false" outlineLevel="0" max="14" min="14" style="0" width="18"/>
    <col collapsed="false" customWidth="true" hidden="false" outlineLevel="0" max="15" min="15" style="0" width="9"/>
    <col collapsed="false" customWidth="true" hidden="false" outlineLevel="0" max="16" min="16" style="0" width="14"/>
    <col collapsed="false" customWidth="true" hidden="false" outlineLevel="0" max="17" min="17" style="0" width="30"/>
    <col collapsed="false" customWidth="true" hidden="false" outlineLevel="0" max="18" min="18" style="0" width="22"/>
    <col collapsed="false" customWidth="true" hidden="false" outlineLevel="0" max="19" min="19" style="0" width="30"/>
  </cols>
  <sheetData>
    <row r="1" customFormat="false" ht="17.35" hidden="false" customHeight="false" outlineLevel="0" collapsed="false">
      <c r="A1" s="9" t="s">
        <v>142</v>
      </c>
    </row>
    <row r="2" customFormat="false" ht="15" hidden="false" customHeight="false" outlineLevel="0" collapsed="false">
      <c r="A2" s="10" t="s">
        <v>143</v>
      </c>
    </row>
    <row r="4" customFormat="false" ht="31.5" hidden="false" customHeight="true" outlineLevel="0" collapsed="false">
      <c r="A4" s="11" t="s">
        <v>26</v>
      </c>
      <c r="B4" s="11" t="s">
        <v>30</v>
      </c>
      <c r="C4" s="11" t="s">
        <v>33</v>
      </c>
      <c r="D4" s="11" t="s">
        <v>36</v>
      </c>
      <c r="E4" s="11" t="s">
        <v>39</v>
      </c>
      <c r="F4" s="11" t="s">
        <v>42</v>
      </c>
      <c r="G4" s="11" t="s">
        <v>45</v>
      </c>
      <c r="H4" s="11" t="s">
        <v>48</v>
      </c>
      <c r="I4" s="11" t="s">
        <v>51</v>
      </c>
      <c r="J4" s="11" t="s">
        <v>53</v>
      </c>
      <c r="K4" s="11" t="s">
        <v>56</v>
      </c>
      <c r="L4" s="11" t="s">
        <v>59</v>
      </c>
      <c r="M4" s="11" t="s">
        <v>62</v>
      </c>
      <c r="N4" s="11" t="s">
        <v>65</v>
      </c>
      <c r="O4" s="11" t="s">
        <v>68</v>
      </c>
      <c r="P4" s="11" t="s">
        <v>70</v>
      </c>
      <c r="Q4" s="11" t="s">
        <v>73</v>
      </c>
      <c r="R4" s="12" t="s">
        <v>76</v>
      </c>
      <c r="S4" s="12" t="s">
        <v>79</v>
      </c>
    </row>
    <row r="5" customFormat="false" ht="23.85" hidden="false" customHeight="false" outlineLevel="0" collapsed="false">
      <c r="A5" s="13" t="s">
        <v>144</v>
      </c>
      <c r="B5" s="13" t="s">
        <v>145</v>
      </c>
      <c r="C5" s="13" t="s">
        <v>146</v>
      </c>
      <c r="D5" s="13" t="s">
        <v>147</v>
      </c>
      <c r="E5" s="13" t="s">
        <v>148</v>
      </c>
      <c r="F5" s="13" t="s">
        <v>149</v>
      </c>
      <c r="G5" s="13" t="s">
        <v>150</v>
      </c>
      <c r="H5" s="13" t="s">
        <v>151</v>
      </c>
      <c r="I5" s="13" t="s">
        <v>152</v>
      </c>
      <c r="J5" s="13" t="s">
        <v>153</v>
      </c>
      <c r="K5" s="13" t="s">
        <v>154</v>
      </c>
      <c r="L5" s="13" t="s">
        <v>154</v>
      </c>
      <c r="M5" s="13" t="s">
        <v>155</v>
      </c>
      <c r="N5" s="13" t="s">
        <v>156</v>
      </c>
      <c r="O5" s="13" t="s">
        <v>153</v>
      </c>
      <c r="P5" s="13"/>
      <c r="Q5" s="13" t="s">
        <v>157</v>
      </c>
      <c r="R5" s="14" t="str">
        <f aca="false">IF(A5="","",IF(AND(J5="Y",OR(K5="None",K5="TBC",K5="",L5="N",L5="TBC",L5="")),"Carry to W04 as risk","—"))</f>
        <v>Carry to W04 as risk</v>
      </c>
      <c r="S5" s="14" t="str">
        <f aca="false">IF(A5="","",IF(OR(B5="",C5="",D5="",E5="",F5=""),"Name, source, target, direction, technology needed",IF(AND(COUNTIF(Ref_SYS!$A$2:$A$101,C5)=0,COUNTIF(Ref_SYS!$A$2:$A$101,D5)=0),"No in-scope SYS-ID on either side",IF(AND(J5="Y",K5=""),"Monitoring answer needed",IF(AND(O5="N",Q5=""),"Rationale needed","OK")))))</f>
        <v>OK</v>
      </c>
    </row>
    <row r="6" customFormat="false" ht="15" hidden="false" customHeight="false" outlineLevel="0" collapsed="false">
      <c r="A6" s="15"/>
      <c r="B6" s="15"/>
      <c r="C6" s="15"/>
      <c r="D6" s="15"/>
      <c r="E6" s="15"/>
      <c r="F6" s="15"/>
      <c r="G6" s="15"/>
      <c r="H6" s="15"/>
      <c r="I6" s="15"/>
      <c r="J6" s="15"/>
      <c r="K6" s="15"/>
      <c r="L6" s="15"/>
      <c r="M6" s="15"/>
      <c r="N6" s="15"/>
      <c r="O6" s="15"/>
      <c r="P6" s="15"/>
      <c r="Q6" s="15"/>
      <c r="R6" s="16" t="str">
        <f aca="false">IF(A6="","",IF(AND(J6="Y",OR(K6="None",K6="TBC",K6="",L6="N",L6="TBC",L6="")),"Carry to W04 as risk","—"))</f>
        <v/>
      </c>
      <c r="S6" s="16" t="str">
        <f aca="false">IF(A6="","",IF(OR(B6="",C6="",D6="",E6="",F6=""),"Name, source, target, direction, technology needed",IF(AND(COUNTIF(Ref_SYS!$A$2:$A$101,C6)=0,COUNTIF(Ref_SYS!$A$2:$A$101,D6)=0),"No in-scope SYS-ID on either side",IF(AND(J6="Y",K6=""),"Monitoring answer needed",IF(AND(O6="N",Q6=""),"Rationale needed","OK")))))</f>
        <v/>
      </c>
    </row>
    <row r="7" customFormat="false" ht="15" hidden="false" customHeight="false" outlineLevel="0" collapsed="false">
      <c r="A7" s="15"/>
      <c r="B7" s="15"/>
      <c r="C7" s="15"/>
      <c r="D7" s="15"/>
      <c r="E7" s="15"/>
      <c r="F7" s="15"/>
      <c r="G7" s="15"/>
      <c r="H7" s="15"/>
      <c r="I7" s="15"/>
      <c r="J7" s="15"/>
      <c r="K7" s="15"/>
      <c r="L7" s="15"/>
      <c r="M7" s="15"/>
      <c r="N7" s="15"/>
      <c r="O7" s="15"/>
      <c r="P7" s="15"/>
      <c r="Q7" s="15"/>
      <c r="R7" s="16" t="str">
        <f aca="false">IF(A7="","",IF(AND(J7="Y",OR(K7="None",K7="TBC",K7="",L7="N",L7="TBC",L7="")),"Carry to W04 as risk","—"))</f>
        <v/>
      </c>
      <c r="S7" s="16" t="str">
        <f aca="false">IF(A7="","",IF(OR(B7="",C7="",D7="",E7="",F7=""),"Name, source, target, direction, technology needed",IF(AND(COUNTIF(Ref_SYS!$A$2:$A$101,C7)=0,COUNTIF(Ref_SYS!$A$2:$A$101,D7)=0),"No in-scope SYS-ID on either side",IF(AND(J7="Y",K7=""),"Monitoring answer needed",IF(AND(O7="N",Q7=""),"Rationale needed","OK")))))</f>
        <v/>
      </c>
    </row>
    <row r="8" customFormat="false" ht="15" hidden="false" customHeight="false" outlineLevel="0" collapsed="false">
      <c r="A8" s="15"/>
      <c r="B8" s="15"/>
      <c r="C8" s="15"/>
      <c r="D8" s="15"/>
      <c r="E8" s="15"/>
      <c r="F8" s="15"/>
      <c r="G8" s="15"/>
      <c r="H8" s="15"/>
      <c r="I8" s="15"/>
      <c r="J8" s="15"/>
      <c r="K8" s="15"/>
      <c r="L8" s="15"/>
      <c r="M8" s="15"/>
      <c r="N8" s="15"/>
      <c r="O8" s="15"/>
      <c r="P8" s="15"/>
      <c r="Q8" s="15"/>
      <c r="R8" s="16" t="str">
        <f aca="false">IF(A8="","",IF(AND(J8="Y",OR(K8="None",K8="TBC",K8="",L8="N",L8="TBC",L8="")),"Carry to W04 as risk","—"))</f>
        <v/>
      </c>
      <c r="S8" s="16" t="str">
        <f aca="false">IF(A8="","",IF(OR(B8="",C8="",D8="",E8="",F8=""),"Name, source, target, direction, technology needed",IF(AND(COUNTIF(Ref_SYS!$A$2:$A$101,C8)=0,COUNTIF(Ref_SYS!$A$2:$A$101,D8)=0),"No in-scope SYS-ID on either side",IF(AND(J8="Y",K8=""),"Monitoring answer needed",IF(AND(O8="N",Q8=""),"Rationale needed","OK")))))</f>
        <v/>
      </c>
    </row>
    <row r="9" customFormat="false" ht="15" hidden="false" customHeight="false" outlineLevel="0" collapsed="false">
      <c r="A9" s="15"/>
      <c r="B9" s="15"/>
      <c r="C9" s="15"/>
      <c r="D9" s="15"/>
      <c r="E9" s="15"/>
      <c r="F9" s="15"/>
      <c r="G9" s="15"/>
      <c r="H9" s="15"/>
      <c r="I9" s="15"/>
      <c r="J9" s="15"/>
      <c r="K9" s="15"/>
      <c r="L9" s="15"/>
      <c r="M9" s="15"/>
      <c r="N9" s="15"/>
      <c r="O9" s="15"/>
      <c r="P9" s="15"/>
      <c r="Q9" s="15"/>
      <c r="R9" s="16" t="str">
        <f aca="false">IF(A9="","",IF(AND(J9="Y",OR(K9="None",K9="TBC",K9="",L9="N",L9="TBC",L9="")),"Carry to W04 as risk","—"))</f>
        <v/>
      </c>
      <c r="S9" s="16" t="str">
        <f aca="false">IF(A9="","",IF(OR(B9="",C9="",D9="",E9="",F9=""),"Name, source, target, direction, technology needed",IF(AND(COUNTIF(Ref_SYS!$A$2:$A$101,C9)=0,COUNTIF(Ref_SYS!$A$2:$A$101,D9)=0),"No in-scope SYS-ID on either side",IF(AND(J9="Y",K9=""),"Monitoring answer needed",IF(AND(O9="N",Q9=""),"Rationale needed","OK")))))</f>
        <v/>
      </c>
    </row>
    <row r="10" customFormat="false" ht="15" hidden="false" customHeight="false" outlineLevel="0" collapsed="false">
      <c r="A10" s="15"/>
      <c r="B10" s="15"/>
      <c r="C10" s="15"/>
      <c r="D10" s="15"/>
      <c r="E10" s="15"/>
      <c r="F10" s="15"/>
      <c r="G10" s="15"/>
      <c r="H10" s="15"/>
      <c r="I10" s="15"/>
      <c r="J10" s="15"/>
      <c r="K10" s="15"/>
      <c r="L10" s="15"/>
      <c r="M10" s="15"/>
      <c r="N10" s="15"/>
      <c r="O10" s="15"/>
      <c r="P10" s="15"/>
      <c r="Q10" s="15"/>
      <c r="R10" s="16" t="str">
        <f aca="false">IF(A10="","",IF(AND(J10="Y",OR(K10="None",K10="TBC",K10="",L10="N",L10="TBC",L10="")),"Carry to W04 as risk","—"))</f>
        <v/>
      </c>
      <c r="S10" s="16" t="str">
        <f aca="false">IF(A10="","",IF(OR(B10="",C10="",D10="",E10="",F10=""),"Name, source, target, direction, technology needed",IF(AND(COUNTIF(Ref_SYS!$A$2:$A$101,C10)=0,COUNTIF(Ref_SYS!$A$2:$A$101,D10)=0),"No in-scope SYS-ID on either side",IF(AND(J10="Y",K10=""),"Monitoring answer needed",IF(AND(O10="N",Q10=""),"Rationale needed","OK")))))</f>
        <v/>
      </c>
    </row>
    <row r="11" customFormat="false" ht="15" hidden="false" customHeight="false" outlineLevel="0" collapsed="false">
      <c r="A11" s="15"/>
      <c r="B11" s="15"/>
      <c r="C11" s="15"/>
      <c r="D11" s="15"/>
      <c r="E11" s="15"/>
      <c r="F11" s="15"/>
      <c r="G11" s="15"/>
      <c r="H11" s="15"/>
      <c r="I11" s="15"/>
      <c r="J11" s="15"/>
      <c r="K11" s="15"/>
      <c r="L11" s="15"/>
      <c r="M11" s="15"/>
      <c r="N11" s="15"/>
      <c r="O11" s="15"/>
      <c r="P11" s="15"/>
      <c r="Q11" s="15"/>
      <c r="R11" s="16" t="str">
        <f aca="false">IF(A11="","",IF(AND(J11="Y",OR(K11="None",K11="TBC",K11="",L11="N",L11="TBC",L11="")),"Carry to W04 as risk","—"))</f>
        <v/>
      </c>
      <c r="S11" s="16" t="str">
        <f aca="false">IF(A11="","",IF(OR(B11="",C11="",D11="",E11="",F11=""),"Name, source, target, direction, technology needed",IF(AND(COUNTIF(Ref_SYS!$A$2:$A$101,C11)=0,COUNTIF(Ref_SYS!$A$2:$A$101,D11)=0),"No in-scope SYS-ID on either side",IF(AND(J11="Y",K11=""),"Monitoring answer needed",IF(AND(O11="N",Q11=""),"Rationale needed","OK")))))</f>
        <v/>
      </c>
    </row>
    <row r="12" customFormat="false" ht="15" hidden="false" customHeight="false" outlineLevel="0" collapsed="false">
      <c r="A12" s="15"/>
      <c r="B12" s="15"/>
      <c r="C12" s="15"/>
      <c r="D12" s="15"/>
      <c r="E12" s="15"/>
      <c r="F12" s="15"/>
      <c r="G12" s="15"/>
      <c r="H12" s="15"/>
      <c r="I12" s="15"/>
      <c r="J12" s="15"/>
      <c r="K12" s="15"/>
      <c r="L12" s="15"/>
      <c r="M12" s="15"/>
      <c r="N12" s="15"/>
      <c r="O12" s="15"/>
      <c r="P12" s="15"/>
      <c r="Q12" s="15"/>
      <c r="R12" s="16" t="str">
        <f aca="false">IF(A12="","",IF(AND(J12="Y",OR(K12="None",K12="TBC",K12="",L12="N",L12="TBC",L12="")),"Carry to W04 as risk","—"))</f>
        <v/>
      </c>
      <c r="S12" s="16" t="str">
        <f aca="false">IF(A12="","",IF(OR(B12="",C12="",D12="",E12="",F12=""),"Name, source, target, direction, technology needed",IF(AND(COUNTIF(Ref_SYS!$A$2:$A$101,C12)=0,COUNTIF(Ref_SYS!$A$2:$A$101,D12)=0),"No in-scope SYS-ID on either side",IF(AND(J12="Y",K12=""),"Monitoring answer needed",IF(AND(O12="N",Q12=""),"Rationale needed","OK")))))</f>
        <v/>
      </c>
    </row>
    <row r="13" customFormat="false" ht="15" hidden="false" customHeight="false" outlineLevel="0" collapsed="false">
      <c r="A13" s="15"/>
      <c r="B13" s="15"/>
      <c r="C13" s="15"/>
      <c r="D13" s="15"/>
      <c r="E13" s="15"/>
      <c r="F13" s="15"/>
      <c r="G13" s="15"/>
      <c r="H13" s="15"/>
      <c r="I13" s="15"/>
      <c r="J13" s="15"/>
      <c r="K13" s="15"/>
      <c r="L13" s="15"/>
      <c r="M13" s="15"/>
      <c r="N13" s="15"/>
      <c r="O13" s="15"/>
      <c r="P13" s="15"/>
      <c r="Q13" s="15"/>
      <c r="R13" s="16" t="str">
        <f aca="false">IF(A13="","",IF(AND(J13="Y",OR(K13="None",K13="TBC",K13="",L13="N",L13="TBC",L13="")),"Carry to W04 as risk","—"))</f>
        <v/>
      </c>
      <c r="S13" s="16" t="str">
        <f aca="false">IF(A13="","",IF(OR(B13="",C13="",D13="",E13="",F13=""),"Name, source, target, direction, technology needed",IF(AND(COUNTIF(Ref_SYS!$A$2:$A$101,C13)=0,COUNTIF(Ref_SYS!$A$2:$A$101,D13)=0),"No in-scope SYS-ID on either side",IF(AND(J13="Y",K13=""),"Monitoring answer needed",IF(AND(O13="N",Q13=""),"Rationale needed","OK")))))</f>
        <v/>
      </c>
    </row>
    <row r="14" customFormat="false" ht="15" hidden="false" customHeight="false" outlineLevel="0" collapsed="false">
      <c r="A14" s="15"/>
      <c r="B14" s="15"/>
      <c r="C14" s="15"/>
      <c r="D14" s="15"/>
      <c r="E14" s="15"/>
      <c r="F14" s="15"/>
      <c r="G14" s="15"/>
      <c r="H14" s="15"/>
      <c r="I14" s="15"/>
      <c r="J14" s="15"/>
      <c r="K14" s="15"/>
      <c r="L14" s="15"/>
      <c r="M14" s="15"/>
      <c r="N14" s="15"/>
      <c r="O14" s="15"/>
      <c r="P14" s="15"/>
      <c r="Q14" s="15"/>
      <c r="R14" s="16" t="str">
        <f aca="false">IF(A14="","",IF(AND(J14="Y",OR(K14="None",K14="TBC",K14="",L14="N",L14="TBC",L14="")),"Carry to W04 as risk","—"))</f>
        <v/>
      </c>
      <c r="S14" s="16" t="str">
        <f aca="false">IF(A14="","",IF(OR(B14="",C14="",D14="",E14="",F14=""),"Name, source, target, direction, technology needed",IF(AND(COUNTIF(Ref_SYS!$A$2:$A$101,C14)=0,COUNTIF(Ref_SYS!$A$2:$A$101,D14)=0),"No in-scope SYS-ID on either side",IF(AND(J14="Y",K14=""),"Monitoring answer needed",IF(AND(O14="N",Q14=""),"Rationale needed","OK")))))</f>
        <v/>
      </c>
    </row>
    <row r="15" customFormat="false" ht="15" hidden="false" customHeight="false" outlineLevel="0" collapsed="false">
      <c r="A15" s="15"/>
      <c r="B15" s="15"/>
      <c r="C15" s="15"/>
      <c r="D15" s="15"/>
      <c r="E15" s="15"/>
      <c r="F15" s="15"/>
      <c r="G15" s="15"/>
      <c r="H15" s="15"/>
      <c r="I15" s="15"/>
      <c r="J15" s="15"/>
      <c r="K15" s="15"/>
      <c r="L15" s="15"/>
      <c r="M15" s="15"/>
      <c r="N15" s="15"/>
      <c r="O15" s="15"/>
      <c r="P15" s="15"/>
      <c r="Q15" s="15"/>
      <c r="R15" s="16" t="str">
        <f aca="false">IF(A15="","",IF(AND(J15="Y",OR(K15="None",K15="TBC",K15="",L15="N",L15="TBC",L15="")),"Carry to W04 as risk","—"))</f>
        <v/>
      </c>
      <c r="S15" s="16" t="str">
        <f aca="false">IF(A15="","",IF(OR(B15="",C15="",D15="",E15="",F15=""),"Name, source, target, direction, technology needed",IF(AND(COUNTIF(Ref_SYS!$A$2:$A$101,C15)=0,COUNTIF(Ref_SYS!$A$2:$A$101,D15)=0),"No in-scope SYS-ID on either side",IF(AND(J15="Y",K15=""),"Monitoring answer needed",IF(AND(O15="N",Q15=""),"Rationale needed","OK")))))</f>
        <v/>
      </c>
    </row>
    <row r="16" customFormat="false" ht="15" hidden="false" customHeight="false" outlineLevel="0" collapsed="false">
      <c r="A16" s="15"/>
      <c r="B16" s="15"/>
      <c r="C16" s="15"/>
      <c r="D16" s="15"/>
      <c r="E16" s="15"/>
      <c r="F16" s="15"/>
      <c r="G16" s="15"/>
      <c r="H16" s="15"/>
      <c r="I16" s="15"/>
      <c r="J16" s="15"/>
      <c r="K16" s="15"/>
      <c r="L16" s="15"/>
      <c r="M16" s="15"/>
      <c r="N16" s="15"/>
      <c r="O16" s="15"/>
      <c r="P16" s="15"/>
      <c r="Q16" s="15"/>
      <c r="R16" s="16" t="str">
        <f aca="false">IF(A16="","",IF(AND(J16="Y",OR(K16="None",K16="TBC",K16="",L16="N",L16="TBC",L16="")),"Carry to W04 as risk","—"))</f>
        <v/>
      </c>
      <c r="S16" s="16" t="str">
        <f aca="false">IF(A16="","",IF(OR(B16="",C16="",D16="",E16="",F16=""),"Name, source, target, direction, technology needed",IF(AND(COUNTIF(Ref_SYS!$A$2:$A$101,C16)=0,COUNTIF(Ref_SYS!$A$2:$A$101,D16)=0),"No in-scope SYS-ID on either side",IF(AND(J16="Y",K16=""),"Monitoring answer needed",IF(AND(O16="N",Q16=""),"Rationale needed","OK")))))</f>
        <v/>
      </c>
    </row>
    <row r="17" customFormat="false" ht="15" hidden="false" customHeight="false" outlineLevel="0" collapsed="false">
      <c r="A17" s="15"/>
      <c r="B17" s="15"/>
      <c r="C17" s="15"/>
      <c r="D17" s="15"/>
      <c r="E17" s="15"/>
      <c r="F17" s="15"/>
      <c r="G17" s="15"/>
      <c r="H17" s="15"/>
      <c r="I17" s="15"/>
      <c r="J17" s="15"/>
      <c r="K17" s="15"/>
      <c r="L17" s="15"/>
      <c r="M17" s="15"/>
      <c r="N17" s="15"/>
      <c r="O17" s="15"/>
      <c r="P17" s="15"/>
      <c r="Q17" s="15"/>
      <c r="R17" s="16" t="str">
        <f aca="false">IF(A17="","",IF(AND(J17="Y",OR(K17="None",K17="TBC",K17="",L17="N",L17="TBC",L17="")),"Carry to W04 as risk","—"))</f>
        <v/>
      </c>
      <c r="S17" s="16" t="str">
        <f aca="false">IF(A17="","",IF(OR(B17="",C17="",D17="",E17="",F17=""),"Name, source, target, direction, technology needed",IF(AND(COUNTIF(Ref_SYS!$A$2:$A$101,C17)=0,COUNTIF(Ref_SYS!$A$2:$A$101,D17)=0),"No in-scope SYS-ID on either side",IF(AND(J17="Y",K17=""),"Monitoring answer needed",IF(AND(O17="N",Q17=""),"Rationale needed","OK")))))</f>
        <v/>
      </c>
    </row>
    <row r="18" customFormat="false" ht="15" hidden="false" customHeight="false" outlineLevel="0" collapsed="false">
      <c r="A18" s="15"/>
      <c r="B18" s="15"/>
      <c r="C18" s="15"/>
      <c r="D18" s="15"/>
      <c r="E18" s="15"/>
      <c r="F18" s="15"/>
      <c r="G18" s="15"/>
      <c r="H18" s="15"/>
      <c r="I18" s="15"/>
      <c r="J18" s="15"/>
      <c r="K18" s="15"/>
      <c r="L18" s="15"/>
      <c r="M18" s="15"/>
      <c r="N18" s="15"/>
      <c r="O18" s="15"/>
      <c r="P18" s="15"/>
      <c r="Q18" s="15"/>
      <c r="R18" s="16" t="str">
        <f aca="false">IF(A18="","",IF(AND(J18="Y",OR(K18="None",K18="TBC",K18="",L18="N",L18="TBC",L18="")),"Carry to W04 as risk","—"))</f>
        <v/>
      </c>
      <c r="S18" s="16" t="str">
        <f aca="false">IF(A18="","",IF(OR(B18="",C18="",D18="",E18="",F18=""),"Name, source, target, direction, technology needed",IF(AND(COUNTIF(Ref_SYS!$A$2:$A$101,C18)=0,COUNTIF(Ref_SYS!$A$2:$A$101,D18)=0),"No in-scope SYS-ID on either side",IF(AND(J18="Y",K18=""),"Monitoring answer needed",IF(AND(O18="N",Q18=""),"Rationale needed","OK")))))</f>
        <v/>
      </c>
    </row>
    <row r="19" customFormat="false" ht="15" hidden="false" customHeight="false" outlineLevel="0" collapsed="false">
      <c r="A19" s="15"/>
      <c r="B19" s="15"/>
      <c r="C19" s="15"/>
      <c r="D19" s="15"/>
      <c r="E19" s="15"/>
      <c r="F19" s="15"/>
      <c r="G19" s="15"/>
      <c r="H19" s="15"/>
      <c r="I19" s="15"/>
      <c r="J19" s="15"/>
      <c r="K19" s="15"/>
      <c r="L19" s="15"/>
      <c r="M19" s="15"/>
      <c r="N19" s="15"/>
      <c r="O19" s="15"/>
      <c r="P19" s="15"/>
      <c r="Q19" s="15"/>
      <c r="R19" s="16" t="str">
        <f aca="false">IF(A19="","",IF(AND(J19="Y",OR(K19="None",K19="TBC",K19="",L19="N",L19="TBC",L19="")),"Carry to W04 as risk","—"))</f>
        <v/>
      </c>
      <c r="S19" s="16" t="str">
        <f aca="false">IF(A19="","",IF(OR(B19="",C19="",D19="",E19="",F19=""),"Name, source, target, direction, technology needed",IF(AND(COUNTIF(Ref_SYS!$A$2:$A$101,C19)=0,COUNTIF(Ref_SYS!$A$2:$A$101,D19)=0),"No in-scope SYS-ID on either side",IF(AND(J19="Y",K19=""),"Monitoring answer needed",IF(AND(O19="N",Q19=""),"Rationale needed","OK")))))</f>
        <v/>
      </c>
    </row>
    <row r="20" customFormat="false" ht="15" hidden="false" customHeight="false" outlineLevel="0" collapsed="false">
      <c r="A20" s="15"/>
      <c r="B20" s="15"/>
      <c r="C20" s="15"/>
      <c r="D20" s="15"/>
      <c r="E20" s="15"/>
      <c r="F20" s="15"/>
      <c r="G20" s="15"/>
      <c r="H20" s="15"/>
      <c r="I20" s="15"/>
      <c r="J20" s="15"/>
      <c r="K20" s="15"/>
      <c r="L20" s="15"/>
      <c r="M20" s="15"/>
      <c r="N20" s="15"/>
      <c r="O20" s="15"/>
      <c r="P20" s="15"/>
      <c r="Q20" s="15"/>
      <c r="R20" s="16" t="str">
        <f aca="false">IF(A20="","",IF(AND(J20="Y",OR(K20="None",K20="TBC",K20="",L20="N",L20="TBC",L20="")),"Carry to W04 as risk","—"))</f>
        <v/>
      </c>
      <c r="S20" s="16" t="str">
        <f aca="false">IF(A20="","",IF(OR(B20="",C20="",D20="",E20="",F20=""),"Name, source, target, direction, technology needed",IF(AND(COUNTIF(Ref_SYS!$A$2:$A$101,C20)=0,COUNTIF(Ref_SYS!$A$2:$A$101,D20)=0),"No in-scope SYS-ID on either side",IF(AND(J20="Y",K20=""),"Monitoring answer needed",IF(AND(O20="N",Q20=""),"Rationale needed","OK")))))</f>
        <v/>
      </c>
    </row>
    <row r="21" customFormat="false" ht="15" hidden="false" customHeight="false" outlineLevel="0" collapsed="false">
      <c r="A21" s="15"/>
      <c r="B21" s="15"/>
      <c r="C21" s="15"/>
      <c r="D21" s="15"/>
      <c r="E21" s="15"/>
      <c r="F21" s="15"/>
      <c r="G21" s="15"/>
      <c r="H21" s="15"/>
      <c r="I21" s="15"/>
      <c r="J21" s="15"/>
      <c r="K21" s="15"/>
      <c r="L21" s="15"/>
      <c r="M21" s="15"/>
      <c r="N21" s="15"/>
      <c r="O21" s="15"/>
      <c r="P21" s="15"/>
      <c r="Q21" s="15"/>
      <c r="R21" s="16" t="str">
        <f aca="false">IF(A21="","",IF(AND(J21="Y",OR(K21="None",K21="TBC",K21="",L21="N",L21="TBC",L21="")),"Carry to W04 as risk","—"))</f>
        <v/>
      </c>
      <c r="S21" s="16" t="str">
        <f aca="false">IF(A21="","",IF(OR(B21="",C21="",D21="",E21="",F21=""),"Name, source, target, direction, technology needed",IF(AND(COUNTIF(Ref_SYS!$A$2:$A$101,C21)=0,COUNTIF(Ref_SYS!$A$2:$A$101,D21)=0),"No in-scope SYS-ID on either side",IF(AND(J21="Y",K21=""),"Monitoring answer needed",IF(AND(O21="N",Q21=""),"Rationale needed","OK")))))</f>
        <v/>
      </c>
    </row>
    <row r="22" customFormat="false" ht="15" hidden="false" customHeight="false" outlineLevel="0" collapsed="false">
      <c r="A22" s="15"/>
      <c r="B22" s="15"/>
      <c r="C22" s="15"/>
      <c r="D22" s="15"/>
      <c r="E22" s="15"/>
      <c r="F22" s="15"/>
      <c r="G22" s="15"/>
      <c r="H22" s="15"/>
      <c r="I22" s="15"/>
      <c r="J22" s="15"/>
      <c r="K22" s="15"/>
      <c r="L22" s="15"/>
      <c r="M22" s="15"/>
      <c r="N22" s="15"/>
      <c r="O22" s="15"/>
      <c r="P22" s="15"/>
      <c r="Q22" s="15"/>
      <c r="R22" s="16" t="str">
        <f aca="false">IF(A22="","",IF(AND(J22="Y",OR(K22="None",K22="TBC",K22="",L22="N",L22="TBC",L22="")),"Carry to W04 as risk","—"))</f>
        <v/>
      </c>
      <c r="S22" s="16" t="str">
        <f aca="false">IF(A22="","",IF(OR(B22="",C22="",D22="",E22="",F22=""),"Name, source, target, direction, technology needed",IF(AND(COUNTIF(Ref_SYS!$A$2:$A$101,C22)=0,COUNTIF(Ref_SYS!$A$2:$A$101,D22)=0),"No in-scope SYS-ID on either side",IF(AND(J22="Y",K22=""),"Monitoring answer needed",IF(AND(O22="N",Q22=""),"Rationale needed","OK")))))</f>
        <v/>
      </c>
    </row>
    <row r="23" customFormat="false" ht="15" hidden="false" customHeight="false" outlineLevel="0" collapsed="false">
      <c r="A23" s="15"/>
      <c r="B23" s="15"/>
      <c r="C23" s="15"/>
      <c r="D23" s="15"/>
      <c r="E23" s="15"/>
      <c r="F23" s="15"/>
      <c r="G23" s="15"/>
      <c r="H23" s="15"/>
      <c r="I23" s="15"/>
      <c r="J23" s="15"/>
      <c r="K23" s="15"/>
      <c r="L23" s="15"/>
      <c r="M23" s="15"/>
      <c r="N23" s="15"/>
      <c r="O23" s="15"/>
      <c r="P23" s="15"/>
      <c r="Q23" s="15"/>
      <c r="R23" s="16" t="str">
        <f aca="false">IF(A23="","",IF(AND(J23="Y",OR(K23="None",K23="TBC",K23="",L23="N",L23="TBC",L23="")),"Carry to W04 as risk","—"))</f>
        <v/>
      </c>
      <c r="S23" s="16" t="str">
        <f aca="false">IF(A23="","",IF(OR(B23="",C23="",D23="",E23="",F23=""),"Name, source, target, direction, technology needed",IF(AND(COUNTIF(Ref_SYS!$A$2:$A$101,C23)=0,COUNTIF(Ref_SYS!$A$2:$A$101,D23)=0),"No in-scope SYS-ID on either side",IF(AND(J23="Y",K23=""),"Monitoring answer needed",IF(AND(O23="N",Q23=""),"Rationale needed","OK")))))</f>
        <v/>
      </c>
    </row>
    <row r="24" customFormat="false" ht="15" hidden="false" customHeight="false" outlineLevel="0" collapsed="false">
      <c r="A24" s="15"/>
      <c r="B24" s="15"/>
      <c r="C24" s="15"/>
      <c r="D24" s="15"/>
      <c r="E24" s="15"/>
      <c r="F24" s="15"/>
      <c r="G24" s="15"/>
      <c r="H24" s="15"/>
      <c r="I24" s="15"/>
      <c r="J24" s="15"/>
      <c r="K24" s="15"/>
      <c r="L24" s="15"/>
      <c r="M24" s="15"/>
      <c r="N24" s="15"/>
      <c r="O24" s="15"/>
      <c r="P24" s="15"/>
      <c r="Q24" s="15"/>
      <c r="R24" s="16" t="str">
        <f aca="false">IF(A24="","",IF(AND(J24="Y",OR(K24="None",K24="TBC",K24="",L24="N",L24="TBC",L24="")),"Carry to W04 as risk","—"))</f>
        <v/>
      </c>
      <c r="S24" s="16" t="str">
        <f aca="false">IF(A24="","",IF(OR(B24="",C24="",D24="",E24="",F24=""),"Name, source, target, direction, technology needed",IF(AND(COUNTIF(Ref_SYS!$A$2:$A$101,C24)=0,COUNTIF(Ref_SYS!$A$2:$A$101,D24)=0),"No in-scope SYS-ID on either side",IF(AND(J24="Y",K24=""),"Monitoring answer needed",IF(AND(O24="N",Q24=""),"Rationale needed","OK")))))</f>
        <v/>
      </c>
    </row>
    <row r="25" customFormat="false" ht="15" hidden="false" customHeight="false" outlineLevel="0" collapsed="false">
      <c r="A25" s="15"/>
      <c r="B25" s="15"/>
      <c r="C25" s="15"/>
      <c r="D25" s="15"/>
      <c r="E25" s="15"/>
      <c r="F25" s="15"/>
      <c r="G25" s="15"/>
      <c r="H25" s="15"/>
      <c r="I25" s="15"/>
      <c r="J25" s="15"/>
      <c r="K25" s="15"/>
      <c r="L25" s="15"/>
      <c r="M25" s="15"/>
      <c r="N25" s="15"/>
      <c r="O25" s="15"/>
      <c r="P25" s="15"/>
      <c r="Q25" s="15"/>
      <c r="R25" s="16" t="str">
        <f aca="false">IF(A25="","",IF(AND(J25="Y",OR(K25="None",K25="TBC",K25="",L25="N",L25="TBC",L25="")),"Carry to W04 as risk","—"))</f>
        <v/>
      </c>
      <c r="S25" s="16" t="str">
        <f aca="false">IF(A25="","",IF(OR(B25="",C25="",D25="",E25="",F25=""),"Name, source, target, direction, technology needed",IF(AND(COUNTIF(Ref_SYS!$A$2:$A$101,C25)=0,COUNTIF(Ref_SYS!$A$2:$A$101,D25)=0),"No in-scope SYS-ID on either side",IF(AND(J25="Y",K25=""),"Monitoring answer needed",IF(AND(O25="N",Q25=""),"Rationale needed","OK")))))</f>
        <v/>
      </c>
    </row>
    <row r="26" customFormat="false" ht="15" hidden="false" customHeight="false" outlineLevel="0" collapsed="false">
      <c r="A26" s="15"/>
      <c r="B26" s="15"/>
      <c r="C26" s="15"/>
      <c r="D26" s="15"/>
      <c r="E26" s="15"/>
      <c r="F26" s="15"/>
      <c r="G26" s="15"/>
      <c r="H26" s="15"/>
      <c r="I26" s="15"/>
      <c r="J26" s="15"/>
      <c r="K26" s="15"/>
      <c r="L26" s="15"/>
      <c r="M26" s="15"/>
      <c r="N26" s="15"/>
      <c r="O26" s="15"/>
      <c r="P26" s="15"/>
      <c r="Q26" s="15"/>
      <c r="R26" s="16" t="str">
        <f aca="false">IF(A26="","",IF(AND(J26="Y",OR(K26="None",K26="TBC",K26="",L26="N",L26="TBC",L26="")),"Carry to W04 as risk","—"))</f>
        <v/>
      </c>
      <c r="S26" s="16" t="str">
        <f aca="false">IF(A26="","",IF(OR(B26="",C26="",D26="",E26="",F26=""),"Name, source, target, direction, technology needed",IF(AND(COUNTIF(Ref_SYS!$A$2:$A$101,C26)=0,COUNTIF(Ref_SYS!$A$2:$A$101,D26)=0),"No in-scope SYS-ID on either side",IF(AND(J26="Y",K26=""),"Monitoring answer needed",IF(AND(O26="N",Q26=""),"Rationale needed","OK")))))</f>
        <v/>
      </c>
    </row>
    <row r="27" customFormat="false" ht="15" hidden="false" customHeight="false" outlineLevel="0" collapsed="false">
      <c r="A27" s="15"/>
      <c r="B27" s="15"/>
      <c r="C27" s="15"/>
      <c r="D27" s="15"/>
      <c r="E27" s="15"/>
      <c r="F27" s="15"/>
      <c r="G27" s="15"/>
      <c r="H27" s="15"/>
      <c r="I27" s="15"/>
      <c r="J27" s="15"/>
      <c r="K27" s="15"/>
      <c r="L27" s="15"/>
      <c r="M27" s="15"/>
      <c r="N27" s="15"/>
      <c r="O27" s="15"/>
      <c r="P27" s="15"/>
      <c r="Q27" s="15"/>
      <c r="R27" s="16" t="str">
        <f aca="false">IF(A27="","",IF(AND(J27="Y",OR(K27="None",K27="TBC",K27="",L27="N",L27="TBC",L27="")),"Carry to W04 as risk","—"))</f>
        <v/>
      </c>
      <c r="S27" s="16" t="str">
        <f aca="false">IF(A27="","",IF(OR(B27="",C27="",D27="",E27="",F27=""),"Name, source, target, direction, technology needed",IF(AND(COUNTIF(Ref_SYS!$A$2:$A$101,C27)=0,COUNTIF(Ref_SYS!$A$2:$A$101,D27)=0),"No in-scope SYS-ID on either side",IF(AND(J27="Y",K27=""),"Monitoring answer needed",IF(AND(O27="N",Q27=""),"Rationale needed","OK")))))</f>
        <v/>
      </c>
    </row>
    <row r="28" customFormat="false" ht="15" hidden="false" customHeight="false" outlineLevel="0" collapsed="false">
      <c r="A28" s="15"/>
      <c r="B28" s="15"/>
      <c r="C28" s="15"/>
      <c r="D28" s="15"/>
      <c r="E28" s="15"/>
      <c r="F28" s="15"/>
      <c r="G28" s="15"/>
      <c r="H28" s="15"/>
      <c r="I28" s="15"/>
      <c r="J28" s="15"/>
      <c r="K28" s="15"/>
      <c r="L28" s="15"/>
      <c r="M28" s="15"/>
      <c r="N28" s="15"/>
      <c r="O28" s="15"/>
      <c r="P28" s="15"/>
      <c r="Q28" s="15"/>
      <c r="R28" s="16" t="str">
        <f aca="false">IF(A28="","",IF(AND(J28="Y",OR(K28="None",K28="TBC",K28="",L28="N",L28="TBC",L28="")),"Carry to W04 as risk","—"))</f>
        <v/>
      </c>
      <c r="S28" s="16" t="str">
        <f aca="false">IF(A28="","",IF(OR(B28="",C28="",D28="",E28="",F28=""),"Name, source, target, direction, technology needed",IF(AND(COUNTIF(Ref_SYS!$A$2:$A$101,C28)=0,COUNTIF(Ref_SYS!$A$2:$A$101,D28)=0),"No in-scope SYS-ID on either side",IF(AND(J28="Y",K28=""),"Monitoring answer needed",IF(AND(O28="N",Q28=""),"Rationale needed","OK")))))</f>
        <v/>
      </c>
    </row>
    <row r="29" customFormat="false" ht="15" hidden="false" customHeight="false" outlineLevel="0" collapsed="false">
      <c r="A29" s="15"/>
      <c r="B29" s="15"/>
      <c r="C29" s="15"/>
      <c r="D29" s="15"/>
      <c r="E29" s="15"/>
      <c r="F29" s="15"/>
      <c r="G29" s="15"/>
      <c r="H29" s="15"/>
      <c r="I29" s="15"/>
      <c r="J29" s="15"/>
      <c r="K29" s="15"/>
      <c r="L29" s="15"/>
      <c r="M29" s="15"/>
      <c r="N29" s="15"/>
      <c r="O29" s="15"/>
      <c r="P29" s="15"/>
      <c r="Q29" s="15"/>
      <c r="R29" s="16" t="str">
        <f aca="false">IF(A29="","",IF(AND(J29="Y",OR(K29="None",K29="TBC",K29="",L29="N",L29="TBC",L29="")),"Carry to W04 as risk","—"))</f>
        <v/>
      </c>
      <c r="S29" s="16" t="str">
        <f aca="false">IF(A29="","",IF(OR(B29="",C29="",D29="",E29="",F29=""),"Name, source, target, direction, technology needed",IF(AND(COUNTIF(Ref_SYS!$A$2:$A$101,C29)=0,COUNTIF(Ref_SYS!$A$2:$A$101,D29)=0),"No in-scope SYS-ID on either side",IF(AND(J29="Y",K29=""),"Monitoring answer needed",IF(AND(O29="N",Q29=""),"Rationale needed","OK")))))</f>
        <v/>
      </c>
    </row>
    <row r="30" customFormat="false" ht="15" hidden="false" customHeight="false" outlineLevel="0" collapsed="false">
      <c r="A30" s="15"/>
      <c r="B30" s="15"/>
      <c r="C30" s="15"/>
      <c r="D30" s="15"/>
      <c r="E30" s="15"/>
      <c r="F30" s="15"/>
      <c r="G30" s="15"/>
      <c r="H30" s="15"/>
      <c r="I30" s="15"/>
      <c r="J30" s="15"/>
      <c r="K30" s="15"/>
      <c r="L30" s="15"/>
      <c r="M30" s="15"/>
      <c r="N30" s="15"/>
      <c r="O30" s="15"/>
      <c r="P30" s="15"/>
      <c r="Q30" s="15"/>
      <c r="R30" s="16" t="str">
        <f aca="false">IF(A30="","",IF(AND(J30="Y",OR(K30="None",K30="TBC",K30="",L30="N",L30="TBC",L30="")),"Carry to W04 as risk","—"))</f>
        <v/>
      </c>
      <c r="S30" s="16" t="str">
        <f aca="false">IF(A30="","",IF(OR(B30="",C30="",D30="",E30="",F30=""),"Name, source, target, direction, technology needed",IF(AND(COUNTIF(Ref_SYS!$A$2:$A$101,C30)=0,COUNTIF(Ref_SYS!$A$2:$A$101,D30)=0),"No in-scope SYS-ID on either side",IF(AND(J30="Y",K30=""),"Monitoring answer needed",IF(AND(O30="N",Q30=""),"Rationale needed","OK")))))</f>
        <v/>
      </c>
    </row>
    <row r="31" customFormat="false" ht="15" hidden="false" customHeight="false" outlineLevel="0" collapsed="false">
      <c r="A31" s="15"/>
      <c r="B31" s="15"/>
      <c r="C31" s="15"/>
      <c r="D31" s="15"/>
      <c r="E31" s="15"/>
      <c r="F31" s="15"/>
      <c r="G31" s="15"/>
      <c r="H31" s="15"/>
      <c r="I31" s="15"/>
      <c r="J31" s="15"/>
      <c r="K31" s="15"/>
      <c r="L31" s="15"/>
      <c r="M31" s="15"/>
      <c r="N31" s="15"/>
      <c r="O31" s="15"/>
      <c r="P31" s="15"/>
      <c r="Q31" s="15"/>
      <c r="R31" s="16" t="str">
        <f aca="false">IF(A31="","",IF(AND(J31="Y",OR(K31="None",K31="TBC",K31="",L31="N",L31="TBC",L31="")),"Carry to W04 as risk","—"))</f>
        <v/>
      </c>
      <c r="S31" s="16" t="str">
        <f aca="false">IF(A31="","",IF(OR(B31="",C31="",D31="",E31="",F31=""),"Name, source, target, direction, technology needed",IF(AND(COUNTIF(Ref_SYS!$A$2:$A$101,C31)=0,COUNTIF(Ref_SYS!$A$2:$A$101,D31)=0),"No in-scope SYS-ID on either side",IF(AND(J31="Y",K31=""),"Monitoring answer needed",IF(AND(O31="N",Q31=""),"Rationale needed","OK")))))</f>
        <v/>
      </c>
    </row>
    <row r="32" customFormat="false" ht="15" hidden="false" customHeight="false" outlineLevel="0" collapsed="false">
      <c r="A32" s="15"/>
      <c r="B32" s="15"/>
      <c r="C32" s="15"/>
      <c r="D32" s="15"/>
      <c r="E32" s="15"/>
      <c r="F32" s="15"/>
      <c r="G32" s="15"/>
      <c r="H32" s="15"/>
      <c r="I32" s="15"/>
      <c r="J32" s="15"/>
      <c r="K32" s="15"/>
      <c r="L32" s="15"/>
      <c r="M32" s="15"/>
      <c r="N32" s="15"/>
      <c r="O32" s="15"/>
      <c r="P32" s="15"/>
      <c r="Q32" s="15"/>
      <c r="R32" s="16" t="str">
        <f aca="false">IF(A32="","",IF(AND(J32="Y",OR(K32="None",K32="TBC",K32="",L32="N",L32="TBC",L32="")),"Carry to W04 as risk","—"))</f>
        <v/>
      </c>
      <c r="S32" s="16" t="str">
        <f aca="false">IF(A32="","",IF(OR(B32="",C32="",D32="",E32="",F32=""),"Name, source, target, direction, technology needed",IF(AND(COUNTIF(Ref_SYS!$A$2:$A$101,C32)=0,COUNTIF(Ref_SYS!$A$2:$A$101,D32)=0),"No in-scope SYS-ID on either side",IF(AND(J32="Y",K32=""),"Monitoring answer needed",IF(AND(O32="N",Q32=""),"Rationale needed","OK")))))</f>
        <v/>
      </c>
    </row>
    <row r="33" customFormat="false" ht="15" hidden="false" customHeight="false" outlineLevel="0" collapsed="false">
      <c r="A33" s="15"/>
      <c r="B33" s="15"/>
      <c r="C33" s="15"/>
      <c r="D33" s="15"/>
      <c r="E33" s="15"/>
      <c r="F33" s="15"/>
      <c r="G33" s="15"/>
      <c r="H33" s="15"/>
      <c r="I33" s="15"/>
      <c r="J33" s="15"/>
      <c r="K33" s="15"/>
      <c r="L33" s="15"/>
      <c r="M33" s="15"/>
      <c r="N33" s="15"/>
      <c r="O33" s="15"/>
      <c r="P33" s="15"/>
      <c r="Q33" s="15"/>
      <c r="R33" s="16" t="str">
        <f aca="false">IF(A33="","",IF(AND(J33="Y",OR(K33="None",K33="TBC",K33="",L33="N",L33="TBC",L33="")),"Carry to W04 as risk","—"))</f>
        <v/>
      </c>
      <c r="S33" s="16" t="str">
        <f aca="false">IF(A33="","",IF(OR(B33="",C33="",D33="",E33="",F33=""),"Name, source, target, direction, technology needed",IF(AND(COUNTIF(Ref_SYS!$A$2:$A$101,C33)=0,COUNTIF(Ref_SYS!$A$2:$A$101,D33)=0),"No in-scope SYS-ID on either side",IF(AND(J33="Y",K33=""),"Monitoring answer needed",IF(AND(O33="N",Q33=""),"Rationale needed","OK")))))</f>
        <v/>
      </c>
    </row>
    <row r="34" customFormat="false" ht="15" hidden="false" customHeight="false" outlineLevel="0" collapsed="false">
      <c r="A34" s="15"/>
      <c r="B34" s="15"/>
      <c r="C34" s="15"/>
      <c r="D34" s="15"/>
      <c r="E34" s="15"/>
      <c r="F34" s="15"/>
      <c r="G34" s="15"/>
      <c r="H34" s="15"/>
      <c r="I34" s="15"/>
      <c r="J34" s="15"/>
      <c r="K34" s="15"/>
      <c r="L34" s="15"/>
      <c r="M34" s="15"/>
      <c r="N34" s="15"/>
      <c r="O34" s="15"/>
      <c r="P34" s="15"/>
      <c r="Q34" s="15"/>
      <c r="R34" s="16" t="str">
        <f aca="false">IF(A34="","",IF(AND(J34="Y",OR(K34="None",K34="TBC",K34="",L34="N",L34="TBC",L34="")),"Carry to W04 as risk","—"))</f>
        <v/>
      </c>
      <c r="S34" s="16" t="str">
        <f aca="false">IF(A34="","",IF(OR(B34="",C34="",D34="",E34="",F34=""),"Name, source, target, direction, technology needed",IF(AND(COUNTIF(Ref_SYS!$A$2:$A$101,C34)=0,COUNTIF(Ref_SYS!$A$2:$A$101,D34)=0),"No in-scope SYS-ID on either side",IF(AND(J34="Y",K34=""),"Monitoring answer needed",IF(AND(O34="N",Q34=""),"Rationale needed","OK")))))</f>
        <v/>
      </c>
    </row>
    <row r="35" customFormat="false" ht="15" hidden="false" customHeight="false" outlineLevel="0" collapsed="false">
      <c r="A35" s="15"/>
      <c r="B35" s="15"/>
      <c r="C35" s="15"/>
      <c r="D35" s="15"/>
      <c r="E35" s="15"/>
      <c r="F35" s="15"/>
      <c r="G35" s="15"/>
      <c r="H35" s="15"/>
      <c r="I35" s="15"/>
      <c r="J35" s="15"/>
      <c r="K35" s="15"/>
      <c r="L35" s="15"/>
      <c r="M35" s="15"/>
      <c r="N35" s="15"/>
      <c r="O35" s="15"/>
      <c r="P35" s="15"/>
      <c r="Q35" s="15"/>
      <c r="R35" s="16" t="str">
        <f aca="false">IF(A35="","",IF(AND(J35="Y",OR(K35="None",K35="TBC",K35="",L35="N",L35="TBC",L35="")),"Carry to W04 as risk","—"))</f>
        <v/>
      </c>
      <c r="S35" s="16" t="str">
        <f aca="false">IF(A35="","",IF(OR(B35="",C35="",D35="",E35="",F35=""),"Name, source, target, direction, technology needed",IF(AND(COUNTIF(Ref_SYS!$A$2:$A$101,C35)=0,COUNTIF(Ref_SYS!$A$2:$A$101,D35)=0),"No in-scope SYS-ID on either side",IF(AND(J35="Y",K35=""),"Monitoring answer needed",IF(AND(O35="N",Q35=""),"Rationale needed","OK")))))</f>
        <v/>
      </c>
    </row>
    <row r="36" customFormat="false" ht="15" hidden="false" customHeight="false" outlineLevel="0" collapsed="false">
      <c r="A36" s="15"/>
      <c r="B36" s="15"/>
      <c r="C36" s="15"/>
      <c r="D36" s="15"/>
      <c r="E36" s="15"/>
      <c r="F36" s="15"/>
      <c r="G36" s="15"/>
      <c r="H36" s="15"/>
      <c r="I36" s="15"/>
      <c r="J36" s="15"/>
      <c r="K36" s="15"/>
      <c r="L36" s="15"/>
      <c r="M36" s="15"/>
      <c r="N36" s="15"/>
      <c r="O36" s="15"/>
      <c r="P36" s="15"/>
      <c r="Q36" s="15"/>
      <c r="R36" s="16" t="str">
        <f aca="false">IF(A36="","",IF(AND(J36="Y",OR(K36="None",K36="TBC",K36="",L36="N",L36="TBC",L36="")),"Carry to W04 as risk","—"))</f>
        <v/>
      </c>
      <c r="S36" s="16" t="str">
        <f aca="false">IF(A36="","",IF(OR(B36="",C36="",D36="",E36="",F36=""),"Name, source, target, direction, technology needed",IF(AND(COUNTIF(Ref_SYS!$A$2:$A$101,C36)=0,COUNTIF(Ref_SYS!$A$2:$A$101,D36)=0),"No in-scope SYS-ID on either side",IF(AND(J36="Y",K36=""),"Monitoring answer needed",IF(AND(O36="N",Q36=""),"Rationale needed","OK")))))</f>
        <v/>
      </c>
    </row>
    <row r="37" customFormat="false" ht="15" hidden="false" customHeight="false" outlineLevel="0" collapsed="false">
      <c r="A37" s="15"/>
      <c r="B37" s="15"/>
      <c r="C37" s="15"/>
      <c r="D37" s="15"/>
      <c r="E37" s="15"/>
      <c r="F37" s="15"/>
      <c r="G37" s="15"/>
      <c r="H37" s="15"/>
      <c r="I37" s="15"/>
      <c r="J37" s="15"/>
      <c r="K37" s="15"/>
      <c r="L37" s="15"/>
      <c r="M37" s="15"/>
      <c r="N37" s="15"/>
      <c r="O37" s="15"/>
      <c r="P37" s="15"/>
      <c r="Q37" s="15"/>
      <c r="R37" s="16" t="str">
        <f aca="false">IF(A37="","",IF(AND(J37="Y",OR(K37="None",K37="TBC",K37="",L37="N",L37="TBC",L37="")),"Carry to W04 as risk","—"))</f>
        <v/>
      </c>
      <c r="S37" s="16" t="str">
        <f aca="false">IF(A37="","",IF(OR(B37="",C37="",D37="",E37="",F37=""),"Name, source, target, direction, technology needed",IF(AND(COUNTIF(Ref_SYS!$A$2:$A$101,C37)=0,COUNTIF(Ref_SYS!$A$2:$A$101,D37)=0),"No in-scope SYS-ID on either side",IF(AND(J37="Y",K37=""),"Monitoring answer needed",IF(AND(O37="N",Q37=""),"Rationale needed","OK")))))</f>
        <v/>
      </c>
    </row>
    <row r="38" customFormat="false" ht="15" hidden="false" customHeight="false" outlineLevel="0" collapsed="false">
      <c r="A38" s="15"/>
      <c r="B38" s="15"/>
      <c r="C38" s="15"/>
      <c r="D38" s="15"/>
      <c r="E38" s="15"/>
      <c r="F38" s="15"/>
      <c r="G38" s="15"/>
      <c r="H38" s="15"/>
      <c r="I38" s="15"/>
      <c r="J38" s="15"/>
      <c r="K38" s="15"/>
      <c r="L38" s="15"/>
      <c r="M38" s="15"/>
      <c r="N38" s="15"/>
      <c r="O38" s="15"/>
      <c r="P38" s="15"/>
      <c r="Q38" s="15"/>
      <c r="R38" s="16" t="str">
        <f aca="false">IF(A38="","",IF(AND(J38="Y",OR(K38="None",K38="TBC",K38="",L38="N",L38="TBC",L38="")),"Carry to W04 as risk","—"))</f>
        <v/>
      </c>
      <c r="S38" s="16" t="str">
        <f aca="false">IF(A38="","",IF(OR(B38="",C38="",D38="",E38="",F38=""),"Name, source, target, direction, technology needed",IF(AND(COUNTIF(Ref_SYS!$A$2:$A$101,C38)=0,COUNTIF(Ref_SYS!$A$2:$A$101,D38)=0),"No in-scope SYS-ID on either side",IF(AND(J38="Y",K38=""),"Monitoring answer needed",IF(AND(O38="N",Q38=""),"Rationale needed","OK")))))</f>
        <v/>
      </c>
    </row>
    <row r="39" customFormat="false" ht="15" hidden="false" customHeight="false" outlineLevel="0" collapsed="false">
      <c r="A39" s="15"/>
      <c r="B39" s="15"/>
      <c r="C39" s="15"/>
      <c r="D39" s="15"/>
      <c r="E39" s="15"/>
      <c r="F39" s="15"/>
      <c r="G39" s="15"/>
      <c r="H39" s="15"/>
      <c r="I39" s="15"/>
      <c r="J39" s="15"/>
      <c r="K39" s="15"/>
      <c r="L39" s="15"/>
      <c r="M39" s="15"/>
      <c r="N39" s="15"/>
      <c r="O39" s="15"/>
      <c r="P39" s="15"/>
      <c r="Q39" s="15"/>
      <c r="R39" s="16" t="str">
        <f aca="false">IF(A39="","",IF(AND(J39="Y",OR(K39="None",K39="TBC",K39="",L39="N",L39="TBC",L39="")),"Carry to W04 as risk","—"))</f>
        <v/>
      </c>
      <c r="S39" s="16" t="str">
        <f aca="false">IF(A39="","",IF(OR(B39="",C39="",D39="",E39="",F39=""),"Name, source, target, direction, technology needed",IF(AND(COUNTIF(Ref_SYS!$A$2:$A$101,C39)=0,COUNTIF(Ref_SYS!$A$2:$A$101,D39)=0),"No in-scope SYS-ID on either side",IF(AND(J39="Y",K39=""),"Monitoring answer needed",IF(AND(O39="N",Q39=""),"Rationale needed","OK")))))</f>
        <v/>
      </c>
    </row>
    <row r="40" customFormat="false" ht="15" hidden="false" customHeight="false" outlineLevel="0" collapsed="false">
      <c r="A40" s="15"/>
      <c r="B40" s="15"/>
      <c r="C40" s="15"/>
      <c r="D40" s="15"/>
      <c r="E40" s="15"/>
      <c r="F40" s="15"/>
      <c r="G40" s="15"/>
      <c r="H40" s="15"/>
      <c r="I40" s="15"/>
      <c r="J40" s="15"/>
      <c r="K40" s="15"/>
      <c r="L40" s="15"/>
      <c r="M40" s="15"/>
      <c r="N40" s="15"/>
      <c r="O40" s="15"/>
      <c r="P40" s="15"/>
      <c r="Q40" s="15"/>
      <c r="R40" s="16" t="str">
        <f aca="false">IF(A40="","",IF(AND(J40="Y",OR(K40="None",K40="TBC",K40="",L40="N",L40="TBC",L40="")),"Carry to W04 as risk","—"))</f>
        <v/>
      </c>
      <c r="S40" s="16" t="str">
        <f aca="false">IF(A40="","",IF(OR(B40="",C40="",D40="",E40="",F40=""),"Name, source, target, direction, technology needed",IF(AND(COUNTIF(Ref_SYS!$A$2:$A$101,C40)=0,COUNTIF(Ref_SYS!$A$2:$A$101,D40)=0),"No in-scope SYS-ID on either side",IF(AND(J40="Y",K40=""),"Monitoring answer needed",IF(AND(O40="N",Q40=""),"Rationale needed","OK")))))</f>
        <v/>
      </c>
    </row>
    <row r="41" customFormat="false" ht="15" hidden="false" customHeight="false" outlineLevel="0" collapsed="false">
      <c r="A41" s="15"/>
      <c r="B41" s="15"/>
      <c r="C41" s="15"/>
      <c r="D41" s="15"/>
      <c r="E41" s="15"/>
      <c r="F41" s="15"/>
      <c r="G41" s="15"/>
      <c r="H41" s="15"/>
      <c r="I41" s="15"/>
      <c r="J41" s="15"/>
      <c r="K41" s="15"/>
      <c r="L41" s="15"/>
      <c r="M41" s="15"/>
      <c r="N41" s="15"/>
      <c r="O41" s="15"/>
      <c r="P41" s="15"/>
      <c r="Q41" s="15"/>
      <c r="R41" s="16" t="str">
        <f aca="false">IF(A41="","",IF(AND(J41="Y",OR(K41="None",K41="TBC",K41="",L41="N",L41="TBC",L41="")),"Carry to W04 as risk","—"))</f>
        <v/>
      </c>
      <c r="S41" s="16" t="str">
        <f aca="false">IF(A41="","",IF(OR(B41="",C41="",D41="",E41="",F41=""),"Name, source, target, direction, technology needed",IF(AND(COUNTIF(Ref_SYS!$A$2:$A$101,C41)=0,COUNTIF(Ref_SYS!$A$2:$A$101,D41)=0),"No in-scope SYS-ID on either side",IF(AND(J41="Y",K41=""),"Monitoring answer needed",IF(AND(O41="N",Q41=""),"Rationale needed","OK")))))</f>
        <v/>
      </c>
    </row>
    <row r="42" customFormat="false" ht="15" hidden="false" customHeight="false" outlineLevel="0" collapsed="false">
      <c r="A42" s="15"/>
      <c r="B42" s="15"/>
      <c r="C42" s="15"/>
      <c r="D42" s="15"/>
      <c r="E42" s="15"/>
      <c r="F42" s="15"/>
      <c r="G42" s="15"/>
      <c r="H42" s="15"/>
      <c r="I42" s="15"/>
      <c r="J42" s="15"/>
      <c r="K42" s="15"/>
      <c r="L42" s="15"/>
      <c r="M42" s="15"/>
      <c r="N42" s="15"/>
      <c r="O42" s="15"/>
      <c r="P42" s="15"/>
      <c r="Q42" s="15"/>
      <c r="R42" s="16" t="str">
        <f aca="false">IF(A42="","",IF(AND(J42="Y",OR(K42="None",K42="TBC",K42="",L42="N",L42="TBC",L42="")),"Carry to W04 as risk","—"))</f>
        <v/>
      </c>
      <c r="S42" s="16" t="str">
        <f aca="false">IF(A42="","",IF(OR(B42="",C42="",D42="",E42="",F42=""),"Name, source, target, direction, technology needed",IF(AND(COUNTIF(Ref_SYS!$A$2:$A$101,C42)=0,COUNTIF(Ref_SYS!$A$2:$A$101,D42)=0),"No in-scope SYS-ID on either side",IF(AND(J42="Y",K42=""),"Monitoring answer needed",IF(AND(O42="N",Q42=""),"Rationale needed","OK")))))</f>
        <v/>
      </c>
    </row>
    <row r="43" customFormat="false" ht="15" hidden="false" customHeight="false" outlineLevel="0" collapsed="false">
      <c r="A43" s="15"/>
      <c r="B43" s="15"/>
      <c r="C43" s="15"/>
      <c r="D43" s="15"/>
      <c r="E43" s="15"/>
      <c r="F43" s="15"/>
      <c r="G43" s="15"/>
      <c r="H43" s="15"/>
      <c r="I43" s="15"/>
      <c r="J43" s="15"/>
      <c r="K43" s="15"/>
      <c r="L43" s="15"/>
      <c r="M43" s="15"/>
      <c r="N43" s="15"/>
      <c r="O43" s="15"/>
      <c r="P43" s="15"/>
      <c r="Q43" s="15"/>
      <c r="R43" s="16" t="str">
        <f aca="false">IF(A43="","",IF(AND(J43="Y",OR(K43="None",K43="TBC",K43="",L43="N",L43="TBC",L43="")),"Carry to W04 as risk","—"))</f>
        <v/>
      </c>
      <c r="S43" s="16" t="str">
        <f aca="false">IF(A43="","",IF(OR(B43="",C43="",D43="",E43="",F43=""),"Name, source, target, direction, technology needed",IF(AND(COUNTIF(Ref_SYS!$A$2:$A$101,C43)=0,COUNTIF(Ref_SYS!$A$2:$A$101,D43)=0),"No in-scope SYS-ID on either side",IF(AND(J43="Y",K43=""),"Monitoring answer needed",IF(AND(O43="N",Q43=""),"Rationale needed","OK")))))</f>
        <v/>
      </c>
    </row>
    <row r="44" customFormat="false" ht="15" hidden="false" customHeight="false" outlineLevel="0" collapsed="false">
      <c r="A44" s="15"/>
      <c r="B44" s="15"/>
      <c r="C44" s="15"/>
      <c r="D44" s="15"/>
      <c r="E44" s="15"/>
      <c r="F44" s="15"/>
      <c r="G44" s="15"/>
      <c r="H44" s="15"/>
      <c r="I44" s="15"/>
      <c r="J44" s="15"/>
      <c r="K44" s="15"/>
      <c r="L44" s="15"/>
      <c r="M44" s="15"/>
      <c r="N44" s="15"/>
      <c r="O44" s="15"/>
      <c r="P44" s="15"/>
      <c r="Q44" s="15"/>
      <c r="R44" s="16" t="str">
        <f aca="false">IF(A44="","",IF(AND(J44="Y",OR(K44="None",K44="TBC",K44="",L44="N",L44="TBC",L44="")),"Carry to W04 as risk","—"))</f>
        <v/>
      </c>
      <c r="S44" s="16" t="str">
        <f aca="false">IF(A44="","",IF(OR(B44="",C44="",D44="",E44="",F44=""),"Name, source, target, direction, technology needed",IF(AND(COUNTIF(Ref_SYS!$A$2:$A$101,C44)=0,COUNTIF(Ref_SYS!$A$2:$A$101,D44)=0),"No in-scope SYS-ID on either side",IF(AND(J44="Y",K44=""),"Monitoring answer needed",IF(AND(O44="N",Q44=""),"Rationale needed","OK")))))</f>
        <v/>
      </c>
    </row>
    <row r="45" customFormat="false" ht="15" hidden="false" customHeight="false" outlineLevel="0" collapsed="false">
      <c r="A45" s="15"/>
      <c r="B45" s="15"/>
      <c r="C45" s="15"/>
      <c r="D45" s="15"/>
      <c r="E45" s="15"/>
      <c r="F45" s="15"/>
      <c r="G45" s="15"/>
      <c r="H45" s="15"/>
      <c r="I45" s="15"/>
      <c r="J45" s="15"/>
      <c r="K45" s="15"/>
      <c r="L45" s="15"/>
      <c r="M45" s="15"/>
      <c r="N45" s="15"/>
      <c r="O45" s="15"/>
      <c r="P45" s="15"/>
      <c r="Q45" s="15"/>
      <c r="R45" s="16" t="str">
        <f aca="false">IF(A45="","",IF(AND(J45="Y",OR(K45="None",K45="TBC",K45="",L45="N",L45="TBC",L45="")),"Carry to W04 as risk","—"))</f>
        <v/>
      </c>
      <c r="S45" s="16" t="str">
        <f aca="false">IF(A45="","",IF(OR(B45="",C45="",D45="",E45="",F45=""),"Name, source, target, direction, technology needed",IF(AND(COUNTIF(Ref_SYS!$A$2:$A$101,C45)=0,COUNTIF(Ref_SYS!$A$2:$A$101,D45)=0),"No in-scope SYS-ID on either side",IF(AND(J45="Y",K45=""),"Monitoring answer needed",IF(AND(O45="N",Q45=""),"Rationale needed","OK")))))</f>
        <v/>
      </c>
    </row>
    <row r="46" customFormat="false" ht="15" hidden="false" customHeight="false" outlineLevel="0" collapsed="false">
      <c r="A46" s="15"/>
      <c r="B46" s="15"/>
      <c r="C46" s="15"/>
      <c r="D46" s="15"/>
      <c r="E46" s="15"/>
      <c r="F46" s="15"/>
      <c r="G46" s="15"/>
      <c r="H46" s="15"/>
      <c r="I46" s="15"/>
      <c r="J46" s="15"/>
      <c r="K46" s="15"/>
      <c r="L46" s="15"/>
      <c r="M46" s="15"/>
      <c r="N46" s="15"/>
      <c r="O46" s="15"/>
      <c r="P46" s="15"/>
      <c r="Q46" s="15"/>
      <c r="R46" s="16" t="str">
        <f aca="false">IF(A46="","",IF(AND(J46="Y",OR(K46="None",K46="TBC",K46="",L46="N",L46="TBC",L46="")),"Carry to W04 as risk","—"))</f>
        <v/>
      </c>
      <c r="S46" s="16" t="str">
        <f aca="false">IF(A46="","",IF(OR(B46="",C46="",D46="",E46="",F46=""),"Name, source, target, direction, technology needed",IF(AND(COUNTIF(Ref_SYS!$A$2:$A$101,C46)=0,COUNTIF(Ref_SYS!$A$2:$A$101,D46)=0),"No in-scope SYS-ID on either side",IF(AND(J46="Y",K46=""),"Monitoring answer needed",IF(AND(O46="N",Q46=""),"Rationale needed","OK")))))</f>
        <v/>
      </c>
    </row>
    <row r="47" customFormat="false" ht="15" hidden="false" customHeight="false" outlineLevel="0" collapsed="false">
      <c r="A47" s="15"/>
      <c r="B47" s="15"/>
      <c r="C47" s="15"/>
      <c r="D47" s="15"/>
      <c r="E47" s="15"/>
      <c r="F47" s="15"/>
      <c r="G47" s="15"/>
      <c r="H47" s="15"/>
      <c r="I47" s="15"/>
      <c r="J47" s="15"/>
      <c r="K47" s="15"/>
      <c r="L47" s="15"/>
      <c r="M47" s="15"/>
      <c r="N47" s="15"/>
      <c r="O47" s="15"/>
      <c r="P47" s="15"/>
      <c r="Q47" s="15"/>
      <c r="R47" s="16" t="str">
        <f aca="false">IF(A47="","",IF(AND(J47="Y",OR(K47="None",K47="TBC",K47="",L47="N",L47="TBC",L47="")),"Carry to W04 as risk","—"))</f>
        <v/>
      </c>
      <c r="S47" s="16" t="str">
        <f aca="false">IF(A47="","",IF(OR(B47="",C47="",D47="",E47="",F47=""),"Name, source, target, direction, technology needed",IF(AND(COUNTIF(Ref_SYS!$A$2:$A$101,C47)=0,COUNTIF(Ref_SYS!$A$2:$A$101,D47)=0),"No in-scope SYS-ID on either side",IF(AND(J47="Y",K47=""),"Monitoring answer needed",IF(AND(O47="N",Q47=""),"Rationale needed","OK")))))</f>
        <v/>
      </c>
    </row>
    <row r="48" customFormat="false" ht="15" hidden="false" customHeight="false" outlineLevel="0" collapsed="false">
      <c r="A48" s="15"/>
      <c r="B48" s="15"/>
      <c r="C48" s="15"/>
      <c r="D48" s="15"/>
      <c r="E48" s="15"/>
      <c r="F48" s="15"/>
      <c r="G48" s="15"/>
      <c r="H48" s="15"/>
      <c r="I48" s="15"/>
      <c r="J48" s="15"/>
      <c r="K48" s="15"/>
      <c r="L48" s="15"/>
      <c r="M48" s="15"/>
      <c r="N48" s="15"/>
      <c r="O48" s="15"/>
      <c r="P48" s="15"/>
      <c r="Q48" s="15"/>
      <c r="R48" s="16" t="str">
        <f aca="false">IF(A48="","",IF(AND(J48="Y",OR(K48="None",K48="TBC",K48="",L48="N",L48="TBC",L48="")),"Carry to W04 as risk","—"))</f>
        <v/>
      </c>
      <c r="S48" s="16" t="str">
        <f aca="false">IF(A48="","",IF(OR(B48="",C48="",D48="",E48="",F48=""),"Name, source, target, direction, technology needed",IF(AND(COUNTIF(Ref_SYS!$A$2:$A$101,C48)=0,COUNTIF(Ref_SYS!$A$2:$A$101,D48)=0),"No in-scope SYS-ID on either side",IF(AND(J48="Y",K48=""),"Monitoring answer needed",IF(AND(O48="N",Q48=""),"Rationale needed","OK")))))</f>
        <v/>
      </c>
    </row>
    <row r="49" customFormat="false" ht="15" hidden="false" customHeight="false" outlineLevel="0" collapsed="false">
      <c r="A49" s="15"/>
      <c r="B49" s="15"/>
      <c r="C49" s="15"/>
      <c r="D49" s="15"/>
      <c r="E49" s="15"/>
      <c r="F49" s="15"/>
      <c r="G49" s="15"/>
      <c r="H49" s="15"/>
      <c r="I49" s="15"/>
      <c r="J49" s="15"/>
      <c r="K49" s="15"/>
      <c r="L49" s="15"/>
      <c r="M49" s="15"/>
      <c r="N49" s="15"/>
      <c r="O49" s="15"/>
      <c r="P49" s="15"/>
      <c r="Q49" s="15"/>
      <c r="R49" s="16" t="str">
        <f aca="false">IF(A49="","",IF(AND(J49="Y",OR(K49="None",K49="TBC",K49="",L49="N",L49="TBC",L49="")),"Carry to W04 as risk","—"))</f>
        <v/>
      </c>
      <c r="S49" s="16" t="str">
        <f aca="false">IF(A49="","",IF(OR(B49="",C49="",D49="",E49="",F49=""),"Name, source, target, direction, technology needed",IF(AND(COUNTIF(Ref_SYS!$A$2:$A$101,C49)=0,COUNTIF(Ref_SYS!$A$2:$A$101,D49)=0),"No in-scope SYS-ID on either side",IF(AND(J49="Y",K49=""),"Monitoring answer needed",IF(AND(O49="N",Q49=""),"Rationale needed","OK")))))</f>
        <v/>
      </c>
    </row>
    <row r="50" customFormat="false" ht="15" hidden="false" customHeight="false" outlineLevel="0" collapsed="false">
      <c r="A50" s="15"/>
      <c r="B50" s="15"/>
      <c r="C50" s="15"/>
      <c r="D50" s="15"/>
      <c r="E50" s="15"/>
      <c r="F50" s="15"/>
      <c r="G50" s="15"/>
      <c r="H50" s="15"/>
      <c r="I50" s="15"/>
      <c r="J50" s="15"/>
      <c r="K50" s="15"/>
      <c r="L50" s="15"/>
      <c r="M50" s="15"/>
      <c r="N50" s="15"/>
      <c r="O50" s="15"/>
      <c r="P50" s="15"/>
      <c r="Q50" s="15"/>
      <c r="R50" s="16" t="str">
        <f aca="false">IF(A50="","",IF(AND(J50="Y",OR(K50="None",K50="TBC",K50="",L50="N",L50="TBC",L50="")),"Carry to W04 as risk","—"))</f>
        <v/>
      </c>
      <c r="S50" s="16" t="str">
        <f aca="false">IF(A50="","",IF(OR(B50="",C50="",D50="",E50="",F50=""),"Name, source, target, direction, technology needed",IF(AND(COUNTIF(Ref_SYS!$A$2:$A$101,C50)=0,COUNTIF(Ref_SYS!$A$2:$A$101,D50)=0),"No in-scope SYS-ID on either side",IF(AND(J50="Y",K50=""),"Monitoring answer needed",IF(AND(O50="N",Q50=""),"Rationale needed","OK")))))</f>
        <v/>
      </c>
    </row>
    <row r="51" customFormat="false" ht="15" hidden="false" customHeight="false" outlineLevel="0" collapsed="false">
      <c r="A51" s="15"/>
      <c r="B51" s="15"/>
      <c r="C51" s="15"/>
      <c r="D51" s="15"/>
      <c r="E51" s="15"/>
      <c r="F51" s="15"/>
      <c r="G51" s="15"/>
      <c r="H51" s="15"/>
      <c r="I51" s="15"/>
      <c r="J51" s="15"/>
      <c r="K51" s="15"/>
      <c r="L51" s="15"/>
      <c r="M51" s="15"/>
      <c r="N51" s="15"/>
      <c r="O51" s="15"/>
      <c r="P51" s="15"/>
      <c r="Q51" s="15"/>
      <c r="R51" s="16" t="str">
        <f aca="false">IF(A51="","",IF(AND(J51="Y",OR(K51="None",K51="TBC",K51="",L51="N",L51="TBC",L51="")),"Carry to W04 as risk","—"))</f>
        <v/>
      </c>
      <c r="S51" s="16" t="str">
        <f aca="false">IF(A51="","",IF(OR(B51="",C51="",D51="",E51="",F51=""),"Name, source, target, direction, technology needed",IF(AND(COUNTIF(Ref_SYS!$A$2:$A$101,C51)=0,COUNTIF(Ref_SYS!$A$2:$A$101,D51)=0),"No in-scope SYS-ID on either side",IF(AND(J51="Y",K51=""),"Monitoring answer needed",IF(AND(O51="N",Q51=""),"Rationale needed","OK")))))</f>
        <v/>
      </c>
    </row>
    <row r="52" customFormat="false" ht="15" hidden="false" customHeight="false" outlineLevel="0" collapsed="false">
      <c r="A52" s="15"/>
      <c r="B52" s="15"/>
      <c r="C52" s="15"/>
      <c r="D52" s="15"/>
      <c r="E52" s="15"/>
      <c r="F52" s="15"/>
      <c r="G52" s="15"/>
      <c r="H52" s="15"/>
      <c r="I52" s="15"/>
      <c r="J52" s="15"/>
      <c r="K52" s="15"/>
      <c r="L52" s="15"/>
      <c r="M52" s="15"/>
      <c r="N52" s="15"/>
      <c r="O52" s="15"/>
      <c r="P52" s="15"/>
      <c r="Q52" s="15"/>
      <c r="R52" s="16" t="str">
        <f aca="false">IF(A52="","",IF(AND(J52="Y",OR(K52="None",K52="TBC",K52="",L52="N",L52="TBC",L52="")),"Carry to W04 as risk","—"))</f>
        <v/>
      </c>
      <c r="S52" s="16" t="str">
        <f aca="false">IF(A52="","",IF(OR(B52="",C52="",D52="",E52="",F52=""),"Name, source, target, direction, technology needed",IF(AND(COUNTIF(Ref_SYS!$A$2:$A$101,C52)=0,COUNTIF(Ref_SYS!$A$2:$A$101,D52)=0),"No in-scope SYS-ID on either side",IF(AND(J52="Y",K52=""),"Monitoring answer needed",IF(AND(O52="N",Q52=""),"Rationale needed","OK")))))</f>
        <v/>
      </c>
    </row>
    <row r="53" customFormat="false" ht="15" hidden="false" customHeight="false" outlineLevel="0" collapsed="false">
      <c r="A53" s="15"/>
      <c r="B53" s="15"/>
      <c r="C53" s="15"/>
      <c r="D53" s="15"/>
      <c r="E53" s="15"/>
      <c r="F53" s="15"/>
      <c r="G53" s="15"/>
      <c r="H53" s="15"/>
      <c r="I53" s="15"/>
      <c r="J53" s="15"/>
      <c r="K53" s="15"/>
      <c r="L53" s="15"/>
      <c r="M53" s="15"/>
      <c r="N53" s="15"/>
      <c r="O53" s="15"/>
      <c r="P53" s="15"/>
      <c r="Q53" s="15"/>
      <c r="R53" s="16" t="str">
        <f aca="false">IF(A53="","",IF(AND(J53="Y",OR(K53="None",K53="TBC",K53="",L53="N",L53="TBC",L53="")),"Carry to W04 as risk","—"))</f>
        <v/>
      </c>
      <c r="S53" s="16" t="str">
        <f aca="false">IF(A53="","",IF(OR(B53="",C53="",D53="",E53="",F53=""),"Name, source, target, direction, technology needed",IF(AND(COUNTIF(Ref_SYS!$A$2:$A$101,C53)=0,COUNTIF(Ref_SYS!$A$2:$A$101,D53)=0),"No in-scope SYS-ID on either side",IF(AND(J53="Y",K53=""),"Monitoring answer needed",IF(AND(O53="N",Q53=""),"Rationale needed","OK")))))</f>
        <v/>
      </c>
    </row>
    <row r="54" customFormat="false" ht="15" hidden="false" customHeight="false" outlineLevel="0" collapsed="false">
      <c r="A54" s="15"/>
      <c r="B54" s="15"/>
      <c r="C54" s="15"/>
      <c r="D54" s="15"/>
      <c r="E54" s="15"/>
      <c r="F54" s="15"/>
      <c r="G54" s="15"/>
      <c r="H54" s="15"/>
      <c r="I54" s="15"/>
      <c r="J54" s="15"/>
      <c r="K54" s="15"/>
      <c r="L54" s="15"/>
      <c r="M54" s="15"/>
      <c r="N54" s="15"/>
      <c r="O54" s="15"/>
      <c r="P54" s="15"/>
      <c r="Q54" s="15"/>
      <c r="R54" s="16" t="str">
        <f aca="false">IF(A54="","",IF(AND(J54="Y",OR(K54="None",K54="TBC",K54="",L54="N",L54="TBC",L54="")),"Carry to W04 as risk","—"))</f>
        <v/>
      </c>
      <c r="S54" s="16" t="str">
        <f aca="false">IF(A54="","",IF(OR(B54="",C54="",D54="",E54="",F54=""),"Name, source, target, direction, technology needed",IF(AND(COUNTIF(Ref_SYS!$A$2:$A$101,C54)=0,COUNTIF(Ref_SYS!$A$2:$A$101,D54)=0),"No in-scope SYS-ID on either side",IF(AND(J54="Y",K54=""),"Monitoring answer needed",IF(AND(O54="N",Q54=""),"Rationale needed","OK")))))</f>
        <v/>
      </c>
    </row>
    <row r="55" customFormat="false" ht="15" hidden="false" customHeight="false" outlineLevel="0" collapsed="false">
      <c r="A55" s="15"/>
      <c r="B55" s="15"/>
      <c r="C55" s="15"/>
      <c r="D55" s="15"/>
      <c r="E55" s="15"/>
      <c r="F55" s="15"/>
      <c r="G55" s="15"/>
      <c r="H55" s="15"/>
      <c r="I55" s="15"/>
      <c r="J55" s="15"/>
      <c r="K55" s="15"/>
      <c r="L55" s="15"/>
      <c r="M55" s="15"/>
      <c r="N55" s="15"/>
      <c r="O55" s="15"/>
      <c r="P55" s="15"/>
      <c r="Q55" s="15"/>
      <c r="R55" s="16" t="str">
        <f aca="false">IF(A55="","",IF(AND(J55="Y",OR(K55="None",K55="TBC",K55="",L55="N",L55="TBC",L55="")),"Carry to W04 as risk","—"))</f>
        <v/>
      </c>
      <c r="S55" s="16" t="str">
        <f aca="false">IF(A55="","",IF(OR(B55="",C55="",D55="",E55="",F55=""),"Name, source, target, direction, technology needed",IF(AND(COUNTIF(Ref_SYS!$A$2:$A$101,C55)=0,COUNTIF(Ref_SYS!$A$2:$A$101,D55)=0),"No in-scope SYS-ID on either side",IF(AND(J55="Y",K55=""),"Monitoring answer needed",IF(AND(O55="N",Q55=""),"Rationale needed","OK")))))</f>
        <v/>
      </c>
    </row>
    <row r="56" customFormat="false" ht="15" hidden="false" customHeight="false" outlineLevel="0" collapsed="false">
      <c r="A56" s="15"/>
      <c r="B56" s="15"/>
      <c r="C56" s="15"/>
      <c r="D56" s="15"/>
      <c r="E56" s="15"/>
      <c r="F56" s="15"/>
      <c r="G56" s="15"/>
      <c r="H56" s="15"/>
      <c r="I56" s="15"/>
      <c r="J56" s="15"/>
      <c r="K56" s="15"/>
      <c r="L56" s="15"/>
      <c r="M56" s="15"/>
      <c r="N56" s="15"/>
      <c r="O56" s="15"/>
      <c r="P56" s="15"/>
      <c r="Q56" s="15"/>
      <c r="R56" s="16" t="str">
        <f aca="false">IF(A56="","",IF(AND(J56="Y",OR(K56="None",K56="TBC",K56="",L56="N",L56="TBC",L56="")),"Carry to W04 as risk","—"))</f>
        <v/>
      </c>
      <c r="S56" s="16" t="str">
        <f aca="false">IF(A56="","",IF(OR(B56="",C56="",D56="",E56="",F56=""),"Name, source, target, direction, technology needed",IF(AND(COUNTIF(Ref_SYS!$A$2:$A$101,C56)=0,COUNTIF(Ref_SYS!$A$2:$A$101,D56)=0),"No in-scope SYS-ID on either side",IF(AND(J56="Y",K56=""),"Monitoring answer needed",IF(AND(O56="N",Q56=""),"Rationale needed","OK")))))</f>
        <v/>
      </c>
    </row>
    <row r="57" customFormat="false" ht="15" hidden="false" customHeight="false" outlineLevel="0" collapsed="false">
      <c r="A57" s="15"/>
      <c r="B57" s="15"/>
      <c r="C57" s="15"/>
      <c r="D57" s="15"/>
      <c r="E57" s="15"/>
      <c r="F57" s="15"/>
      <c r="G57" s="15"/>
      <c r="H57" s="15"/>
      <c r="I57" s="15"/>
      <c r="J57" s="15"/>
      <c r="K57" s="15"/>
      <c r="L57" s="15"/>
      <c r="M57" s="15"/>
      <c r="N57" s="15"/>
      <c r="O57" s="15"/>
      <c r="P57" s="15"/>
      <c r="Q57" s="15"/>
      <c r="R57" s="16" t="str">
        <f aca="false">IF(A57="","",IF(AND(J57="Y",OR(K57="None",K57="TBC",K57="",L57="N",L57="TBC",L57="")),"Carry to W04 as risk","—"))</f>
        <v/>
      </c>
      <c r="S57" s="16" t="str">
        <f aca="false">IF(A57="","",IF(OR(B57="",C57="",D57="",E57="",F57=""),"Name, source, target, direction, technology needed",IF(AND(COUNTIF(Ref_SYS!$A$2:$A$101,C57)=0,COUNTIF(Ref_SYS!$A$2:$A$101,D57)=0),"No in-scope SYS-ID on either side",IF(AND(J57="Y",K57=""),"Monitoring answer needed",IF(AND(O57="N",Q57=""),"Rationale needed","OK")))))</f>
        <v/>
      </c>
    </row>
    <row r="58" customFormat="false" ht="15" hidden="false" customHeight="false" outlineLevel="0" collapsed="false">
      <c r="A58" s="15"/>
      <c r="B58" s="15"/>
      <c r="C58" s="15"/>
      <c r="D58" s="15"/>
      <c r="E58" s="15"/>
      <c r="F58" s="15"/>
      <c r="G58" s="15"/>
      <c r="H58" s="15"/>
      <c r="I58" s="15"/>
      <c r="J58" s="15"/>
      <c r="K58" s="15"/>
      <c r="L58" s="15"/>
      <c r="M58" s="15"/>
      <c r="N58" s="15"/>
      <c r="O58" s="15"/>
      <c r="P58" s="15"/>
      <c r="Q58" s="15"/>
      <c r="R58" s="16" t="str">
        <f aca="false">IF(A58="","",IF(AND(J58="Y",OR(K58="None",K58="TBC",K58="",L58="N",L58="TBC",L58="")),"Carry to W04 as risk","—"))</f>
        <v/>
      </c>
      <c r="S58" s="16" t="str">
        <f aca="false">IF(A58="","",IF(OR(B58="",C58="",D58="",E58="",F58=""),"Name, source, target, direction, technology needed",IF(AND(COUNTIF(Ref_SYS!$A$2:$A$101,C58)=0,COUNTIF(Ref_SYS!$A$2:$A$101,D58)=0),"No in-scope SYS-ID on either side",IF(AND(J58="Y",K58=""),"Monitoring answer needed",IF(AND(O58="N",Q58=""),"Rationale needed","OK")))))</f>
        <v/>
      </c>
    </row>
    <row r="59" customFormat="false" ht="15" hidden="false" customHeight="false" outlineLevel="0" collapsed="false">
      <c r="A59" s="15"/>
      <c r="B59" s="15"/>
      <c r="C59" s="15"/>
      <c r="D59" s="15"/>
      <c r="E59" s="15"/>
      <c r="F59" s="15"/>
      <c r="G59" s="15"/>
      <c r="H59" s="15"/>
      <c r="I59" s="15"/>
      <c r="J59" s="15"/>
      <c r="K59" s="15"/>
      <c r="L59" s="15"/>
      <c r="M59" s="15"/>
      <c r="N59" s="15"/>
      <c r="O59" s="15"/>
      <c r="P59" s="15"/>
      <c r="Q59" s="15"/>
      <c r="R59" s="16" t="str">
        <f aca="false">IF(A59="","",IF(AND(J59="Y",OR(K59="None",K59="TBC",K59="",L59="N",L59="TBC",L59="")),"Carry to W04 as risk","—"))</f>
        <v/>
      </c>
      <c r="S59" s="16" t="str">
        <f aca="false">IF(A59="","",IF(OR(B59="",C59="",D59="",E59="",F59=""),"Name, source, target, direction, technology needed",IF(AND(COUNTIF(Ref_SYS!$A$2:$A$101,C59)=0,COUNTIF(Ref_SYS!$A$2:$A$101,D59)=0),"No in-scope SYS-ID on either side",IF(AND(J59="Y",K59=""),"Monitoring answer needed",IF(AND(O59="N",Q59=""),"Rationale needed","OK")))))</f>
        <v/>
      </c>
    </row>
    <row r="60" customFormat="false" ht="15" hidden="false" customHeight="false" outlineLevel="0" collapsed="false">
      <c r="A60" s="15"/>
      <c r="B60" s="15"/>
      <c r="C60" s="15"/>
      <c r="D60" s="15"/>
      <c r="E60" s="15"/>
      <c r="F60" s="15"/>
      <c r="G60" s="15"/>
      <c r="H60" s="15"/>
      <c r="I60" s="15"/>
      <c r="J60" s="15"/>
      <c r="K60" s="15"/>
      <c r="L60" s="15"/>
      <c r="M60" s="15"/>
      <c r="N60" s="15"/>
      <c r="O60" s="15"/>
      <c r="P60" s="15"/>
      <c r="Q60" s="15"/>
      <c r="R60" s="16" t="str">
        <f aca="false">IF(A60="","",IF(AND(J60="Y",OR(K60="None",K60="TBC",K60="",L60="N",L60="TBC",L60="")),"Carry to W04 as risk","—"))</f>
        <v/>
      </c>
      <c r="S60" s="16" t="str">
        <f aca="false">IF(A60="","",IF(OR(B60="",C60="",D60="",E60="",F60=""),"Name, source, target, direction, technology needed",IF(AND(COUNTIF(Ref_SYS!$A$2:$A$101,C60)=0,COUNTIF(Ref_SYS!$A$2:$A$101,D60)=0),"No in-scope SYS-ID on either side",IF(AND(J60="Y",K60=""),"Monitoring answer needed",IF(AND(O60="N",Q60=""),"Rationale needed","OK")))))</f>
        <v/>
      </c>
    </row>
    <row r="61" customFormat="false" ht="15" hidden="false" customHeight="false" outlineLevel="0" collapsed="false">
      <c r="A61" s="15"/>
      <c r="B61" s="15"/>
      <c r="C61" s="15"/>
      <c r="D61" s="15"/>
      <c r="E61" s="15"/>
      <c r="F61" s="15"/>
      <c r="G61" s="15"/>
      <c r="H61" s="15"/>
      <c r="I61" s="15"/>
      <c r="J61" s="15"/>
      <c r="K61" s="15"/>
      <c r="L61" s="15"/>
      <c r="M61" s="15"/>
      <c r="N61" s="15"/>
      <c r="O61" s="15"/>
      <c r="P61" s="15"/>
      <c r="Q61" s="15"/>
      <c r="R61" s="16" t="str">
        <f aca="false">IF(A61="","",IF(AND(J61="Y",OR(K61="None",K61="TBC",K61="",L61="N",L61="TBC",L61="")),"Carry to W04 as risk","—"))</f>
        <v/>
      </c>
      <c r="S61" s="16" t="str">
        <f aca="false">IF(A61="","",IF(OR(B61="",C61="",D61="",E61="",F61=""),"Name, source, target, direction, technology needed",IF(AND(COUNTIF(Ref_SYS!$A$2:$A$101,C61)=0,COUNTIF(Ref_SYS!$A$2:$A$101,D61)=0),"No in-scope SYS-ID on either side",IF(AND(J61="Y",K61=""),"Monitoring answer needed",IF(AND(O61="N",Q61=""),"Rationale needed","OK")))))</f>
        <v/>
      </c>
    </row>
    <row r="62" customFormat="false" ht="15" hidden="false" customHeight="false" outlineLevel="0" collapsed="false">
      <c r="A62" s="15"/>
      <c r="B62" s="15"/>
      <c r="C62" s="15"/>
      <c r="D62" s="15"/>
      <c r="E62" s="15"/>
      <c r="F62" s="15"/>
      <c r="G62" s="15"/>
      <c r="H62" s="15"/>
      <c r="I62" s="15"/>
      <c r="J62" s="15"/>
      <c r="K62" s="15"/>
      <c r="L62" s="15"/>
      <c r="M62" s="15"/>
      <c r="N62" s="15"/>
      <c r="O62" s="15"/>
      <c r="P62" s="15"/>
      <c r="Q62" s="15"/>
      <c r="R62" s="16" t="str">
        <f aca="false">IF(A62="","",IF(AND(J62="Y",OR(K62="None",K62="TBC",K62="",L62="N",L62="TBC",L62="")),"Carry to W04 as risk","—"))</f>
        <v/>
      </c>
      <c r="S62" s="16" t="str">
        <f aca="false">IF(A62="","",IF(OR(B62="",C62="",D62="",E62="",F62=""),"Name, source, target, direction, technology needed",IF(AND(COUNTIF(Ref_SYS!$A$2:$A$101,C62)=0,COUNTIF(Ref_SYS!$A$2:$A$101,D62)=0),"No in-scope SYS-ID on either side",IF(AND(J62="Y",K62=""),"Monitoring answer needed",IF(AND(O62="N",Q62=""),"Rationale needed","OK")))))</f>
        <v/>
      </c>
    </row>
    <row r="63" customFormat="false" ht="15" hidden="false" customHeight="false" outlineLevel="0" collapsed="false">
      <c r="A63" s="15"/>
      <c r="B63" s="15"/>
      <c r="C63" s="15"/>
      <c r="D63" s="15"/>
      <c r="E63" s="15"/>
      <c r="F63" s="15"/>
      <c r="G63" s="15"/>
      <c r="H63" s="15"/>
      <c r="I63" s="15"/>
      <c r="J63" s="15"/>
      <c r="K63" s="15"/>
      <c r="L63" s="15"/>
      <c r="M63" s="15"/>
      <c r="N63" s="15"/>
      <c r="O63" s="15"/>
      <c r="P63" s="15"/>
      <c r="Q63" s="15"/>
      <c r="R63" s="16" t="str">
        <f aca="false">IF(A63="","",IF(AND(J63="Y",OR(K63="None",K63="TBC",K63="",L63="N",L63="TBC",L63="")),"Carry to W04 as risk","—"))</f>
        <v/>
      </c>
      <c r="S63" s="16" t="str">
        <f aca="false">IF(A63="","",IF(OR(B63="",C63="",D63="",E63="",F63=""),"Name, source, target, direction, technology needed",IF(AND(COUNTIF(Ref_SYS!$A$2:$A$101,C63)=0,COUNTIF(Ref_SYS!$A$2:$A$101,D63)=0),"No in-scope SYS-ID on either side",IF(AND(J63="Y",K63=""),"Monitoring answer needed",IF(AND(O63="N",Q63=""),"Rationale needed","OK")))))</f>
        <v/>
      </c>
    </row>
    <row r="64" customFormat="false" ht="15" hidden="false" customHeight="false" outlineLevel="0" collapsed="false">
      <c r="A64" s="15"/>
      <c r="B64" s="15"/>
      <c r="C64" s="15"/>
      <c r="D64" s="15"/>
      <c r="E64" s="15"/>
      <c r="F64" s="15"/>
      <c r="G64" s="15"/>
      <c r="H64" s="15"/>
      <c r="I64" s="15"/>
      <c r="J64" s="15"/>
      <c r="K64" s="15"/>
      <c r="L64" s="15"/>
      <c r="M64" s="15"/>
      <c r="N64" s="15"/>
      <c r="O64" s="15"/>
      <c r="P64" s="15"/>
      <c r="Q64" s="15"/>
      <c r="R64" s="16" t="str">
        <f aca="false">IF(A64="","",IF(AND(J64="Y",OR(K64="None",K64="TBC",K64="",L64="N",L64="TBC",L64="")),"Carry to W04 as risk","—"))</f>
        <v/>
      </c>
      <c r="S64" s="16" t="str">
        <f aca="false">IF(A64="","",IF(OR(B64="",C64="",D64="",E64="",F64=""),"Name, source, target, direction, technology needed",IF(AND(COUNTIF(Ref_SYS!$A$2:$A$101,C64)=0,COUNTIF(Ref_SYS!$A$2:$A$101,D64)=0),"No in-scope SYS-ID on either side",IF(AND(J64="Y",K64=""),"Monitoring answer needed",IF(AND(O64="N",Q64=""),"Rationale needed","OK")))))</f>
        <v/>
      </c>
    </row>
    <row r="65" customFormat="false" ht="15" hidden="false" customHeight="false" outlineLevel="0" collapsed="false">
      <c r="A65" s="15"/>
      <c r="B65" s="15"/>
      <c r="C65" s="15"/>
      <c r="D65" s="15"/>
      <c r="E65" s="15"/>
      <c r="F65" s="15"/>
      <c r="G65" s="15"/>
      <c r="H65" s="15"/>
      <c r="I65" s="15"/>
      <c r="J65" s="15"/>
      <c r="K65" s="15"/>
      <c r="L65" s="15"/>
      <c r="M65" s="15"/>
      <c r="N65" s="15"/>
      <c r="O65" s="15"/>
      <c r="P65" s="15"/>
      <c r="Q65" s="15"/>
      <c r="R65" s="16" t="str">
        <f aca="false">IF(A65="","",IF(AND(J65="Y",OR(K65="None",K65="TBC",K65="",L65="N",L65="TBC",L65="")),"Carry to W04 as risk","—"))</f>
        <v/>
      </c>
      <c r="S65" s="16" t="str">
        <f aca="false">IF(A65="","",IF(OR(B65="",C65="",D65="",E65="",F65=""),"Name, source, target, direction, technology needed",IF(AND(COUNTIF(Ref_SYS!$A$2:$A$101,C65)=0,COUNTIF(Ref_SYS!$A$2:$A$101,D65)=0),"No in-scope SYS-ID on either side",IF(AND(J65="Y",K65=""),"Monitoring answer needed",IF(AND(O65="N",Q65=""),"Rationale needed","OK")))))</f>
        <v/>
      </c>
    </row>
    <row r="66" customFormat="false" ht="15" hidden="false" customHeight="false" outlineLevel="0" collapsed="false">
      <c r="A66" s="15"/>
      <c r="B66" s="15"/>
      <c r="C66" s="15"/>
      <c r="D66" s="15"/>
      <c r="E66" s="15"/>
      <c r="F66" s="15"/>
      <c r="G66" s="15"/>
      <c r="H66" s="15"/>
      <c r="I66" s="15"/>
      <c r="J66" s="15"/>
      <c r="K66" s="15"/>
      <c r="L66" s="15"/>
      <c r="M66" s="15"/>
      <c r="N66" s="15"/>
      <c r="O66" s="15"/>
      <c r="P66" s="15"/>
      <c r="Q66" s="15"/>
      <c r="R66" s="16" t="str">
        <f aca="false">IF(A66="","",IF(AND(J66="Y",OR(K66="None",K66="TBC",K66="",L66="N",L66="TBC",L66="")),"Carry to W04 as risk","—"))</f>
        <v/>
      </c>
      <c r="S66" s="16" t="str">
        <f aca="false">IF(A66="","",IF(OR(B66="",C66="",D66="",E66="",F66=""),"Name, source, target, direction, technology needed",IF(AND(COUNTIF(Ref_SYS!$A$2:$A$101,C66)=0,COUNTIF(Ref_SYS!$A$2:$A$101,D66)=0),"No in-scope SYS-ID on either side",IF(AND(J66="Y",K66=""),"Monitoring answer needed",IF(AND(O66="N",Q66=""),"Rationale needed","OK")))))</f>
        <v/>
      </c>
    </row>
    <row r="67" customFormat="false" ht="15" hidden="false" customHeight="false" outlineLevel="0" collapsed="false">
      <c r="A67" s="15"/>
      <c r="B67" s="15"/>
      <c r="C67" s="15"/>
      <c r="D67" s="15"/>
      <c r="E67" s="15"/>
      <c r="F67" s="15"/>
      <c r="G67" s="15"/>
      <c r="H67" s="15"/>
      <c r="I67" s="15"/>
      <c r="J67" s="15"/>
      <c r="K67" s="15"/>
      <c r="L67" s="15"/>
      <c r="M67" s="15"/>
      <c r="N67" s="15"/>
      <c r="O67" s="15"/>
      <c r="P67" s="15"/>
      <c r="Q67" s="15"/>
      <c r="R67" s="16" t="str">
        <f aca="false">IF(A67="","",IF(AND(J67="Y",OR(K67="None",K67="TBC",K67="",L67="N",L67="TBC",L67="")),"Carry to W04 as risk","—"))</f>
        <v/>
      </c>
      <c r="S67" s="16" t="str">
        <f aca="false">IF(A67="","",IF(OR(B67="",C67="",D67="",E67="",F67=""),"Name, source, target, direction, technology needed",IF(AND(COUNTIF(Ref_SYS!$A$2:$A$101,C67)=0,COUNTIF(Ref_SYS!$A$2:$A$101,D67)=0),"No in-scope SYS-ID on either side",IF(AND(J67="Y",K67=""),"Monitoring answer needed",IF(AND(O67="N",Q67=""),"Rationale needed","OK")))))</f>
        <v/>
      </c>
    </row>
    <row r="68" customFormat="false" ht="15" hidden="false" customHeight="false" outlineLevel="0" collapsed="false">
      <c r="A68" s="15"/>
      <c r="B68" s="15"/>
      <c r="C68" s="15"/>
      <c r="D68" s="15"/>
      <c r="E68" s="15"/>
      <c r="F68" s="15"/>
      <c r="G68" s="15"/>
      <c r="H68" s="15"/>
      <c r="I68" s="15"/>
      <c r="J68" s="15"/>
      <c r="K68" s="15"/>
      <c r="L68" s="15"/>
      <c r="M68" s="15"/>
      <c r="N68" s="15"/>
      <c r="O68" s="15"/>
      <c r="P68" s="15"/>
      <c r="Q68" s="15"/>
      <c r="R68" s="16" t="str">
        <f aca="false">IF(A68="","",IF(AND(J68="Y",OR(K68="None",K68="TBC",K68="",L68="N",L68="TBC",L68="")),"Carry to W04 as risk","—"))</f>
        <v/>
      </c>
      <c r="S68" s="16" t="str">
        <f aca="false">IF(A68="","",IF(OR(B68="",C68="",D68="",E68="",F68=""),"Name, source, target, direction, technology needed",IF(AND(COUNTIF(Ref_SYS!$A$2:$A$101,C68)=0,COUNTIF(Ref_SYS!$A$2:$A$101,D68)=0),"No in-scope SYS-ID on either side",IF(AND(J68="Y",K68=""),"Monitoring answer needed",IF(AND(O68="N",Q68=""),"Rationale needed","OK")))))</f>
        <v/>
      </c>
    </row>
    <row r="69" customFormat="false" ht="15" hidden="false" customHeight="false" outlineLevel="0" collapsed="false">
      <c r="A69" s="15"/>
      <c r="B69" s="15"/>
      <c r="C69" s="15"/>
      <c r="D69" s="15"/>
      <c r="E69" s="15"/>
      <c r="F69" s="15"/>
      <c r="G69" s="15"/>
      <c r="H69" s="15"/>
      <c r="I69" s="15"/>
      <c r="J69" s="15"/>
      <c r="K69" s="15"/>
      <c r="L69" s="15"/>
      <c r="M69" s="15"/>
      <c r="N69" s="15"/>
      <c r="O69" s="15"/>
      <c r="P69" s="15"/>
      <c r="Q69" s="15"/>
      <c r="R69" s="16" t="str">
        <f aca="false">IF(A69="","",IF(AND(J69="Y",OR(K69="None",K69="TBC",K69="",L69="N",L69="TBC",L69="")),"Carry to W04 as risk","—"))</f>
        <v/>
      </c>
      <c r="S69" s="16" t="str">
        <f aca="false">IF(A69="","",IF(OR(B69="",C69="",D69="",E69="",F69=""),"Name, source, target, direction, technology needed",IF(AND(COUNTIF(Ref_SYS!$A$2:$A$101,C69)=0,COUNTIF(Ref_SYS!$A$2:$A$101,D69)=0),"No in-scope SYS-ID on either side",IF(AND(J69="Y",K69=""),"Monitoring answer needed",IF(AND(O69="N",Q69=""),"Rationale needed","OK")))))</f>
        <v/>
      </c>
    </row>
    <row r="70" customFormat="false" ht="15" hidden="false" customHeight="false" outlineLevel="0" collapsed="false">
      <c r="A70" s="15"/>
      <c r="B70" s="15"/>
      <c r="C70" s="15"/>
      <c r="D70" s="15"/>
      <c r="E70" s="15"/>
      <c r="F70" s="15"/>
      <c r="G70" s="15"/>
      <c r="H70" s="15"/>
      <c r="I70" s="15"/>
      <c r="J70" s="15"/>
      <c r="K70" s="15"/>
      <c r="L70" s="15"/>
      <c r="M70" s="15"/>
      <c r="N70" s="15"/>
      <c r="O70" s="15"/>
      <c r="P70" s="15"/>
      <c r="Q70" s="15"/>
      <c r="R70" s="16" t="str">
        <f aca="false">IF(A70="","",IF(AND(J70="Y",OR(K70="None",K70="TBC",K70="",L70="N",L70="TBC",L70="")),"Carry to W04 as risk","—"))</f>
        <v/>
      </c>
      <c r="S70" s="16" t="str">
        <f aca="false">IF(A70="","",IF(OR(B70="",C70="",D70="",E70="",F70=""),"Name, source, target, direction, technology needed",IF(AND(COUNTIF(Ref_SYS!$A$2:$A$101,C70)=0,COUNTIF(Ref_SYS!$A$2:$A$101,D70)=0),"No in-scope SYS-ID on either side",IF(AND(J70="Y",K70=""),"Monitoring answer needed",IF(AND(O70="N",Q70=""),"Rationale needed","OK")))))</f>
        <v/>
      </c>
    </row>
    <row r="71" customFormat="false" ht="15" hidden="false" customHeight="false" outlineLevel="0" collapsed="false">
      <c r="A71" s="15"/>
      <c r="B71" s="15"/>
      <c r="C71" s="15"/>
      <c r="D71" s="15"/>
      <c r="E71" s="15"/>
      <c r="F71" s="15"/>
      <c r="G71" s="15"/>
      <c r="H71" s="15"/>
      <c r="I71" s="15"/>
      <c r="J71" s="15"/>
      <c r="K71" s="15"/>
      <c r="L71" s="15"/>
      <c r="M71" s="15"/>
      <c r="N71" s="15"/>
      <c r="O71" s="15"/>
      <c r="P71" s="15"/>
      <c r="Q71" s="15"/>
      <c r="R71" s="16" t="str">
        <f aca="false">IF(A71="","",IF(AND(J71="Y",OR(K71="None",K71="TBC",K71="",L71="N",L71="TBC",L71="")),"Carry to W04 as risk","—"))</f>
        <v/>
      </c>
      <c r="S71" s="16" t="str">
        <f aca="false">IF(A71="","",IF(OR(B71="",C71="",D71="",E71="",F71=""),"Name, source, target, direction, technology needed",IF(AND(COUNTIF(Ref_SYS!$A$2:$A$101,C71)=0,COUNTIF(Ref_SYS!$A$2:$A$101,D71)=0),"No in-scope SYS-ID on either side",IF(AND(J71="Y",K71=""),"Monitoring answer needed",IF(AND(O71="N",Q71=""),"Rationale needed","OK")))))</f>
        <v/>
      </c>
    </row>
    <row r="72" customFormat="false" ht="15" hidden="false" customHeight="false" outlineLevel="0" collapsed="false">
      <c r="A72" s="15"/>
      <c r="B72" s="15"/>
      <c r="C72" s="15"/>
      <c r="D72" s="15"/>
      <c r="E72" s="15"/>
      <c r="F72" s="15"/>
      <c r="G72" s="15"/>
      <c r="H72" s="15"/>
      <c r="I72" s="15"/>
      <c r="J72" s="15"/>
      <c r="K72" s="15"/>
      <c r="L72" s="15"/>
      <c r="M72" s="15"/>
      <c r="N72" s="15"/>
      <c r="O72" s="15"/>
      <c r="P72" s="15"/>
      <c r="Q72" s="15"/>
      <c r="R72" s="16" t="str">
        <f aca="false">IF(A72="","",IF(AND(J72="Y",OR(K72="None",K72="TBC",K72="",L72="N",L72="TBC",L72="")),"Carry to W04 as risk","—"))</f>
        <v/>
      </c>
      <c r="S72" s="16" t="str">
        <f aca="false">IF(A72="","",IF(OR(B72="",C72="",D72="",E72="",F72=""),"Name, source, target, direction, technology needed",IF(AND(COUNTIF(Ref_SYS!$A$2:$A$101,C72)=0,COUNTIF(Ref_SYS!$A$2:$A$101,D72)=0),"No in-scope SYS-ID on either side",IF(AND(J72="Y",K72=""),"Monitoring answer needed",IF(AND(O72="N",Q72=""),"Rationale needed","OK")))))</f>
        <v/>
      </c>
    </row>
    <row r="73" customFormat="false" ht="15" hidden="false" customHeight="false" outlineLevel="0" collapsed="false">
      <c r="A73" s="15"/>
      <c r="B73" s="15"/>
      <c r="C73" s="15"/>
      <c r="D73" s="15"/>
      <c r="E73" s="15"/>
      <c r="F73" s="15"/>
      <c r="G73" s="15"/>
      <c r="H73" s="15"/>
      <c r="I73" s="15"/>
      <c r="J73" s="15"/>
      <c r="K73" s="15"/>
      <c r="L73" s="15"/>
      <c r="M73" s="15"/>
      <c r="N73" s="15"/>
      <c r="O73" s="15"/>
      <c r="P73" s="15"/>
      <c r="Q73" s="15"/>
      <c r="R73" s="16" t="str">
        <f aca="false">IF(A73="","",IF(AND(J73="Y",OR(K73="None",K73="TBC",K73="",L73="N",L73="TBC",L73="")),"Carry to W04 as risk","—"))</f>
        <v/>
      </c>
      <c r="S73" s="16" t="str">
        <f aca="false">IF(A73="","",IF(OR(B73="",C73="",D73="",E73="",F73=""),"Name, source, target, direction, technology needed",IF(AND(COUNTIF(Ref_SYS!$A$2:$A$101,C73)=0,COUNTIF(Ref_SYS!$A$2:$A$101,D73)=0),"No in-scope SYS-ID on either side",IF(AND(J73="Y",K73=""),"Monitoring answer needed",IF(AND(O73="N",Q73=""),"Rationale needed","OK")))))</f>
        <v/>
      </c>
    </row>
    <row r="74" customFormat="false" ht="15" hidden="false" customHeight="false" outlineLevel="0" collapsed="false">
      <c r="A74" s="15"/>
      <c r="B74" s="15"/>
      <c r="C74" s="15"/>
      <c r="D74" s="15"/>
      <c r="E74" s="15"/>
      <c r="F74" s="15"/>
      <c r="G74" s="15"/>
      <c r="H74" s="15"/>
      <c r="I74" s="15"/>
      <c r="J74" s="15"/>
      <c r="K74" s="15"/>
      <c r="L74" s="15"/>
      <c r="M74" s="15"/>
      <c r="N74" s="15"/>
      <c r="O74" s="15"/>
      <c r="P74" s="15"/>
      <c r="Q74" s="15"/>
      <c r="R74" s="16" t="str">
        <f aca="false">IF(A74="","",IF(AND(J74="Y",OR(K74="None",K74="TBC",K74="",L74="N",L74="TBC",L74="")),"Carry to W04 as risk","—"))</f>
        <v/>
      </c>
      <c r="S74" s="16" t="str">
        <f aca="false">IF(A74="","",IF(OR(B74="",C74="",D74="",E74="",F74=""),"Name, source, target, direction, technology needed",IF(AND(COUNTIF(Ref_SYS!$A$2:$A$101,C74)=0,COUNTIF(Ref_SYS!$A$2:$A$101,D74)=0),"No in-scope SYS-ID on either side",IF(AND(J74="Y",K74=""),"Monitoring answer needed",IF(AND(O74="N",Q74=""),"Rationale needed","OK")))))</f>
        <v/>
      </c>
    </row>
    <row r="75" customFormat="false" ht="15" hidden="false" customHeight="false" outlineLevel="0" collapsed="false">
      <c r="A75" s="15"/>
      <c r="B75" s="15"/>
      <c r="C75" s="15"/>
      <c r="D75" s="15"/>
      <c r="E75" s="15"/>
      <c r="F75" s="15"/>
      <c r="G75" s="15"/>
      <c r="H75" s="15"/>
      <c r="I75" s="15"/>
      <c r="J75" s="15"/>
      <c r="K75" s="15"/>
      <c r="L75" s="15"/>
      <c r="M75" s="15"/>
      <c r="N75" s="15"/>
      <c r="O75" s="15"/>
      <c r="P75" s="15"/>
      <c r="Q75" s="15"/>
      <c r="R75" s="16" t="str">
        <f aca="false">IF(A75="","",IF(AND(J75="Y",OR(K75="None",K75="TBC",K75="",L75="N",L75="TBC",L75="")),"Carry to W04 as risk","—"))</f>
        <v/>
      </c>
      <c r="S75" s="16" t="str">
        <f aca="false">IF(A75="","",IF(OR(B75="",C75="",D75="",E75="",F75=""),"Name, source, target, direction, technology needed",IF(AND(COUNTIF(Ref_SYS!$A$2:$A$101,C75)=0,COUNTIF(Ref_SYS!$A$2:$A$101,D75)=0),"No in-scope SYS-ID on either side",IF(AND(J75="Y",K75=""),"Monitoring answer needed",IF(AND(O75="N",Q75=""),"Rationale needed","OK")))))</f>
        <v/>
      </c>
    </row>
    <row r="76" customFormat="false" ht="15" hidden="false" customHeight="false" outlineLevel="0" collapsed="false">
      <c r="A76" s="15"/>
      <c r="B76" s="15"/>
      <c r="C76" s="15"/>
      <c r="D76" s="15"/>
      <c r="E76" s="15"/>
      <c r="F76" s="15"/>
      <c r="G76" s="15"/>
      <c r="H76" s="15"/>
      <c r="I76" s="15"/>
      <c r="J76" s="15"/>
      <c r="K76" s="15"/>
      <c r="L76" s="15"/>
      <c r="M76" s="15"/>
      <c r="N76" s="15"/>
      <c r="O76" s="15"/>
      <c r="P76" s="15"/>
      <c r="Q76" s="15"/>
      <c r="R76" s="16" t="str">
        <f aca="false">IF(A76="","",IF(AND(J76="Y",OR(K76="None",K76="TBC",K76="",L76="N",L76="TBC",L76="")),"Carry to W04 as risk","—"))</f>
        <v/>
      </c>
      <c r="S76" s="16" t="str">
        <f aca="false">IF(A76="","",IF(OR(B76="",C76="",D76="",E76="",F76=""),"Name, source, target, direction, technology needed",IF(AND(COUNTIF(Ref_SYS!$A$2:$A$101,C76)=0,COUNTIF(Ref_SYS!$A$2:$A$101,D76)=0),"No in-scope SYS-ID on either side",IF(AND(J76="Y",K76=""),"Monitoring answer needed",IF(AND(O76="N",Q76=""),"Rationale needed","OK")))))</f>
        <v/>
      </c>
    </row>
    <row r="77" customFormat="false" ht="15" hidden="false" customHeight="false" outlineLevel="0" collapsed="false">
      <c r="A77" s="15"/>
      <c r="B77" s="15"/>
      <c r="C77" s="15"/>
      <c r="D77" s="15"/>
      <c r="E77" s="15"/>
      <c r="F77" s="15"/>
      <c r="G77" s="15"/>
      <c r="H77" s="15"/>
      <c r="I77" s="15"/>
      <c r="J77" s="15"/>
      <c r="K77" s="15"/>
      <c r="L77" s="15"/>
      <c r="M77" s="15"/>
      <c r="N77" s="15"/>
      <c r="O77" s="15"/>
      <c r="P77" s="15"/>
      <c r="Q77" s="15"/>
      <c r="R77" s="16" t="str">
        <f aca="false">IF(A77="","",IF(AND(J77="Y",OR(K77="None",K77="TBC",K77="",L77="N",L77="TBC",L77="")),"Carry to W04 as risk","—"))</f>
        <v/>
      </c>
      <c r="S77" s="16" t="str">
        <f aca="false">IF(A77="","",IF(OR(B77="",C77="",D77="",E77="",F77=""),"Name, source, target, direction, technology needed",IF(AND(COUNTIF(Ref_SYS!$A$2:$A$101,C77)=0,COUNTIF(Ref_SYS!$A$2:$A$101,D77)=0),"No in-scope SYS-ID on either side",IF(AND(J77="Y",K77=""),"Monitoring answer needed",IF(AND(O77="N",Q77=""),"Rationale needed","OK")))))</f>
        <v/>
      </c>
    </row>
    <row r="78" customFormat="false" ht="15" hidden="false" customHeight="false" outlineLevel="0" collapsed="false">
      <c r="A78" s="15"/>
      <c r="B78" s="15"/>
      <c r="C78" s="15"/>
      <c r="D78" s="15"/>
      <c r="E78" s="15"/>
      <c r="F78" s="15"/>
      <c r="G78" s="15"/>
      <c r="H78" s="15"/>
      <c r="I78" s="15"/>
      <c r="J78" s="15"/>
      <c r="K78" s="15"/>
      <c r="L78" s="15"/>
      <c r="M78" s="15"/>
      <c r="N78" s="15"/>
      <c r="O78" s="15"/>
      <c r="P78" s="15"/>
      <c r="Q78" s="15"/>
      <c r="R78" s="16" t="str">
        <f aca="false">IF(A78="","",IF(AND(J78="Y",OR(K78="None",K78="TBC",K78="",L78="N",L78="TBC",L78="")),"Carry to W04 as risk","—"))</f>
        <v/>
      </c>
      <c r="S78" s="16" t="str">
        <f aca="false">IF(A78="","",IF(OR(B78="",C78="",D78="",E78="",F78=""),"Name, source, target, direction, technology needed",IF(AND(COUNTIF(Ref_SYS!$A$2:$A$101,C78)=0,COUNTIF(Ref_SYS!$A$2:$A$101,D78)=0),"No in-scope SYS-ID on either side",IF(AND(J78="Y",K78=""),"Monitoring answer needed",IF(AND(O78="N",Q78=""),"Rationale needed","OK")))))</f>
        <v/>
      </c>
    </row>
    <row r="79" customFormat="false" ht="15" hidden="false" customHeight="false" outlineLevel="0" collapsed="false">
      <c r="A79" s="15"/>
      <c r="B79" s="15"/>
      <c r="C79" s="15"/>
      <c r="D79" s="15"/>
      <c r="E79" s="15"/>
      <c r="F79" s="15"/>
      <c r="G79" s="15"/>
      <c r="H79" s="15"/>
      <c r="I79" s="15"/>
      <c r="J79" s="15"/>
      <c r="K79" s="15"/>
      <c r="L79" s="15"/>
      <c r="M79" s="15"/>
      <c r="N79" s="15"/>
      <c r="O79" s="15"/>
      <c r="P79" s="15"/>
      <c r="Q79" s="15"/>
      <c r="R79" s="16" t="str">
        <f aca="false">IF(A79="","",IF(AND(J79="Y",OR(K79="None",K79="TBC",K79="",L79="N",L79="TBC",L79="")),"Carry to W04 as risk","—"))</f>
        <v/>
      </c>
      <c r="S79" s="16" t="str">
        <f aca="false">IF(A79="","",IF(OR(B79="",C79="",D79="",E79="",F79=""),"Name, source, target, direction, technology needed",IF(AND(COUNTIF(Ref_SYS!$A$2:$A$101,C79)=0,COUNTIF(Ref_SYS!$A$2:$A$101,D79)=0),"No in-scope SYS-ID on either side",IF(AND(J79="Y",K79=""),"Monitoring answer needed",IF(AND(O79="N",Q79=""),"Rationale needed","OK")))))</f>
        <v/>
      </c>
    </row>
    <row r="80" customFormat="false" ht="15" hidden="false" customHeight="false" outlineLevel="0" collapsed="false">
      <c r="A80" s="15"/>
      <c r="B80" s="15"/>
      <c r="C80" s="15"/>
      <c r="D80" s="15"/>
      <c r="E80" s="15"/>
      <c r="F80" s="15"/>
      <c r="G80" s="15"/>
      <c r="H80" s="15"/>
      <c r="I80" s="15"/>
      <c r="J80" s="15"/>
      <c r="K80" s="15"/>
      <c r="L80" s="15"/>
      <c r="M80" s="15"/>
      <c r="N80" s="15"/>
      <c r="O80" s="15"/>
      <c r="P80" s="15"/>
      <c r="Q80" s="15"/>
      <c r="R80" s="16" t="str">
        <f aca="false">IF(A80="","",IF(AND(J80="Y",OR(K80="None",K80="TBC",K80="",L80="N",L80="TBC",L80="")),"Carry to W04 as risk","—"))</f>
        <v/>
      </c>
      <c r="S80" s="16" t="str">
        <f aca="false">IF(A80="","",IF(OR(B80="",C80="",D80="",E80="",F80=""),"Name, source, target, direction, technology needed",IF(AND(COUNTIF(Ref_SYS!$A$2:$A$101,C80)=0,COUNTIF(Ref_SYS!$A$2:$A$101,D80)=0),"No in-scope SYS-ID on either side",IF(AND(J80="Y",K80=""),"Monitoring answer needed",IF(AND(O80="N",Q80=""),"Rationale needed","OK")))))</f>
        <v/>
      </c>
    </row>
    <row r="81" customFormat="false" ht="15" hidden="false" customHeight="false" outlineLevel="0" collapsed="false">
      <c r="A81" s="15"/>
      <c r="B81" s="15"/>
      <c r="C81" s="15"/>
      <c r="D81" s="15"/>
      <c r="E81" s="15"/>
      <c r="F81" s="15"/>
      <c r="G81" s="15"/>
      <c r="H81" s="15"/>
      <c r="I81" s="15"/>
      <c r="J81" s="15"/>
      <c r="K81" s="15"/>
      <c r="L81" s="15"/>
      <c r="M81" s="15"/>
      <c r="N81" s="15"/>
      <c r="O81" s="15"/>
      <c r="P81" s="15"/>
      <c r="Q81" s="15"/>
      <c r="R81" s="16" t="str">
        <f aca="false">IF(A81="","",IF(AND(J81="Y",OR(K81="None",K81="TBC",K81="",L81="N",L81="TBC",L81="")),"Carry to W04 as risk","—"))</f>
        <v/>
      </c>
      <c r="S81" s="16" t="str">
        <f aca="false">IF(A81="","",IF(OR(B81="",C81="",D81="",E81="",F81=""),"Name, source, target, direction, technology needed",IF(AND(COUNTIF(Ref_SYS!$A$2:$A$101,C81)=0,COUNTIF(Ref_SYS!$A$2:$A$101,D81)=0),"No in-scope SYS-ID on either side",IF(AND(J81="Y",K81=""),"Monitoring answer needed",IF(AND(O81="N",Q81=""),"Rationale needed","OK")))))</f>
        <v/>
      </c>
    </row>
    <row r="82" customFormat="false" ht="15" hidden="false" customHeight="false" outlineLevel="0" collapsed="false">
      <c r="A82" s="15"/>
      <c r="B82" s="15"/>
      <c r="C82" s="15"/>
      <c r="D82" s="15"/>
      <c r="E82" s="15"/>
      <c r="F82" s="15"/>
      <c r="G82" s="15"/>
      <c r="H82" s="15"/>
      <c r="I82" s="15"/>
      <c r="J82" s="15"/>
      <c r="K82" s="15"/>
      <c r="L82" s="15"/>
      <c r="M82" s="15"/>
      <c r="N82" s="15"/>
      <c r="O82" s="15"/>
      <c r="P82" s="15"/>
      <c r="Q82" s="15"/>
      <c r="R82" s="16" t="str">
        <f aca="false">IF(A82="","",IF(AND(J82="Y",OR(K82="None",K82="TBC",K82="",L82="N",L82="TBC",L82="")),"Carry to W04 as risk","—"))</f>
        <v/>
      </c>
      <c r="S82" s="16" t="str">
        <f aca="false">IF(A82="","",IF(OR(B82="",C82="",D82="",E82="",F82=""),"Name, source, target, direction, technology needed",IF(AND(COUNTIF(Ref_SYS!$A$2:$A$101,C82)=0,COUNTIF(Ref_SYS!$A$2:$A$101,D82)=0),"No in-scope SYS-ID on either side",IF(AND(J82="Y",K82=""),"Monitoring answer needed",IF(AND(O82="N",Q82=""),"Rationale needed","OK")))))</f>
        <v/>
      </c>
    </row>
    <row r="83" customFormat="false" ht="15" hidden="false" customHeight="false" outlineLevel="0" collapsed="false">
      <c r="A83" s="15"/>
      <c r="B83" s="15"/>
      <c r="C83" s="15"/>
      <c r="D83" s="15"/>
      <c r="E83" s="15"/>
      <c r="F83" s="15"/>
      <c r="G83" s="15"/>
      <c r="H83" s="15"/>
      <c r="I83" s="15"/>
      <c r="J83" s="15"/>
      <c r="K83" s="15"/>
      <c r="L83" s="15"/>
      <c r="M83" s="15"/>
      <c r="N83" s="15"/>
      <c r="O83" s="15"/>
      <c r="P83" s="15"/>
      <c r="Q83" s="15"/>
      <c r="R83" s="16" t="str">
        <f aca="false">IF(A83="","",IF(AND(J83="Y",OR(K83="None",K83="TBC",K83="",L83="N",L83="TBC",L83="")),"Carry to W04 as risk","—"))</f>
        <v/>
      </c>
      <c r="S83" s="16" t="str">
        <f aca="false">IF(A83="","",IF(OR(B83="",C83="",D83="",E83="",F83=""),"Name, source, target, direction, technology needed",IF(AND(COUNTIF(Ref_SYS!$A$2:$A$101,C83)=0,COUNTIF(Ref_SYS!$A$2:$A$101,D83)=0),"No in-scope SYS-ID on either side",IF(AND(J83="Y",K83=""),"Monitoring answer needed",IF(AND(O83="N",Q83=""),"Rationale needed","OK")))))</f>
        <v/>
      </c>
    </row>
    <row r="84" customFormat="false" ht="15" hidden="false" customHeight="false" outlineLevel="0" collapsed="false">
      <c r="A84" s="15"/>
      <c r="B84" s="15"/>
      <c r="C84" s="15"/>
      <c r="D84" s="15"/>
      <c r="E84" s="15"/>
      <c r="F84" s="15"/>
      <c r="G84" s="15"/>
      <c r="H84" s="15"/>
      <c r="I84" s="15"/>
      <c r="J84" s="15"/>
      <c r="K84" s="15"/>
      <c r="L84" s="15"/>
      <c r="M84" s="15"/>
      <c r="N84" s="15"/>
      <c r="O84" s="15"/>
      <c r="P84" s="15"/>
      <c r="Q84" s="15"/>
      <c r="R84" s="16" t="str">
        <f aca="false">IF(A84="","",IF(AND(J84="Y",OR(K84="None",K84="TBC",K84="",L84="N",L84="TBC",L84="")),"Carry to W04 as risk","—"))</f>
        <v/>
      </c>
      <c r="S84" s="16" t="str">
        <f aca="false">IF(A84="","",IF(OR(B84="",C84="",D84="",E84="",F84=""),"Name, source, target, direction, technology needed",IF(AND(COUNTIF(Ref_SYS!$A$2:$A$101,C84)=0,COUNTIF(Ref_SYS!$A$2:$A$101,D84)=0),"No in-scope SYS-ID on either side",IF(AND(J84="Y",K84=""),"Monitoring answer needed",IF(AND(O84="N",Q84=""),"Rationale needed","OK")))))</f>
        <v/>
      </c>
    </row>
    <row r="85" customFormat="false" ht="15" hidden="false" customHeight="false" outlineLevel="0" collapsed="false">
      <c r="A85" s="15"/>
      <c r="B85" s="15"/>
      <c r="C85" s="15"/>
      <c r="D85" s="15"/>
      <c r="E85" s="15"/>
      <c r="F85" s="15"/>
      <c r="G85" s="15"/>
      <c r="H85" s="15"/>
      <c r="I85" s="15"/>
      <c r="J85" s="15"/>
      <c r="K85" s="15"/>
      <c r="L85" s="15"/>
      <c r="M85" s="15"/>
      <c r="N85" s="15"/>
      <c r="O85" s="15"/>
      <c r="P85" s="15"/>
      <c r="Q85" s="15"/>
      <c r="R85" s="16" t="str">
        <f aca="false">IF(A85="","",IF(AND(J85="Y",OR(K85="None",K85="TBC",K85="",L85="N",L85="TBC",L85="")),"Carry to W04 as risk","—"))</f>
        <v/>
      </c>
      <c r="S85" s="16" t="str">
        <f aca="false">IF(A85="","",IF(OR(B85="",C85="",D85="",E85="",F85=""),"Name, source, target, direction, technology needed",IF(AND(COUNTIF(Ref_SYS!$A$2:$A$101,C85)=0,COUNTIF(Ref_SYS!$A$2:$A$101,D85)=0),"No in-scope SYS-ID on either side",IF(AND(J85="Y",K85=""),"Monitoring answer needed",IF(AND(O85="N",Q85=""),"Rationale needed","OK")))))</f>
        <v/>
      </c>
    </row>
    <row r="86" customFormat="false" ht="15" hidden="false" customHeight="false" outlineLevel="0" collapsed="false">
      <c r="A86" s="15"/>
      <c r="B86" s="15"/>
      <c r="C86" s="15"/>
      <c r="D86" s="15"/>
      <c r="E86" s="15"/>
      <c r="F86" s="15"/>
      <c r="G86" s="15"/>
      <c r="H86" s="15"/>
      <c r="I86" s="15"/>
      <c r="J86" s="15"/>
      <c r="K86" s="15"/>
      <c r="L86" s="15"/>
      <c r="M86" s="15"/>
      <c r="N86" s="15"/>
      <c r="O86" s="15"/>
      <c r="P86" s="15"/>
      <c r="Q86" s="15"/>
      <c r="R86" s="16" t="str">
        <f aca="false">IF(A86="","",IF(AND(J86="Y",OR(K86="None",K86="TBC",K86="",L86="N",L86="TBC",L86="")),"Carry to W04 as risk","—"))</f>
        <v/>
      </c>
      <c r="S86" s="16" t="str">
        <f aca="false">IF(A86="","",IF(OR(B86="",C86="",D86="",E86="",F86=""),"Name, source, target, direction, technology needed",IF(AND(COUNTIF(Ref_SYS!$A$2:$A$101,C86)=0,COUNTIF(Ref_SYS!$A$2:$A$101,D86)=0),"No in-scope SYS-ID on either side",IF(AND(J86="Y",K86=""),"Monitoring answer needed",IF(AND(O86="N",Q86=""),"Rationale needed","OK")))))</f>
        <v/>
      </c>
    </row>
    <row r="87" customFormat="false" ht="15" hidden="false" customHeight="false" outlineLevel="0" collapsed="false">
      <c r="A87" s="15"/>
      <c r="B87" s="15"/>
      <c r="C87" s="15"/>
      <c r="D87" s="15"/>
      <c r="E87" s="15"/>
      <c r="F87" s="15"/>
      <c r="G87" s="15"/>
      <c r="H87" s="15"/>
      <c r="I87" s="15"/>
      <c r="J87" s="15"/>
      <c r="K87" s="15"/>
      <c r="L87" s="15"/>
      <c r="M87" s="15"/>
      <c r="N87" s="15"/>
      <c r="O87" s="15"/>
      <c r="P87" s="15"/>
      <c r="Q87" s="15"/>
      <c r="R87" s="16" t="str">
        <f aca="false">IF(A87="","",IF(AND(J87="Y",OR(K87="None",K87="TBC",K87="",L87="N",L87="TBC",L87="")),"Carry to W04 as risk","—"))</f>
        <v/>
      </c>
      <c r="S87" s="16" t="str">
        <f aca="false">IF(A87="","",IF(OR(B87="",C87="",D87="",E87="",F87=""),"Name, source, target, direction, technology needed",IF(AND(COUNTIF(Ref_SYS!$A$2:$A$101,C87)=0,COUNTIF(Ref_SYS!$A$2:$A$101,D87)=0),"No in-scope SYS-ID on either side",IF(AND(J87="Y",K87=""),"Monitoring answer needed",IF(AND(O87="N",Q87=""),"Rationale needed","OK")))))</f>
        <v/>
      </c>
    </row>
    <row r="88" customFormat="false" ht="15" hidden="false" customHeight="false" outlineLevel="0" collapsed="false">
      <c r="A88" s="15"/>
      <c r="B88" s="15"/>
      <c r="C88" s="15"/>
      <c r="D88" s="15"/>
      <c r="E88" s="15"/>
      <c r="F88" s="15"/>
      <c r="G88" s="15"/>
      <c r="H88" s="15"/>
      <c r="I88" s="15"/>
      <c r="J88" s="15"/>
      <c r="K88" s="15"/>
      <c r="L88" s="15"/>
      <c r="M88" s="15"/>
      <c r="N88" s="15"/>
      <c r="O88" s="15"/>
      <c r="P88" s="15"/>
      <c r="Q88" s="15"/>
      <c r="R88" s="16" t="str">
        <f aca="false">IF(A88="","",IF(AND(J88="Y",OR(K88="None",K88="TBC",K88="",L88="N",L88="TBC",L88="")),"Carry to W04 as risk","—"))</f>
        <v/>
      </c>
      <c r="S88" s="16" t="str">
        <f aca="false">IF(A88="","",IF(OR(B88="",C88="",D88="",E88="",F88=""),"Name, source, target, direction, technology needed",IF(AND(COUNTIF(Ref_SYS!$A$2:$A$101,C88)=0,COUNTIF(Ref_SYS!$A$2:$A$101,D88)=0),"No in-scope SYS-ID on either side",IF(AND(J88="Y",K88=""),"Monitoring answer needed",IF(AND(O88="N",Q88=""),"Rationale needed","OK")))))</f>
        <v/>
      </c>
    </row>
    <row r="89" customFormat="false" ht="15" hidden="false" customHeight="false" outlineLevel="0" collapsed="false">
      <c r="A89" s="15"/>
      <c r="B89" s="15"/>
      <c r="C89" s="15"/>
      <c r="D89" s="15"/>
      <c r="E89" s="15"/>
      <c r="F89" s="15"/>
      <c r="G89" s="15"/>
      <c r="H89" s="15"/>
      <c r="I89" s="15"/>
      <c r="J89" s="15"/>
      <c r="K89" s="15"/>
      <c r="L89" s="15"/>
      <c r="M89" s="15"/>
      <c r="N89" s="15"/>
      <c r="O89" s="15"/>
      <c r="P89" s="15"/>
      <c r="Q89" s="15"/>
      <c r="R89" s="16" t="str">
        <f aca="false">IF(A89="","",IF(AND(J89="Y",OR(K89="None",K89="TBC",K89="",L89="N",L89="TBC",L89="")),"Carry to W04 as risk","—"))</f>
        <v/>
      </c>
      <c r="S89" s="16" t="str">
        <f aca="false">IF(A89="","",IF(OR(B89="",C89="",D89="",E89="",F89=""),"Name, source, target, direction, technology needed",IF(AND(COUNTIF(Ref_SYS!$A$2:$A$101,C89)=0,COUNTIF(Ref_SYS!$A$2:$A$101,D89)=0),"No in-scope SYS-ID on either side",IF(AND(J89="Y",K89=""),"Monitoring answer needed",IF(AND(O89="N",Q89=""),"Rationale needed","OK")))))</f>
        <v/>
      </c>
    </row>
    <row r="90" customFormat="false" ht="15" hidden="false" customHeight="false" outlineLevel="0" collapsed="false">
      <c r="A90" s="15"/>
      <c r="B90" s="15"/>
      <c r="C90" s="15"/>
      <c r="D90" s="15"/>
      <c r="E90" s="15"/>
      <c r="F90" s="15"/>
      <c r="G90" s="15"/>
      <c r="H90" s="15"/>
      <c r="I90" s="15"/>
      <c r="J90" s="15"/>
      <c r="K90" s="15"/>
      <c r="L90" s="15"/>
      <c r="M90" s="15"/>
      <c r="N90" s="15"/>
      <c r="O90" s="15"/>
      <c r="P90" s="15"/>
      <c r="Q90" s="15"/>
      <c r="R90" s="16" t="str">
        <f aca="false">IF(A90="","",IF(AND(J90="Y",OR(K90="None",K90="TBC",K90="",L90="N",L90="TBC",L90="")),"Carry to W04 as risk","—"))</f>
        <v/>
      </c>
      <c r="S90" s="16" t="str">
        <f aca="false">IF(A90="","",IF(OR(B90="",C90="",D90="",E90="",F90=""),"Name, source, target, direction, technology needed",IF(AND(COUNTIF(Ref_SYS!$A$2:$A$101,C90)=0,COUNTIF(Ref_SYS!$A$2:$A$101,D90)=0),"No in-scope SYS-ID on either side",IF(AND(J90="Y",K90=""),"Monitoring answer needed",IF(AND(O90="N",Q90=""),"Rationale needed","OK")))))</f>
        <v/>
      </c>
    </row>
    <row r="91" customFormat="false" ht="15" hidden="false" customHeight="false" outlineLevel="0" collapsed="false">
      <c r="A91" s="15"/>
      <c r="B91" s="15"/>
      <c r="C91" s="15"/>
      <c r="D91" s="15"/>
      <c r="E91" s="15"/>
      <c r="F91" s="15"/>
      <c r="G91" s="15"/>
      <c r="H91" s="15"/>
      <c r="I91" s="15"/>
      <c r="J91" s="15"/>
      <c r="K91" s="15"/>
      <c r="L91" s="15"/>
      <c r="M91" s="15"/>
      <c r="N91" s="15"/>
      <c r="O91" s="15"/>
      <c r="P91" s="15"/>
      <c r="Q91" s="15"/>
      <c r="R91" s="16" t="str">
        <f aca="false">IF(A91="","",IF(AND(J91="Y",OR(K91="None",K91="TBC",K91="",L91="N",L91="TBC",L91="")),"Carry to W04 as risk","—"))</f>
        <v/>
      </c>
      <c r="S91" s="16" t="str">
        <f aca="false">IF(A91="","",IF(OR(B91="",C91="",D91="",E91="",F91=""),"Name, source, target, direction, technology needed",IF(AND(COUNTIF(Ref_SYS!$A$2:$A$101,C91)=0,COUNTIF(Ref_SYS!$A$2:$A$101,D91)=0),"No in-scope SYS-ID on either side",IF(AND(J91="Y",K91=""),"Monitoring answer needed",IF(AND(O91="N",Q91=""),"Rationale needed","OK")))))</f>
        <v/>
      </c>
    </row>
    <row r="92" customFormat="false" ht="15" hidden="false" customHeight="false" outlineLevel="0" collapsed="false">
      <c r="A92" s="15"/>
      <c r="B92" s="15"/>
      <c r="C92" s="15"/>
      <c r="D92" s="15"/>
      <c r="E92" s="15"/>
      <c r="F92" s="15"/>
      <c r="G92" s="15"/>
      <c r="H92" s="15"/>
      <c r="I92" s="15"/>
      <c r="J92" s="15"/>
      <c r="K92" s="15"/>
      <c r="L92" s="15"/>
      <c r="M92" s="15"/>
      <c r="N92" s="15"/>
      <c r="O92" s="15"/>
      <c r="P92" s="15"/>
      <c r="Q92" s="15"/>
      <c r="R92" s="16" t="str">
        <f aca="false">IF(A92="","",IF(AND(J92="Y",OR(K92="None",K92="TBC",K92="",L92="N",L92="TBC",L92="")),"Carry to W04 as risk","—"))</f>
        <v/>
      </c>
      <c r="S92" s="16" t="str">
        <f aca="false">IF(A92="","",IF(OR(B92="",C92="",D92="",E92="",F92=""),"Name, source, target, direction, technology needed",IF(AND(COUNTIF(Ref_SYS!$A$2:$A$101,C92)=0,COUNTIF(Ref_SYS!$A$2:$A$101,D92)=0),"No in-scope SYS-ID on either side",IF(AND(J92="Y",K92=""),"Monitoring answer needed",IF(AND(O92="N",Q92=""),"Rationale needed","OK")))))</f>
        <v/>
      </c>
    </row>
    <row r="93" customFormat="false" ht="15" hidden="false" customHeight="false" outlineLevel="0" collapsed="false">
      <c r="A93" s="15"/>
      <c r="B93" s="15"/>
      <c r="C93" s="15"/>
      <c r="D93" s="15"/>
      <c r="E93" s="15"/>
      <c r="F93" s="15"/>
      <c r="G93" s="15"/>
      <c r="H93" s="15"/>
      <c r="I93" s="15"/>
      <c r="J93" s="15"/>
      <c r="K93" s="15"/>
      <c r="L93" s="15"/>
      <c r="M93" s="15"/>
      <c r="N93" s="15"/>
      <c r="O93" s="15"/>
      <c r="P93" s="15"/>
      <c r="Q93" s="15"/>
      <c r="R93" s="16" t="str">
        <f aca="false">IF(A93="","",IF(AND(J93="Y",OR(K93="None",K93="TBC",K93="",L93="N",L93="TBC",L93="")),"Carry to W04 as risk","—"))</f>
        <v/>
      </c>
      <c r="S93" s="16" t="str">
        <f aca="false">IF(A93="","",IF(OR(B93="",C93="",D93="",E93="",F93=""),"Name, source, target, direction, technology needed",IF(AND(COUNTIF(Ref_SYS!$A$2:$A$101,C93)=0,COUNTIF(Ref_SYS!$A$2:$A$101,D93)=0),"No in-scope SYS-ID on either side",IF(AND(J93="Y",K93=""),"Monitoring answer needed",IF(AND(O93="N",Q93=""),"Rationale needed","OK")))))</f>
        <v/>
      </c>
    </row>
    <row r="94" customFormat="false" ht="15" hidden="false" customHeight="false" outlineLevel="0" collapsed="false">
      <c r="A94" s="15"/>
      <c r="B94" s="15"/>
      <c r="C94" s="15"/>
      <c r="D94" s="15"/>
      <c r="E94" s="15"/>
      <c r="F94" s="15"/>
      <c r="G94" s="15"/>
      <c r="H94" s="15"/>
      <c r="I94" s="15"/>
      <c r="J94" s="15"/>
      <c r="K94" s="15"/>
      <c r="L94" s="15"/>
      <c r="M94" s="15"/>
      <c r="N94" s="15"/>
      <c r="O94" s="15"/>
      <c r="P94" s="15"/>
      <c r="Q94" s="15"/>
      <c r="R94" s="16" t="str">
        <f aca="false">IF(A94="","",IF(AND(J94="Y",OR(K94="None",K94="TBC",K94="",L94="N",L94="TBC",L94="")),"Carry to W04 as risk","—"))</f>
        <v/>
      </c>
      <c r="S94" s="16" t="str">
        <f aca="false">IF(A94="","",IF(OR(B94="",C94="",D94="",E94="",F94=""),"Name, source, target, direction, technology needed",IF(AND(COUNTIF(Ref_SYS!$A$2:$A$101,C94)=0,COUNTIF(Ref_SYS!$A$2:$A$101,D94)=0),"No in-scope SYS-ID on either side",IF(AND(J94="Y",K94=""),"Monitoring answer needed",IF(AND(O94="N",Q94=""),"Rationale needed","OK")))))</f>
        <v/>
      </c>
    </row>
    <row r="95" customFormat="false" ht="15" hidden="false" customHeight="false" outlineLevel="0" collapsed="false">
      <c r="A95" s="15"/>
      <c r="B95" s="15"/>
      <c r="C95" s="15"/>
      <c r="D95" s="15"/>
      <c r="E95" s="15"/>
      <c r="F95" s="15"/>
      <c r="G95" s="15"/>
      <c r="H95" s="15"/>
      <c r="I95" s="15"/>
      <c r="J95" s="15"/>
      <c r="K95" s="15"/>
      <c r="L95" s="15"/>
      <c r="M95" s="15"/>
      <c r="N95" s="15"/>
      <c r="O95" s="15"/>
      <c r="P95" s="15"/>
      <c r="Q95" s="15"/>
      <c r="R95" s="16" t="str">
        <f aca="false">IF(A95="","",IF(AND(J95="Y",OR(K95="None",K95="TBC",K95="",L95="N",L95="TBC",L95="")),"Carry to W04 as risk","—"))</f>
        <v/>
      </c>
      <c r="S95" s="16" t="str">
        <f aca="false">IF(A95="","",IF(OR(B95="",C95="",D95="",E95="",F95=""),"Name, source, target, direction, technology needed",IF(AND(COUNTIF(Ref_SYS!$A$2:$A$101,C95)=0,COUNTIF(Ref_SYS!$A$2:$A$101,D95)=0),"No in-scope SYS-ID on either side",IF(AND(J95="Y",K95=""),"Monitoring answer needed",IF(AND(O95="N",Q95=""),"Rationale needed","OK")))))</f>
        <v/>
      </c>
    </row>
    <row r="96" customFormat="false" ht="15" hidden="false" customHeight="false" outlineLevel="0" collapsed="false">
      <c r="A96" s="15"/>
      <c r="B96" s="15"/>
      <c r="C96" s="15"/>
      <c r="D96" s="15"/>
      <c r="E96" s="15"/>
      <c r="F96" s="15"/>
      <c r="G96" s="15"/>
      <c r="H96" s="15"/>
      <c r="I96" s="15"/>
      <c r="J96" s="15"/>
      <c r="K96" s="15"/>
      <c r="L96" s="15"/>
      <c r="M96" s="15"/>
      <c r="N96" s="15"/>
      <c r="O96" s="15"/>
      <c r="P96" s="15"/>
      <c r="Q96" s="15"/>
      <c r="R96" s="16" t="str">
        <f aca="false">IF(A96="","",IF(AND(J96="Y",OR(K96="None",K96="TBC",K96="",L96="N",L96="TBC",L96="")),"Carry to W04 as risk","—"))</f>
        <v/>
      </c>
      <c r="S96" s="16" t="str">
        <f aca="false">IF(A96="","",IF(OR(B96="",C96="",D96="",E96="",F96=""),"Name, source, target, direction, technology needed",IF(AND(COUNTIF(Ref_SYS!$A$2:$A$101,C96)=0,COUNTIF(Ref_SYS!$A$2:$A$101,D96)=0),"No in-scope SYS-ID on either side",IF(AND(J96="Y",K96=""),"Monitoring answer needed",IF(AND(O96="N",Q96=""),"Rationale needed","OK")))))</f>
        <v/>
      </c>
    </row>
    <row r="97" customFormat="false" ht="15" hidden="false" customHeight="false" outlineLevel="0" collapsed="false">
      <c r="A97" s="15"/>
      <c r="B97" s="15"/>
      <c r="C97" s="15"/>
      <c r="D97" s="15"/>
      <c r="E97" s="15"/>
      <c r="F97" s="15"/>
      <c r="G97" s="15"/>
      <c r="H97" s="15"/>
      <c r="I97" s="15"/>
      <c r="J97" s="15"/>
      <c r="K97" s="15"/>
      <c r="L97" s="15"/>
      <c r="M97" s="15"/>
      <c r="N97" s="15"/>
      <c r="O97" s="15"/>
      <c r="P97" s="15"/>
      <c r="Q97" s="15"/>
      <c r="R97" s="16" t="str">
        <f aca="false">IF(A97="","",IF(AND(J97="Y",OR(K97="None",K97="TBC",K97="",L97="N",L97="TBC",L97="")),"Carry to W04 as risk","—"))</f>
        <v/>
      </c>
      <c r="S97" s="16" t="str">
        <f aca="false">IF(A97="","",IF(OR(B97="",C97="",D97="",E97="",F97=""),"Name, source, target, direction, technology needed",IF(AND(COUNTIF(Ref_SYS!$A$2:$A$101,C97)=0,COUNTIF(Ref_SYS!$A$2:$A$101,D97)=0),"No in-scope SYS-ID on either side",IF(AND(J97="Y",K97=""),"Monitoring answer needed",IF(AND(O97="N",Q97=""),"Rationale needed","OK")))))</f>
        <v/>
      </c>
    </row>
    <row r="98" customFormat="false" ht="15" hidden="false" customHeight="false" outlineLevel="0" collapsed="false">
      <c r="A98" s="15"/>
      <c r="B98" s="15"/>
      <c r="C98" s="15"/>
      <c r="D98" s="15"/>
      <c r="E98" s="15"/>
      <c r="F98" s="15"/>
      <c r="G98" s="15"/>
      <c r="H98" s="15"/>
      <c r="I98" s="15"/>
      <c r="J98" s="15"/>
      <c r="K98" s="15"/>
      <c r="L98" s="15"/>
      <c r="M98" s="15"/>
      <c r="N98" s="15"/>
      <c r="O98" s="15"/>
      <c r="P98" s="15"/>
      <c r="Q98" s="15"/>
      <c r="R98" s="16" t="str">
        <f aca="false">IF(A98="","",IF(AND(J98="Y",OR(K98="None",K98="TBC",K98="",L98="N",L98="TBC",L98="")),"Carry to W04 as risk","—"))</f>
        <v/>
      </c>
      <c r="S98" s="16" t="str">
        <f aca="false">IF(A98="","",IF(OR(B98="",C98="",D98="",E98="",F98=""),"Name, source, target, direction, technology needed",IF(AND(COUNTIF(Ref_SYS!$A$2:$A$101,C98)=0,COUNTIF(Ref_SYS!$A$2:$A$101,D98)=0),"No in-scope SYS-ID on either side",IF(AND(J98="Y",K98=""),"Monitoring answer needed",IF(AND(O98="N",Q98=""),"Rationale needed","OK")))))</f>
        <v/>
      </c>
    </row>
    <row r="99" customFormat="false" ht="15" hidden="false" customHeight="false" outlineLevel="0" collapsed="false">
      <c r="A99" s="15"/>
      <c r="B99" s="15"/>
      <c r="C99" s="15"/>
      <c r="D99" s="15"/>
      <c r="E99" s="15"/>
      <c r="F99" s="15"/>
      <c r="G99" s="15"/>
      <c r="H99" s="15"/>
      <c r="I99" s="15"/>
      <c r="J99" s="15"/>
      <c r="K99" s="15"/>
      <c r="L99" s="15"/>
      <c r="M99" s="15"/>
      <c r="N99" s="15"/>
      <c r="O99" s="15"/>
      <c r="P99" s="15"/>
      <c r="Q99" s="15"/>
      <c r="R99" s="16" t="str">
        <f aca="false">IF(A99="","",IF(AND(J99="Y",OR(K99="None",K99="TBC",K99="",L99="N",L99="TBC",L99="")),"Carry to W04 as risk","—"))</f>
        <v/>
      </c>
      <c r="S99" s="16" t="str">
        <f aca="false">IF(A99="","",IF(OR(B99="",C99="",D99="",E99="",F99=""),"Name, source, target, direction, technology needed",IF(AND(COUNTIF(Ref_SYS!$A$2:$A$101,C99)=0,COUNTIF(Ref_SYS!$A$2:$A$101,D99)=0),"No in-scope SYS-ID on either side",IF(AND(J99="Y",K99=""),"Monitoring answer needed",IF(AND(O99="N",Q99=""),"Rationale needed","OK")))))</f>
        <v/>
      </c>
    </row>
    <row r="100" customFormat="false" ht="15" hidden="false" customHeight="false" outlineLevel="0" collapsed="false">
      <c r="A100" s="15"/>
      <c r="B100" s="15"/>
      <c r="C100" s="15"/>
      <c r="D100" s="15"/>
      <c r="E100" s="15"/>
      <c r="F100" s="15"/>
      <c r="G100" s="15"/>
      <c r="H100" s="15"/>
      <c r="I100" s="15"/>
      <c r="J100" s="15"/>
      <c r="K100" s="15"/>
      <c r="L100" s="15"/>
      <c r="M100" s="15"/>
      <c r="N100" s="15"/>
      <c r="O100" s="15"/>
      <c r="P100" s="15"/>
      <c r="Q100" s="15"/>
      <c r="R100" s="16" t="str">
        <f aca="false">IF(A100="","",IF(AND(J100="Y",OR(K100="None",K100="TBC",K100="",L100="N",L100="TBC",L100="")),"Carry to W04 as risk","—"))</f>
        <v/>
      </c>
      <c r="S100" s="16" t="str">
        <f aca="false">IF(A100="","",IF(OR(B100="",C100="",D100="",E100="",F100=""),"Name, source, target, direction, technology needed",IF(AND(COUNTIF(Ref_SYS!$A$2:$A$101,C100)=0,COUNTIF(Ref_SYS!$A$2:$A$101,D100)=0),"No in-scope SYS-ID on either side",IF(AND(J100="Y",K100=""),"Monitoring answer needed",IF(AND(O100="N",Q100=""),"Rationale needed","OK")))))</f>
        <v/>
      </c>
    </row>
    <row r="101" customFormat="false" ht="15" hidden="false" customHeight="false" outlineLevel="0" collapsed="false">
      <c r="A101" s="15"/>
      <c r="B101" s="15"/>
      <c r="C101" s="15"/>
      <c r="D101" s="15"/>
      <c r="E101" s="15"/>
      <c r="F101" s="15"/>
      <c r="G101" s="15"/>
      <c r="H101" s="15"/>
      <c r="I101" s="15"/>
      <c r="J101" s="15"/>
      <c r="K101" s="15"/>
      <c r="L101" s="15"/>
      <c r="M101" s="15"/>
      <c r="N101" s="15"/>
      <c r="O101" s="15"/>
      <c r="P101" s="15"/>
      <c r="Q101" s="15"/>
      <c r="R101" s="16" t="str">
        <f aca="false">IF(A101="","",IF(AND(J101="Y",OR(K101="None",K101="TBC",K101="",L101="N",L101="TBC",L101="")),"Carry to W04 as risk","—"))</f>
        <v/>
      </c>
      <c r="S101" s="16" t="str">
        <f aca="false">IF(A101="","",IF(OR(B101="",C101="",D101="",E101="",F101=""),"Name, source, target, direction, technology needed",IF(AND(COUNTIF(Ref_SYS!$A$2:$A$101,C101)=0,COUNTIF(Ref_SYS!$A$2:$A$101,D101)=0),"No in-scope SYS-ID on either side",IF(AND(J101="Y",K101=""),"Monitoring answer needed",IF(AND(O101="N",Q101=""),"Rationale needed","OK")))))</f>
        <v/>
      </c>
    </row>
    <row r="102" customFormat="false" ht="15" hidden="false" customHeight="false" outlineLevel="0" collapsed="false">
      <c r="A102" s="15"/>
      <c r="B102" s="15"/>
      <c r="C102" s="15"/>
      <c r="D102" s="15"/>
      <c r="E102" s="15"/>
      <c r="F102" s="15"/>
      <c r="G102" s="15"/>
      <c r="H102" s="15"/>
      <c r="I102" s="15"/>
      <c r="J102" s="15"/>
      <c r="K102" s="15"/>
      <c r="L102" s="15"/>
      <c r="M102" s="15"/>
      <c r="N102" s="15"/>
      <c r="O102" s="15"/>
      <c r="P102" s="15"/>
      <c r="Q102" s="15"/>
      <c r="R102" s="16" t="str">
        <f aca="false">IF(A102="","",IF(AND(J102="Y",OR(K102="None",K102="TBC",K102="",L102="N",L102="TBC",L102="")),"Carry to W04 as risk","—"))</f>
        <v/>
      </c>
      <c r="S102" s="16" t="str">
        <f aca="false">IF(A102="","",IF(OR(B102="",C102="",D102="",E102="",F102=""),"Name, source, target, direction, technology needed",IF(AND(COUNTIF(Ref_SYS!$A$2:$A$101,C102)=0,COUNTIF(Ref_SYS!$A$2:$A$101,D102)=0),"No in-scope SYS-ID on either side",IF(AND(J102="Y",K102=""),"Monitoring answer needed",IF(AND(O102="N",Q102=""),"Rationale needed","OK")))))</f>
        <v/>
      </c>
    </row>
    <row r="103" customFormat="false" ht="15" hidden="false" customHeight="false" outlineLevel="0" collapsed="false">
      <c r="A103" s="15"/>
      <c r="B103" s="15"/>
      <c r="C103" s="15"/>
      <c r="D103" s="15"/>
      <c r="E103" s="15"/>
      <c r="F103" s="15"/>
      <c r="G103" s="15"/>
      <c r="H103" s="15"/>
      <c r="I103" s="15"/>
      <c r="J103" s="15"/>
      <c r="K103" s="15"/>
      <c r="L103" s="15"/>
      <c r="M103" s="15"/>
      <c r="N103" s="15"/>
      <c r="O103" s="15"/>
      <c r="P103" s="15"/>
      <c r="Q103" s="15"/>
      <c r="R103" s="16" t="str">
        <f aca="false">IF(A103="","",IF(AND(J103="Y",OR(K103="None",K103="TBC",K103="",L103="N",L103="TBC",L103="")),"Carry to W04 as risk","—"))</f>
        <v/>
      </c>
      <c r="S103" s="16" t="str">
        <f aca="false">IF(A103="","",IF(OR(B103="",C103="",D103="",E103="",F103=""),"Name, source, target, direction, technology needed",IF(AND(COUNTIF(Ref_SYS!$A$2:$A$101,C103)=0,COUNTIF(Ref_SYS!$A$2:$A$101,D103)=0),"No in-scope SYS-ID on either side",IF(AND(J103="Y",K103=""),"Monitoring answer needed",IF(AND(O103="N",Q103=""),"Rationale needed","OK")))))</f>
        <v/>
      </c>
    </row>
    <row r="104" customFormat="false" ht="15" hidden="false" customHeight="false" outlineLevel="0" collapsed="false">
      <c r="A104" s="15"/>
      <c r="B104" s="15"/>
      <c r="C104" s="15"/>
      <c r="D104" s="15"/>
      <c r="E104" s="15"/>
      <c r="F104" s="15"/>
      <c r="G104" s="15"/>
      <c r="H104" s="15"/>
      <c r="I104" s="15"/>
      <c r="J104" s="15"/>
      <c r="K104" s="15"/>
      <c r="L104" s="15"/>
      <c r="M104" s="15"/>
      <c r="N104" s="15"/>
      <c r="O104" s="15"/>
      <c r="P104" s="15"/>
      <c r="Q104" s="15"/>
      <c r="R104" s="16" t="str">
        <f aca="false">IF(A104="","",IF(AND(J104="Y",OR(K104="None",K104="TBC",K104="",L104="N",L104="TBC",L104="")),"Carry to W04 as risk","—"))</f>
        <v/>
      </c>
      <c r="S104" s="16" t="str">
        <f aca="false">IF(A104="","",IF(OR(B104="",C104="",D104="",E104="",F104=""),"Name, source, target, direction, technology needed",IF(AND(COUNTIF(Ref_SYS!$A$2:$A$101,C104)=0,COUNTIF(Ref_SYS!$A$2:$A$101,D104)=0),"No in-scope SYS-ID on either side",IF(AND(J104="Y",K104=""),"Monitoring answer needed",IF(AND(O104="N",Q104=""),"Rationale needed","OK")))))</f>
        <v/>
      </c>
    </row>
    <row r="105" customFormat="false" ht="15" hidden="false" customHeight="false" outlineLevel="0" collapsed="false">
      <c r="A105" s="15"/>
      <c r="B105" s="15"/>
      <c r="C105" s="15"/>
      <c r="D105" s="15"/>
      <c r="E105" s="15"/>
      <c r="F105" s="15"/>
      <c r="G105" s="15"/>
      <c r="H105" s="15"/>
      <c r="I105" s="15"/>
      <c r="J105" s="15"/>
      <c r="K105" s="15"/>
      <c r="L105" s="15"/>
      <c r="M105" s="15"/>
      <c r="N105" s="15"/>
      <c r="O105" s="15"/>
      <c r="P105" s="15"/>
      <c r="Q105" s="15"/>
      <c r="R105" s="16" t="str">
        <f aca="false">IF(A105="","",IF(AND(J105="Y",OR(K105="None",K105="TBC",K105="",L105="N",L105="TBC",L105="")),"Carry to W04 as risk","—"))</f>
        <v/>
      </c>
      <c r="S105" s="16" t="str">
        <f aca="false">IF(A105="","",IF(OR(B105="",C105="",D105="",E105="",F105=""),"Name, source, target, direction, technology needed",IF(AND(COUNTIF(Ref_SYS!$A$2:$A$101,C105)=0,COUNTIF(Ref_SYS!$A$2:$A$101,D105)=0),"No in-scope SYS-ID on either side",IF(AND(J105="Y",K105=""),"Monitoring answer needed",IF(AND(O105="N",Q105=""),"Rationale needed","OK")))))</f>
        <v/>
      </c>
    </row>
    <row r="106" customFormat="false" ht="15" hidden="false" customHeight="false" outlineLevel="0" collapsed="false">
      <c r="A106" s="15"/>
      <c r="B106" s="15"/>
      <c r="C106" s="15"/>
      <c r="D106" s="15"/>
      <c r="E106" s="15"/>
      <c r="F106" s="15"/>
      <c r="G106" s="15"/>
      <c r="H106" s="15"/>
      <c r="I106" s="15"/>
      <c r="J106" s="15"/>
      <c r="K106" s="15"/>
      <c r="L106" s="15"/>
      <c r="M106" s="15"/>
      <c r="N106" s="15"/>
      <c r="O106" s="15"/>
      <c r="P106" s="15"/>
      <c r="Q106" s="15"/>
      <c r="R106" s="16" t="str">
        <f aca="false">IF(A106="","",IF(AND(J106="Y",OR(K106="None",K106="TBC",K106="",L106="N",L106="TBC",L106="")),"Carry to W04 as risk","—"))</f>
        <v/>
      </c>
      <c r="S106" s="16" t="str">
        <f aca="false">IF(A106="","",IF(OR(B106="",C106="",D106="",E106="",F106=""),"Name, source, target, direction, technology needed",IF(AND(COUNTIF(Ref_SYS!$A$2:$A$101,C106)=0,COUNTIF(Ref_SYS!$A$2:$A$101,D106)=0),"No in-scope SYS-ID on either side",IF(AND(J106="Y",K106=""),"Monitoring answer needed",IF(AND(O106="N",Q106=""),"Rationale needed","OK")))))</f>
        <v/>
      </c>
    </row>
    <row r="107" customFormat="false" ht="15" hidden="false" customHeight="false" outlineLevel="0" collapsed="false">
      <c r="A107" s="15"/>
      <c r="B107" s="15"/>
      <c r="C107" s="15"/>
      <c r="D107" s="15"/>
      <c r="E107" s="15"/>
      <c r="F107" s="15"/>
      <c r="G107" s="15"/>
      <c r="H107" s="15"/>
      <c r="I107" s="15"/>
      <c r="J107" s="15"/>
      <c r="K107" s="15"/>
      <c r="L107" s="15"/>
      <c r="M107" s="15"/>
      <c r="N107" s="15"/>
      <c r="O107" s="15"/>
      <c r="P107" s="15"/>
      <c r="Q107" s="15"/>
      <c r="R107" s="16" t="str">
        <f aca="false">IF(A107="","",IF(AND(J107="Y",OR(K107="None",K107="TBC",K107="",L107="N",L107="TBC",L107="")),"Carry to W04 as risk","—"))</f>
        <v/>
      </c>
      <c r="S107" s="16" t="str">
        <f aca="false">IF(A107="","",IF(OR(B107="",C107="",D107="",E107="",F107=""),"Name, source, target, direction, technology needed",IF(AND(COUNTIF(Ref_SYS!$A$2:$A$101,C107)=0,COUNTIF(Ref_SYS!$A$2:$A$101,D107)=0),"No in-scope SYS-ID on either side",IF(AND(J107="Y",K107=""),"Monitoring answer needed",IF(AND(O107="N",Q107=""),"Rationale needed","OK")))))</f>
        <v/>
      </c>
    </row>
    <row r="108" customFormat="false" ht="15" hidden="false" customHeight="false" outlineLevel="0" collapsed="false">
      <c r="A108" s="15"/>
      <c r="B108" s="15"/>
      <c r="C108" s="15"/>
      <c r="D108" s="15"/>
      <c r="E108" s="15"/>
      <c r="F108" s="15"/>
      <c r="G108" s="15"/>
      <c r="H108" s="15"/>
      <c r="I108" s="15"/>
      <c r="J108" s="15"/>
      <c r="K108" s="15"/>
      <c r="L108" s="15"/>
      <c r="M108" s="15"/>
      <c r="N108" s="15"/>
      <c r="O108" s="15"/>
      <c r="P108" s="15"/>
      <c r="Q108" s="15"/>
      <c r="R108" s="16" t="str">
        <f aca="false">IF(A108="","",IF(AND(J108="Y",OR(K108="None",K108="TBC",K108="",L108="N",L108="TBC",L108="")),"Carry to W04 as risk","—"))</f>
        <v/>
      </c>
      <c r="S108" s="16" t="str">
        <f aca="false">IF(A108="","",IF(OR(B108="",C108="",D108="",E108="",F108=""),"Name, source, target, direction, technology needed",IF(AND(COUNTIF(Ref_SYS!$A$2:$A$101,C108)=0,COUNTIF(Ref_SYS!$A$2:$A$101,D108)=0),"No in-scope SYS-ID on either side",IF(AND(J108="Y",K108=""),"Monitoring answer needed",IF(AND(O108="N",Q108=""),"Rationale needed","OK")))))</f>
        <v/>
      </c>
    </row>
    <row r="109" customFormat="false" ht="15" hidden="false" customHeight="false" outlineLevel="0" collapsed="false">
      <c r="A109" s="15"/>
      <c r="B109" s="15"/>
      <c r="C109" s="15"/>
      <c r="D109" s="15"/>
      <c r="E109" s="15"/>
      <c r="F109" s="15"/>
      <c r="G109" s="15"/>
      <c r="H109" s="15"/>
      <c r="I109" s="15"/>
      <c r="J109" s="15"/>
      <c r="K109" s="15"/>
      <c r="L109" s="15"/>
      <c r="M109" s="15"/>
      <c r="N109" s="15"/>
      <c r="O109" s="15"/>
      <c r="P109" s="15"/>
      <c r="Q109" s="15"/>
      <c r="R109" s="16" t="str">
        <f aca="false">IF(A109="","",IF(AND(J109="Y",OR(K109="None",K109="TBC",K109="",L109="N",L109="TBC",L109="")),"Carry to W04 as risk","—"))</f>
        <v/>
      </c>
      <c r="S109" s="16" t="str">
        <f aca="false">IF(A109="","",IF(OR(B109="",C109="",D109="",E109="",F109=""),"Name, source, target, direction, technology needed",IF(AND(COUNTIF(Ref_SYS!$A$2:$A$101,C109)=0,COUNTIF(Ref_SYS!$A$2:$A$101,D109)=0),"No in-scope SYS-ID on either side",IF(AND(J109="Y",K109=""),"Monitoring answer needed",IF(AND(O109="N",Q109=""),"Rationale needed","OK")))))</f>
        <v/>
      </c>
    </row>
    <row r="110" customFormat="false" ht="15" hidden="false" customHeight="false" outlineLevel="0" collapsed="false">
      <c r="A110" s="15"/>
      <c r="B110" s="15"/>
      <c r="C110" s="15"/>
      <c r="D110" s="15"/>
      <c r="E110" s="15"/>
      <c r="F110" s="15"/>
      <c r="G110" s="15"/>
      <c r="H110" s="15"/>
      <c r="I110" s="15"/>
      <c r="J110" s="15"/>
      <c r="K110" s="15"/>
      <c r="L110" s="15"/>
      <c r="M110" s="15"/>
      <c r="N110" s="15"/>
      <c r="O110" s="15"/>
      <c r="P110" s="15"/>
      <c r="Q110" s="15"/>
      <c r="R110" s="16" t="str">
        <f aca="false">IF(A110="","",IF(AND(J110="Y",OR(K110="None",K110="TBC",K110="",L110="N",L110="TBC",L110="")),"Carry to W04 as risk","—"))</f>
        <v/>
      </c>
      <c r="S110" s="16" t="str">
        <f aca="false">IF(A110="","",IF(OR(B110="",C110="",D110="",E110="",F110=""),"Name, source, target, direction, technology needed",IF(AND(COUNTIF(Ref_SYS!$A$2:$A$101,C110)=0,COUNTIF(Ref_SYS!$A$2:$A$101,D110)=0),"No in-scope SYS-ID on either side",IF(AND(J110="Y",K110=""),"Monitoring answer needed",IF(AND(O110="N",Q110=""),"Rationale needed","OK")))))</f>
        <v/>
      </c>
    </row>
    <row r="111" customFormat="false" ht="15" hidden="false" customHeight="false" outlineLevel="0" collapsed="false">
      <c r="A111" s="15"/>
      <c r="B111" s="15"/>
      <c r="C111" s="15"/>
      <c r="D111" s="15"/>
      <c r="E111" s="15"/>
      <c r="F111" s="15"/>
      <c r="G111" s="15"/>
      <c r="H111" s="15"/>
      <c r="I111" s="15"/>
      <c r="J111" s="15"/>
      <c r="K111" s="15"/>
      <c r="L111" s="15"/>
      <c r="M111" s="15"/>
      <c r="N111" s="15"/>
      <c r="O111" s="15"/>
      <c r="P111" s="15"/>
      <c r="Q111" s="15"/>
      <c r="R111" s="16" t="str">
        <f aca="false">IF(A111="","",IF(AND(J111="Y",OR(K111="None",K111="TBC",K111="",L111="N",L111="TBC",L111="")),"Carry to W04 as risk","—"))</f>
        <v/>
      </c>
      <c r="S111" s="16" t="str">
        <f aca="false">IF(A111="","",IF(OR(B111="",C111="",D111="",E111="",F111=""),"Name, source, target, direction, technology needed",IF(AND(COUNTIF(Ref_SYS!$A$2:$A$101,C111)=0,COUNTIF(Ref_SYS!$A$2:$A$101,D111)=0),"No in-scope SYS-ID on either side",IF(AND(J111="Y",K111=""),"Monitoring answer needed",IF(AND(O111="N",Q111=""),"Rationale needed","OK")))))</f>
        <v/>
      </c>
    </row>
    <row r="112" customFormat="false" ht="15" hidden="false" customHeight="false" outlineLevel="0" collapsed="false">
      <c r="A112" s="15"/>
      <c r="B112" s="15"/>
      <c r="C112" s="15"/>
      <c r="D112" s="15"/>
      <c r="E112" s="15"/>
      <c r="F112" s="15"/>
      <c r="G112" s="15"/>
      <c r="H112" s="15"/>
      <c r="I112" s="15"/>
      <c r="J112" s="15"/>
      <c r="K112" s="15"/>
      <c r="L112" s="15"/>
      <c r="M112" s="15"/>
      <c r="N112" s="15"/>
      <c r="O112" s="15"/>
      <c r="P112" s="15"/>
      <c r="Q112" s="15"/>
      <c r="R112" s="16" t="str">
        <f aca="false">IF(A112="","",IF(AND(J112="Y",OR(K112="None",K112="TBC",K112="",L112="N",L112="TBC",L112="")),"Carry to W04 as risk","—"))</f>
        <v/>
      </c>
      <c r="S112" s="16" t="str">
        <f aca="false">IF(A112="","",IF(OR(B112="",C112="",D112="",E112="",F112=""),"Name, source, target, direction, technology needed",IF(AND(COUNTIF(Ref_SYS!$A$2:$A$101,C112)=0,COUNTIF(Ref_SYS!$A$2:$A$101,D112)=0),"No in-scope SYS-ID on either side",IF(AND(J112="Y",K112=""),"Monitoring answer needed",IF(AND(O112="N",Q112=""),"Rationale needed","OK")))))</f>
        <v/>
      </c>
    </row>
    <row r="113" customFormat="false" ht="15" hidden="false" customHeight="false" outlineLevel="0" collapsed="false">
      <c r="A113" s="15"/>
      <c r="B113" s="15"/>
      <c r="C113" s="15"/>
      <c r="D113" s="15"/>
      <c r="E113" s="15"/>
      <c r="F113" s="15"/>
      <c r="G113" s="15"/>
      <c r="H113" s="15"/>
      <c r="I113" s="15"/>
      <c r="J113" s="15"/>
      <c r="K113" s="15"/>
      <c r="L113" s="15"/>
      <c r="M113" s="15"/>
      <c r="N113" s="15"/>
      <c r="O113" s="15"/>
      <c r="P113" s="15"/>
      <c r="Q113" s="15"/>
      <c r="R113" s="16" t="str">
        <f aca="false">IF(A113="","",IF(AND(J113="Y",OR(K113="None",K113="TBC",K113="",L113="N",L113="TBC",L113="")),"Carry to W04 as risk","—"))</f>
        <v/>
      </c>
      <c r="S113" s="16" t="str">
        <f aca="false">IF(A113="","",IF(OR(B113="",C113="",D113="",E113="",F113=""),"Name, source, target, direction, technology needed",IF(AND(COUNTIF(Ref_SYS!$A$2:$A$101,C113)=0,COUNTIF(Ref_SYS!$A$2:$A$101,D113)=0),"No in-scope SYS-ID on either side",IF(AND(J113="Y",K113=""),"Monitoring answer needed",IF(AND(O113="N",Q113=""),"Rationale needed","OK")))))</f>
        <v/>
      </c>
    </row>
    <row r="114" customFormat="false" ht="15" hidden="false" customHeight="false" outlineLevel="0" collapsed="false">
      <c r="A114" s="15"/>
      <c r="B114" s="15"/>
      <c r="C114" s="15"/>
      <c r="D114" s="15"/>
      <c r="E114" s="15"/>
      <c r="F114" s="15"/>
      <c r="G114" s="15"/>
      <c r="H114" s="15"/>
      <c r="I114" s="15"/>
      <c r="J114" s="15"/>
      <c r="K114" s="15"/>
      <c r="L114" s="15"/>
      <c r="M114" s="15"/>
      <c r="N114" s="15"/>
      <c r="O114" s="15"/>
      <c r="P114" s="15"/>
      <c r="Q114" s="15"/>
      <c r="R114" s="16" t="str">
        <f aca="false">IF(A114="","",IF(AND(J114="Y",OR(K114="None",K114="TBC",K114="",L114="N",L114="TBC",L114="")),"Carry to W04 as risk","—"))</f>
        <v/>
      </c>
      <c r="S114" s="16" t="str">
        <f aca="false">IF(A114="","",IF(OR(B114="",C114="",D114="",E114="",F114=""),"Name, source, target, direction, technology needed",IF(AND(COUNTIF(Ref_SYS!$A$2:$A$101,C114)=0,COUNTIF(Ref_SYS!$A$2:$A$101,D114)=0),"No in-scope SYS-ID on either side",IF(AND(J114="Y",K114=""),"Monitoring answer needed",IF(AND(O114="N",Q114=""),"Rationale needed","OK")))))</f>
        <v/>
      </c>
    </row>
    <row r="115" customFormat="false" ht="15" hidden="false" customHeight="false" outlineLevel="0" collapsed="false">
      <c r="A115" s="15"/>
      <c r="B115" s="15"/>
      <c r="C115" s="15"/>
      <c r="D115" s="15"/>
      <c r="E115" s="15"/>
      <c r="F115" s="15"/>
      <c r="G115" s="15"/>
      <c r="H115" s="15"/>
      <c r="I115" s="15"/>
      <c r="J115" s="15"/>
      <c r="K115" s="15"/>
      <c r="L115" s="15"/>
      <c r="M115" s="15"/>
      <c r="N115" s="15"/>
      <c r="O115" s="15"/>
      <c r="P115" s="15"/>
      <c r="Q115" s="15"/>
      <c r="R115" s="16" t="str">
        <f aca="false">IF(A115="","",IF(AND(J115="Y",OR(K115="None",K115="TBC",K115="",L115="N",L115="TBC",L115="")),"Carry to W04 as risk","—"))</f>
        <v/>
      </c>
      <c r="S115" s="16" t="str">
        <f aca="false">IF(A115="","",IF(OR(B115="",C115="",D115="",E115="",F115=""),"Name, source, target, direction, technology needed",IF(AND(COUNTIF(Ref_SYS!$A$2:$A$101,C115)=0,COUNTIF(Ref_SYS!$A$2:$A$101,D115)=0),"No in-scope SYS-ID on either side",IF(AND(J115="Y",K115=""),"Monitoring answer needed",IF(AND(O115="N",Q115=""),"Rationale needed","OK")))))</f>
        <v/>
      </c>
    </row>
    <row r="116" customFormat="false" ht="15" hidden="false" customHeight="false" outlineLevel="0" collapsed="false">
      <c r="A116" s="15"/>
      <c r="B116" s="15"/>
      <c r="C116" s="15"/>
      <c r="D116" s="15"/>
      <c r="E116" s="15"/>
      <c r="F116" s="15"/>
      <c r="G116" s="15"/>
      <c r="H116" s="15"/>
      <c r="I116" s="15"/>
      <c r="J116" s="15"/>
      <c r="K116" s="15"/>
      <c r="L116" s="15"/>
      <c r="M116" s="15"/>
      <c r="N116" s="15"/>
      <c r="O116" s="15"/>
      <c r="P116" s="15"/>
      <c r="Q116" s="15"/>
      <c r="R116" s="16" t="str">
        <f aca="false">IF(A116="","",IF(AND(J116="Y",OR(K116="None",K116="TBC",K116="",L116="N",L116="TBC",L116="")),"Carry to W04 as risk","—"))</f>
        <v/>
      </c>
      <c r="S116" s="16" t="str">
        <f aca="false">IF(A116="","",IF(OR(B116="",C116="",D116="",E116="",F116=""),"Name, source, target, direction, technology needed",IF(AND(COUNTIF(Ref_SYS!$A$2:$A$101,C116)=0,COUNTIF(Ref_SYS!$A$2:$A$101,D116)=0),"No in-scope SYS-ID on either side",IF(AND(J116="Y",K116=""),"Monitoring answer needed",IF(AND(O116="N",Q116=""),"Rationale needed","OK")))))</f>
        <v/>
      </c>
    </row>
    <row r="117" customFormat="false" ht="15" hidden="false" customHeight="false" outlineLevel="0" collapsed="false">
      <c r="A117" s="15"/>
      <c r="B117" s="15"/>
      <c r="C117" s="15"/>
      <c r="D117" s="15"/>
      <c r="E117" s="15"/>
      <c r="F117" s="15"/>
      <c r="G117" s="15"/>
      <c r="H117" s="15"/>
      <c r="I117" s="15"/>
      <c r="J117" s="15"/>
      <c r="K117" s="15"/>
      <c r="L117" s="15"/>
      <c r="M117" s="15"/>
      <c r="N117" s="15"/>
      <c r="O117" s="15"/>
      <c r="P117" s="15"/>
      <c r="Q117" s="15"/>
      <c r="R117" s="16" t="str">
        <f aca="false">IF(A117="","",IF(AND(J117="Y",OR(K117="None",K117="TBC",K117="",L117="N",L117="TBC",L117="")),"Carry to W04 as risk","—"))</f>
        <v/>
      </c>
      <c r="S117" s="16" t="str">
        <f aca="false">IF(A117="","",IF(OR(B117="",C117="",D117="",E117="",F117=""),"Name, source, target, direction, technology needed",IF(AND(COUNTIF(Ref_SYS!$A$2:$A$101,C117)=0,COUNTIF(Ref_SYS!$A$2:$A$101,D117)=0),"No in-scope SYS-ID on either side",IF(AND(J117="Y",K117=""),"Monitoring answer needed",IF(AND(O117="N",Q117=""),"Rationale needed","OK")))))</f>
        <v/>
      </c>
    </row>
    <row r="118" customFormat="false" ht="15" hidden="false" customHeight="false" outlineLevel="0" collapsed="false">
      <c r="A118" s="15"/>
      <c r="B118" s="15"/>
      <c r="C118" s="15"/>
      <c r="D118" s="15"/>
      <c r="E118" s="15"/>
      <c r="F118" s="15"/>
      <c r="G118" s="15"/>
      <c r="H118" s="15"/>
      <c r="I118" s="15"/>
      <c r="J118" s="15"/>
      <c r="K118" s="15"/>
      <c r="L118" s="15"/>
      <c r="M118" s="15"/>
      <c r="N118" s="15"/>
      <c r="O118" s="15"/>
      <c r="P118" s="15"/>
      <c r="Q118" s="15"/>
      <c r="R118" s="16" t="str">
        <f aca="false">IF(A118="","",IF(AND(J118="Y",OR(K118="None",K118="TBC",K118="",L118="N",L118="TBC",L118="")),"Carry to W04 as risk","—"))</f>
        <v/>
      </c>
      <c r="S118" s="16" t="str">
        <f aca="false">IF(A118="","",IF(OR(B118="",C118="",D118="",E118="",F118=""),"Name, source, target, direction, technology needed",IF(AND(COUNTIF(Ref_SYS!$A$2:$A$101,C118)=0,COUNTIF(Ref_SYS!$A$2:$A$101,D118)=0),"No in-scope SYS-ID on either side",IF(AND(J118="Y",K118=""),"Monitoring answer needed",IF(AND(O118="N",Q118=""),"Rationale needed","OK")))))</f>
        <v/>
      </c>
    </row>
    <row r="119" customFormat="false" ht="15" hidden="false" customHeight="false" outlineLevel="0" collapsed="false">
      <c r="A119" s="15"/>
      <c r="B119" s="15"/>
      <c r="C119" s="15"/>
      <c r="D119" s="15"/>
      <c r="E119" s="15"/>
      <c r="F119" s="15"/>
      <c r="G119" s="15"/>
      <c r="H119" s="15"/>
      <c r="I119" s="15"/>
      <c r="J119" s="15"/>
      <c r="K119" s="15"/>
      <c r="L119" s="15"/>
      <c r="M119" s="15"/>
      <c r="N119" s="15"/>
      <c r="O119" s="15"/>
      <c r="P119" s="15"/>
      <c r="Q119" s="15"/>
      <c r="R119" s="16" t="str">
        <f aca="false">IF(A119="","",IF(AND(J119="Y",OR(K119="None",K119="TBC",K119="",L119="N",L119="TBC",L119="")),"Carry to W04 as risk","—"))</f>
        <v/>
      </c>
      <c r="S119" s="16" t="str">
        <f aca="false">IF(A119="","",IF(OR(B119="",C119="",D119="",E119="",F119=""),"Name, source, target, direction, technology needed",IF(AND(COUNTIF(Ref_SYS!$A$2:$A$101,C119)=0,COUNTIF(Ref_SYS!$A$2:$A$101,D119)=0),"No in-scope SYS-ID on either side",IF(AND(J119="Y",K119=""),"Monitoring answer needed",IF(AND(O119="N",Q119=""),"Rationale needed","OK")))))</f>
        <v/>
      </c>
    </row>
    <row r="120" customFormat="false" ht="15" hidden="false" customHeight="false" outlineLevel="0" collapsed="false">
      <c r="A120" s="15"/>
      <c r="B120" s="15"/>
      <c r="C120" s="15"/>
      <c r="D120" s="15"/>
      <c r="E120" s="15"/>
      <c r="F120" s="15"/>
      <c r="G120" s="15"/>
      <c r="H120" s="15"/>
      <c r="I120" s="15"/>
      <c r="J120" s="15"/>
      <c r="K120" s="15"/>
      <c r="L120" s="15"/>
      <c r="M120" s="15"/>
      <c r="N120" s="15"/>
      <c r="O120" s="15"/>
      <c r="P120" s="15"/>
      <c r="Q120" s="15"/>
      <c r="R120" s="16" t="str">
        <f aca="false">IF(A120="","",IF(AND(J120="Y",OR(K120="None",K120="TBC",K120="",L120="N",L120="TBC",L120="")),"Carry to W04 as risk","—"))</f>
        <v/>
      </c>
      <c r="S120" s="16" t="str">
        <f aca="false">IF(A120="","",IF(OR(B120="",C120="",D120="",E120="",F120=""),"Name, source, target, direction, technology needed",IF(AND(COUNTIF(Ref_SYS!$A$2:$A$101,C120)=0,COUNTIF(Ref_SYS!$A$2:$A$101,D120)=0),"No in-scope SYS-ID on either side",IF(AND(J120="Y",K120=""),"Monitoring answer needed",IF(AND(O120="N",Q120=""),"Rationale needed","OK")))))</f>
        <v/>
      </c>
    </row>
    <row r="121" customFormat="false" ht="15" hidden="false" customHeight="false" outlineLevel="0" collapsed="false">
      <c r="A121" s="15"/>
      <c r="B121" s="15"/>
      <c r="C121" s="15"/>
      <c r="D121" s="15"/>
      <c r="E121" s="15"/>
      <c r="F121" s="15"/>
      <c r="G121" s="15"/>
      <c r="H121" s="15"/>
      <c r="I121" s="15"/>
      <c r="J121" s="15"/>
      <c r="K121" s="15"/>
      <c r="L121" s="15"/>
      <c r="M121" s="15"/>
      <c r="N121" s="15"/>
      <c r="O121" s="15"/>
      <c r="P121" s="15"/>
      <c r="Q121" s="15"/>
      <c r="R121" s="16" t="str">
        <f aca="false">IF(A121="","",IF(AND(J121="Y",OR(K121="None",K121="TBC",K121="",L121="N",L121="TBC",L121="")),"Carry to W04 as risk","—"))</f>
        <v/>
      </c>
      <c r="S121" s="16" t="str">
        <f aca="false">IF(A121="","",IF(OR(B121="",C121="",D121="",E121="",F121=""),"Name, source, target, direction, technology needed",IF(AND(COUNTIF(Ref_SYS!$A$2:$A$101,C121)=0,COUNTIF(Ref_SYS!$A$2:$A$101,D121)=0),"No in-scope SYS-ID on either side",IF(AND(J121="Y",K121=""),"Monitoring answer needed",IF(AND(O121="N",Q121=""),"Rationale needed","OK")))))</f>
        <v/>
      </c>
    </row>
    <row r="122" customFormat="false" ht="15" hidden="false" customHeight="false" outlineLevel="0" collapsed="false">
      <c r="A122" s="15"/>
      <c r="B122" s="15"/>
      <c r="C122" s="15"/>
      <c r="D122" s="15"/>
      <c r="E122" s="15"/>
      <c r="F122" s="15"/>
      <c r="G122" s="15"/>
      <c r="H122" s="15"/>
      <c r="I122" s="15"/>
      <c r="J122" s="15"/>
      <c r="K122" s="15"/>
      <c r="L122" s="15"/>
      <c r="M122" s="15"/>
      <c r="N122" s="15"/>
      <c r="O122" s="15"/>
      <c r="P122" s="15"/>
      <c r="Q122" s="15"/>
      <c r="R122" s="16" t="str">
        <f aca="false">IF(A122="","",IF(AND(J122="Y",OR(K122="None",K122="TBC",K122="",L122="N",L122="TBC",L122="")),"Carry to W04 as risk","—"))</f>
        <v/>
      </c>
      <c r="S122" s="16" t="str">
        <f aca="false">IF(A122="","",IF(OR(B122="",C122="",D122="",E122="",F122=""),"Name, source, target, direction, technology needed",IF(AND(COUNTIF(Ref_SYS!$A$2:$A$101,C122)=0,COUNTIF(Ref_SYS!$A$2:$A$101,D122)=0),"No in-scope SYS-ID on either side",IF(AND(J122="Y",K122=""),"Monitoring answer needed",IF(AND(O122="N",Q122=""),"Rationale needed","OK")))))</f>
        <v/>
      </c>
    </row>
    <row r="123" customFormat="false" ht="15" hidden="false" customHeight="false" outlineLevel="0" collapsed="false">
      <c r="A123" s="15"/>
      <c r="B123" s="15"/>
      <c r="C123" s="15"/>
      <c r="D123" s="15"/>
      <c r="E123" s="15"/>
      <c r="F123" s="15"/>
      <c r="G123" s="15"/>
      <c r="H123" s="15"/>
      <c r="I123" s="15"/>
      <c r="J123" s="15"/>
      <c r="K123" s="15"/>
      <c r="L123" s="15"/>
      <c r="M123" s="15"/>
      <c r="N123" s="15"/>
      <c r="O123" s="15"/>
      <c r="P123" s="15"/>
      <c r="Q123" s="15"/>
      <c r="R123" s="16" t="str">
        <f aca="false">IF(A123="","",IF(AND(J123="Y",OR(K123="None",K123="TBC",K123="",L123="N",L123="TBC",L123="")),"Carry to W04 as risk","—"))</f>
        <v/>
      </c>
      <c r="S123" s="16" t="str">
        <f aca="false">IF(A123="","",IF(OR(B123="",C123="",D123="",E123="",F123=""),"Name, source, target, direction, technology needed",IF(AND(COUNTIF(Ref_SYS!$A$2:$A$101,C123)=0,COUNTIF(Ref_SYS!$A$2:$A$101,D123)=0),"No in-scope SYS-ID on either side",IF(AND(J123="Y",K123=""),"Monitoring answer needed",IF(AND(O123="N",Q123=""),"Rationale needed","OK")))))</f>
        <v/>
      </c>
    </row>
    <row r="124" customFormat="false" ht="15" hidden="false" customHeight="false" outlineLevel="0" collapsed="false">
      <c r="A124" s="15"/>
      <c r="B124" s="15"/>
      <c r="C124" s="15"/>
      <c r="D124" s="15"/>
      <c r="E124" s="15"/>
      <c r="F124" s="15"/>
      <c r="G124" s="15"/>
      <c r="H124" s="15"/>
      <c r="I124" s="15"/>
      <c r="J124" s="15"/>
      <c r="K124" s="15"/>
      <c r="L124" s="15"/>
      <c r="M124" s="15"/>
      <c r="N124" s="15"/>
      <c r="O124" s="15"/>
      <c r="P124" s="15"/>
      <c r="Q124" s="15"/>
      <c r="R124" s="16" t="str">
        <f aca="false">IF(A124="","",IF(AND(J124="Y",OR(K124="None",K124="TBC",K124="",L124="N",L124="TBC",L124="")),"Carry to W04 as risk","—"))</f>
        <v/>
      </c>
      <c r="S124" s="16" t="str">
        <f aca="false">IF(A124="","",IF(OR(B124="",C124="",D124="",E124="",F124=""),"Name, source, target, direction, technology needed",IF(AND(COUNTIF(Ref_SYS!$A$2:$A$101,C124)=0,COUNTIF(Ref_SYS!$A$2:$A$101,D124)=0),"No in-scope SYS-ID on either side",IF(AND(J124="Y",K124=""),"Monitoring answer needed",IF(AND(O124="N",Q124=""),"Rationale needed","OK")))))</f>
        <v/>
      </c>
    </row>
    <row r="125" customFormat="false" ht="15" hidden="false" customHeight="false" outlineLevel="0" collapsed="false">
      <c r="A125" s="15"/>
      <c r="B125" s="15"/>
      <c r="C125" s="15"/>
      <c r="D125" s="15"/>
      <c r="E125" s="15"/>
      <c r="F125" s="15"/>
      <c r="G125" s="15"/>
      <c r="H125" s="15"/>
      <c r="I125" s="15"/>
      <c r="J125" s="15"/>
      <c r="K125" s="15"/>
      <c r="L125" s="15"/>
      <c r="M125" s="15"/>
      <c r="N125" s="15"/>
      <c r="O125" s="15"/>
      <c r="P125" s="15"/>
      <c r="Q125" s="15"/>
      <c r="R125" s="16" t="str">
        <f aca="false">IF(A125="","",IF(AND(J125="Y",OR(K125="None",K125="TBC",K125="",L125="N",L125="TBC",L125="")),"Carry to W04 as risk","—"))</f>
        <v/>
      </c>
      <c r="S125" s="16" t="str">
        <f aca="false">IF(A125="","",IF(OR(B125="",C125="",D125="",E125="",F125=""),"Name, source, target, direction, technology needed",IF(AND(COUNTIF(Ref_SYS!$A$2:$A$101,C125)=0,COUNTIF(Ref_SYS!$A$2:$A$101,D125)=0),"No in-scope SYS-ID on either side",IF(AND(J125="Y",K125=""),"Monitoring answer needed",IF(AND(O125="N",Q125=""),"Rationale needed","OK")))))</f>
        <v/>
      </c>
    </row>
    <row r="126" customFormat="false" ht="15" hidden="false" customHeight="false" outlineLevel="0" collapsed="false">
      <c r="A126" s="15"/>
      <c r="B126" s="15"/>
      <c r="C126" s="15"/>
      <c r="D126" s="15"/>
      <c r="E126" s="15"/>
      <c r="F126" s="15"/>
      <c r="G126" s="15"/>
      <c r="H126" s="15"/>
      <c r="I126" s="15"/>
      <c r="J126" s="15"/>
      <c r="K126" s="15"/>
      <c r="L126" s="15"/>
      <c r="M126" s="15"/>
      <c r="N126" s="15"/>
      <c r="O126" s="15"/>
      <c r="P126" s="15"/>
      <c r="Q126" s="15"/>
      <c r="R126" s="16" t="str">
        <f aca="false">IF(A126="","",IF(AND(J126="Y",OR(K126="None",K126="TBC",K126="",L126="N",L126="TBC",L126="")),"Carry to W04 as risk","—"))</f>
        <v/>
      </c>
      <c r="S126" s="16" t="str">
        <f aca="false">IF(A126="","",IF(OR(B126="",C126="",D126="",E126="",F126=""),"Name, source, target, direction, technology needed",IF(AND(COUNTIF(Ref_SYS!$A$2:$A$101,C126)=0,COUNTIF(Ref_SYS!$A$2:$A$101,D126)=0),"No in-scope SYS-ID on either side",IF(AND(J126="Y",K126=""),"Monitoring answer needed",IF(AND(O126="N",Q126=""),"Rationale needed","OK")))))</f>
        <v/>
      </c>
    </row>
    <row r="127" customFormat="false" ht="15" hidden="false" customHeight="false" outlineLevel="0" collapsed="false">
      <c r="A127" s="15"/>
      <c r="B127" s="15"/>
      <c r="C127" s="15"/>
      <c r="D127" s="15"/>
      <c r="E127" s="15"/>
      <c r="F127" s="15"/>
      <c r="G127" s="15"/>
      <c r="H127" s="15"/>
      <c r="I127" s="15"/>
      <c r="J127" s="15"/>
      <c r="K127" s="15"/>
      <c r="L127" s="15"/>
      <c r="M127" s="15"/>
      <c r="N127" s="15"/>
      <c r="O127" s="15"/>
      <c r="P127" s="15"/>
      <c r="Q127" s="15"/>
      <c r="R127" s="16" t="str">
        <f aca="false">IF(A127="","",IF(AND(J127="Y",OR(K127="None",K127="TBC",K127="",L127="N",L127="TBC",L127="")),"Carry to W04 as risk","—"))</f>
        <v/>
      </c>
      <c r="S127" s="16" t="str">
        <f aca="false">IF(A127="","",IF(OR(B127="",C127="",D127="",E127="",F127=""),"Name, source, target, direction, technology needed",IF(AND(COUNTIF(Ref_SYS!$A$2:$A$101,C127)=0,COUNTIF(Ref_SYS!$A$2:$A$101,D127)=0),"No in-scope SYS-ID on either side",IF(AND(J127="Y",K127=""),"Monitoring answer needed",IF(AND(O127="N",Q127=""),"Rationale needed","OK")))))</f>
        <v/>
      </c>
    </row>
    <row r="128" customFormat="false" ht="15" hidden="false" customHeight="false" outlineLevel="0" collapsed="false">
      <c r="A128" s="15"/>
      <c r="B128" s="15"/>
      <c r="C128" s="15"/>
      <c r="D128" s="15"/>
      <c r="E128" s="15"/>
      <c r="F128" s="15"/>
      <c r="G128" s="15"/>
      <c r="H128" s="15"/>
      <c r="I128" s="15"/>
      <c r="J128" s="15"/>
      <c r="K128" s="15"/>
      <c r="L128" s="15"/>
      <c r="M128" s="15"/>
      <c r="N128" s="15"/>
      <c r="O128" s="15"/>
      <c r="P128" s="15"/>
      <c r="Q128" s="15"/>
      <c r="R128" s="16" t="str">
        <f aca="false">IF(A128="","",IF(AND(J128="Y",OR(K128="None",K128="TBC",K128="",L128="N",L128="TBC",L128="")),"Carry to W04 as risk","—"))</f>
        <v/>
      </c>
      <c r="S128" s="16" t="str">
        <f aca="false">IF(A128="","",IF(OR(B128="",C128="",D128="",E128="",F128=""),"Name, source, target, direction, technology needed",IF(AND(COUNTIF(Ref_SYS!$A$2:$A$101,C128)=0,COUNTIF(Ref_SYS!$A$2:$A$101,D128)=0),"No in-scope SYS-ID on either side",IF(AND(J128="Y",K128=""),"Monitoring answer needed",IF(AND(O128="N",Q128=""),"Rationale needed","OK")))))</f>
        <v/>
      </c>
    </row>
    <row r="129" customFormat="false" ht="15" hidden="false" customHeight="false" outlineLevel="0" collapsed="false">
      <c r="A129" s="15"/>
      <c r="B129" s="15"/>
      <c r="C129" s="15"/>
      <c r="D129" s="15"/>
      <c r="E129" s="15"/>
      <c r="F129" s="15"/>
      <c r="G129" s="15"/>
      <c r="H129" s="15"/>
      <c r="I129" s="15"/>
      <c r="J129" s="15"/>
      <c r="K129" s="15"/>
      <c r="L129" s="15"/>
      <c r="M129" s="15"/>
      <c r="N129" s="15"/>
      <c r="O129" s="15"/>
      <c r="P129" s="15"/>
      <c r="Q129" s="15"/>
      <c r="R129" s="16" t="str">
        <f aca="false">IF(A129="","",IF(AND(J129="Y",OR(K129="None",K129="TBC",K129="",L129="N",L129="TBC",L129="")),"Carry to W04 as risk","—"))</f>
        <v/>
      </c>
      <c r="S129" s="16" t="str">
        <f aca="false">IF(A129="","",IF(OR(B129="",C129="",D129="",E129="",F129=""),"Name, source, target, direction, technology needed",IF(AND(COUNTIF(Ref_SYS!$A$2:$A$101,C129)=0,COUNTIF(Ref_SYS!$A$2:$A$101,D129)=0),"No in-scope SYS-ID on either side",IF(AND(J129="Y",K129=""),"Monitoring answer needed",IF(AND(O129="N",Q129=""),"Rationale needed","OK")))))</f>
        <v/>
      </c>
    </row>
    <row r="130" customFormat="false" ht="15" hidden="false" customHeight="false" outlineLevel="0" collapsed="false">
      <c r="A130" s="15"/>
      <c r="B130" s="15"/>
      <c r="C130" s="15"/>
      <c r="D130" s="15"/>
      <c r="E130" s="15"/>
      <c r="F130" s="15"/>
      <c r="G130" s="15"/>
      <c r="H130" s="15"/>
      <c r="I130" s="15"/>
      <c r="J130" s="15"/>
      <c r="K130" s="15"/>
      <c r="L130" s="15"/>
      <c r="M130" s="15"/>
      <c r="N130" s="15"/>
      <c r="O130" s="15"/>
      <c r="P130" s="15"/>
      <c r="Q130" s="15"/>
      <c r="R130" s="16" t="str">
        <f aca="false">IF(A130="","",IF(AND(J130="Y",OR(K130="None",K130="TBC",K130="",L130="N",L130="TBC",L130="")),"Carry to W04 as risk","—"))</f>
        <v/>
      </c>
      <c r="S130" s="16" t="str">
        <f aca="false">IF(A130="","",IF(OR(B130="",C130="",D130="",E130="",F130=""),"Name, source, target, direction, technology needed",IF(AND(COUNTIF(Ref_SYS!$A$2:$A$101,C130)=0,COUNTIF(Ref_SYS!$A$2:$A$101,D130)=0),"No in-scope SYS-ID on either side",IF(AND(J130="Y",K130=""),"Monitoring answer needed",IF(AND(O130="N",Q130=""),"Rationale needed","OK")))))</f>
        <v/>
      </c>
    </row>
    <row r="131" customFormat="false" ht="15" hidden="false" customHeight="false" outlineLevel="0" collapsed="false">
      <c r="A131" s="15"/>
      <c r="B131" s="15"/>
      <c r="C131" s="15"/>
      <c r="D131" s="15"/>
      <c r="E131" s="15"/>
      <c r="F131" s="15"/>
      <c r="G131" s="15"/>
      <c r="H131" s="15"/>
      <c r="I131" s="15"/>
      <c r="J131" s="15"/>
      <c r="K131" s="15"/>
      <c r="L131" s="15"/>
      <c r="M131" s="15"/>
      <c r="N131" s="15"/>
      <c r="O131" s="15"/>
      <c r="P131" s="15"/>
      <c r="Q131" s="15"/>
      <c r="R131" s="16" t="str">
        <f aca="false">IF(A131="","",IF(AND(J131="Y",OR(K131="None",K131="TBC",K131="",L131="N",L131="TBC",L131="")),"Carry to W04 as risk","—"))</f>
        <v/>
      </c>
      <c r="S131" s="16" t="str">
        <f aca="false">IF(A131="","",IF(OR(B131="",C131="",D131="",E131="",F131=""),"Name, source, target, direction, technology needed",IF(AND(COUNTIF(Ref_SYS!$A$2:$A$101,C131)=0,COUNTIF(Ref_SYS!$A$2:$A$101,D131)=0),"No in-scope SYS-ID on either side",IF(AND(J131="Y",K131=""),"Monitoring answer needed",IF(AND(O131="N",Q131=""),"Rationale needed","OK")))))</f>
        <v/>
      </c>
    </row>
    <row r="132" customFormat="false" ht="15" hidden="false" customHeight="false" outlineLevel="0" collapsed="false">
      <c r="A132" s="15"/>
      <c r="B132" s="15"/>
      <c r="C132" s="15"/>
      <c r="D132" s="15"/>
      <c r="E132" s="15"/>
      <c r="F132" s="15"/>
      <c r="G132" s="15"/>
      <c r="H132" s="15"/>
      <c r="I132" s="15"/>
      <c r="J132" s="15"/>
      <c r="K132" s="15"/>
      <c r="L132" s="15"/>
      <c r="M132" s="15"/>
      <c r="N132" s="15"/>
      <c r="O132" s="15"/>
      <c r="P132" s="15"/>
      <c r="Q132" s="15"/>
      <c r="R132" s="16" t="str">
        <f aca="false">IF(A132="","",IF(AND(J132="Y",OR(K132="None",K132="TBC",K132="",L132="N",L132="TBC",L132="")),"Carry to W04 as risk","—"))</f>
        <v/>
      </c>
      <c r="S132" s="16" t="str">
        <f aca="false">IF(A132="","",IF(OR(B132="",C132="",D132="",E132="",F132=""),"Name, source, target, direction, technology needed",IF(AND(COUNTIF(Ref_SYS!$A$2:$A$101,C132)=0,COUNTIF(Ref_SYS!$A$2:$A$101,D132)=0),"No in-scope SYS-ID on either side",IF(AND(J132="Y",K132=""),"Monitoring answer needed",IF(AND(O132="N",Q132=""),"Rationale needed","OK")))))</f>
        <v/>
      </c>
    </row>
    <row r="133" customFormat="false" ht="15" hidden="false" customHeight="false" outlineLevel="0" collapsed="false">
      <c r="A133" s="15"/>
      <c r="B133" s="15"/>
      <c r="C133" s="15"/>
      <c r="D133" s="15"/>
      <c r="E133" s="15"/>
      <c r="F133" s="15"/>
      <c r="G133" s="15"/>
      <c r="H133" s="15"/>
      <c r="I133" s="15"/>
      <c r="J133" s="15"/>
      <c r="K133" s="15"/>
      <c r="L133" s="15"/>
      <c r="M133" s="15"/>
      <c r="N133" s="15"/>
      <c r="O133" s="15"/>
      <c r="P133" s="15"/>
      <c r="Q133" s="15"/>
      <c r="R133" s="16" t="str">
        <f aca="false">IF(A133="","",IF(AND(J133="Y",OR(K133="None",K133="TBC",K133="",L133="N",L133="TBC",L133="")),"Carry to W04 as risk","—"))</f>
        <v/>
      </c>
      <c r="S133" s="16" t="str">
        <f aca="false">IF(A133="","",IF(OR(B133="",C133="",D133="",E133="",F133=""),"Name, source, target, direction, technology needed",IF(AND(COUNTIF(Ref_SYS!$A$2:$A$101,C133)=0,COUNTIF(Ref_SYS!$A$2:$A$101,D133)=0),"No in-scope SYS-ID on either side",IF(AND(J133="Y",K133=""),"Monitoring answer needed",IF(AND(O133="N",Q133=""),"Rationale needed","OK")))))</f>
        <v/>
      </c>
    </row>
    <row r="134" customFormat="false" ht="15" hidden="false" customHeight="false" outlineLevel="0" collapsed="false">
      <c r="A134" s="15"/>
      <c r="B134" s="15"/>
      <c r="C134" s="15"/>
      <c r="D134" s="15"/>
      <c r="E134" s="15"/>
      <c r="F134" s="15"/>
      <c r="G134" s="15"/>
      <c r="H134" s="15"/>
      <c r="I134" s="15"/>
      <c r="J134" s="15"/>
      <c r="K134" s="15"/>
      <c r="L134" s="15"/>
      <c r="M134" s="15"/>
      <c r="N134" s="15"/>
      <c r="O134" s="15"/>
      <c r="P134" s="15"/>
      <c r="Q134" s="15"/>
      <c r="R134" s="16" t="str">
        <f aca="false">IF(A134="","",IF(AND(J134="Y",OR(K134="None",K134="TBC",K134="",L134="N",L134="TBC",L134="")),"Carry to W04 as risk","—"))</f>
        <v/>
      </c>
      <c r="S134" s="16" t="str">
        <f aca="false">IF(A134="","",IF(OR(B134="",C134="",D134="",E134="",F134=""),"Name, source, target, direction, technology needed",IF(AND(COUNTIF(Ref_SYS!$A$2:$A$101,C134)=0,COUNTIF(Ref_SYS!$A$2:$A$101,D134)=0),"No in-scope SYS-ID on either side",IF(AND(J134="Y",K134=""),"Monitoring answer needed",IF(AND(O134="N",Q134=""),"Rationale needed","OK")))))</f>
        <v/>
      </c>
    </row>
    <row r="135" customFormat="false" ht="15" hidden="false" customHeight="false" outlineLevel="0" collapsed="false">
      <c r="A135" s="15"/>
      <c r="B135" s="15"/>
      <c r="C135" s="15"/>
      <c r="D135" s="15"/>
      <c r="E135" s="15"/>
      <c r="F135" s="15"/>
      <c r="G135" s="15"/>
      <c r="H135" s="15"/>
      <c r="I135" s="15"/>
      <c r="J135" s="15"/>
      <c r="K135" s="15"/>
      <c r="L135" s="15"/>
      <c r="M135" s="15"/>
      <c r="N135" s="15"/>
      <c r="O135" s="15"/>
      <c r="P135" s="15"/>
      <c r="Q135" s="15"/>
      <c r="R135" s="16" t="str">
        <f aca="false">IF(A135="","",IF(AND(J135="Y",OR(K135="None",K135="TBC",K135="",L135="N",L135="TBC",L135="")),"Carry to W04 as risk","—"))</f>
        <v/>
      </c>
      <c r="S135" s="16" t="str">
        <f aca="false">IF(A135="","",IF(OR(B135="",C135="",D135="",E135="",F135=""),"Name, source, target, direction, technology needed",IF(AND(COUNTIF(Ref_SYS!$A$2:$A$101,C135)=0,COUNTIF(Ref_SYS!$A$2:$A$101,D135)=0),"No in-scope SYS-ID on either side",IF(AND(J135="Y",K135=""),"Monitoring answer needed",IF(AND(O135="N",Q135=""),"Rationale needed","OK")))))</f>
        <v/>
      </c>
    </row>
    <row r="136" customFormat="false" ht="15" hidden="false" customHeight="false" outlineLevel="0" collapsed="false">
      <c r="A136" s="15"/>
      <c r="B136" s="15"/>
      <c r="C136" s="15"/>
      <c r="D136" s="15"/>
      <c r="E136" s="15"/>
      <c r="F136" s="15"/>
      <c r="G136" s="15"/>
      <c r="H136" s="15"/>
      <c r="I136" s="15"/>
      <c r="J136" s="15"/>
      <c r="K136" s="15"/>
      <c r="L136" s="15"/>
      <c r="M136" s="15"/>
      <c r="N136" s="15"/>
      <c r="O136" s="15"/>
      <c r="P136" s="15"/>
      <c r="Q136" s="15"/>
      <c r="R136" s="16" t="str">
        <f aca="false">IF(A136="","",IF(AND(J136="Y",OR(K136="None",K136="TBC",K136="",L136="N",L136="TBC",L136="")),"Carry to W04 as risk","—"))</f>
        <v/>
      </c>
      <c r="S136" s="16" t="str">
        <f aca="false">IF(A136="","",IF(OR(B136="",C136="",D136="",E136="",F136=""),"Name, source, target, direction, technology needed",IF(AND(COUNTIF(Ref_SYS!$A$2:$A$101,C136)=0,COUNTIF(Ref_SYS!$A$2:$A$101,D136)=0),"No in-scope SYS-ID on either side",IF(AND(J136="Y",K136=""),"Monitoring answer needed",IF(AND(O136="N",Q136=""),"Rationale needed","OK")))))</f>
        <v/>
      </c>
    </row>
    <row r="137" customFormat="false" ht="15" hidden="false" customHeight="false" outlineLevel="0" collapsed="false">
      <c r="A137" s="15"/>
      <c r="B137" s="15"/>
      <c r="C137" s="15"/>
      <c r="D137" s="15"/>
      <c r="E137" s="15"/>
      <c r="F137" s="15"/>
      <c r="G137" s="15"/>
      <c r="H137" s="15"/>
      <c r="I137" s="15"/>
      <c r="J137" s="15"/>
      <c r="K137" s="15"/>
      <c r="L137" s="15"/>
      <c r="M137" s="15"/>
      <c r="N137" s="15"/>
      <c r="O137" s="15"/>
      <c r="P137" s="15"/>
      <c r="Q137" s="15"/>
      <c r="R137" s="16" t="str">
        <f aca="false">IF(A137="","",IF(AND(J137="Y",OR(K137="None",K137="TBC",K137="",L137="N",L137="TBC",L137="")),"Carry to W04 as risk","—"))</f>
        <v/>
      </c>
      <c r="S137" s="16" t="str">
        <f aca="false">IF(A137="","",IF(OR(B137="",C137="",D137="",E137="",F137=""),"Name, source, target, direction, technology needed",IF(AND(COUNTIF(Ref_SYS!$A$2:$A$101,C137)=0,COUNTIF(Ref_SYS!$A$2:$A$101,D137)=0),"No in-scope SYS-ID on either side",IF(AND(J137="Y",K137=""),"Monitoring answer needed",IF(AND(O137="N",Q137=""),"Rationale needed","OK")))))</f>
        <v/>
      </c>
    </row>
    <row r="138" customFormat="false" ht="15" hidden="false" customHeight="false" outlineLevel="0" collapsed="false">
      <c r="A138" s="15"/>
      <c r="B138" s="15"/>
      <c r="C138" s="15"/>
      <c r="D138" s="15"/>
      <c r="E138" s="15"/>
      <c r="F138" s="15"/>
      <c r="G138" s="15"/>
      <c r="H138" s="15"/>
      <c r="I138" s="15"/>
      <c r="J138" s="15"/>
      <c r="K138" s="15"/>
      <c r="L138" s="15"/>
      <c r="M138" s="15"/>
      <c r="N138" s="15"/>
      <c r="O138" s="15"/>
      <c r="P138" s="15"/>
      <c r="Q138" s="15"/>
      <c r="R138" s="16" t="str">
        <f aca="false">IF(A138="","",IF(AND(J138="Y",OR(K138="None",K138="TBC",K138="",L138="N",L138="TBC",L138="")),"Carry to W04 as risk","—"))</f>
        <v/>
      </c>
      <c r="S138" s="16" t="str">
        <f aca="false">IF(A138="","",IF(OR(B138="",C138="",D138="",E138="",F138=""),"Name, source, target, direction, technology needed",IF(AND(COUNTIF(Ref_SYS!$A$2:$A$101,C138)=0,COUNTIF(Ref_SYS!$A$2:$A$101,D138)=0),"No in-scope SYS-ID on either side",IF(AND(J138="Y",K138=""),"Monitoring answer needed",IF(AND(O138="N",Q138=""),"Rationale needed","OK")))))</f>
        <v/>
      </c>
    </row>
    <row r="139" customFormat="false" ht="15" hidden="false" customHeight="false" outlineLevel="0" collapsed="false">
      <c r="A139" s="15"/>
      <c r="B139" s="15"/>
      <c r="C139" s="15"/>
      <c r="D139" s="15"/>
      <c r="E139" s="15"/>
      <c r="F139" s="15"/>
      <c r="G139" s="15"/>
      <c r="H139" s="15"/>
      <c r="I139" s="15"/>
      <c r="J139" s="15"/>
      <c r="K139" s="15"/>
      <c r="L139" s="15"/>
      <c r="M139" s="15"/>
      <c r="N139" s="15"/>
      <c r="O139" s="15"/>
      <c r="P139" s="15"/>
      <c r="Q139" s="15"/>
      <c r="R139" s="16" t="str">
        <f aca="false">IF(A139="","",IF(AND(J139="Y",OR(K139="None",K139="TBC",K139="",L139="N",L139="TBC",L139="")),"Carry to W04 as risk","—"))</f>
        <v/>
      </c>
      <c r="S139" s="16" t="str">
        <f aca="false">IF(A139="","",IF(OR(B139="",C139="",D139="",E139="",F139=""),"Name, source, target, direction, technology needed",IF(AND(COUNTIF(Ref_SYS!$A$2:$A$101,C139)=0,COUNTIF(Ref_SYS!$A$2:$A$101,D139)=0),"No in-scope SYS-ID on either side",IF(AND(J139="Y",K139=""),"Monitoring answer needed",IF(AND(O139="N",Q139=""),"Rationale needed","OK")))))</f>
        <v/>
      </c>
    </row>
    <row r="140" customFormat="false" ht="15" hidden="false" customHeight="false" outlineLevel="0" collapsed="false">
      <c r="A140" s="15"/>
      <c r="B140" s="15"/>
      <c r="C140" s="15"/>
      <c r="D140" s="15"/>
      <c r="E140" s="15"/>
      <c r="F140" s="15"/>
      <c r="G140" s="15"/>
      <c r="H140" s="15"/>
      <c r="I140" s="15"/>
      <c r="J140" s="15"/>
      <c r="K140" s="15"/>
      <c r="L140" s="15"/>
      <c r="M140" s="15"/>
      <c r="N140" s="15"/>
      <c r="O140" s="15"/>
      <c r="P140" s="15"/>
      <c r="Q140" s="15"/>
      <c r="R140" s="16" t="str">
        <f aca="false">IF(A140="","",IF(AND(J140="Y",OR(K140="None",K140="TBC",K140="",L140="N",L140="TBC",L140="")),"Carry to W04 as risk","—"))</f>
        <v/>
      </c>
      <c r="S140" s="16" t="str">
        <f aca="false">IF(A140="","",IF(OR(B140="",C140="",D140="",E140="",F140=""),"Name, source, target, direction, technology needed",IF(AND(COUNTIF(Ref_SYS!$A$2:$A$101,C140)=0,COUNTIF(Ref_SYS!$A$2:$A$101,D140)=0),"No in-scope SYS-ID on either side",IF(AND(J140="Y",K140=""),"Monitoring answer needed",IF(AND(O140="N",Q140=""),"Rationale needed","OK")))))</f>
        <v/>
      </c>
    </row>
    <row r="141" customFormat="false" ht="15" hidden="false" customHeight="false" outlineLevel="0" collapsed="false">
      <c r="A141" s="15"/>
      <c r="B141" s="15"/>
      <c r="C141" s="15"/>
      <c r="D141" s="15"/>
      <c r="E141" s="15"/>
      <c r="F141" s="15"/>
      <c r="G141" s="15"/>
      <c r="H141" s="15"/>
      <c r="I141" s="15"/>
      <c r="J141" s="15"/>
      <c r="K141" s="15"/>
      <c r="L141" s="15"/>
      <c r="M141" s="15"/>
      <c r="N141" s="15"/>
      <c r="O141" s="15"/>
      <c r="P141" s="15"/>
      <c r="Q141" s="15"/>
      <c r="R141" s="16" t="str">
        <f aca="false">IF(A141="","",IF(AND(J141="Y",OR(K141="None",K141="TBC",K141="",L141="N",L141="TBC",L141="")),"Carry to W04 as risk","—"))</f>
        <v/>
      </c>
      <c r="S141" s="16" t="str">
        <f aca="false">IF(A141="","",IF(OR(B141="",C141="",D141="",E141="",F141=""),"Name, source, target, direction, technology needed",IF(AND(COUNTIF(Ref_SYS!$A$2:$A$101,C141)=0,COUNTIF(Ref_SYS!$A$2:$A$101,D141)=0),"No in-scope SYS-ID on either side",IF(AND(J141="Y",K141=""),"Monitoring answer needed",IF(AND(O141="N",Q141=""),"Rationale needed","OK")))))</f>
        <v/>
      </c>
    </row>
    <row r="142" customFormat="false" ht="15" hidden="false" customHeight="false" outlineLevel="0" collapsed="false">
      <c r="A142" s="15"/>
      <c r="B142" s="15"/>
      <c r="C142" s="15"/>
      <c r="D142" s="15"/>
      <c r="E142" s="15"/>
      <c r="F142" s="15"/>
      <c r="G142" s="15"/>
      <c r="H142" s="15"/>
      <c r="I142" s="15"/>
      <c r="J142" s="15"/>
      <c r="K142" s="15"/>
      <c r="L142" s="15"/>
      <c r="M142" s="15"/>
      <c r="N142" s="15"/>
      <c r="O142" s="15"/>
      <c r="P142" s="15"/>
      <c r="Q142" s="15"/>
      <c r="R142" s="16" t="str">
        <f aca="false">IF(A142="","",IF(AND(J142="Y",OR(K142="None",K142="TBC",K142="",L142="N",L142="TBC",L142="")),"Carry to W04 as risk","—"))</f>
        <v/>
      </c>
      <c r="S142" s="16" t="str">
        <f aca="false">IF(A142="","",IF(OR(B142="",C142="",D142="",E142="",F142=""),"Name, source, target, direction, technology needed",IF(AND(COUNTIF(Ref_SYS!$A$2:$A$101,C142)=0,COUNTIF(Ref_SYS!$A$2:$A$101,D142)=0),"No in-scope SYS-ID on either side",IF(AND(J142="Y",K142=""),"Monitoring answer needed",IF(AND(O142="N",Q142=""),"Rationale needed","OK")))))</f>
        <v/>
      </c>
    </row>
    <row r="143" customFormat="false" ht="15" hidden="false" customHeight="false" outlineLevel="0" collapsed="false">
      <c r="A143" s="15"/>
      <c r="B143" s="15"/>
      <c r="C143" s="15"/>
      <c r="D143" s="15"/>
      <c r="E143" s="15"/>
      <c r="F143" s="15"/>
      <c r="G143" s="15"/>
      <c r="H143" s="15"/>
      <c r="I143" s="15"/>
      <c r="J143" s="15"/>
      <c r="K143" s="15"/>
      <c r="L143" s="15"/>
      <c r="M143" s="15"/>
      <c r="N143" s="15"/>
      <c r="O143" s="15"/>
      <c r="P143" s="15"/>
      <c r="Q143" s="15"/>
      <c r="R143" s="16" t="str">
        <f aca="false">IF(A143="","",IF(AND(J143="Y",OR(K143="None",K143="TBC",K143="",L143="N",L143="TBC",L143="")),"Carry to W04 as risk","—"))</f>
        <v/>
      </c>
      <c r="S143" s="16" t="str">
        <f aca="false">IF(A143="","",IF(OR(B143="",C143="",D143="",E143="",F143=""),"Name, source, target, direction, technology needed",IF(AND(COUNTIF(Ref_SYS!$A$2:$A$101,C143)=0,COUNTIF(Ref_SYS!$A$2:$A$101,D143)=0),"No in-scope SYS-ID on either side",IF(AND(J143="Y",K143=""),"Monitoring answer needed",IF(AND(O143="N",Q143=""),"Rationale needed","OK")))))</f>
        <v/>
      </c>
    </row>
    <row r="144" customFormat="false" ht="15" hidden="false" customHeight="false" outlineLevel="0" collapsed="false">
      <c r="A144" s="15"/>
      <c r="B144" s="15"/>
      <c r="C144" s="15"/>
      <c r="D144" s="15"/>
      <c r="E144" s="15"/>
      <c r="F144" s="15"/>
      <c r="G144" s="15"/>
      <c r="H144" s="15"/>
      <c r="I144" s="15"/>
      <c r="J144" s="15"/>
      <c r="K144" s="15"/>
      <c r="L144" s="15"/>
      <c r="M144" s="15"/>
      <c r="N144" s="15"/>
      <c r="O144" s="15"/>
      <c r="P144" s="15"/>
      <c r="Q144" s="15"/>
      <c r="R144" s="16" t="str">
        <f aca="false">IF(A144="","",IF(AND(J144="Y",OR(K144="None",K144="TBC",K144="",L144="N",L144="TBC",L144="")),"Carry to W04 as risk","—"))</f>
        <v/>
      </c>
      <c r="S144" s="16" t="str">
        <f aca="false">IF(A144="","",IF(OR(B144="",C144="",D144="",E144="",F144=""),"Name, source, target, direction, technology needed",IF(AND(COUNTIF(Ref_SYS!$A$2:$A$101,C144)=0,COUNTIF(Ref_SYS!$A$2:$A$101,D144)=0),"No in-scope SYS-ID on either side",IF(AND(J144="Y",K144=""),"Monitoring answer needed",IF(AND(O144="N",Q144=""),"Rationale needed","OK")))))</f>
        <v/>
      </c>
    </row>
    <row r="145" customFormat="false" ht="15" hidden="false" customHeight="false" outlineLevel="0" collapsed="false">
      <c r="A145" s="15"/>
      <c r="B145" s="15"/>
      <c r="C145" s="15"/>
      <c r="D145" s="15"/>
      <c r="E145" s="15"/>
      <c r="F145" s="15"/>
      <c r="G145" s="15"/>
      <c r="H145" s="15"/>
      <c r="I145" s="15"/>
      <c r="J145" s="15"/>
      <c r="K145" s="15"/>
      <c r="L145" s="15"/>
      <c r="M145" s="15"/>
      <c r="N145" s="15"/>
      <c r="O145" s="15"/>
      <c r="P145" s="15"/>
      <c r="Q145" s="15"/>
      <c r="R145" s="16" t="str">
        <f aca="false">IF(A145="","",IF(AND(J145="Y",OR(K145="None",K145="TBC",K145="",L145="N",L145="TBC",L145="")),"Carry to W04 as risk","—"))</f>
        <v/>
      </c>
      <c r="S145" s="16" t="str">
        <f aca="false">IF(A145="","",IF(OR(B145="",C145="",D145="",E145="",F145=""),"Name, source, target, direction, technology needed",IF(AND(COUNTIF(Ref_SYS!$A$2:$A$101,C145)=0,COUNTIF(Ref_SYS!$A$2:$A$101,D145)=0),"No in-scope SYS-ID on either side",IF(AND(J145="Y",K145=""),"Monitoring answer needed",IF(AND(O145="N",Q145=""),"Rationale needed","OK")))))</f>
        <v/>
      </c>
    </row>
    <row r="146" customFormat="false" ht="15" hidden="false" customHeight="false" outlineLevel="0" collapsed="false">
      <c r="A146" s="15"/>
      <c r="B146" s="15"/>
      <c r="C146" s="15"/>
      <c r="D146" s="15"/>
      <c r="E146" s="15"/>
      <c r="F146" s="15"/>
      <c r="G146" s="15"/>
      <c r="H146" s="15"/>
      <c r="I146" s="15"/>
      <c r="J146" s="15"/>
      <c r="K146" s="15"/>
      <c r="L146" s="15"/>
      <c r="M146" s="15"/>
      <c r="N146" s="15"/>
      <c r="O146" s="15"/>
      <c r="P146" s="15"/>
      <c r="Q146" s="15"/>
      <c r="R146" s="16" t="str">
        <f aca="false">IF(A146="","",IF(AND(J146="Y",OR(K146="None",K146="TBC",K146="",L146="N",L146="TBC",L146="")),"Carry to W04 as risk","—"))</f>
        <v/>
      </c>
      <c r="S146" s="16" t="str">
        <f aca="false">IF(A146="","",IF(OR(B146="",C146="",D146="",E146="",F146=""),"Name, source, target, direction, technology needed",IF(AND(COUNTIF(Ref_SYS!$A$2:$A$101,C146)=0,COUNTIF(Ref_SYS!$A$2:$A$101,D146)=0),"No in-scope SYS-ID on either side",IF(AND(J146="Y",K146=""),"Monitoring answer needed",IF(AND(O146="N",Q146=""),"Rationale needed","OK")))))</f>
        <v/>
      </c>
    </row>
    <row r="147" customFormat="false" ht="15" hidden="false" customHeight="false" outlineLevel="0" collapsed="false">
      <c r="A147" s="15"/>
      <c r="B147" s="15"/>
      <c r="C147" s="15"/>
      <c r="D147" s="15"/>
      <c r="E147" s="15"/>
      <c r="F147" s="15"/>
      <c r="G147" s="15"/>
      <c r="H147" s="15"/>
      <c r="I147" s="15"/>
      <c r="J147" s="15"/>
      <c r="K147" s="15"/>
      <c r="L147" s="15"/>
      <c r="M147" s="15"/>
      <c r="N147" s="15"/>
      <c r="O147" s="15"/>
      <c r="P147" s="15"/>
      <c r="Q147" s="15"/>
      <c r="R147" s="16" t="str">
        <f aca="false">IF(A147="","",IF(AND(J147="Y",OR(K147="None",K147="TBC",K147="",L147="N",L147="TBC",L147="")),"Carry to W04 as risk","—"))</f>
        <v/>
      </c>
      <c r="S147" s="16" t="str">
        <f aca="false">IF(A147="","",IF(OR(B147="",C147="",D147="",E147="",F147=""),"Name, source, target, direction, technology needed",IF(AND(COUNTIF(Ref_SYS!$A$2:$A$101,C147)=0,COUNTIF(Ref_SYS!$A$2:$A$101,D147)=0),"No in-scope SYS-ID on either side",IF(AND(J147="Y",K147=""),"Monitoring answer needed",IF(AND(O147="N",Q147=""),"Rationale needed","OK")))))</f>
        <v/>
      </c>
    </row>
    <row r="148" customFormat="false" ht="15" hidden="false" customHeight="false" outlineLevel="0" collapsed="false">
      <c r="A148" s="15"/>
      <c r="B148" s="15"/>
      <c r="C148" s="15"/>
      <c r="D148" s="15"/>
      <c r="E148" s="15"/>
      <c r="F148" s="15"/>
      <c r="G148" s="15"/>
      <c r="H148" s="15"/>
      <c r="I148" s="15"/>
      <c r="J148" s="15"/>
      <c r="K148" s="15"/>
      <c r="L148" s="15"/>
      <c r="M148" s="15"/>
      <c r="N148" s="15"/>
      <c r="O148" s="15"/>
      <c r="P148" s="15"/>
      <c r="Q148" s="15"/>
      <c r="R148" s="16" t="str">
        <f aca="false">IF(A148="","",IF(AND(J148="Y",OR(K148="None",K148="TBC",K148="",L148="N",L148="TBC",L148="")),"Carry to W04 as risk","—"))</f>
        <v/>
      </c>
      <c r="S148" s="16" t="str">
        <f aca="false">IF(A148="","",IF(OR(B148="",C148="",D148="",E148="",F148=""),"Name, source, target, direction, technology needed",IF(AND(COUNTIF(Ref_SYS!$A$2:$A$101,C148)=0,COUNTIF(Ref_SYS!$A$2:$A$101,D148)=0),"No in-scope SYS-ID on either side",IF(AND(J148="Y",K148=""),"Monitoring answer needed",IF(AND(O148="N",Q148=""),"Rationale needed","OK")))))</f>
        <v/>
      </c>
    </row>
    <row r="149" customFormat="false" ht="15" hidden="false" customHeight="false" outlineLevel="0" collapsed="false">
      <c r="A149" s="15"/>
      <c r="B149" s="15"/>
      <c r="C149" s="15"/>
      <c r="D149" s="15"/>
      <c r="E149" s="15"/>
      <c r="F149" s="15"/>
      <c r="G149" s="15"/>
      <c r="H149" s="15"/>
      <c r="I149" s="15"/>
      <c r="J149" s="15"/>
      <c r="K149" s="15"/>
      <c r="L149" s="15"/>
      <c r="M149" s="15"/>
      <c r="N149" s="15"/>
      <c r="O149" s="15"/>
      <c r="P149" s="15"/>
      <c r="Q149" s="15"/>
      <c r="R149" s="16" t="str">
        <f aca="false">IF(A149="","",IF(AND(J149="Y",OR(K149="None",K149="TBC",K149="",L149="N",L149="TBC",L149="")),"Carry to W04 as risk","—"))</f>
        <v/>
      </c>
      <c r="S149" s="16" t="str">
        <f aca="false">IF(A149="","",IF(OR(B149="",C149="",D149="",E149="",F149=""),"Name, source, target, direction, technology needed",IF(AND(COUNTIF(Ref_SYS!$A$2:$A$101,C149)=0,COUNTIF(Ref_SYS!$A$2:$A$101,D149)=0),"No in-scope SYS-ID on either side",IF(AND(J149="Y",K149=""),"Monitoring answer needed",IF(AND(O149="N",Q149=""),"Rationale needed","OK")))))</f>
        <v/>
      </c>
    </row>
    <row r="150" customFormat="false" ht="15" hidden="false" customHeight="false" outlineLevel="0" collapsed="false">
      <c r="A150" s="15"/>
      <c r="B150" s="15"/>
      <c r="C150" s="15"/>
      <c r="D150" s="15"/>
      <c r="E150" s="15"/>
      <c r="F150" s="15"/>
      <c r="G150" s="15"/>
      <c r="H150" s="15"/>
      <c r="I150" s="15"/>
      <c r="J150" s="15"/>
      <c r="K150" s="15"/>
      <c r="L150" s="15"/>
      <c r="M150" s="15"/>
      <c r="N150" s="15"/>
      <c r="O150" s="15"/>
      <c r="P150" s="15"/>
      <c r="Q150" s="15"/>
      <c r="R150" s="16" t="str">
        <f aca="false">IF(A150="","",IF(AND(J150="Y",OR(K150="None",K150="TBC",K150="",L150="N",L150="TBC",L150="")),"Carry to W04 as risk","—"))</f>
        <v/>
      </c>
      <c r="S150" s="16" t="str">
        <f aca="false">IF(A150="","",IF(OR(B150="",C150="",D150="",E150="",F150=""),"Name, source, target, direction, technology needed",IF(AND(COUNTIF(Ref_SYS!$A$2:$A$101,C150)=0,COUNTIF(Ref_SYS!$A$2:$A$101,D150)=0),"No in-scope SYS-ID on either side",IF(AND(J150="Y",K150=""),"Monitoring answer needed",IF(AND(O150="N",Q150=""),"Rationale needed","OK")))))</f>
        <v/>
      </c>
    </row>
    <row r="151" customFormat="false" ht="15" hidden="false" customHeight="false" outlineLevel="0" collapsed="false">
      <c r="A151" s="15"/>
      <c r="B151" s="15"/>
      <c r="C151" s="15"/>
      <c r="D151" s="15"/>
      <c r="E151" s="15"/>
      <c r="F151" s="15"/>
      <c r="G151" s="15"/>
      <c r="H151" s="15"/>
      <c r="I151" s="15"/>
      <c r="J151" s="15"/>
      <c r="K151" s="15"/>
      <c r="L151" s="15"/>
      <c r="M151" s="15"/>
      <c r="N151" s="15"/>
      <c r="O151" s="15"/>
      <c r="P151" s="15"/>
      <c r="Q151" s="15"/>
      <c r="R151" s="16" t="str">
        <f aca="false">IF(A151="","",IF(AND(J151="Y",OR(K151="None",K151="TBC",K151="",L151="N",L151="TBC",L151="")),"Carry to W04 as risk","—"))</f>
        <v/>
      </c>
      <c r="S151" s="16" t="str">
        <f aca="false">IF(A151="","",IF(OR(B151="",C151="",D151="",E151="",F151=""),"Name, source, target, direction, technology needed",IF(AND(COUNTIF(Ref_SYS!$A$2:$A$101,C151)=0,COUNTIF(Ref_SYS!$A$2:$A$101,D151)=0),"No in-scope SYS-ID on either side",IF(AND(J151="Y",K151=""),"Monitoring answer needed",IF(AND(O151="N",Q151=""),"Rationale needed","OK")))))</f>
        <v/>
      </c>
    </row>
    <row r="152" customFormat="false" ht="15" hidden="false" customHeight="false" outlineLevel="0" collapsed="false">
      <c r="A152" s="15"/>
      <c r="B152" s="15"/>
      <c r="C152" s="15"/>
      <c r="D152" s="15"/>
      <c r="E152" s="15"/>
      <c r="F152" s="15"/>
      <c r="G152" s="15"/>
      <c r="H152" s="15"/>
      <c r="I152" s="15"/>
      <c r="J152" s="15"/>
      <c r="K152" s="15"/>
      <c r="L152" s="15"/>
      <c r="M152" s="15"/>
      <c r="N152" s="15"/>
      <c r="O152" s="15"/>
      <c r="P152" s="15"/>
      <c r="Q152" s="15"/>
      <c r="R152" s="16" t="str">
        <f aca="false">IF(A152="","",IF(AND(J152="Y",OR(K152="None",K152="TBC",K152="",L152="N",L152="TBC",L152="")),"Carry to W04 as risk","—"))</f>
        <v/>
      </c>
      <c r="S152" s="16" t="str">
        <f aca="false">IF(A152="","",IF(OR(B152="",C152="",D152="",E152="",F152=""),"Name, source, target, direction, technology needed",IF(AND(COUNTIF(Ref_SYS!$A$2:$A$101,C152)=0,COUNTIF(Ref_SYS!$A$2:$A$101,D152)=0),"No in-scope SYS-ID on either side",IF(AND(J152="Y",K152=""),"Monitoring answer needed",IF(AND(O152="N",Q152=""),"Rationale needed","OK")))))</f>
        <v/>
      </c>
    </row>
    <row r="153" customFormat="false" ht="15" hidden="false" customHeight="false" outlineLevel="0" collapsed="false">
      <c r="A153" s="15"/>
      <c r="B153" s="15"/>
      <c r="C153" s="15"/>
      <c r="D153" s="15"/>
      <c r="E153" s="15"/>
      <c r="F153" s="15"/>
      <c r="G153" s="15"/>
      <c r="H153" s="15"/>
      <c r="I153" s="15"/>
      <c r="J153" s="15"/>
      <c r="K153" s="15"/>
      <c r="L153" s="15"/>
      <c r="M153" s="15"/>
      <c r="N153" s="15"/>
      <c r="O153" s="15"/>
      <c r="P153" s="15"/>
      <c r="Q153" s="15"/>
      <c r="R153" s="16" t="str">
        <f aca="false">IF(A153="","",IF(AND(J153="Y",OR(K153="None",K153="TBC",K153="",L153="N",L153="TBC",L153="")),"Carry to W04 as risk","—"))</f>
        <v/>
      </c>
      <c r="S153" s="16" t="str">
        <f aca="false">IF(A153="","",IF(OR(B153="",C153="",D153="",E153="",F153=""),"Name, source, target, direction, technology needed",IF(AND(COUNTIF(Ref_SYS!$A$2:$A$101,C153)=0,COUNTIF(Ref_SYS!$A$2:$A$101,D153)=0),"No in-scope SYS-ID on either side",IF(AND(J153="Y",K153=""),"Monitoring answer needed",IF(AND(O153="N",Q153=""),"Rationale needed","OK")))))</f>
        <v/>
      </c>
    </row>
    <row r="154" customFormat="false" ht="15" hidden="false" customHeight="false" outlineLevel="0" collapsed="false">
      <c r="A154" s="15"/>
      <c r="B154" s="15"/>
      <c r="C154" s="15"/>
      <c r="D154" s="15"/>
      <c r="E154" s="15"/>
      <c r="F154" s="15"/>
      <c r="G154" s="15"/>
      <c r="H154" s="15"/>
      <c r="I154" s="15"/>
      <c r="J154" s="15"/>
      <c r="K154" s="15"/>
      <c r="L154" s="15"/>
      <c r="M154" s="15"/>
      <c r="N154" s="15"/>
      <c r="O154" s="15"/>
      <c r="P154" s="15"/>
      <c r="Q154" s="15"/>
      <c r="R154" s="16" t="str">
        <f aca="false">IF(A154="","",IF(AND(J154="Y",OR(K154="None",K154="TBC",K154="",L154="N",L154="TBC",L154="")),"Carry to W04 as risk","—"))</f>
        <v/>
      </c>
      <c r="S154" s="16" t="str">
        <f aca="false">IF(A154="","",IF(OR(B154="",C154="",D154="",E154="",F154=""),"Name, source, target, direction, technology needed",IF(AND(COUNTIF(Ref_SYS!$A$2:$A$101,C154)=0,COUNTIF(Ref_SYS!$A$2:$A$101,D154)=0),"No in-scope SYS-ID on either side",IF(AND(J154="Y",K154=""),"Monitoring answer needed",IF(AND(O154="N",Q154=""),"Rationale needed","OK")))))</f>
        <v/>
      </c>
    </row>
    <row r="155" customFormat="false" ht="15" hidden="false" customHeight="false" outlineLevel="0" collapsed="false">
      <c r="A155" s="15"/>
      <c r="B155" s="15"/>
      <c r="C155" s="15"/>
      <c r="D155" s="15"/>
      <c r="E155" s="15"/>
      <c r="F155" s="15"/>
      <c r="G155" s="15"/>
      <c r="H155" s="15"/>
      <c r="I155" s="15"/>
      <c r="J155" s="15"/>
      <c r="K155" s="15"/>
      <c r="L155" s="15"/>
      <c r="M155" s="15"/>
      <c r="N155" s="15"/>
      <c r="O155" s="15"/>
      <c r="P155" s="15"/>
      <c r="Q155" s="15"/>
      <c r="R155" s="16" t="str">
        <f aca="false">IF(A155="","",IF(AND(J155="Y",OR(K155="None",K155="TBC",K155="",L155="N",L155="TBC",L155="")),"Carry to W04 as risk","—"))</f>
        <v/>
      </c>
      <c r="S155" s="16" t="str">
        <f aca="false">IF(A155="","",IF(OR(B155="",C155="",D155="",E155="",F155=""),"Name, source, target, direction, technology needed",IF(AND(COUNTIF(Ref_SYS!$A$2:$A$101,C155)=0,COUNTIF(Ref_SYS!$A$2:$A$101,D155)=0),"No in-scope SYS-ID on either side",IF(AND(J155="Y",K155=""),"Monitoring answer needed",IF(AND(O155="N",Q155=""),"Rationale needed","OK")))))</f>
        <v/>
      </c>
    </row>
    <row r="156" customFormat="false" ht="15" hidden="false" customHeight="false" outlineLevel="0" collapsed="false">
      <c r="A156" s="15"/>
      <c r="B156" s="15"/>
      <c r="C156" s="15"/>
      <c r="D156" s="15"/>
      <c r="E156" s="15"/>
      <c r="F156" s="15"/>
      <c r="G156" s="15"/>
      <c r="H156" s="15"/>
      <c r="I156" s="15"/>
      <c r="J156" s="15"/>
      <c r="K156" s="15"/>
      <c r="L156" s="15"/>
      <c r="M156" s="15"/>
      <c r="N156" s="15"/>
      <c r="O156" s="15"/>
      <c r="P156" s="15"/>
      <c r="Q156" s="15"/>
      <c r="R156" s="16" t="str">
        <f aca="false">IF(A156="","",IF(AND(J156="Y",OR(K156="None",K156="TBC",K156="",L156="N",L156="TBC",L156="")),"Carry to W04 as risk","—"))</f>
        <v/>
      </c>
      <c r="S156" s="16" t="str">
        <f aca="false">IF(A156="","",IF(OR(B156="",C156="",D156="",E156="",F156=""),"Name, source, target, direction, technology needed",IF(AND(COUNTIF(Ref_SYS!$A$2:$A$101,C156)=0,COUNTIF(Ref_SYS!$A$2:$A$101,D156)=0),"No in-scope SYS-ID on either side",IF(AND(J156="Y",K156=""),"Monitoring answer needed",IF(AND(O156="N",Q156=""),"Rationale needed","OK")))))</f>
        <v/>
      </c>
    </row>
    <row r="157" customFormat="false" ht="15" hidden="false" customHeight="false" outlineLevel="0" collapsed="false">
      <c r="A157" s="15"/>
      <c r="B157" s="15"/>
      <c r="C157" s="15"/>
      <c r="D157" s="15"/>
      <c r="E157" s="15"/>
      <c r="F157" s="15"/>
      <c r="G157" s="15"/>
      <c r="H157" s="15"/>
      <c r="I157" s="15"/>
      <c r="J157" s="15"/>
      <c r="K157" s="15"/>
      <c r="L157" s="15"/>
      <c r="M157" s="15"/>
      <c r="N157" s="15"/>
      <c r="O157" s="15"/>
      <c r="P157" s="15"/>
      <c r="Q157" s="15"/>
      <c r="R157" s="16" t="str">
        <f aca="false">IF(A157="","",IF(AND(J157="Y",OR(K157="None",K157="TBC",K157="",L157="N",L157="TBC",L157="")),"Carry to W04 as risk","—"))</f>
        <v/>
      </c>
      <c r="S157" s="16" t="str">
        <f aca="false">IF(A157="","",IF(OR(B157="",C157="",D157="",E157="",F157=""),"Name, source, target, direction, technology needed",IF(AND(COUNTIF(Ref_SYS!$A$2:$A$101,C157)=0,COUNTIF(Ref_SYS!$A$2:$A$101,D157)=0),"No in-scope SYS-ID on either side",IF(AND(J157="Y",K157=""),"Monitoring answer needed",IF(AND(O157="N",Q157=""),"Rationale needed","OK")))))</f>
        <v/>
      </c>
    </row>
    <row r="158" customFormat="false" ht="15" hidden="false" customHeight="false" outlineLevel="0" collapsed="false">
      <c r="A158" s="15"/>
      <c r="B158" s="15"/>
      <c r="C158" s="15"/>
      <c r="D158" s="15"/>
      <c r="E158" s="15"/>
      <c r="F158" s="15"/>
      <c r="G158" s="15"/>
      <c r="H158" s="15"/>
      <c r="I158" s="15"/>
      <c r="J158" s="15"/>
      <c r="K158" s="15"/>
      <c r="L158" s="15"/>
      <c r="M158" s="15"/>
      <c r="N158" s="15"/>
      <c r="O158" s="15"/>
      <c r="P158" s="15"/>
      <c r="Q158" s="15"/>
      <c r="R158" s="16" t="str">
        <f aca="false">IF(A158="","",IF(AND(J158="Y",OR(K158="None",K158="TBC",K158="",L158="N",L158="TBC",L158="")),"Carry to W04 as risk","—"))</f>
        <v/>
      </c>
      <c r="S158" s="16" t="str">
        <f aca="false">IF(A158="","",IF(OR(B158="",C158="",D158="",E158="",F158=""),"Name, source, target, direction, technology needed",IF(AND(COUNTIF(Ref_SYS!$A$2:$A$101,C158)=0,COUNTIF(Ref_SYS!$A$2:$A$101,D158)=0),"No in-scope SYS-ID on either side",IF(AND(J158="Y",K158=""),"Monitoring answer needed",IF(AND(O158="N",Q158=""),"Rationale needed","OK")))))</f>
        <v/>
      </c>
    </row>
    <row r="159" customFormat="false" ht="15" hidden="false" customHeight="false" outlineLevel="0" collapsed="false">
      <c r="A159" s="15"/>
      <c r="B159" s="15"/>
      <c r="C159" s="15"/>
      <c r="D159" s="15"/>
      <c r="E159" s="15"/>
      <c r="F159" s="15"/>
      <c r="G159" s="15"/>
      <c r="H159" s="15"/>
      <c r="I159" s="15"/>
      <c r="J159" s="15"/>
      <c r="K159" s="15"/>
      <c r="L159" s="15"/>
      <c r="M159" s="15"/>
      <c r="N159" s="15"/>
      <c r="O159" s="15"/>
      <c r="P159" s="15"/>
      <c r="Q159" s="15"/>
      <c r="R159" s="16" t="str">
        <f aca="false">IF(A159="","",IF(AND(J159="Y",OR(K159="None",K159="TBC",K159="",L159="N",L159="TBC",L159="")),"Carry to W04 as risk","—"))</f>
        <v/>
      </c>
      <c r="S159" s="16" t="str">
        <f aca="false">IF(A159="","",IF(OR(B159="",C159="",D159="",E159="",F159=""),"Name, source, target, direction, technology needed",IF(AND(COUNTIF(Ref_SYS!$A$2:$A$101,C159)=0,COUNTIF(Ref_SYS!$A$2:$A$101,D159)=0),"No in-scope SYS-ID on either side",IF(AND(J159="Y",K159=""),"Monitoring answer needed",IF(AND(O159="N",Q159=""),"Rationale needed","OK")))))</f>
        <v/>
      </c>
    </row>
    <row r="160" customFormat="false" ht="15" hidden="false" customHeight="false" outlineLevel="0" collapsed="false">
      <c r="A160" s="15"/>
      <c r="B160" s="15"/>
      <c r="C160" s="15"/>
      <c r="D160" s="15"/>
      <c r="E160" s="15"/>
      <c r="F160" s="15"/>
      <c r="G160" s="15"/>
      <c r="H160" s="15"/>
      <c r="I160" s="15"/>
      <c r="J160" s="15"/>
      <c r="K160" s="15"/>
      <c r="L160" s="15"/>
      <c r="M160" s="15"/>
      <c r="N160" s="15"/>
      <c r="O160" s="15"/>
      <c r="P160" s="15"/>
      <c r="Q160" s="15"/>
      <c r="R160" s="16" t="str">
        <f aca="false">IF(A160="","",IF(AND(J160="Y",OR(K160="None",K160="TBC",K160="",L160="N",L160="TBC",L160="")),"Carry to W04 as risk","—"))</f>
        <v/>
      </c>
      <c r="S160" s="16" t="str">
        <f aca="false">IF(A160="","",IF(OR(B160="",C160="",D160="",E160="",F160=""),"Name, source, target, direction, technology needed",IF(AND(COUNTIF(Ref_SYS!$A$2:$A$101,C160)=0,COUNTIF(Ref_SYS!$A$2:$A$101,D160)=0),"No in-scope SYS-ID on either side",IF(AND(J160="Y",K160=""),"Monitoring answer needed",IF(AND(O160="N",Q160=""),"Rationale needed","OK")))))</f>
        <v/>
      </c>
    </row>
    <row r="161" customFormat="false" ht="15" hidden="false" customHeight="false" outlineLevel="0" collapsed="false">
      <c r="A161" s="15"/>
      <c r="B161" s="15"/>
      <c r="C161" s="15"/>
      <c r="D161" s="15"/>
      <c r="E161" s="15"/>
      <c r="F161" s="15"/>
      <c r="G161" s="15"/>
      <c r="H161" s="15"/>
      <c r="I161" s="15"/>
      <c r="J161" s="15"/>
      <c r="K161" s="15"/>
      <c r="L161" s="15"/>
      <c r="M161" s="15"/>
      <c r="N161" s="15"/>
      <c r="O161" s="15"/>
      <c r="P161" s="15"/>
      <c r="Q161" s="15"/>
      <c r="R161" s="16" t="str">
        <f aca="false">IF(A161="","",IF(AND(J161="Y",OR(K161="None",K161="TBC",K161="",L161="N",L161="TBC",L161="")),"Carry to W04 as risk","—"))</f>
        <v/>
      </c>
      <c r="S161" s="16" t="str">
        <f aca="false">IF(A161="","",IF(OR(B161="",C161="",D161="",E161="",F161=""),"Name, source, target, direction, technology needed",IF(AND(COUNTIF(Ref_SYS!$A$2:$A$101,C161)=0,COUNTIF(Ref_SYS!$A$2:$A$101,D161)=0),"No in-scope SYS-ID on either side",IF(AND(J161="Y",K161=""),"Monitoring answer needed",IF(AND(O161="N",Q161=""),"Rationale needed","OK")))))</f>
        <v/>
      </c>
    </row>
    <row r="162" customFormat="false" ht="15" hidden="false" customHeight="false" outlineLevel="0" collapsed="false">
      <c r="A162" s="15"/>
      <c r="B162" s="15"/>
      <c r="C162" s="15"/>
      <c r="D162" s="15"/>
      <c r="E162" s="15"/>
      <c r="F162" s="15"/>
      <c r="G162" s="15"/>
      <c r="H162" s="15"/>
      <c r="I162" s="15"/>
      <c r="J162" s="15"/>
      <c r="K162" s="15"/>
      <c r="L162" s="15"/>
      <c r="M162" s="15"/>
      <c r="N162" s="15"/>
      <c r="O162" s="15"/>
      <c r="P162" s="15"/>
      <c r="Q162" s="15"/>
      <c r="R162" s="16" t="str">
        <f aca="false">IF(A162="","",IF(AND(J162="Y",OR(K162="None",K162="TBC",K162="",L162="N",L162="TBC",L162="")),"Carry to W04 as risk","—"))</f>
        <v/>
      </c>
      <c r="S162" s="16" t="str">
        <f aca="false">IF(A162="","",IF(OR(B162="",C162="",D162="",E162="",F162=""),"Name, source, target, direction, technology needed",IF(AND(COUNTIF(Ref_SYS!$A$2:$A$101,C162)=0,COUNTIF(Ref_SYS!$A$2:$A$101,D162)=0),"No in-scope SYS-ID on either side",IF(AND(J162="Y",K162=""),"Monitoring answer needed",IF(AND(O162="N",Q162=""),"Rationale needed","OK")))))</f>
        <v/>
      </c>
    </row>
    <row r="163" customFormat="false" ht="15" hidden="false" customHeight="false" outlineLevel="0" collapsed="false">
      <c r="A163" s="15"/>
      <c r="B163" s="15"/>
      <c r="C163" s="15"/>
      <c r="D163" s="15"/>
      <c r="E163" s="15"/>
      <c r="F163" s="15"/>
      <c r="G163" s="15"/>
      <c r="H163" s="15"/>
      <c r="I163" s="15"/>
      <c r="J163" s="15"/>
      <c r="K163" s="15"/>
      <c r="L163" s="15"/>
      <c r="M163" s="15"/>
      <c r="N163" s="15"/>
      <c r="O163" s="15"/>
      <c r="P163" s="15"/>
      <c r="Q163" s="15"/>
      <c r="R163" s="16" t="str">
        <f aca="false">IF(A163="","",IF(AND(J163="Y",OR(K163="None",K163="TBC",K163="",L163="N",L163="TBC",L163="")),"Carry to W04 as risk","—"))</f>
        <v/>
      </c>
      <c r="S163" s="16" t="str">
        <f aca="false">IF(A163="","",IF(OR(B163="",C163="",D163="",E163="",F163=""),"Name, source, target, direction, technology needed",IF(AND(COUNTIF(Ref_SYS!$A$2:$A$101,C163)=0,COUNTIF(Ref_SYS!$A$2:$A$101,D163)=0),"No in-scope SYS-ID on either side",IF(AND(J163="Y",K163=""),"Monitoring answer needed",IF(AND(O163="N",Q163=""),"Rationale needed","OK")))))</f>
        <v/>
      </c>
    </row>
    <row r="164" customFormat="false" ht="15" hidden="false" customHeight="false" outlineLevel="0" collapsed="false">
      <c r="A164" s="15"/>
      <c r="B164" s="15"/>
      <c r="C164" s="15"/>
      <c r="D164" s="15"/>
      <c r="E164" s="15"/>
      <c r="F164" s="15"/>
      <c r="G164" s="15"/>
      <c r="H164" s="15"/>
      <c r="I164" s="15"/>
      <c r="J164" s="15"/>
      <c r="K164" s="15"/>
      <c r="L164" s="15"/>
      <c r="M164" s="15"/>
      <c r="N164" s="15"/>
      <c r="O164" s="15"/>
      <c r="P164" s="15"/>
      <c r="Q164" s="15"/>
      <c r="R164" s="16" t="str">
        <f aca="false">IF(A164="","",IF(AND(J164="Y",OR(K164="None",K164="TBC",K164="",L164="N",L164="TBC",L164="")),"Carry to W04 as risk","—"))</f>
        <v/>
      </c>
      <c r="S164" s="16" t="str">
        <f aca="false">IF(A164="","",IF(OR(B164="",C164="",D164="",E164="",F164=""),"Name, source, target, direction, technology needed",IF(AND(COUNTIF(Ref_SYS!$A$2:$A$101,C164)=0,COUNTIF(Ref_SYS!$A$2:$A$101,D164)=0),"No in-scope SYS-ID on either side",IF(AND(J164="Y",K164=""),"Monitoring answer needed",IF(AND(O164="N",Q164=""),"Rationale needed","OK")))))</f>
        <v/>
      </c>
    </row>
    <row r="165" customFormat="false" ht="15" hidden="false" customHeight="false" outlineLevel="0" collapsed="false">
      <c r="A165" s="15"/>
      <c r="B165" s="15"/>
      <c r="C165" s="15"/>
      <c r="D165" s="15"/>
      <c r="E165" s="15"/>
      <c r="F165" s="15"/>
      <c r="G165" s="15"/>
      <c r="H165" s="15"/>
      <c r="I165" s="15"/>
      <c r="J165" s="15"/>
      <c r="K165" s="15"/>
      <c r="L165" s="15"/>
      <c r="M165" s="15"/>
      <c r="N165" s="15"/>
      <c r="O165" s="15"/>
      <c r="P165" s="15"/>
      <c r="Q165" s="15"/>
      <c r="R165" s="16" t="str">
        <f aca="false">IF(A165="","",IF(AND(J165="Y",OR(K165="None",K165="TBC",K165="",L165="N",L165="TBC",L165="")),"Carry to W04 as risk","—"))</f>
        <v/>
      </c>
      <c r="S165" s="16" t="str">
        <f aca="false">IF(A165="","",IF(OR(B165="",C165="",D165="",E165="",F165=""),"Name, source, target, direction, technology needed",IF(AND(COUNTIF(Ref_SYS!$A$2:$A$101,C165)=0,COUNTIF(Ref_SYS!$A$2:$A$101,D165)=0),"No in-scope SYS-ID on either side",IF(AND(J165="Y",K165=""),"Monitoring answer needed",IF(AND(O165="N",Q165=""),"Rationale needed","OK")))))</f>
        <v/>
      </c>
    </row>
    <row r="166" customFormat="false" ht="15" hidden="false" customHeight="false" outlineLevel="0" collapsed="false">
      <c r="A166" s="15"/>
      <c r="B166" s="15"/>
      <c r="C166" s="15"/>
      <c r="D166" s="15"/>
      <c r="E166" s="15"/>
      <c r="F166" s="15"/>
      <c r="G166" s="15"/>
      <c r="H166" s="15"/>
      <c r="I166" s="15"/>
      <c r="J166" s="15"/>
      <c r="K166" s="15"/>
      <c r="L166" s="15"/>
      <c r="M166" s="15"/>
      <c r="N166" s="15"/>
      <c r="O166" s="15"/>
      <c r="P166" s="15"/>
      <c r="Q166" s="15"/>
      <c r="R166" s="16" t="str">
        <f aca="false">IF(A166="","",IF(AND(J166="Y",OR(K166="None",K166="TBC",K166="",L166="N",L166="TBC",L166="")),"Carry to W04 as risk","—"))</f>
        <v/>
      </c>
      <c r="S166" s="16" t="str">
        <f aca="false">IF(A166="","",IF(OR(B166="",C166="",D166="",E166="",F166=""),"Name, source, target, direction, technology needed",IF(AND(COUNTIF(Ref_SYS!$A$2:$A$101,C166)=0,COUNTIF(Ref_SYS!$A$2:$A$101,D166)=0),"No in-scope SYS-ID on either side",IF(AND(J166="Y",K166=""),"Monitoring answer needed",IF(AND(O166="N",Q166=""),"Rationale needed","OK")))))</f>
        <v/>
      </c>
    </row>
    <row r="167" customFormat="false" ht="15" hidden="false" customHeight="false" outlineLevel="0" collapsed="false">
      <c r="A167" s="15"/>
      <c r="B167" s="15"/>
      <c r="C167" s="15"/>
      <c r="D167" s="15"/>
      <c r="E167" s="15"/>
      <c r="F167" s="15"/>
      <c r="G167" s="15"/>
      <c r="H167" s="15"/>
      <c r="I167" s="15"/>
      <c r="J167" s="15"/>
      <c r="K167" s="15"/>
      <c r="L167" s="15"/>
      <c r="M167" s="15"/>
      <c r="N167" s="15"/>
      <c r="O167" s="15"/>
      <c r="P167" s="15"/>
      <c r="Q167" s="15"/>
      <c r="R167" s="16" t="str">
        <f aca="false">IF(A167="","",IF(AND(J167="Y",OR(K167="None",K167="TBC",K167="",L167="N",L167="TBC",L167="")),"Carry to W04 as risk","—"))</f>
        <v/>
      </c>
      <c r="S167" s="16" t="str">
        <f aca="false">IF(A167="","",IF(OR(B167="",C167="",D167="",E167="",F167=""),"Name, source, target, direction, technology needed",IF(AND(COUNTIF(Ref_SYS!$A$2:$A$101,C167)=0,COUNTIF(Ref_SYS!$A$2:$A$101,D167)=0),"No in-scope SYS-ID on either side",IF(AND(J167="Y",K167=""),"Monitoring answer needed",IF(AND(O167="N",Q167=""),"Rationale needed","OK")))))</f>
        <v/>
      </c>
    </row>
    <row r="168" customFormat="false" ht="15" hidden="false" customHeight="false" outlineLevel="0" collapsed="false">
      <c r="A168" s="15"/>
      <c r="B168" s="15"/>
      <c r="C168" s="15"/>
      <c r="D168" s="15"/>
      <c r="E168" s="15"/>
      <c r="F168" s="15"/>
      <c r="G168" s="15"/>
      <c r="H168" s="15"/>
      <c r="I168" s="15"/>
      <c r="J168" s="15"/>
      <c r="K168" s="15"/>
      <c r="L168" s="15"/>
      <c r="M168" s="15"/>
      <c r="N168" s="15"/>
      <c r="O168" s="15"/>
      <c r="P168" s="15"/>
      <c r="Q168" s="15"/>
      <c r="R168" s="16" t="str">
        <f aca="false">IF(A168="","",IF(AND(J168="Y",OR(K168="None",K168="TBC",K168="",L168="N",L168="TBC",L168="")),"Carry to W04 as risk","—"))</f>
        <v/>
      </c>
      <c r="S168" s="16" t="str">
        <f aca="false">IF(A168="","",IF(OR(B168="",C168="",D168="",E168="",F168=""),"Name, source, target, direction, technology needed",IF(AND(COUNTIF(Ref_SYS!$A$2:$A$101,C168)=0,COUNTIF(Ref_SYS!$A$2:$A$101,D168)=0),"No in-scope SYS-ID on either side",IF(AND(J168="Y",K168=""),"Monitoring answer needed",IF(AND(O168="N",Q168=""),"Rationale needed","OK")))))</f>
        <v/>
      </c>
    </row>
    <row r="169" customFormat="false" ht="15" hidden="false" customHeight="false" outlineLevel="0" collapsed="false">
      <c r="A169" s="15"/>
      <c r="B169" s="15"/>
      <c r="C169" s="15"/>
      <c r="D169" s="15"/>
      <c r="E169" s="15"/>
      <c r="F169" s="15"/>
      <c r="G169" s="15"/>
      <c r="H169" s="15"/>
      <c r="I169" s="15"/>
      <c r="J169" s="15"/>
      <c r="K169" s="15"/>
      <c r="L169" s="15"/>
      <c r="M169" s="15"/>
      <c r="N169" s="15"/>
      <c r="O169" s="15"/>
      <c r="P169" s="15"/>
      <c r="Q169" s="15"/>
      <c r="R169" s="16" t="str">
        <f aca="false">IF(A169="","",IF(AND(J169="Y",OR(K169="None",K169="TBC",K169="",L169="N",L169="TBC",L169="")),"Carry to W04 as risk","—"))</f>
        <v/>
      </c>
      <c r="S169" s="16" t="str">
        <f aca="false">IF(A169="","",IF(OR(B169="",C169="",D169="",E169="",F169=""),"Name, source, target, direction, technology needed",IF(AND(COUNTIF(Ref_SYS!$A$2:$A$101,C169)=0,COUNTIF(Ref_SYS!$A$2:$A$101,D169)=0),"No in-scope SYS-ID on either side",IF(AND(J169="Y",K169=""),"Monitoring answer needed",IF(AND(O169="N",Q169=""),"Rationale needed","OK")))))</f>
        <v/>
      </c>
    </row>
    <row r="170" customFormat="false" ht="15" hidden="false" customHeight="false" outlineLevel="0" collapsed="false">
      <c r="A170" s="15"/>
      <c r="B170" s="15"/>
      <c r="C170" s="15"/>
      <c r="D170" s="15"/>
      <c r="E170" s="15"/>
      <c r="F170" s="15"/>
      <c r="G170" s="15"/>
      <c r="H170" s="15"/>
      <c r="I170" s="15"/>
      <c r="J170" s="15"/>
      <c r="K170" s="15"/>
      <c r="L170" s="15"/>
      <c r="M170" s="15"/>
      <c r="N170" s="15"/>
      <c r="O170" s="15"/>
      <c r="P170" s="15"/>
      <c r="Q170" s="15"/>
      <c r="R170" s="16" t="str">
        <f aca="false">IF(A170="","",IF(AND(J170="Y",OR(K170="None",K170="TBC",K170="",L170="N",L170="TBC",L170="")),"Carry to W04 as risk","—"))</f>
        <v/>
      </c>
      <c r="S170" s="16" t="str">
        <f aca="false">IF(A170="","",IF(OR(B170="",C170="",D170="",E170="",F170=""),"Name, source, target, direction, technology needed",IF(AND(COUNTIF(Ref_SYS!$A$2:$A$101,C170)=0,COUNTIF(Ref_SYS!$A$2:$A$101,D170)=0),"No in-scope SYS-ID on either side",IF(AND(J170="Y",K170=""),"Monitoring answer needed",IF(AND(O170="N",Q170=""),"Rationale needed","OK")))))</f>
        <v/>
      </c>
    </row>
    <row r="171" customFormat="false" ht="15" hidden="false" customHeight="false" outlineLevel="0" collapsed="false">
      <c r="A171" s="15"/>
      <c r="B171" s="15"/>
      <c r="C171" s="15"/>
      <c r="D171" s="15"/>
      <c r="E171" s="15"/>
      <c r="F171" s="15"/>
      <c r="G171" s="15"/>
      <c r="H171" s="15"/>
      <c r="I171" s="15"/>
      <c r="J171" s="15"/>
      <c r="K171" s="15"/>
      <c r="L171" s="15"/>
      <c r="M171" s="15"/>
      <c r="N171" s="15"/>
      <c r="O171" s="15"/>
      <c r="P171" s="15"/>
      <c r="Q171" s="15"/>
      <c r="R171" s="16" t="str">
        <f aca="false">IF(A171="","",IF(AND(J171="Y",OR(K171="None",K171="TBC",K171="",L171="N",L171="TBC",L171="")),"Carry to W04 as risk","—"))</f>
        <v/>
      </c>
      <c r="S171" s="16" t="str">
        <f aca="false">IF(A171="","",IF(OR(B171="",C171="",D171="",E171="",F171=""),"Name, source, target, direction, technology needed",IF(AND(COUNTIF(Ref_SYS!$A$2:$A$101,C171)=0,COUNTIF(Ref_SYS!$A$2:$A$101,D171)=0),"No in-scope SYS-ID on either side",IF(AND(J171="Y",K171=""),"Monitoring answer needed",IF(AND(O171="N",Q171=""),"Rationale needed","OK")))))</f>
        <v/>
      </c>
    </row>
    <row r="172" customFormat="false" ht="15" hidden="false" customHeight="false" outlineLevel="0" collapsed="false">
      <c r="A172" s="15"/>
      <c r="B172" s="15"/>
      <c r="C172" s="15"/>
      <c r="D172" s="15"/>
      <c r="E172" s="15"/>
      <c r="F172" s="15"/>
      <c r="G172" s="15"/>
      <c r="H172" s="15"/>
      <c r="I172" s="15"/>
      <c r="J172" s="15"/>
      <c r="K172" s="15"/>
      <c r="L172" s="15"/>
      <c r="M172" s="15"/>
      <c r="N172" s="15"/>
      <c r="O172" s="15"/>
      <c r="P172" s="15"/>
      <c r="Q172" s="15"/>
      <c r="R172" s="16" t="str">
        <f aca="false">IF(A172="","",IF(AND(J172="Y",OR(K172="None",K172="TBC",K172="",L172="N",L172="TBC",L172="")),"Carry to W04 as risk","—"))</f>
        <v/>
      </c>
      <c r="S172" s="16" t="str">
        <f aca="false">IF(A172="","",IF(OR(B172="",C172="",D172="",E172="",F172=""),"Name, source, target, direction, technology needed",IF(AND(COUNTIF(Ref_SYS!$A$2:$A$101,C172)=0,COUNTIF(Ref_SYS!$A$2:$A$101,D172)=0),"No in-scope SYS-ID on either side",IF(AND(J172="Y",K172=""),"Monitoring answer needed",IF(AND(O172="N",Q172=""),"Rationale needed","OK")))))</f>
        <v/>
      </c>
    </row>
    <row r="173" customFormat="false" ht="15" hidden="false" customHeight="false" outlineLevel="0" collapsed="false">
      <c r="A173" s="15"/>
      <c r="B173" s="15"/>
      <c r="C173" s="15"/>
      <c r="D173" s="15"/>
      <c r="E173" s="15"/>
      <c r="F173" s="15"/>
      <c r="G173" s="15"/>
      <c r="H173" s="15"/>
      <c r="I173" s="15"/>
      <c r="J173" s="15"/>
      <c r="K173" s="15"/>
      <c r="L173" s="15"/>
      <c r="M173" s="15"/>
      <c r="N173" s="15"/>
      <c r="O173" s="15"/>
      <c r="P173" s="15"/>
      <c r="Q173" s="15"/>
      <c r="R173" s="16" t="str">
        <f aca="false">IF(A173="","",IF(AND(J173="Y",OR(K173="None",K173="TBC",K173="",L173="N",L173="TBC",L173="")),"Carry to W04 as risk","—"))</f>
        <v/>
      </c>
      <c r="S173" s="16" t="str">
        <f aca="false">IF(A173="","",IF(OR(B173="",C173="",D173="",E173="",F173=""),"Name, source, target, direction, technology needed",IF(AND(COUNTIF(Ref_SYS!$A$2:$A$101,C173)=0,COUNTIF(Ref_SYS!$A$2:$A$101,D173)=0),"No in-scope SYS-ID on either side",IF(AND(J173="Y",K173=""),"Monitoring answer needed",IF(AND(O173="N",Q173=""),"Rationale needed","OK")))))</f>
        <v/>
      </c>
    </row>
    <row r="174" customFormat="false" ht="15" hidden="false" customHeight="false" outlineLevel="0" collapsed="false">
      <c r="A174" s="15"/>
      <c r="B174" s="15"/>
      <c r="C174" s="15"/>
      <c r="D174" s="15"/>
      <c r="E174" s="15"/>
      <c r="F174" s="15"/>
      <c r="G174" s="15"/>
      <c r="H174" s="15"/>
      <c r="I174" s="15"/>
      <c r="J174" s="15"/>
      <c r="K174" s="15"/>
      <c r="L174" s="15"/>
      <c r="M174" s="15"/>
      <c r="N174" s="15"/>
      <c r="O174" s="15"/>
      <c r="P174" s="15"/>
      <c r="Q174" s="15"/>
      <c r="R174" s="16" t="str">
        <f aca="false">IF(A174="","",IF(AND(J174="Y",OR(K174="None",K174="TBC",K174="",L174="N",L174="TBC",L174="")),"Carry to W04 as risk","—"))</f>
        <v/>
      </c>
      <c r="S174" s="16" t="str">
        <f aca="false">IF(A174="","",IF(OR(B174="",C174="",D174="",E174="",F174=""),"Name, source, target, direction, technology needed",IF(AND(COUNTIF(Ref_SYS!$A$2:$A$101,C174)=0,COUNTIF(Ref_SYS!$A$2:$A$101,D174)=0),"No in-scope SYS-ID on either side",IF(AND(J174="Y",K174=""),"Monitoring answer needed",IF(AND(O174="N",Q174=""),"Rationale needed","OK")))))</f>
        <v/>
      </c>
    </row>
    <row r="175" customFormat="false" ht="15" hidden="false" customHeight="false" outlineLevel="0" collapsed="false">
      <c r="A175" s="15"/>
      <c r="B175" s="15"/>
      <c r="C175" s="15"/>
      <c r="D175" s="15"/>
      <c r="E175" s="15"/>
      <c r="F175" s="15"/>
      <c r="G175" s="15"/>
      <c r="H175" s="15"/>
      <c r="I175" s="15"/>
      <c r="J175" s="15"/>
      <c r="K175" s="15"/>
      <c r="L175" s="15"/>
      <c r="M175" s="15"/>
      <c r="N175" s="15"/>
      <c r="O175" s="15"/>
      <c r="P175" s="15"/>
      <c r="Q175" s="15"/>
      <c r="R175" s="16" t="str">
        <f aca="false">IF(A175="","",IF(AND(J175="Y",OR(K175="None",K175="TBC",K175="",L175="N",L175="TBC",L175="")),"Carry to W04 as risk","—"))</f>
        <v/>
      </c>
      <c r="S175" s="16" t="str">
        <f aca="false">IF(A175="","",IF(OR(B175="",C175="",D175="",E175="",F175=""),"Name, source, target, direction, technology needed",IF(AND(COUNTIF(Ref_SYS!$A$2:$A$101,C175)=0,COUNTIF(Ref_SYS!$A$2:$A$101,D175)=0),"No in-scope SYS-ID on either side",IF(AND(J175="Y",K175=""),"Monitoring answer needed",IF(AND(O175="N",Q175=""),"Rationale needed","OK")))))</f>
        <v/>
      </c>
    </row>
    <row r="176" customFormat="false" ht="15" hidden="false" customHeight="false" outlineLevel="0" collapsed="false">
      <c r="A176" s="15"/>
      <c r="B176" s="15"/>
      <c r="C176" s="15"/>
      <c r="D176" s="15"/>
      <c r="E176" s="15"/>
      <c r="F176" s="15"/>
      <c r="G176" s="15"/>
      <c r="H176" s="15"/>
      <c r="I176" s="15"/>
      <c r="J176" s="15"/>
      <c r="K176" s="15"/>
      <c r="L176" s="15"/>
      <c r="M176" s="15"/>
      <c r="N176" s="15"/>
      <c r="O176" s="15"/>
      <c r="P176" s="15"/>
      <c r="Q176" s="15"/>
      <c r="R176" s="16" t="str">
        <f aca="false">IF(A176="","",IF(AND(J176="Y",OR(K176="None",K176="TBC",K176="",L176="N",L176="TBC",L176="")),"Carry to W04 as risk","—"))</f>
        <v/>
      </c>
      <c r="S176" s="16" t="str">
        <f aca="false">IF(A176="","",IF(OR(B176="",C176="",D176="",E176="",F176=""),"Name, source, target, direction, technology needed",IF(AND(COUNTIF(Ref_SYS!$A$2:$A$101,C176)=0,COUNTIF(Ref_SYS!$A$2:$A$101,D176)=0),"No in-scope SYS-ID on either side",IF(AND(J176="Y",K176=""),"Monitoring answer needed",IF(AND(O176="N",Q176=""),"Rationale needed","OK")))))</f>
        <v/>
      </c>
    </row>
    <row r="177" customFormat="false" ht="15" hidden="false" customHeight="false" outlineLevel="0" collapsed="false">
      <c r="A177" s="15"/>
      <c r="B177" s="15"/>
      <c r="C177" s="15"/>
      <c r="D177" s="15"/>
      <c r="E177" s="15"/>
      <c r="F177" s="15"/>
      <c r="G177" s="15"/>
      <c r="H177" s="15"/>
      <c r="I177" s="15"/>
      <c r="J177" s="15"/>
      <c r="K177" s="15"/>
      <c r="L177" s="15"/>
      <c r="M177" s="15"/>
      <c r="N177" s="15"/>
      <c r="O177" s="15"/>
      <c r="P177" s="15"/>
      <c r="Q177" s="15"/>
      <c r="R177" s="16" t="str">
        <f aca="false">IF(A177="","",IF(AND(J177="Y",OR(K177="None",K177="TBC",K177="",L177="N",L177="TBC",L177="")),"Carry to W04 as risk","—"))</f>
        <v/>
      </c>
      <c r="S177" s="16" t="str">
        <f aca="false">IF(A177="","",IF(OR(B177="",C177="",D177="",E177="",F177=""),"Name, source, target, direction, technology needed",IF(AND(COUNTIF(Ref_SYS!$A$2:$A$101,C177)=0,COUNTIF(Ref_SYS!$A$2:$A$101,D177)=0),"No in-scope SYS-ID on either side",IF(AND(J177="Y",K177=""),"Monitoring answer needed",IF(AND(O177="N",Q177=""),"Rationale needed","OK")))))</f>
        <v/>
      </c>
    </row>
    <row r="178" customFormat="false" ht="15" hidden="false" customHeight="false" outlineLevel="0" collapsed="false">
      <c r="A178" s="15"/>
      <c r="B178" s="15"/>
      <c r="C178" s="15"/>
      <c r="D178" s="15"/>
      <c r="E178" s="15"/>
      <c r="F178" s="15"/>
      <c r="G178" s="15"/>
      <c r="H178" s="15"/>
      <c r="I178" s="15"/>
      <c r="J178" s="15"/>
      <c r="K178" s="15"/>
      <c r="L178" s="15"/>
      <c r="M178" s="15"/>
      <c r="N178" s="15"/>
      <c r="O178" s="15"/>
      <c r="P178" s="15"/>
      <c r="Q178" s="15"/>
      <c r="R178" s="16" t="str">
        <f aca="false">IF(A178="","",IF(AND(J178="Y",OR(K178="None",K178="TBC",K178="",L178="N",L178="TBC",L178="")),"Carry to W04 as risk","—"))</f>
        <v/>
      </c>
      <c r="S178" s="16" t="str">
        <f aca="false">IF(A178="","",IF(OR(B178="",C178="",D178="",E178="",F178=""),"Name, source, target, direction, technology needed",IF(AND(COUNTIF(Ref_SYS!$A$2:$A$101,C178)=0,COUNTIF(Ref_SYS!$A$2:$A$101,D178)=0),"No in-scope SYS-ID on either side",IF(AND(J178="Y",K178=""),"Monitoring answer needed",IF(AND(O178="N",Q178=""),"Rationale needed","OK")))))</f>
        <v/>
      </c>
    </row>
    <row r="179" customFormat="false" ht="15" hidden="false" customHeight="false" outlineLevel="0" collapsed="false">
      <c r="A179" s="15"/>
      <c r="B179" s="15"/>
      <c r="C179" s="15"/>
      <c r="D179" s="15"/>
      <c r="E179" s="15"/>
      <c r="F179" s="15"/>
      <c r="G179" s="15"/>
      <c r="H179" s="15"/>
      <c r="I179" s="15"/>
      <c r="J179" s="15"/>
      <c r="K179" s="15"/>
      <c r="L179" s="15"/>
      <c r="M179" s="15"/>
      <c r="N179" s="15"/>
      <c r="O179" s="15"/>
      <c r="P179" s="15"/>
      <c r="Q179" s="15"/>
      <c r="R179" s="16" t="str">
        <f aca="false">IF(A179="","",IF(AND(J179="Y",OR(K179="None",K179="TBC",K179="",L179="N",L179="TBC",L179="")),"Carry to W04 as risk","—"))</f>
        <v/>
      </c>
      <c r="S179" s="16" t="str">
        <f aca="false">IF(A179="","",IF(OR(B179="",C179="",D179="",E179="",F179=""),"Name, source, target, direction, technology needed",IF(AND(COUNTIF(Ref_SYS!$A$2:$A$101,C179)=0,COUNTIF(Ref_SYS!$A$2:$A$101,D179)=0),"No in-scope SYS-ID on either side",IF(AND(J179="Y",K179=""),"Monitoring answer needed",IF(AND(O179="N",Q179=""),"Rationale needed","OK")))))</f>
        <v/>
      </c>
    </row>
    <row r="180" customFormat="false" ht="15" hidden="false" customHeight="false" outlineLevel="0" collapsed="false">
      <c r="A180" s="15"/>
      <c r="B180" s="15"/>
      <c r="C180" s="15"/>
      <c r="D180" s="15"/>
      <c r="E180" s="15"/>
      <c r="F180" s="15"/>
      <c r="G180" s="15"/>
      <c r="H180" s="15"/>
      <c r="I180" s="15"/>
      <c r="J180" s="15"/>
      <c r="K180" s="15"/>
      <c r="L180" s="15"/>
      <c r="M180" s="15"/>
      <c r="N180" s="15"/>
      <c r="O180" s="15"/>
      <c r="P180" s="15"/>
      <c r="Q180" s="15"/>
      <c r="R180" s="16" t="str">
        <f aca="false">IF(A180="","",IF(AND(J180="Y",OR(K180="None",K180="TBC",K180="",L180="N",L180="TBC",L180="")),"Carry to W04 as risk","—"))</f>
        <v/>
      </c>
      <c r="S180" s="16" t="str">
        <f aca="false">IF(A180="","",IF(OR(B180="",C180="",D180="",E180="",F180=""),"Name, source, target, direction, technology needed",IF(AND(COUNTIF(Ref_SYS!$A$2:$A$101,C180)=0,COUNTIF(Ref_SYS!$A$2:$A$101,D180)=0),"No in-scope SYS-ID on either side",IF(AND(J180="Y",K180=""),"Monitoring answer needed",IF(AND(O180="N",Q180=""),"Rationale needed","OK")))))</f>
        <v/>
      </c>
    </row>
    <row r="181" customFormat="false" ht="15" hidden="false" customHeight="false" outlineLevel="0" collapsed="false">
      <c r="A181" s="15"/>
      <c r="B181" s="15"/>
      <c r="C181" s="15"/>
      <c r="D181" s="15"/>
      <c r="E181" s="15"/>
      <c r="F181" s="15"/>
      <c r="G181" s="15"/>
      <c r="H181" s="15"/>
      <c r="I181" s="15"/>
      <c r="J181" s="15"/>
      <c r="K181" s="15"/>
      <c r="L181" s="15"/>
      <c r="M181" s="15"/>
      <c r="N181" s="15"/>
      <c r="O181" s="15"/>
      <c r="P181" s="15"/>
      <c r="Q181" s="15"/>
      <c r="R181" s="16" t="str">
        <f aca="false">IF(A181="","",IF(AND(J181="Y",OR(K181="None",K181="TBC",K181="",L181="N",L181="TBC",L181="")),"Carry to W04 as risk","—"))</f>
        <v/>
      </c>
      <c r="S181" s="16" t="str">
        <f aca="false">IF(A181="","",IF(OR(B181="",C181="",D181="",E181="",F181=""),"Name, source, target, direction, technology needed",IF(AND(COUNTIF(Ref_SYS!$A$2:$A$101,C181)=0,COUNTIF(Ref_SYS!$A$2:$A$101,D181)=0),"No in-scope SYS-ID on either side",IF(AND(J181="Y",K181=""),"Monitoring answer needed",IF(AND(O181="N",Q181=""),"Rationale needed","OK")))))</f>
        <v/>
      </c>
    </row>
    <row r="182" customFormat="false" ht="15" hidden="false" customHeight="false" outlineLevel="0" collapsed="false">
      <c r="A182" s="15"/>
      <c r="B182" s="15"/>
      <c r="C182" s="15"/>
      <c r="D182" s="15"/>
      <c r="E182" s="15"/>
      <c r="F182" s="15"/>
      <c r="G182" s="15"/>
      <c r="H182" s="15"/>
      <c r="I182" s="15"/>
      <c r="J182" s="15"/>
      <c r="K182" s="15"/>
      <c r="L182" s="15"/>
      <c r="M182" s="15"/>
      <c r="N182" s="15"/>
      <c r="O182" s="15"/>
      <c r="P182" s="15"/>
      <c r="Q182" s="15"/>
      <c r="R182" s="16" t="str">
        <f aca="false">IF(A182="","",IF(AND(J182="Y",OR(K182="None",K182="TBC",K182="",L182="N",L182="TBC",L182="")),"Carry to W04 as risk","—"))</f>
        <v/>
      </c>
      <c r="S182" s="16" t="str">
        <f aca="false">IF(A182="","",IF(OR(B182="",C182="",D182="",E182="",F182=""),"Name, source, target, direction, technology needed",IF(AND(COUNTIF(Ref_SYS!$A$2:$A$101,C182)=0,COUNTIF(Ref_SYS!$A$2:$A$101,D182)=0),"No in-scope SYS-ID on either side",IF(AND(J182="Y",K182=""),"Monitoring answer needed",IF(AND(O182="N",Q182=""),"Rationale needed","OK")))))</f>
        <v/>
      </c>
    </row>
    <row r="183" customFormat="false" ht="15" hidden="false" customHeight="false" outlineLevel="0" collapsed="false">
      <c r="A183" s="15"/>
      <c r="B183" s="15"/>
      <c r="C183" s="15"/>
      <c r="D183" s="15"/>
      <c r="E183" s="15"/>
      <c r="F183" s="15"/>
      <c r="G183" s="15"/>
      <c r="H183" s="15"/>
      <c r="I183" s="15"/>
      <c r="J183" s="15"/>
      <c r="K183" s="15"/>
      <c r="L183" s="15"/>
      <c r="M183" s="15"/>
      <c r="N183" s="15"/>
      <c r="O183" s="15"/>
      <c r="P183" s="15"/>
      <c r="Q183" s="15"/>
      <c r="R183" s="16" t="str">
        <f aca="false">IF(A183="","",IF(AND(J183="Y",OR(K183="None",K183="TBC",K183="",L183="N",L183="TBC",L183="")),"Carry to W04 as risk","—"))</f>
        <v/>
      </c>
      <c r="S183" s="16" t="str">
        <f aca="false">IF(A183="","",IF(OR(B183="",C183="",D183="",E183="",F183=""),"Name, source, target, direction, technology needed",IF(AND(COUNTIF(Ref_SYS!$A$2:$A$101,C183)=0,COUNTIF(Ref_SYS!$A$2:$A$101,D183)=0),"No in-scope SYS-ID on either side",IF(AND(J183="Y",K183=""),"Monitoring answer needed",IF(AND(O183="N",Q183=""),"Rationale needed","OK")))))</f>
        <v/>
      </c>
    </row>
    <row r="184" customFormat="false" ht="15" hidden="false" customHeight="false" outlineLevel="0" collapsed="false">
      <c r="A184" s="15"/>
      <c r="B184" s="15"/>
      <c r="C184" s="15"/>
      <c r="D184" s="15"/>
      <c r="E184" s="15"/>
      <c r="F184" s="15"/>
      <c r="G184" s="15"/>
      <c r="H184" s="15"/>
      <c r="I184" s="15"/>
      <c r="J184" s="15"/>
      <c r="K184" s="15"/>
      <c r="L184" s="15"/>
      <c r="M184" s="15"/>
      <c r="N184" s="15"/>
      <c r="O184" s="15"/>
      <c r="P184" s="15"/>
      <c r="Q184" s="15"/>
      <c r="R184" s="16" t="str">
        <f aca="false">IF(A184="","",IF(AND(J184="Y",OR(K184="None",K184="TBC",K184="",L184="N",L184="TBC",L184="")),"Carry to W04 as risk","—"))</f>
        <v/>
      </c>
      <c r="S184" s="16" t="str">
        <f aca="false">IF(A184="","",IF(OR(B184="",C184="",D184="",E184="",F184=""),"Name, source, target, direction, technology needed",IF(AND(COUNTIF(Ref_SYS!$A$2:$A$101,C184)=0,COUNTIF(Ref_SYS!$A$2:$A$101,D184)=0),"No in-scope SYS-ID on either side",IF(AND(J184="Y",K184=""),"Monitoring answer needed",IF(AND(O184="N",Q184=""),"Rationale needed","OK")))))</f>
        <v/>
      </c>
    </row>
    <row r="185" customFormat="false" ht="15" hidden="false" customHeight="false" outlineLevel="0" collapsed="false">
      <c r="A185" s="15"/>
      <c r="B185" s="15"/>
      <c r="C185" s="15"/>
      <c r="D185" s="15"/>
      <c r="E185" s="15"/>
      <c r="F185" s="15"/>
      <c r="G185" s="15"/>
      <c r="H185" s="15"/>
      <c r="I185" s="15"/>
      <c r="J185" s="15"/>
      <c r="K185" s="15"/>
      <c r="L185" s="15"/>
      <c r="M185" s="15"/>
      <c r="N185" s="15"/>
      <c r="O185" s="15"/>
      <c r="P185" s="15"/>
      <c r="Q185" s="15"/>
      <c r="R185" s="16" t="str">
        <f aca="false">IF(A185="","",IF(AND(J185="Y",OR(K185="None",K185="TBC",K185="",L185="N",L185="TBC",L185="")),"Carry to W04 as risk","—"))</f>
        <v/>
      </c>
      <c r="S185" s="16" t="str">
        <f aca="false">IF(A185="","",IF(OR(B185="",C185="",D185="",E185="",F185=""),"Name, source, target, direction, technology needed",IF(AND(COUNTIF(Ref_SYS!$A$2:$A$101,C185)=0,COUNTIF(Ref_SYS!$A$2:$A$101,D185)=0),"No in-scope SYS-ID on either side",IF(AND(J185="Y",K185=""),"Monitoring answer needed",IF(AND(O185="N",Q185=""),"Rationale needed","OK")))))</f>
        <v/>
      </c>
    </row>
    <row r="186" customFormat="false" ht="15" hidden="false" customHeight="false" outlineLevel="0" collapsed="false">
      <c r="A186" s="15"/>
      <c r="B186" s="15"/>
      <c r="C186" s="15"/>
      <c r="D186" s="15"/>
      <c r="E186" s="15"/>
      <c r="F186" s="15"/>
      <c r="G186" s="15"/>
      <c r="H186" s="15"/>
      <c r="I186" s="15"/>
      <c r="J186" s="15"/>
      <c r="K186" s="15"/>
      <c r="L186" s="15"/>
      <c r="M186" s="15"/>
      <c r="N186" s="15"/>
      <c r="O186" s="15"/>
      <c r="P186" s="15"/>
      <c r="Q186" s="15"/>
      <c r="R186" s="16" t="str">
        <f aca="false">IF(A186="","",IF(AND(J186="Y",OR(K186="None",K186="TBC",K186="",L186="N",L186="TBC",L186="")),"Carry to W04 as risk","—"))</f>
        <v/>
      </c>
      <c r="S186" s="16" t="str">
        <f aca="false">IF(A186="","",IF(OR(B186="",C186="",D186="",E186="",F186=""),"Name, source, target, direction, technology needed",IF(AND(COUNTIF(Ref_SYS!$A$2:$A$101,C186)=0,COUNTIF(Ref_SYS!$A$2:$A$101,D186)=0),"No in-scope SYS-ID on either side",IF(AND(J186="Y",K186=""),"Monitoring answer needed",IF(AND(O186="N",Q186=""),"Rationale needed","OK")))))</f>
        <v/>
      </c>
    </row>
    <row r="187" customFormat="false" ht="15" hidden="false" customHeight="false" outlineLevel="0" collapsed="false">
      <c r="A187" s="15"/>
      <c r="B187" s="15"/>
      <c r="C187" s="15"/>
      <c r="D187" s="15"/>
      <c r="E187" s="15"/>
      <c r="F187" s="15"/>
      <c r="G187" s="15"/>
      <c r="H187" s="15"/>
      <c r="I187" s="15"/>
      <c r="J187" s="15"/>
      <c r="K187" s="15"/>
      <c r="L187" s="15"/>
      <c r="M187" s="15"/>
      <c r="N187" s="15"/>
      <c r="O187" s="15"/>
      <c r="P187" s="15"/>
      <c r="Q187" s="15"/>
      <c r="R187" s="16" t="str">
        <f aca="false">IF(A187="","",IF(AND(J187="Y",OR(K187="None",K187="TBC",K187="",L187="N",L187="TBC",L187="")),"Carry to W04 as risk","—"))</f>
        <v/>
      </c>
      <c r="S187" s="16" t="str">
        <f aca="false">IF(A187="","",IF(OR(B187="",C187="",D187="",E187="",F187=""),"Name, source, target, direction, technology needed",IF(AND(COUNTIF(Ref_SYS!$A$2:$A$101,C187)=0,COUNTIF(Ref_SYS!$A$2:$A$101,D187)=0),"No in-scope SYS-ID on either side",IF(AND(J187="Y",K187=""),"Monitoring answer needed",IF(AND(O187="N",Q187=""),"Rationale needed","OK")))))</f>
        <v/>
      </c>
    </row>
    <row r="188" customFormat="false" ht="15" hidden="false" customHeight="false" outlineLevel="0" collapsed="false">
      <c r="A188" s="15"/>
      <c r="B188" s="15"/>
      <c r="C188" s="15"/>
      <c r="D188" s="15"/>
      <c r="E188" s="15"/>
      <c r="F188" s="15"/>
      <c r="G188" s="15"/>
      <c r="H188" s="15"/>
      <c r="I188" s="15"/>
      <c r="J188" s="15"/>
      <c r="K188" s="15"/>
      <c r="L188" s="15"/>
      <c r="M188" s="15"/>
      <c r="N188" s="15"/>
      <c r="O188" s="15"/>
      <c r="P188" s="15"/>
      <c r="Q188" s="15"/>
      <c r="R188" s="16" t="str">
        <f aca="false">IF(A188="","",IF(AND(J188="Y",OR(K188="None",K188="TBC",K188="",L188="N",L188="TBC",L188="")),"Carry to W04 as risk","—"))</f>
        <v/>
      </c>
      <c r="S188" s="16" t="str">
        <f aca="false">IF(A188="","",IF(OR(B188="",C188="",D188="",E188="",F188=""),"Name, source, target, direction, technology needed",IF(AND(COUNTIF(Ref_SYS!$A$2:$A$101,C188)=0,COUNTIF(Ref_SYS!$A$2:$A$101,D188)=0),"No in-scope SYS-ID on either side",IF(AND(J188="Y",K188=""),"Monitoring answer needed",IF(AND(O188="N",Q188=""),"Rationale needed","OK")))))</f>
        <v/>
      </c>
    </row>
    <row r="189" customFormat="false" ht="15" hidden="false" customHeight="false" outlineLevel="0" collapsed="false">
      <c r="A189" s="15"/>
      <c r="B189" s="15"/>
      <c r="C189" s="15"/>
      <c r="D189" s="15"/>
      <c r="E189" s="15"/>
      <c r="F189" s="15"/>
      <c r="G189" s="15"/>
      <c r="H189" s="15"/>
      <c r="I189" s="15"/>
      <c r="J189" s="15"/>
      <c r="K189" s="15"/>
      <c r="L189" s="15"/>
      <c r="M189" s="15"/>
      <c r="N189" s="15"/>
      <c r="O189" s="15"/>
      <c r="P189" s="15"/>
      <c r="Q189" s="15"/>
      <c r="R189" s="16" t="str">
        <f aca="false">IF(A189="","",IF(AND(J189="Y",OR(K189="None",K189="TBC",K189="",L189="N",L189="TBC",L189="")),"Carry to W04 as risk","—"))</f>
        <v/>
      </c>
      <c r="S189" s="16" t="str">
        <f aca="false">IF(A189="","",IF(OR(B189="",C189="",D189="",E189="",F189=""),"Name, source, target, direction, technology needed",IF(AND(COUNTIF(Ref_SYS!$A$2:$A$101,C189)=0,COUNTIF(Ref_SYS!$A$2:$A$101,D189)=0),"No in-scope SYS-ID on either side",IF(AND(J189="Y",K189=""),"Monitoring answer needed",IF(AND(O189="N",Q189=""),"Rationale needed","OK")))))</f>
        <v/>
      </c>
    </row>
    <row r="190" customFormat="false" ht="15" hidden="false" customHeight="false" outlineLevel="0" collapsed="false">
      <c r="A190" s="15"/>
      <c r="B190" s="15"/>
      <c r="C190" s="15"/>
      <c r="D190" s="15"/>
      <c r="E190" s="15"/>
      <c r="F190" s="15"/>
      <c r="G190" s="15"/>
      <c r="H190" s="15"/>
      <c r="I190" s="15"/>
      <c r="J190" s="15"/>
      <c r="K190" s="15"/>
      <c r="L190" s="15"/>
      <c r="M190" s="15"/>
      <c r="N190" s="15"/>
      <c r="O190" s="15"/>
      <c r="P190" s="15"/>
      <c r="Q190" s="15"/>
      <c r="R190" s="16" t="str">
        <f aca="false">IF(A190="","",IF(AND(J190="Y",OR(K190="None",K190="TBC",K190="",L190="N",L190="TBC",L190="")),"Carry to W04 as risk","—"))</f>
        <v/>
      </c>
      <c r="S190" s="16" t="str">
        <f aca="false">IF(A190="","",IF(OR(B190="",C190="",D190="",E190="",F190=""),"Name, source, target, direction, technology needed",IF(AND(COUNTIF(Ref_SYS!$A$2:$A$101,C190)=0,COUNTIF(Ref_SYS!$A$2:$A$101,D190)=0),"No in-scope SYS-ID on either side",IF(AND(J190="Y",K190=""),"Monitoring answer needed",IF(AND(O190="N",Q190=""),"Rationale needed","OK")))))</f>
        <v/>
      </c>
    </row>
    <row r="191" customFormat="false" ht="15" hidden="false" customHeight="false" outlineLevel="0" collapsed="false">
      <c r="A191" s="15"/>
      <c r="B191" s="15"/>
      <c r="C191" s="15"/>
      <c r="D191" s="15"/>
      <c r="E191" s="15"/>
      <c r="F191" s="15"/>
      <c r="G191" s="15"/>
      <c r="H191" s="15"/>
      <c r="I191" s="15"/>
      <c r="J191" s="15"/>
      <c r="K191" s="15"/>
      <c r="L191" s="15"/>
      <c r="M191" s="15"/>
      <c r="N191" s="15"/>
      <c r="O191" s="15"/>
      <c r="P191" s="15"/>
      <c r="Q191" s="15"/>
      <c r="R191" s="16" t="str">
        <f aca="false">IF(A191="","",IF(AND(J191="Y",OR(K191="None",K191="TBC",K191="",L191="N",L191="TBC",L191="")),"Carry to W04 as risk","—"))</f>
        <v/>
      </c>
      <c r="S191" s="16" t="str">
        <f aca="false">IF(A191="","",IF(OR(B191="",C191="",D191="",E191="",F191=""),"Name, source, target, direction, technology needed",IF(AND(COUNTIF(Ref_SYS!$A$2:$A$101,C191)=0,COUNTIF(Ref_SYS!$A$2:$A$101,D191)=0),"No in-scope SYS-ID on either side",IF(AND(J191="Y",K191=""),"Monitoring answer needed",IF(AND(O191="N",Q191=""),"Rationale needed","OK")))))</f>
        <v/>
      </c>
    </row>
    <row r="192" customFormat="false" ht="15" hidden="false" customHeight="false" outlineLevel="0" collapsed="false">
      <c r="A192" s="15"/>
      <c r="B192" s="15"/>
      <c r="C192" s="15"/>
      <c r="D192" s="15"/>
      <c r="E192" s="15"/>
      <c r="F192" s="15"/>
      <c r="G192" s="15"/>
      <c r="H192" s="15"/>
      <c r="I192" s="15"/>
      <c r="J192" s="15"/>
      <c r="K192" s="15"/>
      <c r="L192" s="15"/>
      <c r="M192" s="15"/>
      <c r="N192" s="15"/>
      <c r="O192" s="15"/>
      <c r="P192" s="15"/>
      <c r="Q192" s="15"/>
      <c r="R192" s="16" t="str">
        <f aca="false">IF(A192="","",IF(AND(J192="Y",OR(K192="None",K192="TBC",K192="",L192="N",L192="TBC",L192="")),"Carry to W04 as risk","—"))</f>
        <v/>
      </c>
      <c r="S192" s="16" t="str">
        <f aca="false">IF(A192="","",IF(OR(B192="",C192="",D192="",E192="",F192=""),"Name, source, target, direction, technology needed",IF(AND(COUNTIF(Ref_SYS!$A$2:$A$101,C192)=0,COUNTIF(Ref_SYS!$A$2:$A$101,D192)=0),"No in-scope SYS-ID on either side",IF(AND(J192="Y",K192=""),"Monitoring answer needed",IF(AND(O192="N",Q192=""),"Rationale needed","OK")))))</f>
        <v/>
      </c>
    </row>
    <row r="193" customFormat="false" ht="15" hidden="false" customHeight="false" outlineLevel="0" collapsed="false">
      <c r="A193" s="15"/>
      <c r="B193" s="15"/>
      <c r="C193" s="15"/>
      <c r="D193" s="15"/>
      <c r="E193" s="15"/>
      <c r="F193" s="15"/>
      <c r="G193" s="15"/>
      <c r="H193" s="15"/>
      <c r="I193" s="15"/>
      <c r="J193" s="15"/>
      <c r="K193" s="15"/>
      <c r="L193" s="15"/>
      <c r="M193" s="15"/>
      <c r="N193" s="15"/>
      <c r="O193" s="15"/>
      <c r="P193" s="15"/>
      <c r="Q193" s="15"/>
      <c r="R193" s="16" t="str">
        <f aca="false">IF(A193="","",IF(AND(J193="Y",OR(K193="None",K193="TBC",K193="",L193="N",L193="TBC",L193="")),"Carry to W04 as risk","—"))</f>
        <v/>
      </c>
      <c r="S193" s="16" t="str">
        <f aca="false">IF(A193="","",IF(OR(B193="",C193="",D193="",E193="",F193=""),"Name, source, target, direction, technology needed",IF(AND(COUNTIF(Ref_SYS!$A$2:$A$101,C193)=0,COUNTIF(Ref_SYS!$A$2:$A$101,D193)=0),"No in-scope SYS-ID on either side",IF(AND(J193="Y",K193=""),"Monitoring answer needed",IF(AND(O193="N",Q193=""),"Rationale needed","OK")))))</f>
        <v/>
      </c>
    </row>
    <row r="194" customFormat="false" ht="15" hidden="false" customHeight="false" outlineLevel="0" collapsed="false">
      <c r="A194" s="15"/>
      <c r="B194" s="15"/>
      <c r="C194" s="15"/>
      <c r="D194" s="15"/>
      <c r="E194" s="15"/>
      <c r="F194" s="15"/>
      <c r="G194" s="15"/>
      <c r="H194" s="15"/>
      <c r="I194" s="15"/>
      <c r="J194" s="15"/>
      <c r="K194" s="15"/>
      <c r="L194" s="15"/>
      <c r="M194" s="15"/>
      <c r="N194" s="15"/>
      <c r="O194" s="15"/>
      <c r="P194" s="15"/>
      <c r="Q194" s="15"/>
      <c r="R194" s="16" t="str">
        <f aca="false">IF(A194="","",IF(AND(J194="Y",OR(K194="None",K194="TBC",K194="",L194="N",L194="TBC",L194="")),"Carry to W04 as risk","—"))</f>
        <v/>
      </c>
      <c r="S194" s="16" t="str">
        <f aca="false">IF(A194="","",IF(OR(B194="",C194="",D194="",E194="",F194=""),"Name, source, target, direction, technology needed",IF(AND(COUNTIF(Ref_SYS!$A$2:$A$101,C194)=0,COUNTIF(Ref_SYS!$A$2:$A$101,D194)=0),"No in-scope SYS-ID on either side",IF(AND(J194="Y",K194=""),"Monitoring answer needed",IF(AND(O194="N",Q194=""),"Rationale needed","OK")))))</f>
        <v/>
      </c>
    </row>
    <row r="195" customFormat="false" ht="15" hidden="false" customHeight="false" outlineLevel="0" collapsed="false">
      <c r="A195" s="15"/>
      <c r="B195" s="15"/>
      <c r="C195" s="15"/>
      <c r="D195" s="15"/>
      <c r="E195" s="15"/>
      <c r="F195" s="15"/>
      <c r="G195" s="15"/>
      <c r="H195" s="15"/>
      <c r="I195" s="15"/>
      <c r="J195" s="15"/>
      <c r="K195" s="15"/>
      <c r="L195" s="15"/>
      <c r="M195" s="15"/>
      <c r="N195" s="15"/>
      <c r="O195" s="15"/>
      <c r="P195" s="15"/>
      <c r="Q195" s="15"/>
      <c r="R195" s="16" t="str">
        <f aca="false">IF(A195="","",IF(AND(J195="Y",OR(K195="None",K195="TBC",K195="",L195="N",L195="TBC",L195="")),"Carry to W04 as risk","—"))</f>
        <v/>
      </c>
      <c r="S195" s="16" t="str">
        <f aca="false">IF(A195="","",IF(OR(B195="",C195="",D195="",E195="",F195=""),"Name, source, target, direction, technology needed",IF(AND(COUNTIF(Ref_SYS!$A$2:$A$101,C195)=0,COUNTIF(Ref_SYS!$A$2:$A$101,D195)=0),"No in-scope SYS-ID on either side",IF(AND(J195="Y",K195=""),"Monitoring answer needed",IF(AND(O195="N",Q195=""),"Rationale needed","OK")))))</f>
        <v/>
      </c>
    </row>
    <row r="196" customFormat="false" ht="15" hidden="false" customHeight="false" outlineLevel="0" collapsed="false">
      <c r="A196" s="15"/>
      <c r="B196" s="15"/>
      <c r="C196" s="15"/>
      <c r="D196" s="15"/>
      <c r="E196" s="15"/>
      <c r="F196" s="15"/>
      <c r="G196" s="15"/>
      <c r="H196" s="15"/>
      <c r="I196" s="15"/>
      <c r="J196" s="15"/>
      <c r="K196" s="15"/>
      <c r="L196" s="15"/>
      <c r="M196" s="15"/>
      <c r="N196" s="15"/>
      <c r="O196" s="15"/>
      <c r="P196" s="15"/>
      <c r="Q196" s="15"/>
      <c r="R196" s="16" t="str">
        <f aca="false">IF(A196="","",IF(AND(J196="Y",OR(K196="None",K196="TBC",K196="",L196="N",L196="TBC",L196="")),"Carry to W04 as risk","—"))</f>
        <v/>
      </c>
      <c r="S196" s="16" t="str">
        <f aca="false">IF(A196="","",IF(OR(B196="",C196="",D196="",E196="",F196=""),"Name, source, target, direction, technology needed",IF(AND(COUNTIF(Ref_SYS!$A$2:$A$101,C196)=0,COUNTIF(Ref_SYS!$A$2:$A$101,D196)=0),"No in-scope SYS-ID on either side",IF(AND(J196="Y",K196=""),"Monitoring answer needed",IF(AND(O196="N",Q196=""),"Rationale needed","OK")))))</f>
        <v/>
      </c>
    </row>
    <row r="197" customFormat="false" ht="15" hidden="false" customHeight="false" outlineLevel="0" collapsed="false">
      <c r="A197" s="15"/>
      <c r="B197" s="15"/>
      <c r="C197" s="15"/>
      <c r="D197" s="15"/>
      <c r="E197" s="15"/>
      <c r="F197" s="15"/>
      <c r="G197" s="15"/>
      <c r="H197" s="15"/>
      <c r="I197" s="15"/>
      <c r="J197" s="15"/>
      <c r="K197" s="15"/>
      <c r="L197" s="15"/>
      <c r="M197" s="15"/>
      <c r="N197" s="15"/>
      <c r="O197" s="15"/>
      <c r="P197" s="15"/>
      <c r="Q197" s="15"/>
      <c r="R197" s="16" t="str">
        <f aca="false">IF(A197="","",IF(AND(J197="Y",OR(K197="None",K197="TBC",K197="",L197="N",L197="TBC",L197="")),"Carry to W04 as risk","—"))</f>
        <v/>
      </c>
      <c r="S197" s="16" t="str">
        <f aca="false">IF(A197="","",IF(OR(B197="",C197="",D197="",E197="",F197=""),"Name, source, target, direction, technology needed",IF(AND(COUNTIF(Ref_SYS!$A$2:$A$101,C197)=0,COUNTIF(Ref_SYS!$A$2:$A$101,D197)=0),"No in-scope SYS-ID on either side",IF(AND(J197="Y",K197=""),"Monitoring answer needed",IF(AND(O197="N",Q197=""),"Rationale needed","OK")))))</f>
        <v/>
      </c>
    </row>
    <row r="198" customFormat="false" ht="15" hidden="false" customHeight="false" outlineLevel="0" collapsed="false">
      <c r="A198" s="15"/>
      <c r="B198" s="15"/>
      <c r="C198" s="15"/>
      <c r="D198" s="15"/>
      <c r="E198" s="15"/>
      <c r="F198" s="15"/>
      <c r="G198" s="15"/>
      <c r="H198" s="15"/>
      <c r="I198" s="15"/>
      <c r="J198" s="15"/>
      <c r="K198" s="15"/>
      <c r="L198" s="15"/>
      <c r="M198" s="15"/>
      <c r="N198" s="15"/>
      <c r="O198" s="15"/>
      <c r="P198" s="15"/>
      <c r="Q198" s="15"/>
      <c r="R198" s="16" t="str">
        <f aca="false">IF(A198="","",IF(AND(J198="Y",OR(K198="None",K198="TBC",K198="",L198="N",L198="TBC",L198="")),"Carry to W04 as risk","—"))</f>
        <v/>
      </c>
      <c r="S198" s="16" t="str">
        <f aca="false">IF(A198="","",IF(OR(B198="",C198="",D198="",E198="",F198=""),"Name, source, target, direction, technology needed",IF(AND(COUNTIF(Ref_SYS!$A$2:$A$101,C198)=0,COUNTIF(Ref_SYS!$A$2:$A$101,D198)=0),"No in-scope SYS-ID on either side",IF(AND(J198="Y",K198=""),"Monitoring answer needed",IF(AND(O198="N",Q198=""),"Rationale needed","OK")))))</f>
        <v/>
      </c>
    </row>
    <row r="199" customFormat="false" ht="15" hidden="false" customHeight="false" outlineLevel="0" collapsed="false">
      <c r="A199" s="15"/>
      <c r="B199" s="15"/>
      <c r="C199" s="15"/>
      <c r="D199" s="15"/>
      <c r="E199" s="15"/>
      <c r="F199" s="15"/>
      <c r="G199" s="15"/>
      <c r="H199" s="15"/>
      <c r="I199" s="15"/>
      <c r="J199" s="15"/>
      <c r="K199" s="15"/>
      <c r="L199" s="15"/>
      <c r="M199" s="15"/>
      <c r="N199" s="15"/>
      <c r="O199" s="15"/>
      <c r="P199" s="15"/>
      <c r="Q199" s="15"/>
      <c r="R199" s="16" t="str">
        <f aca="false">IF(A199="","",IF(AND(J199="Y",OR(K199="None",K199="TBC",K199="",L199="N",L199="TBC",L199="")),"Carry to W04 as risk","—"))</f>
        <v/>
      </c>
      <c r="S199" s="16" t="str">
        <f aca="false">IF(A199="","",IF(OR(B199="",C199="",D199="",E199="",F199=""),"Name, source, target, direction, technology needed",IF(AND(COUNTIF(Ref_SYS!$A$2:$A$101,C199)=0,COUNTIF(Ref_SYS!$A$2:$A$101,D199)=0),"No in-scope SYS-ID on either side",IF(AND(J199="Y",K199=""),"Monitoring answer needed",IF(AND(O199="N",Q199=""),"Rationale needed","OK")))))</f>
        <v/>
      </c>
    </row>
    <row r="200" customFormat="false" ht="15" hidden="false" customHeight="false" outlineLevel="0" collapsed="false">
      <c r="A200" s="15"/>
      <c r="B200" s="15"/>
      <c r="C200" s="15"/>
      <c r="D200" s="15"/>
      <c r="E200" s="15"/>
      <c r="F200" s="15"/>
      <c r="G200" s="15"/>
      <c r="H200" s="15"/>
      <c r="I200" s="15"/>
      <c r="J200" s="15"/>
      <c r="K200" s="15"/>
      <c r="L200" s="15"/>
      <c r="M200" s="15"/>
      <c r="N200" s="15"/>
      <c r="O200" s="15"/>
      <c r="P200" s="15"/>
      <c r="Q200" s="15"/>
      <c r="R200" s="16" t="str">
        <f aca="false">IF(A200="","",IF(AND(J200="Y",OR(K200="None",K200="TBC",K200="",L200="N",L200="TBC",L200="")),"Carry to W04 as risk","—"))</f>
        <v/>
      </c>
      <c r="S200" s="16" t="str">
        <f aca="false">IF(A200="","",IF(OR(B200="",C200="",D200="",E200="",F200=""),"Name, source, target, direction, technology needed",IF(AND(COUNTIF(Ref_SYS!$A$2:$A$101,C200)=0,COUNTIF(Ref_SYS!$A$2:$A$101,D200)=0),"No in-scope SYS-ID on either side",IF(AND(J200="Y",K200=""),"Monitoring answer needed",IF(AND(O200="N",Q200=""),"Rationale needed","OK")))))</f>
        <v/>
      </c>
    </row>
    <row r="201" customFormat="false" ht="15" hidden="false" customHeight="false" outlineLevel="0" collapsed="false">
      <c r="A201" s="15"/>
      <c r="B201" s="15"/>
      <c r="C201" s="15"/>
      <c r="D201" s="15"/>
      <c r="E201" s="15"/>
      <c r="F201" s="15"/>
      <c r="G201" s="15"/>
      <c r="H201" s="15"/>
      <c r="I201" s="15"/>
      <c r="J201" s="15"/>
      <c r="K201" s="15"/>
      <c r="L201" s="15"/>
      <c r="M201" s="15"/>
      <c r="N201" s="15"/>
      <c r="O201" s="15"/>
      <c r="P201" s="15"/>
      <c r="Q201" s="15"/>
      <c r="R201" s="16" t="str">
        <f aca="false">IF(A201="","",IF(AND(J201="Y",OR(K201="None",K201="TBC",K201="",L201="N",L201="TBC",L201="")),"Carry to W04 as risk","—"))</f>
        <v/>
      </c>
      <c r="S201" s="16" t="str">
        <f aca="false">IF(A201="","",IF(OR(B201="",C201="",D201="",E201="",F201=""),"Name, source, target, direction, technology needed",IF(AND(COUNTIF(Ref_SYS!$A$2:$A$101,C201)=0,COUNTIF(Ref_SYS!$A$2:$A$101,D201)=0),"No in-scope SYS-ID on either side",IF(AND(J201="Y",K201=""),"Monitoring answer needed",IF(AND(O201="N",Q201=""),"Rationale needed","OK")))))</f>
        <v/>
      </c>
    </row>
    <row r="202" customFormat="false" ht="15" hidden="false" customHeight="false" outlineLevel="0" collapsed="false">
      <c r="A202" s="15"/>
      <c r="B202" s="15"/>
      <c r="C202" s="15"/>
      <c r="D202" s="15"/>
      <c r="E202" s="15"/>
      <c r="F202" s="15"/>
      <c r="G202" s="15"/>
      <c r="H202" s="15"/>
      <c r="I202" s="15"/>
      <c r="J202" s="15"/>
      <c r="K202" s="15"/>
      <c r="L202" s="15"/>
      <c r="M202" s="15"/>
      <c r="N202" s="15"/>
      <c r="O202" s="15"/>
      <c r="P202" s="15"/>
      <c r="Q202" s="15"/>
      <c r="R202" s="16" t="str">
        <f aca="false">IF(A202="","",IF(AND(J202="Y",OR(K202="None",K202="TBC",K202="",L202="N",L202="TBC",L202="")),"Carry to W04 as risk","—"))</f>
        <v/>
      </c>
      <c r="S202" s="16" t="str">
        <f aca="false">IF(A202="","",IF(OR(B202="",C202="",D202="",E202="",F202=""),"Name, source, target, direction, technology needed",IF(AND(COUNTIF(Ref_SYS!$A$2:$A$101,C202)=0,COUNTIF(Ref_SYS!$A$2:$A$101,D202)=0),"No in-scope SYS-ID on either side",IF(AND(J202="Y",K202=""),"Monitoring answer needed",IF(AND(O202="N",Q202=""),"Rationale needed","OK")))))</f>
        <v/>
      </c>
    </row>
    <row r="203" customFormat="false" ht="15" hidden="false" customHeight="false" outlineLevel="0" collapsed="false">
      <c r="A203" s="15"/>
      <c r="B203" s="15"/>
      <c r="C203" s="15"/>
      <c r="D203" s="15"/>
      <c r="E203" s="15"/>
      <c r="F203" s="15"/>
      <c r="G203" s="15"/>
      <c r="H203" s="15"/>
      <c r="I203" s="15"/>
      <c r="J203" s="15"/>
      <c r="K203" s="15"/>
      <c r="L203" s="15"/>
      <c r="M203" s="15"/>
      <c r="N203" s="15"/>
      <c r="O203" s="15"/>
      <c r="P203" s="15"/>
      <c r="Q203" s="15"/>
      <c r="R203" s="16" t="str">
        <f aca="false">IF(A203="","",IF(AND(J203="Y",OR(K203="None",K203="TBC",K203="",L203="N",L203="TBC",L203="")),"Carry to W04 as risk","—"))</f>
        <v/>
      </c>
      <c r="S203" s="16" t="str">
        <f aca="false">IF(A203="","",IF(OR(B203="",C203="",D203="",E203="",F203=""),"Name, source, target, direction, technology needed",IF(AND(COUNTIF(Ref_SYS!$A$2:$A$101,C203)=0,COUNTIF(Ref_SYS!$A$2:$A$101,D203)=0),"No in-scope SYS-ID on either side",IF(AND(J203="Y",K203=""),"Monitoring answer needed",IF(AND(O203="N",Q203=""),"Rationale needed","OK")))))</f>
        <v/>
      </c>
    </row>
    <row r="204" customFormat="false" ht="15" hidden="false" customHeight="false" outlineLevel="0" collapsed="false">
      <c r="A204" s="15"/>
      <c r="B204" s="15"/>
      <c r="C204" s="15"/>
      <c r="D204" s="15"/>
      <c r="E204" s="15"/>
      <c r="F204" s="15"/>
      <c r="G204" s="15"/>
      <c r="H204" s="15"/>
      <c r="I204" s="15"/>
      <c r="J204" s="15"/>
      <c r="K204" s="15"/>
      <c r="L204" s="15"/>
      <c r="M204" s="15"/>
      <c r="N204" s="15"/>
      <c r="O204" s="15"/>
      <c r="P204" s="15"/>
      <c r="Q204" s="15"/>
      <c r="R204" s="16" t="str">
        <f aca="false">IF(A204="","",IF(AND(J204="Y",OR(K204="None",K204="TBC",K204="",L204="N",L204="TBC",L204="")),"Carry to W04 as risk","—"))</f>
        <v/>
      </c>
      <c r="S204" s="16" t="str">
        <f aca="false">IF(A204="","",IF(OR(B204="",C204="",D204="",E204="",F204=""),"Name, source, target, direction, technology needed",IF(AND(COUNTIF(Ref_SYS!$A$2:$A$101,C204)=0,COUNTIF(Ref_SYS!$A$2:$A$101,D204)=0),"No in-scope SYS-ID on either side",IF(AND(J204="Y",K204=""),"Monitoring answer needed",IF(AND(O204="N",Q204=""),"Rationale needed","OK")))))</f>
        <v/>
      </c>
    </row>
  </sheetData>
  <autoFilter ref="A4:S204"/>
  <dataValidations count="6">
    <dataValidation allowBlank="true" error="Pick a value from the list." errorStyle="stop" operator="between" showDropDown="false" showErrorMessage="true" showInputMessage="false" sqref="E5:E204" type="list">
      <formula1>Lists!$A$2:$A$4</formula1>
      <formula2>0</formula2>
    </dataValidation>
    <dataValidation allowBlank="true" error="Pick a value from the list." errorStyle="stop" operator="between" showDropDown="false" showErrorMessage="true" showInputMessage="false" sqref="F5:F204" type="list">
      <formula1>Lists!$B$2:$B$10</formula1>
      <formula2>0</formula2>
    </dataValidation>
    <dataValidation allowBlank="true" error="Pick a value from the list." errorStyle="stop" operator="between" showDropDown="false" showErrorMessage="true" showInputMessage="false" sqref="J5:J204" type="list">
      <formula1>Lists!$D$2:$D$3</formula1>
      <formula2>0</formula2>
    </dataValidation>
    <dataValidation allowBlank="true" error="Pick a value from the list." errorStyle="stop" operator="between" showDropDown="false" showErrorMessage="true" showInputMessage="false" sqref="K5:K204" type="list">
      <formula1>Lists!$C$2:$C$10</formula1>
      <formula2>0</formula2>
    </dataValidation>
    <dataValidation allowBlank="true" error="Pick a value from the list." errorStyle="stop" operator="between" showDropDown="false" showErrorMessage="true" showInputMessage="false" sqref="L5:L204" type="list">
      <formula1>Lists!$E$2:$E$4</formula1>
      <formula2>0</formula2>
    </dataValidation>
    <dataValidation allowBlank="true" error="Pick a value from the list." errorStyle="stop" operator="between" showDropDown="false" showErrorMessage="true" showInputMessage="false" sqref="O5:O204" type="list">
      <formula1>Lists!$E$2:$E$4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4" min="3" style="0" width="24"/>
    <col collapsed="false" customWidth="true" hidden="false" outlineLevel="0" max="5" min="5" style="0" width="16"/>
    <col collapsed="false" customWidth="true" hidden="false" outlineLevel="0" max="6" min="6" style="0" width="14"/>
    <col collapsed="false" customWidth="true" hidden="false" outlineLevel="0" max="7" min="7" style="0" width="24"/>
    <col collapsed="false" customWidth="true" hidden="false" outlineLevel="0" max="8" min="8" style="0" width="11"/>
    <col collapsed="false" customWidth="true" hidden="false" outlineLevel="0" max="10" min="9" style="0" width="30"/>
  </cols>
  <sheetData>
    <row r="1" customFormat="false" ht="17.35" hidden="false" customHeight="false" outlineLevel="0" collapsed="false">
      <c r="A1" s="9" t="s">
        <v>158</v>
      </c>
    </row>
    <row r="2" customFormat="false" ht="15" hidden="false" customHeight="false" outlineLevel="0" collapsed="false">
      <c r="A2" s="10" t="s">
        <v>159</v>
      </c>
    </row>
    <row r="4" customFormat="false" ht="31.5" hidden="false" customHeight="true" outlineLevel="0" collapsed="false">
      <c r="A4" s="11" t="s">
        <v>82</v>
      </c>
      <c r="B4" s="11" t="s">
        <v>26</v>
      </c>
      <c r="C4" s="12" t="s">
        <v>86</v>
      </c>
      <c r="D4" s="11" t="s">
        <v>87</v>
      </c>
      <c r="E4" s="11" t="s">
        <v>89</v>
      </c>
      <c r="F4" s="11" t="s">
        <v>92</v>
      </c>
      <c r="G4" s="11" t="s">
        <v>95</v>
      </c>
      <c r="H4" s="11" t="s">
        <v>98</v>
      </c>
      <c r="I4" s="12" t="s">
        <v>100</v>
      </c>
      <c r="J4" s="11" t="s">
        <v>102</v>
      </c>
    </row>
    <row r="5" customFormat="false" ht="15" hidden="false" customHeight="false" outlineLevel="0" collapsed="false">
      <c r="A5" s="13" t="s">
        <v>160</v>
      </c>
      <c r="B5" s="13" t="s">
        <v>144</v>
      </c>
      <c r="C5" s="14" t="str">
        <f aca="false">IFERROR(INDEX(Interface_Register!$B$5:$B$204,MATCH(B5,Interface_Register!$A$5:$A$204,0)),"")</f>
        <v>Vendor payment file</v>
      </c>
      <c r="D5" s="13" t="s">
        <v>161</v>
      </c>
      <c r="E5" s="13" t="s">
        <v>162</v>
      </c>
      <c r="F5" s="13" t="s">
        <v>163</v>
      </c>
      <c r="G5" s="13" t="s">
        <v>164</v>
      </c>
      <c r="H5" s="13" t="s">
        <v>153</v>
      </c>
      <c r="I5" s="14" t="str">
        <f aca="false">IF(A5="","",IF(F5="Dialog","Dialog user on RFC: sensitive (W06)",IF(ISNUMBER(SEARCH("SAP_ALL",G5)),"SAP_ALL on RFC user: sensitive (W06)","OK")))</f>
        <v>OK</v>
      </c>
      <c r="J5" s="13"/>
    </row>
    <row r="6" customFormat="false" ht="15" hidden="false" customHeight="false" outlineLevel="0" collapsed="false">
      <c r="A6" s="15"/>
      <c r="B6" s="15"/>
      <c r="C6" s="16" t="str">
        <f aca="false">IFERROR(INDEX(Interface_Register!$B$5:$B$204,MATCH(B6,Interface_Register!$A$5:$A$204,0)),"")</f>
        <v/>
      </c>
      <c r="D6" s="15"/>
      <c r="E6" s="15"/>
      <c r="F6" s="15"/>
      <c r="G6" s="15"/>
      <c r="H6" s="15"/>
      <c r="I6" s="16" t="str">
        <f aca="false">IF(A6="","",IF(F6="Dialog","Dialog user on RFC: sensitive (W06)",IF(ISNUMBER(SEARCH("SAP_ALL",G6)),"SAP_ALL on RFC user: sensitive (W06)","OK")))</f>
        <v/>
      </c>
      <c r="J6" s="15"/>
    </row>
    <row r="7" customFormat="false" ht="15" hidden="false" customHeight="false" outlineLevel="0" collapsed="false">
      <c r="A7" s="15"/>
      <c r="B7" s="15"/>
      <c r="C7" s="16" t="str">
        <f aca="false">IFERROR(INDEX(Interface_Register!$B$5:$B$204,MATCH(B7,Interface_Register!$A$5:$A$204,0)),"")</f>
        <v/>
      </c>
      <c r="D7" s="15"/>
      <c r="E7" s="15"/>
      <c r="F7" s="15"/>
      <c r="G7" s="15"/>
      <c r="H7" s="15"/>
      <c r="I7" s="16" t="str">
        <f aca="false">IF(A7="","",IF(F7="Dialog","Dialog user on RFC: sensitive (W06)",IF(ISNUMBER(SEARCH("SAP_ALL",G7)),"SAP_ALL on RFC user: sensitive (W06)","OK")))</f>
        <v/>
      </c>
      <c r="J7" s="15"/>
    </row>
    <row r="8" customFormat="false" ht="15" hidden="false" customHeight="false" outlineLevel="0" collapsed="false">
      <c r="A8" s="15"/>
      <c r="B8" s="15"/>
      <c r="C8" s="16" t="str">
        <f aca="false">IFERROR(INDEX(Interface_Register!$B$5:$B$204,MATCH(B8,Interface_Register!$A$5:$A$204,0)),"")</f>
        <v/>
      </c>
      <c r="D8" s="15"/>
      <c r="E8" s="15"/>
      <c r="F8" s="15"/>
      <c r="G8" s="15"/>
      <c r="H8" s="15"/>
      <c r="I8" s="16" t="str">
        <f aca="false">IF(A8="","",IF(F8="Dialog","Dialog user on RFC: sensitive (W06)",IF(ISNUMBER(SEARCH("SAP_ALL",G8)),"SAP_ALL on RFC user: sensitive (W06)","OK")))</f>
        <v/>
      </c>
      <c r="J8" s="15"/>
    </row>
    <row r="9" customFormat="false" ht="15" hidden="false" customHeight="false" outlineLevel="0" collapsed="false">
      <c r="A9" s="15"/>
      <c r="B9" s="15"/>
      <c r="C9" s="16" t="str">
        <f aca="false">IFERROR(INDEX(Interface_Register!$B$5:$B$204,MATCH(B9,Interface_Register!$A$5:$A$204,0)),"")</f>
        <v/>
      </c>
      <c r="D9" s="15"/>
      <c r="E9" s="15"/>
      <c r="F9" s="15"/>
      <c r="G9" s="15"/>
      <c r="H9" s="15"/>
      <c r="I9" s="16" t="str">
        <f aca="false">IF(A9="","",IF(F9="Dialog","Dialog user on RFC: sensitive (W06)",IF(ISNUMBER(SEARCH("SAP_ALL",G9)),"SAP_ALL on RFC user: sensitive (W06)","OK")))</f>
        <v/>
      </c>
      <c r="J9" s="15"/>
    </row>
    <row r="10" customFormat="false" ht="15" hidden="false" customHeight="false" outlineLevel="0" collapsed="false">
      <c r="A10" s="15"/>
      <c r="B10" s="15"/>
      <c r="C10" s="16" t="str">
        <f aca="false">IFERROR(INDEX(Interface_Register!$B$5:$B$204,MATCH(B10,Interface_Register!$A$5:$A$204,0)),"")</f>
        <v/>
      </c>
      <c r="D10" s="15"/>
      <c r="E10" s="15"/>
      <c r="F10" s="15"/>
      <c r="G10" s="15"/>
      <c r="H10" s="15"/>
      <c r="I10" s="16" t="str">
        <f aca="false">IF(A10="","",IF(F10="Dialog","Dialog user on RFC: sensitive (W06)",IF(ISNUMBER(SEARCH("SAP_ALL",G10)),"SAP_ALL on RFC user: sensitive (W06)","OK")))</f>
        <v/>
      </c>
      <c r="J10" s="15"/>
    </row>
    <row r="11" customFormat="false" ht="15" hidden="false" customHeight="false" outlineLevel="0" collapsed="false">
      <c r="A11" s="15"/>
      <c r="B11" s="15"/>
      <c r="C11" s="16" t="str">
        <f aca="false">IFERROR(INDEX(Interface_Register!$B$5:$B$204,MATCH(B11,Interface_Register!$A$5:$A$204,0)),"")</f>
        <v/>
      </c>
      <c r="D11" s="15"/>
      <c r="E11" s="15"/>
      <c r="F11" s="15"/>
      <c r="G11" s="15"/>
      <c r="H11" s="15"/>
      <c r="I11" s="16" t="str">
        <f aca="false">IF(A11="","",IF(F11="Dialog","Dialog user on RFC: sensitive (W06)",IF(ISNUMBER(SEARCH("SAP_ALL",G11)),"SAP_ALL on RFC user: sensitive (W06)","OK")))</f>
        <v/>
      </c>
      <c r="J11" s="15"/>
    </row>
    <row r="12" customFormat="false" ht="15" hidden="false" customHeight="false" outlineLevel="0" collapsed="false">
      <c r="A12" s="15"/>
      <c r="B12" s="15"/>
      <c r="C12" s="16" t="str">
        <f aca="false">IFERROR(INDEX(Interface_Register!$B$5:$B$204,MATCH(B12,Interface_Register!$A$5:$A$204,0)),"")</f>
        <v/>
      </c>
      <c r="D12" s="15"/>
      <c r="E12" s="15"/>
      <c r="F12" s="15"/>
      <c r="G12" s="15"/>
      <c r="H12" s="15"/>
      <c r="I12" s="16" t="str">
        <f aca="false">IF(A12="","",IF(F12="Dialog","Dialog user on RFC: sensitive (W06)",IF(ISNUMBER(SEARCH("SAP_ALL",G12)),"SAP_ALL on RFC user: sensitive (W06)","OK")))</f>
        <v/>
      </c>
      <c r="J12" s="15"/>
    </row>
    <row r="13" customFormat="false" ht="15" hidden="false" customHeight="false" outlineLevel="0" collapsed="false">
      <c r="A13" s="15"/>
      <c r="B13" s="15"/>
      <c r="C13" s="16" t="str">
        <f aca="false">IFERROR(INDEX(Interface_Register!$B$5:$B$204,MATCH(B13,Interface_Register!$A$5:$A$204,0)),"")</f>
        <v/>
      </c>
      <c r="D13" s="15"/>
      <c r="E13" s="15"/>
      <c r="F13" s="15"/>
      <c r="G13" s="15"/>
      <c r="H13" s="15"/>
      <c r="I13" s="16" t="str">
        <f aca="false">IF(A13="","",IF(F13="Dialog","Dialog user on RFC: sensitive (W06)",IF(ISNUMBER(SEARCH("SAP_ALL",G13)),"SAP_ALL on RFC user: sensitive (W06)","OK")))</f>
        <v/>
      </c>
      <c r="J13" s="15"/>
    </row>
    <row r="14" customFormat="false" ht="15" hidden="false" customHeight="false" outlineLevel="0" collapsed="false">
      <c r="A14" s="15"/>
      <c r="B14" s="15"/>
      <c r="C14" s="16" t="str">
        <f aca="false">IFERROR(INDEX(Interface_Register!$B$5:$B$204,MATCH(B14,Interface_Register!$A$5:$A$204,0)),"")</f>
        <v/>
      </c>
      <c r="D14" s="15"/>
      <c r="E14" s="15"/>
      <c r="F14" s="15"/>
      <c r="G14" s="15"/>
      <c r="H14" s="15"/>
      <c r="I14" s="16" t="str">
        <f aca="false">IF(A14="","",IF(F14="Dialog","Dialog user on RFC: sensitive (W06)",IF(ISNUMBER(SEARCH("SAP_ALL",G14)),"SAP_ALL on RFC user: sensitive (W06)","OK")))</f>
        <v/>
      </c>
      <c r="J14" s="15"/>
    </row>
    <row r="15" customFormat="false" ht="15" hidden="false" customHeight="false" outlineLevel="0" collapsed="false">
      <c r="A15" s="15"/>
      <c r="B15" s="15"/>
      <c r="C15" s="16" t="str">
        <f aca="false">IFERROR(INDEX(Interface_Register!$B$5:$B$204,MATCH(B15,Interface_Register!$A$5:$A$204,0)),"")</f>
        <v/>
      </c>
      <c r="D15" s="15"/>
      <c r="E15" s="15"/>
      <c r="F15" s="15"/>
      <c r="G15" s="15"/>
      <c r="H15" s="15"/>
      <c r="I15" s="16" t="str">
        <f aca="false">IF(A15="","",IF(F15="Dialog","Dialog user on RFC: sensitive (W06)",IF(ISNUMBER(SEARCH("SAP_ALL",G15)),"SAP_ALL on RFC user: sensitive (W06)","OK")))</f>
        <v/>
      </c>
      <c r="J15" s="15"/>
    </row>
    <row r="16" customFormat="false" ht="15" hidden="false" customHeight="false" outlineLevel="0" collapsed="false">
      <c r="A16" s="15"/>
      <c r="B16" s="15"/>
      <c r="C16" s="16" t="str">
        <f aca="false">IFERROR(INDEX(Interface_Register!$B$5:$B$204,MATCH(B16,Interface_Register!$A$5:$A$204,0)),"")</f>
        <v/>
      </c>
      <c r="D16" s="15"/>
      <c r="E16" s="15"/>
      <c r="F16" s="15"/>
      <c r="G16" s="15"/>
      <c r="H16" s="15"/>
      <c r="I16" s="16" t="str">
        <f aca="false">IF(A16="","",IF(F16="Dialog","Dialog user on RFC: sensitive (W06)",IF(ISNUMBER(SEARCH("SAP_ALL",G16)),"SAP_ALL on RFC user: sensitive (W06)","OK")))</f>
        <v/>
      </c>
      <c r="J16" s="15"/>
    </row>
    <row r="17" customFormat="false" ht="15" hidden="false" customHeight="false" outlineLevel="0" collapsed="false">
      <c r="A17" s="15"/>
      <c r="B17" s="15"/>
      <c r="C17" s="16" t="str">
        <f aca="false">IFERROR(INDEX(Interface_Register!$B$5:$B$204,MATCH(B17,Interface_Register!$A$5:$A$204,0)),"")</f>
        <v/>
      </c>
      <c r="D17" s="15"/>
      <c r="E17" s="15"/>
      <c r="F17" s="15"/>
      <c r="G17" s="15"/>
      <c r="H17" s="15"/>
      <c r="I17" s="16" t="str">
        <f aca="false">IF(A17="","",IF(F17="Dialog","Dialog user on RFC: sensitive (W06)",IF(ISNUMBER(SEARCH("SAP_ALL",G17)),"SAP_ALL on RFC user: sensitive (W06)","OK")))</f>
        <v/>
      </c>
      <c r="J17" s="15"/>
    </row>
    <row r="18" customFormat="false" ht="15" hidden="false" customHeight="false" outlineLevel="0" collapsed="false">
      <c r="A18" s="15"/>
      <c r="B18" s="15"/>
      <c r="C18" s="16" t="str">
        <f aca="false">IFERROR(INDEX(Interface_Register!$B$5:$B$204,MATCH(B18,Interface_Register!$A$5:$A$204,0)),"")</f>
        <v/>
      </c>
      <c r="D18" s="15"/>
      <c r="E18" s="15"/>
      <c r="F18" s="15"/>
      <c r="G18" s="15"/>
      <c r="H18" s="15"/>
      <c r="I18" s="16" t="str">
        <f aca="false">IF(A18="","",IF(F18="Dialog","Dialog user on RFC: sensitive (W06)",IF(ISNUMBER(SEARCH("SAP_ALL",G18)),"SAP_ALL on RFC user: sensitive (W06)","OK")))</f>
        <v/>
      </c>
      <c r="J18" s="15"/>
    </row>
    <row r="19" customFormat="false" ht="15" hidden="false" customHeight="false" outlineLevel="0" collapsed="false">
      <c r="A19" s="15"/>
      <c r="B19" s="15"/>
      <c r="C19" s="16" t="str">
        <f aca="false">IFERROR(INDEX(Interface_Register!$B$5:$B$204,MATCH(B19,Interface_Register!$A$5:$A$204,0)),"")</f>
        <v/>
      </c>
      <c r="D19" s="15"/>
      <c r="E19" s="15"/>
      <c r="F19" s="15"/>
      <c r="G19" s="15"/>
      <c r="H19" s="15"/>
      <c r="I19" s="16" t="str">
        <f aca="false">IF(A19="","",IF(F19="Dialog","Dialog user on RFC: sensitive (W06)",IF(ISNUMBER(SEARCH("SAP_ALL",G19)),"SAP_ALL on RFC user: sensitive (W06)","OK")))</f>
        <v/>
      </c>
      <c r="J19" s="15"/>
    </row>
    <row r="20" customFormat="false" ht="15" hidden="false" customHeight="false" outlineLevel="0" collapsed="false">
      <c r="A20" s="15"/>
      <c r="B20" s="15"/>
      <c r="C20" s="16" t="str">
        <f aca="false">IFERROR(INDEX(Interface_Register!$B$5:$B$204,MATCH(B20,Interface_Register!$A$5:$A$204,0)),"")</f>
        <v/>
      </c>
      <c r="D20" s="15"/>
      <c r="E20" s="15"/>
      <c r="F20" s="15"/>
      <c r="G20" s="15"/>
      <c r="H20" s="15"/>
      <c r="I20" s="16" t="str">
        <f aca="false">IF(A20="","",IF(F20="Dialog","Dialog user on RFC: sensitive (W06)",IF(ISNUMBER(SEARCH("SAP_ALL",G20)),"SAP_ALL on RFC user: sensitive (W06)","OK")))</f>
        <v/>
      </c>
      <c r="J20" s="15"/>
    </row>
    <row r="21" customFormat="false" ht="15" hidden="false" customHeight="false" outlineLevel="0" collapsed="false">
      <c r="A21" s="15"/>
      <c r="B21" s="15"/>
      <c r="C21" s="16" t="str">
        <f aca="false">IFERROR(INDEX(Interface_Register!$B$5:$B$204,MATCH(B21,Interface_Register!$A$5:$A$204,0)),"")</f>
        <v/>
      </c>
      <c r="D21" s="15"/>
      <c r="E21" s="15"/>
      <c r="F21" s="15"/>
      <c r="G21" s="15"/>
      <c r="H21" s="15"/>
      <c r="I21" s="16" t="str">
        <f aca="false">IF(A21="","",IF(F21="Dialog","Dialog user on RFC: sensitive (W06)",IF(ISNUMBER(SEARCH("SAP_ALL",G21)),"SAP_ALL on RFC user: sensitive (W06)","OK")))</f>
        <v/>
      </c>
      <c r="J21" s="15"/>
    </row>
    <row r="22" customFormat="false" ht="15" hidden="false" customHeight="false" outlineLevel="0" collapsed="false">
      <c r="A22" s="15"/>
      <c r="B22" s="15"/>
      <c r="C22" s="16" t="str">
        <f aca="false">IFERROR(INDEX(Interface_Register!$B$5:$B$204,MATCH(B22,Interface_Register!$A$5:$A$204,0)),"")</f>
        <v/>
      </c>
      <c r="D22" s="15"/>
      <c r="E22" s="15"/>
      <c r="F22" s="15"/>
      <c r="G22" s="15"/>
      <c r="H22" s="15"/>
      <c r="I22" s="16" t="str">
        <f aca="false">IF(A22="","",IF(F22="Dialog","Dialog user on RFC: sensitive (W06)",IF(ISNUMBER(SEARCH("SAP_ALL",G22)),"SAP_ALL on RFC user: sensitive (W06)","OK")))</f>
        <v/>
      </c>
      <c r="J22" s="15"/>
    </row>
    <row r="23" customFormat="false" ht="15" hidden="false" customHeight="false" outlineLevel="0" collapsed="false">
      <c r="A23" s="15"/>
      <c r="B23" s="15"/>
      <c r="C23" s="16" t="str">
        <f aca="false">IFERROR(INDEX(Interface_Register!$B$5:$B$204,MATCH(B23,Interface_Register!$A$5:$A$204,0)),"")</f>
        <v/>
      </c>
      <c r="D23" s="15"/>
      <c r="E23" s="15"/>
      <c r="F23" s="15"/>
      <c r="G23" s="15"/>
      <c r="H23" s="15"/>
      <c r="I23" s="16" t="str">
        <f aca="false">IF(A23="","",IF(F23="Dialog","Dialog user on RFC: sensitive (W06)",IF(ISNUMBER(SEARCH("SAP_ALL",G23)),"SAP_ALL on RFC user: sensitive (W06)","OK")))</f>
        <v/>
      </c>
      <c r="J23" s="15"/>
    </row>
    <row r="24" customFormat="false" ht="15" hidden="false" customHeight="false" outlineLevel="0" collapsed="false">
      <c r="A24" s="15"/>
      <c r="B24" s="15"/>
      <c r="C24" s="16" t="str">
        <f aca="false">IFERROR(INDEX(Interface_Register!$B$5:$B$204,MATCH(B24,Interface_Register!$A$5:$A$204,0)),"")</f>
        <v/>
      </c>
      <c r="D24" s="15"/>
      <c r="E24" s="15"/>
      <c r="F24" s="15"/>
      <c r="G24" s="15"/>
      <c r="H24" s="15"/>
      <c r="I24" s="16" t="str">
        <f aca="false">IF(A24="","",IF(F24="Dialog","Dialog user on RFC: sensitive (W06)",IF(ISNUMBER(SEARCH("SAP_ALL",G24)),"SAP_ALL on RFC user: sensitive (W06)","OK")))</f>
        <v/>
      </c>
      <c r="J24" s="15"/>
    </row>
    <row r="25" customFormat="false" ht="15" hidden="false" customHeight="false" outlineLevel="0" collapsed="false">
      <c r="A25" s="15"/>
      <c r="B25" s="15"/>
      <c r="C25" s="16" t="str">
        <f aca="false">IFERROR(INDEX(Interface_Register!$B$5:$B$204,MATCH(B25,Interface_Register!$A$5:$A$204,0)),"")</f>
        <v/>
      </c>
      <c r="D25" s="15"/>
      <c r="E25" s="15"/>
      <c r="F25" s="15"/>
      <c r="G25" s="15"/>
      <c r="H25" s="15"/>
      <c r="I25" s="16" t="str">
        <f aca="false">IF(A25="","",IF(F25="Dialog","Dialog user on RFC: sensitive (W06)",IF(ISNUMBER(SEARCH("SAP_ALL",G25)),"SAP_ALL on RFC user: sensitive (W06)","OK")))</f>
        <v/>
      </c>
      <c r="J25" s="15"/>
    </row>
    <row r="26" customFormat="false" ht="15" hidden="false" customHeight="false" outlineLevel="0" collapsed="false">
      <c r="A26" s="15"/>
      <c r="B26" s="15"/>
      <c r="C26" s="16" t="str">
        <f aca="false">IFERROR(INDEX(Interface_Register!$B$5:$B$204,MATCH(B26,Interface_Register!$A$5:$A$204,0)),"")</f>
        <v/>
      </c>
      <c r="D26" s="15"/>
      <c r="E26" s="15"/>
      <c r="F26" s="15"/>
      <c r="G26" s="15"/>
      <c r="H26" s="15"/>
      <c r="I26" s="16" t="str">
        <f aca="false">IF(A26="","",IF(F26="Dialog","Dialog user on RFC: sensitive (W06)",IF(ISNUMBER(SEARCH("SAP_ALL",G26)),"SAP_ALL on RFC user: sensitive (W06)","OK")))</f>
        <v/>
      </c>
      <c r="J26" s="15"/>
    </row>
    <row r="27" customFormat="false" ht="15" hidden="false" customHeight="false" outlineLevel="0" collapsed="false">
      <c r="A27" s="15"/>
      <c r="B27" s="15"/>
      <c r="C27" s="16" t="str">
        <f aca="false">IFERROR(INDEX(Interface_Register!$B$5:$B$204,MATCH(B27,Interface_Register!$A$5:$A$204,0)),"")</f>
        <v/>
      </c>
      <c r="D27" s="15"/>
      <c r="E27" s="15"/>
      <c r="F27" s="15"/>
      <c r="G27" s="15"/>
      <c r="H27" s="15"/>
      <c r="I27" s="16" t="str">
        <f aca="false">IF(A27="","",IF(F27="Dialog","Dialog user on RFC: sensitive (W06)",IF(ISNUMBER(SEARCH("SAP_ALL",G27)),"SAP_ALL on RFC user: sensitive (W06)","OK")))</f>
        <v/>
      </c>
      <c r="J27" s="15"/>
    </row>
    <row r="28" customFormat="false" ht="15" hidden="false" customHeight="false" outlineLevel="0" collapsed="false">
      <c r="A28" s="15"/>
      <c r="B28" s="15"/>
      <c r="C28" s="16" t="str">
        <f aca="false">IFERROR(INDEX(Interface_Register!$B$5:$B$204,MATCH(B28,Interface_Register!$A$5:$A$204,0)),"")</f>
        <v/>
      </c>
      <c r="D28" s="15"/>
      <c r="E28" s="15"/>
      <c r="F28" s="15"/>
      <c r="G28" s="15"/>
      <c r="H28" s="15"/>
      <c r="I28" s="16" t="str">
        <f aca="false">IF(A28="","",IF(F28="Dialog","Dialog user on RFC: sensitive (W06)",IF(ISNUMBER(SEARCH("SAP_ALL",G28)),"SAP_ALL on RFC user: sensitive (W06)","OK")))</f>
        <v/>
      </c>
      <c r="J28" s="15"/>
    </row>
    <row r="29" customFormat="false" ht="15" hidden="false" customHeight="false" outlineLevel="0" collapsed="false">
      <c r="A29" s="15"/>
      <c r="B29" s="15"/>
      <c r="C29" s="16" t="str">
        <f aca="false">IFERROR(INDEX(Interface_Register!$B$5:$B$204,MATCH(B29,Interface_Register!$A$5:$A$204,0)),"")</f>
        <v/>
      </c>
      <c r="D29" s="15"/>
      <c r="E29" s="15"/>
      <c r="F29" s="15"/>
      <c r="G29" s="15"/>
      <c r="H29" s="15"/>
      <c r="I29" s="16" t="str">
        <f aca="false">IF(A29="","",IF(F29="Dialog","Dialog user on RFC: sensitive (W06)",IF(ISNUMBER(SEARCH("SAP_ALL",G29)),"SAP_ALL on RFC user: sensitive (W06)","OK")))</f>
        <v/>
      </c>
      <c r="J29" s="15"/>
    </row>
    <row r="30" customFormat="false" ht="15" hidden="false" customHeight="false" outlineLevel="0" collapsed="false">
      <c r="A30" s="15"/>
      <c r="B30" s="15"/>
      <c r="C30" s="16" t="str">
        <f aca="false">IFERROR(INDEX(Interface_Register!$B$5:$B$204,MATCH(B30,Interface_Register!$A$5:$A$204,0)),"")</f>
        <v/>
      </c>
      <c r="D30" s="15"/>
      <c r="E30" s="15"/>
      <c r="F30" s="15"/>
      <c r="G30" s="15"/>
      <c r="H30" s="15"/>
      <c r="I30" s="16" t="str">
        <f aca="false">IF(A30="","",IF(F30="Dialog","Dialog user on RFC: sensitive (W06)",IF(ISNUMBER(SEARCH("SAP_ALL",G30)),"SAP_ALL on RFC user: sensitive (W06)","OK")))</f>
        <v/>
      </c>
      <c r="J30" s="15"/>
    </row>
    <row r="31" customFormat="false" ht="15" hidden="false" customHeight="false" outlineLevel="0" collapsed="false">
      <c r="A31" s="15"/>
      <c r="B31" s="15"/>
      <c r="C31" s="16" t="str">
        <f aca="false">IFERROR(INDEX(Interface_Register!$B$5:$B$204,MATCH(B31,Interface_Register!$A$5:$A$204,0)),"")</f>
        <v/>
      </c>
      <c r="D31" s="15"/>
      <c r="E31" s="15"/>
      <c r="F31" s="15"/>
      <c r="G31" s="15"/>
      <c r="H31" s="15"/>
      <c r="I31" s="16" t="str">
        <f aca="false">IF(A31="","",IF(F31="Dialog","Dialog user on RFC: sensitive (W06)",IF(ISNUMBER(SEARCH("SAP_ALL",G31)),"SAP_ALL on RFC user: sensitive (W06)","OK")))</f>
        <v/>
      </c>
      <c r="J31" s="15"/>
    </row>
    <row r="32" customFormat="false" ht="15" hidden="false" customHeight="false" outlineLevel="0" collapsed="false">
      <c r="A32" s="15"/>
      <c r="B32" s="15"/>
      <c r="C32" s="16" t="str">
        <f aca="false">IFERROR(INDEX(Interface_Register!$B$5:$B$204,MATCH(B32,Interface_Register!$A$5:$A$204,0)),"")</f>
        <v/>
      </c>
      <c r="D32" s="15"/>
      <c r="E32" s="15"/>
      <c r="F32" s="15"/>
      <c r="G32" s="15"/>
      <c r="H32" s="15"/>
      <c r="I32" s="16" t="str">
        <f aca="false">IF(A32="","",IF(F32="Dialog","Dialog user on RFC: sensitive (W06)",IF(ISNUMBER(SEARCH("SAP_ALL",G32)),"SAP_ALL on RFC user: sensitive (W06)","OK")))</f>
        <v/>
      </c>
      <c r="J32" s="15"/>
    </row>
    <row r="33" customFormat="false" ht="15" hidden="false" customHeight="false" outlineLevel="0" collapsed="false">
      <c r="A33" s="15"/>
      <c r="B33" s="15"/>
      <c r="C33" s="16" t="str">
        <f aca="false">IFERROR(INDEX(Interface_Register!$B$5:$B$204,MATCH(B33,Interface_Register!$A$5:$A$204,0)),"")</f>
        <v/>
      </c>
      <c r="D33" s="15"/>
      <c r="E33" s="15"/>
      <c r="F33" s="15"/>
      <c r="G33" s="15"/>
      <c r="H33" s="15"/>
      <c r="I33" s="16" t="str">
        <f aca="false">IF(A33="","",IF(F33="Dialog","Dialog user on RFC: sensitive (W06)",IF(ISNUMBER(SEARCH("SAP_ALL",G33)),"SAP_ALL on RFC user: sensitive (W06)","OK")))</f>
        <v/>
      </c>
      <c r="J33" s="15"/>
    </row>
    <row r="34" customFormat="false" ht="15" hidden="false" customHeight="false" outlineLevel="0" collapsed="false">
      <c r="A34" s="15"/>
      <c r="B34" s="15"/>
      <c r="C34" s="16" t="str">
        <f aca="false">IFERROR(INDEX(Interface_Register!$B$5:$B$204,MATCH(B34,Interface_Register!$A$5:$A$204,0)),"")</f>
        <v/>
      </c>
      <c r="D34" s="15"/>
      <c r="E34" s="15"/>
      <c r="F34" s="15"/>
      <c r="G34" s="15"/>
      <c r="H34" s="15"/>
      <c r="I34" s="16" t="str">
        <f aca="false">IF(A34="","",IF(F34="Dialog","Dialog user on RFC: sensitive (W06)",IF(ISNUMBER(SEARCH("SAP_ALL",G34)),"SAP_ALL on RFC user: sensitive (W06)","OK")))</f>
        <v/>
      </c>
      <c r="J34" s="15"/>
    </row>
    <row r="35" customFormat="false" ht="15" hidden="false" customHeight="false" outlineLevel="0" collapsed="false">
      <c r="A35" s="15"/>
      <c r="B35" s="15"/>
      <c r="C35" s="16" t="str">
        <f aca="false">IFERROR(INDEX(Interface_Register!$B$5:$B$204,MATCH(B35,Interface_Register!$A$5:$A$204,0)),"")</f>
        <v/>
      </c>
      <c r="D35" s="15"/>
      <c r="E35" s="15"/>
      <c r="F35" s="15"/>
      <c r="G35" s="15"/>
      <c r="H35" s="15"/>
      <c r="I35" s="16" t="str">
        <f aca="false">IF(A35="","",IF(F35="Dialog","Dialog user on RFC: sensitive (W06)",IF(ISNUMBER(SEARCH("SAP_ALL",G35)),"SAP_ALL on RFC user: sensitive (W06)","OK")))</f>
        <v/>
      </c>
      <c r="J35" s="15"/>
    </row>
    <row r="36" customFormat="false" ht="15" hidden="false" customHeight="false" outlineLevel="0" collapsed="false">
      <c r="A36" s="15"/>
      <c r="B36" s="15"/>
      <c r="C36" s="16" t="str">
        <f aca="false">IFERROR(INDEX(Interface_Register!$B$5:$B$204,MATCH(B36,Interface_Register!$A$5:$A$204,0)),"")</f>
        <v/>
      </c>
      <c r="D36" s="15"/>
      <c r="E36" s="15"/>
      <c r="F36" s="15"/>
      <c r="G36" s="15"/>
      <c r="H36" s="15"/>
      <c r="I36" s="16" t="str">
        <f aca="false">IF(A36="","",IF(F36="Dialog","Dialog user on RFC: sensitive (W06)",IF(ISNUMBER(SEARCH("SAP_ALL",G36)),"SAP_ALL on RFC user: sensitive (W06)","OK")))</f>
        <v/>
      </c>
      <c r="J36" s="15"/>
    </row>
    <row r="37" customFormat="false" ht="15" hidden="false" customHeight="false" outlineLevel="0" collapsed="false">
      <c r="A37" s="15"/>
      <c r="B37" s="15"/>
      <c r="C37" s="16" t="str">
        <f aca="false">IFERROR(INDEX(Interface_Register!$B$5:$B$204,MATCH(B37,Interface_Register!$A$5:$A$204,0)),"")</f>
        <v/>
      </c>
      <c r="D37" s="15"/>
      <c r="E37" s="15"/>
      <c r="F37" s="15"/>
      <c r="G37" s="15"/>
      <c r="H37" s="15"/>
      <c r="I37" s="16" t="str">
        <f aca="false">IF(A37="","",IF(F37="Dialog","Dialog user on RFC: sensitive (W06)",IF(ISNUMBER(SEARCH("SAP_ALL",G37)),"SAP_ALL on RFC user: sensitive (W06)","OK")))</f>
        <v/>
      </c>
      <c r="J37" s="15"/>
    </row>
    <row r="38" customFormat="false" ht="15" hidden="false" customHeight="false" outlineLevel="0" collapsed="false">
      <c r="A38" s="15"/>
      <c r="B38" s="15"/>
      <c r="C38" s="16" t="str">
        <f aca="false">IFERROR(INDEX(Interface_Register!$B$5:$B$204,MATCH(B38,Interface_Register!$A$5:$A$204,0)),"")</f>
        <v/>
      </c>
      <c r="D38" s="15"/>
      <c r="E38" s="15"/>
      <c r="F38" s="15"/>
      <c r="G38" s="15"/>
      <c r="H38" s="15"/>
      <c r="I38" s="16" t="str">
        <f aca="false">IF(A38="","",IF(F38="Dialog","Dialog user on RFC: sensitive (W06)",IF(ISNUMBER(SEARCH("SAP_ALL",G38)),"SAP_ALL on RFC user: sensitive (W06)","OK")))</f>
        <v/>
      </c>
      <c r="J38" s="15"/>
    </row>
    <row r="39" customFormat="false" ht="15" hidden="false" customHeight="false" outlineLevel="0" collapsed="false">
      <c r="A39" s="15"/>
      <c r="B39" s="15"/>
      <c r="C39" s="16" t="str">
        <f aca="false">IFERROR(INDEX(Interface_Register!$B$5:$B$204,MATCH(B39,Interface_Register!$A$5:$A$204,0)),"")</f>
        <v/>
      </c>
      <c r="D39" s="15"/>
      <c r="E39" s="15"/>
      <c r="F39" s="15"/>
      <c r="G39" s="15"/>
      <c r="H39" s="15"/>
      <c r="I39" s="16" t="str">
        <f aca="false">IF(A39="","",IF(F39="Dialog","Dialog user on RFC: sensitive (W06)",IF(ISNUMBER(SEARCH("SAP_ALL",G39)),"SAP_ALL on RFC user: sensitive (W06)","OK")))</f>
        <v/>
      </c>
      <c r="J39" s="15"/>
    </row>
    <row r="40" customFormat="false" ht="15" hidden="false" customHeight="false" outlineLevel="0" collapsed="false">
      <c r="A40" s="15"/>
      <c r="B40" s="15"/>
      <c r="C40" s="16" t="str">
        <f aca="false">IFERROR(INDEX(Interface_Register!$B$5:$B$204,MATCH(B40,Interface_Register!$A$5:$A$204,0)),"")</f>
        <v/>
      </c>
      <c r="D40" s="15"/>
      <c r="E40" s="15"/>
      <c r="F40" s="15"/>
      <c r="G40" s="15"/>
      <c r="H40" s="15"/>
      <c r="I40" s="16" t="str">
        <f aca="false">IF(A40="","",IF(F40="Dialog","Dialog user on RFC: sensitive (W06)",IF(ISNUMBER(SEARCH("SAP_ALL",G40)),"SAP_ALL on RFC user: sensitive (W06)","OK")))</f>
        <v/>
      </c>
      <c r="J40" s="15"/>
    </row>
    <row r="41" customFormat="false" ht="15" hidden="false" customHeight="false" outlineLevel="0" collapsed="false">
      <c r="A41" s="15"/>
      <c r="B41" s="15"/>
      <c r="C41" s="16" t="str">
        <f aca="false">IFERROR(INDEX(Interface_Register!$B$5:$B$204,MATCH(B41,Interface_Register!$A$5:$A$204,0)),"")</f>
        <v/>
      </c>
      <c r="D41" s="15"/>
      <c r="E41" s="15"/>
      <c r="F41" s="15"/>
      <c r="G41" s="15"/>
      <c r="H41" s="15"/>
      <c r="I41" s="16" t="str">
        <f aca="false">IF(A41="","",IF(F41="Dialog","Dialog user on RFC: sensitive (W06)",IF(ISNUMBER(SEARCH("SAP_ALL",G41)),"SAP_ALL on RFC user: sensitive (W06)","OK")))</f>
        <v/>
      </c>
      <c r="J41" s="15"/>
    </row>
    <row r="42" customFormat="false" ht="15" hidden="false" customHeight="false" outlineLevel="0" collapsed="false">
      <c r="A42" s="15"/>
      <c r="B42" s="15"/>
      <c r="C42" s="16" t="str">
        <f aca="false">IFERROR(INDEX(Interface_Register!$B$5:$B$204,MATCH(B42,Interface_Register!$A$5:$A$204,0)),"")</f>
        <v/>
      </c>
      <c r="D42" s="15"/>
      <c r="E42" s="15"/>
      <c r="F42" s="15"/>
      <c r="G42" s="15"/>
      <c r="H42" s="15"/>
      <c r="I42" s="16" t="str">
        <f aca="false">IF(A42="","",IF(F42="Dialog","Dialog user on RFC: sensitive (W06)",IF(ISNUMBER(SEARCH("SAP_ALL",G42)),"SAP_ALL on RFC user: sensitive (W06)","OK")))</f>
        <v/>
      </c>
      <c r="J42" s="15"/>
    </row>
    <row r="43" customFormat="false" ht="15" hidden="false" customHeight="false" outlineLevel="0" collapsed="false">
      <c r="A43" s="15"/>
      <c r="B43" s="15"/>
      <c r="C43" s="16" t="str">
        <f aca="false">IFERROR(INDEX(Interface_Register!$B$5:$B$204,MATCH(B43,Interface_Register!$A$5:$A$204,0)),"")</f>
        <v/>
      </c>
      <c r="D43" s="15"/>
      <c r="E43" s="15"/>
      <c r="F43" s="15"/>
      <c r="G43" s="15"/>
      <c r="H43" s="15"/>
      <c r="I43" s="16" t="str">
        <f aca="false">IF(A43="","",IF(F43="Dialog","Dialog user on RFC: sensitive (W06)",IF(ISNUMBER(SEARCH("SAP_ALL",G43)),"SAP_ALL on RFC user: sensitive (W06)","OK")))</f>
        <v/>
      </c>
      <c r="J43" s="15"/>
    </row>
    <row r="44" customFormat="false" ht="15" hidden="false" customHeight="false" outlineLevel="0" collapsed="false">
      <c r="A44" s="15"/>
      <c r="B44" s="15"/>
      <c r="C44" s="16" t="str">
        <f aca="false">IFERROR(INDEX(Interface_Register!$B$5:$B$204,MATCH(B44,Interface_Register!$A$5:$A$204,0)),"")</f>
        <v/>
      </c>
      <c r="D44" s="15"/>
      <c r="E44" s="15"/>
      <c r="F44" s="15"/>
      <c r="G44" s="15"/>
      <c r="H44" s="15"/>
      <c r="I44" s="16" t="str">
        <f aca="false">IF(A44="","",IF(F44="Dialog","Dialog user on RFC: sensitive (W06)",IF(ISNUMBER(SEARCH("SAP_ALL",G44)),"SAP_ALL on RFC user: sensitive (W06)","OK")))</f>
        <v/>
      </c>
      <c r="J44" s="15"/>
    </row>
    <row r="45" customFormat="false" ht="15" hidden="false" customHeight="false" outlineLevel="0" collapsed="false">
      <c r="A45" s="15"/>
      <c r="B45" s="15"/>
      <c r="C45" s="16" t="str">
        <f aca="false">IFERROR(INDEX(Interface_Register!$B$5:$B$204,MATCH(B45,Interface_Register!$A$5:$A$204,0)),"")</f>
        <v/>
      </c>
      <c r="D45" s="15"/>
      <c r="E45" s="15"/>
      <c r="F45" s="15"/>
      <c r="G45" s="15"/>
      <c r="H45" s="15"/>
      <c r="I45" s="16" t="str">
        <f aca="false">IF(A45="","",IF(F45="Dialog","Dialog user on RFC: sensitive (W06)",IF(ISNUMBER(SEARCH("SAP_ALL",G45)),"SAP_ALL on RFC user: sensitive (W06)","OK")))</f>
        <v/>
      </c>
      <c r="J45" s="15"/>
    </row>
    <row r="46" customFormat="false" ht="15" hidden="false" customHeight="false" outlineLevel="0" collapsed="false">
      <c r="A46" s="15"/>
      <c r="B46" s="15"/>
      <c r="C46" s="16" t="str">
        <f aca="false">IFERROR(INDEX(Interface_Register!$B$5:$B$204,MATCH(B46,Interface_Register!$A$5:$A$204,0)),"")</f>
        <v/>
      </c>
      <c r="D46" s="15"/>
      <c r="E46" s="15"/>
      <c r="F46" s="15"/>
      <c r="G46" s="15"/>
      <c r="H46" s="15"/>
      <c r="I46" s="16" t="str">
        <f aca="false">IF(A46="","",IF(F46="Dialog","Dialog user on RFC: sensitive (W06)",IF(ISNUMBER(SEARCH("SAP_ALL",G46)),"SAP_ALL on RFC user: sensitive (W06)","OK")))</f>
        <v/>
      </c>
      <c r="J46" s="15"/>
    </row>
    <row r="47" customFormat="false" ht="15" hidden="false" customHeight="false" outlineLevel="0" collapsed="false">
      <c r="A47" s="15"/>
      <c r="B47" s="15"/>
      <c r="C47" s="16" t="str">
        <f aca="false">IFERROR(INDEX(Interface_Register!$B$5:$B$204,MATCH(B47,Interface_Register!$A$5:$A$204,0)),"")</f>
        <v/>
      </c>
      <c r="D47" s="15"/>
      <c r="E47" s="15"/>
      <c r="F47" s="15"/>
      <c r="G47" s="15"/>
      <c r="H47" s="15"/>
      <c r="I47" s="16" t="str">
        <f aca="false">IF(A47="","",IF(F47="Dialog","Dialog user on RFC: sensitive (W06)",IF(ISNUMBER(SEARCH("SAP_ALL",G47)),"SAP_ALL on RFC user: sensitive (W06)","OK")))</f>
        <v/>
      </c>
      <c r="J47" s="15"/>
    </row>
    <row r="48" customFormat="false" ht="15" hidden="false" customHeight="false" outlineLevel="0" collapsed="false">
      <c r="A48" s="15"/>
      <c r="B48" s="15"/>
      <c r="C48" s="16" t="str">
        <f aca="false">IFERROR(INDEX(Interface_Register!$B$5:$B$204,MATCH(B48,Interface_Register!$A$5:$A$204,0)),"")</f>
        <v/>
      </c>
      <c r="D48" s="15"/>
      <c r="E48" s="15"/>
      <c r="F48" s="15"/>
      <c r="G48" s="15"/>
      <c r="H48" s="15"/>
      <c r="I48" s="16" t="str">
        <f aca="false">IF(A48="","",IF(F48="Dialog","Dialog user on RFC: sensitive (W06)",IF(ISNUMBER(SEARCH("SAP_ALL",G48)),"SAP_ALL on RFC user: sensitive (W06)","OK")))</f>
        <v/>
      </c>
      <c r="J48" s="15"/>
    </row>
    <row r="49" customFormat="false" ht="15" hidden="false" customHeight="false" outlineLevel="0" collapsed="false">
      <c r="A49" s="15"/>
      <c r="B49" s="15"/>
      <c r="C49" s="16" t="str">
        <f aca="false">IFERROR(INDEX(Interface_Register!$B$5:$B$204,MATCH(B49,Interface_Register!$A$5:$A$204,0)),"")</f>
        <v/>
      </c>
      <c r="D49" s="15"/>
      <c r="E49" s="15"/>
      <c r="F49" s="15"/>
      <c r="G49" s="15"/>
      <c r="H49" s="15"/>
      <c r="I49" s="16" t="str">
        <f aca="false">IF(A49="","",IF(F49="Dialog","Dialog user on RFC: sensitive (W06)",IF(ISNUMBER(SEARCH("SAP_ALL",G49)),"SAP_ALL on RFC user: sensitive (W06)","OK")))</f>
        <v/>
      </c>
      <c r="J49" s="15"/>
    </row>
    <row r="50" customFormat="false" ht="15" hidden="false" customHeight="false" outlineLevel="0" collapsed="false">
      <c r="A50" s="15"/>
      <c r="B50" s="15"/>
      <c r="C50" s="16" t="str">
        <f aca="false">IFERROR(INDEX(Interface_Register!$B$5:$B$204,MATCH(B50,Interface_Register!$A$5:$A$204,0)),"")</f>
        <v/>
      </c>
      <c r="D50" s="15"/>
      <c r="E50" s="15"/>
      <c r="F50" s="15"/>
      <c r="G50" s="15"/>
      <c r="H50" s="15"/>
      <c r="I50" s="16" t="str">
        <f aca="false">IF(A50="","",IF(F50="Dialog","Dialog user on RFC: sensitive (W06)",IF(ISNUMBER(SEARCH("SAP_ALL",G50)),"SAP_ALL on RFC user: sensitive (W06)","OK")))</f>
        <v/>
      </c>
      <c r="J50" s="15"/>
    </row>
    <row r="51" customFormat="false" ht="15" hidden="false" customHeight="false" outlineLevel="0" collapsed="false">
      <c r="A51" s="15"/>
      <c r="B51" s="15"/>
      <c r="C51" s="16" t="str">
        <f aca="false">IFERROR(INDEX(Interface_Register!$B$5:$B$204,MATCH(B51,Interface_Register!$A$5:$A$204,0)),"")</f>
        <v/>
      </c>
      <c r="D51" s="15"/>
      <c r="E51" s="15"/>
      <c r="F51" s="15"/>
      <c r="G51" s="15"/>
      <c r="H51" s="15"/>
      <c r="I51" s="16" t="str">
        <f aca="false">IF(A51="","",IF(F51="Dialog","Dialog user on RFC: sensitive (W06)",IF(ISNUMBER(SEARCH("SAP_ALL",G51)),"SAP_ALL on RFC user: sensitive (W06)","OK")))</f>
        <v/>
      </c>
      <c r="J51" s="15"/>
    </row>
    <row r="52" customFormat="false" ht="15" hidden="false" customHeight="false" outlineLevel="0" collapsed="false">
      <c r="A52" s="15"/>
      <c r="B52" s="15"/>
      <c r="C52" s="16" t="str">
        <f aca="false">IFERROR(INDEX(Interface_Register!$B$5:$B$204,MATCH(B52,Interface_Register!$A$5:$A$204,0)),"")</f>
        <v/>
      </c>
      <c r="D52" s="15"/>
      <c r="E52" s="15"/>
      <c r="F52" s="15"/>
      <c r="G52" s="15"/>
      <c r="H52" s="15"/>
      <c r="I52" s="16" t="str">
        <f aca="false">IF(A52="","",IF(F52="Dialog","Dialog user on RFC: sensitive (W06)",IF(ISNUMBER(SEARCH("SAP_ALL",G52)),"SAP_ALL on RFC user: sensitive (W06)","OK")))</f>
        <v/>
      </c>
      <c r="J52" s="15"/>
    </row>
    <row r="53" customFormat="false" ht="15" hidden="false" customHeight="false" outlineLevel="0" collapsed="false">
      <c r="A53" s="15"/>
      <c r="B53" s="15"/>
      <c r="C53" s="16" t="str">
        <f aca="false">IFERROR(INDEX(Interface_Register!$B$5:$B$204,MATCH(B53,Interface_Register!$A$5:$A$204,0)),"")</f>
        <v/>
      </c>
      <c r="D53" s="15"/>
      <c r="E53" s="15"/>
      <c r="F53" s="15"/>
      <c r="G53" s="15"/>
      <c r="H53" s="15"/>
      <c r="I53" s="16" t="str">
        <f aca="false">IF(A53="","",IF(F53="Dialog","Dialog user on RFC: sensitive (W06)",IF(ISNUMBER(SEARCH("SAP_ALL",G53)),"SAP_ALL on RFC user: sensitive (W06)","OK")))</f>
        <v/>
      </c>
      <c r="J53" s="15"/>
    </row>
    <row r="54" customFormat="false" ht="15" hidden="false" customHeight="false" outlineLevel="0" collapsed="false">
      <c r="A54" s="15"/>
      <c r="B54" s="15"/>
      <c r="C54" s="16" t="str">
        <f aca="false">IFERROR(INDEX(Interface_Register!$B$5:$B$204,MATCH(B54,Interface_Register!$A$5:$A$204,0)),"")</f>
        <v/>
      </c>
      <c r="D54" s="15"/>
      <c r="E54" s="15"/>
      <c r="F54" s="15"/>
      <c r="G54" s="15"/>
      <c r="H54" s="15"/>
      <c r="I54" s="16" t="str">
        <f aca="false">IF(A54="","",IF(F54="Dialog","Dialog user on RFC: sensitive (W06)",IF(ISNUMBER(SEARCH("SAP_ALL",G54)),"SAP_ALL on RFC user: sensitive (W06)","OK")))</f>
        <v/>
      </c>
      <c r="J54" s="15"/>
    </row>
    <row r="55" customFormat="false" ht="15" hidden="false" customHeight="false" outlineLevel="0" collapsed="false">
      <c r="A55" s="15"/>
      <c r="B55" s="15"/>
      <c r="C55" s="16" t="str">
        <f aca="false">IFERROR(INDEX(Interface_Register!$B$5:$B$204,MATCH(B55,Interface_Register!$A$5:$A$204,0)),"")</f>
        <v/>
      </c>
      <c r="D55" s="15"/>
      <c r="E55" s="15"/>
      <c r="F55" s="15"/>
      <c r="G55" s="15"/>
      <c r="H55" s="15"/>
      <c r="I55" s="16" t="str">
        <f aca="false">IF(A55="","",IF(F55="Dialog","Dialog user on RFC: sensitive (W06)",IF(ISNUMBER(SEARCH("SAP_ALL",G55)),"SAP_ALL on RFC user: sensitive (W06)","OK")))</f>
        <v/>
      </c>
      <c r="J55" s="15"/>
    </row>
    <row r="56" customFormat="false" ht="15" hidden="false" customHeight="false" outlineLevel="0" collapsed="false">
      <c r="A56" s="15"/>
      <c r="B56" s="15"/>
      <c r="C56" s="16" t="str">
        <f aca="false">IFERROR(INDEX(Interface_Register!$B$5:$B$204,MATCH(B56,Interface_Register!$A$5:$A$204,0)),"")</f>
        <v/>
      </c>
      <c r="D56" s="15"/>
      <c r="E56" s="15"/>
      <c r="F56" s="15"/>
      <c r="G56" s="15"/>
      <c r="H56" s="15"/>
      <c r="I56" s="16" t="str">
        <f aca="false">IF(A56="","",IF(F56="Dialog","Dialog user on RFC: sensitive (W06)",IF(ISNUMBER(SEARCH("SAP_ALL",G56)),"SAP_ALL on RFC user: sensitive (W06)","OK")))</f>
        <v/>
      </c>
      <c r="J56" s="15"/>
    </row>
    <row r="57" customFormat="false" ht="15" hidden="false" customHeight="false" outlineLevel="0" collapsed="false">
      <c r="A57" s="15"/>
      <c r="B57" s="15"/>
      <c r="C57" s="16" t="str">
        <f aca="false">IFERROR(INDEX(Interface_Register!$B$5:$B$204,MATCH(B57,Interface_Register!$A$5:$A$204,0)),"")</f>
        <v/>
      </c>
      <c r="D57" s="15"/>
      <c r="E57" s="15"/>
      <c r="F57" s="15"/>
      <c r="G57" s="15"/>
      <c r="H57" s="15"/>
      <c r="I57" s="16" t="str">
        <f aca="false">IF(A57="","",IF(F57="Dialog","Dialog user on RFC: sensitive (W06)",IF(ISNUMBER(SEARCH("SAP_ALL",G57)),"SAP_ALL on RFC user: sensitive (W06)","OK")))</f>
        <v/>
      </c>
      <c r="J57" s="15"/>
    </row>
    <row r="58" customFormat="false" ht="15" hidden="false" customHeight="false" outlineLevel="0" collapsed="false">
      <c r="A58" s="15"/>
      <c r="B58" s="15"/>
      <c r="C58" s="16" t="str">
        <f aca="false">IFERROR(INDEX(Interface_Register!$B$5:$B$204,MATCH(B58,Interface_Register!$A$5:$A$204,0)),"")</f>
        <v/>
      </c>
      <c r="D58" s="15"/>
      <c r="E58" s="15"/>
      <c r="F58" s="15"/>
      <c r="G58" s="15"/>
      <c r="H58" s="15"/>
      <c r="I58" s="16" t="str">
        <f aca="false">IF(A58="","",IF(F58="Dialog","Dialog user on RFC: sensitive (W06)",IF(ISNUMBER(SEARCH("SAP_ALL",G58)),"SAP_ALL on RFC user: sensitive (W06)","OK")))</f>
        <v/>
      </c>
      <c r="J58" s="15"/>
    </row>
    <row r="59" customFormat="false" ht="15" hidden="false" customHeight="false" outlineLevel="0" collapsed="false">
      <c r="A59" s="15"/>
      <c r="B59" s="15"/>
      <c r="C59" s="16" t="str">
        <f aca="false">IFERROR(INDEX(Interface_Register!$B$5:$B$204,MATCH(B59,Interface_Register!$A$5:$A$204,0)),"")</f>
        <v/>
      </c>
      <c r="D59" s="15"/>
      <c r="E59" s="15"/>
      <c r="F59" s="15"/>
      <c r="G59" s="15"/>
      <c r="H59" s="15"/>
      <c r="I59" s="16" t="str">
        <f aca="false">IF(A59="","",IF(F59="Dialog","Dialog user on RFC: sensitive (W06)",IF(ISNUMBER(SEARCH("SAP_ALL",G59)),"SAP_ALL on RFC user: sensitive (W06)","OK")))</f>
        <v/>
      </c>
      <c r="J59" s="15"/>
    </row>
    <row r="60" customFormat="false" ht="15" hidden="false" customHeight="false" outlineLevel="0" collapsed="false">
      <c r="A60" s="15"/>
      <c r="B60" s="15"/>
      <c r="C60" s="16" t="str">
        <f aca="false">IFERROR(INDEX(Interface_Register!$B$5:$B$204,MATCH(B60,Interface_Register!$A$5:$A$204,0)),"")</f>
        <v/>
      </c>
      <c r="D60" s="15"/>
      <c r="E60" s="15"/>
      <c r="F60" s="15"/>
      <c r="G60" s="15"/>
      <c r="H60" s="15"/>
      <c r="I60" s="16" t="str">
        <f aca="false">IF(A60="","",IF(F60="Dialog","Dialog user on RFC: sensitive (W06)",IF(ISNUMBER(SEARCH("SAP_ALL",G60)),"SAP_ALL on RFC user: sensitive (W06)","OK")))</f>
        <v/>
      </c>
      <c r="J60" s="15"/>
    </row>
    <row r="61" customFormat="false" ht="15" hidden="false" customHeight="false" outlineLevel="0" collapsed="false">
      <c r="A61" s="15"/>
      <c r="B61" s="15"/>
      <c r="C61" s="16" t="str">
        <f aca="false">IFERROR(INDEX(Interface_Register!$B$5:$B$204,MATCH(B61,Interface_Register!$A$5:$A$204,0)),"")</f>
        <v/>
      </c>
      <c r="D61" s="15"/>
      <c r="E61" s="15"/>
      <c r="F61" s="15"/>
      <c r="G61" s="15"/>
      <c r="H61" s="15"/>
      <c r="I61" s="16" t="str">
        <f aca="false">IF(A61="","",IF(F61="Dialog","Dialog user on RFC: sensitive (W06)",IF(ISNUMBER(SEARCH("SAP_ALL",G61)),"SAP_ALL on RFC user: sensitive (W06)","OK")))</f>
        <v/>
      </c>
      <c r="J61" s="15"/>
    </row>
    <row r="62" customFormat="false" ht="15" hidden="false" customHeight="false" outlineLevel="0" collapsed="false">
      <c r="A62" s="15"/>
      <c r="B62" s="15"/>
      <c r="C62" s="16" t="str">
        <f aca="false">IFERROR(INDEX(Interface_Register!$B$5:$B$204,MATCH(B62,Interface_Register!$A$5:$A$204,0)),"")</f>
        <v/>
      </c>
      <c r="D62" s="15"/>
      <c r="E62" s="15"/>
      <c r="F62" s="15"/>
      <c r="G62" s="15"/>
      <c r="H62" s="15"/>
      <c r="I62" s="16" t="str">
        <f aca="false">IF(A62="","",IF(F62="Dialog","Dialog user on RFC: sensitive (W06)",IF(ISNUMBER(SEARCH("SAP_ALL",G62)),"SAP_ALL on RFC user: sensitive (W06)","OK")))</f>
        <v/>
      </c>
      <c r="J62" s="15"/>
    </row>
    <row r="63" customFormat="false" ht="15" hidden="false" customHeight="false" outlineLevel="0" collapsed="false">
      <c r="A63" s="15"/>
      <c r="B63" s="15"/>
      <c r="C63" s="16" t="str">
        <f aca="false">IFERROR(INDEX(Interface_Register!$B$5:$B$204,MATCH(B63,Interface_Register!$A$5:$A$204,0)),"")</f>
        <v/>
      </c>
      <c r="D63" s="15"/>
      <c r="E63" s="15"/>
      <c r="F63" s="15"/>
      <c r="G63" s="15"/>
      <c r="H63" s="15"/>
      <c r="I63" s="16" t="str">
        <f aca="false">IF(A63="","",IF(F63="Dialog","Dialog user on RFC: sensitive (W06)",IF(ISNUMBER(SEARCH("SAP_ALL",G63)),"SAP_ALL on RFC user: sensitive (W06)","OK")))</f>
        <v/>
      </c>
      <c r="J63" s="15"/>
    </row>
    <row r="64" customFormat="false" ht="15" hidden="false" customHeight="false" outlineLevel="0" collapsed="false">
      <c r="A64" s="15"/>
      <c r="B64" s="15"/>
      <c r="C64" s="16" t="str">
        <f aca="false">IFERROR(INDEX(Interface_Register!$B$5:$B$204,MATCH(B64,Interface_Register!$A$5:$A$204,0)),"")</f>
        <v/>
      </c>
      <c r="D64" s="15"/>
      <c r="E64" s="15"/>
      <c r="F64" s="15"/>
      <c r="G64" s="15"/>
      <c r="H64" s="15"/>
      <c r="I64" s="16" t="str">
        <f aca="false">IF(A64="","",IF(F64="Dialog","Dialog user on RFC: sensitive (W06)",IF(ISNUMBER(SEARCH("SAP_ALL",G64)),"SAP_ALL on RFC user: sensitive (W06)","OK")))</f>
        <v/>
      </c>
      <c r="J64" s="15"/>
    </row>
    <row r="65" customFormat="false" ht="15" hidden="false" customHeight="false" outlineLevel="0" collapsed="false">
      <c r="A65" s="15"/>
      <c r="B65" s="15"/>
      <c r="C65" s="16" t="str">
        <f aca="false">IFERROR(INDEX(Interface_Register!$B$5:$B$204,MATCH(B65,Interface_Register!$A$5:$A$204,0)),"")</f>
        <v/>
      </c>
      <c r="D65" s="15"/>
      <c r="E65" s="15"/>
      <c r="F65" s="15"/>
      <c r="G65" s="15"/>
      <c r="H65" s="15"/>
      <c r="I65" s="16" t="str">
        <f aca="false">IF(A65="","",IF(F65="Dialog","Dialog user on RFC: sensitive (W06)",IF(ISNUMBER(SEARCH("SAP_ALL",G65)),"SAP_ALL on RFC user: sensitive (W06)","OK")))</f>
        <v/>
      </c>
      <c r="J65" s="15"/>
    </row>
    <row r="66" customFormat="false" ht="15" hidden="false" customHeight="false" outlineLevel="0" collapsed="false">
      <c r="A66" s="15"/>
      <c r="B66" s="15"/>
      <c r="C66" s="16" t="str">
        <f aca="false">IFERROR(INDEX(Interface_Register!$B$5:$B$204,MATCH(B66,Interface_Register!$A$5:$A$204,0)),"")</f>
        <v/>
      </c>
      <c r="D66" s="15"/>
      <c r="E66" s="15"/>
      <c r="F66" s="15"/>
      <c r="G66" s="15"/>
      <c r="H66" s="15"/>
      <c r="I66" s="16" t="str">
        <f aca="false">IF(A66="","",IF(F66="Dialog","Dialog user on RFC: sensitive (W06)",IF(ISNUMBER(SEARCH("SAP_ALL",G66)),"SAP_ALL on RFC user: sensitive (W06)","OK")))</f>
        <v/>
      </c>
      <c r="J66" s="15"/>
    </row>
    <row r="67" customFormat="false" ht="15" hidden="false" customHeight="false" outlineLevel="0" collapsed="false">
      <c r="A67" s="15"/>
      <c r="B67" s="15"/>
      <c r="C67" s="16" t="str">
        <f aca="false">IFERROR(INDEX(Interface_Register!$B$5:$B$204,MATCH(B67,Interface_Register!$A$5:$A$204,0)),"")</f>
        <v/>
      </c>
      <c r="D67" s="15"/>
      <c r="E67" s="15"/>
      <c r="F67" s="15"/>
      <c r="G67" s="15"/>
      <c r="H67" s="15"/>
      <c r="I67" s="16" t="str">
        <f aca="false">IF(A67="","",IF(F67="Dialog","Dialog user on RFC: sensitive (W06)",IF(ISNUMBER(SEARCH("SAP_ALL",G67)),"SAP_ALL on RFC user: sensitive (W06)","OK")))</f>
        <v/>
      </c>
      <c r="J67" s="15"/>
    </row>
    <row r="68" customFormat="false" ht="15" hidden="false" customHeight="false" outlineLevel="0" collapsed="false">
      <c r="A68" s="15"/>
      <c r="B68" s="15"/>
      <c r="C68" s="16" t="str">
        <f aca="false">IFERROR(INDEX(Interface_Register!$B$5:$B$204,MATCH(B68,Interface_Register!$A$5:$A$204,0)),"")</f>
        <v/>
      </c>
      <c r="D68" s="15"/>
      <c r="E68" s="15"/>
      <c r="F68" s="15"/>
      <c r="G68" s="15"/>
      <c r="H68" s="15"/>
      <c r="I68" s="16" t="str">
        <f aca="false">IF(A68="","",IF(F68="Dialog","Dialog user on RFC: sensitive (W06)",IF(ISNUMBER(SEARCH("SAP_ALL",G68)),"SAP_ALL on RFC user: sensitive (W06)","OK")))</f>
        <v/>
      </c>
      <c r="J68" s="15"/>
    </row>
    <row r="69" customFormat="false" ht="15" hidden="false" customHeight="false" outlineLevel="0" collapsed="false">
      <c r="A69" s="15"/>
      <c r="B69" s="15"/>
      <c r="C69" s="16" t="str">
        <f aca="false">IFERROR(INDEX(Interface_Register!$B$5:$B$204,MATCH(B69,Interface_Register!$A$5:$A$204,0)),"")</f>
        <v/>
      </c>
      <c r="D69" s="15"/>
      <c r="E69" s="15"/>
      <c r="F69" s="15"/>
      <c r="G69" s="15"/>
      <c r="H69" s="15"/>
      <c r="I69" s="16" t="str">
        <f aca="false">IF(A69="","",IF(F69="Dialog","Dialog user on RFC: sensitive (W06)",IF(ISNUMBER(SEARCH("SAP_ALL",G69)),"SAP_ALL on RFC user: sensitive (W06)","OK")))</f>
        <v/>
      </c>
      <c r="J69" s="15"/>
    </row>
    <row r="70" customFormat="false" ht="15" hidden="false" customHeight="false" outlineLevel="0" collapsed="false">
      <c r="A70" s="15"/>
      <c r="B70" s="15"/>
      <c r="C70" s="16" t="str">
        <f aca="false">IFERROR(INDEX(Interface_Register!$B$5:$B$204,MATCH(B70,Interface_Register!$A$5:$A$204,0)),"")</f>
        <v/>
      </c>
      <c r="D70" s="15"/>
      <c r="E70" s="15"/>
      <c r="F70" s="15"/>
      <c r="G70" s="15"/>
      <c r="H70" s="15"/>
      <c r="I70" s="16" t="str">
        <f aca="false">IF(A70="","",IF(F70="Dialog","Dialog user on RFC: sensitive (W06)",IF(ISNUMBER(SEARCH("SAP_ALL",G70)),"SAP_ALL on RFC user: sensitive (W06)","OK")))</f>
        <v/>
      </c>
      <c r="J70" s="15"/>
    </row>
    <row r="71" customFormat="false" ht="15" hidden="false" customHeight="false" outlineLevel="0" collapsed="false">
      <c r="A71" s="15"/>
      <c r="B71" s="15"/>
      <c r="C71" s="16" t="str">
        <f aca="false">IFERROR(INDEX(Interface_Register!$B$5:$B$204,MATCH(B71,Interface_Register!$A$5:$A$204,0)),"")</f>
        <v/>
      </c>
      <c r="D71" s="15"/>
      <c r="E71" s="15"/>
      <c r="F71" s="15"/>
      <c r="G71" s="15"/>
      <c r="H71" s="15"/>
      <c r="I71" s="16" t="str">
        <f aca="false">IF(A71="","",IF(F71="Dialog","Dialog user on RFC: sensitive (W06)",IF(ISNUMBER(SEARCH("SAP_ALL",G71)),"SAP_ALL on RFC user: sensitive (W06)","OK")))</f>
        <v/>
      </c>
      <c r="J71" s="15"/>
    </row>
    <row r="72" customFormat="false" ht="15" hidden="false" customHeight="false" outlineLevel="0" collapsed="false">
      <c r="A72" s="15"/>
      <c r="B72" s="15"/>
      <c r="C72" s="16" t="str">
        <f aca="false">IFERROR(INDEX(Interface_Register!$B$5:$B$204,MATCH(B72,Interface_Register!$A$5:$A$204,0)),"")</f>
        <v/>
      </c>
      <c r="D72" s="15"/>
      <c r="E72" s="15"/>
      <c r="F72" s="15"/>
      <c r="G72" s="15"/>
      <c r="H72" s="15"/>
      <c r="I72" s="16" t="str">
        <f aca="false">IF(A72="","",IF(F72="Dialog","Dialog user on RFC: sensitive (W06)",IF(ISNUMBER(SEARCH("SAP_ALL",G72)),"SAP_ALL on RFC user: sensitive (W06)","OK")))</f>
        <v/>
      </c>
      <c r="J72" s="15"/>
    </row>
    <row r="73" customFormat="false" ht="15" hidden="false" customHeight="false" outlineLevel="0" collapsed="false">
      <c r="A73" s="15"/>
      <c r="B73" s="15"/>
      <c r="C73" s="16" t="str">
        <f aca="false">IFERROR(INDEX(Interface_Register!$B$5:$B$204,MATCH(B73,Interface_Register!$A$5:$A$204,0)),"")</f>
        <v/>
      </c>
      <c r="D73" s="15"/>
      <c r="E73" s="15"/>
      <c r="F73" s="15"/>
      <c r="G73" s="15"/>
      <c r="H73" s="15"/>
      <c r="I73" s="16" t="str">
        <f aca="false">IF(A73="","",IF(F73="Dialog","Dialog user on RFC: sensitive (W06)",IF(ISNUMBER(SEARCH("SAP_ALL",G73)),"SAP_ALL on RFC user: sensitive (W06)","OK")))</f>
        <v/>
      </c>
      <c r="J73" s="15"/>
    </row>
    <row r="74" customFormat="false" ht="15" hidden="false" customHeight="false" outlineLevel="0" collapsed="false">
      <c r="A74" s="15"/>
      <c r="B74" s="15"/>
      <c r="C74" s="16" t="str">
        <f aca="false">IFERROR(INDEX(Interface_Register!$B$5:$B$204,MATCH(B74,Interface_Register!$A$5:$A$204,0)),"")</f>
        <v/>
      </c>
      <c r="D74" s="15"/>
      <c r="E74" s="15"/>
      <c r="F74" s="15"/>
      <c r="G74" s="15"/>
      <c r="H74" s="15"/>
      <c r="I74" s="16" t="str">
        <f aca="false">IF(A74="","",IF(F74="Dialog","Dialog user on RFC: sensitive (W06)",IF(ISNUMBER(SEARCH("SAP_ALL",G74)),"SAP_ALL on RFC user: sensitive (W06)","OK")))</f>
        <v/>
      </c>
      <c r="J74" s="15"/>
    </row>
    <row r="75" customFormat="false" ht="15" hidden="false" customHeight="false" outlineLevel="0" collapsed="false">
      <c r="A75" s="15"/>
      <c r="B75" s="15"/>
      <c r="C75" s="16" t="str">
        <f aca="false">IFERROR(INDEX(Interface_Register!$B$5:$B$204,MATCH(B75,Interface_Register!$A$5:$A$204,0)),"")</f>
        <v/>
      </c>
      <c r="D75" s="15"/>
      <c r="E75" s="15"/>
      <c r="F75" s="15"/>
      <c r="G75" s="15"/>
      <c r="H75" s="15"/>
      <c r="I75" s="16" t="str">
        <f aca="false">IF(A75="","",IF(F75="Dialog","Dialog user on RFC: sensitive (W06)",IF(ISNUMBER(SEARCH("SAP_ALL",G75)),"SAP_ALL on RFC user: sensitive (W06)","OK")))</f>
        <v/>
      </c>
      <c r="J75" s="15"/>
    </row>
    <row r="76" customFormat="false" ht="15" hidden="false" customHeight="false" outlineLevel="0" collapsed="false">
      <c r="A76" s="15"/>
      <c r="B76" s="15"/>
      <c r="C76" s="16" t="str">
        <f aca="false">IFERROR(INDEX(Interface_Register!$B$5:$B$204,MATCH(B76,Interface_Register!$A$5:$A$204,0)),"")</f>
        <v/>
      </c>
      <c r="D76" s="15"/>
      <c r="E76" s="15"/>
      <c r="F76" s="15"/>
      <c r="G76" s="15"/>
      <c r="H76" s="15"/>
      <c r="I76" s="16" t="str">
        <f aca="false">IF(A76="","",IF(F76="Dialog","Dialog user on RFC: sensitive (W06)",IF(ISNUMBER(SEARCH("SAP_ALL",G76)),"SAP_ALL on RFC user: sensitive (W06)","OK")))</f>
        <v/>
      </c>
      <c r="J76" s="15"/>
    </row>
    <row r="77" customFormat="false" ht="15" hidden="false" customHeight="false" outlineLevel="0" collapsed="false">
      <c r="A77" s="15"/>
      <c r="B77" s="15"/>
      <c r="C77" s="16" t="str">
        <f aca="false">IFERROR(INDEX(Interface_Register!$B$5:$B$204,MATCH(B77,Interface_Register!$A$5:$A$204,0)),"")</f>
        <v/>
      </c>
      <c r="D77" s="15"/>
      <c r="E77" s="15"/>
      <c r="F77" s="15"/>
      <c r="G77" s="15"/>
      <c r="H77" s="15"/>
      <c r="I77" s="16" t="str">
        <f aca="false">IF(A77="","",IF(F77="Dialog","Dialog user on RFC: sensitive (W06)",IF(ISNUMBER(SEARCH("SAP_ALL",G77)),"SAP_ALL on RFC user: sensitive (W06)","OK")))</f>
        <v/>
      </c>
      <c r="J77" s="15"/>
    </row>
    <row r="78" customFormat="false" ht="15" hidden="false" customHeight="false" outlineLevel="0" collapsed="false">
      <c r="A78" s="15"/>
      <c r="B78" s="15"/>
      <c r="C78" s="16" t="str">
        <f aca="false">IFERROR(INDEX(Interface_Register!$B$5:$B$204,MATCH(B78,Interface_Register!$A$5:$A$204,0)),"")</f>
        <v/>
      </c>
      <c r="D78" s="15"/>
      <c r="E78" s="15"/>
      <c r="F78" s="15"/>
      <c r="G78" s="15"/>
      <c r="H78" s="15"/>
      <c r="I78" s="16" t="str">
        <f aca="false">IF(A78="","",IF(F78="Dialog","Dialog user on RFC: sensitive (W06)",IF(ISNUMBER(SEARCH("SAP_ALL",G78)),"SAP_ALL on RFC user: sensitive (W06)","OK")))</f>
        <v/>
      </c>
      <c r="J78" s="15"/>
    </row>
    <row r="79" customFormat="false" ht="15" hidden="false" customHeight="false" outlineLevel="0" collapsed="false">
      <c r="A79" s="15"/>
      <c r="B79" s="15"/>
      <c r="C79" s="16" t="str">
        <f aca="false">IFERROR(INDEX(Interface_Register!$B$5:$B$204,MATCH(B79,Interface_Register!$A$5:$A$204,0)),"")</f>
        <v/>
      </c>
      <c r="D79" s="15"/>
      <c r="E79" s="15"/>
      <c r="F79" s="15"/>
      <c r="G79" s="15"/>
      <c r="H79" s="15"/>
      <c r="I79" s="16" t="str">
        <f aca="false">IF(A79="","",IF(F79="Dialog","Dialog user on RFC: sensitive (W06)",IF(ISNUMBER(SEARCH("SAP_ALL",G79)),"SAP_ALL on RFC user: sensitive (W06)","OK")))</f>
        <v/>
      </c>
      <c r="J79" s="15"/>
    </row>
    <row r="80" customFormat="false" ht="15" hidden="false" customHeight="false" outlineLevel="0" collapsed="false">
      <c r="A80" s="15"/>
      <c r="B80" s="15"/>
      <c r="C80" s="16" t="str">
        <f aca="false">IFERROR(INDEX(Interface_Register!$B$5:$B$204,MATCH(B80,Interface_Register!$A$5:$A$204,0)),"")</f>
        <v/>
      </c>
      <c r="D80" s="15"/>
      <c r="E80" s="15"/>
      <c r="F80" s="15"/>
      <c r="G80" s="15"/>
      <c r="H80" s="15"/>
      <c r="I80" s="16" t="str">
        <f aca="false">IF(A80="","",IF(F80="Dialog","Dialog user on RFC: sensitive (W06)",IF(ISNUMBER(SEARCH("SAP_ALL",G80)),"SAP_ALL on RFC user: sensitive (W06)","OK")))</f>
        <v/>
      </c>
      <c r="J80" s="15"/>
    </row>
    <row r="81" customFormat="false" ht="15" hidden="false" customHeight="false" outlineLevel="0" collapsed="false">
      <c r="A81" s="15"/>
      <c r="B81" s="15"/>
      <c r="C81" s="16" t="str">
        <f aca="false">IFERROR(INDEX(Interface_Register!$B$5:$B$204,MATCH(B81,Interface_Register!$A$5:$A$204,0)),"")</f>
        <v/>
      </c>
      <c r="D81" s="15"/>
      <c r="E81" s="15"/>
      <c r="F81" s="15"/>
      <c r="G81" s="15"/>
      <c r="H81" s="15"/>
      <c r="I81" s="16" t="str">
        <f aca="false">IF(A81="","",IF(F81="Dialog","Dialog user on RFC: sensitive (W06)",IF(ISNUMBER(SEARCH("SAP_ALL",G81)),"SAP_ALL on RFC user: sensitive (W06)","OK")))</f>
        <v/>
      </c>
      <c r="J81" s="15"/>
    </row>
    <row r="82" customFormat="false" ht="15" hidden="false" customHeight="false" outlineLevel="0" collapsed="false">
      <c r="A82" s="15"/>
      <c r="B82" s="15"/>
      <c r="C82" s="16" t="str">
        <f aca="false">IFERROR(INDEX(Interface_Register!$B$5:$B$204,MATCH(B82,Interface_Register!$A$5:$A$204,0)),"")</f>
        <v/>
      </c>
      <c r="D82" s="15"/>
      <c r="E82" s="15"/>
      <c r="F82" s="15"/>
      <c r="G82" s="15"/>
      <c r="H82" s="15"/>
      <c r="I82" s="16" t="str">
        <f aca="false">IF(A82="","",IF(F82="Dialog","Dialog user on RFC: sensitive (W06)",IF(ISNUMBER(SEARCH("SAP_ALL",G82)),"SAP_ALL on RFC user: sensitive (W06)","OK")))</f>
        <v/>
      </c>
      <c r="J82" s="15"/>
    </row>
    <row r="83" customFormat="false" ht="15" hidden="false" customHeight="false" outlineLevel="0" collapsed="false">
      <c r="A83" s="15"/>
      <c r="B83" s="15"/>
      <c r="C83" s="16" t="str">
        <f aca="false">IFERROR(INDEX(Interface_Register!$B$5:$B$204,MATCH(B83,Interface_Register!$A$5:$A$204,0)),"")</f>
        <v/>
      </c>
      <c r="D83" s="15"/>
      <c r="E83" s="15"/>
      <c r="F83" s="15"/>
      <c r="G83" s="15"/>
      <c r="H83" s="15"/>
      <c r="I83" s="16" t="str">
        <f aca="false">IF(A83="","",IF(F83="Dialog","Dialog user on RFC: sensitive (W06)",IF(ISNUMBER(SEARCH("SAP_ALL",G83)),"SAP_ALL on RFC user: sensitive (W06)","OK")))</f>
        <v/>
      </c>
      <c r="J83" s="15"/>
    </row>
    <row r="84" customFormat="false" ht="15" hidden="false" customHeight="false" outlineLevel="0" collapsed="false">
      <c r="A84" s="15"/>
      <c r="B84" s="15"/>
      <c r="C84" s="16" t="str">
        <f aca="false">IFERROR(INDEX(Interface_Register!$B$5:$B$204,MATCH(B84,Interface_Register!$A$5:$A$204,0)),"")</f>
        <v/>
      </c>
      <c r="D84" s="15"/>
      <c r="E84" s="15"/>
      <c r="F84" s="15"/>
      <c r="G84" s="15"/>
      <c r="H84" s="15"/>
      <c r="I84" s="16" t="str">
        <f aca="false">IF(A84="","",IF(F84="Dialog","Dialog user on RFC: sensitive (W06)",IF(ISNUMBER(SEARCH("SAP_ALL",G84)),"SAP_ALL on RFC user: sensitive (W06)","OK")))</f>
        <v/>
      </c>
      <c r="J84" s="15"/>
    </row>
    <row r="85" customFormat="false" ht="15" hidden="false" customHeight="false" outlineLevel="0" collapsed="false">
      <c r="A85" s="15"/>
      <c r="B85" s="15"/>
      <c r="C85" s="16" t="str">
        <f aca="false">IFERROR(INDEX(Interface_Register!$B$5:$B$204,MATCH(B85,Interface_Register!$A$5:$A$204,0)),"")</f>
        <v/>
      </c>
      <c r="D85" s="15"/>
      <c r="E85" s="15"/>
      <c r="F85" s="15"/>
      <c r="G85" s="15"/>
      <c r="H85" s="15"/>
      <c r="I85" s="16" t="str">
        <f aca="false">IF(A85="","",IF(F85="Dialog","Dialog user on RFC: sensitive (W06)",IF(ISNUMBER(SEARCH("SAP_ALL",G85)),"SAP_ALL on RFC user: sensitive (W06)","OK")))</f>
        <v/>
      </c>
      <c r="J85" s="15"/>
    </row>
    <row r="86" customFormat="false" ht="15" hidden="false" customHeight="false" outlineLevel="0" collapsed="false">
      <c r="A86" s="15"/>
      <c r="B86" s="15"/>
      <c r="C86" s="16" t="str">
        <f aca="false">IFERROR(INDEX(Interface_Register!$B$5:$B$204,MATCH(B86,Interface_Register!$A$5:$A$204,0)),"")</f>
        <v/>
      </c>
      <c r="D86" s="15"/>
      <c r="E86" s="15"/>
      <c r="F86" s="15"/>
      <c r="G86" s="15"/>
      <c r="H86" s="15"/>
      <c r="I86" s="16" t="str">
        <f aca="false">IF(A86="","",IF(F86="Dialog","Dialog user on RFC: sensitive (W06)",IF(ISNUMBER(SEARCH("SAP_ALL",G86)),"SAP_ALL on RFC user: sensitive (W06)","OK")))</f>
        <v/>
      </c>
      <c r="J86" s="15"/>
    </row>
    <row r="87" customFormat="false" ht="15" hidden="false" customHeight="false" outlineLevel="0" collapsed="false">
      <c r="A87" s="15"/>
      <c r="B87" s="15"/>
      <c r="C87" s="16" t="str">
        <f aca="false">IFERROR(INDEX(Interface_Register!$B$5:$B$204,MATCH(B87,Interface_Register!$A$5:$A$204,0)),"")</f>
        <v/>
      </c>
      <c r="D87" s="15"/>
      <c r="E87" s="15"/>
      <c r="F87" s="15"/>
      <c r="G87" s="15"/>
      <c r="H87" s="15"/>
      <c r="I87" s="16" t="str">
        <f aca="false">IF(A87="","",IF(F87="Dialog","Dialog user on RFC: sensitive (W06)",IF(ISNUMBER(SEARCH("SAP_ALL",G87)),"SAP_ALL on RFC user: sensitive (W06)","OK")))</f>
        <v/>
      </c>
      <c r="J87" s="15"/>
    </row>
    <row r="88" customFormat="false" ht="15" hidden="false" customHeight="false" outlineLevel="0" collapsed="false">
      <c r="A88" s="15"/>
      <c r="B88" s="15"/>
      <c r="C88" s="16" t="str">
        <f aca="false">IFERROR(INDEX(Interface_Register!$B$5:$B$204,MATCH(B88,Interface_Register!$A$5:$A$204,0)),"")</f>
        <v/>
      </c>
      <c r="D88" s="15"/>
      <c r="E88" s="15"/>
      <c r="F88" s="15"/>
      <c r="G88" s="15"/>
      <c r="H88" s="15"/>
      <c r="I88" s="16" t="str">
        <f aca="false">IF(A88="","",IF(F88="Dialog","Dialog user on RFC: sensitive (W06)",IF(ISNUMBER(SEARCH("SAP_ALL",G88)),"SAP_ALL on RFC user: sensitive (W06)","OK")))</f>
        <v/>
      </c>
      <c r="J88" s="15"/>
    </row>
    <row r="89" customFormat="false" ht="15" hidden="false" customHeight="false" outlineLevel="0" collapsed="false">
      <c r="A89" s="15"/>
      <c r="B89" s="15"/>
      <c r="C89" s="16" t="str">
        <f aca="false">IFERROR(INDEX(Interface_Register!$B$5:$B$204,MATCH(B89,Interface_Register!$A$5:$A$204,0)),"")</f>
        <v/>
      </c>
      <c r="D89" s="15"/>
      <c r="E89" s="15"/>
      <c r="F89" s="15"/>
      <c r="G89" s="15"/>
      <c r="H89" s="15"/>
      <c r="I89" s="16" t="str">
        <f aca="false">IF(A89="","",IF(F89="Dialog","Dialog user on RFC: sensitive (W06)",IF(ISNUMBER(SEARCH("SAP_ALL",G89)),"SAP_ALL on RFC user: sensitive (W06)","OK")))</f>
        <v/>
      </c>
      <c r="J89" s="15"/>
    </row>
    <row r="90" customFormat="false" ht="15" hidden="false" customHeight="false" outlineLevel="0" collapsed="false">
      <c r="A90" s="15"/>
      <c r="B90" s="15"/>
      <c r="C90" s="16" t="str">
        <f aca="false">IFERROR(INDEX(Interface_Register!$B$5:$B$204,MATCH(B90,Interface_Register!$A$5:$A$204,0)),"")</f>
        <v/>
      </c>
      <c r="D90" s="15"/>
      <c r="E90" s="15"/>
      <c r="F90" s="15"/>
      <c r="G90" s="15"/>
      <c r="H90" s="15"/>
      <c r="I90" s="16" t="str">
        <f aca="false">IF(A90="","",IF(F90="Dialog","Dialog user on RFC: sensitive (W06)",IF(ISNUMBER(SEARCH("SAP_ALL",G90)),"SAP_ALL on RFC user: sensitive (W06)","OK")))</f>
        <v/>
      </c>
      <c r="J90" s="15"/>
    </row>
    <row r="91" customFormat="false" ht="15" hidden="false" customHeight="false" outlineLevel="0" collapsed="false">
      <c r="A91" s="15"/>
      <c r="B91" s="15"/>
      <c r="C91" s="16" t="str">
        <f aca="false">IFERROR(INDEX(Interface_Register!$B$5:$B$204,MATCH(B91,Interface_Register!$A$5:$A$204,0)),"")</f>
        <v/>
      </c>
      <c r="D91" s="15"/>
      <c r="E91" s="15"/>
      <c r="F91" s="15"/>
      <c r="G91" s="15"/>
      <c r="H91" s="15"/>
      <c r="I91" s="16" t="str">
        <f aca="false">IF(A91="","",IF(F91="Dialog","Dialog user on RFC: sensitive (W06)",IF(ISNUMBER(SEARCH("SAP_ALL",G91)),"SAP_ALL on RFC user: sensitive (W06)","OK")))</f>
        <v/>
      </c>
      <c r="J91" s="15"/>
    </row>
    <row r="92" customFormat="false" ht="15" hidden="false" customHeight="false" outlineLevel="0" collapsed="false">
      <c r="A92" s="15"/>
      <c r="B92" s="15"/>
      <c r="C92" s="16" t="str">
        <f aca="false">IFERROR(INDEX(Interface_Register!$B$5:$B$204,MATCH(B92,Interface_Register!$A$5:$A$204,0)),"")</f>
        <v/>
      </c>
      <c r="D92" s="15"/>
      <c r="E92" s="15"/>
      <c r="F92" s="15"/>
      <c r="G92" s="15"/>
      <c r="H92" s="15"/>
      <c r="I92" s="16" t="str">
        <f aca="false">IF(A92="","",IF(F92="Dialog","Dialog user on RFC: sensitive (W06)",IF(ISNUMBER(SEARCH("SAP_ALL",G92)),"SAP_ALL on RFC user: sensitive (W06)","OK")))</f>
        <v/>
      </c>
      <c r="J92" s="15"/>
    </row>
    <row r="93" customFormat="false" ht="15" hidden="false" customHeight="false" outlineLevel="0" collapsed="false">
      <c r="A93" s="15"/>
      <c r="B93" s="15"/>
      <c r="C93" s="16" t="str">
        <f aca="false">IFERROR(INDEX(Interface_Register!$B$5:$B$204,MATCH(B93,Interface_Register!$A$5:$A$204,0)),"")</f>
        <v/>
      </c>
      <c r="D93" s="15"/>
      <c r="E93" s="15"/>
      <c r="F93" s="15"/>
      <c r="G93" s="15"/>
      <c r="H93" s="15"/>
      <c r="I93" s="16" t="str">
        <f aca="false">IF(A93="","",IF(F93="Dialog","Dialog user on RFC: sensitive (W06)",IF(ISNUMBER(SEARCH("SAP_ALL",G93)),"SAP_ALL on RFC user: sensitive (W06)","OK")))</f>
        <v/>
      </c>
      <c r="J93" s="15"/>
    </row>
    <row r="94" customFormat="false" ht="15" hidden="false" customHeight="false" outlineLevel="0" collapsed="false">
      <c r="A94" s="15"/>
      <c r="B94" s="15"/>
      <c r="C94" s="16" t="str">
        <f aca="false">IFERROR(INDEX(Interface_Register!$B$5:$B$204,MATCH(B94,Interface_Register!$A$5:$A$204,0)),"")</f>
        <v/>
      </c>
      <c r="D94" s="15"/>
      <c r="E94" s="15"/>
      <c r="F94" s="15"/>
      <c r="G94" s="15"/>
      <c r="H94" s="15"/>
      <c r="I94" s="16" t="str">
        <f aca="false">IF(A94="","",IF(F94="Dialog","Dialog user on RFC: sensitive (W06)",IF(ISNUMBER(SEARCH("SAP_ALL",G94)),"SAP_ALL on RFC user: sensitive (W06)","OK")))</f>
        <v/>
      </c>
      <c r="J94" s="15"/>
    </row>
    <row r="95" customFormat="false" ht="15" hidden="false" customHeight="false" outlineLevel="0" collapsed="false">
      <c r="A95" s="15"/>
      <c r="B95" s="15"/>
      <c r="C95" s="16" t="str">
        <f aca="false">IFERROR(INDEX(Interface_Register!$B$5:$B$204,MATCH(B95,Interface_Register!$A$5:$A$204,0)),"")</f>
        <v/>
      </c>
      <c r="D95" s="15"/>
      <c r="E95" s="15"/>
      <c r="F95" s="15"/>
      <c r="G95" s="15"/>
      <c r="H95" s="15"/>
      <c r="I95" s="16" t="str">
        <f aca="false">IF(A95="","",IF(F95="Dialog","Dialog user on RFC: sensitive (W06)",IF(ISNUMBER(SEARCH("SAP_ALL",G95)),"SAP_ALL on RFC user: sensitive (W06)","OK")))</f>
        <v/>
      </c>
      <c r="J95" s="15"/>
    </row>
    <row r="96" customFormat="false" ht="15" hidden="false" customHeight="false" outlineLevel="0" collapsed="false">
      <c r="A96" s="15"/>
      <c r="B96" s="15"/>
      <c r="C96" s="16" t="str">
        <f aca="false">IFERROR(INDEX(Interface_Register!$B$5:$B$204,MATCH(B96,Interface_Register!$A$5:$A$204,0)),"")</f>
        <v/>
      </c>
      <c r="D96" s="15"/>
      <c r="E96" s="15"/>
      <c r="F96" s="15"/>
      <c r="G96" s="15"/>
      <c r="H96" s="15"/>
      <c r="I96" s="16" t="str">
        <f aca="false">IF(A96="","",IF(F96="Dialog","Dialog user on RFC: sensitive (W06)",IF(ISNUMBER(SEARCH("SAP_ALL",G96)),"SAP_ALL on RFC user: sensitive (W06)","OK")))</f>
        <v/>
      </c>
      <c r="J96" s="15"/>
    </row>
    <row r="97" customFormat="false" ht="15" hidden="false" customHeight="false" outlineLevel="0" collapsed="false">
      <c r="A97" s="15"/>
      <c r="B97" s="15"/>
      <c r="C97" s="16" t="str">
        <f aca="false">IFERROR(INDEX(Interface_Register!$B$5:$B$204,MATCH(B97,Interface_Register!$A$5:$A$204,0)),"")</f>
        <v/>
      </c>
      <c r="D97" s="15"/>
      <c r="E97" s="15"/>
      <c r="F97" s="15"/>
      <c r="G97" s="15"/>
      <c r="H97" s="15"/>
      <c r="I97" s="16" t="str">
        <f aca="false">IF(A97="","",IF(F97="Dialog","Dialog user on RFC: sensitive (W06)",IF(ISNUMBER(SEARCH("SAP_ALL",G97)),"SAP_ALL on RFC user: sensitive (W06)","OK")))</f>
        <v/>
      </c>
      <c r="J97" s="15"/>
    </row>
    <row r="98" customFormat="false" ht="15" hidden="false" customHeight="false" outlineLevel="0" collapsed="false">
      <c r="A98" s="15"/>
      <c r="B98" s="15"/>
      <c r="C98" s="16" t="str">
        <f aca="false">IFERROR(INDEX(Interface_Register!$B$5:$B$204,MATCH(B98,Interface_Register!$A$5:$A$204,0)),"")</f>
        <v/>
      </c>
      <c r="D98" s="15"/>
      <c r="E98" s="15"/>
      <c r="F98" s="15"/>
      <c r="G98" s="15"/>
      <c r="H98" s="15"/>
      <c r="I98" s="16" t="str">
        <f aca="false">IF(A98="","",IF(F98="Dialog","Dialog user on RFC: sensitive (W06)",IF(ISNUMBER(SEARCH("SAP_ALL",G98)),"SAP_ALL on RFC user: sensitive (W06)","OK")))</f>
        <v/>
      </c>
      <c r="J98" s="15"/>
    </row>
    <row r="99" customFormat="false" ht="15" hidden="false" customHeight="false" outlineLevel="0" collapsed="false">
      <c r="A99" s="15"/>
      <c r="B99" s="15"/>
      <c r="C99" s="16" t="str">
        <f aca="false">IFERROR(INDEX(Interface_Register!$B$5:$B$204,MATCH(B99,Interface_Register!$A$5:$A$204,0)),"")</f>
        <v/>
      </c>
      <c r="D99" s="15"/>
      <c r="E99" s="15"/>
      <c r="F99" s="15"/>
      <c r="G99" s="15"/>
      <c r="H99" s="15"/>
      <c r="I99" s="16" t="str">
        <f aca="false">IF(A99="","",IF(F99="Dialog","Dialog user on RFC: sensitive (W06)",IF(ISNUMBER(SEARCH("SAP_ALL",G99)),"SAP_ALL on RFC user: sensitive (W06)","OK")))</f>
        <v/>
      </c>
      <c r="J99" s="15"/>
    </row>
    <row r="100" customFormat="false" ht="15" hidden="false" customHeight="false" outlineLevel="0" collapsed="false">
      <c r="A100" s="15"/>
      <c r="B100" s="15"/>
      <c r="C100" s="16" t="str">
        <f aca="false">IFERROR(INDEX(Interface_Register!$B$5:$B$204,MATCH(B100,Interface_Register!$A$5:$A$204,0)),"")</f>
        <v/>
      </c>
      <c r="D100" s="15"/>
      <c r="E100" s="15"/>
      <c r="F100" s="15"/>
      <c r="G100" s="15"/>
      <c r="H100" s="15"/>
      <c r="I100" s="16" t="str">
        <f aca="false">IF(A100="","",IF(F100="Dialog","Dialog user on RFC: sensitive (W06)",IF(ISNUMBER(SEARCH("SAP_ALL",G100)),"SAP_ALL on RFC user: sensitive (W06)","OK")))</f>
        <v/>
      </c>
      <c r="J100" s="15"/>
    </row>
    <row r="101" customFormat="false" ht="15" hidden="false" customHeight="false" outlineLevel="0" collapsed="false">
      <c r="A101" s="15"/>
      <c r="B101" s="15"/>
      <c r="C101" s="16" t="str">
        <f aca="false">IFERROR(INDEX(Interface_Register!$B$5:$B$204,MATCH(B101,Interface_Register!$A$5:$A$204,0)),"")</f>
        <v/>
      </c>
      <c r="D101" s="15"/>
      <c r="E101" s="15"/>
      <c r="F101" s="15"/>
      <c r="G101" s="15"/>
      <c r="H101" s="15"/>
      <c r="I101" s="16" t="str">
        <f aca="false">IF(A101="","",IF(F101="Dialog","Dialog user on RFC: sensitive (W06)",IF(ISNUMBER(SEARCH("SAP_ALL",G101)),"SAP_ALL on RFC user: sensitive (W06)","OK")))</f>
        <v/>
      </c>
      <c r="J101" s="15"/>
    </row>
    <row r="102" customFormat="false" ht="15" hidden="false" customHeight="false" outlineLevel="0" collapsed="false">
      <c r="A102" s="15"/>
      <c r="B102" s="15"/>
      <c r="C102" s="16" t="str">
        <f aca="false">IFERROR(INDEX(Interface_Register!$B$5:$B$204,MATCH(B102,Interface_Register!$A$5:$A$204,0)),"")</f>
        <v/>
      </c>
      <c r="D102" s="15"/>
      <c r="E102" s="15"/>
      <c r="F102" s="15"/>
      <c r="G102" s="15"/>
      <c r="H102" s="15"/>
      <c r="I102" s="16" t="str">
        <f aca="false">IF(A102="","",IF(F102="Dialog","Dialog user on RFC: sensitive (W06)",IF(ISNUMBER(SEARCH("SAP_ALL",G102)),"SAP_ALL on RFC user: sensitive (W06)","OK")))</f>
        <v/>
      </c>
      <c r="J102" s="15"/>
    </row>
    <row r="103" customFormat="false" ht="15" hidden="false" customHeight="false" outlineLevel="0" collapsed="false">
      <c r="A103" s="15"/>
      <c r="B103" s="15"/>
      <c r="C103" s="16" t="str">
        <f aca="false">IFERROR(INDEX(Interface_Register!$B$5:$B$204,MATCH(B103,Interface_Register!$A$5:$A$204,0)),"")</f>
        <v/>
      </c>
      <c r="D103" s="15"/>
      <c r="E103" s="15"/>
      <c r="F103" s="15"/>
      <c r="G103" s="15"/>
      <c r="H103" s="15"/>
      <c r="I103" s="16" t="str">
        <f aca="false">IF(A103="","",IF(F103="Dialog","Dialog user on RFC: sensitive (W06)",IF(ISNUMBER(SEARCH("SAP_ALL",G103)),"SAP_ALL on RFC user: sensitive (W06)","OK")))</f>
        <v/>
      </c>
      <c r="J103" s="15"/>
    </row>
    <row r="104" customFormat="false" ht="15" hidden="false" customHeight="false" outlineLevel="0" collapsed="false">
      <c r="A104" s="15"/>
      <c r="B104" s="15"/>
      <c r="C104" s="16" t="str">
        <f aca="false">IFERROR(INDEX(Interface_Register!$B$5:$B$204,MATCH(B104,Interface_Register!$A$5:$A$204,0)),"")</f>
        <v/>
      </c>
      <c r="D104" s="15"/>
      <c r="E104" s="15"/>
      <c r="F104" s="15"/>
      <c r="G104" s="15"/>
      <c r="H104" s="15"/>
      <c r="I104" s="16" t="str">
        <f aca="false">IF(A104="","",IF(F104="Dialog","Dialog user on RFC: sensitive (W06)",IF(ISNUMBER(SEARCH("SAP_ALL",G104)),"SAP_ALL on RFC user: sensitive (W06)","OK")))</f>
        <v/>
      </c>
      <c r="J104" s="15"/>
    </row>
    <row r="105" customFormat="false" ht="15" hidden="false" customHeight="false" outlineLevel="0" collapsed="false">
      <c r="A105" s="15"/>
      <c r="B105" s="15"/>
      <c r="C105" s="16" t="str">
        <f aca="false">IFERROR(INDEX(Interface_Register!$B$5:$B$204,MATCH(B105,Interface_Register!$A$5:$A$204,0)),"")</f>
        <v/>
      </c>
      <c r="D105" s="15"/>
      <c r="E105" s="15"/>
      <c r="F105" s="15"/>
      <c r="G105" s="15"/>
      <c r="H105" s="15"/>
      <c r="I105" s="16" t="str">
        <f aca="false">IF(A105="","",IF(F105="Dialog","Dialog user on RFC: sensitive (W06)",IF(ISNUMBER(SEARCH("SAP_ALL",G105)),"SAP_ALL on RFC user: sensitive (W06)","OK")))</f>
        <v/>
      </c>
      <c r="J105" s="15"/>
    </row>
    <row r="106" customFormat="false" ht="15" hidden="false" customHeight="false" outlineLevel="0" collapsed="false">
      <c r="A106" s="15"/>
      <c r="B106" s="15"/>
      <c r="C106" s="16" t="str">
        <f aca="false">IFERROR(INDEX(Interface_Register!$B$5:$B$204,MATCH(B106,Interface_Register!$A$5:$A$204,0)),"")</f>
        <v/>
      </c>
      <c r="D106" s="15"/>
      <c r="E106" s="15"/>
      <c r="F106" s="15"/>
      <c r="G106" s="15"/>
      <c r="H106" s="15"/>
      <c r="I106" s="16" t="str">
        <f aca="false">IF(A106="","",IF(F106="Dialog","Dialog user on RFC: sensitive (W06)",IF(ISNUMBER(SEARCH("SAP_ALL",G106)),"SAP_ALL on RFC user: sensitive (W06)","OK")))</f>
        <v/>
      </c>
      <c r="J106" s="15"/>
    </row>
    <row r="107" customFormat="false" ht="15" hidden="false" customHeight="false" outlineLevel="0" collapsed="false">
      <c r="A107" s="15"/>
      <c r="B107" s="15"/>
      <c r="C107" s="16" t="str">
        <f aca="false">IFERROR(INDEX(Interface_Register!$B$5:$B$204,MATCH(B107,Interface_Register!$A$5:$A$204,0)),"")</f>
        <v/>
      </c>
      <c r="D107" s="15"/>
      <c r="E107" s="15"/>
      <c r="F107" s="15"/>
      <c r="G107" s="15"/>
      <c r="H107" s="15"/>
      <c r="I107" s="16" t="str">
        <f aca="false">IF(A107="","",IF(F107="Dialog","Dialog user on RFC: sensitive (W06)",IF(ISNUMBER(SEARCH("SAP_ALL",G107)),"SAP_ALL on RFC user: sensitive (W06)","OK")))</f>
        <v/>
      </c>
      <c r="J107" s="15"/>
    </row>
    <row r="108" customFormat="false" ht="15" hidden="false" customHeight="false" outlineLevel="0" collapsed="false">
      <c r="A108" s="15"/>
      <c r="B108" s="15"/>
      <c r="C108" s="16" t="str">
        <f aca="false">IFERROR(INDEX(Interface_Register!$B$5:$B$204,MATCH(B108,Interface_Register!$A$5:$A$204,0)),"")</f>
        <v/>
      </c>
      <c r="D108" s="15"/>
      <c r="E108" s="15"/>
      <c r="F108" s="15"/>
      <c r="G108" s="15"/>
      <c r="H108" s="15"/>
      <c r="I108" s="16" t="str">
        <f aca="false">IF(A108="","",IF(F108="Dialog","Dialog user on RFC: sensitive (W06)",IF(ISNUMBER(SEARCH("SAP_ALL",G108)),"SAP_ALL on RFC user: sensitive (W06)","OK")))</f>
        <v/>
      </c>
      <c r="J108" s="15"/>
    </row>
    <row r="109" customFormat="false" ht="15" hidden="false" customHeight="false" outlineLevel="0" collapsed="false">
      <c r="A109" s="15"/>
      <c r="B109" s="15"/>
      <c r="C109" s="16" t="str">
        <f aca="false">IFERROR(INDEX(Interface_Register!$B$5:$B$204,MATCH(B109,Interface_Register!$A$5:$A$204,0)),"")</f>
        <v/>
      </c>
      <c r="D109" s="15"/>
      <c r="E109" s="15"/>
      <c r="F109" s="15"/>
      <c r="G109" s="15"/>
      <c r="H109" s="15"/>
      <c r="I109" s="16" t="str">
        <f aca="false">IF(A109="","",IF(F109="Dialog","Dialog user on RFC: sensitive (W06)",IF(ISNUMBER(SEARCH("SAP_ALL",G109)),"SAP_ALL on RFC user: sensitive (W06)","OK")))</f>
        <v/>
      </c>
      <c r="J109" s="15"/>
    </row>
    <row r="110" customFormat="false" ht="15" hidden="false" customHeight="false" outlineLevel="0" collapsed="false">
      <c r="A110" s="15"/>
      <c r="B110" s="15"/>
      <c r="C110" s="16" t="str">
        <f aca="false">IFERROR(INDEX(Interface_Register!$B$5:$B$204,MATCH(B110,Interface_Register!$A$5:$A$204,0)),"")</f>
        <v/>
      </c>
      <c r="D110" s="15"/>
      <c r="E110" s="15"/>
      <c r="F110" s="15"/>
      <c r="G110" s="15"/>
      <c r="H110" s="15"/>
      <c r="I110" s="16" t="str">
        <f aca="false">IF(A110="","",IF(F110="Dialog","Dialog user on RFC: sensitive (W06)",IF(ISNUMBER(SEARCH("SAP_ALL",G110)),"SAP_ALL on RFC user: sensitive (W06)","OK")))</f>
        <v/>
      </c>
      <c r="J110" s="15"/>
    </row>
    <row r="111" customFormat="false" ht="15" hidden="false" customHeight="false" outlineLevel="0" collapsed="false">
      <c r="A111" s="15"/>
      <c r="B111" s="15"/>
      <c r="C111" s="16" t="str">
        <f aca="false">IFERROR(INDEX(Interface_Register!$B$5:$B$204,MATCH(B111,Interface_Register!$A$5:$A$204,0)),"")</f>
        <v/>
      </c>
      <c r="D111" s="15"/>
      <c r="E111" s="15"/>
      <c r="F111" s="15"/>
      <c r="G111" s="15"/>
      <c r="H111" s="15"/>
      <c r="I111" s="16" t="str">
        <f aca="false">IF(A111="","",IF(F111="Dialog","Dialog user on RFC: sensitive (W06)",IF(ISNUMBER(SEARCH("SAP_ALL",G111)),"SAP_ALL on RFC user: sensitive (W06)","OK")))</f>
        <v/>
      </c>
      <c r="J111" s="15"/>
    </row>
    <row r="112" customFormat="false" ht="15" hidden="false" customHeight="false" outlineLevel="0" collapsed="false">
      <c r="A112" s="15"/>
      <c r="B112" s="15"/>
      <c r="C112" s="16" t="str">
        <f aca="false">IFERROR(INDEX(Interface_Register!$B$5:$B$204,MATCH(B112,Interface_Register!$A$5:$A$204,0)),"")</f>
        <v/>
      </c>
      <c r="D112" s="15"/>
      <c r="E112" s="15"/>
      <c r="F112" s="15"/>
      <c r="G112" s="15"/>
      <c r="H112" s="15"/>
      <c r="I112" s="16" t="str">
        <f aca="false">IF(A112="","",IF(F112="Dialog","Dialog user on RFC: sensitive (W06)",IF(ISNUMBER(SEARCH("SAP_ALL",G112)),"SAP_ALL on RFC user: sensitive (W06)","OK")))</f>
        <v/>
      </c>
      <c r="J112" s="15"/>
    </row>
    <row r="113" customFormat="false" ht="15" hidden="false" customHeight="false" outlineLevel="0" collapsed="false">
      <c r="A113" s="15"/>
      <c r="B113" s="15"/>
      <c r="C113" s="16" t="str">
        <f aca="false">IFERROR(INDEX(Interface_Register!$B$5:$B$204,MATCH(B113,Interface_Register!$A$5:$A$204,0)),"")</f>
        <v/>
      </c>
      <c r="D113" s="15"/>
      <c r="E113" s="15"/>
      <c r="F113" s="15"/>
      <c r="G113" s="15"/>
      <c r="H113" s="15"/>
      <c r="I113" s="16" t="str">
        <f aca="false">IF(A113="","",IF(F113="Dialog","Dialog user on RFC: sensitive (W06)",IF(ISNUMBER(SEARCH("SAP_ALL",G113)),"SAP_ALL on RFC user: sensitive (W06)","OK")))</f>
        <v/>
      </c>
      <c r="J113" s="15"/>
    </row>
    <row r="114" customFormat="false" ht="15" hidden="false" customHeight="false" outlineLevel="0" collapsed="false">
      <c r="A114" s="15"/>
      <c r="B114" s="15"/>
      <c r="C114" s="16" t="str">
        <f aca="false">IFERROR(INDEX(Interface_Register!$B$5:$B$204,MATCH(B114,Interface_Register!$A$5:$A$204,0)),"")</f>
        <v/>
      </c>
      <c r="D114" s="15"/>
      <c r="E114" s="15"/>
      <c r="F114" s="15"/>
      <c r="G114" s="15"/>
      <c r="H114" s="15"/>
      <c r="I114" s="16" t="str">
        <f aca="false">IF(A114="","",IF(F114="Dialog","Dialog user on RFC: sensitive (W06)",IF(ISNUMBER(SEARCH("SAP_ALL",G114)),"SAP_ALL on RFC user: sensitive (W06)","OK")))</f>
        <v/>
      </c>
      <c r="J114" s="15"/>
    </row>
    <row r="115" customFormat="false" ht="15" hidden="false" customHeight="false" outlineLevel="0" collapsed="false">
      <c r="A115" s="15"/>
      <c r="B115" s="15"/>
      <c r="C115" s="16" t="str">
        <f aca="false">IFERROR(INDEX(Interface_Register!$B$5:$B$204,MATCH(B115,Interface_Register!$A$5:$A$204,0)),"")</f>
        <v/>
      </c>
      <c r="D115" s="15"/>
      <c r="E115" s="15"/>
      <c r="F115" s="15"/>
      <c r="G115" s="15"/>
      <c r="H115" s="15"/>
      <c r="I115" s="16" t="str">
        <f aca="false">IF(A115="","",IF(F115="Dialog","Dialog user on RFC: sensitive (W06)",IF(ISNUMBER(SEARCH("SAP_ALL",G115)),"SAP_ALL on RFC user: sensitive (W06)","OK")))</f>
        <v/>
      </c>
      <c r="J115" s="15"/>
    </row>
    <row r="116" customFormat="false" ht="15" hidden="false" customHeight="false" outlineLevel="0" collapsed="false">
      <c r="A116" s="15"/>
      <c r="B116" s="15"/>
      <c r="C116" s="16" t="str">
        <f aca="false">IFERROR(INDEX(Interface_Register!$B$5:$B$204,MATCH(B116,Interface_Register!$A$5:$A$204,0)),"")</f>
        <v/>
      </c>
      <c r="D116" s="15"/>
      <c r="E116" s="15"/>
      <c r="F116" s="15"/>
      <c r="G116" s="15"/>
      <c r="H116" s="15"/>
      <c r="I116" s="16" t="str">
        <f aca="false">IF(A116="","",IF(F116="Dialog","Dialog user on RFC: sensitive (W06)",IF(ISNUMBER(SEARCH("SAP_ALL",G116)),"SAP_ALL on RFC user: sensitive (W06)","OK")))</f>
        <v/>
      </c>
      <c r="J116" s="15"/>
    </row>
    <row r="117" customFormat="false" ht="15" hidden="false" customHeight="false" outlineLevel="0" collapsed="false">
      <c r="A117" s="15"/>
      <c r="B117" s="15"/>
      <c r="C117" s="16" t="str">
        <f aca="false">IFERROR(INDEX(Interface_Register!$B$5:$B$204,MATCH(B117,Interface_Register!$A$5:$A$204,0)),"")</f>
        <v/>
      </c>
      <c r="D117" s="15"/>
      <c r="E117" s="15"/>
      <c r="F117" s="15"/>
      <c r="G117" s="15"/>
      <c r="H117" s="15"/>
      <c r="I117" s="16" t="str">
        <f aca="false">IF(A117="","",IF(F117="Dialog","Dialog user on RFC: sensitive (W06)",IF(ISNUMBER(SEARCH("SAP_ALL",G117)),"SAP_ALL on RFC user: sensitive (W06)","OK")))</f>
        <v/>
      </c>
      <c r="J117" s="15"/>
    </row>
    <row r="118" customFormat="false" ht="15" hidden="false" customHeight="false" outlineLevel="0" collapsed="false">
      <c r="A118" s="15"/>
      <c r="B118" s="15"/>
      <c r="C118" s="16" t="str">
        <f aca="false">IFERROR(INDEX(Interface_Register!$B$5:$B$204,MATCH(B118,Interface_Register!$A$5:$A$204,0)),"")</f>
        <v/>
      </c>
      <c r="D118" s="15"/>
      <c r="E118" s="15"/>
      <c r="F118" s="15"/>
      <c r="G118" s="15"/>
      <c r="H118" s="15"/>
      <c r="I118" s="16" t="str">
        <f aca="false">IF(A118="","",IF(F118="Dialog","Dialog user on RFC: sensitive (W06)",IF(ISNUMBER(SEARCH("SAP_ALL",G118)),"SAP_ALL on RFC user: sensitive (W06)","OK")))</f>
        <v/>
      </c>
      <c r="J118" s="15"/>
    </row>
    <row r="119" customFormat="false" ht="15" hidden="false" customHeight="false" outlineLevel="0" collapsed="false">
      <c r="A119" s="15"/>
      <c r="B119" s="15"/>
      <c r="C119" s="16" t="str">
        <f aca="false">IFERROR(INDEX(Interface_Register!$B$5:$B$204,MATCH(B119,Interface_Register!$A$5:$A$204,0)),"")</f>
        <v/>
      </c>
      <c r="D119" s="15"/>
      <c r="E119" s="15"/>
      <c r="F119" s="15"/>
      <c r="G119" s="15"/>
      <c r="H119" s="15"/>
      <c r="I119" s="16" t="str">
        <f aca="false">IF(A119="","",IF(F119="Dialog","Dialog user on RFC: sensitive (W06)",IF(ISNUMBER(SEARCH("SAP_ALL",G119)),"SAP_ALL on RFC user: sensitive (W06)","OK")))</f>
        <v/>
      </c>
      <c r="J119" s="15"/>
    </row>
    <row r="120" customFormat="false" ht="15" hidden="false" customHeight="false" outlineLevel="0" collapsed="false">
      <c r="A120" s="15"/>
      <c r="B120" s="15"/>
      <c r="C120" s="16" t="str">
        <f aca="false">IFERROR(INDEX(Interface_Register!$B$5:$B$204,MATCH(B120,Interface_Register!$A$5:$A$204,0)),"")</f>
        <v/>
      </c>
      <c r="D120" s="15"/>
      <c r="E120" s="15"/>
      <c r="F120" s="15"/>
      <c r="G120" s="15"/>
      <c r="H120" s="15"/>
      <c r="I120" s="16" t="str">
        <f aca="false">IF(A120="","",IF(F120="Dialog","Dialog user on RFC: sensitive (W06)",IF(ISNUMBER(SEARCH("SAP_ALL",G120)),"SAP_ALL on RFC user: sensitive (W06)","OK")))</f>
        <v/>
      </c>
      <c r="J120" s="15"/>
    </row>
    <row r="121" customFormat="false" ht="15" hidden="false" customHeight="false" outlineLevel="0" collapsed="false">
      <c r="A121" s="15"/>
      <c r="B121" s="15"/>
      <c r="C121" s="16" t="str">
        <f aca="false">IFERROR(INDEX(Interface_Register!$B$5:$B$204,MATCH(B121,Interface_Register!$A$5:$A$204,0)),"")</f>
        <v/>
      </c>
      <c r="D121" s="15"/>
      <c r="E121" s="15"/>
      <c r="F121" s="15"/>
      <c r="G121" s="15"/>
      <c r="H121" s="15"/>
      <c r="I121" s="16" t="str">
        <f aca="false">IF(A121="","",IF(F121="Dialog","Dialog user on RFC: sensitive (W06)",IF(ISNUMBER(SEARCH("SAP_ALL",G121)),"SAP_ALL on RFC user: sensitive (W06)","OK")))</f>
        <v/>
      </c>
      <c r="J121" s="15"/>
    </row>
    <row r="122" customFormat="false" ht="15" hidden="false" customHeight="false" outlineLevel="0" collapsed="false">
      <c r="A122" s="15"/>
      <c r="B122" s="15"/>
      <c r="C122" s="16" t="str">
        <f aca="false">IFERROR(INDEX(Interface_Register!$B$5:$B$204,MATCH(B122,Interface_Register!$A$5:$A$204,0)),"")</f>
        <v/>
      </c>
      <c r="D122" s="15"/>
      <c r="E122" s="15"/>
      <c r="F122" s="15"/>
      <c r="G122" s="15"/>
      <c r="H122" s="15"/>
      <c r="I122" s="16" t="str">
        <f aca="false">IF(A122="","",IF(F122="Dialog","Dialog user on RFC: sensitive (W06)",IF(ISNUMBER(SEARCH("SAP_ALL",G122)),"SAP_ALL on RFC user: sensitive (W06)","OK")))</f>
        <v/>
      </c>
      <c r="J122" s="15"/>
    </row>
    <row r="123" customFormat="false" ht="15" hidden="false" customHeight="false" outlineLevel="0" collapsed="false">
      <c r="A123" s="15"/>
      <c r="B123" s="15"/>
      <c r="C123" s="16" t="str">
        <f aca="false">IFERROR(INDEX(Interface_Register!$B$5:$B$204,MATCH(B123,Interface_Register!$A$5:$A$204,0)),"")</f>
        <v/>
      </c>
      <c r="D123" s="15"/>
      <c r="E123" s="15"/>
      <c r="F123" s="15"/>
      <c r="G123" s="15"/>
      <c r="H123" s="15"/>
      <c r="I123" s="16" t="str">
        <f aca="false">IF(A123="","",IF(F123="Dialog","Dialog user on RFC: sensitive (W06)",IF(ISNUMBER(SEARCH("SAP_ALL",G123)),"SAP_ALL on RFC user: sensitive (W06)","OK")))</f>
        <v/>
      </c>
      <c r="J123" s="15"/>
    </row>
    <row r="124" customFormat="false" ht="15" hidden="false" customHeight="false" outlineLevel="0" collapsed="false">
      <c r="A124" s="15"/>
      <c r="B124" s="15"/>
      <c r="C124" s="16" t="str">
        <f aca="false">IFERROR(INDEX(Interface_Register!$B$5:$B$204,MATCH(B124,Interface_Register!$A$5:$A$204,0)),"")</f>
        <v/>
      </c>
      <c r="D124" s="15"/>
      <c r="E124" s="15"/>
      <c r="F124" s="15"/>
      <c r="G124" s="15"/>
      <c r="H124" s="15"/>
      <c r="I124" s="16" t="str">
        <f aca="false">IF(A124="","",IF(F124="Dialog","Dialog user on RFC: sensitive (W06)",IF(ISNUMBER(SEARCH("SAP_ALL",G124)),"SAP_ALL on RFC user: sensitive (W06)","OK")))</f>
        <v/>
      </c>
      <c r="J124" s="15"/>
    </row>
    <row r="125" customFormat="false" ht="15" hidden="false" customHeight="false" outlineLevel="0" collapsed="false">
      <c r="A125" s="15"/>
      <c r="B125" s="15"/>
      <c r="C125" s="16" t="str">
        <f aca="false">IFERROR(INDEX(Interface_Register!$B$5:$B$204,MATCH(B125,Interface_Register!$A$5:$A$204,0)),"")</f>
        <v/>
      </c>
      <c r="D125" s="15"/>
      <c r="E125" s="15"/>
      <c r="F125" s="15"/>
      <c r="G125" s="15"/>
      <c r="H125" s="15"/>
      <c r="I125" s="16" t="str">
        <f aca="false">IF(A125="","",IF(F125="Dialog","Dialog user on RFC: sensitive (W06)",IF(ISNUMBER(SEARCH("SAP_ALL",G125)),"SAP_ALL on RFC user: sensitive (W06)","OK")))</f>
        <v/>
      </c>
      <c r="J125" s="15"/>
    </row>
    <row r="126" customFormat="false" ht="15" hidden="false" customHeight="false" outlineLevel="0" collapsed="false">
      <c r="A126" s="15"/>
      <c r="B126" s="15"/>
      <c r="C126" s="16" t="str">
        <f aca="false">IFERROR(INDEX(Interface_Register!$B$5:$B$204,MATCH(B126,Interface_Register!$A$5:$A$204,0)),"")</f>
        <v/>
      </c>
      <c r="D126" s="15"/>
      <c r="E126" s="15"/>
      <c r="F126" s="15"/>
      <c r="G126" s="15"/>
      <c r="H126" s="15"/>
      <c r="I126" s="16" t="str">
        <f aca="false">IF(A126="","",IF(F126="Dialog","Dialog user on RFC: sensitive (W06)",IF(ISNUMBER(SEARCH("SAP_ALL",G126)),"SAP_ALL on RFC user: sensitive (W06)","OK")))</f>
        <v/>
      </c>
      <c r="J126" s="15"/>
    </row>
    <row r="127" customFormat="false" ht="15" hidden="false" customHeight="false" outlineLevel="0" collapsed="false">
      <c r="A127" s="15"/>
      <c r="B127" s="15"/>
      <c r="C127" s="16" t="str">
        <f aca="false">IFERROR(INDEX(Interface_Register!$B$5:$B$204,MATCH(B127,Interface_Register!$A$5:$A$204,0)),"")</f>
        <v/>
      </c>
      <c r="D127" s="15"/>
      <c r="E127" s="15"/>
      <c r="F127" s="15"/>
      <c r="G127" s="15"/>
      <c r="H127" s="15"/>
      <c r="I127" s="16" t="str">
        <f aca="false">IF(A127="","",IF(F127="Dialog","Dialog user on RFC: sensitive (W06)",IF(ISNUMBER(SEARCH("SAP_ALL",G127)),"SAP_ALL on RFC user: sensitive (W06)","OK")))</f>
        <v/>
      </c>
      <c r="J127" s="15"/>
    </row>
    <row r="128" customFormat="false" ht="15" hidden="false" customHeight="false" outlineLevel="0" collapsed="false">
      <c r="A128" s="15"/>
      <c r="B128" s="15"/>
      <c r="C128" s="16" t="str">
        <f aca="false">IFERROR(INDEX(Interface_Register!$B$5:$B$204,MATCH(B128,Interface_Register!$A$5:$A$204,0)),"")</f>
        <v/>
      </c>
      <c r="D128" s="15"/>
      <c r="E128" s="15"/>
      <c r="F128" s="15"/>
      <c r="G128" s="15"/>
      <c r="H128" s="15"/>
      <c r="I128" s="16" t="str">
        <f aca="false">IF(A128="","",IF(F128="Dialog","Dialog user on RFC: sensitive (W06)",IF(ISNUMBER(SEARCH("SAP_ALL",G128)),"SAP_ALL on RFC user: sensitive (W06)","OK")))</f>
        <v/>
      </c>
      <c r="J128" s="15"/>
    </row>
    <row r="129" customFormat="false" ht="15" hidden="false" customHeight="false" outlineLevel="0" collapsed="false">
      <c r="A129" s="15"/>
      <c r="B129" s="15"/>
      <c r="C129" s="16" t="str">
        <f aca="false">IFERROR(INDEX(Interface_Register!$B$5:$B$204,MATCH(B129,Interface_Register!$A$5:$A$204,0)),"")</f>
        <v/>
      </c>
      <c r="D129" s="15"/>
      <c r="E129" s="15"/>
      <c r="F129" s="15"/>
      <c r="G129" s="15"/>
      <c r="H129" s="15"/>
      <c r="I129" s="16" t="str">
        <f aca="false">IF(A129="","",IF(F129="Dialog","Dialog user on RFC: sensitive (W06)",IF(ISNUMBER(SEARCH("SAP_ALL",G129)),"SAP_ALL on RFC user: sensitive (W06)","OK")))</f>
        <v/>
      </c>
      <c r="J129" s="15"/>
    </row>
    <row r="130" customFormat="false" ht="15" hidden="false" customHeight="false" outlineLevel="0" collapsed="false">
      <c r="A130" s="15"/>
      <c r="B130" s="15"/>
      <c r="C130" s="16" t="str">
        <f aca="false">IFERROR(INDEX(Interface_Register!$B$5:$B$204,MATCH(B130,Interface_Register!$A$5:$A$204,0)),"")</f>
        <v/>
      </c>
      <c r="D130" s="15"/>
      <c r="E130" s="15"/>
      <c r="F130" s="15"/>
      <c r="G130" s="15"/>
      <c r="H130" s="15"/>
      <c r="I130" s="16" t="str">
        <f aca="false">IF(A130="","",IF(F130="Dialog","Dialog user on RFC: sensitive (W06)",IF(ISNUMBER(SEARCH("SAP_ALL",G130)),"SAP_ALL on RFC user: sensitive (W06)","OK")))</f>
        <v/>
      </c>
      <c r="J130" s="15"/>
    </row>
    <row r="131" customFormat="false" ht="15" hidden="false" customHeight="false" outlineLevel="0" collapsed="false">
      <c r="A131" s="15"/>
      <c r="B131" s="15"/>
      <c r="C131" s="16" t="str">
        <f aca="false">IFERROR(INDEX(Interface_Register!$B$5:$B$204,MATCH(B131,Interface_Register!$A$5:$A$204,0)),"")</f>
        <v/>
      </c>
      <c r="D131" s="15"/>
      <c r="E131" s="15"/>
      <c r="F131" s="15"/>
      <c r="G131" s="15"/>
      <c r="H131" s="15"/>
      <c r="I131" s="16" t="str">
        <f aca="false">IF(A131="","",IF(F131="Dialog","Dialog user on RFC: sensitive (W06)",IF(ISNUMBER(SEARCH("SAP_ALL",G131)),"SAP_ALL on RFC user: sensitive (W06)","OK")))</f>
        <v/>
      </c>
      <c r="J131" s="15"/>
    </row>
    <row r="132" customFormat="false" ht="15" hidden="false" customHeight="false" outlineLevel="0" collapsed="false">
      <c r="A132" s="15"/>
      <c r="B132" s="15"/>
      <c r="C132" s="16" t="str">
        <f aca="false">IFERROR(INDEX(Interface_Register!$B$5:$B$204,MATCH(B132,Interface_Register!$A$5:$A$204,0)),"")</f>
        <v/>
      </c>
      <c r="D132" s="15"/>
      <c r="E132" s="15"/>
      <c r="F132" s="15"/>
      <c r="G132" s="15"/>
      <c r="H132" s="15"/>
      <c r="I132" s="16" t="str">
        <f aca="false">IF(A132="","",IF(F132="Dialog","Dialog user on RFC: sensitive (W06)",IF(ISNUMBER(SEARCH("SAP_ALL",G132)),"SAP_ALL on RFC user: sensitive (W06)","OK")))</f>
        <v/>
      </c>
      <c r="J132" s="15"/>
    </row>
    <row r="133" customFormat="false" ht="15" hidden="false" customHeight="false" outlineLevel="0" collapsed="false">
      <c r="A133" s="15"/>
      <c r="B133" s="15"/>
      <c r="C133" s="16" t="str">
        <f aca="false">IFERROR(INDEX(Interface_Register!$B$5:$B$204,MATCH(B133,Interface_Register!$A$5:$A$204,0)),"")</f>
        <v/>
      </c>
      <c r="D133" s="15"/>
      <c r="E133" s="15"/>
      <c r="F133" s="15"/>
      <c r="G133" s="15"/>
      <c r="H133" s="15"/>
      <c r="I133" s="16" t="str">
        <f aca="false">IF(A133="","",IF(F133="Dialog","Dialog user on RFC: sensitive (W06)",IF(ISNUMBER(SEARCH("SAP_ALL",G133)),"SAP_ALL on RFC user: sensitive (W06)","OK")))</f>
        <v/>
      </c>
      <c r="J133" s="15"/>
    </row>
    <row r="134" customFormat="false" ht="15" hidden="false" customHeight="false" outlineLevel="0" collapsed="false">
      <c r="A134" s="15"/>
      <c r="B134" s="15"/>
      <c r="C134" s="16" t="str">
        <f aca="false">IFERROR(INDEX(Interface_Register!$B$5:$B$204,MATCH(B134,Interface_Register!$A$5:$A$204,0)),"")</f>
        <v/>
      </c>
      <c r="D134" s="15"/>
      <c r="E134" s="15"/>
      <c r="F134" s="15"/>
      <c r="G134" s="15"/>
      <c r="H134" s="15"/>
      <c r="I134" s="16" t="str">
        <f aca="false">IF(A134="","",IF(F134="Dialog","Dialog user on RFC: sensitive (W06)",IF(ISNUMBER(SEARCH("SAP_ALL",G134)),"SAP_ALL on RFC user: sensitive (W06)","OK")))</f>
        <v/>
      </c>
      <c r="J134" s="15"/>
    </row>
    <row r="135" customFormat="false" ht="15" hidden="false" customHeight="false" outlineLevel="0" collapsed="false">
      <c r="A135" s="15"/>
      <c r="B135" s="15"/>
      <c r="C135" s="16" t="str">
        <f aca="false">IFERROR(INDEX(Interface_Register!$B$5:$B$204,MATCH(B135,Interface_Register!$A$5:$A$204,0)),"")</f>
        <v/>
      </c>
      <c r="D135" s="15"/>
      <c r="E135" s="15"/>
      <c r="F135" s="15"/>
      <c r="G135" s="15"/>
      <c r="H135" s="15"/>
      <c r="I135" s="16" t="str">
        <f aca="false">IF(A135="","",IF(F135="Dialog","Dialog user on RFC: sensitive (W06)",IF(ISNUMBER(SEARCH("SAP_ALL",G135)),"SAP_ALL on RFC user: sensitive (W06)","OK")))</f>
        <v/>
      </c>
      <c r="J135" s="15"/>
    </row>
    <row r="136" customFormat="false" ht="15" hidden="false" customHeight="false" outlineLevel="0" collapsed="false">
      <c r="A136" s="15"/>
      <c r="B136" s="15"/>
      <c r="C136" s="16" t="str">
        <f aca="false">IFERROR(INDEX(Interface_Register!$B$5:$B$204,MATCH(B136,Interface_Register!$A$5:$A$204,0)),"")</f>
        <v/>
      </c>
      <c r="D136" s="15"/>
      <c r="E136" s="15"/>
      <c r="F136" s="15"/>
      <c r="G136" s="15"/>
      <c r="H136" s="15"/>
      <c r="I136" s="16" t="str">
        <f aca="false">IF(A136="","",IF(F136="Dialog","Dialog user on RFC: sensitive (W06)",IF(ISNUMBER(SEARCH("SAP_ALL",G136)),"SAP_ALL on RFC user: sensitive (W06)","OK")))</f>
        <v/>
      </c>
      <c r="J136" s="15"/>
    </row>
    <row r="137" customFormat="false" ht="15" hidden="false" customHeight="false" outlineLevel="0" collapsed="false">
      <c r="A137" s="15"/>
      <c r="B137" s="15"/>
      <c r="C137" s="16" t="str">
        <f aca="false">IFERROR(INDEX(Interface_Register!$B$5:$B$204,MATCH(B137,Interface_Register!$A$5:$A$204,0)),"")</f>
        <v/>
      </c>
      <c r="D137" s="15"/>
      <c r="E137" s="15"/>
      <c r="F137" s="15"/>
      <c r="G137" s="15"/>
      <c r="H137" s="15"/>
      <c r="I137" s="16" t="str">
        <f aca="false">IF(A137="","",IF(F137="Dialog","Dialog user on RFC: sensitive (W06)",IF(ISNUMBER(SEARCH("SAP_ALL",G137)),"SAP_ALL on RFC user: sensitive (W06)","OK")))</f>
        <v/>
      </c>
      <c r="J137" s="15"/>
    </row>
    <row r="138" customFormat="false" ht="15" hidden="false" customHeight="false" outlineLevel="0" collapsed="false">
      <c r="A138" s="15"/>
      <c r="B138" s="15"/>
      <c r="C138" s="16" t="str">
        <f aca="false">IFERROR(INDEX(Interface_Register!$B$5:$B$204,MATCH(B138,Interface_Register!$A$5:$A$204,0)),"")</f>
        <v/>
      </c>
      <c r="D138" s="15"/>
      <c r="E138" s="15"/>
      <c r="F138" s="15"/>
      <c r="G138" s="15"/>
      <c r="H138" s="15"/>
      <c r="I138" s="16" t="str">
        <f aca="false">IF(A138="","",IF(F138="Dialog","Dialog user on RFC: sensitive (W06)",IF(ISNUMBER(SEARCH("SAP_ALL",G138)),"SAP_ALL on RFC user: sensitive (W06)","OK")))</f>
        <v/>
      </c>
      <c r="J138" s="15"/>
    </row>
    <row r="139" customFormat="false" ht="15" hidden="false" customHeight="false" outlineLevel="0" collapsed="false">
      <c r="A139" s="15"/>
      <c r="B139" s="15"/>
      <c r="C139" s="16" t="str">
        <f aca="false">IFERROR(INDEX(Interface_Register!$B$5:$B$204,MATCH(B139,Interface_Register!$A$5:$A$204,0)),"")</f>
        <v/>
      </c>
      <c r="D139" s="15"/>
      <c r="E139" s="15"/>
      <c r="F139" s="15"/>
      <c r="G139" s="15"/>
      <c r="H139" s="15"/>
      <c r="I139" s="16" t="str">
        <f aca="false">IF(A139="","",IF(F139="Dialog","Dialog user on RFC: sensitive (W06)",IF(ISNUMBER(SEARCH("SAP_ALL",G139)),"SAP_ALL on RFC user: sensitive (W06)","OK")))</f>
        <v/>
      </c>
      <c r="J139" s="15"/>
    </row>
    <row r="140" customFormat="false" ht="15" hidden="false" customHeight="false" outlineLevel="0" collapsed="false">
      <c r="A140" s="15"/>
      <c r="B140" s="15"/>
      <c r="C140" s="16" t="str">
        <f aca="false">IFERROR(INDEX(Interface_Register!$B$5:$B$204,MATCH(B140,Interface_Register!$A$5:$A$204,0)),"")</f>
        <v/>
      </c>
      <c r="D140" s="15"/>
      <c r="E140" s="15"/>
      <c r="F140" s="15"/>
      <c r="G140" s="15"/>
      <c r="H140" s="15"/>
      <c r="I140" s="16" t="str">
        <f aca="false">IF(A140="","",IF(F140="Dialog","Dialog user on RFC: sensitive (W06)",IF(ISNUMBER(SEARCH("SAP_ALL",G140)),"SAP_ALL on RFC user: sensitive (W06)","OK")))</f>
        <v/>
      </c>
      <c r="J140" s="15"/>
    </row>
    <row r="141" customFormat="false" ht="15" hidden="false" customHeight="false" outlineLevel="0" collapsed="false">
      <c r="A141" s="15"/>
      <c r="B141" s="15"/>
      <c r="C141" s="16" t="str">
        <f aca="false">IFERROR(INDEX(Interface_Register!$B$5:$B$204,MATCH(B141,Interface_Register!$A$5:$A$204,0)),"")</f>
        <v/>
      </c>
      <c r="D141" s="15"/>
      <c r="E141" s="15"/>
      <c r="F141" s="15"/>
      <c r="G141" s="15"/>
      <c r="H141" s="15"/>
      <c r="I141" s="16" t="str">
        <f aca="false">IF(A141="","",IF(F141="Dialog","Dialog user on RFC: sensitive (W06)",IF(ISNUMBER(SEARCH("SAP_ALL",G141)),"SAP_ALL on RFC user: sensitive (W06)","OK")))</f>
        <v/>
      </c>
      <c r="J141" s="15"/>
    </row>
    <row r="142" customFormat="false" ht="15" hidden="false" customHeight="false" outlineLevel="0" collapsed="false">
      <c r="A142" s="15"/>
      <c r="B142" s="15"/>
      <c r="C142" s="16" t="str">
        <f aca="false">IFERROR(INDEX(Interface_Register!$B$5:$B$204,MATCH(B142,Interface_Register!$A$5:$A$204,0)),"")</f>
        <v/>
      </c>
      <c r="D142" s="15"/>
      <c r="E142" s="15"/>
      <c r="F142" s="15"/>
      <c r="G142" s="15"/>
      <c r="H142" s="15"/>
      <c r="I142" s="16" t="str">
        <f aca="false">IF(A142="","",IF(F142="Dialog","Dialog user on RFC: sensitive (W06)",IF(ISNUMBER(SEARCH("SAP_ALL",G142)),"SAP_ALL on RFC user: sensitive (W06)","OK")))</f>
        <v/>
      </c>
      <c r="J142" s="15"/>
    </row>
    <row r="143" customFormat="false" ht="15" hidden="false" customHeight="false" outlineLevel="0" collapsed="false">
      <c r="A143" s="15"/>
      <c r="B143" s="15"/>
      <c r="C143" s="16" t="str">
        <f aca="false">IFERROR(INDEX(Interface_Register!$B$5:$B$204,MATCH(B143,Interface_Register!$A$5:$A$204,0)),"")</f>
        <v/>
      </c>
      <c r="D143" s="15"/>
      <c r="E143" s="15"/>
      <c r="F143" s="15"/>
      <c r="G143" s="15"/>
      <c r="H143" s="15"/>
      <c r="I143" s="16" t="str">
        <f aca="false">IF(A143="","",IF(F143="Dialog","Dialog user on RFC: sensitive (W06)",IF(ISNUMBER(SEARCH("SAP_ALL",G143)),"SAP_ALL on RFC user: sensitive (W06)","OK")))</f>
        <v/>
      </c>
      <c r="J143" s="15"/>
    </row>
    <row r="144" customFormat="false" ht="15" hidden="false" customHeight="false" outlineLevel="0" collapsed="false">
      <c r="A144" s="15"/>
      <c r="B144" s="15"/>
      <c r="C144" s="16" t="str">
        <f aca="false">IFERROR(INDEX(Interface_Register!$B$5:$B$204,MATCH(B144,Interface_Register!$A$5:$A$204,0)),"")</f>
        <v/>
      </c>
      <c r="D144" s="15"/>
      <c r="E144" s="15"/>
      <c r="F144" s="15"/>
      <c r="G144" s="15"/>
      <c r="H144" s="15"/>
      <c r="I144" s="16" t="str">
        <f aca="false">IF(A144="","",IF(F144="Dialog","Dialog user on RFC: sensitive (W06)",IF(ISNUMBER(SEARCH("SAP_ALL",G144)),"SAP_ALL on RFC user: sensitive (W06)","OK")))</f>
        <v/>
      </c>
      <c r="J144" s="15"/>
    </row>
    <row r="145" customFormat="false" ht="15" hidden="false" customHeight="false" outlineLevel="0" collapsed="false">
      <c r="A145" s="15"/>
      <c r="B145" s="15"/>
      <c r="C145" s="16" t="str">
        <f aca="false">IFERROR(INDEX(Interface_Register!$B$5:$B$204,MATCH(B145,Interface_Register!$A$5:$A$204,0)),"")</f>
        <v/>
      </c>
      <c r="D145" s="15"/>
      <c r="E145" s="15"/>
      <c r="F145" s="15"/>
      <c r="G145" s="15"/>
      <c r="H145" s="15"/>
      <c r="I145" s="16" t="str">
        <f aca="false">IF(A145="","",IF(F145="Dialog","Dialog user on RFC: sensitive (W06)",IF(ISNUMBER(SEARCH("SAP_ALL",G145)),"SAP_ALL on RFC user: sensitive (W06)","OK")))</f>
        <v/>
      </c>
      <c r="J145" s="15"/>
    </row>
    <row r="146" customFormat="false" ht="15" hidden="false" customHeight="false" outlineLevel="0" collapsed="false">
      <c r="A146" s="15"/>
      <c r="B146" s="15"/>
      <c r="C146" s="16" t="str">
        <f aca="false">IFERROR(INDEX(Interface_Register!$B$5:$B$204,MATCH(B146,Interface_Register!$A$5:$A$204,0)),"")</f>
        <v/>
      </c>
      <c r="D146" s="15"/>
      <c r="E146" s="15"/>
      <c r="F146" s="15"/>
      <c r="G146" s="15"/>
      <c r="H146" s="15"/>
      <c r="I146" s="16" t="str">
        <f aca="false">IF(A146="","",IF(F146="Dialog","Dialog user on RFC: sensitive (W06)",IF(ISNUMBER(SEARCH("SAP_ALL",G146)),"SAP_ALL on RFC user: sensitive (W06)","OK")))</f>
        <v/>
      </c>
      <c r="J146" s="15"/>
    </row>
    <row r="147" customFormat="false" ht="15" hidden="false" customHeight="false" outlineLevel="0" collapsed="false">
      <c r="A147" s="15"/>
      <c r="B147" s="15"/>
      <c r="C147" s="16" t="str">
        <f aca="false">IFERROR(INDEX(Interface_Register!$B$5:$B$204,MATCH(B147,Interface_Register!$A$5:$A$204,0)),"")</f>
        <v/>
      </c>
      <c r="D147" s="15"/>
      <c r="E147" s="15"/>
      <c r="F147" s="15"/>
      <c r="G147" s="15"/>
      <c r="H147" s="15"/>
      <c r="I147" s="16" t="str">
        <f aca="false">IF(A147="","",IF(F147="Dialog","Dialog user on RFC: sensitive (W06)",IF(ISNUMBER(SEARCH("SAP_ALL",G147)),"SAP_ALL on RFC user: sensitive (W06)","OK")))</f>
        <v/>
      </c>
      <c r="J147" s="15"/>
    </row>
    <row r="148" customFormat="false" ht="15" hidden="false" customHeight="false" outlineLevel="0" collapsed="false">
      <c r="A148" s="15"/>
      <c r="B148" s="15"/>
      <c r="C148" s="16" t="str">
        <f aca="false">IFERROR(INDEX(Interface_Register!$B$5:$B$204,MATCH(B148,Interface_Register!$A$5:$A$204,0)),"")</f>
        <v/>
      </c>
      <c r="D148" s="15"/>
      <c r="E148" s="15"/>
      <c r="F148" s="15"/>
      <c r="G148" s="15"/>
      <c r="H148" s="15"/>
      <c r="I148" s="16" t="str">
        <f aca="false">IF(A148="","",IF(F148="Dialog","Dialog user on RFC: sensitive (W06)",IF(ISNUMBER(SEARCH("SAP_ALL",G148)),"SAP_ALL on RFC user: sensitive (W06)","OK")))</f>
        <v/>
      </c>
      <c r="J148" s="15"/>
    </row>
    <row r="149" customFormat="false" ht="15" hidden="false" customHeight="false" outlineLevel="0" collapsed="false">
      <c r="A149" s="15"/>
      <c r="B149" s="15"/>
      <c r="C149" s="16" t="str">
        <f aca="false">IFERROR(INDEX(Interface_Register!$B$5:$B$204,MATCH(B149,Interface_Register!$A$5:$A$204,0)),"")</f>
        <v/>
      </c>
      <c r="D149" s="15"/>
      <c r="E149" s="15"/>
      <c r="F149" s="15"/>
      <c r="G149" s="15"/>
      <c r="H149" s="15"/>
      <c r="I149" s="16" t="str">
        <f aca="false">IF(A149="","",IF(F149="Dialog","Dialog user on RFC: sensitive (W06)",IF(ISNUMBER(SEARCH("SAP_ALL",G149)),"SAP_ALL on RFC user: sensitive (W06)","OK")))</f>
        <v/>
      </c>
      <c r="J149" s="15"/>
    </row>
    <row r="150" customFormat="false" ht="15" hidden="false" customHeight="false" outlineLevel="0" collapsed="false">
      <c r="A150" s="15"/>
      <c r="B150" s="15"/>
      <c r="C150" s="16" t="str">
        <f aca="false">IFERROR(INDEX(Interface_Register!$B$5:$B$204,MATCH(B150,Interface_Register!$A$5:$A$204,0)),"")</f>
        <v/>
      </c>
      <c r="D150" s="15"/>
      <c r="E150" s="15"/>
      <c r="F150" s="15"/>
      <c r="G150" s="15"/>
      <c r="H150" s="15"/>
      <c r="I150" s="16" t="str">
        <f aca="false">IF(A150="","",IF(F150="Dialog","Dialog user on RFC: sensitive (W06)",IF(ISNUMBER(SEARCH("SAP_ALL",G150)),"SAP_ALL on RFC user: sensitive (W06)","OK")))</f>
        <v/>
      </c>
      <c r="J150" s="15"/>
    </row>
    <row r="151" customFormat="false" ht="15" hidden="false" customHeight="false" outlineLevel="0" collapsed="false">
      <c r="A151" s="15"/>
      <c r="B151" s="15"/>
      <c r="C151" s="16" t="str">
        <f aca="false">IFERROR(INDEX(Interface_Register!$B$5:$B$204,MATCH(B151,Interface_Register!$A$5:$A$204,0)),"")</f>
        <v/>
      </c>
      <c r="D151" s="15"/>
      <c r="E151" s="15"/>
      <c r="F151" s="15"/>
      <c r="G151" s="15"/>
      <c r="H151" s="15"/>
      <c r="I151" s="16" t="str">
        <f aca="false">IF(A151="","",IF(F151="Dialog","Dialog user on RFC: sensitive (W06)",IF(ISNUMBER(SEARCH("SAP_ALL",G151)),"SAP_ALL on RFC user: sensitive (W06)","OK")))</f>
        <v/>
      </c>
      <c r="J151" s="15"/>
    </row>
    <row r="152" customFormat="false" ht="15" hidden="false" customHeight="false" outlineLevel="0" collapsed="false">
      <c r="A152" s="15"/>
      <c r="B152" s="15"/>
      <c r="C152" s="16" t="str">
        <f aca="false">IFERROR(INDEX(Interface_Register!$B$5:$B$204,MATCH(B152,Interface_Register!$A$5:$A$204,0)),"")</f>
        <v/>
      </c>
      <c r="D152" s="15"/>
      <c r="E152" s="15"/>
      <c r="F152" s="15"/>
      <c r="G152" s="15"/>
      <c r="H152" s="15"/>
      <c r="I152" s="16" t="str">
        <f aca="false">IF(A152="","",IF(F152="Dialog","Dialog user on RFC: sensitive (W06)",IF(ISNUMBER(SEARCH("SAP_ALL",G152)),"SAP_ALL on RFC user: sensitive (W06)","OK")))</f>
        <v/>
      </c>
      <c r="J152" s="15"/>
    </row>
    <row r="153" customFormat="false" ht="15" hidden="false" customHeight="false" outlineLevel="0" collapsed="false">
      <c r="A153" s="15"/>
      <c r="B153" s="15"/>
      <c r="C153" s="16" t="str">
        <f aca="false">IFERROR(INDEX(Interface_Register!$B$5:$B$204,MATCH(B153,Interface_Register!$A$5:$A$204,0)),"")</f>
        <v/>
      </c>
      <c r="D153" s="15"/>
      <c r="E153" s="15"/>
      <c r="F153" s="15"/>
      <c r="G153" s="15"/>
      <c r="H153" s="15"/>
      <c r="I153" s="16" t="str">
        <f aca="false">IF(A153="","",IF(F153="Dialog","Dialog user on RFC: sensitive (W06)",IF(ISNUMBER(SEARCH("SAP_ALL",G153)),"SAP_ALL on RFC user: sensitive (W06)","OK")))</f>
        <v/>
      </c>
      <c r="J153" s="15"/>
    </row>
    <row r="154" customFormat="false" ht="15" hidden="false" customHeight="false" outlineLevel="0" collapsed="false">
      <c r="A154" s="15"/>
      <c r="B154" s="15"/>
      <c r="C154" s="16" t="str">
        <f aca="false">IFERROR(INDEX(Interface_Register!$B$5:$B$204,MATCH(B154,Interface_Register!$A$5:$A$204,0)),"")</f>
        <v/>
      </c>
      <c r="D154" s="15"/>
      <c r="E154" s="15"/>
      <c r="F154" s="15"/>
      <c r="G154" s="15"/>
      <c r="H154" s="15"/>
      <c r="I154" s="16" t="str">
        <f aca="false">IF(A154="","",IF(F154="Dialog","Dialog user on RFC: sensitive (W06)",IF(ISNUMBER(SEARCH("SAP_ALL",G154)),"SAP_ALL on RFC user: sensitive (W06)","OK")))</f>
        <v/>
      </c>
      <c r="J154" s="15"/>
    </row>
    <row r="155" customFormat="false" ht="15" hidden="false" customHeight="false" outlineLevel="0" collapsed="false">
      <c r="A155" s="15"/>
      <c r="B155" s="15"/>
      <c r="C155" s="16" t="str">
        <f aca="false">IFERROR(INDEX(Interface_Register!$B$5:$B$204,MATCH(B155,Interface_Register!$A$5:$A$204,0)),"")</f>
        <v/>
      </c>
      <c r="D155" s="15"/>
      <c r="E155" s="15"/>
      <c r="F155" s="15"/>
      <c r="G155" s="15"/>
      <c r="H155" s="15"/>
      <c r="I155" s="16" t="str">
        <f aca="false">IF(A155="","",IF(F155="Dialog","Dialog user on RFC: sensitive (W06)",IF(ISNUMBER(SEARCH("SAP_ALL",G155)),"SAP_ALL on RFC user: sensitive (W06)","OK")))</f>
        <v/>
      </c>
      <c r="J155" s="15"/>
    </row>
    <row r="156" customFormat="false" ht="15" hidden="false" customHeight="false" outlineLevel="0" collapsed="false">
      <c r="A156" s="15"/>
      <c r="B156" s="15"/>
      <c r="C156" s="16" t="str">
        <f aca="false">IFERROR(INDEX(Interface_Register!$B$5:$B$204,MATCH(B156,Interface_Register!$A$5:$A$204,0)),"")</f>
        <v/>
      </c>
      <c r="D156" s="15"/>
      <c r="E156" s="15"/>
      <c r="F156" s="15"/>
      <c r="G156" s="15"/>
      <c r="H156" s="15"/>
      <c r="I156" s="16" t="str">
        <f aca="false">IF(A156="","",IF(F156="Dialog","Dialog user on RFC: sensitive (W06)",IF(ISNUMBER(SEARCH("SAP_ALL",G156)),"SAP_ALL on RFC user: sensitive (W06)","OK")))</f>
        <v/>
      </c>
      <c r="J156" s="15"/>
    </row>
    <row r="157" customFormat="false" ht="15" hidden="false" customHeight="false" outlineLevel="0" collapsed="false">
      <c r="A157" s="15"/>
      <c r="B157" s="15"/>
      <c r="C157" s="16" t="str">
        <f aca="false">IFERROR(INDEX(Interface_Register!$B$5:$B$204,MATCH(B157,Interface_Register!$A$5:$A$204,0)),"")</f>
        <v/>
      </c>
      <c r="D157" s="15"/>
      <c r="E157" s="15"/>
      <c r="F157" s="15"/>
      <c r="G157" s="15"/>
      <c r="H157" s="15"/>
      <c r="I157" s="16" t="str">
        <f aca="false">IF(A157="","",IF(F157="Dialog","Dialog user on RFC: sensitive (W06)",IF(ISNUMBER(SEARCH("SAP_ALL",G157)),"SAP_ALL on RFC user: sensitive (W06)","OK")))</f>
        <v/>
      </c>
      <c r="J157" s="15"/>
    </row>
    <row r="158" customFormat="false" ht="15" hidden="false" customHeight="false" outlineLevel="0" collapsed="false">
      <c r="A158" s="15"/>
      <c r="B158" s="15"/>
      <c r="C158" s="16" t="str">
        <f aca="false">IFERROR(INDEX(Interface_Register!$B$5:$B$204,MATCH(B158,Interface_Register!$A$5:$A$204,0)),"")</f>
        <v/>
      </c>
      <c r="D158" s="15"/>
      <c r="E158" s="15"/>
      <c r="F158" s="15"/>
      <c r="G158" s="15"/>
      <c r="H158" s="15"/>
      <c r="I158" s="16" t="str">
        <f aca="false">IF(A158="","",IF(F158="Dialog","Dialog user on RFC: sensitive (W06)",IF(ISNUMBER(SEARCH("SAP_ALL",G158)),"SAP_ALL on RFC user: sensitive (W06)","OK")))</f>
        <v/>
      </c>
      <c r="J158" s="15"/>
    </row>
    <row r="159" customFormat="false" ht="15" hidden="false" customHeight="false" outlineLevel="0" collapsed="false">
      <c r="A159" s="15"/>
      <c r="B159" s="15"/>
      <c r="C159" s="16" t="str">
        <f aca="false">IFERROR(INDEX(Interface_Register!$B$5:$B$204,MATCH(B159,Interface_Register!$A$5:$A$204,0)),"")</f>
        <v/>
      </c>
      <c r="D159" s="15"/>
      <c r="E159" s="15"/>
      <c r="F159" s="15"/>
      <c r="G159" s="15"/>
      <c r="H159" s="15"/>
      <c r="I159" s="16" t="str">
        <f aca="false">IF(A159="","",IF(F159="Dialog","Dialog user on RFC: sensitive (W06)",IF(ISNUMBER(SEARCH("SAP_ALL",G159)),"SAP_ALL on RFC user: sensitive (W06)","OK")))</f>
        <v/>
      </c>
      <c r="J159" s="15"/>
    </row>
    <row r="160" customFormat="false" ht="15" hidden="false" customHeight="false" outlineLevel="0" collapsed="false">
      <c r="A160" s="15"/>
      <c r="B160" s="15"/>
      <c r="C160" s="16" t="str">
        <f aca="false">IFERROR(INDEX(Interface_Register!$B$5:$B$204,MATCH(B160,Interface_Register!$A$5:$A$204,0)),"")</f>
        <v/>
      </c>
      <c r="D160" s="15"/>
      <c r="E160" s="15"/>
      <c r="F160" s="15"/>
      <c r="G160" s="15"/>
      <c r="H160" s="15"/>
      <c r="I160" s="16" t="str">
        <f aca="false">IF(A160="","",IF(F160="Dialog","Dialog user on RFC: sensitive (W06)",IF(ISNUMBER(SEARCH("SAP_ALL",G160)),"SAP_ALL on RFC user: sensitive (W06)","OK")))</f>
        <v/>
      </c>
      <c r="J160" s="15"/>
    </row>
    <row r="161" customFormat="false" ht="15" hidden="false" customHeight="false" outlineLevel="0" collapsed="false">
      <c r="A161" s="15"/>
      <c r="B161" s="15"/>
      <c r="C161" s="16" t="str">
        <f aca="false">IFERROR(INDEX(Interface_Register!$B$5:$B$204,MATCH(B161,Interface_Register!$A$5:$A$204,0)),"")</f>
        <v/>
      </c>
      <c r="D161" s="15"/>
      <c r="E161" s="15"/>
      <c r="F161" s="15"/>
      <c r="G161" s="15"/>
      <c r="H161" s="15"/>
      <c r="I161" s="16" t="str">
        <f aca="false">IF(A161="","",IF(F161="Dialog","Dialog user on RFC: sensitive (W06)",IF(ISNUMBER(SEARCH("SAP_ALL",G161)),"SAP_ALL on RFC user: sensitive (W06)","OK")))</f>
        <v/>
      </c>
      <c r="J161" s="15"/>
    </row>
    <row r="162" customFormat="false" ht="15" hidden="false" customHeight="false" outlineLevel="0" collapsed="false">
      <c r="A162" s="15"/>
      <c r="B162" s="15"/>
      <c r="C162" s="16" t="str">
        <f aca="false">IFERROR(INDEX(Interface_Register!$B$5:$B$204,MATCH(B162,Interface_Register!$A$5:$A$204,0)),"")</f>
        <v/>
      </c>
      <c r="D162" s="15"/>
      <c r="E162" s="15"/>
      <c r="F162" s="15"/>
      <c r="G162" s="15"/>
      <c r="H162" s="15"/>
      <c r="I162" s="16" t="str">
        <f aca="false">IF(A162="","",IF(F162="Dialog","Dialog user on RFC: sensitive (W06)",IF(ISNUMBER(SEARCH("SAP_ALL",G162)),"SAP_ALL on RFC user: sensitive (W06)","OK")))</f>
        <v/>
      </c>
      <c r="J162" s="15"/>
    </row>
    <row r="163" customFormat="false" ht="15" hidden="false" customHeight="false" outlineLevel="0" collapsed="false">
      <c r="A163" s="15"/>
      <c r="B163" s="15"/>
      <c r="C163" s="16" t="str">
        <f aca="false">IFERROR(INDEX(Interface_Register!$B$5:$B$204,MATCH(B163,Interface_Register!$A$5:$A$204,0)),"")</f>
        <v/>
      </c>
      <c r="D163" s="15"/>
      <c r="E163" s="15"/>
      <c r="F163" s="15"/>
      <c r="G163" s="15"/>
      <c r="H163" s="15"/>
      <c r="I163" s="16" t="str">
        <f aca="false">IF(A163="","",IF(F163="Dialog","Dialog user on RFC: sensitive (W06)",IF(ISNUMBER(SEARCH("SAP_ALL",G163)),"SAP_ALL on RFC user: sensitive (W06)","OK")))</f>
        <v/>
      </c>
      <c r="J163" s="15"/>
    </row>
    <row r="164" customFormat="false" ht="15" hidden="false" customHeight="false" outlineLevel="0" collapsed="false">
      <c r="A164" s="15"/>
      <c r="B164" s="15"/>
      <c r="C164" s="16" t="str">
        <f aca="false">IFERROR(INDEX(Interface_Register!$B$5:$B$204,MATCH(B164,Interface_Register!$A$5:$A$204,0)),"")</f>
        <v/>
      </c>
      <c r="D164" s="15"/>
      <c r="E164" s="15"/>
      <c r="F164" s="15"/>
      <c r="G164" s="15"/>
      <c r="H164" s="15"/>
      <c r="I164" s="16" t="str">
        <f aca="false">IF(A164="","",IF(F164="Dialog","Dialog user on RFC: sensitive (W06)",IF(ISNUMBER(SEARCH("SAP_ALL",G164)),"SAP_ALL on RFC user: sensitive (W06)","OK")))</f>
        <v/>
      </c>
      <c r="J164" s="15"/>
    </row>
    <row r="165" customFormat="false" ht="15" hidden="false" customHeight="false" outlineLevel="0" collapsed="false">
      <c r="A165" s="15"/>
      <c r="B165" s="15"/>
      <c r="C165" s="16" t="str">
        <f aca="false">IFERROR(INDEX(Interface_Register!$B$5:$B$204,MATCH(B165,Interface_Register!$A$5:$A$204,0)),"")</f>
        <v/>
      </c>
      <c r="D165" s="15"/>
      <c r="E165" s="15"/>
      <c r="F165" s="15"/>
      <c r="G165" s="15"/>
      <c r="H165" s="15"/>
      <c r="I165" s="16" t="str">
        <f aca="false">IF(A165="","",IF(F165="Dialog","Dialog user on RFC: sensitive (W06)",IF(ISNUMBER(SEARCH("SAP_ALL",G165)),"SAP_ALL on RFC user: sensitive (W06)","OK")))</f>
        <v/>
      </c>
      <c r="J165" s="15"/>
    </row>
    <row r="166" customFormat="false" ht="15" hidden="false" customHeight="false" outlineLevel="0" collapsed="false">
      <c r="A166" s="15"/>
      <c r="B166" s="15"/>
      <c r="C166" s="16" t="str">
        <f aca="false">IFERROR(INDEX(Interface_Register!$B$5:$B$204,MATCH(B166,Interface_Register!$A$5:$A$204,0)),"")</f>
        <v/>
      </c>
      <c r="D166" s="15"/>
      <c r="E166" s="15"/>
      <c r="F166" s="15"/>
      <c r="G166" s="15"/>
      <c r="H166" s="15"/>
      <c r="I166" s="16" t="str">
        <f aca="false">IF(A166="","",IF(F166="Dialog","Dialog user on RFC: sensitive (W06)",IF(ISNUMBER(SEARCH("SAP_ALL",G166)),"SAP_ALL on RFC user: sensitive (W06)","OK")))</f>
        <v/>
      </c>
      <c r="J166" s="15"/>
    </row>
    <row r="167" customFormat="false" ht="15" hidden="false" customHeight="false" outlineLevel="0" collapsed="false">
      <c r="A167" s="15"/>
      <c r="B167" s="15"/>
      <c r="C167" s="16" t="str">
        <f aca="false">IFERROR(INDEX(Interface_Register!$B$5:$B$204,MATCH(B167,Interface_Register!$A$5:$A$204,0)),"")</f>
        <v/>
      </c>
      <c r="D167" s="15"/>
      <c r="E167" s="15"/>
      <c r="F167" s="15"/>
      <c r="G167" s="15"/>
      <c r="H167" s="15"/>
      <c r="I167" s="16" t="str">
        <f aca="false">IF(A167="","",IF(F167="Dialog","Dialog user on RFC: sensitive (W06)",IF(ISNUMBER(SEARCH("SAP_ALL",G167)),"SAP_ALL on RFC user: sensitive (W06)","OK")))</f>
        <v/>
      </c>
      <c r="J167" s="15"/>
    </row>
    <row r="168" customFormat="false" ht="15" hidden="false" customHeight="false" outlineLevel="0" collapsed="false">
      <c r="A168" s="15"/>
      <c r="B168" s="15"/>
      <c r="C168" s="16" t="str">
        <f aca="false">IFERROR(INDEX(Interface_Register!$B$5:$B$204,MATCH(B168,Interface_Register!$A$5:$A$204,0)),"")</f>
        <v/>
      </c>
      <c r="D168" s="15"/>
      <c r="E168" s="15"/>
      <c r="F168" s="15"/>
      <c r="G168" s="15"/>
      <c r="H168" s="15"/>
      <c r="I168" s="16" t="str">
        <f aca="false">IF(A168="","",IF(F168="Dialog","Dialog user on RFC: sensitive (W06)",IF(ISNUMBER(SEARCH("SAP_ALL",G168)),"SAP_ALL on RFC user: sensitive (W06)","OK")))</f>
        <v/>
      </c>
      <c r="J168" s="15"/>
    </row>
    <row r="169" customFormat="false" ht="15" hidden="false" customHeight="false" outlineLevel="0" collapsed="false">
      <c r="A169" s="15"/>
      <c r="B169" s="15"/>
      <c r="C169" s="16" t="str">
        <f aca="false">IFERROR(INDEX(Interface_Register!$B$5:$B$204,MATCH(B169,Interface_Register!$A$5:$A$204,0)),"")</f>
        <v/>
      </c>
      <c r="D169" s="15"/>
      <c r="E169" s="15"/>
      <c r="F169" s="15"/>
      <c r="G169" s="15"/>
      <c r="H169" s="15"/>
      <c r="I169" s="16" t="str">
        <f aca="false">IF(A169="","",IF(F169="Dialog","Dialog user on RFC: sensitive (W06)",IF(ISNUMBER(SEARCH("SAP_ALL",G169)),"SAP_ALL on RFC user: sensitive (W06)","OK")))</f>
        <v/>
      </c>
      <c r="J169" s="15"/>
    </row>
    <row r="170" customFormat="false" ht="15" hidden="false" customHeight="false" outlineLevel="0" collapsed="false">
      <c r="A170" s="15"/>
      <c r="B170" s="15"/>
      <c r="C170" s="16" t="str">
        <f aca="false">IFERROR(INDEX(Interface_Register!$B$5:$B$204,MATCH(B170,Interface_Register!$A$5:$A$204,0)),"")</f>
        <v/>
      </c>
      <c r="D170" s="15"/>
      <c r="E170" s="15"/>
      <c r="F170" s="15"/>
      <c r="G170" s="15"/>
      <c r="H170" s="15"/>
      <c r="I170" s="16" t="str">
        <f aca="false">IF(A170="","",IF(F170="Dialog","Dialog user on RFC: sensitive (W06)",IF(ISNUMBER(SEARCH("SAP_ALL",G170)),"SAP_ALL on RFC user: sensitive (W06)","OK")))</f>
        <v/>
      </c>
      <c r="J170" s="15"/>
    </row>
    <row r="171" customFormat="false" ht="15" hidden="false" customHeight="false" outlineLevel="0" collapsed="false">
      <c r="A171" s="15"/>
      <c r="B171" s="15"/>
      <c r="C171" s="16" t="str">
        <f aca="false">IFERROR(INDEX(Interface_Register!$B$5:$B$204,MATCH(B171,Interface_Register!$A$5:$A$204,0)),"")</f>
        <v/>
      </c>
      <c r="D171" s="15"/>
      <c r="E171" s="15"/>
      <c r="F171" s="15"/>
      <c r="G171" s="15"/>
      <c r="H171" s="15"/>
      <c r="I171" s="16" t="str">
        <f aca="false">IF(A171="","",IF(F171="Dialog","Dialog user on RFC: sensitive (W06)",IF(ISNUMBER(SEARCH("SAP_ALL",G171)),"SAP_ALL on RFC user: sensitive (W06)","OK")))</f>
        <v/>
      </c>
      <c r="J171" s="15"/>
    </row>
    <row r="172" customFormat="false" ht="15" hidden="false" customHeight="false" outlineLevel="0" collapsed="false">
      <c r="A172" s="15"/>
      <c r="B172" s="15"/>
      <c r="C172" s="16" t="str">
        <f aca="false">IFERROR(INDEX(Interface_Register!$B$5:$B$204,MATCH(B172,Interface_Register!$A$5:$A$204,0)),"")</f>
        <v/>
      </c>
      <c r="D172" s="15"/>
      <c r="E172" s="15"/>
      <c r="F172" s="15"/>
      <c r="G172" s="15"/>
      <c r="H172" s="15"/>
      <c r="I172" s="16" t="str">
        <f aca="false">IF(A172="","",IF(F172="Dialog","Dialog user on RFC: sensitive (W06)",IF(ISNUMBER(SEARCH("SAP_ALL",G172)),"SAP_ALL on RFC user: sensitive (W06)","OK")))</f>
        <v/>
      </c>
      <c r="J172" s="15"/>
    </row>
    <row r="173" customFormat="false" ht="15" hidden="false" customHeight="false" outlineLevel="0" collapsed="false">
      <c r="A173" s="15"/>
      <c r="B173" s="15"/>
      <c r="C173" s="16" t="str">
        <f aca="false">IFERROR(INDEX(Interface_Register!$B$5:$B$204,MATCH(B173,Interface_Register!$A$5:$A$204,0)),"")</f>
        <v/>
      </c>
      <c r="D173" s="15"/>
      <c r="E173" s="15"/>
      <c r="F173" s="15"/>
      <c r="G173" s="15"/>
      <c r="H173" s="15"/>
      <c r="I173" s="16" t="str">
        <f aca="false">IF(A173="","",IF(F173="Dialog","Dialog user on RFC: sensitive (W06)",IF(ISNUMBER(SEARCH("SAP_ALL",G173)),"SAP_ALL on RFC user: sensitive (W06)","OK")))</f>
        <v/>
      </c>
      <c r="J173" s="15"/>
    </row>
    <row r="174" customFormat="false" ht="15" hidden="false" customHeight="false" outlineLevel="0" collapsed="false">
      <c r="A174" s="15"/>
      <c r="B174" s="15"/>
      <c r="C174" s="16" t="str">
        <f aca="false">IFERROR(INDEX(Interface_Register!$B$5:$B$204,MATCH(B174,Interface_Register!$A$5:$A$204,0)),"")</f>
        <v/>
      </c>
      <c r="D174" s="15"/>
      <c r="E174" s="15"/>
      <c r="F174" s="15"/>
      <c r="G174" s="15"/>
      <c r="H174" s="15"/>
      <c r="I174" s="16" t="str">
        <f aca="false">IF(A174="","",IF(F174="Dialog","Dialog user on RFC: sensitive (W06)",IF(ISNUMBER(SEARCH("SAP_ALL",G174)),"SAP_ALL on RFC user: sensitive (W06)","OK")))</f>
        <v/>
      </c>
      <c r="J174" s="15"/>
    </row>
    <row r="175" customFormat="false" ht="15" hidden="false" customHeight="false" outlineLevel="0" collapsed="false">
      <c r="A175" s="15"/>
      <c r="B175" s="15"/>
      <c r="C175" s="16" t="str">
        <f aca="false">IFERROR(INDEX(Interface_Register!$B$5:$B$204,MATCH(B175,Interface_Register!$A$5:$A$204,0)),"")</f>
        <v/>
      </c>
      <c r="D175" s="15"/>
      <c r="E175" s="15"/>
      <c r="F175" s="15"/>
      <c r="G175" s="15"/>
      <c r="H175" s="15"/>
      <c r="I175" s="16" t="str">
        <f aca="false">IF(A175="","",IF(F175="Dialog","Dialog user on RFC: sensitive (W06)",IF(ISNUMBER(SEARCH("SAP_ALL",G175)),"SAP_ALL on RFC user: sensitive (W06)","OK")))</f>
        <v/>
      </c>
      <c r="J175" s="15"/>
    </row>
    <row r="176" customFormat="false" ht="15" hidden="false" customHeight="false" outlineLevel="0" collapsed="false">
      <c r="A176" s="15"/>
      <c r="B176" s="15"/>
      <c r="C176" s="16" t="str">
        <f aca="false">IFERROR(INDEX(Interface_Register!$B$5:$B$204,MATCH(B176,Interface_Register!$A$5:$A$204,0)),"")</f>
        <v/>
      </c>
      <c r="D176" s="15"/>
      <c r="E176" s="15"/>
      <c r="F176" s="15"/>
      <c r="G176" s="15"/>
      <c r="H176" s="15"/>
      <c r="I176" s="16" t="str">
        <f aca="false">IF(A176="","",IF(F176="Dialog","Dialog user on RFC: sensitive (W06)",IF(ISNUMBER(SEARCH("SAP_ALL",G176)),"SAP_ALL on RFC user: sensitive (W06)","OK")))</f>
        <v/>
      </c>
      <c r="J176" s="15"/>
    </row>
    <row r="177" customFormat="false" ht="15" hidden="false" customHeight="false" outlineLevel="0" collapsed="false">
      <c r="A177" s="15"/>
      <c r="B177" s="15"/>
      <c r="C177" s="16" t="str">
        <f aca="false">IFERROR(INDEX(Interface_Register!$B$5:$B$204,MATCH(B177,Interface_Register!$A$5:$A$204,0)),"")</f>
        <v/>
      </c>
      <c r="D177" s="15"/>
      <c r="E177" s="15"/>
      <c r="F177" s="15"/>
      <c r="G177" s="15"/>
      <c r="H177" s="15"/>
      <c r="I177" s="16" t="str">
        <f aca="false">IF(A177="","",IF(F177="Dialog","Dialog user on RFC: sensitive (W06)",IF(ISNUMBER(SEARCH("SAP_ALL",G177)),"SAP_ALL on RFC user: sensitive (W06)","OK")))</f>
        <v/>
      </c>
      <c r="J177" s="15"/>
    </row>
    <row r="178" customFormat="false" ht="15" hidden="false" customHeight="false" outlineLevel="0" collapsed="false">
      <c r="A178" s="15"/>
      <c r="B178" s="15"/>
      <c r="C178" s="16" t="str">
        <f aca="false">IFERROR(INDEX(Interface_Register!$B$5:$B$204,MATCH(B178,Interface_Register!$A$5:$A$204,0)),"")</f>
        <v/>
      </c>
      <c r="D178" s="15"/>
      <c r="E178" s="15"/>
      <c r="F178" s="15"/>
      <c r="G178" s="15"/>
      <c r="H178" s="15"/>
      <c r="I178" s="16" t="str">
        <f aca="false">IF(A178="","",IF(F178="Dialog","Dialog user on RFC: sensitive (W06)",IF(ISNUMBER(SEARCH("SAP_ALL",G178)),"SAP_ALL on RFC user: sensitive (W06)","OK")))</f>
        <v/>
      </c>
      <c r="J178" s="15"/>
    </row>
    <row r="179" customFormat="false" ht="15" hidden="false" customHeight="false" outlineLevel="0" collapsed="false">
      <c r="A179" s="15"/>
      <c r="B179" s="15"/>
      <c r="C179" s="16" t="str">
        <f aca="false">IFERROR(INDEX(Interface_Register!$B$5:$B$204,MATCH(B179,Interface_Register!$A$5:$A$204,0)),"")</f>
        <v/>
      </c>
      <c r="D179" s="15"/>
      <c r="E179" s="15"/>
      <c r="F179" s="15"/>
      <c r="G179" s="15"/>
      <c r="H179" s="15"/>
      <c r="I179" s="16" t="str">
        <f aca="false">IF(A179="","",IF(F179="Dialog","Dialog user on RFC: sensitive (W06)",IF(ISNUMBER(SEARCH("SAP_ALL",G179)),"SAP_ALL on RFC user: sensitive (W06)","OK")))</f>
        <v/>
      </c>
      <c r="J179" s="15"/>
    </row>
    <row r="180" customFormat="false" ht="15" hidden="false" customHeight="false" outlineLevel="0" collapsed="false">
      <c r="A180" s="15"/>
      <c r="B180" s="15"/>
      <c r="C180" s="16" t="str">
        <f aca="false">IFERROR(INDEX(Interface_Register!$B$5:$B$204,MATCH(B180,Interface_Register!$A$5:$A$204,0)),"")</f>
        <v/>
      </c>
      <c r="D180" s="15"/>
      <c r="E180" s="15"/>
      <c r="F180" s="15"/>
      <c r="G180" s="15"/>
      <c r="H180" s="15"/>
      <c r="I180" s="16" t="str">
        <f aca="false">IF(A180="","",IF(F180="Dialog","Dialog user on RFC: sensitive (W06)",IF(ISNUMBER(SEARCH("SAP_ALL",G180)),"SAP_ALL on RFC user: sensitive (W06)","OK")))</f>
        <v/>
      </c>
      <c r="J180" s="15"/>
    </row>
    <row r="181" customFormat="false" ht="15" hidden="false" customHeight="false" outlineLevel="0" collapsed="false">
      <c r="A181" s="15"/>
      <c r="B181" s="15"/>
      <c r="C181" s="16" t="str">
        <f aca="false">IFERROR(INDEX(Interface_Register!$B$5:$B$204,MATCH(B181,Interface_Register!$A$5:$A$204,0)),"")</f>
        <v/>
      </c>
      <c r="D181" s="15"/>
      <c r="E181" s="15"/>
      <c r="F181" s="15"/>
      <c r="G181" s="15"/>
      <c r="H181" s="15"/>
      <c r="I181" s="16" t="str">
        <f aca="false">IF(A181="","",IF(F181="Dialog","Dialog user on RFC: sensitive (W06)",IF(ISNUMBER(SEARCH("SAP_ALL",G181)),"SAP_ALL on RFC user: sensitive (W06)","OK")))</f>
        <v/>
      </c>
      <c r="J181" s="15"/>
    </row>
    <row r="182" customFormat="false" ht="15" hidden="false" customHeight="false" outlineLevel="0" collapsed="false">
      <c r="A182" s="15"/>
      <c r="B182" s="15"/>
      <c r="C182" s="16" t="str">
        <f aca="false">IFERROR(INDEX(Interface_Register!$B$5:$B$204,MATCH(B182,Interface_Register!$A$5:$A$204,0)),"")</f>
        <v/>
      </c>
      <c r="D182" s="15"/>
      <c r="E182" s="15"/>
      <c r="F182" s="15"/>
      <c r="G182" s="15"/>
      <c r="H182" s="15"/>
      <c r="I182" s="16" t="str">
        <f aca="false">IF(A182="","",IF(F182="Dialog","Dialog user on RFC: sensitive (W06)",IF(ISNUMBER(SEARCH("SAP_ALL",G182)),"SAP_ALL on RFC user: sensitive (W06)","OK")))</f>
        <v/>
      </c>
      <c r="J182" s="15"/>
    </row>
    <row r="183" customFormat="false" ht="15" hidden="false" customHeight="false" outlineLevel="0" collapsed="false">
      <c r="A183" s="15"/>
      <c r="B183" s="15"/>
      <c r="C183" s="16" t="str">
        <f aca="false">IFERROR(INDEX(Interface_Register!$B$5:$B$204,MATCH(B183,Interface_Register!$A$5:$A$204,0)),"")</f>
        <v/>
      </c>
      <c r="D183" s="15"/>
      <c r="E183" s="15"/>
      <c r="F183" s="15"/>
      <c r="G183" s="15"/>
      <c r="H183" s="15"/>
      <c r="I183" s="16" t="str">
        <f aca="false">IF(A183="","",IF(F183="Dialog","Dialog user on RFC: sensitive (W06)",IF(ISNUMBER(SEARCH("SAP_ALL",G183)),"SAP_ALL on RFC user: sensitive (W06)","OK")))</f>
        <v/>
      </c>
      <c r="J183" s="15"/>
    </row>
    <row r="184" customFormat="false" ht="15" hidden="false" customHeight="false" outlineLevel="0" collapsed="false">
      <c r="A184" s="15"/>
      <c r="B184" s="15"/>
      <c r="C184" s="16" t="str">
        <f aca="false">IFERROR(INDEX(Interface_Register!$B$5:$B$204,MATCH(B184,Interface_Register!$A$5:$A$204,0)),"")</f>
        <v/>
      </c>
      <c r="D184" s="15"/>
      <c r="E184" s="15"/>
      <c r="F184" s="15"/>
      <c r="G184" s="15"/>
      <c r="H184" s="15"/>
      <c r="I184" s="16" t="str">
        <f aca="false">IF(A184="","",IF(F184="Dialog","Dialog user on RFC: sensitive (W06)",IF(ISNUMBER(SEARCH("SAP_ALL",G184)),"SAP_ALL on RFC user: sensitive (W06)","OK")))</f>
        <v/>
      </c>
      <c r="J184" s="15"/>
    </row>
    <row r="185" customFormat="false" ht="15" hidden="false" customHeight="false" outlineLevel="0" collapsed="false">
      <c r="A185" s="15"/>
      <c r="B185" s="15"/>
      <c r="C185" s="16" t="str">
        <f aca="false">IFERROR(INDEX(Interface_Register!$B$5:$B$204,MATCH(B185,Interface_Register!$A$5:$A$204,0)),"")</f>
        <v/>
      </c>
      <c r="D185" s="15"/>
      <c r="E185" s="15"/>
      <c r="F185" s="15"/>
      <c r="G185" s="15"/>
      <c r="H185" s="15"/>
      <c r="I185" s="16" t="str">
        <f aca="false">IF(A185="","",IF(F185="Dialog","Dialog user on RFC: sensitive (W06)",IF(ISNUMBER(SEARCH("SAP_ALL",G185)),"SAP_ALL on RFC user: sensitive (W06)","OK")))</f>
        <v/>
      </c>
      <c r="J185" s="15"/>
    </row>
    <row r="186" customFormat="false" ht="15" hidden="false" customHeight="false" outlineLevel="0" collapsed="false">
      <c r="A186" s="15"/>
      <c r="B186" s="15"/>
      <c r="C186" s="16" t="str">
        <f aca="false">IFERROR(INDEX(Interface_Register!$B$5:$B$204,MATCH(B186,Interface_Register!$A$5:$A$204,0)),"")</f>
        <v/>
      </c>
      <c r="D186" s="15"/>
      <c r="E186" s="15"/>
      <c r="F186" s="15"/>
      <c r="G186" s="15"/>
      <c r="H186" s="15"/>
      <c r="I186" s="16" t="str">
        <f aca="false">IF(A186="","",IF(F186="Dialog","Dialog user on RFC: sensitive (W06)",IF(ISNUMBER(SEARCH("SAP_ALL",G186)),"SAP_ALL on RFC user: sensitive (W06)","OK")))</f>
        <v/>
      </c>
      <c r="J186" s="15"/>
    </row>
    <row r="187" customFormat="false" ht="15" hidden="false" customHeight="false" outlineLevel="0" collapsed="false">
      <c r="A187" s="15"/>
      <c r="B187" s="15"/>
      <c r="C187" s="16" t="str">
        <f aca="false">IFERROR(INDEX(Interface_Register!$B$5:$B$204,MATCH(B187,Interface_Register!$A$5:$A$204,0)),"")</f>
        <v/>
      </c>
      <c r="D187" s="15"/>
      <c r="E187" s="15"/>
      <c r="F187" s="15"/>
      <c r="G187" s="15"/>
      <c r="H187" s="15"/>
      <c r="I187" s="16" t="str">
        <f aca="false">IF(A187="","",IF(F187="Dialog","Dialog user on RFC: sensitive (W06)",IF(ISNUMBER(SEARCH("SAP_ALL",G187)),"SAP_ALL on RFC user: sensitive (W06)","OK")))</f>
        <v/>
      </c>
      <c r="J187" s="15"/>
    </row>
    <row r="188" customFormat="false" ht="15" hidden="false" customHeight="false" outlineLevel="0" collapsed="false">
      <c r="A188" s="15"/>
      <c r="B188" s="15"/>
      <c r="C188" s="16" t="str">
        <f aca="false">IFERROR(INDEX(Interface_Register!$B$5:$B$204,MATCH(B188,Interface_Register!$A$5:$A$204,0)),"")</f>
        <v/>
      </c>
      <c r="D188" s="15"/>
      <c r="E188" s="15"/>
      <c r="F188" s="15"/>
      <c r="G188" s="15"/>
      <c r="H188" s="15"/>
      <c r="I188" s="16" t="str">
        <f aca="false">IF(A188="","",IF(F188="Dialog","Dialog user on RFC: sensitive (W06)",IF(ISNUMBER(SEARCH("SAP_ALL",G188)),"SAP_ALL on RFC user: sensitive (W06)","OK")))</f>
        <v/>
      </c>
      <c r="J188" s="15"/>
    </row>
    <row r="189" customFormat="false" ht="15" hidden="false" customHeight="false" outlineLevel="0" collapsed="false">
      <c r="A189" s="15"/>
      <c r="B189" s="15"/>
      <c r="C189" s="16" t="str">
        <f aca="false">IFERROR(INDEX(Interface_Register!$B$5:$B$204,MATCH(B189,Interface_Register!$A$5:$A$204,0)),"")</f>
        <v/>
      </c>
      <c r="D189" s="15"/>
      <c r="E189" s="15"/>
      <c r="F189" s="15"/>
      <c r="G189" s="15"/>
      <c r="H189" s="15"/>
      <c r="I189" s="16" t="str">
        <f aca="false">IF(A189="","",IF(F189="Dialog","Dialog user on RFC: sensitive (W06)",IF(ISNUMBER(SEARCH("SAP_ALL",G189)),"SAP_ALL on RFC user: sensitive (W06)","OK")))</f>
        <v/>
      </c>
      <c r="J189" s="15"/>
    </row>
    <row r="190" customFormat="false" ht="15" hidden="false" customHeight="false" outlineLevel="0" collapsed="false">
      <c r="A190" s="15"/>
      <c r="B190" s="15"/>
      <c r="C190" s="16" t="str">
        <f aca="false">IFERROR(INDEX(Interface_Register!$B$5:$B$204,MATCH(B190,Interface_Register!$A$5:$A$204,0)),"")</f>
        <v/>
      </c>
      <c r="D190" s="15"/>
      <c r="E190" s="15"/>
      <c r="F190" s="15"/>
      <c r="G190" s="15"/>
      <c r="H190" s="15"/>
      <c r="I190" s="16" t="str">
        <f aca="false">IF(A190="","",IF(F190="Dialog","Dialog user on RFC: sensitive (W06)",IF(ISNUMBER(SEARCH("SAP_ALL",G190)),"SAP_ALL on RFC user: sensitive (W06)","OK")))</f>
        <v/>
      </c>
      <c r="J190" s="15"/>
    </row>
    <row r="191" customFormat="false" ht="15" hidden="false" customHeight="false" outlineLevel="0" collapsed="false">
      <c r="A191" s="15"/>
      <c r="B191" s="15"/>
      <c r="C191" s="16" t="str">
        <f aca="false">IFERROR(INDEX(Interface_Register!$B$5:$B$204,MATCH(B191,Interface_Register!$A$5:$A$204,0)),"")</f>
        <v/>
      </c>
      <c r="D191" s="15"/>
      <c r="E191" s="15"/>
      <c r="F191" s="15"/>
      <c r="G191" s="15"/>
      <c r="H191" s="15"/>
      <c r="I191" s="16" t="str">
        <f aca="false">IF(A191="","",IF(F191="Dialog","Dialog user on RFC: sensitive (W06)",IF(ISNUMBER(SEARCH("SAP_ALL",G191)),"SAP_ALL on RFC user: sensitive (W06)","OK")))</f>
        <v/>
      </c>
      <c r="J191" s="15"/>
    </row>
    <row r="192" customFormat="false" ht="15" hidden="false" customHeight="false" outlineLevel="0" collapsed="false">
      <c r="A192" s="15"/>
      <c r="B192" s="15"/>
      <c r="C192" s="16" t="str">
        <f aca="false">IFERROR(INDEX(Interface_Register!$B$5:$B$204,MATCH(B192,Interface_Register!$A$5:$A$204,0)),"")</f>
        <v/>
      </c>
      <c r="D192" s="15"/>
      <c r="E192" s="15"/>
      <c r="F192" s="15"/>
      <c r="G192" s="15"/>
      <c r="H192" s="15"/>
      <c r="I192" s="16" t="str">
        <f aca="false">IF(A192="","",IF(F192="Dialog","Dialog user on RFC: sensitive (W06)",IF(ISNUMBER(SEARCH("SAP_ALL",G192)),"SAP_ALL on RFC user: sensitive (W06)","OK")))</f>
        <v/>
      </c>
      <c r="J192" s="15"/>
    </row>
    <row r="193" customFormat="false" ht="15" hidden="false" customHeight="false" outlineLevel="0" collapsed="false">
      <c r="A193" s="15"/>
      <c r="B193" s="15"/>
      <c r="C193" s="16" t="str">
        <f aca="false">IFERROR(INDEX(Interface_Register!$B$5:$B$204,MATCH(B193,Interface_Register!$A$5:$A$204,0)),"")</f>
        <v/>
      </c>
      <c r="D193" s="15"/>
      <c r="E193" s="15"/>
      <c r="F193" s="15"/>
      <c r="G193" s="15"/>
      <c r="H193" s="15"/>
      <c r="I193" s="16" t="str">
        <f aca="false">IF(A193="","",IF(F193="Dialog","Dialog user on RFC: sensitive (W06)",IF(ISNUMBER(SEARCH("SAP_ALL",G193)),"SAP_ALL on RFC user: sensitive (W06)","OK")))</f>
        <v/>
      </c>
      <c r="J193" s="15"/>
    </row>
    <row r="194" customFormat="false" ht="15" hidden="false" customHeight="false" outlineLevel="0" collapsed="false">
      <c r="A194" s="15"/>
      <c r="B194" s="15"/>
      <c r="C194" s="16" t="str">
        <f aca="false">IFERROR(INDEX(Interface_Register!$B$5:$B$204,MATCH(B194,Interface_Register!$A$5:$A$204,0)),"")</f>
        <v/>
      </c>
      <c r="D194" s="15"/>
      <c r="E194" s="15"/>
      <c r="F194" s="15"/>
      <c r="G194" s="15"/>
      <c r="H194" s="15"/>
      <c r="I194" s="16" t="str">
        <f aca="false">IF(A194="","",IF(F194="Dialog","Dialog user on RFC: sensitive (W06)",IF(ISNUMBER(SEARCH("SAP_ALL",G194)),"SAP_ALL on RFC user: sensitive (W06)","OK")))</f>
        <v/>
      </c>
      <c r="J194" s="15"/>
    </row>
    <row r="195" customFormat="false" ht="15" hidden="false" customHeight="false" outlineLevel="0" collapsed="false">
      <c r="A195" s="15"/>
      <c r="B195" s="15"/>
      <c r="C195" s="16" t="str">
        <f aca="false">IFERROR(INDEX(Interface_Register!$B$5:$B$204,MATCH(B195,Interface_Register!$A$5:$A$204,0)),"")</f>
        <v/>
      </c>
      <c r="D195" s="15"/>
      <c r="E195" s="15"/>
      <c r="F195" s="15"/>
      <c r="G195" s="15"/>
      <c r="H195" s="15"/>
      <c r="I195" s="16" t="str">
        <f aca="false">IF(A195="","",IF(F195="Dialog","Dialog user on RFC: sensitive (W06)",IF(ISNUMBER(SEARCH("SAP_ALL",G195)),"SAP_ALL on RFC user: sensitive (W06)","OK")))</f>
        <v/>
      </c>
      <c r="J195" s="15"/>
    </row>
    <row r="196" customFormat="false" ht="15" hidden="false" customHeight="false" outlineLevel="0" collapsed="false">
      <c r="A196" s="15"/>
      <c r="B196" s="15"/>
      <c r="C196" s="16" t="str">
        <f aca="false">IFERROR(INDEX(Interface_Register!$B$5:$B$204,MATCH(B196,Interface_Register!$A$5:$A$204,0)),"")</f>
        <v/>
      </c>
      <c r="D196" s="15"/>
      <c r="E196" s="15"/>
      <c r="F196" s="15"/>
      <c r="G196" s="15"/>
      <c r="H196" s="15"/>
      <c r="I196" s="16" t="str">
        <f aca="false">IF(A196="","",IF(F196="Dialog","Dialog user on RFC: sensitive (W06)",IF(ISNUMBER(SEARCH("SAP_ALL",G196)),"SAP_ALL on RFC user: sensitive (W06)","OK")))</f>
        <v/>
      </c>
      <c r="J196" s="15"/>
    </row>
    <row r="197" customFormat="false" ht="15" hidden="false" customHeight="false" outlineLevel="0" collapsed="false">
      <c r="A197" s="15"/>
      <c r="B197" s="15"/>
      <c r="C197" s="16" t="str">
        <f aca="false">IFERROR(INDEX(Interface_Register!$B$5:$B$204,MATCH(B197,Interface_Register!$A$5:$A$204,0)),"")</f>
        <v/>
      </c>
      <c r="D197" s="15"/>
      <c r="E197" s="15"/>
      <c r="F197" s="15"/>
      <c r="G197" s="15"/>
      <c r="H197" s="15"/>
      <c r="I197" s="16" t="str">
        <f aca="false">IF(A197="","",IF(F197="Dialog","Dialog user on RFC: sensitive (W06)",IF(ISNUMBER(SEARCH("SAP_ALL",G197)),"SAP_ALL on RFC user: sensitive (W06)","OK")))</f>
        <v/>
      </c>
      <c r="J197" s="15"/>
    </row>
    <row r="198" customFormat="false" ht="15" hidden="false" customHeight="false" outlineLevel="0" collapsed="false">
      <c r="A198" s="15"/>
      <c r="B198" s="15"/>
      <c r="C198" s="16" t="str">
        <f aca="false">IFERROR(INDEX(Interface_Register!$B$5:$B$204,MATCH(B198,Interface_Register!$A$5:$A$204,0)),"")</f>
        <v/>
      </c>
      <c r="D198" s="15"/>
      <c r="E198" s="15"/>
      <c r="F198" s="15"/>
      <c r="G198" s="15"/>
      <c r="H198" s="15"/>
      <c r="I198" s="16" t="str">
        <f aca="false">IF(A198="","",IF(F198="Dialog","Dialog user on RFC: sensitive (W06)",IF(ISNUMBER(SEARCH("SAP_ALL",G198)),"SAP_ALL on RFC user: sensitive (W06)","OK")))</f>
        <v/>
      </c>
      <c r="J198" s="15"/>
    </row>
    <row r="199" customFormat="false" ht="15" hidden="false" customHeight="false" outlineLevel="0" collapsed="false">
      <c r="A199" s="15"/>
      <c r="B199" s="15"/>
      <c r="C199" s="16" t="str">
        <f aca="false">IFERROR(INDEX(Interface_Register!$B$5:$B$204,MATCH(B199,Interface_Register!$A$5:$A$204,0)),"")</f>
        <v/>
      </c>
      <c r="D199" s="15"/>
      <c r="E199" s="15"/>
      <c r="F199" s="15"/>
      <c r="G199" s="15"/>
      <c r="H199" s="15"/>
      <c r="I199" s="16" t="str">
        <f aca="false">IF(A199="","",IF(F199="Dialog","Dialog user on RFC: sensitive (W06)",IF(ISNUMBER(SEARCH("SAP_ALL",G199)),"SAP_ALL on RFC user: sensitive (W06)","OK")))</f>
        <v/>
      </c>
      <c r="J199" s="15"/>
    </row>
    <row r="200" customFormat="false" ht="15" hidden="false" customHeight="false" outlineLevel="0" collapsed="false">
      <c r="A200" s="15"/>
      <c r="B200" s="15"/>
      <c r="C200" s="16" t="str">
        <f aca="false">IFERROR(INDEX(Interface_Register!$B$5:$B$204,MATCH(B200,Interface_Register!$A$5:$A$204,0)),"")</f>
        <v/>
      </c>
      <c r="D200" s="15"/>
      <c r="E200" s="15"/>
      <c r="F200" s="15"/>
      <c r="G200" s="15"/>
      <c r="H200" s="15"/>
      <c r="I200" s="16" t="str">
        <f aca="false">IF(A200="","",IF(F200="Dialog","Dialog user on RFC: sensitive (W06)",IF(ISNUMBER(SEARCH("SAP_ALL",G200)),"SAP_ALL on RFC user: sensitive (W06)","OK")))</f>
        <v/>
      </c>
      <c r="J200" s="15"/>
    </row>
    <row r="201" customFormat="false" ht="15" hidden="false" customHeight="false" outlineLevel="0" collapsed="false">
      <c r="A201" s="15"/>
      <c r="B201" s="15"/>
      <c r="C201" s="16" t="str">
        <f aca="false">IFERROR(INDEX(Interface_Register!$B$5:$B$204,MATCH(B201,Interface_Register!$A$5:$A$204,0)),"")</f>
        <v/>
      </c>
      <c r="D201" s="15"/>
      <c r="E201" s="15"/>
      <c r="F201" s="15"/>
      <c r="G201" s="15"/>
      <c r="H201" s="15"/>
      <c r="I201" s="16" t="str">
        <f aca="false">IF(A201="","",IF(F201="Dialog","Dialog user on RFC: sensitive (W06)",IF(ISNUMBER(SEARCH("SAP_ALL",G201)),"SAP_ALL on RFC user: sensitive (W06)","OK")))</f>
        <v/>
      </c>
      <c r="J201" s="15"/>
    </row>
    <row r="202" customFormat="false" ht="15" hidden="false" customHeight="false" outlineLevel="0" collapsed="false">
      <c r="A202" s="15"/>
      <c r="B202" s="15"/>
      <c r="C202" s="16" t="str">
        <f aca="false">IFERROR(INDEX(Interface_Register!$B$5:$B$204,MATCH(B202,Interface_Register!$A$5:$A$204,0)),"")</f>
        <v/>
      </c>
      <c r="D202" s="15"/>
      <c r="E202" s="15"/>
      <c r="F202" s="15"/>
      <c r="G202" s="15"/>
      <c r="H202" s="15"/>
      <c r="I202" s="16" t="str">
        <f aca="false">IF(A202="","",IF(F202="Dialog","Dialog user on RFC: sensitive (W06)",IF(ISNUMBER(SEARCH("SAP_ALL",G202)),"SAP_ALL on RFC user: sensitive (W06)","OK")))</f>
        <v/>
      </c>
      <c r="J202" s="15"/>
    </row>
    <row r="203" customFormat="false" ht="15" hidden="false" customHeight="false" outlineLevel="0" collapsed="false">
      <c r="A203" s="15"/>
      <c r="B203" s="15"/>
      <c r="C203" s="16" t="str">
        <f aca="false">IFERROR(INDEX(Interface_Register!$B$5:$B$204,MATCH(B203,Interface_Register!$A$5:$A$204,0)),"")</f>
        <v/>
      </c>
      <c r="D203" s="15"/>
      <c r="E203" s="15"/>
      <c r="F203" s="15"/>
      <c r="G203" s="15"/>
      <c r="H203" s="15"/>
      <c r="I203" s="16" t="str">
        <f aca="false">IF(A203="","",IF(F203="Dialog","Dialog user on RFC: sensitive (W06)",IF(ISNUMBER(SEARCH("SAP_ALL",G203)),"SAP_ALL on RFC user: sensitive (W06)","OK")))</f>
        <v/>
      </c>
      <c r="J203" s="15"/>
    </row>
    <row r="204" customFormat="false" ht="15" hidden="false" customHeight="false" outlineLevel="0" collapsed="false">
      <c r="A204" s="15"/>
      <c r="B204" s="15"/>
      <c r="C204" s="16" t="str">
        <f aca="false">IFERROR(INDEX(Interface_Register!$B$5:$B$204,MATCH(B204,Interface_Register!$A$5:$A$204,0)),"")</f>
        <v/>
      </c>
      <c r="D204" s="15"/>
      <c r="E204" s="15"/>
      <c r="F204" s="15"/>
      <c r="G204" s="15"/>
      <c r="H204" s="15"/>
      <c r="I204" s="16" t="str">
        <f aca="false">IF(A204="","",IF(F204="Dialog","Dialog user on RFC: sensitive (W06)",IF(ISNUMBER(SEARCH("SAP_ALL",G204)),"SAP_ALL on RFC user: sensitive (W06)","OK")))</f>
        <v/>
      </c>
      <c r="J204" s="15"/>
    </row>
  </sheetData>
  <autoFilter ref="A4:J204"/>
  <dataValidations count="3">
    <dataValidation allowBlank="true" error="Pick a value from the list." errorStyle="warning" operator="between" showDropDown="false" showErrorMessage="true" showInputMessage="false" sqref="B5:B204" type="list">
      <formula1>Interface_Register!$A$5:$A$204</formula1>
      <formula2>0</formula2>
    </dataValidation>
    <dataValidation allowBlank="true" error="Pick a value from the list." errorStyle="stop" operator="between" showDropDown="false" showErrorMessage="true" showInputMessage="false" sqref="F5:F204" type="list">
      <formula1>Lists!$F$2:$F$5</formula1>
      <formula2>0</formula2>
    </dataValidation>
    <dataValidation allowBlank="true" error="Pick a value from the list." errorStyle="stop" operator="between" showDropDown="false" showErrorMessage="true" showInputMessage="false" sqref="H5:H204" type="list">
      <formula1>Lists!$E$2:$E$4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34"/>
    <col collapsed="false" customWidth="true" hidden="false" outlineLevel="0" max="5" min="4" style="0" width="18"/>
    <col collapsed="false" customWidth="true" hidden="false" outlineLevel="0" max="6" min="6" style="0" width="11"/>
    <col collapsed="false" customWidth="true" hidden="false" outlineLevel="0" max="7" min="7" style="0" width="26"/>
    <col collapsed="false" customWidth="true" hidden="false" outlineLevel="0" max="8" min="8" style="0" width="30"/>
  </cols>
  <sheetData>
    <row r="1" customFormat="false" ht="17.35" hidden="false" customHeight="false" outlineLevel="0" collapsed="false">
      <c r="A1" s="9" t="s">
        <v>165</v>
      </c>
    </row>
    <row r="2" customFormat="false" ht="15" hidden="false" customHeight="false" outlineLevel="0" collapsed="false">
      <c r="A2" s="10" t="s">
        <v>166</v>
      </c>
    </row>
    <row r="4" customFormat="false" ht="31.5" hidden="false" customHeight="true" outlineLevel="0" collapsed="false">
      <c r="A4" s="11" t="s">
        <v>105</v>
      </c>
      <c r="B4" s="11" t="s">
        <v>48</v>
      </c>
      <c r="C4" s="11" t="s">
        <v>109</v>
      </c>
      <c r="D4" s="11" t="s">
        <v>33</v>
      </c>
      <c r="E4" s="11" t="s">
        <v>36</v>
      </c>
      <c r="F4" s="11" t="s">
        <v>26</v>
      </c>
      <c r="G4" s="12" t="s">
        <v>116</v>
      </c>
      <c r="H4" s="11" t="s">
        <v>102</v>
      </c>
    </row>
    <row r="5" customFormat="false" ht="23.85" hidden="false" customHeight="false" outlineLevel="0" collapsed="false">
      <c r="A5" s="13" t="s">
        <v>167</v>
      </c>
      <c r="B5" s="13" t="s">
        <v>151</v>
      </c>
      <c r="C5" s="13" t="s">
        <v>168</v>
      </c>
      <c r="D5" s="13" t="s">
        <v>146</v>
      </c>
      <c r="E5" s="13" t="s">
        <v>147</v>
      </c>
      <c r="F5" s="13" t="s">
        <v>144</v>
      </c>
      <c r="G5" s="14" t="str">
        <f aca="false">IF(A5="","",IF(F5="","No interface recorded",IF(F5="N/A","OK (in-system)",IF(COUNTIF(Interface_Register!$A$5:$A$204,F5)=0,"INT-ID not in register","OK"))))</f>
        <v>OK</v>
      </c>
      <c r="H5" s="13"/>
    </row>
    <row r="6" customFormat="false" ht="15" hidden="false" customHeight="false" outlineLevel="0" collapsed="false">
      <c r="A6" s="15"/>
      <c r="B6" s="15"/>
      <c r="C6" s="15"/>
      <c r="D6" s="15"/>
      <c r="E6" s="15"/>
      <c r="F6" s="15"/>
      <c r="G6" s="16" t="str">
        <f aca="false">IF(A6="","",IF(F6="","No interface recorded",IF(F6="N/A","OK (in-system)",IF(COUNTIF(Interface_Register!$A$5:$A$204,F6)=0,"INT-ID not in register","OK"))))</f>
        <v/>
      </c>
      <c r="H6" s="15"/>
    </row>
    <row r="7" customFormat="false" ht="15" hidden="false" customHeight="false" outlineLevel="0" collapsed="false">
      <c r="A7" s="15"/>
      <c r="B7" s="15"/>
      <c r="C7" s="15"/>
      <c r="D7" s="15"/>
      <c r="E7" s="15"/>
      <c r="F7" s="15"/>
      <c r="G7" s="16" t="str">
        <f aca="false">IF(A7="","",IF(F7="","No interface recorded",IF(F7="N/A","OK (in-system)",IF(COUNTIF(Interface_Register!$A$5:$A$204,F7)=0,"INT-ID not in register","OK"))))</f>
        <v/>
      </c>
      <c r="H7" s="15"/>
    </row>
    <row r="8" customFormat="false" ht="15" hidden="false" customHeight="false" outlineLevel="0" collapsed="false">
      <c r="A8" s="15"/>
      <c r="B8" s="15"/>
      <c r="C8" s="15"/>
      <c r="D8" s="15"/>
      <c r="E8" s="15"/>
      <c r="F8" s="15"/>
      <c r="G8" s="16" t="str">
        <f aca="false">IF(A8="","",IF(F8="","No interface recorded",IF(F8="N/A","OK (in-system)",IF(COUNTIF(Interface_Register!$A$5:$A$204,F8)=0,"INT-ID not in register","OK"))))</f>
        <v/>
      </c>
      <c r="H8" s="15"/>
    </row>
    <row r="9" customFormat="false" ht="15" hidden="false" customHeight="false" outlineLevel="0" collapsed="false">
      <c r="A9" s="15"/>
      <c r="B9" s="15"/>
      <c r="C9" s="15"/>
      <c r="D9" s="15"/>
      <c r="E9" s="15"/>
      <c r="F9" s="15"/>
      <c r="G9" s="16" t="str">
        <f aca="false">IF(A9="","",IF(F9="","No interface recorded",IF(F9="N/A","OK (in-system)",IF(COUNTIF(Interface_Register!$A$5:$A$204,F9)=0,"INT-ID not in register","OK"))))</f>
        <v/>
      </c>
      <c r="H9" s="15"/>
    </row>
    <row r="10" customFormat="false" ht="15" hidden="false" customHeight="false" outlineLevel="0" collapsed="false">
      <c r="A10" s="15"/>
      <c r="B10" s="15"/>
      <c r="C10" s="15"/>
      <c r="D10" s="15"/>
      <c r="E10" s="15"/>
      <c r="F10" s="15"/>
      <c r="G10" s="16" t="str">
        <f aca="false">IF(A10="","",IF(F10="","No interface recorded",IF(F10="N/A","OK (in-system)",IF(COUNTIF(Interface_Register!$A$5:$A$204,F10)=0,"INT-ID not in register","OK"))))</f>
        <v/>
      </c>
      <c r="H10" s="15"/>
    </row>
    <row r="11" customFormat="false" ht="15" hidden="false" customHeight="false" outlineLevel="0" collapsed="false">
      <c r="A11" s="15"/>
      <c r="B11" s="15"/>
      <c r="C11" s="15"/>
      <c r="D11" s="15"/>
      <c r="E11" s="15"/>
      <c r="F11" s="15"/>
      <c r="G11" s="16" t="str">
        <f aca="false">IF(A11="","",IF(F11="","No interface recorded",IF(F11="N/A","OK (in-system)",IF(COUNTIF(Interface_Register!$A$5:$A$204,F11)=0,"INT-ID not in register","OK"))))</f>
        <v/>
      </c>
      <c r="H11" s="15"/>
    </row>
    <row r="12" customFormat="false" ht="15" hidden="false" customHeight="false" outlineLevel="0" collapsed="false">
      <c r="A12" s="15"/>
      <c r="B12" s="15"/>
      <c r="C12" s="15"/>
      <c r="D12" s="15"/>
      <c r="E12" s="15"/>
      <c r="F12" s="15"/>
      <c r="G12" s="16" t="str">
        <f aca="false">IF(A12="","",IF(F12="","No interface recorded",IF(F12="N/A","OK (in-system)",IF(COUNTIF(Interface_Register!$A$5:$A$204,F12)=0,"INT-ID not in register","OK"))))</f>
        <v/>
      </c>
      <c r="H12" s="15"/>
    </row>
    <row r="13" customFormat="false" ht="15" hidden="false" customHeight="false" outlineLevel="0" collapsed="false">
      <c r="A13" s="15"/>
      <c r="B13" s="15"/>
      <c r="C13" s="15"/>
      <c r="D13" s="15"/>
      <c r="E13" s="15"/>
      <c r="F13" s="15"/>
      <c r="G13" s="16" t="str">
        <f aca="false">IF(A13="","",IF(F13="","No interface recorded",IF(F13="N/A","OK (in-system)",IF(COUNTIF(Interface_Register!$A$5:$A$204,F13)=0,"INT-ID not in register","OK"))))</f>
        <v/>
      </c>
      <c r="H13" s="15"/>
    </row>
    <row r="14" customFormat="false" ht="15" hidden="false" customHeight="false" outlineLevel="0" collapsed="false">
      <c r="A14" s="15"/>
      <c r="B14" s="15"/>
      <c r="C14" s="15"/>
      <c r="D14" s="15"/>
      <c r="E14" s="15"/>
      <c r="F14" s="15"/>
      <c r="G14" s="16" t="str">
        <f aca="false">IF(A14="","",IF(F14="","No interface recorded",IF(F14="N/A","OK (in-system)",IF(COUNTIF(Interface_Register!$A$5:$A$204,F14)=0,"INT-ID not in register","OK"))))</f>
        <v/>
      </c>
      <c r="H14" s="15"/>
    </row>
    <row r="15" customFormat="false" ht="15" hidden="false" customHeight="false" outlineLevel="0" collapsed="false">
      <c r="A15" s="15"/>
      <c r="B15" s="15"/>
      <c r="C15" s="15"/>
      <c r="D15" s="15"/>
      <c r="E15" s="15"/>
      <c r="F15" s="15"/>
      <c r="G15" s="16" t="str">
        <f aca="false">IF(A15="","",IF(F15="","No interface recorded",IF(F15="N/A","OK (in-system)",IF(COUNTIF(Interface_Register!$A$5:$A$204,F15)=0,"INT-ID not in register","OK"))))</f>
        <v/>
      </c>
      <c r="H15" s="15"/>
    </row>
    <row r="16" customFormat="false" ht="15" hidden="false" customHeight="false" outlineLevel="0" collapsed="false">
      <c r="A16" s="15"/>
      <c r="B16" s="15"/>
      <c r="C16" s="15"/>
      <c r="D16" s="15"/>
      <c r="E16" s="15"/>
      <c r="F16" s="15"/>
      <c r="G16" s="16" t="str">
        <f aca="false">IF(A16="","",IF(F16="","No interface recorded",IF(F16="N/A","OK (in-system)",IF(COUNTIF(Interface_Register!$A$5:$A$204,F16)=0,"INT-ID not in register","OK"))))</f>
        <v/>
      </c>
      <c r="H16" s="15"/>
    </row>
    <row r="17" customFormat="false" ht="15" hidden="false" customHeight="false" outlineLevel="0" collapsed="false">
      <c r="A17" s="15"/>
      <c r="B17" s="15"/>
      <c r="C17" s="15"/>
      <c r="D17" s="15"/>
      <c r="E17" s="15"/>
      <c r="F17" s="15"/>
      <c r="G17" s="16" t="str">
        <f aca="false">IF(A17="","",IF(F17="","No interface recorded",IF(F17="N/A","OK (in-system)",IF(COUNTIF(Interface_Register!$A$5:$A$204,F17)=0,"INT-ID not in register","OK"))))</f>
        <v/>
      </c>
      <c r="H17" s="15"/>
    </row>
    <row r="18" customFormat="false" ht="15" hidden="false" customHeight="false" outlineLevel="0" collapsed="false">
      <c r="A18" s="15"/>
      <c r="B18" s="15"/>
      <c r="C18" s="15"/>
      <c r="D18" s="15"/>
      <c r="E18" s="15"/>
      <c r="F18" s="15"/>
      <c r="G18" s="16" t="str">
        <f aca="false">IF(A18="","",IF(F18="","No interface recorded",IF(F18="N/A","OK (in-system)",IF(COUNTIF(Interface_Register!$A$5:$A$204,F18)=0,"INT-ID not in register","OK"))))</f>
        <v/>
      </c>
      <c r="H18" s="15"/>
    </row>
    <row r="19" customFormat="false" ht="15" hidden="false" customHeight="false" outlineLevel="0" collapsed="false">
      <c r="A19" s="15"/>
      <c r="B19" s="15"/>
      <c r="C19" s="15"/>
      <c r="D19" s="15"/>
      <c r="E19" s="15"/>
      <c r="F19" s="15"/>
      <c r="G19" s="16" t="str">
        <f aca="false">IF(A19="","",IF(F19="","No interface recorded",IF(F19="N/A","OK (in-system)",IF(COUNTIF(Interface_Register!$A$5:$A$204,F19)=0,"INT-ID not in register","OK"))))</f>
        <v/>
      </c>
      <c r="H19" s="15"/>
    </row>
    <row r="20" customFormat="false" ht="15" hidden="false" customHeight="false" outlineLevel="0" collapsed="false">
      <c r="A20" s="15"/>
      <c r="B20" s="15"/>
      <c r="C20" s="15"/>
      <c r="D20" s="15"/>
      <c r="E20" s="15"/>
      <c r="F20" s="15"/>
      <c r="G20" s="16" t="str">
        <f aca="false">IF(A20="","",IF(F20="","No interface recorded",IF(F20="N/A","OK (in-system)",IF(COUNTIF(Interface_Register!$A$5:$A$204,F20)=0,"INT-ID not in register","OK"))))</f>
        <v/>
      </c>
      <c r="H20" s="15"/>
    </row>
    <row r="21" customFormat="false" ht="15" hidden="false" customHeight="false" outlineLevel="0" collapsed="false">
      <c r="A21" s="15"/>
      <c r="B21" s="15"/>
      <c r="C21" s="15"/>
      <c r="D21" s="15"/>
      <c r="E21" s="15"/>
      <c r="F21" s="15"/>
      <c r="G21" s="16" t="str">
        <f aca="false">IF(A21="","",IF(F21="","No interface recorded",IF(F21="N/A","OK (in-system)",IF(COUNTIF(Interface_Register!$A$5:$A$204,F21)=0,"INT-ID not in register","OK"))))</f>
        <v/>
      </c>
      <c r="H21" s="15"/>
    </row>
    <row r="22" customFormat="false" ht="15" hidden="false" customHeight="false" outlineLevel="0" collapsed="false">
      <c r="A22" s="15"/>
      <c r="B22" s="15"/>
      <c r="C22" s="15"/>
      <c r="D22" s="15"/>
      <c r="E22" s="15"/>
      <c r="F22" s="15"/>
      <c r="G22" s="16" t="str">
        <f aca="false">IF(A22="","",IF(F22="","No interface recorded",IF(F22="N/A","OK (in-system)",IF(COUNTIF(Interface_Register!$A$5:$A$204,F22)=0,"INT-ID not in register","OK"))))</f>
        <v/>
      </c>
      <c r="H22" s="15"/>
    </row>
    <row r="23" customFormat="false" ht="15" hidden="false" customHeight="false" outlineLevel="0" collapsed="false">
      <c r="A23" s="15"/>
      <c r="B23" s="15"/>
      <c r="C23" s="15"/>
      <c r="D23" s="15"/>
      <c r="E23" s="15"/>
      <c r="F23" s="15"/>
      <c r="G23" s="16" t="str">
        <f aca="false">IF(A23="","",IF(F23="","No interface recorded",IF(F23="N/A","OK (in-system)",IF(COUNTIF(Interface_Register!$A$5:$A$204,F23)=0,"INT-ID not in register","OK"))))</f>
        <v/>
      </c>
      <c r="H23" s="15"/>
    </row>
    <row r="24" customFormat="false" ht="15" hidden="false" customHeight="false" outlineLevel="0" collapsed="false">
      <c r="A24" s="15"/>
      <c r="B24" s="15"/>
      <c r="C24" s="15"/>
      <c r="D24" s="15"/>
      <c r="E24" s="15"/>
      <c r="F24" s="15"/>
      <c r="G24" s="16" t="str">
        <f aca="false">IF(A24="","",IF(F24="","No interface recorded",IF(F24="N/A","OK (in-system)",IF(COUNTIF(Interface_Register!$A$5:$A$204,F24)=0,"INT-ID not in register","OK"))))</f>
        <v/>
      </c>
      <c r="H24" s="15"/>
    </row>
    <row r="25" customFormat="false" ht="15" hidden="false" customHeight="false" outlineLevel="0" collapsed="false">
      <c r="A25" s="15"/>
      <c r="B25" s="15"/>
      <c r="C25" s="15"/>
      <c r="D25" s="15"/>
      <c r="E25" s="15"/>
      <c r="F25" s="15"/>
      <c r="G25" s="16" t="str">
        <f aca="false">IF(A25="","",IF(F25="","No interface recorded",IF(F25="N/A","OK (in-system)",IF(COUNTIF(Interface_Register!$A$5:$A$204,F25)=0,"INT-ID not in register","OK"))))</f>
        <v/>
      </c>
      <c r="H25" s="15"/>
    </row>
    <row r="26" customFormat="false" ht="15" hidden="false" customHeight="false" outlineLevel="0" collapsed="false">
      <c r="A26" s="15"/>
      <c r="B26" s="15"/>
      <c r="C26" s="15"/>
      <c r="D26" s="15"/>
      <c r="E26" s="15"/>
      <c r="F26" s="15"/>
      <c r="G26" s="16" t="str">
        <f aca="false">IF(A26="","",IF(F26="","No interface recorded",IF(F26="N/A","OK (in-system)",IF(COUNTIF(Interface_Register!$A$5:$A$204,F26)=0,"INT-ID not in register","OK"))))</f>
        <v/>
      </c>
      <c r="H26" s="15"/>
    </row>
    <row r="27" customFormat="false" ht="15" hidden="false" customHeight="false" outlineLevel="0" collapsed="false">
      <c r="A27" s="15"/>
      <c r="B27" s="15"/>
      <c r="C27" s="15"/>
      <c r="D27" s="15"/>
      <c r="E27" s="15"/>
      <c r="F27" s="15"/>
      <c r="G27" s="16" t="str">
        <f aca="false">IF(A27="","",IF(F27="","No interface recorded",IF(F27="N/A","OK (in-system)",IF(COUNTIF(Interface_Register!$A$5:$A$204,F27)=0,"INT-ID not in register","OK"))))</f>
        <v/>
      </c>
      <c r="H27" s="15"/>
    </row>
    <row r="28" customFormat="false" ht="15" hidden="false" customHeight="false" outlineLevel="0" collapsed="false">
      <c r="A28" s="15"/>
      <c r="B28" s="15"/>
      <c r="C28" s="15"/>
      <c r="D28" s="15"/>
      <c r="E28" s="15"/>
      <c r="F28" s="15"/>
      <c r="G28" s="16" t="str">
        <f aca="false">IF(A28="","",IF(F28="","No interface recorded",IF(F28="N/A","OK (in-system)",IF(COUNTIF(Interface_Register!$A$5:$A$204,F28)=0,"INT-ID not in register","OK"))))</f>
        <v/>
      </c>
      <c r="H28" s="15"/>
    </row>
    <row r="29" customFormat="false" ht="15" hidden="false" customHeight="false" outlineLevel="0" collapsed="false">
      <c r="A29" s="15"/>
      <c r="B29" s="15"/>
      <c r="C29" s="15"/>
      <c r="D29" s="15"/>
      <c r="E29" s="15"/>
      <c r="F29" s="15"/>
      <c r="G29" s="16" t="str">
        <f aca="false">IF(A29="","",IF(F29="","No interface recorded",IF(F29="N/A","OK (in-system)",IF(COUNTIF(Interface_Register!$A$5:$A$204,F29)=0,"INT-ID not in register","OK"))))</f>
        <v/>
      </c>
      <c r="H29" s="15"/>
    </row>
    <row r="30" customFormat="false" ht="15" hidden="false" customHeight="false" outlineLevel="0" collapsed="false">
      <c r="A30" s="15"/>
      <c r="B30" s="15"/>
      <c r="C30" s="15"/>
      <c r="D30" s="15"/>
      <c r="E30" s="15"/>
      <c r="F30" s="15"/>
      <c r="G30" s="16" t="str">
        <f aca="false">IF(A30="","",IF(F30="","No interface recorded",IF(F30="N/A","OK (in-system)",IF(COUNTIF(Interface_Register!$A$5:$A$204,F30)=0,"INT-ID not in register","OK"))))</f>
        <v/>
      </c>
      <c r="H30" s="15"/>
    </row>
    <row r="31" customFormat="false" ht="15" hidden="false" customHeight="false" outlineLevel="0" collapsed="false">
      <c r="A31" s="15"/>
      <c r="B31" s="15"/>
      <c r="C31" s="15"/>
      <c r="D31" s="15"/>
      <c r="E31" s="15"/>
      <c r="F31" s="15"/>
      <c r="G31" s="16" t="str">
        <f aca="false">IF(A31="","",IF(F31="","No interface recorded",IF(F31="N/A","OK (in-system)",IF(COUNTIF(Interface_Register!$A$5:$A$204,F31)=0,"INT-ID not in register","OK"))))</f>
        <v/>
      </c>
      <c r="H31" s="15"/>
    </row>
    <row r="32" customFormat="false" ht="15" hidden="false" customHeight="false" outlineLevel="0" collapsed="false">
      <c r="A32" s="15"/>
      <c r="B32" s="15"/>
      <c r="C32" s="15"/>
      <c r="D32" s="15"/>
      <c r="E32" s="15"/>
      <c r="F32" s="15"/>
      <c r="G32" s="16" t="str">
        <f aca="false">IF(A32="","",IF(F32="","No interface recorded",IF(F32="N/A","OK (in-system)",IF(COUNTIF(Interface_Register!$A$5:$A$204,F32)=0,"INT-ID not in register","OK"))))</f>
        <v/>
      </c>
      <c r="H32" s="15"/>
    </row>
    <row r="33" customFormat="false" ht="15" hidden="false" customHeight="false" outlineLevel="0" collapsed="false">
      <c r="A33" s="15"/>
      <c r="B33" s="15"/>
      <c r="C33" s="15"/>
      <c r="D33" s="15"/>
      <c r="E33" s="15"/>
      <c r="F33" s="15"/>
      <c r="G33" s="16" t="str">
        <f aca="false">IF(A33="","",IF(F33="","No interface recorded",IF(F33="N/A","OK (in-system)",IF(COUNTIF(Interface_Register!$A$5:$A$204,F33)=0,"INT-ID not in register","OK"))))</f>
        <v/>
      </c>
      <c r="H33" s="15"/>
    </row>
    <row r="34" customFormat="false" ht="15" hidden="false" customHeight="false" outlineLevel="0" collapsed="false">
      <c r="A34" s="15"/>
      <c r="B34" s="15"/>
      <c r="C34" s="15"/>
      <c r="D34" s="15"/>
      <c r="E34" s="15"/>
      <c r="F34" s="15"/>
      <c r="G34" s="16" t="str">
        <f aca="false">IF(A34="","",IF(F34="","No interface recorded",IF(F34="N/A","OK (in-system)",IF(COUNTIF(Interface_Register!$A$5:$A$204,F34)=0,"INT-ID not in register","OK"))))</f>
        <v/>
      </c>
      <c r="H34" s="15"/>
    </row>
    <row r="35" customFormat="false" ht="15" hidden="false" customHeight="false" outlineLevel="0" collapsed="false">
      <c r="A35" s="15"/>
      <c r="B35" s="15"/>
      <c r="C35" s="15"/>
      <c r="D35" s="15"/>
      <c r="E35" s="15"/>
      <c r="F35" s="15"/>
      <c r="G35" s="16" t="str">
        <f aca="false">IF(A35="","",IF(F35="","No interface recorded",IF(F35="N/A","OK (in-system)",IF(COUNTIF(Interface_Register!$A$5:$A$204,F35)=0,"INT-ID not in register","OK"))))</f>
        <v/>
      </c>
      <c r="H35" s="15"/>
    </row>
    <row r="36" customFormat="false" ht="15" hidden="false" customHeight="false" outlineLevel="0" collapsed="false">
      <c r="A36" s="15"/>
      <c r="B36" s="15"/>
      <c r="C36" s="15"/>
      <c r="D36" s="15"/>
      <c r="E36" s="15"/>
      <c r="F36" s="15"/>
      <c r="G36" s="16" t="str">
        <f aca="false">IF(A36="","",IF(F36="","No interface recorded",IF(F36="N/A","OK (in-system)",IF(COUNTIF(Interface_Register!$A$5:$A$204,F36)=0,"INT-ID not in register","OK"))))</f>
        <v/>
      </c>
      <c r="H36" s="15"/>
    </row>
    <row r="37" customFormat="false" ht="15" hidden="false" customHeight="false" outlineLevel="0" collapsed="false">
      <c r="A37" s="15"/>
      <c r="B37" s="15"/>
      <c r="C37" s="15"/>
      <c r="D37" s="15"/>
      <c r="E37" s="15"/>
      <c r="F37" s="15"/>
      <c r="G37" s="16" t="str">
        <f aca="false">IF(A37="","",IF(F37="","No interface recorded",IF(F37="N/A","OK (in-system)",IF(COUNTIF(Interface_Register!$A$5:$A$204,F37)=0,"INT-ID not in register","OK"))))</f>
        <v/>
      </c>
      <c r="H37" s="15"/>
    </row>
    <row r="38" customFormat="false" ht="15" hidden="false" customHeight="false" outlineLevel="0" collapsed="false">
      <c r="A38" s="15"/>
      <c r="B38" s="15"/>
      <c r="C38" s="15"/>
      <c r="D38" s="15"/>
      <c r="E38" s="15"/>
      <c r="F38" s="15"/>
      <c r="G38" s="16" t="str">
        <f aca="false">IF(A38="","",IF(F38="","No interface recorded",IF(F38="N/A","OK (in-system)",IF(COUNTIF(Interface_Register!$A$5:$A$204,F38)=0,"INT-ID not in register","OK"))))</f>
        <v/>
      </c>
      <c r="H38" s="15"/>
    </row>
    <row r="39" customFormat="false" ht="15" hidden="false" customHeight="false" outlineLevel="0" collapsed="false">
      <c r="A39" s="15"/>
      <c r="B39" s="15"/>
      <c r="C39" s="15"/>
      <c r="D39" s="15"/>
      <c r="E39" s="15"/>
      <c r="F39" s="15"/>
      <c r="G39" s="16" t="str">
        <f aca="false">IF(A39="","",IF(F39="","No interface recorded",IF(F39="N/A","OK (in-system)",IF(COUNTIF(Interface_Register!$A$5:$A$204,F39)=0,"INT-ID not in register","OK"))))</f>
        <v/>
      </c>
      <c r="H39" s="15"/>
    </row>
    <row r="40" customFormat="false" ht="15" hidden="false" customHeight="false" outlineLevel="0" collapsed="false">
      <c r="A40" s="15"/>
      <c r="B40" s="15"/>
      <c r="C40" s="15"/>
      <c r="D40" s="15"/>
      <c r="E40" s="15"/>
      <c r="F40" s="15"/>
      <c r="G40" s="16" t="str">
        <f aca="false">IF(A40="","",IF(F40="","No interface recorded",IF(F40="N/A","OK (in-system)",IF(COUNTIF(Interface_Register!$A$5:$A$204,F40)=0,"INT-ID not in register","OK"))))</f>
        <v/>
      </c>
      <c r="H40" s="15"/>
    </row>
    <row r="41" customFormat="false" ht="15" hidden="false" customHeight="false" outlineLevel="0" collapsed="false">
      <c r="A41" s="15"/>
      <c r="B41" s="15"/>
      <c r="C41" s="15"/>
      <c r="D41" s="15"/>
      <c r="E41" s="15"/>
      <c r="F41" s="15"/>
      <c r="G41" s="16" t="str">
        <f aca="false">IF(A41="","",IF(F41="","No interface recorded",IF(F41="N/A","OK (in-system)",IF(COUNTIF(Interface_Register!$A$5:$A$204,F41)=0,"INT-ID not in register","OK"))))</f>
        <v/>
      </c>
      <c r="H41" s="15"/>
    </row>
    <row r="42" customFormat="false" ht="15" hidden="false" customHeight="false" outlineLevel="0" collapsed="false">
      <c r="A42" s="15"/>
      <c r="B42" s="15"/>
      <c r="C42" s="15"/>
      <c r="D42" s="15"/>
      <c r="E42" s="15"/>
      <c r="F42" s="15"/>
      <c r="G42" s="16" t="str">
        <f aca="false">IF(A42="","",IF(F42="","No interface recorded",IF(F42="N/A","OK (in-system)",IF(COUNTIF(Interface_Register!$A$5:$A$204,F42)=0,"INT-ID not in register","OK"))))</f>
        <v/>
      </c>
      <c r="H42" s="15"/>
    </row>
    <row r="43" customFormat="false" ht="15" hidden="false" customHeight="false" outlineLevel="0" collapsed="false">
      <c r="A43" s="15"/>
      <c r="B43" s="15"/>
      <c r="C43" s="15"/>
      <c r="D43" s="15"/>
      <c r="E43" s="15"/>
      <c r="F43" s="15"/>
      <c r="G43" s="16" t="str">
        <f aca="false">IF(A43="","",IF(F43="","No interface recorded",IF(F43="N/A","OK (in-system)",IF(COUNTIF(Interface_Register!$A$5:$A$204,F43)=0,"INT-ID not in register","OK"))))</f>
        <v/>
      </c>
      <c r="H43" s="15"/>
    </row>
    <row r="44" customFormat="false" ht="15" hidden="false" customHeight="false" outlineLevel="0" collapsed="false">
      <c r="A44" s="15"/>
      <c r="B44" s="15"/>
      <c r="C44" s="15"/>
      <c r="D44" s="15"/>
      <c r="E44" s="15"/>
      <c r="F44" s="15"/>
      <c r="G44" s="16" t="str">
        <f aca="false">IF(A44="","",IF(F44="","No interface recorded",IF(F44="N/A","OK (in-system)",IF(COUNTIF(Interface_Register!$A$5:$A$204,F44)=0,"INT-ID not in register","OK"))))</f>
        <v/>
      </c>
      <c r="H44" s="15"/>
    </row>
    <row r="45" customFormat="false" ht="15" hidden="false" customHeight="false" outlineLevel="0" collapsed="false">
      <c r="A45" s="15"/>
      <c r="B45" s="15"/>
      <c r="C45" s="15"/>
      <c r="D45" s="15"/>
      <c r="E45" s="15"/>
      <c r="F45" s="15"/>
      <c r="G45" s="16" t="str">
        <f aca="false">IF(A45="","",IF(F45="","No interface recorded",IF(F45="N/A","OK (in-system)",IF(COUNTIF(Interface_Register!$A$5:$A$204,F45)=0,"INT-ID not in register","OK"))))</f>
        <v/>
      </c>
      <c r="H45" s="15"/>
    </row>
    <row r="46" customFormat="false" ht="15" hidden="false" customHeight="false" outlineLevel="0" collapsed="false">
      <c r="A46" s="15"/>
      <c r="B46" s="15"/>
      <c r="C46" s="15"/>
      <c r="D46" s="15"/>
      <c r="E46" s="15"/>
      <c r="F46" s="15"/>
      <c r="G46" s="16" t="str">
        <f aca="false">IF(A46="","",IF(F46="","No interface recorded",IF(F46="N/A","OK (in-system)",IF(COUNTIF(Interface_Register!$A$5:$A$204,F46)=0,"INT-ID not in register","OK"))))</f>
        <v/>
      </c>
      <c r="H46" s="15"/>
    </row>
    <row r="47" customFormat="false" ht="15" hidden="false" customHeight="false" outlineLevel="0" collapsed="false">
      <c r="A47" s="15"/>
      <c r="B47" s="15"/>
      <c r="C47" s="15"/>
      <c r="D47" s="15"/>
      <c r="E47" s="15"/>
      <c r="F47" s="15"/>
      <c r="G47" s="16" t="str">
        <f aca="false">IF(A47="","",IF(F47="","No interface recorded",IF(F47="N/A","OK (in-system)",IF(COUNTIF(Interface_Register!$A$5:$A$204,F47)=0,"INT-ID not in register","OK"))))</f>
        <v/>
      </c>
      <c r="H47" s="15"/>
    </row>
    <row r="48" customFormat="false" ht="15" hidden="false" customHeight="false" outlineLevel="0" collapsed="false">
      <c r="A48" s="15"/>
      <c r="B48" s="15"/>
      <c r="C48" s="15"/>
      <c r="D48" s="15"/>
      <c r="E48" s="15"/>
      <c r="F48" s="15"/>
      <c r="G48" s="16" t="str">
        <f aca="false">IF(A48="","",IF(F48="","No interface recorded",IF(F48="N/A","OK (in-system)",IF(COUNTIF(Interface_Register!$A$5:$A$204,F48)=0,"INT-ID not in register","OK"))))</f>
        <v/>
      </c>
      <c r="H48" s="15"/>
    </row>
    <row r="49" customFormat="false" ht="15" hidden="false" customHeight="false" outlineLevel="0" collapsed="false">
      <c r="A49" s="15"/>
      <c r="B49" s="15"/>
      <c r="C49" s="15"/>
      <c r="D49" s="15"/>
      <c r="E49" s="15"/>
      <c r="F49" s="15"/>
      <c r="G49" s="16" t="str">
        <f aca="false">IF(A49="","",IF(F49="","No interface recorded",IF(F49="N/A","OK (in-system)",IF(COUNTIF(Interface_Register!$A$5:$A$204,F49)=0,"INT-ID not in register","OK"))))</f>
        <v/>
      </c>
      <c r="H49" s="15"/>
    </row>
    <row r="50" customFormat="false" ht="15" hidden="false" customHeight="false" outlineLevel="0" collapsed="false">
      <c r="A50" s="15"/>
      <c r="B50" s="15"/>
      <c r="C50" s="15"/>
      <c r="D50" s="15"/>
      <c r="E50" s="15"/>
      <c r="F50" s="15"/>
      <c r="G50" s="16" t="str">
        <f aca="false">IF(A50="","",IF(F50="","No interface recorded",IF(F50="N/A","OK (in-system)",IF(COUNTIF(Interface_Register!$A$5:$A$204,F50)=0,"INT-ID not in register","OK"))))</f>
        <v/>
      </c>
      <c r="H50" s="15"/>
    </row>
    <row r="51" customFormat="false" ht="15" hidden="false" customHeight="false" outlineLevel="0" collapsed="false">
      <c r="A51" s="15"/>
      <c r="B51" s="15"/>
      <c r="C51" s="15"/>
      <c r="D51" s="15"/>
      <c r="E51" s="15"/>
      <c r="F51" s="15"/>
      <c r="G51" s="16" t="str">
        <f aca="false">IF(A51="","",IF(F51="","No interface recorded",IF(F51="N/A","OK (in-system)",IF(COUNTIF(Interface_Register!$A$5:$A$204,F51)=0,"INT-ID not in register","OK"))))</f>
        <v/>
      </c>
      <c r="H51" s="15"/>
    </row>
    <row r="52" customFormat="false" ht="15" hidden="false" customHeight="false" outlineLevel="0" collapsed="false">
      <c r="A52" s="15"/>
      <c r="B52" s="15"/>
      <c r="C52" s="15"/>
      <c r="D52" s="15"/>
      <c r="E52" s="15"/>
      <c r="F52" s="15"/>
      <c r="G52" s="16" t="str">
        <f aca="false">IF(A52="","",IF(F52="","No interface recorded",IF(F52="N/A","OK (in-system)",IF(COUNTIF(Interface_Register!$A$5:$A$204,F52)=0,"INT-ID not in register","OK"))))</f>
        <v/>
      </c>
      <c r="H52" s="15"/>
    </row>
    <row r="53" customFormat="false" ht="15" hidden="false" customHeight="false" outlineLevel="0" collapsed="false">
      <c r="A53" s="15"/>
      <c r="B53" s="15"/>
      <c r="C53" s="15"/>
      <c r="D53" s="15"/>
      <c r="E53" s="15"/>
      <c r="F53" s="15"/>
      <c r="G53" s="16" t="str">
        <f aca="false">IF(A53="","",IF(F53="","No interface recorded",IF(F53="N/A","OK (in-system)",IF(COUNTIF(Interface_Register!$A$5:$A$204,F53)=0,"INT-ID not in register","OK"))))</f>
        <v/>
      </c>
      <c r="H53" s="15"/>
    </row>
    <row r="54" customFormat="false" ht="15" hidden="false" customHeight="false" outlineLevel="0" collapsed="false">
      <c r="A54" s="15"/>
      <c r="B54" s="15"/>
      <c r="C54" s="15"/>
      <c r="D54" s="15"/>
      <c r="E54" s="15"/>
      <c r="F54" s="15"/>
      <c r="G54" s="16" t="str">
        <f aca="false">IF(A54="","",IF(F54="","No interface recorded",IF(F54="N/A","OK (in-system)",IF(COUNTIF(Interface_Register!$A$5:$A$204,F54)=0,"INT-ID not in register","OK"))))</f>
        <v/>
      </c>
      <c r="H54" s="15"/>
    </row>
    <row r="55" customFormat="false" ht="15" hidden="false" customHeight="false" outlineLevel="0" collapsed="false">
      <c r="A55" s="15"/>
      <c r="B55" s="15"/>
      <c r="C55" s="15"/>
      <c r="D55" s="15"/>
      <c r="E55" s="15"/>
      <c r="F55" s="15"/>
      <c r="G55" s="16" t="str">
        <f aca="false">IF(A55="","",IF(F55="","No interface recorded",IF(F55="N/A","OK (in-system)",IF(COUNTIF(Interface_Register!$A$5:$A$204,F55)=0,"INT-ID not in register","OK"))))</f>
        <v/>
      </c>
      <c r="H55" s="15"/>
    </row>
    <row r="56" customFormat="false" ht="15" hidden="false" customHeight="false" outlineLevel="0" collapsed="false">
      <c r="A56" s="15"/>
      <c r="B56" s="15"/>
      <c r="C56" s="15"/>
      <c r="D56" s="15"/>
      <c r="E56" s="15"/>
      <c r="F56" s="15"/>
      <c r="G56" s="16" t="str">
        <f aca="false">IF(A56="","",IF(F56="","No interface recorded",IF(F56="N/A","OK (in-system)",IF(COUNTIF(Interface_Register!$A$5:$A$204,F56)=0,"INT-ID not in register","OK"))))</f>
        <v/>
      </c>
      <c r="H56" s="15"/>
    </row>
    <row r="57" customFormat="false" ht="15" hidden="false" customHeight="false" outlineLevel="0" collapsed="false">
      <c r="A57" s="15"/>
      <c r="B57" s="15"/>
      <c r="C57" s="15"/>
      <c r="D57" s="15"/>
      <c r="E57" s="15"/>
      <c r="F57" s="15"/>
      <c r="G57" s="16" t="str">
        <f aca="false">IF(A57="","",IF(F57="","No interface recorded",IF(F57="N/A","OK (in-system)",IF(COUNTIF(Interface_Register!$A$5:$A$204,F57)=0,"INT-ID not in register","OK"))))</f>
        <v/>
      </c>
      <c r="H57" s="15"/>
    </row>
    <row r="58" customFormat="false" ht="15" hidden="false" customHeight="false" outlineLevel="0" collapsed="false">
      <c r="A58" s="15"/>
      <c r="B58" s="15"/>
      <c r="C58" s="15"/>
      <c r="D58" s="15"/>
      <c r="E58" s="15"/>
      <c r="F58" s="15"/>
      <c r="G58" s="16" t="str">
        <f aca="false">IF(A58="","",IF(F58="","No interface recorded",IF(F58="N/A","OK (in-system)",IF(COUNTIF(Interface_Register!$A$5:$A$204,F58)=0,"INT-ID not in register","OK"))))</f>
        <v/>
      </c>
      <c r="H58" s="15"/>
    </row>
    <row r="59" customFormat="false" ht="15" hidden="false" customHeight="false" outlineLevel="0" collapsed="false">
      <c r="A59" s="15"/>
      <c r="B59" s="15"/>
      <c r="C59" s="15"/>
      <c r="D59" s="15"/>
      <c r="E59" s="15"/>
      <c r="F59" s="15"/>
      <c r="G59" s="16" t="str">
        <f aca="false">IF(A59="","",IF(F59="","No interface recorded",IF(F59="N/A","OK (in-system)",IF(COUNTIF(Interface_Register!$A$5:$A$204,F59)=0,"INT-ID not in register","OK"))))</f>
        <v/>
      </c>
      <c r="H59" s="15"/>
    </row>
    <row r="60" customFormat="false" ht="15" hidden="false" customHeight="false" outlineLevel="0" collapsed="false">
      <c r="A60" s="15"/>
      <c r="B60" s="15"/>
      <c r="C60" s="15"/>
      <c r="D60" s="15"/>
      <c r="E60" s="15"/>
      <c r="F60" s="15"/>
      <c r="G60" s="16" t="str">
        <f aca="false">IF(A60="","",IF(F60="","No interface recorded",IF(F60="N/A","OK (in-system)",IF(COUNTIF(Interface_Register!$A$5:$A$204,F60)=0,"INT-ID not in register","OK"))))</f>
        <v/>
      </c>
      <c r="H60" s="15"/>
    </row>
    <row r="61" customFormat="false" ht="15" hidden="false" customHeight="false" outlineLevel="0" collapsed="false">
      <c r="A61" s="15"/>
      <c r="B61" s="15"/>
      <c r="C61" s="15"/>
      <c r="D61" s="15"/>
      <c r="E61" s="15"/>
      <c r="F61" s="15"/>
      <c r="G61" s="16" t="str">
        <f aca="false">IF(A61="","",IF(F61="","No interface recorded",IF(F61="N/A","OK (in-system)",IF(COUNTIF(Interface_Register!$A$5:$A$204,F61)=0,"INT-ID not in register","OK"))))</f>
        <v/>
      </c>
      <c r="H61" s="15"/>
    </row>
    <row r="62" customFormat="false" ht="15" hidden="false" customHeight="false" outlineLevel="0" collapsed="false">
      <c r="A62" s="15"/>
      <c r="B62" s="15"/>
      <c r="C62" s="15"/>
      <c r="D62" s="15"/>
      <c r="E62" s="15"/>
      <c r="F62" s="15"/>
      <c r="G62" s="16" t="str">
        <f aca="false">IF(A62="","",IF(F62="","No interface recorded",IF(F62="N/A","OK (in-system)",IF(COUNTIF(Interface_Register!$A$5:$A$204,F62)=0,"INT-ID not in register","OK"))))</f>
        <v/>
      </c>
      <c r="H62" s="15"/>
    </row>
    <row r="63" customFormat="false" ht="15" hidden="false" customHeight="false" outlineLevel="0" collapsed="false">
      <c r="A63" s="15"/>
      <c r="B63" s="15"/>
      <c r="C63" s="15"/>
      <c r="D63" s="15"/>
      <c r="E63" s="15"/>
      <c r="F63" s="15"/>
      <c r="G63" s="16" t="str">
        <f aca="false">IF(A63="","",IF(F63="","No interface recorded",IF(F63="N/A","OK (in-system)",IF(COUNTIF(Interface_Register!$A$5:$A$204,F63)=0,"INT-ID not in register","OK"))))</f>
        <v/>
      </c>
      <c r="H63" s="15"/>
    </row>
    <row r="64" customFormat="false" ht="15" hidden="false" customHeight="false" outlineLevel="0" collapsed="false">
      <c r="A64" s="15"/>
      <c r="B64" s="15"/>
      <c r="C64" s="15"/>
      <c r="D64" s="15"/>
      <c r="E64" s="15"/>
      <c r="F64" s="15"/>
      <c r="G64" s="16" t="str">
        <f aca="false">IF(A64="","",IF(F64="","No interface recorded",IF(F64="N/A","OK (in-system)",IF(COUNTIF(Interface_Register!$A$5:$A$204,F64)=0,"INT-ID not in register","OK"))))</f>
        <v/>
      </c>
      <c r="H64" s="15"/>
    </row>
    <row r="65" customFormat="false" ht="15" hidden="false" customHeight="false" outlineLevel="0" collapsed="false">
      <c r="A65" s="15"/>
      <c r="B65" s="15"/>
      <c r="C65" s="15"/>
      <c r="D65" s="15"/>
      <c r="E65" s="15"/>
      <c r="F65" s="15"/>
      <c r="G65" s="16" t="str">
        <f aca="false">IF(A65="","",IF(F65="","No interface recorded",IF(F65="N/A","OK (in-system)",IF(COUNTIF(Interface_Register!$A$5:$A$204,F65)=0,"INT-ID not in register","OK"))))</f>
        <v/>
      </c>
      <c r="H65" s="15"/>
    </row>
    <row r="66" customFormat="false" ht="15" hidden="false" customHeight="false" outlineLevel="0" collapsed="false">
      <c r="A66" s="15"/>
      <c r="B66" s="15"/>
      <c r="C66" s="15"/>
      <c r="D66" s="15"/>
      <c r="E66" s="15"/>
      <c r="F66" s="15"/>
      <c r="G66" s="16" t="str">
        <f aca="false">IF(A66="","",IF(F66="","No interface recorded",IF(F66="N/A","OK (in-system)",IF(COUNTIF(Interface_Register!$A$5:$A$204,F66)=0,"INT-ID not in register","OK"))))</f>
        <v/>
      </c>
      <c r="H66" s="15"/>
    </row>
    <row r="67" customFormat="false" ht="15" hidden="false" customHeight="false" outlineLevel="0" collapsed="false">
      <c r="A67" s="15"/>
      <c r="B67" s="15"/>
      <c r="C67" s="15"/>
      <c r="D67" s="15"/>
      <c r="E67" s="15"/>
      <c r="F67" s="15"/>
      <c r="G67" s="16" t="str">
        <f aca="false">IF(A67="","",IF(F67="","No interface recorded",IF(F67="N/A","OK (in-system)",IF(COUNTIF(Interface_Register!$A$5:$A$204,F67)=0,"INT-ID not in register","OK"))))</f>
        <v/>
      </c>
      <c r="H67" s="15"/>
    </row>
    <row r="68" customFormat="false" ht="15" hidden="false" customHeight="false" outlineLevel="0" collapsed="false">
      <c r="A68" s="15"/>
      <c r="B68" s="15"/>
      <c r="C68" s="15"/>
      <c r="D68" s="15"/>
      <c r="E68" s="15"/>
      <c r="F68" s="15"/>
      <c r="G68" s="16" t="str">
        <f aca="false">IF(A68="","",IF(F68="","No interface recorded",IF(F68="N/A","OK (in-system)",IF(COUNTIF(Interface_Register!$A$5:$A$204,F68)=0,"INT-ID not in register","OK"))))</f>
        <v/>
      </c>
      <c r="H68" s="15"/>
    </row>
    <row r="69" customFormat="false" ht="15" hidden="false" customHeight="false" outlineLevel="0" collapsed="false">
      <c r="A69" s="15"/>
      <c r="B69" s="15"/>
      <c r="C69" s="15"/>
      <c r="D69" s="15"/>
      <c r="E69" s="15"/>
      <c r="F69" s="15"/>
      <c r="G69" s="16" t="str">
        <f aca="false">IF(A69="","",IF(F69="","No interface recorded",IF(F69="N/A","OK (in-system)",IF(COUNTIF(Interface_Register!$A$5:$A$204,F69)=0,"INT-ID not in register","OK"))))</f>
        <v/>
      </c>
      <c r="H69" s="15"/>
    </row>
    <row r="70" customFormat="false" ht="15" hidden="false" customHeight="false" outlineLevel="0" collapsed="false">
      <c r="A70" s="15"/>
      <c r="B70" s="15"/>
      <c r="C70" s="15"/>
      <c r="D70" s="15"/>
      <c r="E70" s="15"/>
      <c r="F70" s="15"/>
      <c r="G70" s="16" t="str">
        <f aca="false">IF(A70="","",IF(F70="","No interface recorded",IF(F70="N/A","OK (in-system)",IF(COUNTIF(Interface_Register!$A$5:$A$204,F70)=0,"INT-ID not in register","OK"))))</f>
        <v/>
      </c>
      <c r="H70" s="15"/>
    </row>
    <row r="71" customFormat="false" ht="15" hidden="false" customHeight="false" outlineLevel="0" collapsed="false">
      <c r="A71" s="15"/>
      <c r="B71" s="15"/>
      <c r="C71" s="15"/>
      <c r="D71" s="15"/>
      <c r="E71" s="15"/>
      <c r="F71" s="15"/>
      <c r="G71" s="16" t="str">
        <f aca="false">IF(A71="","",IF(F71="","No interface recorded",IF(F71="N/A","OK (in-system)",IF(COUNTIF(Interface_Register!$A$5:$A$204,F71)=0,"INT-ID not in register","OK"))))</f>
        <v/>
      </c>
      <c r="H71" s="15"/>
    </row>
    <row r="72" customFormat="false" ht="15" hidden="false" customHeight="false" outlineLevel="0" collapsed="false">
      <c r="A72" s="15"/>
      <c r="B72" s="15"/>
      <c r="C72" s="15"/>
      <c r="D72" s="15"/>
      <c r="E72" s="15"/>
      <c r="F72" s="15"/>
      <c r="G72" s="16" t="str">
        <f aca="false">IF(A72="","",IF(F72="","No interface recorded",IF(F72="N/A","OK (in-system)",IF(COUNTIF(Interface_Register!$A$5:$A$204,F72)=0,"INT-ID not in register","OK"))))</f>
        <v/>
      </c>
      <c r="H72" s="15"/>
    </row>
    <row r="73" customFormat="false" ht="15" hidden="false" customHeight="false" outlineLevel="0" collapsed="false">
      <c r="A73" s="15"/>
      <c r="B73" s="15"/>
      <c r="C73" s="15"/>
      <c r="D73" s="15"/>
      <c r="E73" s="15"/>
      <c r="F73" s="15"/>
      <c r="G73" s="16" t="str">
        <f aca="false">IF(A73="","",IF(F73="","No interface recorded",IF(F73="N/A","OK (in-system)",IF(COUNTIF(Interface_Register!$A$5:$A$204,F73)=0,"INT-ID not in register","OK"))))</f>
        <v/>
      </c>
      <c r="H73" s="15"/>
    </row>
    <row r="74" customFormat="false" ht="15" hidden="false" customHeight="false" outlineLevel="0" collapsed="false">
      <c r="A74" s="15"/>
      <c r="B74" s="15"/>
      <c r="C74" s="15"/>
      <c r="D74" s="15"/>
      <c r="E74" s="15"/>
      <c r="F74" s="15"/>
      <c r="G74" s="16" t="str">
        <f aca="false">IF(A74="","",IF(F74="","No interface recorded",IF(F74="N/A","OK (in-system)",IF(COUNTIF(Interface_Register!$A$5:$A$204,F74)=0,"INT-ID not in register","OK"))))</f>
        <v/>
      </c>
      <c r="H74" s="15"/>
    </row>
    <row r="75" customFormat="false" ht="15" hidden="false" customHeight="false" outlineLevel="0" collapsed="false">
      <c r="A75" s="15"/>
      <c r="B75" s="15"/>
      <c r="C75" s="15"/>
      <c r="D75" s="15"/>
      <c r="E75" s="15"/>
      <c r="F75" s="15"/>
      <c r="G75" s="16" t="str">
        <f aca="false">IF(A75="","",IF(F75="","No interface recorded",IF(F75="N/A","OK (in-system)",IF(COUNTIF(Interface_Register!$A$5:$A$204,F75)=0,"INT-ID not in register","OK"))))</f>
        <v/>
      </c>
      <c r="H75" s="15"/>
    </row>
    <row r="76" customFormat="false" ht="15" hidden="false" customHeight="false" outlineLevel="0" collapsed="false">
      <c r="A76" s="15"/>
      <c r="B76" s="15"/>
      <c r="C76" s="15"/>
      <c r="D76" s="15"/>
      <c r="E76" s="15"/>
      <c r="F76" s="15"/>
      <c r="G76" s="16" t="str">
        <f aca="false">IF(A76="","",IF(F76="","No interface recorded",IF(F76="N/A","OK (in-system)",IF(COUNTIF(Interface_Register!$A$5:$A$204,F76)=0,"INT-ID not in register","OK"))))</f>
        <v/>
      </c>
      <c r="H76" s="15"/>
    </row>
    <row r="77" customFormat="false" ht="15" hidden="false" customHeight="false" outlineLevel="0" collapsed="false">
      <c r="A77" s="15"/>
      <c r="B77" s="15"/>
      <c r="C77" s="15"/>
      <c r="D77" s="15"/>
      <c r="E77" s="15"/>
      <c r="F77" s="15"/>
      <c r="G77" s="16" t="str">
        <f aca="false">IF(A77="","",IF(F77="","No interface recorded",IF(F77="N/A","OK (in-system)",IF(COUNTIF(Interface_Register!$A$5:$A$204,F77)=0,"INT-ID not in register","OK"))))</f>
        <v/>
      </c>
      <c r="H77" s="15"/>
    </row>
    <row r="78" customFormat="false" ht="15" hidden="false" customHeight="false" outlineLevel="0" collapsed="false">
      <c r="A78" s="15"/>
      <c r="B78" s="15"/>
      <c r="C78" s="15"/>
      <c r="D78" s="15"/>
      <c r="E78" s="15"/>
      <c r="F78" s="15"/>
      <c r="G78" s="16" t="str">
        <f aca="false">IF(A78="","",IF(F78="","No interface recorded",IF(F78="N/A","OK (in-system)",IF(COUNTIF(Interface_Register!$A$5:$A$204,F78)=0,"INT-ID not in register","OK"))))</f>
        <v/>
      </c>
      <c r="H78" s="15"/>
    </row>
    <row r="79" customFormat="false" ht="15" hidden="false" customHeight="false" outlineLevel="0" collapsed="false">
      <c r="A79" s="15"/>
      <c r="B79" s="15"/>
      <c r="C79" s="15"/>
      <c r="D79" s="15"/>
      <c r="E79" s="15"/>
      <c r="F79" s="15"/>
      <c r="G79" s="16" t="str">
        <f aca="false">IF(A79="","",IF(F79="","No interface recorded",IF(F79="N/A","OK (in-system)",IF(COUNTIF(Interface_Register!$A$5:$A$204,F79)=0,"INT-ID not in register","OK"))))</f>
        <v/>
      </c>
      <c r="H79" s="15"/>
    </row>
    <row r="80" customFormat="false" ht="15" hidden="false" customHeight="false" outlineLevel="0" collapsed="false">
      <c r="A80" s="15"/>
      <c r="B80" s="15"/>
      <c r="C80" s="15"/>
      <c r="D80" s="15"/>
      <c r="E80" s="15"/>
      <c r="F80" s="15"/>
      <c r="G80" s="16" t="str">
        <f aca="false">IF(A80="","",IF(F80="","No interface recorded",IF(F80="N/A","OK (in-system)",IF(COUNTIF(Interface_Register!$A$5:$A$204,F80)=0,"INT-ID not in register","OK"))))</f>
        <v/>
      </c>
      <c r="H80" s="15"/>
    </row>
    <row r="81" customFormat="false" ht="15" hidden="false" customHeight="false" outlineLevel="0" collapsed="false">
      <c r="A81" s="15"/>
      <c r="B81" s="15"/>
      <c r="C81" s="15"/>
      <c r="D81" s="15"/>
      <c r="E81" s="15"/>
      <c r="F81" s="15"/>
      <c r="G81" s="16" t="str">
        <f aca="false">IF(A81="","",IF(F81="","No interface recorded",IF(F81="N/A","OK (in-system)",IF(COUNTIF(Interface_Register!$A$5:$A$204,F81)=0,"INT-ID not in register","OK"))))</f>
        <v/>
      </c>
      <c r="H81" s="15"/>
    </row>
    <row r="82" customFormat="false" ht="15" hidden="false" customHeight="false" outlineLevel="0" collapsed="false">
      <c r="A82" s="15"/>
      <c r="B82" s="15"/>
      <c r="C82" s="15"/>
      <c r="D82" s="15"/>
      <c r="E82" s="15"/>
      <c r="F82" s="15"/>
      <c r="G82" s="16" t="str">
        <f aca="false">IF(A82="","",IF(F82="","No interface recorded",IF(F82="N/A","OK (in-system)",IF(COUNTIF(Interface_Register!$A$5:$A$204,F82)=0,"INT-ID not in register","OK"))))</f>
        <v/>
      </c>
      <c r="H82" s="15"/>
    </row>
    <row r="83" customFormat="false" ht="15" hidden="false" customHeight="false" outlineLevel="0" collapsed="false">
      <c r="A83" s="15"/>
      <c r="B83" s="15"/>
      <c r="C83" s="15"/>
      <c r="D83" s="15"/>
      <c r="E83" s="15"/>
      <c r="F83" s="15"/>
      <c r="G83" s="16" t="str">
        <f aca="false">IF(A83="","",IF(F83="","No interface recorded",IF(F83="N/A","OK (in-system)",IF(COUNTIF(Interface_Register!$A$5:$A$204,F83)=0,"INT-ID not in register","OK"))))</f>
        <v/>
      </c>
      <c r="H83" s="15"/>
    </row>
    <row r="84" customFormat="false" ht="15" hidden="false" customHeight="false" outlineLevel="0" collapsed="false">
      <c r="A84" s="15"/>
      <c r="B84" s="15"/>
      <c r="C84" s="15"/>
      <c r="D84" s="15"/>
      <c r="E84" s="15"/>
      <c r="F84" s="15"/>
      <c r="G84" s="16" t="str">
        <f aca="false">IF(A84="","",IF(F84="","No interface recorded",IF(F84="N/A","OK (in-system)",IF(COUNTIF(Interface_Register!$A$5:$A$204,F84)=0,"INT-ID not in register","OK"))))</f>
        <v/>
      </c>
      <c r="H84" s="15"/>
    </row>
    <row r="85" customFormat="false" ht="15" hidden="false" customHeight="false" outlineLevel="0" collapsed="false">
      <c r="A85" s="15"/>
      <c r="B85" s="15"/>
      <c r="C85" s="15"/>
      <c r="D85" s="15"/>
      <c r="E85" s="15"/>
      <c r="F85" s="15"/>
      <c r="G85" s="16" t="str">
        <f aca="false">IF(A85="","",IF(F85="","No interface recorded",IF(F85="N/A","OK (in-system)",IF(COUNTIF(Interface_Register!$A$5:$A$204,F85)=0,"INT-ID not in register","OK"))))</f>
        <v/>
      </c>
      <c r="H85" s="15"/>
    </row>
    <row r="86" customFormat="false" ht="15" hidden="false" customHeight="false" outlineLevel="0" collapsed="false">
      <c r="A86" s="15"/>
      <c r="B86" s="15"/>
      <c r="C86" s="15"/>
      <c r="D86" s="15"/>
      <c r="E86" s="15"/>
      <c r="F86" s="15"/>
      <c r="G86" s="16" t="str">
        <f aca="false">IF(A86="","",IF(F86="","No interface recorded",IF(F86="N/A","OK (in-system)",IF(COUNTIF(Interface_Register!$A$5:$A$204,F86)=0,"INT-ID not in register","OK"))))</f>
        <v/>
      </c>
      <c r="H86" s="15"/>
    </row>
    <row r="87" customFormat="false" ht="15" hidden="false" customHeight="false" outlineLevel="0" collapsed="false">
      <c r="A87" s="15"/>
      <c r="B87" s="15"/>
      <c r="C87" s="15"/>
      <c r="D87" s="15"/>
      <c r="E87" s="15"/>
      <c r="F87" s="15"/>
      <c r="G87" s="16" t="str">
        <f aca="false">IF(A87="","",IF(F87="","No interface recorded",IF(F87="N/A","OK (in-system)",IF(COUNTIF(Interface_Register!$A$5:$A$204,F87)=0,"INT-ID not in register","OK"))))</f>
        <v/>
      </c>
      <c r="H87" s="15"/>
    </row>
    <row r="88" customFormat="false" ht="15" hidden="false" customHeight="false" outlineLevel="0" collapsed="false">
      <c r="A88" s="15"/>
      <c r="B88" s="15"/>
      <c r="C88" s="15"/>
      <c r="D88" s="15"/>
      <c r="E88" s="15"/>
      <c r="F88" s="15"/>
      <c r="G88" s="16" t="str">
        <f aca="false">IF(A88="","",IF(F88="","No interface recorded",IF(F88="N/A","OK (in-system)",IF(COUNTIF(Interface_Register!$A$5:$A$204,F88)=0,"INT-ID not in register","OK"))))</f>
        <v/>
      </c>
      <c r="H88" s="15"/>
    </row>
    <row r="89" customFormat="false" ht="15" hidden="false" customHeight="false" outlineLevel="0" collapsed="false">
      <c r="A89" s="15"/>
      <c r="B89" s="15"/>
      <c r="C89" s="15"/>
      <c r="D89" s="15"/>
      <c r="E89" s="15"/>
      <c r="F89" s="15"/>
      <c r="G89" s="16" t="str">
        <f aca="false">IF(A89="","",IF(F89="","No interface recorded",IF(F89="N/A","OK (in-system)",IF(COUNTIF(Interface_Register!$A$5:$A$204,F89)=0,"INT-ID not in register","OK"))))</f>
        <v/>
      </c>
      <c r="H89" s="15"/>
    </row>
    <row r="90" customFormat="false" ht="15" hidden="false" customHeight="false" outlineLevel="0" collapsed="false">
      <c r="A90" s="15"/>
      <c r="B90" s="15"/>
      <c r="C90" s="15"/>
      <c r="D90" s="15"/>
      <c r="E90" s="15"/>
      <c r="F90" s="15"/>
      <c r="G90" s="16" t="str">
        <f aca="false">IF(A90="","",IF(F90="","No interface recorded",IF(F90="N/A","OK (in-system)",IF(COUNTIF(Interface_Register!$A$5:$A$204,F90)=0,"INT-ID not in register","OK"))))</f>
        <v/>
      </c>
      <c r="H90" s="15"/>
    </row>
    <row r="91" customFormat="false" ht="15" hidden="false" customHeight="false" outlineLevel="0" collapsed="false">
      <c r="A91" s="15"/>
      <c r="B91" s="15"/>
      <c r="C91" s="15"/>
      <c r="D91" s="15"/>
      <c r="E91" s="15"/>
      <c r="F91" s="15"/>
      <c r="G91" s="16" t="str">
        <f aca="false">IF(A91="","",IF(F91="","No interface recorded",IF(F91="N/A","OK (in-system)",IF(COUNTIF(Interface_Register!$A$5:$A$204,F91)=0,"INT-ID not in register","OK"))))</f>
        <v/>
      </c>
      <c r="H91" s="15"/>
    </row>
    <row r="92" customFormat="false" ht="15" hidden="false" customHeight="false" outlineLevel="0" collapsed="false">
      <c r="A92" s="15"/>
      <c r="B92" s="15"/>
      <c r="C92" s="15"/>
      <c r="D92" s="15"/>
      <c r="E92" s="15"/>
      <c r="F92" s="15"/>
      <c r="G92" s="16" t="str">
        <f aca="false">IF(A92="","",IF(F92="","No interface recorded",IF(F92="N/A","OK (in-system)",IF(COUNTIF(Interface_Register!$A$5:$A$204,F92)=0,"INT-ID not in register","OK"))))</f>
        <v/>
      </c>
      <c r="H92" s="15"/>
    </row>
    <row r="93" customFormat="false" ht="15" hidden="false" customHeight="false" outlineLevel="0" collapsed="false">
      <c r="A93" s="15"/>
      <c r="B93" s="15"/>
      <c r="C93" s="15"/>
      <c r="D93" s="15"/>
      <c r="E93" s="15"/>
      <c r="F93" s="15"/>
      <c r="G93" s="16" t="str">
        <f aca="false">IF(A93="","",IF(F93="","No interface recorded",IF(F93="N/A","OK (in-system)",IF(COUNTIF(Interface_Register!$A$5:$A$204,F93)=0,"INT-ID not in register","OK"))))</f>
        <v/>
      </c>
      <c r="H93" s="15"/>
    </row>
    <row r="94" customFormat="false" ht="15" hidden="false" customHeight="false" outlineLevel="0" collapsed="false">
      <c r="A94" s="15"/>
      <c r="B94" s="15"/>
      <c r="C94" s="15"/>
      <c r="D94" s="15"/>
      <c r="E94" s="15"/>
      <c r="F94" s="15"/>
      <c r="G94" s="16" t="str">
        <f aca="false">IF(A94="","",IF(F94="","No interface recorded",IF(F94="N/A","OK (in-system)",IF(COUNTIF(Interface_Register!$A$5:$A$204,F94)=0,"INT-ID not in register","OK"))))</f>
        <v/>
      </c>
      <c r="H94" s="15"/>
    </row>
    <row r="95" customFormat="false" ht="15" hidden="false" customHeight="false" outlineLevel="0" collapsed="false">
      <c r="A95" s="15"/>
      <c r="B95" s="15"/>
      <c r="C95" s="15"/>
      <c r="D95" s="15"/>
      <c r="E95" s="15"/>
      <c r="F95" s="15"/>
      <c r="G95" s="16" t="str">
        <f aca="false">IF(A95="","",IF(F95="","No interface recorded",IF(F95="N/A","OK (in-system)",IF(COUNTIF(Interface_Register!$A$5:$A$204,F95)=0,"INT-ID not in register","OK"))))</f>
        <v/>
      </c>
      <c r="H95" s="15"/>
    </row>
    <row r="96" customFormat="false" ht="15" hidden="false" customHeight="false" outlineLevel="0" collapsed="false">
      <c r="A96" s="15"/>
      <c r="B96" s="15"/>
      <c r="C96" s="15"/>
      <c r="D96" s="15"/>
      <c r="E96" s="15"/>
      <c r="F96" s="15"/>
      <c r="G96" s="16" t="str">
        <f aca="false">IF(A96="","",IF(F96="","No interface recorded",IF(F96="N/A","OK (in-system)",IF(COUNTIF(Interface_Register!$A$5:$A$204,F96)=0,"INT-ID not in register","OK"))))</f>
        <v/>
      </c>
      <c r="H96" s="15"/>
    </row>
    <row r="97" customFormat="false" ht="15" hidden="false" customHeight="false" outlineLevel="0" collapsed="false">
      <c r="A97" s="15"/>
      <c r="B97" s="15"/>
      <c r="C97" s="15"/>
      <c r="D97" s="15"/>
      <c r="E97" s="15"/>
      <c r="F97" s="15"/>
      <c r="G97" s="16" t="str">
        <f aca="false">IF(A97="","",IF(F97="","No interface recorded",IF(F97="N/A","OK (in-system)",IF(COUNTIF(Interface_Register!$A$5:$A$204,F97)=0,"INT-ID not in register","OK"))))</f>
        <v/>
      </c>
      <c r="H97" s="15"/>
    </row>
    <row r="98" customFormat="false" ht="15" hidden="false" customHeight="false" outlineLevel="0" collapsed="false">
      <c r="A98" s="15"/>
      <c r="B98" s="15"/>
      <c r="C98" s="15"/>
      <c r="D98" s="15"/>
      <c r="E98" s="15"/>
      <c r="F98" s="15"/>
      <c r="G98" s="16" t="str">
        <f aca="false">IF(A98="","",IF(F98="","No interface recorded",IF(F98="N/A","OK (in-system)",IF(COUNTIF(Interface_Register!$A$5:$A$204,F98)=0,"INT-ID not in register","OK"))))</f>
        <v/>
      </c>
      <c r="H98" s="15"/>
    </row>
    <row r="99" customFormat="false" ht="15" hidden="false" customHeight="false" outlineLevel="0" collapsed="false">
      <c r="A99" s="15"/>
      <c r="B99" s="15"/>
      <c r="C99" s="15"/>
      <c r="D99" s="15"/>
      <c r="E99" s="15"/>
      <c r="F99" s="15"/>
      <c r="G99" s="16" t="str">
        <f aca="false">IF(A99="","",IF(F99="","No interface recorded",IF(F99="N/A","OK (in-system)",IF(COUNTIF(Interface_Register!$A$5:$A$204,F99)=0,"INT-ID not in register","OK"))))</f>
        <v/>
      </c>
      <c r="H99" s="15"/>
    </row>
    <row r="100" customFormat="false" ht="15" hidden="false" customHeight="false" outlineLevel="0" collapsed="false">
      <c r="A100" s="15"/>
      <c r="B100" s="15"/>
      <c r="C100" s="15"/>
      <c r="D100" s="15"/>
      <c r="E100" s="15"/>
      <c r="F100" s="15"/>
      <c r="G100" s="16" t="str">
        <f aca="false">IF(A100="","",IF(F100="","No interface recorded",IF(F100="N/A","OK (in-system)",IF(COUNTIF(Interface_Register!$A$5:$A$204,F100)=0,"INT-ID not in register","OK"))))</f>
        <v/>
      </c>
      <c r="H100" s="15"/>
    </row>
    <row r="101" customFormat="false" ht="15" hidden="false" customHeight="false" outlineLevel="0" collapsed="false">
      <c r="A101" s="15"/>
      <c r="B101" s="15"/>
      <c r="C101" s="15"/>
      <c r="D101" s="15"/>
      <c r="E101" s="15"/>
      <c r="F101" s="15"/>
      <c r="G101" s="16" t="str">
        <f aca="false">IF(A101="","",IF(F101="","No interface recorded",IF(F101="N/A","OK (in-system)",IF(COUNTIF(Interface_Register!$A$5:$A$204,F101)=0,"INT-ID not in register","OK"))))</f>
        <v/>
      </c>
      <c r="H101" s="15"/>
    </row>
    <row r="102" customFormat="false" ht="15" hidden="false" customHeight="false" outlineLevel="0" collapsed="false">
      <c r="A102" s="15"/>
      <c r="B102" s="15"/>
      <c r="C102" s="15"/>
      <c r="D102" s="15"/>
      <c r="E102" s="15"/>
      <c r="F102" s="15"/>
      <c r="G102" s="16" t="str">
        <f aca="false">IF(A102="","",IF(F102="","No interface recorded",IF(F102="N/A","OK (in-system)",IF(COUNTIF(Interface_Register!$A$5:$A$204,F102)=0,"INT-ID not in register","OK"))))</f>
        <v/>
      </c>
      <c r="H102" s="15"/>
    </row>
    <row r="103" customFormat="false" ht="15" hidden="false" customHeight="false" outlineLevel="0" collapsed="false">
      <c r="A103" s="15"/>
      <c r="B103" s="15"/>
      <c r="C103" s="15"/>
      <c r="D103" s="15"/>
      <c r="E103" s="15"/>
      <c r="F103" s="15"/>
      <c r="G103" s="16" t="str">
        <f aca="false">IF(A103="","",IF(F103="","No interface recorded",IF(F103="N/A","OK (in-system)",IF(COUNTIF(Interface_Register!$A$5:$A$204,F103)=0,"INT-ID not in register","OK"))))</f>
        <v/>
      </c>
      <c r="H103" s="15"/>
    </row>
    <row r="104" customFormat="false" ht="15" hidden="false" customHeight="false" outlineLevel="0" collapsed="false">
      <c r="A104" s="15"/>
      <c r="B104" s="15"/>
      <c r="C104" s="15"/>
      <c r="D104" s="15"/>
      <c r="E104" s="15"/>
      <c r="F104" s="15"/>
      <c r="G104" s="16" t="str">
        <f aca="false">IF(A104="","",IF(F104="","No interface recorded",IF(F104="N/A","OK (in-system)",IF(COUNTIF(Interface_Register!$A$5:$A$204,F104)=0,"INT-ID not in register","OK"))))</f>
        <v/>
      </c>
      <c r="H104" s="15"/>
    </row>
    <row r="105" customFormat="false" ht="15" hidden="false" customHeight="false" outlineLevel="0" collapsed="false">
      <c r="A105" s="15"/>
      <c r="B105" s="15"/>
      <c r="C105" s="15"/>
      <c r="D105" s="15"/>
      <c r="E105" s="15"/>
      <c r="F105" s="15"/>
      <c r="G105" s="16" t="str">
        <f aca="false">IF(A105="","",IF(F105="","No interface recorded",IF(F105="N/A","OK (in-system)",IF(COUNTIF(Interface_Register!$A$5:$A$204,F105)=0,"INT-ID not in register","OK"))))</f>
        <v/>
      </c>
      <c r="H105" s="15"/>
    </row>
    <row r="106" customFormat="false" ht="15" hidden="false" customHeight="false" outlineLevel="0" collapsed="false">
      <c r="A106" s="15"/>
      <c r="B106" s="15"/>
      <c r="C106" s="15"/>
      <c r="D106" s="15"/>
      <c r="E106" s="15"/>
      <c r="F106" s="15"/>
      <c r="G106" s="16" t="str">
        <f aca="false">IF(A106="","",IF(F106="","No interface recorded",IF(F106="N/A","OK (in-system)",IF(COUNTIF(Interface_Register!$A$5:$A$204,F106)=0,"INT-ID not in register","OK"))))</f>
        <v/>
      </c>
      <c r="H106" s="15"/>
    </row>
    <row r="107" customFormat="false" ht="15" hidden="false" customHeight="false" outlineLevel="0" collapsed="false">
      <c r="A107" s="15"/>
      <c r="B107" s="15"/>
      <c r="C107" s="15"/>
      <c r="D107" s="15"/>
      <c r="E107" s="15"/>
      <c r="F107" s="15"/>
      <c r="G107" s="16" t="str">
        <f aca="false">IF(A107="","",IF(F107="","No interface recorded",IF(F107="N/A","OK (in-system)",IF(COUNTIF(Interface_Register!$A$5:$A$204,F107)=0,"INT-ID not in register","OK"))))</f>
        <v/>
      </c>
      <c r="H107" s="15"/>
    </row>
    <row r="108" customFormat="false" ht="15" hidden="false" customHeight="false" outlineLevel="0" collapsed="false">
      <c r="A108" s="15"/>
      <c r="B108" s="15"/>
      <c r="C108" s="15"/>
      <c r="D108" s="15"/>
      <c r="E108" s="15"/>
      <c r="F108" s="15"/>
      <c r="G108" s="16" t="str">
        <f aca="false">IF(A108="","",IF(F108="","No interface recorded",IF(F108="N/A","OK (in-system)",IF(COUNTIF(Interface_Register!$A$5:$A$204,F108)=0,"INT-ID not in register","OK"))))</f>
        <v/>
      </c>
      <c r="H108" s="15"/>
    </row>
    <row r="109" customFormat="false" ht="15" hidden="false" customHeight="false" outlineLevel="0" collapsed="false">
      <c r="A109" s="15"/>
      <c r="B109" s="15"/>
      <c r="C109" s="15"/>
      <c r="D109" s="15"/>
      <c r="E109" s="15"/>
      <c r="F109" s="15"/>
      <c r="G109" s="16" t="str">
        <f aca="false">IF(A109="","",IF(F109="","No interface recorded",IF(F109="N/A","OK (in-system)",IF(COUNTIF(Interface_Register!$A$5:$A$204,F109)=0,"INT-ID not in register","OK"))))</f>
        <v/>
      </c>
      <c r="H109" s="15"/>
    </row>
    <row r="110" customFormat="false" ht="15" hidden="false" customHeight="false" outlineLevel="0" collapsed="false">
      <c r="A110" s="15"/>
      <c r="B110" s="15"/>
      <c r="C110" s="15"/>
      <c r="D110" s="15"/>
      <c r="E110" s="15"/>
      <c r="F110" s="15"/>
      <c r="G110" s="16" t="str">
        <f aca="false">IF(A110="","",IF(F110="","No interface recorded",IF(F110="N/A","OK (in-system)",IF(COUNTIF(Interface_Register!$A$5:$A$204,F110)=0,"INT-ID not in register","OK"))))</f>
        <v/>
      </c>
      <c r="H110" s="15"/>
    </row>
    <row r="111" customFormat="false" ht="15" hidden="false" customHeight="false" outlineLevel="0" collapsed="false">
      <c r="A111" s="15"/>
      <c r="B111" s="15"/>
      <c r="C111" s="15"/>
      <c r="D111" s="15"/>
      <c r="E111" s="15"/>
      <c r="F111" s="15"/>
      <c r="G111" s="16" t="str">
        <f aca="false">IF(A111="","",IF(F111="","No interface recorded",IF(F111="N/A","OK (in-system)",IF(COUNTIF(Interface_Register!$A$5:$A$204,F111)=0,"INT-ID not in register","OK"))))</f>
        <v/>
      </c>
      <c r="H111" s="15"/>
    </row>
    <row r="112" customFormat="false" ht="15" hidden="false" customHeight="false" outlineLevel="0" collapsed="false">
      <c r="A112" s="15"/>
      <c r="B112" s="15"/>
      <c r="C112" s="15"/>
      <c r="D112" s="15"/>
      <c r="E112" s="15"/>
      <c r="F112" s="15"/>
      <c r="G112" s="16" t="str">
        <f aca="false">IF(A112="","",IF(F112="","No interface recorded",IF(F112="N/A","OK (in-system)",IF(COUNTIF(Interface_Register!$A$5:$A$204,F112)=0,"INT-ID not in register","OK"))))</f>
        <v/>
      </c>
      <c r="H112" s="15"/>
    </row>
    <row r="113" customFormat="false" ht="15" hidden="false" customHeight="false" outlineLevel="0" collapsed="false">
      <c r="A113" s="15"/>
      <c r="B113" s="15"/>
      <c r="C113" s="15"/>
      <c r="D113" s="15"/>
      <c r="E113" s="15"/>
      <c r="F113" s="15"/>
      <c r="G113" s="16" t="str">
        <f aca="false">IF(A113="","",IF(F113="","No interface recorded",IF(F113="N/A","OK (in-system)",IF(COUNTIF(Interface_Register!$A$5:$A$204,F113)=0,"INT-ID not in register","OK"))))</f>
        <v/>
      </c>
      <c r="H113" s="15"/>
    </row>
    <row r="114" customFormat="false" ht="15" hidden="false" customHeight="false" outlineLevel="0" collapsed="false">
      <c r="A114" s="15"/>
      <c r="B114" s="15"/>
      <c r="C114" s="15"/>
      <c r="D114" s="15"/>
      <c r="E114" s="15"/>
      <c r="F114" s="15"/>
      <c r="G114" s="16" t="str">
        <f aca="false">IF(A114="","",IF(F114="","No interface recorded",IF(F114="N/A","OK (in-system)",IF(COUNTIF(Interface_Register!$A$5:$A$204,F114)=0,"INT-ID not in register","OK"))))</f>
        <v/>
      </c>
      <c r="H114" s="15"/>
    </row>
    <row r="115" customFormat="false" ht="15" hidden="false" customHeight="false" outlineLevel="0" collapsed="false">
      <c r="A115" s="15"/>
      <c r="B115" s="15"/>
      <c r="C115" s="15"/>
      <c r="D115" s="15"/>
      <c r="E115" s="15"/>
      <c r="F115" s="15"/>
      <c r="G115" s="16" t="str">
        <f aca="false">IF(A115="","",IF(F115="","No interface recorded",IF(F115="N/A","OK (in-system)",IF(COUNTIF(Interface_Register!$A$5:$A$204,F115)=0,"INT-ID not in register","OK"))))</f>
        <v/>
      </c>
      <c r="H115" s="15"/>
    </row>
    <row r="116" customFormat="false" ht="15" hidden="false" customHeight="false" outlineLevel="0" collapsed="false">
      <c r="A116" s="15"/>
      <c r="B116" s="15"/>
      <c r="C116" s="15"/>
      <c r="D116" s="15"/>
      <c r="E116" s="15"/>
      <c r="F116" s="15"/>
      <c r="G116" s="16" t="str">
        <f aca="false">IF(A116="","",IF(F116="","No interface recorded",IF(F116="N/A","OK (in-system)",IF(COUNTIF(Interface_Register!$A$5:$A$204,F116)=0,"INT-ID not in register","OK"))))</f>
        <v/>
      </c>
      <c r="H116" s="15"/>
    </row>
    <row r="117" customFormat="false" ht="15" hidden="false" customHeight="false" outlineLevel="0" collapsed="false">
      <c r="A117" s="15"/>
      <c r="B117" s="15"/>
      <c r="C117" s="15"/>
      <c r="D117" s="15"/>
      <c r="E117" s="15"/>
      <c r="F117" s="15"/>
      <c r="G117" s="16" t="str">
        <f aca="false">IF(A117="","",IF(F117="","No interface recorded",IF(F117="N/A","OK (in-system)",IF(COUNTIF(Interface_Register!$A$5:$A$204,F117)=0,"INT-ID not in register","OK"))))</f>
        <v/>
      </c>
      <c r="H117" s="15"/>
    </row>
    <row r="118" customFormat="false" ht="15" hidden="false" customHeight="false" outlineLevel="0" collapsed="false">
      <c r="A118" s="15"/>
      <c r="B118" s="15"/>
      <c r="C118" s="15"/>
      <c r="D118" s="15"/>
      <c r="E118" s="15"/>
      <c r="F118" s="15"/>
      <c r="G118" s="16" t="str">
        <f aca="false">IF(A118="","",IF(F118="","No interface recorded",IF(F118="N/A","OK (in-system)",IF(COUNTIF(Interface_Register!$A$5:$A$204,F118)=0,"INT-ID not in register","OK"))))</f>
        <v/>
      </c>
      <c r="H118" s="15"/>
    </row>
    <row r="119" customFormat="false" ht="15" hidden="false" customHeight="false" outlineLevel="0" collapsed="false">
      <c r="A119" s="15"/>
      <c r="B119" s="15"/>
      <c r="C119" s="15"/>
      <c r="D119" s="15"/>
      <c r="E119" s="15"/>
      <c r="F119" s="15"/>
      <c r="G119" s="16" t="str">
        <f aca="false">IF(A119="","",IF(F119="","No interface recorded",IF(F119="N/A","OK (in-system)",IF(COUNTIF(Interface_Register!$A$5:$A$204,F119)=0,"INT-ID not in register","OK"))))</f>
        <v/>
      </c>
      <c r="H119" s="15"/>
    </row>
    <row r="120" customFormat="false" ht="15" hidden="false" customHeight="false" outlineLevel="0" collapsed="false">
      <c r="A120" s="15"/>
      <c r="B120" s="15"/>
      <c r="C120" s="15"/>
      <c r="D120" s="15"/>
      <c r="E120" s="15"/>
      <c r="F120" s="15"/>
      <c r="G120" s="16" t="str">
        <f aca="false">IF(A120="","",IF(F120="","No interface recorded",IF(F120="N/A","OK (in-system)",IF(COUNTIF(Interface_Register!$A$5:$A$204,F120)=0,"INT-ID not in register","OK"))))</f>
        <v/>
      </c>
      <c r="H120" s="15"/>
    </row>
    <row r="121" customFormat="false" ht="15" hidden="false" customHeight="false" outlineLevel="0" collapsed="false">
      <c r="A121" s="15"/>
      <c r="B121" s="15"/>
      <c r="C121" s="15"/>
      <c r="D121" s="15"/>
      <c r="E121" s="15"/>
      <c r="F121" s="15"/>
      <c r="G121" s="16" t="str">
        <f aca="false">IF(A121="","",IF(F121="","No interface recorded",IF(F121="N/A","OK (in-system)",IF(COUNTIF(Interface_Register!$A$5:$A$204,F121)=0,"INT-ID not in register","OK"))))</f>
        <v/>
      </c>
      <c r="H121" s="15"/>
    </row>
    <row r="122" customFormat="false" ht="15" hidden="false" customHeight="false" outlineLevel="0" collapsed="false">
      <c r="A122" s="15"/>
      <c r="B122" s="15"/>
      <c r="C122" s="15"/>
      <c r="D122" s="15"/>
      <c r="E122" s="15"/>
      <c r="F122" s="15"/>
      <c r="G122" s="16" t="str">
        <f aca="false">IF(A122="","",IF(F122="","No interface recorded",IF(F122="N/A","OK (in-system)",IF(COUNTIF(Interface_Register!$A$5:$A$204,F122)=0,"INT-ID not in register","OK"))))</f>
        <v/>
      </c>
      <c r="H122" s="15"/>
    </row>
    <row r="123" customFormat="false" ht="15" hidden="false" customHeight="false" outlineLevel="0" collapsed="false">
      <c r="A123" s="15"/>
      <c r="B123" s="15"/>
      <c r="C123" s="15"/>
      <c r="D123" s="15"/>
      <c r="E123" s="15"/>
      <c r="F123" s="15"/>
      <c r="G123" s="16" t="str">
        <f aca="false">IF(A123="","",IF(F123="","No interface recorded",IF(F123="N/A","OK (in-system)",IF(COUNTIF(Interface_Register!$A$5:$A$204,F123)=0,"INT-ID not in register","OK"))))</f>
        <v/>
      </c>
      <c r="H123" s="15"/>
    </row>
    <row r="124" customFormat="false" ht="15" hidden="false" customHeight="false" outlineLevel="0" collapsed="false">
      <c r="A124" s="15"/>
      <c r="B124" s="15"/>
      <c r="C124" s="15"/>
      <c r="D124" s="15"/>
      <c r="E124" s="15"/>
      <c r="F124" s="15"/>
      <c r="G124" s="16" t="str">
        <f aca="false">IF(A124="","",IF(F124="","No interface recorded",IF(F124="N/A","OK (in-system)",IF(COUNTIF(Interface_Register!$A$5:$A$204,F124)=0,"INT-ID not in register","OK"))))</f>
        <v/>
      </c>
      <c r="H124" s="15"/>
    </row>
    <row r="125" customFormat="false" ht="15" hidden="false" customHeight="false" outlineLevel="0" collapsed="false">
      <c r="A125" s="15"/>
      <c r="B125" s="15"/>
      <c r="C125" s="15"/>
      <c r="D125" s="15"/>
      <c r="E125" s="15"/>
      <c r="F125" s="15"/>
      <c r="G125" s="16" t="str">
        <f aca="false">IF(A125="","",IF(F125="","No interface recorded",IF(F125="N/A","OK (in-system)",IF(COUNTIF(Interface_Register!$A$5:$A$204,F125)=0,"INT-ID not in register","OK"))))</f>
        <v/>
      </c>
      <c r="H125" s="15"/>
    </row>
    <row r="126" customFormat="false" ht="15" hidden="false" customHeight="false" outlineLevel="0" collapsed="false">
      <c r="A126" s="15"/>
      <c r="B126" s="15"/>
      <c r="C126" s="15"/>
      <c r="D126" s="15"/>
      <c r="E126" s="15"/>
      <c r="F126" s="15"/>
      <c r="G126" s="16" t="str">
        <f aca="false">IF(A126="","",IF(F126="","No interface recorded",IF(F126="N/A","OK (in-system)",IF(COUNTIF(Interface_Register!$A$5:$A$204,F126)=0,"INT-ID not in register","OK"))))</f>
        <v/>
      </c>
      <c r="H126" s="15"/>
    </row>
    <row r="127" customFormat="false" ht="15" hidden="false" customHeight="false" outlineLevel="0" collapsed="false">
      <c r="A127" s="15"/>
      <c r="B127" s="15"/>
      <c r="C127" s="15"/>
      <c r="D127" s="15"/>
      <c r="E127" s="15"/>
      <c r="F127" s="15"/>
      <c r="G127" s="16" t="str">
        <f aca="false">IF(A127="","",IF(F127="","No interface recorded",IF(F127="N/A","OK (in-system)",IF(COUNTIF(Interface_Register!$A$5:$A$204,F127)=0,"INT-ID not in register","OK"))))</f>
        <v/>
      </c>
      <c r="H127" s="15"/>
    </row>
    <row r="128" customFormat="false" ht="15" hidden="false" customHeight="false" outlineLevel="0" collapsed="false">
      <c r="A128" s="15"/>
      <c r="B128" s="15"/>
      <c r="C128" s="15"/>
      <c r="D128" s="15"/>
      <c r="E128" s="15"/>
      <c r="F128" s="15"/>
      <c r="G128" s="16" t="str">
        <f aca="false">IF(A128="","",IF(F128="","No interface recorded",IF(F128="N/A","OK (in-system)",IF(COUNTIF(Interface_Register!$A$5:$A$204,F128)=0,"INT-ID not in register","OK"))))</f>
        <v/>
      </c>
      <c r="H128" s="15"/>
    </row>
    <row r="129" customFormat="false" ht="15" hidden="false" customHeight="false" outlineLevel="0" collapsed="false">
      <c r="A129" s="15"/>
      <c r="B129" s="15"/>
      <c r="C129" s="15"/>
      <c r="D129" s="15"/>
      <c r="E129" s="15"/>
      <c r="F129" s="15"/>
      <c r="G129" s="16" t="str">
        <f aca="false">IF(A129="","",IF(F129="","No interface recorded",IF(F129="N/A","OK (in-system)",IF(COUNTIF(Interface_Register!$A$5:$A$204,F129)=0,"INT-ID not in register","OK"))))</f>
        <v/>
      </c>
      <c r="H129" s="15"/>
    </row>
    <row r="130" customFormat="false" ht="15" hidden="false" customHeight="false" outlineLevel="0" collapsed="false">
      <c r="A130" s="15"/>
      <c r="B130" s="15"/>
      <c r="C130" s="15"/>
      <c r="D130" s="15"/>
      <c r="E130" s="15"/>
      <c r="F130" s="15"/>
      <c r="G130" s="16" t="str">
        <f aca="false">IF(A130="","",IF(F130="","No interface recorded",IF(F130="N/A","OK (in-system)",IF(COUNTIF(Interface_Register!$A$5:$A$204,F130)=0,"INT-ID not in register","OK"))))</f>
        <v/>
      </c>
      <c r="H130" s="15"/>
    </row>
    <row r="131" customFormat="false" ht="15" hidden="false" customHeight="false" outlineLevel="0" collapsed="false">
      <c r="A131" s="15"/>
      <c r="B131" s="15"/>
      <c r="C131" s="15"/>
      <c r="D131" s="15"/>
      <c r="E131" s="15"/>
      <c r="F131" s="15"/>
      <c r="G131" s="16" t="str">
        <f aca="false">IF(A131="","",IF(F131="","No interface recorded",IF(F131="N/A","OK (in-system)",IF(COUNTIF(Interface_Register!$A$5:$A$204,F131)=0,"INT-ID not in register","OK"))))</f>
        <v/>
      </c>
      <c r="H131" s="15"/>
    </row>
    <row r="132" customFormat="false" ht="15" hidden="false" customHeight="false" outlineLevel="0" collapsed="false">
      <c r="A132" s="15"/>
      <c r="B132" s="15"/>
      <c r="C132" s="15"/>
      <c r="D132" s="15"/>
      <c r="E132" s="15"/>
      <c r="F132" s="15"/>
      <c r="G132" s="16" t="str">
        <f aca="false">IF(A132="","",IF(F132="","No interface recorded",IF(F132="N/A","OK (in-system)",IF(COUNTIF(Interface_Register!$A$5:$A$204,F132)=0,"INT-ID not in register","OK"))))</f>
        <v/>
      </c>
      <c r="H132" s="15"/>
    </row>
    <row r="133" customFormat="false" ht="15" hidden="false" customHeight="false" outlineLevel="0" collapsed="false">
      <c r="A133" s="15"/>
      <c r="B133" s="15"/>
      <c r="C133" s="15"/>
      <c r="D133" s="15"/>
      <c r="E133" s="15"/>
      <c r="F133" s="15"/>
      <c r="G133" s="16" t="str">
        <f aca="false">IF(A133="","",IF(F133="","No interface recorded",IF(F133="N/A","OK (in-system)",IF(COUNTIF(Interface_Register!$A$5:$A$204,F133)=0,"INT-ID not in register","OK"))))</f>
        <v/>
      </c>
      <c r="H133" s="15"/>
    </row>
    <row r="134" customFormat="false" ht="15" hidden="false" customHeight="false" outlineLevel="0" collapsed="false">
      <c r="A134" s="15"/>
      <c r="B134" s="15"/>
      <c r="C134" s="15"/>
      <c r="D134" s="15"/>
      <c r="E134" s="15"/>
      <c r="F134" s="15"/>
      <c r="G134" s="16" t="str">
        <f aca="false">IF(A134="","",IF(F134="","No interface recorded",IF(F134="N/A","OK (in-system)",IF(COUNTIF(Interface_Register!$A$5:$A$204,F134)=0,"INT-ID not in register","OK"))))</f>
        <v/>
      </c>
      <c r="H134" s="15"/>
    </row>
    <row r="135" customFormat="false" ht="15" hidden="false" customHeight="false" outlineLevel="0" collapsed="false">
      <c r="A135" s="15"/>
      <c r="B135" s="15"/>
      <c r="C135" s="15"/>
      <c r="D135" s="15"/>
      <c r="E135" s="15"/>
      <c r="F135" s="15"/>
      <c r="G135" s="16" t="str">
        <f aca="false">IF(A135="","",IF(F135="","No interface recorded",IF(F135="N/A","OK (in-system)",IF(COUNTIF(Interface_Register!$A$5:$A$204,F135)=0,"INT-ID not in register","OK"))))</f>
        <v/>
      </c>
      <c r="H135" s="15"/>
    </row>
    <row r="136" customFormat="false" ht="15" hidden="false" customHeight="false" outlineLevel="0" collapsed="false">
      <c r="A136" s="15"/>
      <c r="B136" s="15"/>
      <c r="C136" s="15"/>
      <c r="D136" s="15"/>
      <c r="E136" s="15"/>
      <c r="F136" s="15"/>
      <c r="G136" s="16" t="str">
        <f aca="false">IF(A136="","",IF(F136="","No interface recorded",IF(F136="N/A","OK (in-system)",IF(COUNTIF(Interface_Register!$A$5:$A$204,F136)=0,"INT-ID not in register","OK"))))</f>
        <v/>
      </c>
      <c r="H136" s="15"/>
    </row>
    <row r="137" customFormat="false" ht="15" hidden="false" customHeight="false" outlineLevel="0" collapsed="false">
      <c r="A137" s="15"/>
      <c r="B137" s="15"/>
      <c r="C137" s="15"/>
      <c r="D137" s="15"/>
      <c r="E137" s="15"/>
      <c r="F137" s="15"/>
      <c r="G137" s="16" t="str">
        <f aca="false">IF(A137="","",IF(F137="","No interface recorded",IF(F137="N/A","OK (in-system)",IF(COUNTIF(Interface_Register!$A$5:$A$204,F137)=0,"INT-ID not in register","OK"))))</f>
        <v/>
      </c>
      <c r="H137" s="15"/>
    </row>
    <row r="138" customFormat="false" ht="15" hidden="false" customHeight="false" outlineLevel="0" collapsed="false">
      <c r="A138" s="15"/>
      <c r="B138" s="15"/>
      <c r="C138" s="15"/>
      <c r="D138" s="15"/>
      <c r="E138" s="15"/>
      <c r="F138" s="15"/>
      <c r="G138" s="16" t="str">
        <f aca="false">IF(A138="","",IF(F138="","No interface recorded",IF(F138="N/A","OK (in-system)",IF(COUNTIF(Interface_Register!$A$5:$A$204,F138)=0,"INT-ID not in register","OK"))))</f>
        <v/>
      </c>
      <c r="H138" s="15"/>
    </row>
    <row r="139" customFormat="false" ht="15" hidden="false" customHeight="false" outlineLevel="0" collapsed="false">
      <c r="A139" s="15"/>
      <c r="B139" s="15"/>
      <c r="C139" s="15"/>
      <c r="D139" s="15"/>
      <c r="E139" s="15"/>
      <c r="F139" s="15"/>
      <c r="G139" s="16" t="str">
        <f aca="false">IF(A139="","",IF(F139="","No interface recorded",IF(F139="N/A","OK (in-system)",IF(COUNTIF(Interface_Register!$A$5:$A$204,F139)=0,"INT-ID not in register","OK"))))</f>
        <v/>
      </c>
      <c r="H139" s="15"/>
    </row>
    <row r="140" customFormat="false" ht="15" hidden="false" customHeight="false" outlineLevel="0" collapsed="false">
      <c r="A140" s="15"/>
      <c r="B140" s="15"/>
      <c r="C140" s="15"/>
      <c r="D140" s="15"/>
      <c r="E140" s="15"/>
      <c r="F140" s="15"/>
      <c r="G140" s="16" t="str">
        <f aca="false">IF(A140="","",IF(F140="","No interface recorded",IF(F140="N/A","OK (in-system)",IF(COUNTIF(Interface_Register!$A$5:$A$204,F140)=0,"INT-ID not in register","OK"))))</f>
        <v/>
      </c>
      <c r="H140" s="15"/>
    </row>
    <row r="141" customFormat="false" ht="15" hidden="false" customHeight="false" outlineLevel="0" collapsed="false">
      <c r="A141" s="15"/>
      <c r="B141" s="15"/>
      <c r="C141" s="15"/>
      <c r="D141" s="15"/>
      <c r="E141" s="15"/>
      <c r="F141" s="15"/>
      <c r="G141" s="16" t="str">
        <f aca="false">IF(A141="","",IF(F141="","No interface recorded",IF(F141="N/A","OK (in-system)",IF(COUNTIF(Interface_Register!$A$5:$A$204,F141)=0,"INT-ID not in register","OK"))))</f>
        <v/>
      </c>
      <c r="H141" s="15"/>
    </row>
    <row r="142" customFormat="false" ht="15" hidden="false" customHeight="false" outlineLevel="0" collapsed="false">
      <c r="A142" s="15"/>
      <c r="B142" s="15"/>
      <c r="C142" s="15"/>
      <c r="D142" s="15"/>
      <c r="E142" s="15"/>
      <c r="F142" s="15"/>
      <c r="G142" s="16" t="str">
        <f aca="false">IF(A142="","",IF(F142="","No interface recorded",IF(F142="N/A","OK (in-system)",IF(COUNTIF(Interface_Register!$A$5:$A$204,F142)=0,"INT-ID not in register","OK"))))</f>
        <v/>
      </c>
      <c r="H142" s="15"/>
    </row>
    <row r="143" customFormat="false" ht="15" hidden="false" customHeight="false" outlineLevel="0" collapsed="false">
      <c r="A143" s="15"/>
      <c r="B143" s="15"/>
      <c r="C143" s="15"/>
      <c r="D143" s="15"/>
      <c r="E143" s="15"/>
      <c r="F143" s="15"/>
      <c r="G143" s="16" t="str">
        <f aca="false">IF(A143="","",IF(F143="","No interface recorded",IF(F143="N/A","OK (in-system)",IF(COUNTIF(Interface_Register!$A$5:$A$204,F143)=0,"INT-ID not in register","OK"))))</f>
        <v/>
      </c>
      <c r="H143" s="15"/>
    </row>
    <row r="144" customFormat="false" ht="15" hidden="false" customHeight="false" outlineLevel="0" collapsed="false">
      <c r="A144" s="15"/>
      <c r="B144" s="15"/>
      <c r="C144" s="15"/>
      <c r="D144" s="15"/>
      <c r="E144" s="15"/>
      <c r="F144" s="15"/>
      <c r="G144" s="16" t="str">
        <f aca="false">IF(A144="","",IF(F144="","No interface recorded",IF(F144="N/A","OK (in-system)",IF(COUNTIF(Interface_Register!$A$5:$A$204,F144)=0,"INT-ID not in register","OK"))))</f>
        <v/>
      </c>
      <c r="H144" s="15"/>
    </row>
    <row r="145" customFormat="false" ht="15" hidden="false" customHeight="false" outlineLevel="0" collapsed="false">
      <c r="A145" s="15"/>
      <c r="B145" s="15"/>
      <c r="C145" s="15"/>
      <c r="D145" s="15"/>
      <c r="E145" s="15"/>
      <c r="F145" s="15"/>
      <c r="G145" s="16" t="str">
        <f aca="false">IF(A145="","",IF(F145="","No interface recorded",IF(F145="N/A","OK (in-system)",IF(COUNTIF(Interface_Register!$A$5:$A$204,F145)=0,"INT-ID not in register","OK"))))</f>
        <v/>
      </c>
      <c r="H145" s="15"/>
    </row>
    <row r="146" customFormat="false" ht="15" hidden="false" customHeight="false" outlineLevel="0" collapsed="false">
      <c r="A146" s="15"/>
      <c r="B146" s="15"/>
      <c r="C146" s="15"/>
      <c r="D146" s="15"/>
      <c r="E146" s="15"/>
      <c r="F146" s="15"/>
      <c r="G146" s="16" t="str">
        <f aca="false">IF(A146="","",IF(F146="","No interface recorded",IF(F146="N/A","OK (in-system)",IF(COUNTIF(Interface_Register!$A$5:$A$204,F146)=0,"INT-ID not in register","OK"))))</f>
        <v/>
      </c>
      <c r="H146" s="15"/>
    </row>
    <row r="147" customFormat="false" ht="15" hidden="false" customHeight="false" outlineLevel="0" collapsed="false">
      <c r="A147" s="15"/>
      <c r="B147" s="15"/>
      <c r="C147" s="15"/>
      <c r="D147" s="15"/>
      <c r="E147" s="15"/>
      <c r="F147" s="15"/>
      <c r="G147" s="16" t="str">
        <f aca="false">IF(A147="","",IF(F147="","No interface recorded",IF(F147="N/A","OK (in-system)",IF(COUNTIF(Interface_Register!$A$5:$A$204,F147)=0,"INT-ID not in register","OK"))))</f>
        <v/>
      </c>
      <c r="H147" s="15"/>
    </row>
    <row r="148" customFormat="false" ht="15" hidden="false" customHeight="false" outlineLevel="0" collapsed="false">
      <c r="A148" s="15"/>
      <c r="B148" s="15"/>
      <c r="C148" s="15"/>
      <c r="D148" s="15"/>
      <c r="E148" s="15"/>
      <c r="F148" s="15"/>
      <c r="G148" s="16" t="str">
        <f aca="false">IF(A148="","",IF(F148="","No interface recorded",IF(F148="N/A","OK (in-system)",IF(COUNTIF(Interface_Register!$A$5:$A$204,F148)=0,"INT-ID not in register","OK"))))</f>
        <v/>
      </c>
      <c r="H148" s="15"/>
    </row>
    <row r="149" customFormat="false" ht="15" hidden="false" customHeight="false" outlineLevel="0" collapsed="false">
      <c r="A149" s="15"/>
      <c r="B149" s="15"/>
      <c r="C149" s="15"/>
      <c r="D149" s="15"/>
      <c r="E149" s="15"/>
      <c r="F149" s="15"/>
      <c r="G149" s="16" t="str">
        <f aca="false">IF(A149="","",IF(F149="","No interface recorded",IF(F149="N/A","OK (in-system)",IF(COUNTIF(Interface_Register!$A$5:$A$204,F149)=0,"INT-ID not in register","OK"))))</f>
        <v/>
      </c>
      <c r="H149" s="15"/>
    </row>
    <row r="150" customFormat="false" ht="15" hidden="false" customHeight="false" outlineLevel="0" collapsed="false">
      <c r="A150" s="15"/>
      <c r="B150" s="15"/>
      <c r="C150" s="15"/>
      <c r="D150" s="15"/>
      <c r="E150" s="15"/>
      <c r="F150" s="15"/>
      <c r="G150" s="16" t="str">
        <f aca="false">IF(A150="","",IF(F150="","No interface recorded",IF(F150="N/A","OK (in-system)",IF(COUNTIF(Interface_Register!$A$5:$A$204,F150)=0,"INT-ID not in register","OK"))))</f>
        <v/>
      </c>
      <c r="H150" s="15"/>
    </row>
    <row r="151" customFormat="false" ht="15" hidden="false" customHeight="false" outlineLevel="0" collapsed="false">
      <c r="A151" s="15"/>
      <c r="B151" s="15"/>
      <c r="C151" s="15"/>
      <c r="D151" s="15"/>
      <c r="E151" s="15"/>
      <c r="F151" s="15"/>
      <c r="G151" s="16" t="str">
        <f aca="false">IF(A151="","",IF(F151="","No interface recorded",IF(F151="N/A","OK (in-system)",IF(COUNTIF(Interface_Register!$A$5:$A$204,F151)=0,"INT-ID not in register","OK"))))</f>
        <v/>
      </c>
      <c r="H151" s="15"/>
    </row>
    <row r="152" customFormat="false" ht="15" hidden="false" customHeight="false" outlineLevel="0" collapsed="false">
      <c r="A152" s="15"/>
      <c r="B152" s="15"/>
      <c r="C152" s="15"/>
      <c r="D152" s="15"/>
      <c r="E152" s="15"/>
      <c r="F152" s="15"/>
      <c r="G152" s="16" t="str">
        <f aca="false">IF(A152="","",IF(F152="","No interface recorded",IF(F152="N/A","OK (in-system)",IF(COUNTIF(Interface_Register!$A$5:$A$204,F152)=0,"INT-ID not in register","OK"))))</f>
        <v/>
      </c>
      <c r="H152" s="15"/>
    </row>
    <row r="153" customFormat="false" ht="15" hidden="false" customHeight="false" outlineLevel="0" collapsed="false">
      <c r="A153" s="15"/>
      <c r="B153" s="15"/>
      <c r="C153" s="15"/>
      <c r="D153" s="15"/>
      <c r="E153" s="15"/>
      <c r="F153" s="15"/>
      <c r="G153" s="16" t="str">
        <f aca="false">IF(A153="","",IF(F153="","No interface recorded",IF(F153="N/A","OK (in-system)",IF(COUNTIF(Interface_Register!$A$5:$A$204,F153)=0,"INT-ID not in register","OK"))))</f>
        <v/>
      </c>
      <c r="H153" s="15"/>
    </row>
    <row r="154" customFormat="false" ht="15" hidden="false" customHeight="false" outlineLevel="0" collapsed="false">
      <c r="A154" s="15"/>
      <c r="B154" s="15"/>
      <c r="C154" s="15"/>
      <c r="D154" s="15"/>
      <c r="E154" s="15"/>
      <c r="F154" s="15"/>
      <c r="G154" s="16" t="str">
        <f aca="false">IF(A154="","",IF(F154="","No interface recorded",IF(F154="N/A","OK (in-system)",IF(COUNTIF(Interface_Register!$A$5:$A$204,F154)=0,"INT-ID not in register","OK"))))</f>
        <v/>
      </c>
      <c r="H154" s="15"/>
    </row>
    <row r="155" customFormat="false" ht="15" hidden="false" customHeight="false" outlineLevel="0" collapsed="false">
      <c r="A155" s="15"/>
      <c r="B155" s="15"/>
      <c r="C155" s="15"/>
      <c r="D155" s="15"/>
      <c r="E155" s="15"/>
      <c r="F155" s="15"/>
      <c r="G155" s="16" t="str">
        <f aca="false">IF(A155="","",IF(F155="","No interface recorded",IF(F155="N/A","OK (in-system)",IF(COUNTIF(Interface_Register!$A$5:$A$204,F155)=0,"INT-ID not in register","OK"))))</f>
        <v/>
      </c>
      <c r="H155" s="15"/>
    </row>
    <row r="156" customFormat="false" ht="15" hidden="false" customHeight="false" outlineLevel="0" collapsed="false">
      <c r="A156" s="15"/>
      <c r="B156" s="15"/>
      <c r="C156" s="15"/>
      <c r="D156" s="15"/>
      <c r="E156" s="15"/>
      <c r="F156" s="15"/>
      <c r="G156" s="16" t="str">
        <f aca="false">IF(A156="","",IF(F156="","No interface recorded",IF(F156="N/A","OK (in-system)",IF(COUNTIF(Interface_Register!$A$5:$A$204,F156)=0,"INT-ID not in register","OK"))))</f>
        <v/>
      </c>
      <c r="H156" s="15"/>
    </row>
    <row r="157" customFormat="false" ht="15" hidden="false" customHeight="false" outlineLevel="0" collapsed="false">
      <c r="A157" s="15"/>
      <c r="B157" s="15"/>
      <c r="C157" s="15"/>
      <c r="D157" s="15"/>
      <c r="E157" s="15"/>
      <c r="F157" s="15"/>
      <c r="G157" s="16" t="str">
        <f aca="false">IF(A157="","",IF(F157="","No interface recorded",IF(F157="N/A","OK (in-system)",IF(COUNTIF(Interface_Register!$A$5:$A$204,F157)=0,"INT-ID not in register","OK"))))</f>
        <v/>
      </c>
      <c r="H157" s="15"/>
    </row>
    <row r="158" customFormat="false" ht="15" hidden="false" customHeight="false" outlineLevel="0" collapsed="false">
      <c r="A158" s="15"/>
      <c r="B158" s="15"/>
      <c r="C158" s="15"/>
      <c r="D158" s="15"/>
      <c r="E158" s="15"/>
      <c r="F158" s="15"/>
      <c r="G158" s="16" t="str">
        <f aca="false">IF(A158="","",IF(F158="","No interface recorded",IF(F158="N/A","OK (in-system)",IF(COUNTIF(Interface_Register!$A$5:$A$204,F158)=0,"INT-ID not in register","OK"))))</f>
        <v/>
      </c>
      <c r="H158" s="15"/>
    </row>
    <row r="159" customFormat="false" ht="15" hidden="false" customHeight="false" outlineLevel="0" collapsed="false">
      <c r="A159" s="15"/>
      <c r="B159" s="15"/>
      <c r="C159" s="15"/>
      <c r="D159" s="15"/>
      <c r="E159" s="15"/>
      <c r="F159" s="15"/>
      <c r="G159" s="16" t="str">
        <f aca="false">IF(A159="","",IF(F159="","No interface recorded",IF(F159="N/A","OK (in-system)",IF(COUNTIF(Interface_Register!$A$5:$A$204,F159)=0,"INT-ID not in register","OK"))))</f>
        <v/>
      </c>
      <c r="H159" s="15"/>
    </row>
    <row r="160" customFormat="false" ht="15" hidden="false" customHeight="false" outlineLevel="0" collapsed="false">
      <c r="A160" s="15"/>
      <c r="B160" s="15"/>
      <c r="C160" s="15"/>
      <c r="D160" s="15"/>
      <c r="E160" s="15"/>
      <c r="F160" s="15"/>
      <c r="G160" s="16" t="str">
        <f aca="false">IF(A160="","",IF(F160="","No interface recorded",IF(F160="N/A","OK (in-system)",IF(COUNTIF(Interface_Register!$A$5:$A$204,F160)=0,"INT-ID not in register","OK"))))</f>
        <v/>
      </c>
      <c r="H160" s="15"/>
    </row>
    <row r="161" customFormat="false" ht="15" hidden="false" customHeight="false" outlineLevel="0" collapsed="false">
      <c r="A161" s="15"/>
      <c r="B161" s="15"/>
      <c r="C161" s="15"/>
      <c r="D161" s="15"/>
      <c r="E161" s="15"/>
      <c r="F161" s="15"/>
      <c r="G161" s="16" t="str">
        <f aca="false">IF(A161="","",IF(F161="","No interface recorded",IF(F161="N/A","OK (in-system)",IF(COUNTIF(Interface_Register!$A$5:$A$204,F161)=0,"INT-ID not in register","OK"))))</f>
        <v/>
      </c>
      <c r="H161" s="15"/>
    </row>
    <row r="162" customFormat="false" ht="15" hidden="false" customHeight="false" outlineLevel="0" collapsed="false">
      <c r="A162" s="15"/>
      <c r="B162" s="15"/>
      <c r="C162" s="15"/>
      <c r="D162" s="15"/>
      <c r="E162" s="15"/>
      <c r="F162" s="15"/>
      <c r="G162" s="16" t="str">
        <f aca="false">IF(A162="","",IF(F162="","No interface recorded",IF(F162="N/A","OK (in-system)",IF(COUNTIF(Interface_Register!$A$5:$A$204,F162)=0,"INT-ID not in register","OK"))))</f>
        <v/>
      </c>
      <c r="H162" s="15"/>
    </row>
    <row r="163" customFormat="false" ht="15" hidden="false" customHeight="false" outlineLevel="0" collapsed="false">
      <c r="A163" s="15"/>
      <c r="B163" s="15"/>
      <c r="C163" s="15"/>
      <c r="D163" s="15"/>
      <c r="E163" s="15"/>
      <c r="F163" s="15"/>
      <c r="G163" s="16" t="str">
        <f aca="false">IF(A163="","",IF(F163="","No interface recorded",IF(F163="N/A","OK (in-system)",IF(COUNTIF(Interface_Register!$A$5:$A$204,F163)=0,"INT-ID not in register","OK"))))</f>
        <v/>
      </c>
      <c r="H163" s="15"/>
    </row>
    <row r="164" customFormat="false" ht="15" hidden="false" customHeight="false" outlineLevel="0" collapsed="false">
      <c r="A164" s="15"/>
      <c r="B164" s="15"/>
      <c r="C164" s="15"/>
      <c r="D164" s="15"/>
      <c r="E164" s="15"/>
      <c r="F164" s="15"/>
      <c r="G164" s="16" t="str">
        <f aca="false">IF(A164="","",IF(F164="","No interface recorded",IF(F164="N/A","OK (in-system)",IF(COUNTIF(Interface_Register!$A$5:$A$204,F164)=0,"INT-ID not in register","OK"))))</f>
        <v/>
      </c>
      <c r="H164" s="15"/>
    </row>
    <row r="165" customFormat="false" ht="15" hidden="false" customHeight="false" outlineLevel="0" collapsed="false">
      <c r="A165" s="15"/>
      <c r="B165" s="15"/>
      <c r="C165" s="15"/>
      <c r="D165" s="15"/>
      <c r="E165" s="15"/>
      <c r="F165" s="15"/>
      <c r="G165" s="16" t="str">
        <f aca="false">IF(A165="","",IF(F165="","No interface recorded",IF(F165="N/A","OK (in-system)",IF(COUNTIF(Interface_Register!$A$5:$A$204,F165)=0,"INT-ID not in register","OK"))))</f>
        <v/>
      </c>
      <c r="H165" s="15"/>
    </row>
    <row r="166" customFormat="false" ht="15" hidden="false" customHeight="false" outlineLevel="0" collapsed="false">
      <c r="A166" s="15"/>
      <c r="B166" s="15"/>
      <c r="C166" s="15"/>
      <c r="D166" s="15"/>
      <c r="E166" s="15"/>
      <c r="F166" s="15"/>
      <c r="G166" s="16" t="str">
        <f aca="false">IF(A166="","",IF(F166="","No interface recorded",IF(F166="N/A","OK (in-system)",IF(COUNTIF(Interface_Register!$A$5:$A$204,F166)=0,"INT-ID not in register","OK"))))</f>
        <v/>
      </c>
      <c r="H166" s="15"/>
    </row>
    <row r="167" customFormat="false" ht="15" hidden="false" customHeight="false" outlineLevel="0" collapsed="false">
      <c r="A167" s="15"/>
      <c r="B167" s="15"/>
      <c r="C167" s="15"/>
      <c r="D167" s="15"/>
      <c r="E167" s="15"/>
      <c r="F167" s="15"/>
      <c r="G167" s="16" t="str">
        <f aca="false">IF(A167="","",IF(F167="","No interface recorded",IF(F167="N/A","OK (in-system)",IF(COUNTIF(Interface_Register!$A$5:$A$204,F167)=0,"INT-ID not in register","OK"))))</f>
        <v/>
      </c>
      <c r="H167" s="15"/>
    </row>
    <row r="168" customFormat="false" ht="15" hidden="false" customHeight="false" outlineLevel="0" collapsed="false">
      <c r="A168" s="15"/>
      <c r="B168" s="15"/>
      <c r="C168" s="15"/>
      <c r="D168" s="15"/>
      <c r="E168" s="15"/>
      <c r="F168" s="15"/>
      <c r="G168" s="16" t="str">
        <f aca="false">IF(A168="","",IF(F168="","No interface recorded",IF(F168="N/A","OK (in-system)",IF(COUNTIF(Interface_Register!$A$5:$A$204,F168)=0,"INT-ID not in register","OK"))))</f>
        <v/>
      </c>
      <c r="H168" s="15"/>
    </row>
    <row r="169" customFormat="false" ht="15" hidden="false" customHeight="false" outlineLevel="0" collapsed="false">
      <c r="A169" s="15"/>
      <c r="B169" s="15"/>
      <c r="C169" s="15"/>
      <c r="D169" s="15"/>
      <c r="E169" s="15"/>
      <c r="F169" s="15"/>
      <c r="G169" s="16" t="str">
        <f aca="false">IF(A169="","",IF(F169="","No interface recorded",IF(F169="N/A","OK (in-system)",IF(COUNTIF(Interface_Register!$A$5:$A$204,F169)=0,"INT-ID not in register","OK"))))</f>
        <v/>
      </c>
      <c r="H169" s="15"/>
    </row>
    <row r="170" customFormat="false" ht="15" hidden="false" customHeight="false" outlineLevel="0" collapsed="false">
      <c r="A170" s="15"/>
      <c r="B170" s="15"/>
      <c r="C170" s="15"/>
      <c r="D170" s="15"/>
      <c r="E170" s="15"/>
      <c r="F170" s="15"/>
      <c r="G170" s="16" t="str">
        <f aca="false">IF(A170="","",IF(F170="","No interface recorded",IF(F170="N/A","OK (in-system)",IF(COUNTIF(Interface_Register!$A$5:$A$204,F170)=0,"INT-ID not in register","OK"))))</f>
        <v/>
      </c>
      <c r="H170" s="15"/>
    </row>
    <row r="171" customFormat="false" ht="15" hidden="false" customHeight="false" outlineLevel="0" collapsed="false">
      <c r="A171" s="15"/>
      <c r="B171" s="15"/>
      <c r="C171" s="15"/>
      <c r="D171" s="15"/>
      <c r="E171" s="15"/>
      <c r="F171" s="15"/>
      <c r="G171" s="16" t="str">
        <f aca="false">IF(A171="","",IF(F171="","No interface recorded",IF(F171="N/A","OK (in-system)",IF(COUNTIF(Interface_Register!$A$5:$A$204,F171)=0,"INT-ID not in register","OK"))))</f>
        <v/>
      </c>
      <c r="H171" s="15"/>
    </row>
    <row r="172" customFormat="false" ht="15" hidden="false" customHeight="false" outlineLevel="0" collapsed="false">
      <c r="A172" s="15"/>
      <c r="B172" s="15"/>
      <c r="C172" s="15"/>
      <c r="D172" s="15"/>
      <c r="E172" s="15"/>
      <c r="F172" s="15"/>
      <c r="G172" s="16" t="str">
        <f aca="false">IF(A172="","",IF(F172="","No interface recorded",IF(F172="N/A","OK (in-system)",IF(COUNTIF(Interface_Register!$A$5:$A$204,F172)=0,"INT-ID not in register","OK"))))</f>
        <v/>
      </c>
      <c r="H172" s="15"/>
    </row>
    <row r="173" customFormat="false" ht="15" hidden="false" customHeight="false" outlineLevel="0" collapsed="false">
      <c r="A173" s="15"/>
      <c r="B173" s="15"/>
      <c r="C173" s="15"/>
      <c r="D173" s="15"/>
      <c r="E173" s="15"/>
      <c r="F173" s="15"/>
      <c r="G173" s="16" t="str">
        <f aca="false">IF(A173="","",IF(F173="","No interface recorded",IF(F173="N/A","OK (in-system)",IF(COUNTIF(Interface_Register!$A$5:$A$204,F173)=0,"INT-ID not in register","OK"))))</f>
        <v/>
      </c>
      <c r="H173" s="15"/>
    </row>
    <row r="174" customFormat="false" ht="15" hidden="false" customHeight="false" outlineLevel="0" collapsed="false">
      <c r="A174" s="15"/>
      <c r="B174" s="15"/>
      <c r="C174" s="15"/>
      <c r="D174" s="15"/>
      <c r="E174" s="15"/>
      <c r="F174" s="15"/>
      <c r="G174" s="16" t="str">
        <f aca="false">IF(A174="","",IF(F174="","No interface recorded",IF(F174="N/A","OK (in-system)",IF(COUNTIF(Interface_Register!$A$5:$A$204,F174)=0,"INT-ID not in register","OK"))))</f>
        <v/>
      </c>
      <c r="H174" s="15"/>
    </row>
    <row r="175" customFormat="false" ht="15" hidden="false" customHeight="false" outlineLevel="0" collapsed="false">
      <c r="A175" s="15"/>
      <c r="B175" s="15"/>
      <c r="C175" s="15"/>
      <c r="D175" s="15"/>
      <c r="E175" s="15"/>
      <c r="F175" s="15"/>
      <c r="G175" s="16" t="str">
        <f aca="false">IF(A175="","",IF(F175="","No interface recorded",IF(F175="N/A","OK (in-system)",IF(COUNTIF(Interface_Register!$A$5:$A$204,F175)=0,"INT-ID not in register","OK"))))</f>
        <v/>
      </c>
      <c r="H175" s="15"/>
    </row>
    <row r="176" customFormat="false" ht="15" hidden="false" customHeight="false" outlineLevel="0" collapsed="false">
      <c r="A176" s="15"/>
      <c r="B176" s="15"/>
      <c r="C176" s="15"/>
      <c r="D176" s="15"/>
      <c r="E176" s="15"/>
      <c r="F176" s="15"/>
      <c r="G176" s="16" t="str">
        <f aca="false">IF(A176="","",IF(F176="","No interface recorded",IF(F176="N/A","OK (in-system)",IF(COUNTIF(Interface_Register!$A$5:$A$204,F176)=0,"INT-ID not in register","OK"))))</f>
        <v/>
      </c>
      <c r="H176" s="15"/>
    </row>
    <row r="177" customFormat="false" ht="15" hidden="false" customHeight="false" outlineLevel="0" collapsed="false">
      <c r="A177" s="15"/>
      <c r="B177" s="15"/>
      <c r="C177" s="15"/>
      <c r="D177" s="15"/>
      <c r="E177" s="15"/>
      <c r="F177" s="15"/>
      <c r="G177" s="16" t="str">
        <f aca="false">IF(A177="","",IF(F177="","No interface recorded",IF(F177="N/A","OK (in-system)",IF(COUNTIF(Interface_Register!$A$5:$A$204,F177)=0,"INT-ID not in register","OK"))))</f>
        <v/>
      </c>
      <c r="H177" s="15"/>
    </row>
    <row r="178" customFormat="false" ht="15" hidden="false" customHeight="false" outlineLevel="0" collapsed="false">
      <c r="A178" s="15"/>
      <c r="B178" s="15"/>
      <c r="C178" s="15"/>
      <c r="D178" s="15"/>
      <c r="E178" s="15"/>
      <c r="F178" s="15"/>
      <c r="G178" s="16" t="str">
        <f aca="false">IF(A178="","",IF(F178="","No interface recorded",IF(F178="N/A","OK (in-system)",IF(COUNTIF(Interface_Register!$A$5:$A$204,F178)=0,"INT-ID not in register","OK"))))</f>
        <v/>
      </c>
      <c r="H178" s="15"/>
    </row>
    <row r="179" customFormat="false" ht="15" hidden="false" customHeight="false" outlineLevel="0" collapsed="false">
      <c r="A179" s="15"/>
      <c r="B179" s="15"/>
      <c r="C179" s="15"/>
      <c r="D179" s="15"/>
      <c r="E179" s="15"/>
      <c r="F179" s="15"/>
      <c r="G179" s="16" t="str">
        <f aca="false">IF(A179="","",IF(F179="","No interface recorded",IF(F179="N/A","OK (in-system)",IF(COUNTIF(Interface_Register!$A$5:$A$204,F179)=0,"INT-ID not in register","OK"))))</f>
        <v/>
      </c>
      <c r="H179" s="15"/>
    </row>
    <row r="180" customFormat="false" ht="15" hidden="false" customHeight="false" outlineLevel="0" collapsed="false">
      <c r="A180" s="15"/>
      <c r="B180" s="15"/>
      <c r="C180" s="15"/>
      <c r="D180" s="15"/>
      <c r="E180" s="15"/>
      <c r="F180" s="15"/>
      <c r="G180" s="16" t="str">
        <f aca="false">IF(A180="","",IF(F180="","No interface recorded",IF(F180="N/A","OK (in-system)",IF(COUNTIF(Interface_Register!$A$5:$A$204,F180)=0,"INT-ID not in register","OK"))))</f>
        <v/>
      </c>
      <c r="H180" s="15"/>
    </row>
    <row r="181" customFormat="false" ht="15" hidden="false" customHeight="false" outlineLevel="0" collapsed="false">
      <c r="A181" s="15"/>
      <c r="B181" s="15"/>
      <c r="C181" s="15"/>
      <c r="D181" s="15"/>
      <c r="E181" s="15"/>
      <c r="F181" s="15"/>
      <c r="G181" s="16" t="str">
        <f aca="false">IF(A181="","",IF(F181="","No interface recorded",IF(F181="N/A","OK (in-system)",IF(COUNTIF(Interface_Register!$A$5:$A$204,F181)=0,"INT-ID not in register","OK"))))</f>
        <v/>
      </c>
      <c r="H181" s="15"/>
    </row>
    <row r="182" customFormat="false" ht="15" hidden="false" customHeight="false" outlineLevel="0" collapsed="false">
      <c r="A182" s="15"/>
      <c r="B182" s="15"/>
      <c r="C182" s="15"/>
      <c r="D182" s="15"/>
      <c r="E182" s="15"/>
      <c r="F182" s="15"/>
      <c r="G182" s="16" t="str">
        <f aca="false">IF(A182="","",IF(F182="","No interface recorded",IF(F182="N/A","OK (in-system)",IF(COUNTIF(Interface_Register!$A$5:$A$204,F182)=0,"INT-ID not in register","OK"))))</f>
        <v/>
      </c>
      <c r="H182" s="15"/>
    </row>
    <row r="183" customFormat="false" ht="15" hidden="false" customHeight="false" outlineLevel="0" collapsed="false">
      <c r="A183" s="15"/>
      <c r="B183" s="15"/>
      <c r="C183" s="15"/>
      <c r="D183" s="15"/>
      <c r="E183" s="15"/>
      <c r="F183" s="15"/>
      <c r="G183" s="16" t="str">
        <f aca="false">IF(A183="","",IF(F183="","No interface recorded",IF(F183="N/A","OK (in-system)",IF(COUNTIF(Interface_Register!$A$5:$A$204,F183)=0,"INT-ID not in register","OK"))))</f>
        <v/>
      </c>
      <c r="H183" s="15"/>
    </row>
    <row r="184" customFormat="false" ht="15" hidden="false" customHeight="false" outlineLevel="0" collapsed="false">
      <c r="A184" s="15"/>
      <c r="B184" s="15"/>
      <c r="C184" s="15"/>
      <c r="D184" s="15"/>
      <c r="E184" s="15"/>
      <c r="F184" s="15"/>
      <c r="G184" s="16" t="str">
        <f aca="false">IF(A184="","",IF(F184="","No interface recorded",IF(F184="N/A","OK (in-system)",IF(COUNTIF(Interface_Register!$A$5:$A$204,F184)=0,"INT-ID not in register","OK"))))</f>
        <v/>
      </c>
      <c r="H184" s="15"/>
    </row>
    <row r="185" customFormat="false" ht="15" hidden="false" customHeight="false" outlineLevel="0" collapsed="false">
      <c r="A185" s="15"/>
      <c r="B185" s="15"/>
      <c r="C185" s="15"/>
      <c r="D185" s="15"/>
      <c r="E185" s="15"/>
      <c r="F185" s="15"/>
      <c r="G185" s="16" t="str">
        <f aca="false">IF(A185="","",IF(F185="","No interface recorded",IF(F185="N/A","OK (in-system)",IF(COUNTIF(Interface_Register!$A$5:$A$204,F185)=0,"INT-ID not in register","OK"))))</f>
        <v/>
      </c>
      <c r="H185" s="15"/>
    </row>
    <row r="186" customFormat="false" ht="15" hidden="false" customHeight="false" outlineLevel="0" collapsed="false">
      <c r="A186" s="15"/>
      <c r="B186" s="15"/>
      <c r="C186" s="15"/>
      <c r="D186" s="15"/>
      <c r="E186" s="15"/>
      <c r="F186" s="15"/>
      <c r="G186" s="16" t="str">
        <f aca="false">IF(A186="","",IF(F186="","No interface recorded",IF(F186="N/A","OK (in-system)",IF(COUNTIF(Interface_Register!$A$5:$A$204,F186)=0,"INT-ID not in register","OK"))))</f>
        <v/>
      </c>
      <c r="H186" s="15"/>
    </row>
    <row r="187" customFormat="false" ht="15" hidden="false" customHeight="false" outlineLevel="0" collapsed="false">
      <c r="A187" s="15"/>
      <c r="B187" s="15"/>
      <c r="C187" s="15"/>
      <c r="D187" s="15"/>
      <c r="E187" s="15"/>
      <c r="F187" s="15"/>
      <c r="G187" s="16" t="str">
        <f aca="false">IF(A187="","",IF(F187="","No interface recorded",IF(F187="N/A","OK (in-system)",IF(COUNTIF(Interface_Register!$A$5:$A$204,F187)=0,"INT-ID not in register","OK"))))</f>
        <v/>
      </c>
      <c r="H187" s="15"/>
    </row>
    <row r="188" customFormat="false" ht="15" hidden="false" customHeight="false" outlineLevel="0" collapsed="false">
      <c r="A188" s="15"/>
      <c r="B188" s="15"/>
      <c r="C188" s="15"/>
      <c r="D188" s="15"/>
      <c r="E188" s="15"/>
      <c r="F188" s="15"/>
      <c r="G188" s="16" t="str">
        <f aca="false">IF(A188="","",IF(F188="","No interface recorded",IF(F188="N/A","OK (in-system)",IF(COUNTIF(Interface_Register!$A$5:$A$204,F188)=0,"INT-ID not in register","OK"))))</f>
        <v/>
      </c>
      <c r="H188" s="15"/>
    </row>
    <row r="189" customFormat="false" ht="15" hidden="false" customHeight="false" outlineLevel="0" collapsed="false">
      <c r="A189" s="15"/>
      <c r="B189" s="15"/>
      <c r="C189" s="15"/>
      <c r="D189" s="15"/>
      <c r="E189" s="15"/>
      <c r="F189" s="15"/>
      <c r="G189" s="16" t="str">
        <f aca="false">IF(A189="","",IF(F189="","No interface recorded",IF(F189="N/A","OK (in-system)",IF(COUNTIF(Interface_Register!$A$5:$A$204,F189)=0,"INT-ID not in register","OK"))))</f>
        <v/>
      </c>
      <c r="H189" s="15"/>
    </row>
    <row r="190" customFormat="false" ht="15" hidden="false" customHeight="false" outlineLevel="0" collapsed="false">
      <c r="A190" s="15"/>
      <c r="B190" s="15"/>
      <c r="C190" s="15"/>
      <c r="D190" s="15"/>
      <c r="E190" s="15"/>
      <c r="F190" s="15"/>
      <c r="G190" s="16" t="str">
        <f aca="false">IF(A190="","",IF(F190="","No interface recorded",IF(F190="N/A","OK (in-system)",IF(COUNTIF(Interface_Register!$A$5:$A$204,F190)=0,"INT-ID not in register","OK"))))</f>
        <v/>
      </c>
      <c r="H190" s="15"/>
    </row>
    <row r="191" customFormat="false" ht="15" hidden="false" customHeight="false" outlineLevel="0" collapsed="false">
      <c r="A191" s="15"/>
      <c r="B191" s="15"/>
      <c r="C191" s="15"/>
      <c r="D191" s="15"/>
      <c r="E191" s="15"/>
      <c r="F191" s="15"/>
      <c r="G191" s="16" t="str">
        <f aca="false">IF(A191="","",IF(F191="","No interface recorded",IF(F191="N/A","OK (in-system)",IF(COUNTIF(Interface_Register!$A$5:$A$204,F191)=0,"INT-ID not in register","OK"))))</f>
        <v/>
      </c>
      <c r="H191" s="15"/>
    </row>
    <row r="192" customFormat="false" ht="15" hidden="false" customHeight="false" outlineLevel="0" collapsed="false">
      <c r="A192" s="15"/>
      <c r="B192" s="15"/>
      <c r="C192" s="15"/>
      <c r="D192" s="15"/>
      <c r="E192" s="15"/>
      <c r="F192" s="15"/>
      <c r="G192" s="16" t="str">
        <f aca="false">IF(A192="","",IF(F192="","No interface recorded",IF(F192="N/A","OK (in-system)",IF(COUNTIF(Interface_Register!$A$5:$A$204,F192)=0,"INT-ID not in register","OK"))))</f>
        <v/>
      </c>
      <c r="H192" s="15"/>
    </row>
    <row r="193" customFormat="false" ht="15" hidden="false" customHeight="false" outlineLevel="0" collapsed="false">
      <c r="A193" s="15"/>
      <c r="B193" s="15"/>
      <c r="C193" s="15"/>
      <c r="D193" s="15"/>
      <c r="E193" s="15"/>
      <c r="F193" s="15"/>
      <c r="G193" s="16" t="str">
        <f aca="false">IF(A193="","",IF(F193="","No interface recorded",IF(F193="N/A","OK (in-system)",IF(COUNTIF(Interface_Register!$A$5:$A$204,F193)=0,"INT-ID not in register","OK"))))</f>
        <v/>
      </c>
      <c r="H193" s="15"/>
    </row>
    <row r="194" customFormat="false" ht="15" hidden="false" customHeight="false" outlineLevel="0" collapsed="false">
      <c r="A194" s="15"/>
      <c r="B194" s="15"/>
      <c r="C194" s="15"/>
      <c r="D194" s="15"/>
      <c r="E194" s="15"/>
      <c r="F194" s="15"/>
      <c r="G194" s="16" t="str">
        <f aca="false">IF(A194="","",IF(F194="","No interface recorded",IF(F194="N/A","OK (in-system)",IF(COUNTIF(Interface_Register!$A$5:$A$204,F194)=0,"INT-ID not in register","OK"))))</f>
        <v/>
      </c>
      <c r="H194" s="15"/>
    </row>
    <row r="195" customFormat="false" ht="15" hidden="false" customHeight="false" outlineLevel="0" collapsed="false">
      <c r="A195" s="15"/>
      <c r="B195" s="15"/>
      <c r="C195" s="15"/>
      <c r="D195" s="15"/>
      <c r="E195" s="15"/>
      <c r="F195" s="15"/>
      <c r="G195" s="16" t="str">
        <f aca="false">IF(A195="","",IF(F195="","No interface recorded",IF(F195="N/A","OK (in-system)",IF(COUNTIF(Interface_Register!$A$5:$A$204,F195)=0,"INT-ID not in register","OK"))))</f>
        <v/>
      </c>
      <c r="H195" s="15"/>
    </row>
    <row r="196" customFormat="false" ht="15" hidden="false" customHeight="false" outlineLevel="0" collapsed="false">
      <c r="A196" s="15"/>
      <c r="B196" s="15"/>
      <c r="C196" s="15"/>
      <c r="D196" s="15"/>
      <c r="E196" s="15"/>
      <c r="F196" s="15"/>
      <c r="G196" s="16" t="str">
        <f aca="false">IF(A196="","",IF(F196="","No interface recorded",IF(F196="N/A","OK (in-system)",IF(COUNTIF(Interface_Register!$A$5:$A$204,F196)=0,"INT-ID not in register","OK"))))</f>
        <v/>
      </c>
      <c r="H196" s="15"/>
    </row>
    <row r="197" customFormat="false" ht="15" hidden="false" customHeight="false" outlineLevel="0" collapsed="false">
      <c r="A197" s="15"/>
      <c r="B197" s="15"/>
      <c r="C197" s="15"/>
      <c r="D197" s="15"/>
      <c r="E197" s="15"/>
      <c r="F197" s="15"/>
      <c r="G197" s="16" t="str">
        <f aca="false">IF(A197="","",IF(F197="","No interface recorded",IF(F197="N/A","OK (in-system)",IF(COUNTIF(Interface_Register!$A$5:$A$204,F197)=0,"INT-ID not in register","OK"))))</f>
        <v/>
      </c>
      <c r="H197" s="15"/>
    </row>
    <row r="198" customFormat="false" ht="15" hidden="false" customHeight="false" outlineLevel="0" collapsed="false">
      <c r="A198" s="15"/>
      <c r="B198" s="15"/>
      <c r="C198" s="15"/>
      <c r="D198" s="15"/>
      <c r="E198" s="15"/>
      <c r="F198" s="15"/>
      <c r="G198" s="16" t="str">
        <f aca="false">IF(A198="","",IF(F198="","No interface recorded",IF(F198="N/A","OK (in-system)",IF(COUNTIF(Interface_Register!$A$5:$A$204,F198)=0,"INT-ID not in register","OK"))))</f>
        <v/>
      </c>
      <c r="H198" s="15"/>
    </row>
    <row r="199" customFormat="false" ht="15" hidden="false" customHeight="false" outlineLevel="0" collapsed="false">
      <c r="A199" s="15"/>
      <c r="B199" s="15"/>
      <c r="C199" s="15"/>
      <c r="D199" s="15"/>
      <c r="E199" s="15"/>
      <c r="F199" s="15"/>
      <c r="G199" s="16" t="str">
        <f aca="false">IF(A199="","",IF(F199="","No interface recorded",IF(F199="N/A","OK (in-system)",IF(COUNTIF(Interface_Register!$A$5:$A$204,F199)=0,"INT-ID not in register","OK"))))</f>
        <v/>
      </c>
      <c r="H199" s="15"/>
    </row>
    <row r="200" customFormat="false" ht="15" hidden="false" customHeight="false" outlineLevel="0" collapsed="false">
      <c r="A200" s="15"/>
      <c r="B200" s="15"/>
      <c r="C200" s="15"/>
      <c r="D200" s="15"/>
      <c r="E200" s="15"/>
      <c r="F200" s="15"/>
      <c r="G200" s="16" t="str">
        <f aca="false">IF(A200="","",IF(F200="","No interface recorded",IF(F200="N/A","OK (in-system)",IF(COUNTIF(Interface_Register!$A$5:$A$204,F200)=0,"INT-ID not in register","OK"))))</f>
        <v/>
      </c>
      <c r="H200" s="15"/>
    </row>
    <row r="201" customFormat="false" ht="15" hidden="false" customHeight="false" outlineLevel="0" collapsed="false">
      <c r="A201" s="15"/>
      <c r="B201" s="15"/>
      <c r="C201" s="15"/>
      <c r="D201" s="15"/>
      <c r="E201" s="15"/>
      <c r="F201" s="15"/>
      <c r="G201" s="16" t="str">
        <f aca="false">IF(A201="","",IF(F201="","No interface recorded",IF(F201="N/A","OK (in-system)",IF(COUNTIF(Interface_Register!$A$5:$A$204,F201)=0,"INT-ID not in register","OK"))))</f>
        <v/>
      </c>
      <c r="H201" s="15"/>
    </row>
    <row r="202" customFormat="false" ht="15" hidden="false" customHeight="false" outlineLevel="0" collapsed="false">
      <c r="A202" s="15"/>
      <c r="B202" s="15"/>
      <c r="C202" s="15"/>
      <c r="D202" s="15"/>
      <c r="E202" s="15"/>
      <c r="F202" s="15"/>
      <c r="G202" s="16" t="str">
        <f aca="false">IF(A202="","",IF(F202="","No interface recorded",IF(F202="N/A","OK (in-system)",IF(COUNTIF(Interface_Register!$A$5:$A$204,F202)=0,"INT-ID not in register","OK"))))</f>
        <v/>
      </c>
      <c r="H202" s="15"/>
    </row>
    <row r="203" customFormat="false" ht="15" hidden="false" customHeight="false" outlineLevel="0" collapsed="false">
      <c r="A203" s="15"/>
      <c r="B203" s="15"/>
      <c r="C203" s="15"/>
      <c r="D203" s="15"/>
      <c r="E203" s="15"/>
      <c r="F203" s="15"/>
      <c r="G203" s="16" t="str">
        <f aca="false">IF(A203="","",IF(F203="","No interface recorded",IF(F203="N/A","OK (in-system)",IF(COUNTIF(Interface_Register!$A$5:$A$204,F203)=0,"INT-ID not in register","OK"))))</f>
        <v/>
      </c>
      <c r="H203" s="15"/>
    </row>
    <row r="204" customFormat="false" ht="15" hidden="false" customHeight="false" outlineLevel="0" collapsed="false">
      <c r="A204" s="15"/>
      <c r="B204" s="15"/>
      <c r="C204" s="15"/>
      <c r="D204" s="15"/>
      <c r="E204" s="15"/>
      <c r="F204" s="15"/>
      <c r="G204" s="16" t="str">
        <f aca="false">IF(A204="","",IF(F204="","No interface recorded",IF(F204="N/A","OK (in-system)",IF(COUNTIF(Interface_Register!$A$5:$A$204,F204)=0,"INT-ID not in register","OK"))))</f>
        <v/>
      </c>
      <c r="H204" s="15"/>
    </row>
  </sheetData>
  <autoFilter ref="A4:H204"/>
  <dataValidations count="1">
    <dataValidation allowBlank="true" error="Pick a value from the list." errorStyle="warning" operator="between" showDropDown="false" showErrorMessage="true" showInputMessage="false" sqref="F5:F204" type="list">
      <formula1>Interface_Register!$A$5:$A$204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50"/>
    <col collapsed="false" customWidth="true" hidden="false" outlineLevel="0" max="4" min="4" style="0" width="18"/>
    <col collapsed="false" customWidth="true" hidden="false" outlineLevel="0" max="6" min="5" style="0" width="12"/>
    <col collapsed="false" customWidth="true" hidden="false" outlineLevel="0" max="7" min="7" style="0" width="14"/>
    <col collapsed="false" customWidth="true" hidden="false" outlineLevel="0" max="8" min="8" style="0" width="40"/>
  </cols>
  <sheetData>
    <row r="1" customFormat="false" ht="17.35" hidden="false" customHeight="false" outlineLevel="0" collapsed="false">
      <c r="A1" s="9" t="s">
        <v>169</v>
      </c>
    </row>
    <row r="2" customFormat="false" ht="15" hidden="false" customHeight="false" outlineLevel="0" collapsed="false">
      <c r="A2" s="10" t="s">
        <v>170</v>
      </c>
    </row>
    <row r="4" customFormat="false" ht="31.5" hidden="false" customHeight="true" outlineLevel="0" collapsed="false">
      <c r="A4" s="11" t="s">
        <v>119</v>
      </c>
      <c r="B4" s="11" t="s">
        <v>33</v>
      </c>
      <c r="C4" s="11" t="s">
        <v>124</v>
      </c>
      <c r="D4" s="11" t="s">
        <v>126</v>
      </c>
      <c r="E4" s="11" t="s">
        <v>129</v>
      </c>
      <c r="F4" s="11" t="s">
        <v>132</v>
      </c>
      <c r="G4" s="11" t="s">
        <v>134</v>
      </c>
      <c r="H4" s="11" t="s">
        <v>137</v>
      </c>
    </row>
    <row r="5" customFormat="false" ht="23.85" hidden="false" customHeight="false" outlineLevel="0" collapsed="false">
      <c r="A5" s="13" t="s">
        <v>171</v>
      </c>
      <c r="B5" s="13" t="s">
        <v>172</v>
      </c>
      <c r="C5" s="13" t="s">
        <v>173</v>
      </c>
      <c r="D5" s="13" t="s">
        <v>174</v>
      </c>
      <c r="E5" s="17"/>
      <c r="F5" s="17"/>
      <c r="G5" s="13" t="s">
        <v>175</v>
      </c>
      <c r="H5" s="13"/>
    </row>
    <row r="6" customFormat="false" ht="15" hidden="false" customHeight="false" outlineLevel="0" collapsed="false">
      <c r="A6" s="15"/>
      <c r="B6" s="15"/>
      <c r="C6" s="15"/>
      <c r="D6" s="15"/>
      <c r="E6" s="18"/>
      <c r="F6" s="18"/>
      <c r="G6" s="15"/>
      <c r="H6" s="15"/>
    </row>
    <row r="7" customFormat="false" ht="15" hidden="false" customHeight="false" outlineLevel="0" collapsed="false">
      <c r="A7" s="15"/>
      <c r="B7" s="15"/>
      <c r="C7" s="15"/>
      <c r="D7" s="15"/>
      <c r="E7" s="18"/>
      <c r="F7" s="18"/>
      <c r="G7" s="15"/>
      <c r="H7" s="15"/>
    </row>
    <row r="8" customFormat="false" ht="15" hidden="false" customHeight="false" outlineLevel="0" collapsed="false">
      <c r="A8" s="15"/>
      <c r="B8" s="15"/>
      <c r="C8" s="15"/>
      <c r="D8" s="15"/>
      <c r="E8" s="18"/>
      <c r="F8" s="18"/>
      <c r="G8" s="15"/>
      <c r="H8" s="15"/>
    </row>
    <row r="9" customFormat="false" ht="15" hidden="false" customHeight="false" outlineLevel="0" collapsed="false">
      <c r="A9" s="15"/>
      <c r="B9" s="15"/>
      <c r="C9" s="15"/>
      <c r="D9" s="15"/>
      <c r="E9" s="18"/>
      <c r="F9" s="18"/>
      <c r="G9" s="15"/>
      <c r="H9" s="15"/>
    </row>
    <row r="10" customFormat="false" ht="15" hidden="false" customHeight="false" outlineLevel="0" collapsed="false">
      <c r="A10" s="15"/>
      <c r="B10" s="15"/>
      <c r="C10" s="15"/>
      <c r="D10" s="15"/>
      <c r="E10" s="18"/>
      <c r="F10" s="18"/>
      <c r="G10" s="15"/>
      <c r="H10" s="15"/>
    </row>
    <row r="11" customFormat="false" ht="15" hidden="false" customHeight="false" outlineLevel="0" collapsed="false">
      <c r="A11" s="15"/>
      <c r="B11" s="15"/>
      <c r="C11" s="15"/>
      <c r="D11" s="15"/>
      <c r="E11" s="18"/>
      <c r="F11" s="18"/>
      <c r="G11" s="15"/>
      <c r="H11" s="15"/>
    </row>
    <row r="12" customFormat="false" ht="15" hidden="false" customHeight="false" outlineLevel="0" collapsed="false">
      <c r="A12" s="15"/>
      <c r="B12" s="15"/>
      <c r="C12" s="15"/>
      <c r="D12" s="15"/>
      <c r="E12" s="18"/>
      <c r="F12" s="18"/>
      <c r="G12" s="15"/>
      <c r="H12" s="15"/>
    </row>
    <row r="13" customFormat="false" ht="15" hidden="false" customHeight="false" outlineLevel="0" collapsed="false">
      <c r="A13" s="15"/>
      <c r="B13" s="15"/>
      <c r="C13" s="15"/>
      <c r="D13" s="15"/>
      <c r="E13" s="18"/>
      <c r="F13" s="18"/>
      <c r="G13" s="15"/>
      <c r="H13" s="15"/>
    </row>
    <row r="14" customFormat="false" ht="15" hidden="false" customHeight="false" outlineLevel="0" collapsed="false">
      <c r="A14" s="15"/>
      <c r="B14" s="15"/>
      <c r="C14" s="15"/>
      <c r="D14" s="15"/>
      <c r="E14" s="18"/>
      <c r="F14" s="18"/>
      <c r="G14" s="15"/>
      <c r="H14" s="15"/>
    </row>
    <row r="15" customFormat="false" ht="15" hidden="false" customHeight="false" outlineLevel="0" collapsed="false">
      <c r="A15" s="15"/>
      <c r="B15" s="15"/>
      <c r="C15" s="15"/>
      <c r="D15" s="15"/>
      <c r="E15" s="18"/>
      <c r="F15" s="18"/>
      <c r="G15" s="15"/>
      <c r="H15" s="15"/>
    </row>
    <row r="16" customFormat="false" ht="15" hidden="false" customHeight="false" outlineLevel="0" collapsed="false">
      <c r="A16" s="15"/>
      <c r="B16" s="15"/>
      <c r="C16" s="15"/>
      <c r="D16" s="15"/>
      <c r="E16" s="18"/>
      <c r="F16" s="18"/>
      <c r="G16" s="15"/>
      <c r="H16" s="15"/>
    </row>
    <row r="17" customFormat="false" ht="15" hidden="false" customHeight="false" outlineLevel="0" collapsed="false">
      <c r="A17" s="15"/>
      <c r="B17" s="15"/>
      <c r="C17" s="15"/>
      <c r="D17" s="15"/>
      <c r="E17" s="18"/>
      <c r="F17" s="18"/>
      <c r="G17" s="15"/>
      <c r="H17" s="15"/>
    </row>
    <row r="18" customFormat="false" ht="15" hidden="false" customHeight="false" outlineLevel="0" collapsed="false">
      <c r="A18" s="15"/>
      <c r="B18" s="15"/>
      <c r="C18" s="15"/>
      <c r="D18" s="15"/>
      <c r="E18" s="18"/>
      <c r="F18" s="18"/>
      <c r="G18" s="15"/>
      <c r="H18" s="15"/>
    </row>
    <row r="19" customFormat="false" ht="15" hidden="false" customHeight="false" outlineLevel="0" collapsed="false">
      <c r="A19" s="15"/>
      <c r="B19" s="15"/>
      <c r="C19" s="15"/>
      <c r="D19" s="15"/>
      <c r="E19" s="18"/>
      <c r="F19" s="18"/>
      <c r="G19" s="15"/>
      <c r="H19" s="15"/>
    </row>
    <row r="20" customFormat="false" ht="15" hidden="false" customHeight="false" outlineLevel="0" collapsed="false">
      <c r="A20" s="15"/>
      <c r="B20" s="15"/>
      <c r="C20" s="15"/>
      <c r="D20" s="15"/>
      <c r="E20" s="18"/>
      <c r="F20" s="18"/>
      <c r="G20" s="15"/>
      <c r="H20" s="15"/>
    </row>
    <row r="21" customFormat="false" ht="15" hidden="false" customHeight="false" outlineLevel="0" collapsed="false">
      <c r="A21" s="15"/>
      <c r="B21" s="15"/>
      <c r="C21" s="15"/>
      <c r="D21" s="15"/>
      <c r="E21" s="18"/>
      <c r="F21" s="18"/>
      <c r="G21" s="15"/>
      <c r="H21" s="15"/>
    </row>
    <row r="22" customFormat="false" ht="15" hidden="false" customHeight="false" outlineLevel="0" collapsed="false">
      <c r="A22" s="15"/>
      <c r="B22" s="15"/>
      <c r="C22" s="15"/>
      <c r="D22" s="15"/>
      <c r="E22" s="18"/>
      <c r="F22" s="18"/>
      <c r="G22" s="15"/>
      <c r="H22" s="15"/>
    </row>
    <row r="23" customFormat="false" ht="15" hidden="false" customHeight="false" outlineLevel="0" collapsed="false">
      <c r="A23" s="15"/>
      <c r="B23" s="15"/>
      <c r="C23" s="15"/>
      <c r="D23" s="15"/>
      <c r="E23" s="18"/>
      <c r="F23" s="18"/>
      <c r="G23" s="15"/>
      <c r="H23" s="15"/>
    </row>
    <row r="24" customFormat="false" ht="15" hidden="false" customHeight="false" outlineLevel="0" collapsed="false">
      <c r="A24" s="15"/>
      <c r="B24" s="15"/>
      <c r="C24" s="15"/>
      <c r="D24" s="15"/>
      <c r="E24" s="18"/>
      <c r="F24" s="18"/>
      <c r="G24" s="15"/>
      <c r="H24" s="15"/>
    </row>
    <row r="25" customFormat="false" ht="15" hidden="false" customHeight="false" outlineLevel="0" collapsed="false">
      <c r="A25" s="15"/>
      <c r="B25" s="15"/>
      <c r="C25" s="15"/>
      <c r="D25" s="15"/>
      <c r="E25" s="18"/>
      <c r="F25" s="18"/>
      <c r="G25" s="15"/>
      <c r="H25" s="15"/>
    </row>
    <row r="26" customFormat="false" ht="15" hidden="false" customHeight="false" outlineLevel="0" collapsed="false">
      <c r="A26" s="15"/>
      <c r="B26" s="15"/>
      <c r="C26" s="15"/>
      <c r="D26" s="15"/>
      <c r="E26" s="18"/>
      <c r="F26" s="18"/>
      <c r="G26" s="15"/>
      <c r="H26" s="15"/>
    </row>
    <row r="27" customFormat="false" ht="15" hidden="false" customHeight="false" outlineLevel="0" collapsed="false">
      <c r="A27" s="15"/>
      <c r="B27" s="15"/>
      <c r="C27" s="15"/>
      <c r="D27" s="15"/>
      <c r="E27" s="18"/>
      <c r="F27" s="18"/>
      <c r="G27" s="15"/>
      <c r="H27" s="15"/>
    </row>
    <row r="28" customFormat="false" ht="15" hidden="false" customHeight="false" outlineLevel="0" collapsed="false">
      <c r="A28" s="15"/>
      <c r="B28" s="15"/>
      <c r="C28" s="15"/>
      <c r="D28" s="15"/>
      <c r="E28" s="18"/>
      <c r="F28" s="18"/>
      <c r="G28" s="15"/>
      <c r="H28" s="15"/>
    </row>
    <row r="29" customFormat="false" ht="15" hidden="false" customHeight="false" outlineLevel="0" collapsed="false">
      <c r="A29" s="15"/>
      <c r="B29" s="15"/>
      <c r="C29" s="15"/>
      <c r="D29" s="15"/>
      <c r="E29" s="18"/>
      <c r="F29" s="18"/>
      <c r="G29" s="15"/>
      <c r="H29" s="15"/>
    </row>
    <row r="30" customFormat="false" ht="15" hidden="false" customHeight="false" outlineLevel="0" collapsed="false">
      <c r="A30" s="15"/>
      <c r="B30" s="15"/>
      <c r="C30" s="15"/>
      <c r="D30" s="15"/>
      <c r="E30" s="18"/>
      <c r="F30" s="18"/>
      <c r="G30" s="15"/>
      <c r="H30" s="15"/>
    </row>
    <row r="31" customFormat="false" ht="15" hidden="false" customHeight="false" outlineLevel="0" collapsed="false">
      <c r="A31" s="15"/>
      <c r="B31" s="15"/>
      <c r="C31" s="15"/>
      <c r="D31" s="15"/>
      <c r="E31" s="18"/>
      <c r="F31" s="18"/>
      <c r="G31" s="15"/>
      <c r="H31" s="15"/>
    </row>
    <row r="32" customFormat="false" ht="15" hidden="false" customHeight="false" outlineLevel="0" collapsed="false">
      <c r="A32" s="15"/>
      <c r="B32" s="15"/>
      <c r="C32" s="15"/>
      <c r="D32" s="15"/>
      <c r="E32" s="18"/>
      <c r="F32" s="18"/>
      <c r="G32" s="15"/>
      <c r="H32" s="15"/>
    </row>
    <row r="33" customFormat="false" ht="15" hidden="false" customHeight="false" outlineLevel="0" collapsed="false">
      <c r="A33" s="15"/>
      <c r="B33" s="15"/>
      <c r="C33" s="15"/>
      <c r="D33" s="15"/>
      <c r="E33" s="18"/>
      <c r="F33" s="18"/>
      <c r="G33" s="15"/>
      <c r="H33" s="15"/>
    </row>
    <row r="34" customFormat="false" ht="15" hidden="false" customHeight="false" outlineLevel="0" collapsed="false">
      <c r="A34" s="15"/>
      <c r="B34" s="15"/>
      <c r="C34" s="15"/>
      <c r="D34" s="15"/>
      <c r="E34" s="18"/>
      <c r="F34" s="18"/>
      <c r="G34" s="15"/>
      <c r="H34" s="15"/>
    </row>
    <row r="35" customFormat="false" ht="15" hidden="false" customHeight="false" outlineLevel="0" collapsed="false">
      <c r="A35" s="15"/>
      <c r="B35" s="15"/>
      <c r="C35" s="15"/>
      <c r="D35" s="15"/>
      <c r="E35" s="18"/>
      <c r="F35" s="18"/>
      <c r="G35" s="15"/>
      <c r="H35" s="15"/>
    </row>
    <row r="36" customFormat="false" ht="15" hidden="false" customHeight="false" outlineLevel="0" collapsed="false">
      <c r="A36" s="15"/>
      <c r="B36" s="15"/>
      <c r="C36" s="15"/>
      <c r="D36" s="15"/>
      <c r="E36" s="18"/>
      <c r="F36" s="18"/>
      <c r="G36" s="15"/>
      <c r="H36" s="15"/>
    </row>
    <row r="37" customFormat="false" ht="15" hidden="false" customHeight="false" outlineLevel="0" collapsed="false">
      <c r="A37" s="15"/>
      <c r="B37" s="15"/>
      <c r="C37" s="15"/>
      <c r="D37" s="15"/>
      <c r="E37" s="18"/>
      <c r="F37" s="18"/>
      <c r="G37" s="15"/>
      <c r="H37" s="15"/>
    </row>
    <row r="38" customFormat="false" ht="15" hidden="false" customHeight="false" outlineLevel="0" collapsed="false">
      <c r="A38" s="15"/>
      <c r="B38" s="15"/>
      <c r="C38" s="15"/>
      <c r="D38" s="15"/>
      <c r="E38" s="18"/>
      <c r="F38" s="18"/>
      <c r="G38" s="15"/>
      <c r="H38" s="15"/>
    </row>
    <row r="39" customFormat="false" ht="15" hidden="false" customHeight="false" outlineLevel="0" collapsed="false">
      <c r="A39" s="15"/>
      <c r="B39" s="15"/>
      <c r="C39" s="15"/>
      <c r="D39" s="15"/>
      <c r="E39" s="18"/>
      <c r="F39" s="18"/>
      <c r="G39" s="15"/>
      <c r="H39" s="15"/>
    </row>
    <row r="40" customFormat="false" ht="15" hidden="false" customHeight="false" outlineLevel="0" collapsed="false">
      <c r="A40" s="15"/>
      <c r="B40" s="15"/>
      <c r="C40" s="15"/>
      <c r="D40" s="15"/>
      <c r="E40" s="18"/>
      <c r="F40" s="18"/>
      <c r="G40" s="15"/>
      <c r="H40" s="15"/>
    </row>
    <row r="41" customFormat="false" ht="15" hidden="false" customHeight="false" outlineLevel="0" collapsed="false">
      <c r="A41" s="15"/>
      <c r="B41" s="15"/>
      <c r="C41" s="15"/>
      <c r="D41" s="15"/>
      <c r="E41" s="18"/>
      <c r="F41" s="18"/>
      <c r="G41" s="15"/>
      <c r="H41" s="15"/>
    </row>
    <row r="42" customFormat="false" ht="15" hidden="false" customHeight="false" outlineLevel="0" collapsed="false">
      <c r="A42" s="15"/>
      <c r="B42" s="15"/>
      <c r="C42" s="15"/>
      <c r="D42" s="15"/>
      <c r="E42" s="18"/>
      <c r="F42" s="18"/>
      <c r="G42" s="15"/>
      <c r="H42" s="15"/>
    </row>
    <row r="43" customFormat="false" ht="15" hidden="false" customHeight="false" outlineLevel="0" collapsed="false">
      <c r="A43" s="15"/>
      <c r="B43" s="15"/>
      <c r="C43" s="15"/>
      <c r="D43" s="15"/>
      <c r="E43" s="18"/>
      <c r="F43" s="18"/>
      <c r="G43" s="15"/>
      <c r="H43" s="15"/>
    </row>
    <row r="44" customFormat="false" ht="15" hidden="false" customHeight="false" outlineLevel="0" collapsed="false">
      <c r="A44" s="15"/>
      <c r="B44" s="15"/>
      <c r="C44" s="15"/>
      <c r="D44" s="15"/>
      <c r="E44" s="18"/>
      <c r="F44" s="18"/>
      <c r="G44" s="15"/>
      <c r="H44" s="15"/>
    </row>
    <row r="45" customFormat="false" ht="15" hidden="false" customHeight="false" outlineLevel="0" collapsed="false">
      <c r="A45" s="15"/>
      <c r="B45" s="15"/>
      <c r="C45" s="15"/>
      <c r="D45" s="15"/>
      <c r="E45" s="18"/>
      <c r="F45" s="18"/>
      <c r="G45" s="15"/>
      <c r="H45" s="15"/>
    </row>
    <row r="46" customFormat="false" ht="15" hidden="false" customHeight="false" outlineLevel="0" collapsed="false">
      <c r="A46" s="15"/>
      <c r="B46" s="15"/>
      <c r="C46" s="15"/>
      <c r="D46" s="15"/>
      <c r="E46" s="18"/>
      <c r="F46" s="18"/>
      <c r="G46" s="15"/>
      <c r="H46" s="15"/>
    </row>
    <row r="47" customFormat="false" ht="15" hidden="false" customHeight="false" outlineLevel="0" collapsed="false">
      <c r="A47" s="15"/>
      <c r="B47" s="15"/>
      <c r="C47" s="15"/>
      <c r="D47" s="15"/>
      <c r="E47" s="18"/>
      <c r="F47" s="18"/>
      <c r="G47" s="15"/>
      <c r="H47" s="15"/>
    </row>
    <row r="48" customFormat="false" ht="15" hidden="false" customHeight="false" outlineLevel="0" collapsed="false">
      <c r="A48" s="15"/>
      <c r="B48" s="15"/>
      <c r="C48" s="15"/>
      <c r="D48" s="15"/>
      <c r="E48" s="18"/>
      <c r="F48" s="18"/>
      <c r="G48" s="15"/>
      <c r="H48" s="15"/>
    </row>
    <row r="49" customFormat="false" ht="15" hidden="false" customHeight="false" outlineLevel="0" collapsed="false">
      <c r="A49" s="15"/>
      <c r="B49" s="15"/>
      <c r="C49" s="15"/>
      <c r="D49" s="15"/>
      <c r="E49" s="18"/>
      <c r="F49" s="18"/>
      <c r="G49" s="15"/>
      <c r="H49" s="15"/>
    </row>
    <row r="50" customFormat="false" ht="15" hidden="false" customHeight="false" outlineLevel="0" collapsed="false">
      <c r="A50" s="15"/>
      <c r="B50" s="15"/>
      <c r="C50" s="15"/>
      <c r="D50" s="15"/>
      <c r="E50" s="18"/>
      <c r="F50" s="18"/>
      <c r="G50" s="15"/>
      <c r="H50" s="15"/>
    </row>
    <row r="51" customFormat="false" ht="15" hidden="false" customHeight="false" outlineLevel="0" collapsed="false">
      <c r="A51" s="15"/>
      <c r="B51" s="15"/>
      <c r="C51" s="15"/>
      <c r="D51" s="15"/>
      <c r="E51" s="18"/>
      <c r="F51" s="18"/>
      <c r="G51" s="15"/>
      <c r="H51" s="15"/>
    </row>
    <row r="52" customFormat="false" ht="15" hidden="false" customHeight="false" outlineLevel="0" collapsed="false">
      <c r="A52" s="15"/>
      <c r="B52" s="15"/>
      <c r="C52" s="15"/>
      <c r="D52" s="15"/>
      <c r="E52" s="18"/>
      <c r="F52" s="18"/>
      <c r="G52" s="15"/>
      <c r="H52" s="15"/>
    </row>
    <row r="53" customFormat="false" ht="15" hidden="false" customHeight="false" outlineLevel="0" collapsed="false">
      <c r="A53" s="15"/>
      <c r="B53" s="15"/>
      <c r="C53" s="15"/>
      <c r="D53" s="15"/>
      <c r="E53" s="18"/>
      <c r="F53" s="18"/>
      <c r="G53" s="15"/>
      <c r="H53" s="15"/>
    </row>
    <row r="54" customFormat="false" ht="15" hidden="false" customHeight="false" outlineLevel="0" collapsed="false">
      <c r="A54" s="15"/>
      <c r="B54" s="15"/>
      <c r="C54" s="15"/>
      <c r="D54" s="15"/>
      <c r="E54" s="18"/>
      <c r="F54" s="18"/>
      <c r="G54" s="15"/>
      <c r="H54" s="15"/>
    </row>
    <row r="55" customFormat="false" ht="15" hidden="false" customHeight="false" outlineLevel="0" collapsed="false">
      <c r="A55" s="15"/>
      <c r="B55" s="15"/>
      <c r="C55" s="15"/>
      <c r="D55" s="15"/>
      <c r="E55" s="18"/>
      <c r="F55" s="18"/>
      <c r="G55" s="15"/>
      <c r="H55" s="15"/>
    </row>
    <row r="56" customFormat="false" ht="15" hidden="false" customHeight="false" outlineLevel="0" collapsed="false">
      <c r="A56" s="15"/>
      <c r="B56" s="15"/>
      <c r="C56" s="15"/>
      <c r="D56" s="15"/>
      <c r="E56" s="18"/>
      <c r="F56" s="18"/>
      <c r="G56" s="15"/>
      <c r="H56" s="15"/>
    </row>
    <row r="57" customFormat="false" ht="15" hidden="false" customHeight="false" outlineLevel="0" collapsed="false">
      <c r="A57" s="15"/>
      <c r="B57" s="15"/>
      <c r="C57" s="15"/>
      <c r="D57" s="15"/>
      <c r="E57" s="18"/>
      <c r="F57" s="18"/>
      <c r="G57" s="15"/>
      <c r="H57" s="15"/>
    </row>
    <row r="58" customFormat="false" ht="15" hidden="false" customHeight="false" outlineLevel="0" collapsed="false">
      <c r="A58" s="15"/>
      <c r="B58" s="15"/>
      <c r="C58" s="15"/>
      <c r="D58" s="15"/>
      <c r="E58" s="18"/>
      <c r="F58" s="18"/>
      <c r="G58" s="15"/>
      <c r="H58" s="15"/>
    </row>
    <row r="59" customFormat="false" ht="15" hidden="false" customHeight="false" outlineLevel="0" collapsed="false">
      <c r="A59" s="15"/>
      <c r="B59" s="15"/>
      <c r="C59" s="15"/>
      <c r="D59" s="15"/>
      <c r="E59" s="18"/>
      <c r="F59" s="18"/>
      <c r="G59" s="15"/>
      <c r="H59" s="15"/>
    </row>
    <row r="60" customFormat="false" ht="15" hidden="false" customHeight="false" outlineLevel="0" collapsed="false">
      <c r="A60" s="15"/>
      <c r="B60" s="15"/>
      <c r="C60" s="15"/>
      <c r="D60" s="15"/>
      <c r="E60" s="18"/>
      <c r="F60" s="18"/>
      <c r="G60" s="15"/>
      <c r="H60" s="15"/>
    </row>
    <row r="61" customFormat="false" ht="15" hidden="false" customHeight="false" outlineLevel="0" collapsed="false">
      <c r="A61" s="15"/>
      <c r="B61" s="15"/>
      <c r="C61" s="15"/>
      <c r="D61" s="15"/>
      <c r="E61" s="18"/>
      <c r="F61" s="18"/>
      <c r="G61" s="15"/>
      <c r="H61" s="15"/>
    </row>
    <row r="62" customFormat="false" ht="15" hidden="false" customHeight="false" outlineLevel="0" collapsed="false">
      <c r="A62" s="15"/>
      <c r="B62" s="15"/>
      <c r="C62" s="15"/>
      <c r="D62" s="15"/>
      <c r="E62" s="18"/>
      <c r="F62" s="18"/>
      <c r="G62" s="15"/>
      <c r="H62" s="15"/>
    </row>
    <row r="63" customFormat="false" ht="15" hidden="false" customHeight="false" outlineLevel="0" collapsed="false">
      <c r="A63" s="15"/>
      <c r="B63" s="15"/>
      <c r="C63" s="15"/>
      <c r="D63" s="15"/>
      <c r="E63" s="18"/>
      <c r="F63" s="18"/>
      <c r="G63" s="15"/>
      <c r="H63" s="15"/>
    </row>
    <row r="64" customFormat="false" ht="15" hidden="false" customHeight="false" outlineLevel="0" collapsed="false">
      <c r="A64" s="15"/>
      <c r="B64" s="15"/>
      <c r="C64" s="15"/>
      <c r="D64" s="15"/>
      <c r="E64" s="18"/>
      <c r="F64" s="18"/>
      <c r="G64" s="15"/>
      <c r="H64" s="15"/>
    </row>
    <row r="65" customFormat="false" ht="15" hidden="false" customHeight="false" outlineLevel="0" collapsed="false">
      <c r="A65" s="15"/>
      <c r="B65" s="15"/>
      <c r="C65" s="15"/>
      <c r="D65" s="15"/>
      <c r="E65" s="18"/>
      <c r="F65" s="18"/>
      <c r="G65" s="15"/>
      <c r="H65" s="15"/>
    </row>
    <row r="66" customFormat="false" ht="15" hidden="false" customHeight="false" outlineLevel="0" collapsed="false">
      <c r="A66" s="15"/>
      <c r="B66" s="15"/>
      <c r="C66" s="15"/>
      <c r="D66" s="15"/>
      <c r="E66" s="18"/>
      <c r="F66" s="18"/>
      <c r="G66" s="15"/>
      <c r="H66" s="15"/>
    </row>
    <row r="67" customFormat="false" ht="15" hidden="false" customHeight="false" outlineLevel="0" collapsed="false">
      <c r="A67" s="15"/>
      <c r="B67" s="15"/>
      <c r="C67" s="15"/>
      <c r="D67" s="15"/>
      <c r="E67" s="18"/>
      <c r="F67" s="18"/>
      <c r="G67" s="15"/>
      <c r="H67" s="15"/>
    </row>
    <row r="68" customFormat="false" ht="15" hidden="false" customHeight="false" outlineLevel="0" collapsed="false">
      <c r="A68" s="15"/>
      <c r="B68" s="15"/>
      <c r="C68" s="15"/>
      <c r="D68" s="15"/>
      <c r="E68" s="18"/>
      <c r="F68" s="18"/>
      <c r="G68" s="15"/>
      <c r="H68" s="15"/>
    </row>
    <row r="69" customFormat="false" ht="15" hidden="false" customHeight="false" outlineLevel="0" collapsed="false">
      <c r="A69" s="15"/>
      <c r="B69" s="15"/>
      <c r="C69" s="15"/>
      <c r="D69" s="15"/>
      <c r="E69" s="18"/>
      <c r="F69" s="18"/>
      <c r="G69" s="15"/>
      <c r="H69" s="15"/>
    </row>
    <row r="70" customFormat="false" ht="15" hidden="false" customHeight="false" outlineLevel="0" collapsed="false">
      <c r="A70" s="15"/>
      <c r="B70" s="15"/>
      <c r="C70" s="15"/>
      <c r="D70" s="15"/>
      <c r="E70" s="18"/>
      <c r="F70" s="18"/>
      <c r="G70" s="15"/>
      <c r="H70" s="15"/>
    </row>
    <row r="71" customFormat="false" ht="15" hidden="false" customHeight="false" outlineLevel="0" collapsed="false">
      <c r="A71" s="15"/>
      <c r="B71" s="15"/>
      <c r="C71" s="15"/>
      <c r="D71" s="15"/>
      <c r="E71" s="18"/>
      <c r="F71" s="18"/>
      <c r="G71" s="15"/>
      <c r="H71" s="15"/>
    </row>
    <row r="72" customFormat="false" ht="15" hidden="false" customHeight="false" outlineLevel="0" collapsed="false">
      <c r="A72" s="15"/>
      <c r="B72" s="15"/>
      <c r="C72" s="15"/>
      <c r="D72" s="15"/>
      <c r="E72" s="18"/>
      <c r="F72" s="18"/>
      <c r="G72" s="15"/>
      <c r="H72" s="15"/>
    </row>
    <row r="73" customFormat="false" ht="15" hidden="false" customHeight="false" outlineLevel="0" collapsed="false">
      <c r="A73" s="15"/>
      <c r="B73" s="15"/>
      <c r="C73" s="15"/>
      <c r="D73" s="15"/>
      <c r="E73" s="18"/>
      <c r="F73" s="18"/>
      <c r="G73" s="15"/>
      <c r="H73" s="15"/>
    </row>
    <row r="74" customFormat="false" ht="15" hidden="false" customHeight="false" outlineLevel="0" collapsed="false">
      <c r="A74" s="15"/>
      <c r="B74" s="15"/>
      <c r="C74" s="15"/>
      <c r="D74" s="15"/>
      <c r="E74" s="18"/>
      <c r="F74" s="18"/>
      <c r="G74" s="15"/>
      <c r="H74" s="15"/>
    </row>
    <row r="75" customFormat="false" ht="15" hidden="false" customHeight="false" outlineLevel="0" collapsed="false">
      <c r="A75" s="15"/>
      <c r="B75" s="15"/>
      <c r="C75" s="15"/>
      <c r="D75" s="15"/>
      <c r="E75" s="18"/>
      <c r="F75" s="18"/>
      <c r="G75" s="15"/>
      <c r="H75" s="15"/>
    </row>
    <row r="76" customFormat="false" ht="15" hidden="false" customHeight="false" outlineLevel="0" collapsed="false">
      <c r="A76" s="15"/>
      <c r="B76" s="15"/>
      <c r="C76" s="15"/>
      <c r="D76" s="15"/>
      <c r="E76" s="18"/>
      <c r="F76" s="18"/>
      <c r="G76" s="15"/>
      <c r="H76" s="15"/>
    </row>
    <row r="77" customFormat="false" ht="15" hidden="false" customHeight="false" outlineLevel="0" collapsed="false">
      <c r="A77" s="15"/>
      <c r="B77" s="15"/>
      <c r="C77" s="15"/>
      <c r="D77" s="15"/>
      <c r="E77" s="18"/>
      <c r="F77" s="18"/>
      <c r="G77" s="15"/>
      <c r="H77" s="15"/>
    </row>
    <row r="78" customFormat="false" ht="15" hidden="false" customHeight="false" outlineLevel="0" collapsed="false">
      <c r="A78" s="15"/>
      <c r="B78" s="15"/>
      <c r="C78" s="15"/>
      <c r="D78" s="15"/>
      <c r="E78" s="18"/>
      <c r="F78" s="18"/>
      <c r="G78" s="15"/>
      <c r="H78" s="15"/>
    </row>
    <row r="79" customFormat="false" ht="15" hidden="false" customHeight="false" outlineLevel="0" collapsed="false">
      <c r="A79" s="15"/>
      <c r="B79" s="15"/>
      <c r="C79" s="15"/>
      <c r="D79" s="15"/>
      <c r="E79" s="18"/>
      <c r="F79" s="18"/>
      <c r="G79" s="15"/>
      <c r="H79" s="15"/>
    </row>
    <row r="80" customFormat="false" ht="15" hidden="false" customHeight="false" outlineLevel="0" collapsed="false">
      <c r="A80" s="15"/>
      <c r="B80" s="15"/>
      <c r="C80" s="15"/>
      <c r="D80" s="15"/>
      <c r="E80" s="18"/>
      <c r="F80" s="18"/>
      <c r="G80" s="15"/>
      <c r="H80" s="15"/>
    </row>
    <row r="81" customFormat="false" ht="15" hidden="false" customHeight="false" outlineLevel="0" collapsed="false">
      <c r="A81" s="15"/>
      <c r="B81" s="15"/>
      <c r="C81" s="15"/>
      <c r="D81" s="15"/>
      <c r="E81" s="18"/>
      <c r="F81" s="18"/>
      <c r="G81" s="15"/>
      <c r="H81" s="15"/>
    </row>
    <row r="82" customFormat="false" ht="15" hidden="false" customHeight="false" outlineLevel="0" collapsed="false">
      <c r="A82" s="15"/>
      <c r="B82" s="15"/>
      <c r="C82" s="15"/>
      <c r="D82" s="15"/>
      <c r="E82" s="18"/>
      <c r="F82" s="18"/>
      <c r="G82" s="15"/>
      <c r="H82" s="15"/>
    </row>
    <row r="83" customFormat="false" ht="15" hidden="false" customHeight="false" outlineLevel="0" collapsed="false">
      <c r="A83" s="15"/>
      <c r="B83" s="15"/>
      <c r="C83" s="15"/>
      <c r="D83" s="15"/>
      <c r="E83" s="18"/>
      <c r="F83" s="18"/>
      <c r="G83" s="15"/>
      <c r="H83" s="15"/>
    </row>
    <row r="84" customFormat="false" ht="15" hidden="false" customHeight="false" outlineLevel="0" collapsed="false">
      <c r="A84" s="15"/>
      <c r="B84" s="15"/>
      <c r="C84" s="15"/>
      <c r="D84" s="15"/>
      <c r="E84" s="18"/>
      <c r="F84" s="18"/>
      <c r="G84" s="15"/>
      <c r="H84" s="15"/>
    </row>
    <row r="85" customFormat="false" ht="15" hidden="false" customHeight="false" outlineLevel="0" collapsed="false">
      <c r="A85" s="15"/>
      <c r="B85" s="15"/>
      <c r="C85" s="15"/>
      <c r="D85" s="15"/>
      <c r="E85" s="18"/>
      <c r="F85" s="18"/>
      <c r="G85" s="15"/>
      <c r="H85" s="15"/>
    </row>
    <row r="86" customFormat="false" ht="15" hidden="false" customHeight="false" outlineLevel="0" collapsed="false">
      <c r="A86" s="15"/>
      <c r="B86" s="15"/>
      <c r="C86" s="15"/>
      <c r="D86" s="15"/>
      <c r="E86" s="18"/>
      <c r="F86" s="18"/>
      <c r="G86" s="15"/>
      <c r="H86" s="15"/>
    </row>
    <row r="87" customFormat="false" ht="15" hidden="false" customHeight="false" outlineLevel="0" collapsed="false">
      <c r="A87" s="15"/>
      <c r="B87" s="15"/>
      <c r="C87" s="15"/>
      <c r="D87" s="15"/>
      <c r="E87" s="18"/>
      <c r="F87" s="18"/>
      <c r="G87" s="15"/>
      <c r="H87" s="15"/>
    </row>
    <row r="88" customFormat="false" ht="15" hidden="false" customHeight="false" outlineLevel="0" collapsed="false">
      <c r="A88" s="15"/>
      <c r="B88" s="15"/>
      <c r="C88" s="15"/>
      <c r="D88" s="15"/>
      <c r="E88" s="18"/>
      <c r="F88" s="18"/>
      <c r="G88" s="15"/>
      <c r="H88" s="15"/>
    </row>
    <row r="89" customFormat="false" ht="15" hidden="false" customHeight="false" outlineLevel="0" collapsed="false">
      <c r="A89" s="15"/>
      <c r="B89" s="15"/>
      <c r="C89" s="15"/>
      <c r="D89" s="15"/>
      <c r="E89" s="18"/>
      <c r="F89" s="18"/>
      <c r="G89" s="15"/>
      <c r="H89" s="15"/>
    </row>
    <row r="90" customFormat="false" ht="15" hidden="false" customHeight="false" outlineLevel="0" collapsed="false">
      <c r="A90" s="15"/>
      <c r="B90" s="15"/>
      <c r="C90" s="15"/>
      <c r="D90" s="15"/>
      <c r="E90" s="18"/>
      <c r="F90" s="18"/>
      <c r="G90" s="15"/>
      <c r="H90" s="15"/>
    </row>
    <row r="91" customFormat="false" ht="15" hidden="false" customHeight="false" outlineLevel="0" collapsed="false">
      <c r="A91" s="15"/>
      <c r="B91" s="15"/>
      <c r="C91" s="15"/>
      <c r="D91" s="15"/>
      <c r="E91" s="18"/>
      <c r="F91" s="18"/>
      <c r="G91" s="15"/>
      <c r="H91" s="15"/>
    </row>
    <row r="92" customFormat="false" ht="15" hidden="false" customHeight="false" outlineLevel="0" collapsed="false">
      <c r="A92" s="15"/>
      <c r="B92" s="15"/>
      <c r="C92" s="15"/>
      <c r="D92" s="15"/>
      <c r="E92" s="18"/>
      <c r="F92" s="18"/>
      <c r="G92" s="15"/>
      <c r="H92" s="15"/>
    </row>
    <row r="93" customFormat="false" ht="15" hidden="false" customHeight="false" outlineLevel="0" collapsed="false">
      <c r="A93" s="15"/>
      <c r="B93" s="15"/>
      <c r="C93" s="15"/>
      <c r="D93" s="15"/>
      <c r="E93" s="18"/>
      <c r="F93" s="18"/>
      <c r="G93" s="15"/>
      <c r="H93" s="15"/>
    </row>
    <row r="94" customFormat="false" ht="15" hidden="false" customHeight="false" outlineLevel="0" collapsed="false">
      <c r="A94" s="15"/>
      <c r="B94" s="15"/>
      <c r="C94" s="15"/>
      <c r="D94" s="15"/>
      <c r="E94" s="18"/>
      <c r="F94" s="18"/>
      <c r="G94" s="15"/>
      <c r="H94" s="15"/>
    </row>
    <row r="95" customFormat="false" ht="15" hidden="false" customHeight="false" outlineLevel="0" collapsed="false">
      <c r="A95" s="15"/>
      <c r="B95" s="15"/>
      <c r="C95" s="15"/>
      <c r="D95" s="15"/>
      <c r="E95" s="18"/>
      <c r="F95" s="18"/>
      <c r="G95" s="15"/>
      <c r="H95" s="15"/>
    </row>
    <row r="96" customFormat="false" ht="15" hidden="false" customHeight="false" outlineLevel="0" collapsed="false">
      <c r="A96" s="15"/>
      <c r="B96" s="15"/>
      <c r="C96" s="15"/>
      <c r="D96" s="15"/>
      <c r="E96" s="18"/>
      <c r="F96" s="18"/>
      <c r="G96" s="15"/>
      <c r="H96" s="15"/>
    </row>
    <row r="97" customFormat="false" ht="15" hidden="false" customHeight="false" outlineLevel="0" collapsed="false">
      <c r="A97" s="15"/>
      <c r="B97" s="15"/>
      <c r="C97" s="15"/>
      <c r="D97" s="15"/>
      <c r="E97" s="18"/>
      <c r="F97" s="18"/>
      <c r="G97" s="15"/>
      <c r="H97" s="15"/>
    </row>
    <row r="98" customFormat="false" ht="15" hidden="false" customHeight="false" outlineLevel="0" collapsed="false">
      <c r="A98" s="15"/>
      <c r="B98" s="15"/>
      <c r="C98" s="15"/>
      <c r="D98" s="15"/>
      <c r="E98" s="18"/>
      <c r="F98" s="18"/>
      <c r="G98" s="15"/>
      <c r="H98" s="15"/>
    </row>
    <row r="99" customFormat="false" ht="15" hidden="false" customHeight="false" outlineLevel="0" collapsed="false">
      <c r="A99" s="15"/>
      <c r="B99" s="15"/>
      <c r="C99" s="15"/>
      <c r="D99" s="15"/>
      <c r="E99" s="18"/>
      <c r="F99" s="18"/>
      <c r="G99" s="15"/>
      <c r="H99" s="15"/>
    </row>
    <row r="100" customFormat="false" ht="15" hidden="false" customHeight="false" outlineLevel="0" collapsed="false">
      <c r="A100" s="15"/>
      <c r="B100" s="15"/>
      <c r="C100" s="15"/>
      <c r="D100" s="15"/>
      <c r="E100" s="18"/>
      <c r="F100" s="18"/>
      <c r="G100" s="15"/>
      <c r="H100" s="15"/>
    </row>
    <row r="101" customFormat="false" ht="15" hidden="false" customHeight="false" outlineLevel="0" collapsed="false">
      <c r="A101" s="15"/>
      <c r="B101" s="15"/>
      <c r="C101" s="15"/>
      <c r="D101" s="15"/>
      <c r="E101" s="18"/>
      <c r="F101" s="18"/>
      <c r="G101" s="15"/>
      <c r="H101" s="15"/>
    </row>
    <row r="102" customFormat="false" ht="15" hidden="false" customHeight="false" outlineLevel="0" collapsed="false">
      <c r="A102" s="15"/>
      <c r="B102" s="15"/>
      <c r="C102" s="15"/>
      <c r="D102" s="15"/>
      <c r="E102" s="18"/>
      <c r="F102" s="18"/>
      <c r="G102" s="15"/>
      <c r="H102" s="15"/>
    </row>
    <row r="103" customFormat="false" ht="15" hidden="false" customHeight="false" outlineLevel="0" collapsed="false">
      <c r="A103" s="15"/>
      <c r="B103" s="15"/>
      <c r="C103" s="15"/>
      <c r="D103" s="15"/>
      <c r="E103" s="18"/>
      <c r="F103" s="18"/>
      <c r="G103" s="15"/>
      <c r="H103" s="15"/>
    </row>
    <row r="104" customFormat="false" ht="15" hidden="false" customHeight="false" outlineLevel="0" collapsed="false">
      <c r="A104" s="15"/>
      <c r="B104" s="15"/>
      <c r="C104" s="15"/>
      <c r="D104" s="15"/>
      <c r="E104" s="18"/>
      <c r="F104" s="18"/>
      <c r="G104" s="15"/>
      <c r="H104" s="15"/>
    </row>
    <row r="105" customFormat="false" ht="15" hidden="false" customHeight="false" outlineLevel="0" collapsed="false">
      <c r="A105" s="15"/>
      <c r="B105" s="15"/>
      <c r="C105" s="15"/>
      <c r="D105" s="15"/>
      <c r="E105" s="18"/>
      <c r="F105" s="18"/>
      <c r="G105" s="15"/>
      <c r="H105" s="15"/>
    </row>
    <row r="106" customFormat="false" ht="15" hidden="false" customHeight="false" outlineLevel="0" collapsed="false">
      <c r="A106" s="15"/>
      <c r="B106" s="15"/>
      <c r="C106" s="15"/>
      <c r="D106" s="15"/>
      <c r="E106" s="18"/>
      <c r="F106" s="18"/>
      <c r="G106" s="15"/>
      <c r="H106" s="15"/>
    </row>
    <row r="107" customFormat="false" ht="15" hidden="false" customHeight="false" outlineLevel="0" collapsed="false">
      <c r="A107" s="15"/>
      <c r="B107" s="15"/>
      <c r="C107" s="15"/>
      <c r="D107" s="15"/>
      <c r="E107" s="18"/>
      <c r="F107" s="18"/>
      <c r="G107" s="15"/>
      <c r="H107" s="15"/>
    </row>
    <row r="108" customFormat="false" ht="15" hidden="false" customHeight="false" outlineLevel="0" collapsed="false">
      <c r="A108" s="15"/>
      <c r="B108" s="15"/>
      <c r="C108" s="15"/>
      <c r="D108" s="15"/>
      <c r="E108" s="18"/>
      <c r="F108" s="18"/>
      <c r="G108" s="15"/>
      <c r="H108" s="15"/>
    </row>
    <row r="109" customFormat="false" ht="15" hidden="false" customHeight="false" outlineLevel="0" collapsed="false">
      <c r="A109" s="15"/>
      <c r="B109" s="15"/>
      <c r="C109" s="15"/>
      <c r="D109" s="15"/>
      <c r="E109" s="18"/>
      <c r="F109" s="18"/>
      <c r="G109" s="15"/>
      <c r="H109" s="15"/>
    </row>
    <row r="110" customFormat="false" ht="15" hidden="false" customHeight="false" outlineLevel="0" collapsed="false">
      <c r="A110" s="15"/>
      <c r="B110" s="15"/>
      <c r="C110" s="15"/>
      <c r="D110" s="15"/>
      <c r="E110" s="18"/>
      <c r="F110" s="18"/>
      <c r="G110" s="15"/>
      <c r="H110" s="15"/>
    </row>
    <row r="111" customFormat="false" ht="15" hidden="false" customHeight="false" outlineLevel="0" collapsed="false">
      <c r="A111" s="15"/>
      <c r="B111" s="15"/>
      <c r="C111" s="15"/>
      <c r="D111" s="15"/>
      <c r="E111" s="18"/>
      <c r="F111" s="18"/>
      <c r="G111" s="15"/>
      <c r="H111" s="15"/>
    </row>
    <row r="112" customFormat="false" ht="15" hidden="false" customHeight="false" outlineLevel="0" collapsed="false">
      <c r="A112" s="15"/>
      <c r="B112" s="15"/>
      <c r="C112" s="15"/>
      <c r="D112" s="15"/>
      <c r="E112" s="18"/>
      <c r="F112" s="18"/>
      <c r="G112" s="15"/>
      <c r="H112" s="15"/>
    </row>
    <row r="113" customFormat="false" ht="15" hidden="false" customHeight="false" outlineLevel="0" collapsed="false">
      <c r="A113" s="15"/>
      <c r="B113" s="15"/>
      <c r="C113" s="15"/>
      <c r="D113" s="15"/>
      <c r="E113" s="18"/>
      <c r="F113" s="18"/>
      <c r="G113" s="15"/>
      <c r="H113" s="15"/>
    </row>
    <row r="114" customFormat="false" ht="15" hidden="false" customHeight="false" outlineLevel="0" collapsed="false">
      <c r="A114" s="15"/>
      <c r="B114" s="15"/>
      <c r="C114" s="15"/>
      <c r="D114" s="15"/>
      <c r="E114" s="18"/>
      <c r="F114" s="18"/>
      <c r="G114" s="15"/>
      <c r="H114" s="15"/>
    </row>
    <row r="115" customFormat="false" ht="15" hidden="false" customHeight="false" outlineLevel="0" collapsed="false">
      <c r="A115" s="15"/>
      <c r="B115" s="15"/>
      <c r="C115" s="15"/>
      <c r="D115" s="15"/>
      <c r="E115" s="18"/>
      <c r="F115" s="18"/>
      <c r="G115" s="15"/>
      <c r="H115" s="15"/>
    </row>
    <row r="116" customFormat="false" ht="15" hidden="false" customHeight="false" outlineLevel="0" collapsed="false">
      <c r="A116" s="15"/>
      <c r="B116" s="15"/>
      <c r="C116" s="15"/>
      <c r="D116" s="15"/>
      <c r="E116" s="18"/>
      <c r="F116" s="18"/>
      <c r="G116" s="15"/>
      <c r="H116" s="15"/>
    </row>
    <row r="117" customFormat="false" ht="15" hidden="false" customHeight="false" outlineLevel="0" collapsed="false">
      <c r="A117" s="15"/>
      <c r="B117" s="15"/>
      <c r="C117" s="15"/>
      <c r="D117" s="15"/>
      <c r="E117" s="18"/>
      <c r="F117" s="18"/>
      <c r="G117" s="15"/>
      <c r="H117" s="15"/>
    </row>
    <row r="118" customFormat="false" ht="15" hidden="false" customHeight="false" outlineLevel="0" collapsed="false">
      <c r="A118" s="15"/>
      <c r="B118" s="15"/>
      <c r="C118" s="15"/>
      <c r="D118" s="15"/>
      <c r="E118" s="18"/>
      <c r="F118" s="18"/>
      <c r="G118" s="15"/>
      <c r="H118" s="15"/>
    </row>
    <row r="119" customFormat="false" ht="15" hidden="false" customHeight="false" outlineLevel="0" collapsed="false">
      <c r="A119" s="15"/>
      <c r="B119" s="15"/>
      <c r="C119" s="15"/>
      <c r="D119" s="15"/>
      <c r="E119" s="18"/>
      <c r="F119" s="18"/>
      <c r="G119" s="15"/>
      <c r="H119" s="15"/>
    </row>
    <row r="120" customFormat="false" ht="15" hidden="false" customHeight="false" outlineLevel="0" collapsed="false">
      <c r="A120" s="15"/>
      <c r="B120" s="15"/>
      <c r="C120" s="15"/>
      <c r="D120" s="15"/>
      <c r="E120" s="18"/>
      <c r="F120" s="18"/>
      <c r="G120" s="15"/>
      <c r="H120" s="15"/>
    </row>
    <row r="121" customFormat="false" ht="15" hidden="false" customHeight="false" outlineLevel="0" collapsed="false">
      <c r="A121" s="15"/>
      <c r="B121" s="15"/>
      <c r="C121" s="15"/>
      <c r="D121" s="15"/>
      <c r="E121" s="18"/>
      <c r="F121" s="18"/>
      <c r="G121" s="15"/>
      <c r="H121" s="15"/>
    </row>
    <row r="122" customFormat="false" ht="15" hidden="false" customHeight="false" outlineLevel="0" collapsed="false">
      <c r="A122" s="15"/>
      <c r="B122" s="15"/>
      <c r="C122" s="15"/>
      <c r="D122" s="15"/>
      <c r="E122" s="18"/>
      <c r="F122" s="18"/>
      <c r="G122" s="15"/>
      <c r="H122" s="15"/>
    </row>
    <row r="123" customFormat="false" ht="15" hidden="false" customHeight="false" outlineLevel="0" collapsed="false">
      <c r="A123" s="15"/>
      <c r="B123" s="15"/>
      <c r="C123" s="15"/>
      <c r="D123" s="15"/>
      <c r="E123" s="18"/>
      <c r="F123" s="18"/>
      <c r="G123" s="15"/>
      <c r="H123" s="15"/>
    </row>
    <row r="124" customFormat="false" ht="15" hidden="false" customHeight="false" outlineLevel="0" collapsed="false">
      <c r="A124" s="15"/>
      <c r="B124" s="15"/>
      <c r="C124" s="15"/>
      <c r="D124" s="15"/>
      <c r="E124" s="18"/>
      <c r="F124" s="18"/>
      <c r="G124" s="15"/>
      <c r="H124" s="15"/>
    </row>
    <row r="125" customFormat="false" ht="15" hidden="false" customHeight="false" outlineLevel="0" collapsed="false">
      <c r="A125" s="15"/>
      <c r="B125" s="15"/>
      <c r="C125" s="15"/>
      <c r="D125" s="15"/>
      <c r="E125" s="18"/>
      <c r="F125" s="18"/>
      <c r="G125" s="15"/>
      <c r="H125" s="15"/>
    </row>
    <row r="126" customFormat="false" ht="15" hidden="false" customHeight="false" outlineLevel="0" collapsed="false">
      <c r="A126" s="15"/>
      <c r="B126" s="15"/>
      <c r="C126" s="15"/>
      <c r="D126" s="15"/>
      <c r="E126" s="18"/>
      <c r="F126" s="18"/>
      <c r="G126" s="15"/>
      <c r="H126" s="15"/>
    </row>
    <row r="127" customFormat="false" ht="15" hidden="false" customHeight="false" outlineLevel="0" collapsed="false">
      <c r="A127" s="15"/>
      <c r="B127" s="15"/>
      <c r="C127" s="15"/>
      <c r="D127" s="15"/>
      <c r="E127" s="18"/>
      <c r="F127" s="18"/>
      <c r="G127" s="15"/>
      <c r="H127" s="15"/>
    </row>
    <row r="128" customFormat="false" ht="15" hidden="false" customHeight="false" outlineLevel="0" collapsed="false">
      <c r="A128" s="15"/>
      <c r="B128" s="15"/>
      <c r="C128" s="15"/>
      <c r="D128" s="15"/>
      <c r="E128" s="18"/>
      <c r="F128" s="18"/>
      <c r="G128" s="15"/>
      <c r="H128" s="15"/>
    </row>
    <row r="129" customFormat="false" ht="15" hidden="false" customHeight="false" outlineLevel="0" collapsed="false">
      <c r="A129" s="15"/>
      <c r="B129" s="15"/>
      <c r="C129" s="15"/>
      <c r="D129" s="15"/>
      <c r="E129" s="18"/>
      <c r="F129" s="18"/>
      <c r="G129" s="15"/>
      <c r="H129" s="15"/>
    </row>
    <row r="130" customFormat="false" ht="15" hidden="false" customHeight="false" outlineLevel="0" collapsed="false">
      <c r="A130" s="15"/>
      <c r="B130" s="15"/>
      <c r="C130" s="15"/>
      <c r="D130" s="15"/>
      <c r="E130" s="18"/>
      <c r="F130" s="18"/>
      <c r="G130" s="15"/>
      <c r="H130" s="15"/>
    </row>
    <row r="131" customFormat="false" ht="15" hidden="false" customHeight="false" outlineLevel="0" collapsed="false">
      <c r="A131" s="15"/>
      <c r="B131" s="15"/>
      <c r="C131" s="15"/>
      <c r="D131" s="15"/>
      <c r="E131" s="18"/>
      <c r="F131" s="18"/>
      <c r="G131" s="15"/>
      <c r="H131" s="15"/>
    </row>
    <row r="132" customFormat="false" ht="15" hidden="false" customHeight="false" outlineLevel="0" collapsed="false">
      <c r="A132" s="15"/>
      <c r="B132" s="15"/>
      <c r="C132" s="15"/>
      <c r="D132" s="15"/>
      <c r="E132" s="18"/>
      <c r="F132" s="18"/>
      <c r="G132" s="15"/>
      <c r="H132" s="15"/>
    </row>
    <row r="133" customFormat="false" ht="15" hidden="false" customHeight="false" outlineLevel="0" collapsed="false">
      <c r="A133" s="15"/>
      <c r="B133" s="15"/>
      <c r="C133" s="15"/>
      <c r="D133" s="15"/>
      <c r="E133" s="18"/>
      <c r="F133" s="18"/>
      <c r="G133" s="15"/>
      <c r="H133" s="15"/>
    </row>
    <row r="134" customFormat="false" ht="15" hidden="false" customHeight="false" outlineLevel="0" collapsed="false">
      <c r="A134" s="15"/>
      <c r="B134" s="15"/>
      <c r="C134" s="15"/>
      <c r="D134" s="15"/>
      <c r="E134" s="18"/>
      <c r="F134" s="18"/>
      <c r="G134" s="15"/>
      <c r="H134" s="15"/>
    </row>
    <row r="135" customFormat="false" ht="15" hidden="false" customHeight="false" outlineLevel="0" collapsed="false">
      <c r="A135" s="15"/>
      <c r="B135" s="15"/>
      <c r="C135" s="15"/>
      <c r="D135" s="15"/>
      <c r="E135" s="18"/>
      <c r="F135" s="18"/>
      <c r="G135" s="15"/>
      <c r="H135" s="15"/>
    </row>
    <row r="136" customFormat="false" ht="15" hidden="false" customHeight="false" outlineLevel="0" collapsed="false">
      <c r="A136" s="15"/>
      <c r="B136" s="15"/>
      <c r="C136" s="15"/>
      <c r="D136" s="15"/>
      <c r="E136" s="18"/>
      <c r="F136" s="18"/>
      <c r="G136" s="15"/>
      <c r="H136" s="15"/>
    </row>
    <row r="137" customFormat="false" ht="15" hidden="false" customHeight="false" outlineLevel="0" collapsed="false">
      <c r="A137" s="15"/>
      <c r="B137" s="15"/>
      <c r="C137" s="15"/>
      <c r="D137" s="15"/>
      <c r="E137" s="18"/>
      <c r="F137" s="18"/>
      <c r="G137" s="15"/>
      <c r="H137" s="15"/>
    </row>
    <row r="138" customFormat="false" ht="15" hidden="false" customHeight="false" outlineLevel="0" collapsed="false">
      <c r="A138" s="15"/>
      <c r="B138" s="15"/>
      <c r="C138" s="15"/>
      <c r="D138" s="15"/>
      <c r="E138" s="18"/>
      <c r="F138" s="18"/>
      <c r="G138" s="15"/>
      <c r="H138" s="15"/>
    </row>
    <row r="139" customFormat="false" ht="15" hidden="false" customHeight="false" outlineLevel="0" collapsed="false">
      <c r="A139" s="15"/>
      <c r="B139" s="15"/>
      <c r="C139" s="15"/>
      <c r="D139" s="15"/>
      <c r="E139" s="18"/>
      <c r="F139" s="18"/>
      <c r="G139" s="15"/>
      <c r="H139" s="15"/>
    </row>
    <row r="140" customFormat="false" ht="15" hidden="false" customHeight="false" outlineLevel="0" collapsed="false">
      <c r="A140" s="15"/>
      <c r="B140" s="15"/>
      <c r="C140" s="15"/>
      <c r="D140" s="15"/>
      <c r="E140" s="18"/>
      <c r="F140" s="18"/>
      <c r="G140" s="15"/>
      <c r="H140" s="15"/>
    </row>
    <row r="141" customFormat="false" ht="15" hidden="false" customHeight="false" outlineLevel="0" collapsed="false">
      <c r="A141" s="15"/>
      <c r="B141" s="15"/>
      <c r="C141" s="15"/>
      <c r="D141" s="15"/>
      <c r="E141" s="18"/>
      <c r="F141" s="18"/>
      <c r="G141" s="15"/>
      <c r="H141" s="15"/>
    </row>
    <row r="142" customFormat="false" ht="15" hidden="false" customHeight="false" outlineLevel="0" collapsed="false">
      <c r="A142" s="15"/>
      <c r="B142" s="15"/>
      <c r="C142" s="15"/>
      <c r="D142" s="15"/>
      <c r="E142" s="18"/>
      <c r="F142" s="18"/>
      <c r="G142" s="15"/>
      <c r="H142" s="15"/>
    </row>
    <row r="143" customFormat="false" ht="15" hidden="false" customHeight="false" outlineLevel="0" collapsed="false">
      <c r="A143" s="15"/>
      <c r="B143" s="15"/>
      <c r="C143" s="15"/>
      <c r="D143" s="15"/>
      <c r="E143" s="18"/>
      <c r="F143" s="18"/>
      <c r="G143" s="15"/>
      <c r="H143" s="15"/>
    </row>
    <row r="144" customFormat="false" ht="15" hidden="false" customHeight="false" outlineLevel="0" collapsed="false">
      <c r="A144" s="15"/>
      <c r="B144" s="15"/>
      <c r="C144" s="15"/>
      <c r="D144" s="15"/>
      <c r="E144" s="18"/>
      <c r="F144" s="18"/>
      <c r="G144" s="15"/>
      <c r="H144" s="15"/>
    </row>
    <row r="145" customFormat="false" ht="15" hidden="false" customHeight="false" outlineLevel="0" collapsed="false">
      <c r="A145" s="15"/>
      <c r="B145" s="15"/>
      <c r="C145" s="15"/>
      <c r="D145" s="15"/>
      <c r="E145" s="18"/>
      <c r="F145" s="18"/>
      <c r="G145" s="15"/>
      <c r="H145" s="15"/>
    </row>
    <row r="146" customFormat="false" ht="15" hidden="false" customHeight="false" outlineLevel="0" collapsed="false">
      <c r="A146" s="15"/>
      <c r="B146" s="15"/>
      <c r="C146" s="15"/>
      <c r="D146" s="15"/>
      <c r="E146" s="18"/>
      <c r="F146" s="18"/>
      <c r="G146" s="15"/>
      <c r="H146" s="15"/>
    </row>
    <row r="147" customFormat="false" ht="15" hidden="false" customHeight="false" outlineLevel="0" collapsed="false">
      <c r="A147" s="15"/>
      <c r="B147" s="15"/>
      <c r="C147" s="15"/>
      <c r="D147" s="15"/>
      <c r="E147" s="18"/>
      <c r="F147" s="18"/>
      <c r="G147" s="15"/>
      <c r="H147" s="15"/>
    </row>
    <row r="148" customFormat="false" ht="15" hidden="false" customHeight="false" outlineLevel="0" collapsed="false">
      <c r="A148" s="15"/>
      <c r="B148" s="15"/>
      <c r="C148" s="15"/>
      <c r="D148" s="15"/>
      <c r="E148" s="18"/>
      <c r="F148" s="18"/>
      <c r="G148" s="15"/>
      <c r="H148" s="15"/>
    </row>
    <row r="149" customFormat="false" ht="15" hidden="false" customHeight="false" outlineLevel="0" collapsed="false">
      <c r="A149" s="15"/>
      <c r="B149" s="15"/>
      <c r="C149" s="15"/>
      <c r="D149" s="15"/>
      <c r="E149" s="18"/>
      <c r="F149" s="18"/>
      <c r="G149" s="15"/>
      <c r="H149" s="15"/>
    </row>
    <row r="150" customFormat="false" ht="15" hidden="false" customHeight="false" outlineLevel="0" collapsed="false">
      <c r="A150" s="15"/>
      <c r="B150" s="15"/>
      <c r="C150" s="15"/>
      <c r="D150" s="15"/>
      <c r="E150" s="18"/>
      <c r="F150" s="18"/>
      <c r="G150" s="15"/>
      <c r="H150" s="15"/>
    </row>
    <row r="151" customFormat="false" ht="15" hidden="false" customHeight="false" outlineLevel="0" collapsed="false">
      <c r="A151" s="15"/>
      <c r="B151" s="15"/>
      <c r="C151" s="15"/>
      <c r="D151" s="15"/>
      <c r="E151" s="18"/>
      <c r="F151" s="18"/>
      <c r="G151" s="15"/>
      <c r="H151" s="15"/>
    </row>
    <row r="152" customFormat="false" ht="15" hidden="false" customHeight="false" outlineLevel="0" collapsed="false">
      <c r="A152" s="15"/>
      <c r="B152" s="15"/>
      <c r="C152" s="15"/>
      <c r="D152" s="15"/>
      <c r="E152" s="18"/>
      <c r="F152" s="18"/>
      <c r="G152" s="15"/>
      <c r="H152" s="15"/>
    </row>
    <row r="153" customFormat="false" ht="15" hidden="false" customHeight="false" outlineLevel="0" collapsed="false">
      <c r="A153" s="15"/>
      <c r="B153" s="15"/>
      <c r="C153" s="15"/>
      <c r="D153" s="15"/>
      <c r="E153" s="18"/>
      <c r="F153" s="18"/>
      <c r="G153" s="15"/>
      <c r="H153" s="15"/>
    </row>
    <row r="154" customFormat="false" ht="15" hidden="false" customHeight="false" outlineLevel="0" collapsed="false">
      <c r="A154" s="15"/>
      <c r="B154" s="15"/>
      <c r="C154" s="15"/>
      <c r="D154" s="15"/>
      <c r="E154" s="18"/>
      <c r="F154" s="18"/>
      <c r="G154" s="15"/>
      <c r="H154" s="15"/>
    </row>
    <row r="155" customFormat="false" ht="15" hidden="false" customHeight="false" outlineLevel="0" collapsed="false">
      <c r="A155" s="15"/>
      <c r="B155" s="15"/>
      <c r="C155" s="15"/>
      <c r="D155" s="15"/>
      <c r="E155" s="18"/>
      <c r="F155" s="18"/>
      <c r="G155" s="15"/>
      <c r="H155" s="15"/>
    </row>
    <row r="156" customFormat="false" ht="15" hidden="false" customHeight="false" outlineLevel="0" collapsed="false">
      <c r="A156" s="15"/>
      <c r="B156" s="15"/>
      <c r="C156" s="15"/>
      <c r="D156" s="15"/>
      <c r="E156" s="18"/>
      <c r="F156" s="18"/>
      <c r="G156" s="15"/>
      <c r="H156" s="15"/>
    </row>
    <row r="157" customFormat="false" ht="15" hidden="false" customHeight="false" outlineLevel="0" collapsed="false">
      <c r="A157" s="15"/>
      <c r="B157" s="15"/>
      <c r="C157" s="15"/>
      <c r="D157" s="15"/>
      <c r="E157" s="18"/>
      <c r="F157" s="18"/>
      <c r="G157" s="15"/>
      <c r="H157" s="15"/>
    </row>
    <row r="158" customFormat="false" ht="15" hidden="false" customHeight="false" outlineLevel="0" collapsed="false">
      <c r="A158" s="15"/>
      <c r="B158" s="15"/>
      <c r="C158" s="15"/>
      <c r="D158" s="15"/>
      <c r="E158" s="18"/>
      <c r="F158" s="18"/>
      <c r="G158" s="15"/>
      <c r="H158" s="15"/>
    </row>
    <row r="159" customFormat="false" ht="15" hidden="false" customHeight="false" outlineLevel="0" collapsed="false">
      <c r="A159" s="15"/>
      <c r="B159" s="15"/>
      <c r="C159" s="15"/>
      <c r="D159" s="15"/>
      <c r="E159" s="18"/>
      <c r="F159" s="18"/>
      <c r="G159" s="15"/>
      <c r="H159" s="15"/>
    </row>
    <row r="160" customFormat="false" ht="15" hidden="false" customHeight="false" outlineLevel="0" collapsed="false">
      <c r="A160" s="15"/>
      <c r="B160" s="15"/>
      <c r="C160" s="15"/>
      <c r="D160" s="15"/>
      <c r="E160" s="18"/>
      <c r="F160" s="18"/>
      <c r="G160" s="15"/>
      <c r="H160" s="15"/>
    </row>
    <row r="161" customFormat="false" ht="15" hidden="false" customHeight="false" outlineLevel="0" collapsed="false">
      <c r="A161" s="15"/>
      <c r="B161" s="15"/>
      <c r="C161" s="15"/>
      <c r="D161" s="15"/>
      <c r="E161" s="18"/>
      <c r="F161" s="18"/>
      <c r="G161" s="15"/>
      <c r="H161" s="15"/>
    </row>
    <row r="162" customFormat="false" ht="15" hidden="false" customHeight="false" outlineLevel="0" collapsed="false">
      <c r="A162" s="15"/>
      <c r="B162" s="15"/>
      <c r="C162" s="15"/>
      <c r="D162" s="15"/>
      <c r="E162" s="18"/>
      <c r="F162" s="18"/>
      <c r="G162" s="15"/>
      <c r="H162" s="15"/>
    </row>
    <row r="163" customFormat="false" ht="15" hidden="false" customHeight="false" outlineLevel="0" collapsed="false">
      <c r="A163" s="15"/>
      <c r="B163" s="15"/>
      <c r="C163" s="15"/>
      <c r="D163" s="15"/>
      <c r="E163" s="18"/>
      <c r="F163" s="18"/>
      <c r="G163" s="15"/>
      <c r="H163" s="15"/>
    </row>
    <row r="164" customFormat="false" ht="15" hidden="false" customHeight="false" outlineLevel="0" collapsed="false">
      <c r="A164" s="15"/>
      <c r="B164" s="15"/>
      <c r="C164" s="15"/>
      <c r="D164" s="15"/>
      <c r="E164" s="18"/>
      <c r="F164" s="18"/>
      <c r="G164" s="15"/>
      <c r="H164" s="15"/>
    </row>
    <row r="165" customFormat="false" ht="15" hidden="false" customHeight="false" outlineLevel="0" collapsed="false">
      <c r="A165" s="15"/>
      <c r="B165" s="15"/>
      <c r="C165" s="15"/>
      <c r="D165" s="15"/>
      <c r="E165" s="18"/>
      <c r="F165" s="18"/>
      <c r="G165" s="15"/>
      <c r="H165" s="15"/>
    </row>
    <row r="166" customFormat="false" ht="15" hidden="false" customHeight="false" outlineLevel="0" collapsed="false">
      <c r="A166" s="15"/>
      <c r="B166" s="15"/>
      <c r="C166" s="15"/>
      <c r="D166" s="15"/>
      <c r="E166" s="18"/>
      <c r="F166" s="18"/>
      <c r="G166" s="15"/>
      <c r="H166" s="15"/>
    </row>
    <row r="167" customFormat="false" ht="15" hidden="false" customHeight="false" outlineLevel="0" collapsed="false">
      <c r="A167" s="15"/>
      <c r="B167" s="15"/>
      <c r="C167" s="15"/>
      <c r="D167" s="15"/>
      <c r="E167" s="18"/>
      <c r="F167" s="18"/>
      <c r="G167" s="15"/>
      <c r="H167" s="15"/>
    </row>
    <row r="168" customFormat="false" ht="15" hidden="false" customHeight="false" outlineLevel="0" collapsed="false">
      <c r="A168" s="15"/>
      <c r="B168" s="15"/>
      <c r="C168" s="15"/>
      <c r="D168" s="15"/>
      <c r="E168" s="18"/>
      <c r="F168" s="18"/>
      <c r="G168" s="15"/>
      <c r="H168" s="15"/>
    </row>
    <row r="169" customFormat="false" ht="15" hidden="false" customHeight="false" outlineLevel="0" collapsed="false">
      <c r="A169" s="15"/>
      <c r="B169" s="15"/>
      <c r="C169" s="15"/>
      <c r="D169" s="15"/>
      <c r="E169" s="18"/>
      <c r="F169" s="18"/>
      <c r="G169" s="15"/>
      <c r="H169" s="15"/>
    </row>
    <row r="170" customFormat="false" ht="15" hidden="false" customHeight="false" outlineLevel="0" collapsed="false">
      <c r="A170" s="15"/>
      <c r="B170" s="15"/>
      <c r="C170" s="15"/>
      <c r="D170" s="15"/>
      <c r="E170" s="18"/>
      <c r="F170" s="18"/>
      <c r="G170" s="15"/>
      <c r="H170" s="15"/>
    </row>
    <row r="171" customFormat="false" ht="15" hidden="false" customHeight="false" outlineLevel="0" collapsed="false">
      <c r="A171" s="15"/>
      <c r="B171" s="15"/>
      <c r="C171" s="15"/>
      <c r="D171" s="15"/>
      <c r="E171" s="18"/>
      <c r="F171" s="18"/>
      <c r="G171" s="15"/>
      <c r="H171" s="15"/>
    </row>
    <row r="172" customFormat="false" ht="15" hidden="false" customHeight="false" outlineLevel="0" collapsed="false">
      <c r="A172" s="15"/>
      <c r="B172" s="15"/>
      <c r="C172" s="15"/>
      <c r="D172" s="15"/>
      <c r="E172" s="18"/>
      <c r="F172" s="18"/>
      <c r="G172" s="15"/>
      <c r="H172" s="15"/>
    </row>
    <row r="173" customFormat="false" ht="15" hidden="false" customHeight="false" outlineLevel="0" collapsed="false">
      <c r="A173" s="15"/>
      <c r="B173" s="15"/>
      <c r="C173" s="15"/>
      <c r="D173" s="15"/>
      <c r="E173" s="18"/>
      <c r="F173" s="18"/>
      <c r="G173" s="15"/>
      <c r="H173" s="15"/>
    </row>
    <row r="174" customFormat="false" ht="15" hidden="false" customHeight="false" outlineLevel="0" collapsed="false">
      <c r="A174" s="15"/>
      <c r="B174" s="15"/>
      <c r="C174" s="15"/>
      <c r="D174" s="15"/>
      <c r="E174" s="18"/>
      <c r="F174" s="18"/>
      <c r="G174" s="15"/>
      <c r="H174" s="15"/>
    </row>
    <row r="175" customFormat="false" ht="15" hidden="false" customHeight="false" outlineLevel="0" collapsed="false">
      <c r="A175" s="15"/>
      <c r="B175" s="15"/>
      <c r="C175" s="15"/>
      <c r="D175" s="15"/>
      <c r="E175" s="18"/>
      <c r="F175" s="18"/>
      <c r="G175" s="15"/>
      <c r="H175" s="15"/>
    </row>
    <row r="176" customFormat="false" ht="15" hidden="false" customHeight="false" outlineLevel="0" collapsed="false">
      <c r="A176" s="15"/>
      <c r="B176" s="15"/>
      <c r="C176" s="15"/>
      <c r="D176" s="15"/>
      <c r="E176" s="18"/>
      <c r="F176" s="18"/>
      <c r="G176" s="15"/>
      <c r="H176" s="15"/>
    </row>
    <row r="177" customFormat="false" ht="15" hidden="false" customHeight="false" outlineLevel="0" collapsed="false">
      <c r="A177" s="15"/>
      <c r="B177" s="15"/>
      <c r="C177" s="15"/>
      <c r="D177" s="15"/>
      <c r="E177" s="18"/>
      <c r="F177" s="18"/>
      <c r="G177" s="15"/>
      <c r="H177" s="15"/>
    </row>
    <row r="178" customFormat="false" ht="15" hidden="false" customHeight="false" outlineLevel="0" collapsed="false">
      <c r="A178" s="15"/>
      <c r="B178" s="15"/>
      <c r="C178" s="15"/>
      <c r="D178" s="15"/>
      <c r="E178" s="18"/>
      <c r="F178" s="18"/>
      <c r="G178" s="15"/>
      <c r="H178" s="15"/>
    </row>
    <row r="179" customFormat="false" ht="15" hidden="false" customHeight="false" outlineLevel="0" collapsed="false">
      <c r="A179" s="15"/>
      <c r="B179" s="15"/>
      <c r="C179" s="15"/>
      <c r="D179" s="15"/>
      <c r="E179" s="18"/>
      <c r="F179" s="18"/>
      <c r="G179" s="15"/>
      <c r="H179" s="15"/>
    </row>
    <row r="180" customFormat="false" ht="15" hidden="false" customHeight="false" outlineLevel="0" collapsed="false">
      <c r="A180" s="15"/>
      <c r="B180" s="15"/>
      <c r="C180" s="15"/>
      <c r="D180" s="15"/>
      <c r="E180" s="18"/>
      <c r="F180" s="18"/>
      <c r="G180" s="15"/>
      <c r="H180" s="15"/>
    </row>
    <row r="181" customFormat="false" ht="15" hidden="false" customHeight="false" outlineLevel="0" collapsed="false">
      <c r="A181" s="15"/>
      <c r="B181" s="15"/>
      <c r="C181" s="15"/>
      <c r="D181" s="15"/>
      <c r="E181" s="18"/>
      <c r="F181" s="18"/>
      <c r="G181" s="15"/>
      <c r="H181" s="15"/>
    </row>
    <row r="182" customFormat="false" ht="15" hidden="false" customHeight="false" outlineLevel="0" collapsed="false">
      <c r="A182" s="15"/>
      <c r="B182" s="15"/>
      <c r="C182" s="15"/>
      <c r="D182" s="15"/>
      <c r="E182" s="18"/>
      <c r="F182" s="18"/>
      <c r="G182" s="15"/>
      <c r="H182" s="15"/>
    </row>
    <row r="183" customFormat="false" ht="15" hidden="false" customHeight="false" outlineLevel="0" collapsed="false">
      <c r="A183" s="15"/>
      <c r="B183" s="15"/>
      <c r="C183" s="15"/>
      <c r="D183" s="15"/>
      <c r="E183" s="18"/>
      <c r="F183" s="18"/>
      <c r="G183" s="15"/>
      <c r="H183" s="15"/>
    </row>
    <row r="184" customFormat="false" ht="15" hidden="false" customHeight="false" outlineLevel="0" collapsed="false">
      <c r="A184" s="15"/>
      <c r="B184" s="15"/>
      <c r="C184" s="15"/>
      <c r="D184" s="15"/>
      <c r="E184" s="18"/>
      <c r="F184" s="18"/>
      <c r="G184" s="15"/>
      <c r="H184" s="15"/>
    </row>
    <row r="185" customFormat="false" ht="15" hidden="false" customHeight="false" outlineLevel="0" collapsed="false">
      <c r="A185" s="15"/>
      <c r="B185" s="15"/>
      <c r="C185" s="15"/>
      <c r="D185" s="15"/>
      <c r="E185" s="18"/>
      <c r="F185" s="18"/>
      <c r="G185" s="15"/>
      <c r="H185" s="15"/>
    </row>
    <row r="186" customFormat="false" ht="15" hidden="false" customHeight="false" outlineLevel="0" collapsed="false">
      <c r="A186" s="15"/>
      <c r="B186" s="15"/>
      <c r="C186" s="15"/>
      <c r="D186" s="15"/>
      <c r="E186" s="18"/>
      <c r="F186" s="18"/>
      <c r="G186" s="15"/>
      <c r="H186" s="15"/>
    </row>
    <row r="187" customFormat="false" ht="15" hidden="false" customHeight="false" outlineLevel="0" collapsed="false">
      <c r="A187" s="15"/>
      <c r="B187" s="15"/>
      <c r="C187" s="15"/>
      <c r="D187" s="15"/>
      <c r="E187" s="18"/>
      <c r="F187" s="18"/>
      <c r="G187" s="15"/>
      <c r="H187" s="15"/>
    </row>
    <row r="188" customFormat="false" ht="15" hidden="false" customHeight="false" outlineLevel="0" collapsed="false">
      <c r="A188" s="15"/>
      <c r="B188" s="15"/>
      <c r="C188" s="15"/>
      <c r="D188" s="15"/>
      <c r="E188" s="18"/>
      <c r="F188" s="18"/>
      <c r="G188" s="15"/>
      <c r="H188" s="15"/>
    </row>
    <row r="189" customFormat="false" ht="15" hidden="false" customHeight="false" outlineLevel="0" collapsed="false">
      <c r="A189" s="15"/>
      <c r="B189" s="15"/>
      <c r="C189" s="15"/>
      <c r="D189" s="15"/>
      <c r="E189" s="18"/>
      <c r="F189" s="18"/>
      <c r="G189" s="15"/>
      <c r="H189" s="15"/>
    </row>
    <row r="190" customFormat="false" ht="15" hidden="false" customHeight="false" outlineLevel="0" collapsed="false">
      <c r="A190" s="15"/>
      <c r="B190" s="15"/>
      <c r="C190" s="15"/>
      <c r="D190" s="15"/>
      <c r="E190" s="18"/>
      <c r="F190" s="18"/>
      <c r="G190" s="15"/>
      <c r="H190" s="15"/>
    </row>
    <row r="191" customFormat="false" ht="15" hidden="false" customHeight="false" outlineLevel="0" collapsed="false">
      <c r="A191" s="15"/>
      <c r="B191" s="15"/>
      <c r="C191" s="15"/>
      <c r="D191" s="15"/>
      <c r="E191" s="18"/>
      <c r="F191" s="18"/>
      <c r="G191" s="15"/>
      <c r="H191" s="15"/>
    </row>
    <row r="192" customFormat="false" ht="15" hidden="false" customHeight="false" outlineLevel="0" collapsed="false">
      <c r="A192" s="15"/>
      <c r="B192" s="15"/>
      <c r="C192" s="15"/>
      <c r="D192" s="15"/>
      <c r="E192" s="18"/>
      <c r="F192" s="18"/>
      <c r="G192" s="15"/>
      <c r="H192" s="15"/>
    </row>
    <row r="193" customFormat="false" ht="15" hidden="false" customHeight="false" outlineLevel="0" collapsed="false">
      <c r="A193" s="15"/>
      <c r="B193" s="15"/>
      <c r="C193" s="15"/>
      <c r="D193" s="15"/>
      <c r="E193" s="18"/>
      <c r="F193" s="18"/>
      <c r="G193" s="15"/>
      <c r="H193" s="15"/>
    </row>
    <row r="194" customFormat="false" ht="15" hidden="false" customHeight="false" outlineLevel="0" collapsed="false">
      <c r="A194" s="15"/>
      <c r="B194" s="15"/>
      <c r="C194" s="15"/>
      <c r="D194" s="15"/>
      <c r="E194" s="18"/>
      <c r="F194" s="18"/>
      <c r="G194" s="15"/>
      <c r="H194" s="15"/>
    </row>
    <row r="195" customFormat="false" ht="15" hidden="false" customHeight="false" outlineLevel="0" collapsed="false">
      <c r="A195" s="15"/>
      <c r="B195" s="15"/>
      <c r="C195" s="15"/>
      <c r="D195" s="15"/>
      <c r="E195" s="18"/>
      <c r="F195" s="18"/>
      <c r="G195" s="15"/>
      <c r="H195" s="15"/>
    </row>
    <row r="196" customFormat="false" ht="15" hidden="false" customHeight="false" outlineLevel="0" collapsed="false">
      <c r="A196" s="15"/>
      <c r="B196" s="15"/>
      <c r="C196" s="15"/>
      <c r="D196" s="15"/>
      <c r="E196" s="18"/>
      <c r="F196" s="18"/>
      <c r="G196" s="15"/>
      <c r="H196" s="15"/>
    </row>
    <row r="197" customFormat="false" ht="15" hidden="false" customHeight="false" outlineLevel="0" collapsed="false">
      <c r="A197" s="15"/>
      <c r="B197" s="15"/>
      <c r="C197" s="15"/>
      <c r="D197" s="15"/>
      <c r="E197" s="18"/>
      <c r="F197" s="18"/>
      <c r="G197" s="15"/>
      <c r="H197" s="15"/>
    </row>
    <row r="198" customFormat="false" ht="15" hidden="false" customHeight="false" outlineLevel="0" collapsed="false">
      <c r="A198" s="15"/>
      <c r="B198" s="15"/>
      <c r="C198" s="15"/>
      <c r="D198" s="15"/>
      <c r="E198" s="18"/>
      <c r="F198" s="18"/>
      <c r="G198" s="15"/>
      <c r="H198" s="15"/>
    </row>
    <row r="199" customFormat="false" ht="15" hidden="false" customHeight="false" outlineLevel="0" collapsed="false">
      <c r="A199" s="15"/>
      <c r="B199" s="15"/>
      <c r="C199" s="15"/>
      <c r="D199" s="15"/>
      <c r="E199" s="18"/>
      <c r="F199" s="18"/>
      <c r="G199" s="15"/>
      <c r="H199" s="15"/>
    </row>
    <row r="200" customFormat="false" ht="15" hidden="false" customHeight="false" outlineLevel="0" collapsed="false">
      <c r="A200" s="15"/>
      <c r="B200" s="15"/>
      <c r="C200" s="15"/>
      <c r="D200" s="15"/>
      <c r="E200" s="18"/>
      <c r="F200" s="18"/>
      <c r="G200" s="15"/>
      <c r="H200" s="15"/>
    </row>
    <row r="201" customFormat="false" ht="15" hidden="false" customHeight="false" outlineLevel="0" collapsed="false">
      <c r="A201" s="15"/>
      <c r="B201" s="15"/>
      <c r="C201" s="15"/>
      <c r="D201" s="15"/>
      <c r="E201" s="18"/>
      <c r="F201" s="18"/>
      <c r="G201" s="15"/>
      <c r="H201" s="15"/>
    </row>
    <row r="202" customFormat="false" ht="15" hidden="false" customHeight="false" outlineLevel="0" collapsed="false">
      <c r="A202" s="15"/>
      <c r="B202" s="15"/>
      <c r="C202" s="15"/>
      <c r="D202" s="15"/>
      <c r="E202" s="18"/>
      <c r="F202" s="18"/>
      <c r="G202" s="15"/>
      <c r="H202" s="15"/>
    </row>
    <row r="203" customFormat="false" ht="15" hidden="false" customHeight="false" outlineLevel="0" collapsed="false">
      <c r="A203" s="15"/>
      <c r="B203" s="15"/>
      <c r="C203" s="15"/>
      <c r="D203" s="15"/>
      <c r="E203" s="18"/>
      <c r="F203" s="18"/>
      <c r="G203" s="15"/>
      <c r="H203" s="15"/>
    </row>
    <row r="204" customFormat="false" ht="15" hidden="false" customHeight="false" outlineLevel="0" collapsed="false">
      <c r="A204" s="15"/>
      <c r="B204" s="15"/>
      <c r="C204" s="15"/>
      <c r="D204" s="15"/>
      <c r="E204" s="18"/>
      <c r="F204" s="18"/>
      <c r="G204" s="15"/>
      <c r="H204" s="15"/>
    </row>
  </sheetData>
  <autoFilter ref="A4:H204"/>
  <dataValidations count="1">
    <dataValidation allowBlank="true" error="Pick a value from the list." errorStyle="stop" operator="between" showDropDown="false" showErrorMessage="true" showInputMessage="false" sqref="G5:G204" type="list">
      <formula1>Lists!$G$2:$G$4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s>
  <sheetData>
    <row r="1" customFormat="false" ht="15" hidden="false" customHeight="false" outlineLevel="0" collapsed="false">
      <c r="A1" s="19" t="s">
        <v>176</v>
      </c>
    </row>
    <row r="2" customFormat="false" ht="15" hidden="false" customHeight="false" outlineLevel="0" collapsed="false">
      <c r="A2" s="20" t="s">
        <v>177</v>
      </c>
    </row>
    <row r="3" customFormat="false" ht="15" hidden="false" customHeight="false" outlineLevel="0" collapsed="false">
      <c r="A3" s="20" t="s">
        <v>178</v>
      </c>
    </row>
    <row r="4" customFormat="false" ht="15" hidden="false" customHeight="false" outlineLevel="0" collapsed="false">
      <c r="A4" s="20" t="s">
        <v>146</v>
      </c>
    </row>
    <row r="5" customFormat="false" ht="15" hidden="false" customHeight="false" outlineLevel="0" collapsed="false">
      <c r="A5" s="20" t="s">
        <v>179</v>
      </c>
    </row>
    <row r="6" customFormat="false" ht="15" hidden="false" customHeight="false" outlineLevel="0" collapsed="false">
      <c r="A6" s="20" t="s">
        <v>180</v>
      </c>
    </row>
    <row r="7" customFormat="false" ht="15" hidden="false" customHeight="false" outlineLevel="0" collapsed="false">
      <c r="A7" s="20" t="s">
        <v>181</v>
      </c>
    </row>
    <row r="8" customFormat="false" ht="15" hidden="false" customHeight="false" outlineLevel="0" collapsed="false">
      <c r="A8" s="20"/>
    </row>
    <row r="9" customFormat="false" ht="15" hidden="false" customHeight="false" outlineLevel="0" collapsed="false">
      <c r="A9" s="20"/>
    </row>
    <row r="10" customFormat="false" ht="15" hidden="false" customHeight="false" outlineLevel="0" collapsed="false">
      <c r="A10" s="20"/>
    </row>
    <row r="11" customFormat="false" ht="15" hidden="false" customHeight="false" outlineLevel="0" collapsed="false">
      <c r="A11" s="20"/>
    </row>
    <row r="12" customFormat="false" ht="15" hidden="false" customHeight="false" outlineLevel="0" collapsed="false">
      <c r="A12" s="20"/>
    </row>
    <row r="13" customFormat="false" ht="15" hidden="false" customHeight="false" outlineLevel="0" collapsed="false">
      <c r="A13" s="20"/>
    </row>
    <row r="14" customFormat="false" ht="15" hidden="false" customHeight="false" outlineLevel="0" collapsed="false">
      <c r="A14" s="20"/>
    </row>
    <row r="15" customFormat="false" ht="15" hidden="false" customHeight="false" outlineLevel="0" collapsed="false">
      <c r="A15" s="20"/>
    </row>
    <row r="16" customFormat="false" ht="15" hidden="false" customHeight="false" outlineLevel="0" collapsed="false">
      <c r="A16" s="20"/>
    </row>
    <row r="17" customFormat="false" ht="15" hidden="false" customHeight="false" outlineLevel="0" collapsed="false">
      <c r="A17" s="20"/>
    </row>
    <row r="18" customFormat="false" ht="15" hidden="false" customHeight="false" outlineLevel="0" collapsed="false">
      <c r="A18" s="20"/>
    </row>
    <row r="19" customFormat="false" ht="15" hidden="false" customHeight="false" outlineLevel="0" collapsed="false">
      <c r="A19" s="20"/>
    </row>
    <row r="20" customFormat="false" ht="15" hidden="false" customHeight="false" outlineLevel="0" collapsed="false">
      <c r="A20" s="20"/>
    </row>
    <row r="21" customFormat="false" ht="15" hidden="false" customHeight="false" outlineLevel="0" collapsed="false">
      <c r="A21" s="20"/>
    </row>
    <row r="22" customFormat="false" ht="15" hidden="false" customHeight="false" outlineLevel="0" collapsed="false">
      <c r="A22" s="20"/>
    </row>
    <row r="23" customFormat="false" ht="15" hidden="false" customHeight="false" outlineLevel="0" collapsed="false">
      <c r="A23" s="20"/>
    </row>
    <row r="24" customFormat="false" ht="15" hidden="false" customHeight="false" outlineLevel="0" collapsed="false">
      <c r="A24" s="20"/>
    </row>
    <row r="25" customFormat="false" ht="15" hidden="false" customHeight="false" outlineLevel="0" collapsed="false">
      <c r="A25" s="20"/>
    </row>
    <row r="26" customFormat="false" ht="15" hidden="false" customHeight="false" outlineLevel="0" collapsed="false">
      <c r="A26" s="20"/>
    </row>
    <row r="27" customFormat="false" ht="15" hidden="false" customHeight="false" outlineLevel="0" collapsed="false">
      <c r="A27" s="20"/>
    </row>
    <row r="28" customFormat="false" ht="15" hidden="false" customHeight="false" outlineLevel="0" collapsed="false">
      <c r="A28" s="20"/>
    </row>
    <row r="29" customFormat="false" ht="15" hidden="false" customHeight="false" outlineLevel="0" collapsed="false">
      <c r="A29" s="20"/>
    </row>
    <row r="30" customFormat="false" ht="15" hidden="false" customHeight="false" outlineLevel="0" collapsed="false">
      <c r="A30" s="20"/>
    </row>
    <row r="31" customFormat="false" ht="15" hidden="false" customHeight="false" outlineLevel="0" collapsed="false">
      <c r="A31" s="20"/>
    </row>
    <row r="32" customFormat="false" ht="15" hidden="false" customHeight="false" outlineLevel="0" collapsed="false">
      <c r="A32" s="20"/>
    </row>
    <row r="33" customFormat="false" ht="15" hidden="false" customHeight="false" outlineLevel="0" collapsed="false">
      <c r="A33" s="20"/>
    </row>
    <row r="34" customFormat="false" ht="15" hidden="false" customHeight="false" outlineLevel="0" collapsed="false">
      <c r="A34" s="20"/>
    </row>
    <row r="35" customFormat="false" ht="15" hidden="false" customHeight="false" outlineLevel="0" collapsed="false">
      <c r="A35" s="20"/>
    </row>
    <row r="36" customFormat="false" ht="15" hidden="false" customHeight="false" outlineLevel="0" collapsed="false">
      <c r="A36" s="20"/>
    </row>
    <row r="37" customFormat="false" ht="15" hidden="false" customHeight="false" outlineLevel="0" collapsed="false">
      <c r="A37" s="20"/>
    </row>
    <row r="38" customFormat="false" ht="15" hidden="false" customHeight="false" outlineLevel="0" collapsed="false">
      <c r="A38" s="20"/>
    </row>
    <row r="39" customFormat="false" ht="15" hidden="false" customHeight="false" outlineLevel="0" collapsed="false">
      <c r="A39" s="20"/>
    </row>
    <row r="40" customFormat="false" ht="15" hidden="false" customHeight="false" outlineLevel="0" collapsed="false">
      <c r="A40" s="20"/>
    </row>
    <row r="41" customFormat="false" ht="15" hidden="false" customHeight="false" outlineLevel="0" collapsed="false">
      <c r="A41" s="20"/>
    </row>
    <row r="42" customFormat="false" ht="15" hidden="false" customHeight="false" outlineLevel="0" collapsed="false">
      <c r="A42" s="20"/>
    </row>
    <row r="43" customFormat="false" ht="15" hidden="false" customHeight="false" outlineLevel="0" collapsed="false">
      <c r="A43" s="20"/>
    </row>
    <row r="44" customFormat="false" ht="15" hidden="false" customHeight="false" outlineLevel="0" collapsed="false">
      <c r="A44" s="20"/>
    </row>
    <row r="45" customFormat="false" ht="15" hidden="false" customHeight="false" outlineLevel="0" collapsed="false">
      <c r="A45" s="20"/>
    </row>
    <row r="46" customFormat="false" ht="15" hidden="false" customHeight="false" outlineLevel="0" collapsed="false">
      <c r="A46" s="20"/>
    </row>
    <row r="47" customFormat="false" ht="15" hidden="false" customHeight="false" outlineLevel="0" collapsed="false">
      <c r="A47" s="20"/>
    </row>
    <row r="48" customFormat="false" ht="15" hidden="false" customHeight="false" outlineLevel="0" collapsed="false">
      <c r="A48" s="20"/>
    </row>
    <row r="49" customFormat="false" ht="15" hidden="false" customHeight="false" outlineLevel="0" collapsed="false">
      <c r="A49" s="20"/>
    </row>
    <row r="50" customFormat="false" ht="15" hidden="false" customHeight="false" outlineLevel="0" collapsed="false">
      <c r="A50" s="20"/>
    </row>
    <row r="51" customFormat="false" ht="15" hidden="false" customHeight="false" outlineLevel="0" collapsed="false">
      <c r="A51" s="20"/>
    </row>
    <row r="52" customFormat="false" ht="15" hidden="false" customHeight="false" outlineLevel="0" collapsed="false">
      <c r="A52" s="20"/>
    </row>
    <row r="53" customFormat="false" ht="15" hidden="false" customHeight="false" outlineLevel="0" collapsed="false">
      <c r="A53" s="20"/>
    </row>
    <row r="54" customFormat="false" ht="15" hidden="false" customHeight="false" outlineLevel="0" collapsed="false">
      <c r="A54" s="20"/>
    </row>
    <row r="55" customFormat="false" ht="15" hidden="false" customHeight="false" outlineLevel="0" collapsed="false">
      <c r="A55" s="20"/>
    </row>
    <row r="56" customFormat="false" ht="15" hidden="false" customHeight="false" outlineLevel="0" collapsed="false">
      <c r="A56" s="20"/>
    </row>
    <row r="57" customFormat="false" ht="15" hidden="false" customHeight="false" outlineLevel="0" collapsed="false">
      <c r="A57" s="20"/>
    </row>
    <row r="58" customFormat="false" ht="15" hidden="false" customHeight="false" outlineLevel="0" collapsed="false">
      <c r="A58" s="20"/>
    </row>
    <row r="59" customFormat="false" ht="15" hidden="false" customHeight="false" outlineLevel="0" collapsed="false">
      <c r="A59" s="20"/>
    </row>
    <row r="60" customFormat="false" ht="15" hidden="false" customHeight="false" outlineLevel="0" collapsed="false">
      <c r="A60" s="20"/>
    </row>
    <row r="61" customFormat="false" ht="15" hidden="false" customHeight="false" outlineLevel="0" collapsed="false">
      <c r="A61" s="20"/>
    </row>
    <row r="62" customFormat="false" ht="15" hidden="false" customHeight="false" outlineLevel="0" collapsed="false">
      <c r="A62" s="20"/>
    </row>
    <row r="63" customFormat="false" ht="15" hidden="false" customHeight="false" outlineLevel="0" collapsed="false">
      <c r="A63" s="20"/>
    </row>
    <row r="64" customFormat="false" ht="15" hidden="false" customHeight="false" outlineLevel="0" collapsed="false">
      <c r="A64" s="20"/>
    </row>
    <row r="65" customFormat="false" ht="15" hidden="false" customHeight="false" outlineLevel="0" collapsed="false">
      <c r="A65" s="20"/>
    </row>
    <row r="66" customFormat="false" ht="15" hidden="false" customHeight="false" outlineLevel="0" collapsed="false">
      <c r="A66" s="20"/>
    </row>
    <row r="67" customFormat="false" ht="15" hidden="false" customHeight="false" outlineLevel="0" collapsed="false">
      <c r="A67" s="20"/>
    </row>
    <row r="68" customFormat="false" ht="15" hidden="false" customHeight="false" outlineLevel="0" collapsed="false">
      <c r="A68" s="20"/>
    </row>
    <row r="69" customFormat="false" ht="15" hidden="false" customHeight="false" outlineLevel="0" collapsed="false">
      <c r="A69" s="20"/>
    </row>
    <row r="70" customFormat="false" ht="15" hidden="false" customHeight="false" outlineLevel="0" collapsed="false">
      <c r="A70" s="20"/>
    </row>
    <row r="71" customFormat="false" ht="15" hidden="false" customHeight="false" outlineLevel="0" collapsed="false">
      <c r="A71" s="20"/>
    </row>
    <row r="72" customFormat="false" ht="15" hidden="false" customHeight="false" outlineLevel="0" collapsed="false">
      <c r="A72" s="20"/>
    </row>
    <row r="73" customFormat="false" ht="15" hidden="false" customHeight="false" outlineLevel="0" collapsed="false">
      <c r="A73" s="20"/>
    </row>
    <row r="74" customFormat="false" ht="15" hidden="false" customHeight="false" outlineLevel="0" collapsed="false">
      <c r="A74" s="20"/>
    </row>
    <row r="75" customFormat="false" ht="15" hidden="false" customHeight="false" outlineLevel="0" collapsed="false">
      <c r="A75" s="20"/>
    </row>
    <row r="76" customFormat="false" ht="15" hidden="false" customHeight="false" outlineLevel="0" collapsed="false">
      <c r="A76" s="20"/>
    </row>
    <row r="77" customFormat="false" ht="15" hidden="false" customHeight="false" outlineLevel="0" collapsed="false">
      <c r="A77" s="20"/>
    </row>
    <row r="78" customFormat="false" ht="15" hidden="false" customHeight="false" outlineLevel="0" collapsed="false">
      <c r="A78" s="20"/>
    </row>
    <row r="79" customFormat="false" ht="15" hidden="false" customHeight="false" outlineLevel="0" collapsed="false">
      <c r="A79" s="20"/>
    </row>
    <row r="80" customFormat="false" ht="15" hidden="false" customHeight="false" outlineLevel="0" collapsed="false">
      <c r="A80" s="20"/>
    </row>
    <row r="81" customFormat="false" ht="15" hidden="false" customHeight="false" outlineLevel="0" collapsed="false">
      <c r="A81" s="20"/>
    </row>
    <row r="82" customFormat="false" ht="15" hidden="false" customHeight="false" outlineLevel="0" collapsed="false">
      <c r="A82" s="20"/>
    </row>
    <row r="83" customFormat="false" ht="15" hidden="false" customHeight="false" outlineLevel="0" collapsed="false">
      <c r="A83" s="20"/>
    </row>
    <row r="84" customFormat="false" ht="15" hidden="false" customHeight="false" outlineLevel="0" collapsed="false">
      <c r="A84" s="20"/>
    </row>
    <row r="85" customFormat="false" ht="15" hidden="false" customHeight="false" outlineLevel="0" collapsed="false">
      <c r="A85" s="20"/>
    </row>
    <row r="86" customFormat="false" ht="15" hidden="false" customHeight="false" outlineLevel="0" collapsed="false">
      <c r="A86" s="20"/>
    </row>
    <row r="87" customFormat="false" ht="15" hidden="false" customHeight="false" outlineLevel="0" collapsed="false">
      <c r="A87" s="20"/>
    </row>
    <row r="88" customFormat="false" ht="15" hidden="false" customHeight="false" outlineLevel="0" collapsed="false">
      <c r="A88" s="20"/>
    </row>
    <row r="89" customFormat="false" ht="15" hidden="false" customHeight="false" outlineLevel="0" collapsed="false">
      <c r="A89" s="20"/>
    </row>
    <row r="90" customFormat="false" ht="15" hidden="false" customHeight="false" outlineLevel="0" collapsed="false">
      <c r="A90" s="20"/>
    </row>
    <row r="91" customFormat="false" ht="15" hidden="false" customHeight="false" outlineLevel="0" collapsed="false">
      <c r="A91" s="20"/>
    </row>
    <row r="92" customFormat="false" ht="15" hidden="false" customHeight="false" outlineLevel="0" collapsed="false">
      <c r="A92" s="20"/>
    </row>
    <row r="93" customFormat="false" ht="15" hidden="false" customHeight="false" outlineLevel="0" collapsed="false">
      <c r="A93" s="20"/>
    </row>
    <row r="94" customFormat="false" ht="15" hidden="false" customHeight="false" outlineLevel="0" collapsed="false">
      <c r="A94" s="20"/>
    </row>
    <row r="95" customFormat="false" ht="15" hidden="false" customHeight="false" outlineLevel="0" collapsed="false">
      <c r="A95" s="20"/>
    </row>
    <row r="96" customFormat="false" ht="15" hidden="false" customHeight="false" outlineLevel="0" collapsed="false">
      <c r="A96" s="20"/>
    </row>
    <row r="97" customFormat="false" ht="15" hidden="false" customHeight="false" outlineLevel="0" collapsed="false">
      <c r="A97" s="20"/>
    </row>
    <row r="98" customFormat="false" ht="15" hidden="false" customHeight="false" outlineLevel="0" collapsed="false">
      <c r="A98" s="20"/>
    </row>
    <row r="99" customFormat="false" ht="15" hidden="false" customHeight="false" outlineLevel="0" collapsed="false">
      <c r="A99" s="20"/>
    </row>
    <row r="100" customFormat="false" ht="15" hidden="false" customHeight="false" outlineLevel="0" collapsed="false">
      <c r="A100" s="20"/>
    </row>
    <row r="101" customFormat="false" ht="15" hidden="false" customHeight="false" outlineLevel="0" collapsed="false">
      <c r="A101"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26"/>
  </cols>
  <sheetData>
    <row r="1" customFormat="false" ht="15" hidden="false" customHeight="false" outlineLevel="0" collapsed="false">
      <c r="A1" s="21" t="s">
        <v>182</v>
      </c>
      <c r="B1" s="21" t="s">
        <v>183</v>
      </c>
      <c r="C1" s="21" t="s">
        <v>184</v>
      </c>
      <c r="D1" s="21" t="s">
        <v>185</v>
      </c>
      <c r="E1" s="21" t="s">
        <v>186</v>
      </c>
      <c r="F1" s="21" t="s">
        <v>187</v>
      </c>
      <c r="G1" s="21" t="s">
        <v>188</v>
      </c>
    </row>
    <row r="2" customFormat="false" ht="15" hidden="false" customHeight="false" outlineLevel="0" collapsed="false">
      <c r="A2" s="22" t="s">
        <v>189</v>
      </c>
      <c r="B2" s="22" t="s">
        <v>190</v>
      </c>
      <c r="C2" s="22" t="s">
        <v>191</v>
      </c>
      <c r="D2" s="22" t="s">
        <v>153</v>
      </c>
      <c r="E2" s="22" t="s">
        <v>153</v>
      </c>
      <c r="F2" s="22" t="s">
        <v>192</v>
      </c>
      <c r="G2" s="22" t="s">
        <v>175</v>
      </c>
    </row>
    <row r="3" customFormat="false" ht="15" hidden="false" customHeight="false" outlineLevel="0" collapsed="false">
      <c r="A3" s="22" t="s">
        <v>148</v>
      </c>
      <c r="B3" s="22" t="s">
        <v>193</v>
      </c>
      <c r="C3" s="22" t="s">
        <v>194</v>
      </c>
      <c r="D3" s="22" t="s">
        <v>195</v>
      </c>
      <c r="E3" s="22" t="s">
        <v>195</v>
      </c>
      <c r="F3" s="22" t="s">
        <v>196</v>
      </c>
      <c r="G3" s="22" t="s">
        <v>197</v>
      </c>
    </row>
    <row r="4" customFormat="false" ht="15" hidden="false" customHeight="false" outlineLevel="0" collapsed="false">
      <c r="A4" s="22" t="s">
        <v>198</v>
      </c>
      <c r="B4" s="22" t="s">
        <v>199</v>
      </c>
      <c r="C4" s="22" t="s">
        <v>200</v>
      </c>
      <c r="E4" s="22" t="s">
        <v>154</v>
      </c>
      <c r="F4" s="22" t="s">
        <v>201</v>
      </c>
      <c r="G4" s="22" t="s">
        <v>202</v>
      </c>
    </row>
    <row r="5" customFormat="false" ht="15" hidden="false" customHeight="false" outlineLevel="0" collapsed="false">
      <c r="B5" s="22" t="s">
        <v>203</v>
      </c>
      <c r="C5" s="22" t="s">
        <v>204</v>
      </c>
      <c r="F5" s="22" t="s">
        <v>163</v>
      </c>
    </row>
    <row r="6" customFormat="false" ht="15" hidden="false" customHeight="false" outlineLevel="0" collapsed="false">
      <c r="B6" s="22" t="s">
        <v>149</v>
      </c>
      <c r="C6" s="22" t="s">
        <v>205</v>
      </c>
    </row>
    <row r="7" customFormat="false" ht="15" hidden="false" customHeight="false" outlineLevel="0" collapsed="false">
      <c r="B7" s="22" t="s">
        <v>206</v>
      </c>
      <c r="C7" s="22" t="s">
        <v>207</v>
      </c>
    </row>
    <row r="8" customFormat="false" ht="15" hidden="false" customHeight="false" outlineLevel="0" collapsed="false">
      <c r="B8" s="22" t="s">
        <v>208</v>
      </c>
      <c r="C8" s="22" t="s">
        <v>209</v>
      </c>
    </row>
    <row r="9" customFormat="false" ht="15" hidden="false" customHeight="false" outlineLevel="0" collapsed="false">
      <c r="B9" s="22" t="s">
        <v>210</v>
      </c>
      <c r="C9" s="22" t="s">
        <v>211</v>
      </c>
    </row>
    <row r="10" customFormat="false" ht="15" hidden="false" customHeight="false" outlineLevel="0" collapsed="false">
      <c r="B10" s="22" t="s">
        <v>212</v>
      </c>
      <c r="C10" s="22"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9" t="s">
        <v>213</v>
      </c>
    </row>
    <row r="2" customFormat="false" ht="15" hidden="false" customHeight="false" outlineLevel="0" collapsed="false">
      <c r="A2" s="10" t="s">
        <v>214</v>
      </c>
    </row>
    <row r="3" customFormat="false" ht="15" hidden="false" customHeight="false" outlineLevel="0" collapsed="false">
      <c r="A3" s="21" t="s">
        <v>215</v>
      </c>
      <c r="B3" s="23" t="str">
        <f aca="false">IF(COUNTIF(C6:C13,"REVIEW")=0,"ALL CHECKS PASS","REVIEW ITEMS: "&amp;COUNTIF(C6:C13,"REVIEW"))</f>
        <v>ALL CHECKS PASS</v>
      </c>
    </row>
    <row r="5" customFormat="false" ht="15" hidden="false" customHeight="false" outlineLevel="0" collapsed="false">
      <c r="A5" s="5" t="s">
        <v>216</v>
      </c>
      <c r="B5" s="5" t="s">
        <v>217</v>
      </c>
      <c r="C5" s="5" t="s">
        <v>134</v>
      </c>
      <c r="D5" s="5" t="s">
        <v>218</v>
      </c>
    </row>
    <row r="6" customFormat="false" ht="15" hidden="false" customHeight="false" outlineLevel="0" collapsed="false">
      <c r="A6" s="24" t="s">
        <v>219</v>
      </c>
      <c r="B6" s="24" t="n">
        <f aca="false">COUNTA(Interface_Register!A5:A204)</f>
        <v>1</v>
      </c>
      <c r="C6" s="24" t="s">
        <v>220</v>
      </c>
      <c r="D6" s="24" t="s">
        <v>221</v>
      </c>
    </row>
    <row r="7" customFormat="false" ht="15" hidden="false" customHeight="false" outlineLevel="0" collapsed="false">
      <c r="A7" s="24" t="s">
        <v>222</v>
      </c>
      <c r="B7" s="24" t="n">
        <f aca="false">SUMPRODUCT((Interface_Register!A5:A204&lt;&gt;"")*(COUNTIF(Interface_Register!A5:A204,Interface_Register!A5:A204)&gt;1))</f>
        <v>0</v>
      </c>
      <c r="C7" s="24" t="str">
        <f aca="false">IF(B7=0,"PASS","REVIEW")</f>
        <v>PASS</v>
      </c>
      <c r="D7" s="24" t="s">
        <v>223</v>
      </c>
    </row>
    <row r="8" customFormat="false" ht="15" hidden="false" customHeight="false" outlineLevel="0" collapsed="false">
      <c r="A8" s="24" t="s">
        <v>224</v>
      </c>
      <c r="B8" s="24" t="n">
        <f aca="false">SUMPRODUCT((Interface_Register!S5:S204&lt;&gt;"")*(Interface_Register!S5:S204&lt;&gt;"OK")*(LEFT(Interface_Register!S5:S204,2)&lt;&gt;"OK"))</f>
        <v>0</v>
      </c>
      <c r="C8" s="24" t="str">
        <f aca="false">IF(B8=0,"PASS","REVIEW")</f>
        <v>PASS</v>
      </c>
      <c r="D8" s="24" t="s">
        <v>225</v>
      </c>
    </row>
    <row r="9" customFormat="false" ht="23.85" hidden="false" customHeight="false" outlineLevel="0" collapsed="false">
      <c r="A9" s="24" t="s">
        <v>226</v>
      </c>
      <c r="B9" s="24" t="n">
        <f aca="false">COUNTIF(Interface_Register!R5:R204,"Carry*")</f>
        <v>1</v>
      </c>
      <c r="C9" s="24" t="s">
        <v>220</v>
      </c>
      <c r="D9" s="24" t="s">
        <v>227</v>
      </c>
    </row>
    <row r="10" customFormat="false" ht="15" hidden="false" customHeight="false" outlineLevel="0" collapsed="false">
      <c r="A10" s="24" t="s">
        <v>228</v>
      </c>
      <c r="B10" s="24" t="n">
        <f aca="false">SUMPRODUCT((Interface_Register!J5:J204="Y")*(Interface_Register!H5:H204=""))</f>
        <v>0</v>
      </c>
      <c r="C10" s="24" t="s">
        <v>220</v>
      </c>
      <c r="D10" s="24" t="s">
        <v>229</v>
      </c>
    </row>
    <row r="11" customFormat="false" ht="15" hidden="false" customHeight="false" outlineLevel="0" collapsed="false">
      <c r="A11" s="24" t="s">
        <v>230</v>
      </c>
      <c r="B11" s="24" t="n">
        <f aca="false">SUMPRODUCT((RFC_Service_Users!I5:I204&lt;&gt;"")*(RFC_Service_Users!I5:I204&lt;&gt;"OK"))</f>
        <v>0</v>
      </c>
      <c r="C11" s="24" t="s">
        <v>220</v>
      </c>
      <c r="D11" s="24" t="s">
        <v>231</v>
      </c>
    </row>
    <row r="12" customFormat="false" ht="15" hidden="false" customHeight="false" outlineLevel="0" collapsed="false">
      <c r="A12" s="24" t="s">
        <v>232</v>
      </c>
      <c r="B12" s="24" t="n">
        <f aca="false">SUMPRODUCT((Data_Flow_Map!G5:G204&lt;&gt;"")*(LEFT(Data_Flow_Map!G5:G204,2)&lt;&gt;"OK"))</f>
        <v>0</v>
      </c>
      <c r="C12" s="24" t="str">
        <f aca="false">IF(B12=0,"PASS","REVIEW")</f>
        <v>PASS</v>
      </c>
      <c r="D12" s="24" t="s">
        <v>233</v>
      </c>
    </row>
    <row r="13" customFormat="false" ht="15" hidden="false" customHeight="false" outlineLevel="0" collapsed="false">
      <c r="A13" s="24" t="s">
        <v>234</v>
      </c>
      <c r="B13" s="24" t="n">
        <f aca="false">COUNTIF(Interface_Register!E5:E204,"Outbound")</f>
        <v>1</v>
      </c>
      <c r="C13" s="24" t="str">
        <f aca="false">IF(B13&gt;0,"PASS","REVIEW")</f>
        <v>PASS</v>
      </c>
      <c r="D13" s="24" t="s">
        <v>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2026-10-03T01:34:30Z</dcterms:created>
  <dc:creator>openpyxl</dc:creator>
  <dc:description/>
  <dc:language>en-US</dc:language>
  <cp:lastModifiedBy/>
  <dcterms:modified xsi:type="dcterms:W3CDTF">2026-10-03T01:34:30Z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