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Functions" sheetId="2" state="visible" r:id="rId4"/>
    <sheet name="Function_Auth" sheetId="3" state="visible" r:id="rId5"/>
    <sheet name="SoD_Rules" sheetId="4" state="visible" r:id="rId6"/>
    <sheet name="Sensitive_Access" sheetId="5" state="visible" r:id="rId7"/>
    <sheet name="Mitigations" sheetId="6" state="visible" r:id="rId8"/>
    <sheet name="Ruleset_Version" sheetId="7" state="visible" r:id="rId9"/>
    <sheet name="Ref_RISK" sheetId="8" state="visible" r:id="rId10"/>
    <sheet name="Ref_CTRL" sheetId="9" state="visible" r:id="rId11"/>
    <sheet name="Lists" sheetId="10" state="hidden" r:id="rId12"/>
    <sheet name="Checks" sheetId="11" state="visible" r:id="rId13"/>
  </sheets>
  <definedNames>
    <definedName function="false" hidden="true" localSheetId="2" name="_xlnm._FilterDatabase" vbProcedure="false">Function_Auth!$A$4:$H$204</definedName>
    <definedName function="false" hidden="true" localSheetId="1" name="_xlnm._FilterDatabase" vbProcedure="false">Functions!$A$4:$G$204</definedName>
    <definedName function="false" hidden="true" localSheetId="5" name="_xlnm._FilterDatabase" vbProcedure="false">Mitigations!$A$4:$I$204</definedName>
    <definedName function="false" hidden="true" localSheetId="6" name="_xlnm._FilterDatabase" vbProcedure="false">Ruleset_Version!$A$4:$F$204</definedName>
    <definedName function="false" hidden="true" localSheetId="4" name="_xlnm._FilterDatabase" vbProcedure="false">Sensitive_Access!$A$4:$G$204</definedName>
    <definedName function="false" hidden="true" localSheetId="3" name="_xlnm._FilterDatabase" vbProcedure="false">SoD_Rules!$A$4:$O$204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<sst xmlns="http://schemas.openxmlformats.org/spreadsheetml/2006/main" count="472" uniqueCount="258">
  <si>
    <t xml:space="preserve">TIB SYSTEMS LLC  |  SAP Controls Project Foundation Workbook Set</t>
  </si>
  <si>
    <t xml:space="preserve">W06 — SoD &amp; Sensitive Access Rule Matrix</t>
  </si>
  <si>
    <t xml:space="preserve">Purpose</t>
  </si>
  <si>
    <t xml:space="preserve">Translates each SoD and sensitive-access risk from W04 into technical terms: which transactions and authorisation objects make up each side of a conflict. The access analysis in Part 3A runs these rules against the user population.</t>
  </si>
  <si>
    <t xml:space="preserve">How to use this workbook</t>
  </si>
  <si>
    <t xml:space="preserve">1. Paste RISK-IDs and categories from W04 into Ref_RISK, and CTRL-IDs from W05 into Ref_CTRL.</t>
  </si>
  <si>
    <t xml:space="preserve">2. Define business functions with their transactions (Functions) and permission detail (Function_Auth).</t>
  </si>
  <si>
    <t xml:space="preserve">3. Define each conflict pair in SoD_Rules, linked to a W04 SoD risk. List critical single-item access in Sensitive_Access.</t>
  </si>
  <si>
    <t xml:space="preserve">4. Record approved mitigations (must be real controls in W05) and the approved ruleset version.</t>
  </si>
  <si>
    <t xml:space="preserve">5. Include custom Z-transactions and Fiori equivalents. Read the Checks tab.</t>
  </si>
  <si>
    <t xml:space="preserve">Colour legend</t>
  </si>
  <si>
    <t xml:space="preserve">Yellow cells with blue text = you enter data here.   Grey cells = formulas (do not overwrite).   Row 5 of each register is a worked ABC Manufacturing example: overwrite it with your first record.</t>
  </si>
  <si>
    <t xml:space="preserve">Completion gate</t>
  </si>
  <si>
    <t xml:space="preserve">Every SoD risk in W04 maps to at least one SOD-ID, and every rule maps to a risk.</t>
  </si>
  <si>
    <t xml:space="preserve">Rules carry permission-level detail and include custom transactions.</t>
  </si>
  <si>
    <t xml:space="preserve">Sensitive access items are listed with allowed holders.</t>
  </si>
  <si>
    <t xml:space="preserve">Mitigations point to real CTRL-IDs; the ruleset version is approved.</t>
  </si>
  <si>
    <t xml:space="preserve">Manual reference</t>
  </si>
  <si>
    <t xml:space="preserve">Part 2, Session 7 (W06).</t>
  </si>
  <si>
    <t xml:space="preserve">Column dictionary</t>
  </si>
  <si>
    <t xml:space="preserve">Tab</t>
  </si>
  <si>
    <t xml:space="preserve">Field</t>
  </si>
  <si>
    <t xml:space="preserve">Definition</t>
  </si>
  <si>
    <t xml:space="preserve">Allowed values / rule</t>
  </si>
  <si>
    <t xml:space="preserve">Type</t>
  </si>
  <si>
    <t xml:space="preserve">Functions</t>
  </si>
  <si>
    <t xml:space="preserve">Function ID</t>
  </si>
  <si>
    <t xml:space="preserve">Unique key</t>
  </si>
  <si>
    <t xml:space="preserve">FN-nn</t>
  </si>
  <si>
    <t xml:space="preserve">Input</t>
  </si>
  <si>
    <t xml:space="preserve">Function name</t>
  </si>
  <si>
    <t xml:space="preserve">Business function</t>
  </si>
  <si>
    <t xml:space="preserve">e.g. Vendor master maintenance</t>
  </si>
  <si>
    <t xml:space="preserve">BP-ID</t>
  </si>
  <si>
    <t xml:space="preserve">Process the function belongs to</t>
  </si>
  <si>
    <t xml:space="preserve">From W03</t>
  </si>
  <si>
    <t xml:space="preserve">Transactions (t-codes)</t>
  </si>
  <si>
    <t xml:space="preserve">Standard transactions</t>
  </si>
  <si>
    <t xml:space="preserve">e.g. BP, XK01, XK02</t>
  </si>
  <si>
    <t xml:space="preserve">Fiori apps / custom Z-codes</t>
  </si>
  <si>
    <t xml:space="preserve">Equivalent apps and custom transactions</t>
  </si>
  <si>
    <t xml:space="preserve">Include Z-transactions</t>
  </si>
  <si>
    <t xml:space="preserve">Description</t>
  </si>
  <si>
    <t xml:space="preserve">What the function allows</t>
  </si>
  <si>
    <t xml:space="preserve">Free text</t>
  </si>
  <si>
    <t xml:space="preserve">Row check</t>
  </si>
  <si>
    <t xml:space="preserve">Automatic test</t>
  </si>
  <si>
    <t xml:space="preserve">Formula</t>
  </si>
  <si>
    <t xml:space="preserve">Function_Auth</t>
  </si>
  <si>
    <t xml:space="preserve">Auth ID</t>
  </si>
  <si>
    <t xml:space="preserve">AU-nn</t>
  </si>
  <si>
    <t xml:space="preserve">Function the permission belongs to</t>
  </si>
  <si>
    <t xml:space="preserve">Must exist in Functions</t>
  </si>
  <si>
    <t xml:space="preserve">Function (lookup)</t>
  </si>
  <si>
    <t xml:space="preserve">Transaction</t>
  </si>
  <si>
    <t xml:space="preserve">Transaction code</t>
  </si>
  <si>
    <t xml:space="preserve">t-code</t>
  </si>
  <si>
    <t xml:space="preserve">Auth object</t>
  </si>
  <si>
    <t xml:space="preserve">Authorisation object</t>
  </si>
  <si>
    <t xml:space="preserve">e.g. F_LFA1_BUK</t>
  </si>
  <si>
    <t xml:space="preserve">e.g. ACTVT</t>
  </si>
  <si>
    <t xml:space="preserve">Values</t>
  </si>
  <si>
    <t xml:space="preserve">Field values that enable the action</t>
  </si>
  <si>
    <t xml:space="preserve">e.g. 01, 02</t>
  </si>
  <si>
    <t xml:space="preserve">SoD_Rules</t>
  </si>
  <si>
    <t xml:space="preserve">SOD-ID</t>
  </si>
  <si>
    <t xml:space="preserve">SOD-nnn</t>
  </si>
  <si>
    <t xml:space="preserve">Function A</t>
  </si>
  <si>
    <t xml:space="preserve">First function</t>
  </si>
  <si>
    <t xml:space="preserve">Function B</t>
  </si>
  <si>
    <t xml:space="preserve">Second function</t>
  </si>
  <si>
    <t xml:space="preserve">Function A (lookup)</t>
  </si>
  <si>
    <t xml:space="preserve">Name</t>
  </si>
  <si>
    <t xml:space="preserve">Function B (lookup)</t>
  </si>
  <si>
    <t xml:space="preserve">Conflict description</t>
  </si>
  <si>
    <t xml:space="preserve">Why the combination is dangerous</t>
  </si>
  <si>
    <t xml:space="preserve">Must match the W04 risk</t>
  </si>
  <si>
    <t xml:space="preserve">RISK-ID</t>
  </si>
  <si>
    <t xml:space="preserve">Risk the rule tests</t>
  </si>
  <si>
    <t xml:space="preserve">Must exist in W04, category SoD</t>
  </si>
  <si>
    <t xml:space="preserve">Process affected</t>
  </si>
  <si>
    <t xml:space="preserve">Risk level</t>
  </si>
  <si>
    <t xml:space="preserve">Severity</t>
  </si>
  <si>
    <t xml:space="preserve">Critical / High / Medium</t>
  </si>
  <si>
    <t xml:space="preserve">Rule level</t>
  </si>
  <si>
    <t xml:space="preserve">How it is evaluated; permission level preferred</t>
  </si>
  <si>
    <t xml:space="preserve">Transaction level / Permission level</t>
  </si>
  <si>
    <t xml:space="preserve">Org-level scope</t>
  </si>
  <si>
    <t xml:space="preserve">Does the conflict apply across or within the same org unit</t>
  </si>
  <si>
    <t xml:space="preserve">Cross-org / Same org</t>
  </si>
  <si>
    <t xml:space="preserve">Mitigating CTRL-ID</t>
  </si>
  <si>
    <t xml:space="preserve">Accepted mitigation for justified conflicts</t>
  </si>
  <si>
    <t xml:space="preserve">CTRL-ID in W05, or None</t>
  </si>
  <si>
    <t xml:space="preserve">Rule owner</t>
  </si>
  <si>
    <t xml:space="preserve">Business owner who approved the rule</t>
  </si>
  <si>
    <t xml:space="preserve">Name / role</t>
  </si>
  <si>
    <t xml:space="preserve">In scope?</t>
  </si>
  <si>
    <t xml:space="preserve">Run in this engagement</t>
  </si>
  <si>
    <t xml:space="preserve">Y / N</t>
  </si>
  <si>
    <t xml:space="preserve">Sensitive_Access</t>
  </si>
  <si>
    <t xml:space="preserve">SENS-ID</t>
  </si>
  <si>
    <t xml:space="preserve">SENS-nnn</t>
  </si>
  <si>
    <t xml:space="preserve">Access item</t>
  </si>
  <si>
    <t xml:space="preserve">Transaction, profile or auth object value</t>
  </si>
  <si>
    <t xml:space="preserve">e.g. SAP_ALL; S_TABU_DIS ACTVT 02 with SE16N</t>
  </si>
  <si>
    <t xml:space="preserve">Why sensitive</t>
  </si>
  <si>
    <t xml:space="preserve">Impact if held inappropriately</t>
  </si>
  <si>
    <t xml:space="preserve">Risk tested</t>
  </si>
  <si>
    <t xml:space="preserve">From W04</t>
  </si>
  <si>
    <t xml:space="preserve">Allowed holders</t>
  </si>
  <si>
    <t xml:space="preserve">Who may legitimately hold it</t>
  </si>
  <si>
    <t xml:space="preserve">e.g. Firefighter IDs only</t>
  </si>
  <si>
    <t xml:space="preserve">Related CTRL-ID</t>
  </si>
  <si>
    <t xml:space="preserve">Control that governs it</t>
  </si>
  <si>
    <t xml:space="preserve">From W05</t>
  </si>
  <si>
    <t xml:space="preserve">Mitigations</t>
  </si>
  <si>
    <t xml:space="preserve">Mit ID</t>
  </si>
  <si>
    <t xml:space="preserve">MIT-nn</t>
  </si>
  <si>
    <t xml:space="preserve">Control that mitigates</t>
  </si>
  <si>
    <t xml:space="preserve">Must exist in W05</t>
  </si>
  <si>
    <t xml:space="preserve">SOD-ID covered</t>
  </si>
  <si>
    <t xml:space="preserve">Rule the mitigation covers</t>
  </si>
  <si>
    <t xml:space="preserve">Must exist in SoD_Rules</t>
  </si>
  <si>
    <t xml:space="preserve">Mitigated users</t>
  </si>
  <si>
    <t xml:space="preserve">Users carrying the conflict</t>
  </si>
  <si>
    <t xml:space="preserve">Count or list</t>
  </si>
  <si>
    <t xml:space="preserve">Valid from</t>
  </si>
  <si>
    <t xml:space="preserve">Start date</t>
  </si>
  <si>
    <t xml:space="preserve">Date</t>
  </si>
  <si>
    <t xml:space="preserve">Valid to</t>
  </si>
  <si>
    <t xml:space="preserve">Expiry date</t>
  </si>
  <si>
    <t xml:space="preserve">Approver</t>
  </si>
  <si>
    <t xml:space="preserve">Who approved</t>
  </si>
  <si>
    <t xml:space="preserve">Control tested effective?</t>
  </si>
  <si>
    <t xml:space="preserve">Result from W10</t>
  </si>
  <si>
    <t xml:space="preserve">Y / N / Pending</t>
  </si>
  <si>
    <t xml:space="preserve">Ruleset_Version</t>
  </si>
  <si>
    <t xml:space="preserve">Version</t>
  </si>
  <si>
    <t xml:space="preserve">Ruleset version</t>
  </si>
  <si>
    <t xml:space="preserve">e.g. 1.0</t>
  </si>
  <si>
    <t xml:space="preserve">Source</t>
  </si>
  <si>
    <t xml:space="preserve">Where the ruleset came from</t>
  </si>
  <si>
    <t xml:space="preserve">GRC ARA export / manual / TIB baseline</t>
  </si>
  <si>
    <t xml:space="preserve">Approved by</t>
  </si>
  <si>
    <t xml:space="preserve">Business approver</t>
  </si>
  <si>
    <t xml:space="preserve">Approval date</t>
  </si>
  <si>
    <t xml:space="preserve">Date approved</t>
  </si>
  <si>
    <t xml:space="preserve">Custom Z-transactions included?</t>
  </si>
  <si>
    <t xml:space="preserve">Z-codes and Fiori equivalents covered</t>
  </si>
  <si>
    <t xml:space="preserve">Notes</t>
  </si>
  <si>
    <t xml:space="preserve">Anything relevant</t>
  </si>
  <si>
    <t xml:space="preserve">Version history</t>
  </si>
  <si>
    <t xml:space="preserve">0.1 — October 2026 — initial template (TIB Systems LLC)</t>
  </si>
  <si>
    <t xml:space="preserve">Cross-workbook links: keys from other workbooks are pasted as values into the Ref_ tabs, so this file works on its own and never breaks when files are moved.</t>
  </si>
  <si>
    <t xml:space="preserve">W06 — Functions</t>
  </si>
  <si>
    <t xml:space="preserve">Business functions and the transactions that perform them. Rows 5–6 are worked examples.</t>
  </si>
  <si>
    <t xml:space="preserve">FN-01</t>
  </si>
  <si>
    <t xml:space="preserve">Vendor master maintenance</t>
  </si>
  <si>
    <t xml:space="preserve">BP-P2P-01</t>
  </si>
  <si>
    <t xml:space="preserve">BP, XK01, XK02</t>
  </si>
  <si>
    <t xml:space="preserve">Create or change vendors and bank details</t>
  </si>
  <si>
    <t xml:space="preserve">FN-02</t>
  </si>
  <si>
    <t xml:space="preserve">Payment run</t>
  </si>
  <si>
    <t xml:space="preserve">BP-P2P-03</t>
  </si>
  <si>
    <t xml:space="preserve">F110</t>
  </si>
  <si>
    <t xml:space="preserve">Execute the automatic payment program</t>
  </si>
  <si>
    <t xml:space="preserve">W06 — Function Permissions</t>
  </si>
  <si>
    <t xml:space="preserve">Authorisation objects, fields and values behind each function (permission level).</t>
  </si>
  <si>
    <t xml:space="preserve">AU-01</t>
  </si>
  <si>
    <t xml:space="preserve">XK02</t>
  </si>
  <si>
    <t xml:space="preserve">F_LFA1_BUK</t>
  </si>
  <si>
    <t xml:space="preserve">ACTVT</t>
  </si>
  <si>
    <t xml:space="preserve">01, 02</t>
  </si>
  <si>
    <t xml:space="preserve">W06 — SoD Rules</t>
  </si>
  <si>
    <t xml:space="preserve">One row per conflicting function pair, linked to a W04 risk.</t>
  </si>
  <si>
    <t xml:space="preserve">SOD-001</t>
  </si>
  <si>
    <t xml:space="preserve">A user can create a vendor and pay it, enabling fictitious vendor payments</t>
  </si>
  <si>
    <t xml:space="preserve">R-P2P-001</t>
  </si>
  <si>
    <t xml:space="preserve">Critical</t>
  </si>
  <si>
    <t xml:space="preserve">Permission level</t>
  </si>
  <si>
    <t xml:space="preserve">Cross-org</t>
  </si>
  <si>
    <t xml:space="preserve">None</t>
  </si>
  <si>
    <t xml:space="preserve">Head of AP</t>
  </si>
  <si>
    <t xml:space="preserve">Y</t>
  </si>
  <si>
    <t xml:space="preserve">W06 — Sensitive Access</t>
  </si>
  <si>
    <t xml:space="preserve">Access that is risky on its own.</t>
  </si>
  <si>
    <t xml:space="preserve">SENS-004</t>
  </si>
  <si>
    <t xml:space="preserve">S_TABU_DIS ACTVT 02 with SE16N</t>
  </si>
  <si>
    <t xml:space="preserve">Direct table changes bypass application controls</t>
  </si>
  <si>
    <t xml:space="preserve">R-TECH-003</t>
  </si>
  <si>
    <t xml:space="preserve">Firefighter IDs only</t>
  </si>
  <si>
    <t xml:space="preserve">C-ITGC-AC-004</t>
  </si>
  <si>
    <t xml:space="preserve">W06 — Mitigations</t>
  </si>
  <si>
    <t xml:space="preserve">Approved mitigating controls for accepted conflicts.</t>
  </si>
  <si>
    <t xml:space="preserve">MIT-01</t>
  </si>
  <si>
    <t xml:space="preserve">C-BPC-P2P-004</t>
  </si>
  <si>
    <t xml:space="preserve">11</t>
  </si>
  <si>
    <t xml:space="preserve">Pending</t>
  </si>
  <si>
    <t xml:space="preserve">W06 — Ruleset Version</t>
  </si>
  <si>
    <t xml:space="preserve">Version control for the ruleset.</t>
  </si>
  <si>
    <t xml:space="preserve">1.0</t>
  </si>
  <si>
    <t xml:space="preserve">TIB baseline ruleset</t>
  </si>
  <si>
    <t xml:space="preserve">Baseline plus ABC custom Z-transactions</t>
  </si>
  <si>
    <t xml:space="preserve">RISK-ID (paste from W04)</t>
  </si>
  <si>
    <t xml:space="preserve">Risk category (from W04)</t>
  </si>
  <si>
    <t xml:space="preserve">SoD</t>
  </si>
  <si>
    <t xml:space="preserve">R-P2P-002</t>
  </si>
  <si>
    <t xml:space="preserve">ITAC</t>
  </si>
  <si>
    <t xml:space="preserve">R-R2R-001</t>
  </si>
  <si>
    <t xml:space="preserve">R-O2C-002</t>
  </si>
  <si>
    <t xml:space="preserve">ITGC-PC</t>
  </si>
  <si>
    <t xml:space="preserve">R-TECH-005</t>
  </si>
  <si>
    <t xml:space="preserve">ITGC-APD</t>
  </si>
  <si>
    <t xml:space="preserve">CTRL-IDs (paste from W05 Control_Register)</t>
  </si>
  <si>
    <t xml:space="preserve">C-ITGC-SOD-001</t>
  </si>
  <si>
    <t xml:space="preserve">C-BPC-R2R-002</t>
  </si>
  <si>
    <t xml:space="preserve">YN</t>
  </si>
  <si>
    <t xml:space="preserve">YNP</t>
  </si>
  <si>
    <t xml:space="preserve">RLev</t>
  </si>
  <si>
    <t xml:space="preserve">RuleLev</t>
  </si>
  <si>
    <t xml:space="preserve">Org</t>
  </si>
  <si>
    <t xml:space="preserve">RSrc</t>
  </si>
  <si>
    <t xml:space="preserve">Transaction level</t>
  </si>
  <si>
    <t xml:space="preserve">GRC ARA export</t>
  </si>
  <si>
    <t xml:space="preserve">N</t>
  </si>
  <si>
    <t xml:space="preserve">High</t>
  </si>
  <si>
    <t xml:space="preserve">Same org</t>
  </si>
  <si>
    <t xml:space="preserve">Manual (client matrix)</t>
  </si>
  <si>
    <t xml:space="preserve">Medium</t>
  </si>
  <si>
    <t xml:space="preserve">W06 — Completion checks</t>
  </si>
  <si>
    <t xml:space="preserve">All checks are formulas. A workbook passes its gate when every status reads PASS (INFO rows are counts for your information).</t>
  </si>
  <si>
    <t xml:space="preserve">Overall</t>
  </si>
  <si>
    <t xml:space="preserve">Check</t>
  </si>
  <si>
    <t xml:space="preserve">Count</t>
  </si>
  <si>
    <t xml:space="preserve">Status</t>
  </si>
  <si>
    <t xml:space="preserve">What to do if REVIEW</t>
  </si>
  <si>
    <t xml:space="preserve">Functions defined</t>
  </si>
  <si>
    <t xml:space="preserve">Define the business functions first.</t>
  </si>
  <si>
    <t xml:space="preserve">Duplicate SOD-IDs</t>
  </si>
  <si>
    <t xml:space="preserve">Keys must be unique.</t>
  </si>
  <si>
    <t xml:space="preserve">Duplicate Function IDs</t>
  </si>
  <si>
    <t xml:space="preserve">Function rows needing attention</t>
  </si>
  <si>
    <t xml:space="preserve">Read the Row check column.</t>
  </si>
  <si>
    <t xml:space="preserve">Permission rows needing attention</t>
  </si>
  <si>
    <t xml:space="preserve">SoD rule rows needing attention</t>
  </si>
  <si>
    <t xml:space="preserve">Sensitive-access rows needing attention</t>
  </si>
  <si>
    <t xml:space="preserve">Mitigation rows needing attention</t>
  </si>
  <si>
    <t xml:space="preserve">W04 SoD risks with NO rule</t>
  </si>
  <si>
    <t xml:space="preserve">Every SoD risk needs at least one rule to be testable.</t>
  </si>
  <si>
    <t xml:space="preserve">Critical rules with no mitigation recorded (must be removed, not mitigated)</t>
  </si>
  <si>
    <t xml:space="preserve">INFO</t>
  </si>
  <si>
    <t xml:space="preserve">Critical conflicts with None must have zero holders at test time.</t>
  </si>
  <si>
    <t xml:space="preserve">Rules at permission level</t>
  </si>
  <si>
    <t xml:space="preserve">Prefer permission level to avoid false positives.</t>
  </si>
  <si>
    <t xml:space="preserve">Ruleset versions approved</t>
  </si>
  <si>
    <t xml:space="preserve">Have the rule owner approve a version.</t>
  </si>
  <si>
    <t xml:space="preserve">Ruleset includes custom Z-transactions</t>
  </si>
  <si>
    <t xml:space="preserve">Custom transactions are the most common ruleset gap.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</si>
</sst>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yy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0E7C86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1"/>
      <color rgb="FF0E7C86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i val="true"/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E7C8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5B6B82"/>
        <bgColor rgb="FF555555"/>
      </patternFill>
    </fill>
    <fill>
      <patternFill patternType="solid">
        <fgColor rgb="FFFFF2CC"/>
        <bgColor rgb="FFEDEFF3"/>
      </patternFill>
    </fill>
    <fill>
      <patternFill patternType="solid">
        <fgColor rgb="FFEDEFF3"/>
        <bgColor rgb="FFFFFFFF"/>
      </patternFill>
    </fill>
    <fill>
      <patternFill patternType="solid">
        <fgColor rgb="FF0E7C86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7D5"/>
      </left>
      <right style="thin">
        <color rgb="FFBFC7D5"/>
      </right>
      <top style="thin">
        <color rgb="FFBFC7D5"/>
      </top>
      <bottom style="thin">
        <color rgb="FFBFC7D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B6B82"/>
          <bgColor rgb="FF000000"/>
        </patternFill>
      </fill>
    </dxf>
    <dxf>
      <fill>
        <patternFill patternType="solid">
          <fgColor rgb="FFEDEFF3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86"/>
      <rgbColor rgb="FFBFC7D5"/>
      <rgbColor rgb="FF808080"/>
      <rgbColor rgb="FF9999FF"/>
      <rgbColor rgb="FF993366"/>
      <rgbColor rgb="FFFFF2CC"/>
      <rgbColor rgb="FFEDEF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82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60"/>
    <col collapsed="false" customWidth="true" hidden="false" outlineLevel="0" max="4" min="4" style="0" width="44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1" t="s">
        <v>0</v>
      </c>
    </row>
    <row r="2" customFormat="false" ht="19.7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30" hidden="false" customHeight="true" outlineLevel="0" collapsed="false">
      <c r="A5" s="4" t="s">
        <v>3</v>
      </c>
      <c r="B5" s="4"/>
      <c r="C5" s="4"/>
      <c r="D5" s="4"/>
    </row>
    <row r="7" customFormat="false" ht="15" hidden="false" customHeight="false" outlineLevel="0" collapsed="false">
      <c r="A7" s="3" t="s">
        <v>4</v>
      </c>
    </row>
    <row r="8" customFormat="false" ht="15" hidden="false" customHeight="true" outlineLevel="0" collapsed="false">
      <c r="A8" s="4" t="s">
        <v>5</v>
      </c>
      <c r="B8" s="4"/>
      <c r="C8" s="4"/>
      <c r="D8" s="4"/>
    </row>
    <row r="9" customFormat="false" ht="15" hidden="false" customHeight="true" outlineLevel="0" collapsed="false">
      <c r="A9" s="4" t="s">
        <v>6</v>
      </c>
      <c r="B9" s="4"/>
      <c r="C9" s="4"/>
      <c r="D9" s="4"/>
    </row>
    <row r="10" customFormat="false" ht="30" hidden="false" customHeight="true" outlineLevel="0" collapsed="false">
      <c r="A10" s="4" t="s">
        <v>7</v>
      </c>
      <c r="B10" s="4"/>
      <c r="C10" s="4"/>
      <c r="D10" s="4"/>
    </row>
    <row r="11" customFormat="false" ht="15" hidden="false" customHeight="true" outlineLevel="0" collapsed="false">
      <c r="A11" s="4" t="s">
        <v>8</v>
      </c>
      <c r="B11" s="4"/>
      <c r="C11" s="4"/>
      <c r="D11" s="4"/>
    </row>
    <row r="12" customFormat="false" ht="15" hidden="false" customHeight="true" outlineLevel="0" collapsed="false">
      <c r="A12" s="4" t="s">
        <v>9</v>
      </c>
      <c r="B12" s="4"/>
      <c r="C12" s="4"/>
      <c r="D12" s="4"/>
    </row>
    <row r="14" customFormat="false" ht="15" hidden="false" customHeight="false" outlineLevel="0" collapsed="false">
      <c r="A14" s="3" t="s">
        <v>10</v>
      </c>
    </row>
    <row r="15" customFormat="false" ht="30" hidden="false" customHeight="true" outlineLevel="0" collapsed="false">
      <c r="A15" s="4" t="s">
        <v>11</v>
      </c>
      <c r="B15" s="4"/>
      <c r="C15" s="4"/>
      <c r="D15" s="4"/>
    </row>
    <row r="17" customFormat="false" ht="15" hidden="false" customHeight="false" outlineLevel="0" collapsed="false">
      <c r="A17" s="3" t="s">
        <v>12</v>
      </c>
    </row>
    <row r="18" customFormat="false" ht="15" hidden="false" customHeight="true" outlineLevel="0" collapsed="false">
      <c r="A18" s="4" t="s">
        <v>13</v>
      </c>
      <c r="B18" s="4"/>
      <c r="C18" s="4"/>
      <c r="D18" s="4"/>
    </row>
    <row r="19" customFormat="false" ht="15" hidden="false" customHeight="true" outlineLevel="0" collapsed="false">
      <c r="A19" s="4" t="s">
        <v>14</v>
      </c>
      <c r="B19" s="4"/>
      <c r="C19" s="4"/>
      <c r="D19" s="4"/>
    </row>
    <row r="20" customFormat="false" ht="15" hidden="false" customHeight="true" outlineLevel="0" collapsed="false">
      <c r="A20" s="4" t="s">
        <v>15</v>
      </c>
      <c r="B20" s="4"/>
      <c r="C20" s="4"/>
      <c r="D20" s="4"/>
    </row>
    <row r="21" customFormat="false" ht="15" hidden="false" customHeight="true" outlineLevel="0" collapsed="false">
      <c r="A21" s="4" t="s">
        <v>16</v>
      </c>
      <c r="B21" s="4"/>
      <c r="C21" s="4"/>
      <c r="D21" s="4"/>
    </row>
    <row r="23" customFormat="false" ht="15" hidden="false" customHeight="false" outlineLevel="0" collapsed="false">
      <c r="A23" s="3" t="s">
        <v>17</v>
      </c>
    </row>
    <row r="24" customFormat="false" ht="15" hidden="false" customHeight="true" outlineLevel="0" collapsed="false">
      <c r="A24" s="4" t="s">
        <v>18</v>
      </c>
      <c r="B24" s="4"/>
      <c r="C24" s="4"/>
      <c r="D24" s="4"/>
    </row>
    <row r="26" customFormat="false" ht="15" hidden="false" customHeight="false" outlineLevel="0" collapsed="false">
      <c r="A26" s="3" t="s">
        <v>19</v>
      </c>
    </row>
    <row r="27" customFormat="false" ht="15" hidden="false" customHeight="false" outlineLevel="0" collapsed="false">
      <c r="A27" s="5" t="s">
        <v>20</v>
      </c>
      <c r="B27" s="5" t="s">
        <v>21</v>
      </c>
      <c r="C27" s="5" t="s">
        <v>22</v>
      </c>
      <c r="D27" s="5" t="s">
        <v>23</v>
      </c>
      <c r="E27" s="5" t="s">
        <v>24</v>
      </c>
    </row>
    <row r="28" customFormat="false" ht="15" hidden="false" customHeight="false" outlineLevel="0" collapsed="false">
      <c r="A28" s="6" t="s">
        <v>25</v>
      </c>
      <c r="B28" s="6" t="s">
        <v>26</v>
      </c>
      <c r="C28" s="6" t="s">
        <v>27</v>
      </c>
      <c r="D28" s="6" t="s">
        <v>28</v>
      </c>
      <c r="E28" s="6" t="s">
        <v>29</v>
      </c>
    </row>
    <row r="29" customFormat="false" ht="15" hidden="false" customHeight="false" outlineLevel="0" collapsed="false">
      <c r="A29" s="6" t="s">
        <v>25</v>
      </c>
      <c r="B29" s="6" t="s">
        <v>30</v>
      </c>
      <c r="C29" s="6" t="s">
        <v>31</v>
      </c>
      <c r="D29" s="6" t="s">
        <v>32</v>
      </c>
      <c r="E29" s="6" t="s">
        <v>29</v>
      </c>
    </row>
    <row r="30" customFormat="false" ht="15" hidden="false" customHeight="false" outlineLevel="0" collapsed="false">
      <c r="A30" s="6" t="s">
        <v>25</v>
      </c>
      <c r="B30" s="6" t="s">
        <v>33</v>
      </c>
      <c r="C30" s="6" t="s">
        <v>34</v>
      </c>
      <c r="D30" s="6" t="s">
        <v>35</v>
      </c>
      <c r="E30" s="6" t="s">
        <v>29</v>
      </c>
    </row>
    <row r="31" customFormat="false" ht="15" hidden="false" customHeight="false" outlineLevel="0" collapsed="false">
      <c r="A31" s="6" t="s">
        <v>25</v>
      </c>
      <c r="B31" s="6" t="s">
        <v>36</v>
      </c>
      <c r="C31" s="6" t="s">
        <v>37</v>
      </c>
      <c r="D31" s="6" t="s">
        <v>38</v>
      </c>
      <c r="E31" s="6" t="s">
        <v>29</v>
      </c>
    </row>
    <row r="32" customFormat="false" ht="15" hidden="false" customHeight="false" outlineLevel="0" collapsed="false">
      <c r="A32" s="6" t="s">
        <v>25</v>
      </c>
      <c r="B32" s="6" t="s">
        <v>39</v>
      </c>
      <c r="C32" s="6" t="s">
        <v>40</v>
      </c>
      <c r="D32" s="6" t="s">
        <v>41</v>
      </c>
      <c r="E32" s="6" t="s">
        <v>29</v>
      </c>
    </row>
    <row r="33" customFormat="false" ht="15" hidden="false" customHeight="false" outlineLevel="0" collapsed="false">
      <c r="A33" s="6" t="s">
        <v>25</v>
      </c>
      <c r="B33" s="6" t="s">
        <v>42</v>
      </c>
      <c r="C33" s="6" t="s">
        <v>43</v>
      </c>
      <c r="D33" s="6" t="s">
        <v>44</v>
      </c>
      <c r="E33" s="6" t="s">
        <v>29</v>
      </c>
    </row>
    <row r="34" customFormat="false" ht="15" hidden="false" customHeight="false" outlineLevel="0" collapsed="false">
      <c r="A34" s="6" t="s">
        <v>25</v>
      </c>
      <c r="B34" s="6" t="s">
        <v>45</v>
      </c>
      <c r="C34" s="6" t="s">
        <v>46</v>
      </c>
      <c r="D34" s="6" t="s">
        <v>47</v>
      </c>
      <c r="E34" s="6" t="s">
        <v>47</v>
      </c>
    </row>
    <row r="35" customFormat="false" ht="15" hidden="false" customHeight="false" outlineLevel="0" collapsed="false">
      <c r="A35" s="6" t="s">
        <v>48</v>
      </c>
      <c r="B35" s="6" t="s">
        <v>49</v>
      </c>
      <c r="C35" s="6" t="s">
        <v>27</v>
      </c>
      <c r="D35" s="6" t="s">
        <v>50</v>
      </c>
      <c r="E35" s="6" t="s">
        <v>29</v>
      </c>
    </row>
    <row r="36" customFormat="false" ht="15" hidden="false" customHeight="false" outlineLevel="0" collapsed="false">
      <c r="A36" s="6" t="s">
        <v>48</v>
      </c>
      <c r="B36" s="6" t="s">
        <v>26</v>
      </c>
      <c r="C36" s="6" t="s">
        <v>51</v>
      </c>
      <c r="D36" s="6" t="s">
        <v>52</v>
      </c>
      <c r="E36" s="6" t="s">
        <v>29</v>
      </c>
    </row>
    <row r="37" customFormat="false" ht="15" hidden="false" customHeight="false" outlineLevel="0" collapsed="false">
      <c r="A37" s="6" t="s">
        <v>48</v>
      </c>
      <c r="B37" s="6" t="s">
        <v>53</v>
      </c>
      <c r="C37" s="6" t="s">
        <v>30</v>
      </c>
      <c r="D37" s="6" t="s">
        <v>47</v>
      </c>
      <c r="E37" s="6" t="s">
        <v>47</v>
      </c>
    </row>
    <row r="38" customFormat="false" ht="15" hidden="false" customHeight="false" outlineLevel="0" collapsed="false">
      <c r="A38" s="6" t="s">
        <v>48</v>
      </c>
      <c r="B38" s="6" t="s">
        <v>54</v>
      </c>
      <c r="C38" s="6" t="s">
        <v>55</v>
      </c>
      <c r="D38" s="6" t="s">
        <v>56</v>
      </c>
      <c r="E38" s="6" t="s">
        <v>29</v>
      </c>
    </row>
    <row r="39" customFormat="false" ht="15" hidden="false" customHeight="false" outlineLevel="0" collapsed="false">
      <c r="A39" s="6" t="s">
        <v>48</v>
      </c>
      <c r="B39" s="6" t="s">
        <v>57</v>
      </c>
      <c r="C39" s="6" t="s">
        <v>58</v>
      </c>
      <c r="D39" s="6" t="s">
        <v>59</v>
      </c>
      <c r="E39" s="6" t="s">
        <v>29</v>
      </c>
    </row>
    <row r="40" customFormat="false" ht="15" hidden="false" customHeight="false" outlineLevel="0" collapsed="false">
      <c r="A40" s="6" t="s">
        <v>48</v>
      </c>
      <c r="B40" s="6" t="s">
        <v>21</v>
      </c>
      <c r="C40" s="6" t="s">
        <v>21</v>
      </c>
      <c r="D40" s="6" t="s">
        <v>60</v>
      </c>
      <c r="E40" s="6" t="s">
        <v>29</v>
      </c>
    </row>
    <row r="41" customFormat="false" ht="15" hidden="false" customHeight="false" outlineLevel="0" collapsed="false">
      <c r="A41" s="6" t="s">
        <v>48</v>
      </c>
      <c r="B41" s="6" t="s">
        <v>61</v>
      </c>
      <c r="C41" s="6" t="s">
        <v>62</v>
      </c>
      <c r="D41" s="6" t="s">
        <v>63</v>
      </c>
      <c r="E41" s="6" t="s">
        <v>29</v>
      </c>
    </row>
    <row r="42" customFormat="false" ht="15" hidden="false" customHeight="false" outlineLevel="0" collapsed="false">
      <c r="A42" s="6" t="s">
        <v>48</v>
      </c>
      <c r="B42" s="6" t="s">
        <v>45</v>
      </c>
      <c r="C42" s="6" t="s">
        <v>46</v>
      </c>
      <c r="D42" s="6" t="s">
        <v>47</v>
      </c>
      <c r="E42" s="6" t="s">
        <v>47</v>
      </c>
    </row>
    <row r="43" customFormat="false" ht="15" hidden="false" customHeight="false" outlineLevel="0" collapsed="false">
      <c r="A43" s="6" t="s">
        <v>64</v>
      </c>
      <c r="B43" s="6" t="s">
        <v>65</v>
      </c>
      <c r="C43" s="6" t="s">
        <v>27</v>
      </c>
      <c r="D43" s="6" t="s">
        <v>66</v>
      </c>
      <c r="E43" s="6" t="s">
        <v>29</v>
      </c>
    </row>
    <row r="44" customFormat="false" ht="15" hidden="false" customHeight="false" outlineLevel="0" collapsed="false">
      <c r="A44" s="6" t="s">
        <v>64</v>
      </c>
      <c r="B44" s="6" t="s">
        <v>67</v>
      </c>
      <c r="C44" s="6" t="s">
        <v>68</v>
      </c>
      <c r="D44" s="6" t="s">
        <v>52</v>
      </c>
      <c r="E44" s="6" t="s">
        <v>29</v>
      </c>
    </row>
    <row r="45" customFormat="false" ht="15" hidden="false" customHeight="false" outlineLevel="0" collapsed="false">
      <c r="A45" s="6" t="s">
        <v>64</v>
      </c>
      <c r="B45" s="6" t="s">
        <v>69</v>
      </c>
      <c r="C45" s="6" t="s">
        <v>70</v>
      </c>
      <c r="D45" s="6" t="s">
        <v>52</v>
      </c>
      <c r="E45" s="6" t="s">
        <v>29</v>
      </c>
    </row>
    <row r="46" customFormat="false" ht="15" hidden="false" customHeight="false" outlineLevel="0" collapsed="false">
      <c r="A46" s="6" t="s">
        <v>64</v>
      </c>
      <c r="B46" s="6" t="s">
        <v>71</v>
      </c>
      <c r="C46" s="6" t="s">
        <v>72</v>
      </c>
      <c r="D46" s="6" t="s">
        <v>47</v>
      </c>
      <c r="E46" s="6" t="s">
        <v>47</v>
      </c>
    </row>
    <row r="47" customFormat="false" ht="15" hidden="false" customHeight="false" outlineLevel="0" collapsed="false">
      <c r="A47" s="6" t="s">
        <v>64</v>
      </c>
      <c r="B47" s="6" t="s">
        <v>73</v>
      </c>
      <c r="C47" s="6" t="s">
        <v>72</v>
      </c>
      <c r="D47" s="6" t="s">
        <v>47</v>
      </c>
      <c r="E47" s="6" t="s">
        <v>47</v>
      </c>
    </row>
    <row r="48" customFormat="false" ht="15" hidden="false" customHeight="false" outlineLevel="0" collapsed="false">
      <c r="A48" s="6" t="s">
        <v>64</v>
      </c>
      <c r="B48" s="6" t="s">
        <v>74</v>
      </c>
      <c r="C48" s="6" t="s">
        <v>75</v>
      </c>
      <c r="D48" s="6" t="s">
        <v>76</v>
      </c>
      <c r="E48" s="6" t="s">
        <v>29</v>
      </c>
    </row>
    <row r="49" customFormat="false" ht="15" hidden="false" customHeight="false" outlineLevel="0" collapsed="false">
      <c r="A49" s="6" t="s">
        <v>64</v>
      </c>
      <c r="B49" s="6" t="s">
        <v>77</v>
      </c>
      <c r="C49" s="6" t="s">
        <v>78</v>
      </c>
      <c r="D49" s="6" t="s">
        <v>79</v>
      </c>
      <c r="E49" s="6" t="s">
        <v>29</v>
      </c>
    </row>
    <row r="50" customFormat="false" ht="15" hidden="false" customHeight="false" outlineLevel="0" collapsed="false">
      <c r="A50" s="6" t="s">
        <v>64</v>
      </c>
      <c r="B50" s="6" t="s">
        <v>33</v>
      </c>
      <c r="C50" s="6" t="s">
        <v>80</v>
      </c>
      <c r="D50" s="6" t="s">
        <v>35</v>
      </c>
      <c r="E50" s="6" t="s">
        <v>29</v>
      </c>
    </row>
    <row r="51" customFormat="false" ht="15" hidden="false" customHeight="false" outlineLevel="0" collapsed="false">
      <c r="A51" s="6" t="s">
        <v>64</v>
      </c>
      <c r="B51" s="6" t="s">
        <v>81</v>
      </c>
      <c r="C51" s="6" t="s">
        <v>82</v>
      </c>
      <c r="D51" s="6" t="s">
        <v>83</v>
      </c>
      <c r="E51" s="6" t="s">
        <v>29</v>
      </c>
    </row>
    <row r="52" customFormat="false" ht="15" hidden="false" customHeight="false" outlineLevel="0" collapsed="false">
      <c r="A52" s="6" t="s">
        <v>64</v>
      </c>
      <c r="B52" s="6" t="s">
        <v>84</v>
      </c>
      <c r="C52" s="6" t="s">
        <v>85</v>
      </c>
      <c r="D52" s="6" t="s">
        <v>86</v>
      </c>
      <c r="E52" s="6" t="s">
        <v>29</v>
      </c>
    </row>
    <row r="53" customFormat="false" ht="15" hidden="false" customHeight="false" outlineLevel="0" collapsed="false">
      <c r="A53" s="6" t="s">
        <v>64</v>
      </c>
      <c r="B53" s="6" t="s">
        <v>87</v>
      </c>
      <c r="C53" s="6" t="s">
        <v>88</v>
      </c>
      <c r="D53" s="6" t="s">
        <v>89</v>
      </c>
      <c r="E53" s="6" t="s">
        <v>29</v>
      </c>
    </row>
    <row r="54" customFormat="false" ht="15" hidden="false" customHeight="false" outlineLevel="0" collapsed="false">
      <c r="A54" s="6" t="s">
        <v>64</v>
      </c>
      <c r="B54" s="6" t="s">
        <v>90</v>
      </c>
      <c r="C54" s="6" t="s">
        <v>91</v>
      </c>
      <c r="D54" s="6" t="s">
        <v>92</v>
      </c>
      <c r="E54" s="6" t="s">
        <v>29</v>
      </c>
    </row>
    <row r="55" customFormat="false" ht="15" hidden="false" customHeight="false" outlineLevel="0" collapsed="false">
      <c r="A55" s="6" t="s">
        <v>64</v>
      </c>
      <c r="B55" s="6" t="s">
        <v>93</v>
      </c>
      <c r="C55" s="6" t="s">
        <v>94</v>
      </c>
      <c r="D55" s="6" t="s">
        <v>95</v>
      </c>
      <c r="E55" s="6" t="s">
        <v>29</v>
      </c>
    </row>
    <row r="56" customFormat="false" ht="15" hidden="false" customHeight="false" outlineLevel="0" collapsed="false">
      <c r="A56" s="6" t="s">
        <v>64</v>
      </c>
      <c r="B56" s="6" t="s">
        <v>96</v>
      </c>
      <c r="C56" s="6" t="s">
        <v>97</v>
      </c>
      <c r="D56" s="6" t="s">
        <v>98</v>
      </c>
      <c r="E56" s="6" t="s">
        <v>29</v>
      </c>
    </row>
    <row r="57" customFormat="false" ht="15" hidden="false" customHeight="false" outlineLevel="0" collapsed="false">
      <c r="A57" s="6" t="s">
        <v>64</v>
      </c>
      <c r="B57" s="6" t="s">
        <v>45</v>
      </c>
      <c r="C57" s="6" t="s">
        <v>46</v>
      </c>
      <c r="D57" s="6" t="s">
        <v>47</v>
      </c>
      <c r="E57" s="6" t="s">
        <v>47</v>
      </c>
    </row>
    <row r="58" customFormat="false" ht="15" hidden="false" customHeight="false" outlineLevel="0" collapsed="false">
      <c r="A58" s="6" t="s">
        <v>99</v>
      </c>
      <c r="B58" s="6" t="s">
        <v>100</v>
      </c>
      <c r="C58" s="6" t="s">
        <v>27</v>
      </c>
      <c r="D58" s="6" t="s">
        <v>101</v>
      </c>
      <c r="E58" s="6" t="s">
        <v>29</v>
      </c>
    </row>
    <row r="59" customFormat="false" ht="15" hidden="false" customHeight="false" outlineLevel="0" collapsed="false">
      <c r="A59" s="6" t="s">
        <v>99</v>
      </c>
      <c r="B59" s="6" t="s">
        <v>102</v>
      </c>
      <c r="C59" s="6" t="s">
        <v>103</v>
      </c>
      <c r="D59" s="6" t="s">
        <v>104</v>
      </c>
      <c r="E59" s="6" t="s">
        <v>29</v>
      </c>
    </row>
    <row r="60" customFormat="false" ht="15" hidden="false" customHeight="false" outlineLevel="0" collapsed="false">
      <c r="A60" s="6" t="s">
        <v>99</v>
      </c>
      <c r="B60" s="6" t="s">
        <v>105</v>
      </c>
      <c r="C60" s="6" t="s">
        <v>106</v>
      </c>
      <c r="D60" s="6" t="s">
        <v>44</v>
      </c>
      <c r="E60" s="6" t="s">
        <v>29</v>
      </c>
    </row>
    <row r="61" customFormat="false" ht="15" hidden="false" customHeight="false" outlineLevel="0" collapsed="false">
      <c r="A61" s="6" t="s">
        <v>99</v>
      </c>
      <c r="B61" s="6" t="s">
        <v>77</v>
      </c>
      <c r="C61" s="6" t="s">
        <v>107</v>
      </c>
      <c r="D61" s="6" t="s">
        <v>108</v>
      </c>
      <c r="E61" s="6" t="s">
        <v>29</v>
      </c>
    </row>
    <row r="62" customFormat="false" ht="15" hidden="false" customHeight="false" outlineLevel="0" collapsed="false">
      <c r="A62" s="6" t="s">
        <v>99</v>
      </c>
      <c r="B62" s="6" t="s">
        <v>109</v>
      </c>
      <c r="C62" s="6" t="s">
        <v>110</v>
      </c>
      <c r="D62" s="6" t="s">
        <v>111</v>
      </c>
      <c r="E62" s="6" t="s">
        <v>29</v>
      </c>
    </row>
    <row r="63" customFormat="false" ht="15" hidden="false" customHeight="false" outlineLevel="0" collapsed="false">
      <c r="A63" s="6" t="s">
        <v>99</v>
      </c>
      <c r="B63" s="6" t="s">
        <v>112</v>
      </c>
      <c r="C63" s="6" t="s">
        <v>113</v>
      </c>
      <c r="D63" s="6" t="s">
        <v>114</v>
      </c>
      <c r="E63" s="6" t="s">
        <v>29</v>
      </c>
    </row>
    <row r="64" customFormat="false" ht="15" hidden="false" customHeight="false" outlineLevel="0" collapsed="false">
      <c r="A64" s="6" t="s">
        <v>99</v>
      </c>
      <c r="B64" s="6" t="s">
        <v>45</v>
      </c>
      <c r="C64" s="6" t="s">
        <v>46</v>
      </c>
      <c r="D64" s="6" t="s">
        <v>47</v>
      </c>
      <c r="E64" s="6" t="s">
        <v>47</v>
      </c>
    </row>
    <row r="65" customFormat="false" ht="15" hidden="false" customHeight="false" outlineLevel="0" collapsed="false">
      <c r="A65" s="6" t="s">
        <v>115</v>
      </c>
      <c r="B65" s="6" t="s">
        <v>116</v>
      </c>
      <c r="C65" s="6" t="s">
        <v>27</v>
      </c>
      <c r="D65" s="6" t="s">
        <v>117</v>
      </c>
      <c r="E65" s="6" t="s">
        <v>29</v>
      </c>
    </row>
    <row r="66" customFormat="false" ht="15" hidden="false" customHeight="false" outlineLevel="0" collapsed="false">
      <c r="A66" s="6" t="s">
        <v>115</v>
      </c>
      <c r="B66" s="6" t="s">
        <v>90</v>
      </c>
      <c r="C66" s="6" t="s">
        <v>118</v>
      </c>
      <c r="D66" s="6" t="s">
        <v>119</v>
      </c>
      <c r="E66" s="6" t="s">
        <v>29</v>
      </c>
    </row>
    <row r="67" customFormat="false" ht="15" hidden="false" customHeight="false" outlineLevel="0" collapsed="false">
      <c r="A67" s="6" t="s">
        <v>115</v>
      </c>
      <c r="B67" s="6" t="s">
        <v>120</v>
      </c>
      <c r="C67" s="6" t="s">
        <v>121</v>
      </c>
      <c r="D67" s="6" t="s">
        <v>122</v>
      </c>
      <c r="E67" s="6" t="s">
        <v>29</v>
      </c>
    </row>
    <row r="68" customFormat="false" ht="15" hidden="false" customHeight="false" outlineLevel="0" collapsed="false">
      <c r="A68" s="6" t="s">
        <v>115</v>
      </c>
      <c r="B68" s="6" t="s">
        <v>123</v>
      </c>
      <c r="C68" s="6" t="s">
        <v>124</v>
      </c>
      <c r="D68" s="6" t="s">
        <v>125</v>
      </c>
      <c r="E68" s="6" t="s">
        <v>29</v>
      </c>
    </row>
    <row r="69" customFormat="false" ht="15" hidden="false" customHeight="false" outlineLevel="0" collapsed="false">
      <c r="A69" s="6" t="s">
        <v>115</v>
      </c>
      <c r="B69" s="6" t="s">
        <v>126</v>
      </c>
      <c r="C69" s="6" t="s">
        <v>127</v>
      </c>
      <c r="D69" s="6" t="s">
        <v>128</v>
      </c>
      <c r="E69" s="6" t="s">
        <v>29</v>
      </c>
    </row>
    <row r="70" customFormat="false" ht="15" hidden="false" customHeight="false" outlineLevel="0" collapsed="false">
      <c r="A70" s="6" t="s">
        <v>115</v>
      </c>
      <c r="B70" s="6" t="s">
        <v>129</v>
      </c>
      <c r="C70" s="6" t="s">
        <v>130</v>
      </c>
      <c r="D70" s="6" t="s">
        <v>128</v>
      </c>
      <c r="E70" s="6" t="s">
        <v>29</v>
      </c>
    </row>
    <row r="71" customFormat="false" ht="15" hidden="false" customHeight="false" outlineLevel="0" collapsed="false">
      <c r="A71" s="6" t="s">
        <v>115</v>
      </c>
      <c r="B71" s="6" t="s">
        <v>131</v>
      </c>
      <c r="C71" s="6" t="s">
        <v>132</v>
      </c>
      <c r="D71" s="6" t="s">
        <v>95</v>
      </c>
      <c r="E71" s="6" t="s">
        <v>29</v>
      </c>
    </row>
    <row r="72" customFormat="false" ht="15" hidden="false" customHeight="false" outlineLevel="0" collapsed="false">
      <c r="A72" s="6" t="s">
        <v>115</v>
      </c>
      <c r="B72" s="6" t="s">
        <v>133</v>
      </c>
      <c r="C72" s="6" t="s">
        <v>134</v>
      </c>
      <c r="D72" s="6" t="s">
        <v>135</v>
      </c>
      <c r="E72" s="6" t="s">
        <v>29</v>
      </c>
    </row>
    <row r="73" customFormat="false" ht="15" hidden="false" customHeight="false" outlineLevel="0" collapsed="false">
      <c r="A73" s="6" t="s">
        <v>115</v>
      </c>
      <c r="B73" s="6" t="s">
        <v>45</v>
      </c>
      <c r="C73" s="6" t="s">
        <v>46</v>
      </c>
      <c r="D73" s="6" t="s">
        <v>47</v>
      </c>
      <c r="E73" s="6" t="s">
        <v>47</v>
      </c>
    </row>
    <row r="74" customFormat="false" ht="15" hidden="false" customHeight="false" outlineLevel="0" collapsed="false">
      <c r="A74" s="6" t="s">
        <v>136</v>
      </c>
      <c r="B74" s="6" t="s">
        <v>137</v>
      </c>
      <c r="C74" s="6" t="s">
        <v>138</v>
      </c>
      <c r="D74" s="6" t="s">
        <v>139</v>
      </c>
      <c r="E74" s="6" t="s">
        <v>29</v>
      </c>
    </row>
    <row r="75" customFormat="false" ht="15" hidden="false" customHeight="false" outlineLevel="0" collapsed="false">
      <c r="A75" s="6" t="s">
        <v>136</v>
      </c>
      <c r="B75" s="6" t="s">
        <v>140</v>
      </c>
      <c r="C75" s="6" t="s">
        <v>141</v>
      </c>
      <c r="D75" s="6" t="s">
        <v>142</v>
      </c>
      <c r="E75" s="6" t="s">
        <v>29</v>
      </c>
    </row>
    <row r="76" customFormat="false" ht="15" hidden="false" customHeight="false" outlineLevel="0" collapsed="false">
      <c r="A76" s="6" t="s">
        <v>136</v>
      </c>
      <c r="B76" s="6" t="s">
        <v>143</v>
      </c>
      <c r="C76" s="6" t="s">
        <v>144</v>
      </c>
      <c r="D76" s="6" t="s">
        <v>95</v>
      </c>
      <c r="E76" s="6" t="s">
        <v>29</v>
      </c>
    </row>
    <row r="77" customFormat="false" ht="15" hidden="false" customHeight="false" outlineLevel="0" collapsed="false">
      <c r="A77" s="6" t="s">
        <v>136</v>
      </c>
      <c r="B77" s="6" t="s">
        <v>145</v>
      </c>
      <c r="C77" s="6" t="s">
        <v>146</v>
      </c>
      <c r="D77" s="6" t="s">
        <v>128</v>
      </c>
      <c r="E77" s="6" t="s">
        <v>29</v>
      </c>
    </row>
    <row r="78" customFormat="false" ht="15" hidden="false" customHeight="false" outlineLevel="0" collapsed="false">
      <c r="A78" s="6" t="s">
        <v>136</v>
      </c>
      <c r="B78" s="6" t="s">
        <v>147</v>
      </c>
      <c r="C78" s="6" t="s">
        <v>148</v>
      </c>
      <c r="D78" s="6" t="s">
        <v>98</v>
      </c>
      <c r="E78" s="6" t="s">
        <v>29</v>
      </c>
    </row>
    <row r="79" customFormat="false" ht="15" hidden="false" customHeight="false" outlineLevel="0" collapsed="false">
      <c r="A79" s="6" t="s">
        <v>136</v>
      </c>
      <c r="B79" s="6" t="s">
        <v>149</v>
      </c>
      <c r="C79" s="6" t="s">
        <v>150</v>
      </c>
      <c r="D79" s="6" t="s">
        <v>44</v>
      </c>
      <c r="E79" s="6" t="s">
        <v>29</v>
      </c>
    </row>
    <row r="81" customFormat="false" ht="15" hidden="false" customHeight="false" outlineLevel="0" collapsed="false">
      <c r="A81" s="3" t="s">
        <v>151</v>
      </c>
    </row>
    <row r="82" customFormat="false" ht="15" hidden="false" customHeight="false" outlineLevel="0" collapsed="false">
      <c r="A82" s="7" t="s">
        <v>152</v>
      </c>
    </row>
    <row r="83" customFormat="false" ht="15" hidden="false" customHeight="false" outlineLevel="0" collapsed="false">
      <c r="A83" s="8" t="s">
        <v>153</v>
      </c>
    </row>
  </sheetData>
  <mergeCells count="12">
    <mergeCell ref="A5:D5"/>
    <mergeCell ref="A8:D8"/>
    <mergeCell ref="A9:D9"/>
    <mergeCell ref="A10:D10"/>
    <mergeCell ref="A11:D11"/>
    <mergeCell ref="A12:D12"/>
    <mergeCell ref="A15:D15"/>
    <mergeCell ref="A18:D18"/>
    <mergeCell ref="A19:D19"/>
    <mergeCell ref="A20:D20"/>
    <mergeCell ref="A21:D21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5" min="4" style="0" width="26"/>
    <col collapsed="false" customWidth="true" hidden="false" outlineLevel="0" max="6" min="6" style="0" width="34"/>
    <col collapsed="false" customWidth="true" hidden="false" outlineLevel="0" max="7" min="7" style="0" width="24"/>
  </cols>
  <sheetData>
    <row r="1" customFormat="false" ht="17.35" hidden="false" customHeight="false" outlineLevel="0" collapsed="false">
      <c r="A1" s="9" t="s">
        <v>154</v>
      </c>
    </row>
    <row r="2" customFormat="false" ht="15" hidden="false" customHeight="false" outlineLevel="0" collapsed="false">
      <c r="A2" s="10" t="s">
        <v>155</v>
      </c>
    </row>
    <row r="4" customFormat="false" ht="31.5" hidden="false" customHeight="true" outlineLevel="0" collapsed="false">
      <c r="A4" s="11" t="s">
        <v>26</v>
      </c>
      <c r="B4" s="11" t="s">
        <v>30</v>
      </c>
      <c r="C4" s="11" t="s">
        <v>33</v>
      </c>
      <c r="D4" s="11" t="s">
        <v>36</v>
      </c>
      <c r="E4" s="11" t="s">
        <v>39</v>
      </c>
      <c r="F4" s="11" t="s">
        <v>42</v>
      </c>
      <c r="G4" s="12" t="s">
        <v>45</v>
      </c>
    </row>
    <row r="5" customFormat="false" ht="23.85" hidden="false" customHeight="false" outlineLevel="0" collapsed="false">
      <c r="A5" s="13" t="s">
        <v>156</v>
      </c>
      <c r="B5" s="13" t="s">
        <v>157</v>
      </c>
      <c r="C5" s="13" t="s">
        <v>158</v>
      </c>
      <c r="D5" s="13" t="s">
        <v>159</v>
      </c>
      <c r="E5" s="13"/>
      <c r="F5" s="13" t="s">
        <v>160</v>
      </c>
      <c r="G5" s="14" t="str">
        <f aca="false">IF(A5="","",IF(OR(B5="",D5=""),"Name and transactions needed","OK"))</f>
        <v>OK</v>
      </c>
    </row>
    <row r="6" customFormat="false" ht="15" hidden="false" customHeight="false" outlineLevel="0" collapsed="false">
      <c r="A6" s="13" t="s">
        <v>161</v>
      </c>
      <c r="B6" s="13" t="s">
        <v>162</v>
      </c>
      <c r="C6" s="13" t="s">
        <v>163</v>
      </c>
      <c r="D6" s="13" t="s">
        <v>164</v>
      </c>
      <c r="E6" s="13"/>
      <c r="F6" s="13" t="s">
        <v>165</v>
      </c>
      <c r="G6" s="14" t="str">
        <f aca="false">IF(A6="","",IF(OR(B6="",D6=""),"Name and transactions needed","OK"))</f>
        <v>OK</v>
      </c>
    </row>
    <row r="7" customFormat="false" ht="15" hidden="false" customHeight="false" outlineLevel="0" collapsed="false">
      <c r="A7" s="15"/>
      <c r="B7" s="15"/>
      <c r="C7" s="15"/>
      <c r="D7" s="15"/>
      <c r="E7" s="15"/>
      <c r="F7" s="15"/>
      <c r="G7" s="16" t="str">
        <f aca="false">IF(A7="","",IF(OR(B7="",D7=""),"Name and transactions needed","OK"))</f>
        <v/>
      </c>
    </row>
    <row r="8" customFormat="false" ht="15" hidden="false" customHeight="false" outlineLevel="0" collapsed="false">
      <c r="A8" s="15"/>
      <c r="B8" s="15"/>
      <c r="C8" s="15"/>
      <c r="D8" s="15"/>
      <c r="E8" s="15"/>
      <c r="F8" s="15"/>
      <c r="G8" s="16" t="str">
        <f aca="false">IF(A8="","",IF(OR(B8="",D8=""),"Name and transactions needed","OK"))</f>
        <v/>
      </c>
    </row>
    <row r="9" customFormat="false" ht="15" hidden="false" customHeight="false" outlineLevel="0" collapsed="false">
      <c r="A9" s="15"/>
      <c r="B9" s="15"/>
      <c r="C9" s="15"/>
      <c r="D9" s="15"/>
      <c r="E9" s="15"/>
      <c r="F9" s="15"/>
      <c r="G9" s="16" t="str">
        <f aca="false">IF(A9="","",IF(OR(B9="",D9=""),"Name and transactions needed","OK"))</f>
        <v/>
      </c>
    </row>
    <row r="10" customFormat="false" ht="15" hidden="false" customHeight="false" outlineLevel="0" collapsed="false">
      <c r="A10" s="15"/>
      <c r="B10" s="15"/>
      <c r="C10" s="15"/>
      <c r="D10" s="15"/>
      <c r="E10" s="15"/>
      <c r="F10" s="15"/>
      <c r="G10" s="16" t="str">
        <f aca="false">IF(A10="","",IF(OR(B10="",D10=""),"Name and transactions needed","OK"))</f>
        <v/>
      </c>
    </row>
    <row r="11" customFormat="false" ht="15" hidden="false" customHeight="false" outlineLevel="0" collapsed="false">
      <c r="A11" s="15"/>
      <c r="B11" s="15"/>
      <c r="C11" s="15"/>
      <c r="D11" s="15"/>
      <c r="E11" s="15"/>
      <c r="F11" s="15"/>
      <c r="G11" s="16" t="str">
        <f aca="false">IF(A11="","",IF(OR(B11="",D11=""),"Name and transactions needed","OK"))</f>
        <v/>
      </c>
    </row>
    <row r="12" customFormat="false" ht="15" hidden="false" customHeight="false" outlineLevel="0" collapsed="false">
      <c r="A12" s="15"/>
      <c r="B12" s="15"/>
      <c r="C12" s="15"/>
      <c r="D12" s="15"/>
      <c r="E12" s="15"/>
      <c r="F12" s="15"/>
      <c r="G12" s="16" t="str">
        <f aca="false">IF(A12="","",IF(OR(B12="",D12=""),"Name and transactions needed","OK"))</f>
        <v/>
      </c>
    </row>
    <row r="13" customFormat="false" ht="15" hidden="false" customHeight="false" outlineLevel="0" collapsed="false">
      <c r="A13" s="15"/>
      <c r="B13" s="15"/>
      <c r="C13" s="15"/>
      <c r="D13" s="15"/>
      <c r="E13" s="15"/>
      <c r="F13" s="15"/>
      <c r="G13" s="16" t="str">
        <f aca="false">IF(A13="","",IF(OR(B13="",D13=""),"Name and transactions needed","OK"))</f>
        <v/>
      </c>
    </row>
    <row r="14" customFormat="false" ht="15" hidden="false" customHeight="false" outlineLevel="0" collapsed="false">
      <c r="A14" s="15"/>
      <c r="B14" s="15"/>
      <c r="C14" s="15"/>
      <c r="D14" s="15"/>
      <c r="E14" s="15"/>
      <c r="F14" s="15"/>
      <c r="G14" s="16" t="str">
        <f aca="false">IF(A14="","",IF(OR(B14="",D14=""),"Name and transactions needed","OK"))</f>
        <v/>
      </c>
    </row>
    <row r="15" customFormat="false" ht="15" hidden="false" customHeight="false" outlineLevel="0" collapsed="false">
      <c r="A15" s="15"/>
      <c r="B15" s="15"/>
      <c r="C15" s="15"/>
      <c r="D15" s="15"/>
      <c r="E15" s="15"/>
      <c r="F15" s="15"/>
      <c r="G15" s="16" t="str">
        <f aca="false">IF(A15="","",IF(OR(B15="",D15=""),"Name and transactions needed","OK"))</f>
        <v/>
      </c>
    </row>
    <row r="16" customFormat="false" ht="15" hidden="false" customHeight="false" outlineLevel="0" collapsed="false">
      <c r="A16" s="15"/>
      <c r="B16" s="15"/>
      <c r="C16" s="15"/>
      <c r="D16" s="15"/>
      <c r="E16" s="15"/>
      <c r="F16" s="15"/>
      <c r="G16" s="16" t="str">
        <f aca="false">IF(A16="","",IF(OR(B16="",D16=""),"Name and transactions needed","OK"))</f>
        <v/>
      </c>
    </row>
    <row r="17" customFormat="false" ht="15" hidden="false" customHeight="false" outlineLevel="0" collapsed="false">
      <c r="A17" s="15"/>
      <c r="B17" s="15"/>
      <c r="C17" s="15"/>
      <c r="D17" s="15"/>
      <c r="E17" s="15"/>
      <c r="F17" s="15"/>
      <c r="G17" s="16" t="str">
        <f aca="false">IF(A17="","",IF(OR(B17="",D17=""),"Name and transactions needed","OK"))</f>
        <v/>
      </c>
    </row>
    <row r="18" customFormat="false" ht="15" hidden="false" customHeight="false" outlineLevel="0" collapsed="false">
      <c r="A18" s="15"/>
      <c r="B18" s="15"/>
      <c r="C18" s="15"/>
      <c r="D18" s="15"/>
      <c r="E18" s="15"/>
      <c r="F18" s="15"/>
      <c r="G18" s="16" t="str">
        <f aca="false">IF(A18="","",IF(OR(B18="",D18=""),"Name and transactions needed","OK"))</f>
        <v/>
      </c>
    </row>
    <row r="19" customFormat="false" ht="15" hidden="false" customHeight="false" outlineLevel="0" collapsed="false">
      <c r="A19" s="15"/>
      <c r="B19" s="15"/>
      <c r="C19" s="15"/>
      <c r="D19" s="15"/>
      <c r="E19" s="15"/>
      <c r="F19" s="15"/>
      <c r="G19" s="16" t="str">
        <f aca="false">IF(A19="","",IF(OR(B19="",D19=""),"Name and transactions needed","OK"))</f>
        <v/>
      </c>
    </row>
    <row r="20" customFormat="false" ht="15" hidden="false" customHeight="false" outlineLevel="0" collapsed="false">
      <c r="A20" s="15"/>
      <c r="B20" s="15"/>
      <c r="C20" s="15"/>
      <c r="D20" s="15"/>
      <c r="E20" s="15"/>
      <c r="F20" s="15"/>
      <c r="G20" s="16" t="str">
        <f aca="false">IF(A20="","",IF(OR(B20="",D20=""),"Name and transactions needed","OK"))</f>
        <v/>
      </c>
    </row>
    <row r="21" customFormat="false" ht="15" hidden="false" customHeight="false" outlineLevel="0" collapsed="false">
      <c r="A21" s="15"/>
      <c r="B21" s="15"/>
      <c r="C21" s="15"/>
      <c r="D21" s="15"/>
      <c r="E21" s="15"/>
      <c r="F21" s="15"/>
      <c r="G21" s="16" t="str">
        <f aca="false">IF(A21="","",IF(OR(B21="",D21=""),"Name and transactions needed","OK"))</f>
        <v/>
      </c>
    </row>
    <row r="22" customFormat="false" ht="15" hidden="false" customHeight="false" outlineLevel="0" collapsed="false">
      <c r="A22" s="15"/>
      <c r="B22" s="15"/>
      <c r="C22" s="15"/>
      <c r="D22" s="15"/>
      <c r="E22" s="15"/>
      <c r="F22" s="15"/>
      <c r="G22" s="16" t="str">
        <f aca="false">IF(A22="","",IF(OR(B22="",D22=""),"Name and transactions needed","OK"))</f>
        <v/>
      </c>
    </row>
    <row r="23" customFormat="false" ht="15" hidden="false" customHeight="false" outlineLevel="0" collapsed="false">
      <c r="A23" s="15"/>
      <c r="B23" s="15"/>
      <c r="C23" s="15"/>
      <c r="D23" s="15"/>
      <c r="E23" s="15"/>
      <c r="F23" s="15"/>
      <c r="G23" s="16" t="str">
        <f aca="false">IF(A23="","",IF(OR(B23="",D23=""),"Name and transactions needed","OK"))</f>
        <v/>
      </c>
    </row>
    <row r="24" customFormat="false" ht="15" hidden="false" customHeight="false" outlineLevel="0" collapsed="false">
      <c r="A24" s="15"/>
      <c r="B24" s="15"/>
      <c r="C24" s="15"/>
      <c r="D24" s="15"/>
      <c r="E24" s="15"/>
      <c r="F24" s="15"/>
      <c r="G24" s="16" t="str">
        <f aca="false">IF(A24="","",IF(OR(B24="",D24=""),"Name and transactions needed","OK"))</f>
        <v/>
      </c>
    </row>
    <row r="25" customFormat="false" ht="15" hidden="false" customHeight="false" outlineLevel="0" collapsed="false">
      <c r="A25" s="15"/>
      <c r="B25" s="15"/>
      <c r="C25" s="15"/>
      <c r="D25" s="15"/>
      <c r="E25" s="15"/>
      <c r="F25" s="15"/>
      <c r="G25" s="16" t="str">
        <f aca="false">IF(A25="","",IF(OR(B25="",D25=""),"Name and transactions needed","OK"))</f>
        <v/>
      </c>
    </row>
    <row r="26" customFormat="false" ht="15" hidden="false" customHeight="false" outlineLevel="0" collapsed="false">
      <c r="A26" s="15"/>
      <c r="B26" s="15"/>
      <c r="C26" s="15"/>
      <c r="D26" s="15"/>
      <c r="E26" s="15"/>
      <c r="F26" s="15"/>
      <c r="G26" s="16" t="str">
        <f aca="false">IF(A26="","",IF(OR(B26="",D26=""),"Name and transactions needed","OK"))</f>
        <v/>
      </c>
    </row>
    <row r="27" customFormat="false" ht="15" hidden="false" customHeight="false" outlineLevel="0" collapsed="false">
      <c r="A27" s="15"/>
      <c r="B27" s="15"/>
      <c r="C27" s="15"/>
      <c r="D27" s="15"/>
      <c r="E27" s="15"/>
      <c r="F27" s="15"/>
      <c r="G27" s="16" t="str">
        <f aca="false">IF(A27="","",IF(OR(B27="",D27=""),"Name and transactions needed","OK"))</f>
        <v/>
      </c>
    </row>
    <row r="28" customFormat="false" ht="15" hidden="false" customHeight="false" outlineLevel="0" collapsed="false">
      <c r="A28" s="15"/>
      <c r="B28" s="15"/>
      <c r="C28" s="15"/>
      <c r="D28" s="15"/>
      <c r="E28" s="15"/>
      <c r="F28" s="15"/>
      <c r="G28" s="16" t="str">
        <f aca="false">IF(A28="","",IF(OR(B28="",D28=""),"Name and transactions needed","OK"))</f>
        <v/>
      </c>
    </row>
    <row r="29" customFormat="false" ht="15" hidden="false" customHeight="false" outlineLevel="0" collapsed="false">
      <c r="A29" s="15"/>
      <c r="B29" s="15"/>
      <c r="C29" s="15"/>
      <c r="D29" s="15"/>
      <c r="E29" s="15"/>
      <c r="F29" s="15"/>
      <c r="G29" s="16" t="str">
        <f aca="false">IF(A29="","",IF(OR(B29="",D29=""),"Name and transactions needed","OK"))</f>
        <v/>
      </c>
    </row>
    <row r="30" customFormat="false" ht="15" hidden="false" customHeight="false" outlineLevel="0" collapsed="false">
      <c r="A30" s="15"/>
      <c r="B30" s="15"/>
      <c r="C30" s="15"/>
      <c r="D30" s="15"/>
      <c r="E30" s="15"/>
      <c r="F30" s="15"/>
      <c r="G30" s="16" t="str">
        <f aca="false">IF(A30="","",IF(OR(B30="",D30=""),"Name and transactions needed","OK"))</f>
        <v/>
      </c>
    </row>
    <row r="31" customFormat="false" ht="15" hidden="false" customHeight="false" outlineLevel="0" collapsed="false">
      <c r="A31" s="15"/>
      <c r="B31" s="15"/>
      <c r="C31" s="15"/>
      <c r="D31" s="15"/>
      <c r="E31" s="15"/>
      <c r="F31" s="15"/>
      <c r="G31" s="16" t="str">
        <f aca="false">IF(A31="","",IF(OR(B31="",D31=""),"Name and transactions needed","OK"))</f>
        <v/>
      </c>
    </row>
    <row r="32" customFormat="false" ht="15" hidden="false" customHeight="false" outlineLevel="0" collapsed="false">
      <c r="A32" s="15"/>
      <c r="B32" s="15"/>
      <c r="C32" s="15"/>
      <c r="D32" s="15"/>
      <c r="E32" s="15"/>
      <c r="F32" s="15"/>
      <c r="G32" s="16" t="str">
        <f aca="false">IF(A32="","",IF(OR(B32="",D32=""),"Name and transactions needed","OK"))</f>
        <v/>
      </c>
    </row>
    <row r="33" customFormat="false" ht="15" hidden="false" customHeight="false" outlineLevel="0" collapsed="false">
      <c r="A33" s="15"/>
      <c r="B33" s="15"/>
      <c r="C33" s="15"/>
      <c r="D33" s="15"/>
      <c r="E33" s="15"/>
      <c r="F33" s="15"/>
      <c r="G33" s="16" t="str">
        <f aca="false">IF(A33="","",IF(OR(B33="",D33=""),"Name and transactions needed","OK"))</f>
        <v/>
      </c>
    </row>
    <row r="34" customFormat="false" ht="15" hidden="false" customHeight="false" outlineLevel="0" collapsed="false">
      <c r="A34" s="15"/>
      <c r="B34" s="15"/>
      <c r="C34" s="15"/>
      <c r="D34" s="15"/>
      <c r="E34" s="15"/>
      <c r="F34" s="15"/>
      <c r="G34" s="16" t="str">
        <f aca="false">IF(A34="","",IF(OR(B34="",D34=""),"Name and transactions needed","OK"))</f>
        <v/>
      </c>
    </row>
    <row r="35" customFormat="false" ht="15" hidden="false" customHeight="false" outlineLevel="0" collapsed="false">
      <c r="A35" s="15"/>
      <c r="B35" s="15"/>
      <c r="C35" s="15"/>
      <c r="D35" s="15"/>
      <c r="E35" s="15"/>
      <c r="F35" s="15"/>
      <c r="G35" s="16" t="str">
        <f aca="false">IF(A35="","",IF(OR(B35="",D35=""),"Name and transactions needed","OK"))</f>
        <v/>
      </c>
    </row>
    <row r="36" customFormat="false" ht="15" hidden="false" customHeight="false" outlineLevel="0" collapsed="false">
      <c r="A36" s="15"/>
      <c r="B36" s="15"/>
      <c r="C36" s="15"/>
      <c r="D36" s="15"/>
      <c r="E36" s="15"/>
      <c r="F36" s="15"/>
      <c r="G36" s="16" t="str">
        <f aca="false">IF(A36="","",IF(OR(B36="",D36=""),"Name and transactions needed","OK"))</f>
        <v/>
      </c>
    </row>
    <row r="37" customFormat="false" ht="15" hidden="false" customHeight="false" outlineLevel="0" collapsed="false">
      <c r="A37" s="15"/>
      <c r="B37" s="15"/>
      <c r="C37" s="15"/>
      <c r="D37" s="15"/>
      <c r="E37" s="15"/>
      <c r="F37" s="15"/>
      <c r="G37" s="16" t="str">
        <f aca="false">IF(A37="","",IF(OR(B37="",D37=""),"Name and transactions needed","OK"))</f>
        <v/>
      </c>
    </row>
    <row r="38" customFormat="false" ht="15" hidden="false" customHeight="false" outlineLevel="0" collapsed="false">
      <c r="A38" s="15"/>
      <c r="B38" s="15"/>
      <c r="C38" s="15"/>
      <c r="D38" s="15"/>
      <c r="E38" s="15"/>
      <c r="F38" s="15"/>
      <c r="G38" s="16" t="str">
        <f aca="false">IF(A38="","",IF(OR(B38="",D38=""),"Name and transactions needed","OK"))</f>
        <v/>
      </c>
    </row>
    <row r="39" customFormat="false" ht="15" hidden="false" customHeight="false" outlineLevel="0" collapsed="false">
      <c r="A39" s="15"/>
      <c r="B39" s="15"/>
      <c r="C39" s="15"/>
      <c r="D39" s="15"/>
      <c r="E39" s="15"/>
      <c r="F39" s="15"/>
      <c r="G39" s="16" t="str">
        <f aca="false">IF(A39="","",IF(OR(B39="",D39=""),"Name and transactions needed","OK"))</f>
        <v/>
      </c>
    </row>
    <row r="40" customFormat="false" ht="15" hidden="false" customHeight="false" outlineLevel="0" collapsed="false">
      <c r="A40" s="15"/>
      <c r="B40" s="15"/>
      <c r="C40" s="15"/>
      <c r="D40" s="15"/>
      <c r="E40" s="15"/>
      <c r="F40" s="15"/>
      <c r="G40" s="16" t="str">
        <f aca="false">IF(A40="","",IF(OR(B40="",D40=""),"Name and transactions needed","OK"))</f>
        <v/>
      </c>
    </row>
    <row r="41" customFormat="false" ht="15" hidden="false" customHeight="false" outlineLevel="0" collapsed="false">
      <c r="A41" s="15"/>
      <c r="B41" s="15"/>
      <c r="C41" s="15"/>
      <c r="D41" s="15"/>
      <c r="E41" s="15"/>
      <c r="F41" s="15"/>
      <c r="G41" s="16" t="str">
        <f aca="false">IF(A41="","",IF(OR(B41="",D41=""),"Name and transactions needed","OK"))</f>
        <v/>
      </c>
    </row>
    <row r="42" customFormat="false" ht="15" hidden="false" customHeight="false" outlineLevel="0" collapsed="false">
      <c r="A42" s="15"/>
      <c r="B42" s="15"/>
      <c r="C42" s="15"/>
      <c r="D42" s="15"/>
      <c r="E42" s="15"/>
      <c r="F42" s="15"/>
      <c r="G42" s="16" t="str">
        <f aca="false">IF(A42="","",IF(OR(B42="",D42=""),"Name and transactions needed","OK"))</f>
        <v/>
      </c>
    </row>
    <row r="43" customFormat="false" ht="15" hidden="false" customHeight="false" outlineLevel="0" collapsed="false">
      <c r="A43" s="15"/>
      <c r="B43" s="15"/>
      <c r="C43" s="15"/>
      <c r="D43" s="15"/>
      <c r="E43" s="15"/>
      <c r="F43" s="15"/>
      <c r="G43" s="16" t="str">
        <f aca="false">IF(A43="","",IF(OR(B43="",D43=""),"Name and transactions needed","OK"))</f>
        <v/>
      </c>
    </row>
    <row r="44" customFormat="false" ht="15" hidden="false" customHeight="false" outlineLevel="0" collapsed="false">
      <c r="A44" s="15"/>
      <c r="B44" s="15"/>
      <c r="C44" s="15"/>
      <c r="D44" s="15"/>
      <c r="E44" s="15"/>
      <c r="F44" s="15"/>
      <c r="G44" s="16" t="str">
        <f aca="false">IF(A44="","",IF(OR(B44="",D44=""),"Name and transactions needed","OK"))</f>
        <v/>
      </c>
    </row>
    <row r="45" customFormat="false" ht="15" hidden="false" customHeight="false" outlineLevel="0" collapsed="false">
      <c r="A45" s="15"/>
      <c r="B45" s="15"/>
      <c r="C45" s="15"/>
      <c r="D45" s="15"/>
      <c r="E45" s="15"/>
      <c r="F45" s="15"/>
      <c r="G45" s="16" t="str">
        <f aca="false">IF(A45="","",IF(OR(B45="",D45=""),"Name and transactions needed","OK"))</f>
        <v/>
      </c>
    </row>
    <row r="46" customFormat="false" ht="15" hidden="false" customHeight="false" outlineLevel="0" collapsed="false">
      <c r="A46" s="15"/>
      <c r="B46" s="15"/>
      <c r="C46" s="15"/>
      <c r="D46" s="15"/>
      <c r="E46" s="15"/>
      <c r="F46" s="15"/>
      <c r="G46" s="16" t="str">
        <f aca="false">IF(A46="","",IF(OR(B46="",D46=""),"Name and transactions needed","OK"))</f>
        <v/>
      </c>
    </row>
    <row r="47" customFormat="false" ht="15" hidden="false" customHeight="false" outlineLevel="0" collapsed="false">
      <c r="A47" s="15"/>
      <c r="B47" s="15"/>
      <c r="C47" s="15"/>
      <c r="D47" s="15"/>
      <c r="E47" s="15"/>
      <c r="F47" s="15"/>
      <c r="G47" s="16" t="str">
        <f aca="false">IF(A47="","",IF(OR(B47="",D47=""),"Name and transactions needed","OK"))</f>
        <v/>
      </c>
    </row>
    <row r="48" customFormat="false" ht="15" hidden="false" customHeight="false" outlineLevel="0" collapsed="false">
      <c r="A48" s="15"/>
      <c r="B48" s="15"/>
      <c r="C48" s="15"/>
      <c r="D48" s="15"/>
      <c r="E48" s="15"/>
      <c r="F48" s="15"/>
      <c r="G48" s="16" t="str">
        <f aca="false">IF(A48="","",IF(OR(B48="",D48=""),"Name and transactions needed","OK"))</f>
        <v/>
      </c>
    </row>
    <row r="49" customFormat="false" ht="15" hidden="false" customHeight="false" outlineLevel="0" collapsed="false">
      <c r="A49" s="15"/>
      <c r="B49" s="15"/>
      <c r="C49" s="15"/>
      <c r="D49" s="15"/>
      <c r="E49" s="15"/>
      <c r="F49" s="15"/>
      <c r="G49" s="16" t="str">
        <f aca="false">IF(A49="","",IF(OR(B49="",D49=""),"Name and transactions needed","OK"))</f>
        <v/>
      </c>
    </row>
    <row r="50" customFormat="false" ht="15" hidden="false" customHeight="false" outlineLevel="0" collapsed="false">
      <c r="A50" s="15"/>
      <c r="B50" s="15"/>
      <c r="C50" s="15"/>
      <c r="D50" s="15"/>
      <c r="E50" s="15"/>
      <c r="F50" s="15"/>
      <c r="G50" s="16" t="str">
        <f aca="false">IF(A50="","",IF(OR(B50="",D50=""),"Name and transactions needed","OK"))</f>
        <v/>
      </c>
    </row>
    <row r="51" customFormat="false" ht="15" hidden="false" customHeight="false" outlineLevel="0" collapsed="false">
      <c r="A51" s="15"/>
      <c r="B51" s="15"/>
      <c r="C51" s="15"/>
      <c r="D51" s="15"/>
      <c r="E51" s="15"/>
      <c r="F51" s="15"/>
      <c r="G51" s="16" t="str">
        <f aca="false">IF(A51="","",IF(OR(B51="",D51=""),"Name and transactions needed","OK"))</f>
        <v/>
      </c>
    </row>
    <row r="52" customFormat="false" ht="15" hidden="false" customHeight="false" outlineLevel="0" collapsed="false">
      <c r="A52" s="15"/>
      <c r="B52" s="15"/>
      <c r="C52" s="15"/>
      <c r="D52" s="15"/>
      <c r="E52" s="15"/>
      <c r="F52" s="15"/>
      <c r="G52" s="16" t="str">
        <f aca="false">IF(A52="","",IF(OR(B52="",D52=""),"Name and transactions needed","OK"))</f>
        <v/>
      </c>
    </row>
    <row r="53" customFormat="false" ht="15" hidden="false" customHeight="false" outlineLevel="0" collapsed="false">
      <c r="A53" s="15"/>
      <c r="B53" s="15"/>
      <c r="C53" s="15"/>
      <c r="D53" s="15"/>
      <c r="E53" s="15"/>
      <c r="F53" s="15"/>
      <c r="G53" s="16" t="str">
        <f aca="false">IF(A53="","",IF(OR(B53="",D53=""),"Name and transactions needed","OK"))</f>
        <v/>
      </c>
    </row>
    <row r="54" customFormat="false" ht="15" hidden="false" customHeight="false" outlineLevel="0" collapsed="false">
      <c r="A54" s="15"/>
      <c r="B54" s="15"/>
      <c r="C54" s="15"/>
      <c r="D54" s="15"/>
      <c r="E54" s="15"/>
      <c r="F54" s="15"/>
      <c r="G54" s="16" t="str">
        <f aca="false">IF(A54="","",IF(OR(B54="",D54=""),"Name and transactions needed","OK"))</f>
        <v/>
      </c>
    </row>
    <row r="55" customFormat="false" ht="15" hidden="false" customHeight="false" outlineLevel="0" collapsed="false">
      <c r="A55" s="15"/>
      <c r="B55" s="15"/>
      <c r="C55" s="15"/>
      <c r="D55" s="15"/>
      <c r="E55" s="15"/>
      <c r="F55" s="15"/>
      <c r="G55" s="16" t="str">
        <f aca="false">IF(A55="","",IF(OR(B55="",D55=""),"Name and transactions needed","OK"))</f>
        <v/>
      </c>
    </row>
    <row r="56" customFormat="false" ht="15" hidden="false" customHeight="false" outlineLevel="0" collapsed="false">
      <c r="A56" s="15"/>
      <c r="B56" s="15"/>
      <c r="C56" s="15"/>
      <c r="D56" s="15"/>
      <c r="E56" s="15"/>
      <c r="F56" s="15"/>
      <c r="G56" s="16" t="str">
        <f aca="false">IF(A56="","",IF(OR(B56="",D56=""),"Name and transactions needed","OK"))</f>
        <v/>
      </c>
    </row>
    <row r="57" customFormat="false" ht="15" hidden="false" customHeight="false" outlineLevel="0" collapsed="false">
      <c r="A57" s="15"/>
      <c r="B57" s="15"/>
      <c r="C57" s="15"/>
      <c r="D57" s="15"/>
      <c r="E57" s="15"/>
      <c r="F57" s="15"/>
      <c r="G57" s="16" t="str">
        <f aca="false">IF(A57="","",IF(OR(B57="",D57=""),"Name and transactions needed","OK"))</f>
        <v/>
      </c>
    </row>
    <row r="58" customFormat="false" ht="15" hidden="false" customHeight="false" outlineLevel="0" collapsed="false">
      <c r="A58" s="15"/>
      <c r="B58" s="15"/>
      <c r="C58" s="15"/>
      <c r="D58" s="15"/>
      <c r="E58" s="15"/>
      <c r="F58" s="15"/>
      <c r="G58" s="16" t="str">
        <f aca="false">IF(A58="","",IF(OR(B58="",D58=""),"Name and transactions needed","OK"))</f>
        <v/>
      </c>
    </row>
    <row r="59" customFormat="false" ht="15" hidden="false" customHeight="false" outlineLevel="0" collapsed="false">
      <c r="A59" s="15"/>
      <c r="B59" s="15"/>
      <c r="C59" s="15"/>
      <c r="D59" s="15"/>
      <c r="E59" s="15"/>
      <c r="F59" s="15"/>
      <c r="G59" s="16" t="str">
        <f aca="false">IF(A59="","",IF(OR(B59="",D59=""),"Name and transactions needed","OK"))</f>
        <v/>
      </c>
    </row>
    <row r="60" customFormat="false" ht="15" hidden="false" customHeight="false" outlineLevel="0" collapsed="false">
      <c r="A60" s="15"/>
      <c r="B60" s="15"/>
      <c r="C60" s="15"/>
      <c r="D60" s="15"/>
      <c r="E60" s="15"/>
      <c r="F60" s="15"/>
      <c r="G60" s="16" t="str">
        <f aca="false">IF(A60="","",IF(OR(B60="",D60=""),"Name and transactions needed","OK"))</f>
        <v/>
      </c>
    </row>
    <row r="61" customFormat="false" ht="15" hidden="false" customHeight="false" outlineLevel="0" collapsed="false">
      <c r="A61" s="15"/>
      <c r="B61" s="15"/>
      <c r="C61" s="15"/>
      <c r="D61" s="15"/>
      <c r="E61" s="15"/>
      <c r="F61" s="15"/>
      <c r="G61" s="16" t="str">
        <f aca="false">IF(A61="","",IF(OR(B61="",D61=""),"Name and transactions needed","OK"))</f>
        <v/>
      </c>
    </row>
    <row r="62" customFormat="false" ht="15" hidden="false" customHeight="false" outlineLevel="0" collapsed="false">
      <c r="A62" s="15"/>
      <c r="B62" s="15"/>
      <c r="C62" s="15"/>
      <c r="D62" s="15"/>
      <c r="E62" s="15"/>
      <c r="F62" s="15"/>
      <c r="G62" s="16" t="str">
        <f aca="false">IF(A62="","",IF(OR(B62="",D62=""),"Name and transactions needed","OK"))</f>
        <v/>
      </c>
    </row>
    <row r="63" customFormat="false" ht="15" hidden="false" customHeight="false" outlineLevel="0" collapsed="false">
      <c r="A63" s="15"/>
      <c r="B63" s="15"/>
      <c r="C63" s="15"/>
      <c r="D63" s="15"/>
      <c r="E63" s="15"/>
      <c r="F63" s="15"/>
      <c r="G63" s="16" t="str">
        <f aca="false">IF(A63="","",IF(OR(B63="",D63=""),"Name and transactions needed","OK"))</f>
        <v/>
      </c>
    </row>
    <row r="64" customFormat="false" ht="15" hidden="false" customHeight="false" outlineLevel="0" collapsed="false">
      <c r="A64" s="15"/>
      <c r="B64" s="15"/>
      <c r="C64" s="15"/>
      <c r="D64" s="15"/>
      <c r="E64" s="15"/>
      <c r="F64" s="15"/>
      <c r="G64" s="16" t="str">
        <f aca="false">IF(A64="","",IF(OR(B64="",D64=""),"Name and transactions needed","OK"))</f>
        <v/>
      </c>
    </row>
    <row r="65" customFormat="false" ht="15" hidden="false" customHeight="false" outlineLevel="0" collapsed="false">
      <c r="A65" s="15"/>
      <c r="B65" s="15"/>
      <c r="C65" s="15"/>
      <c r="D65" s="15"/>
      <c r="E65" s="15"/>
      <c r="F65" s="15"/>
      <c r="G65" s="16" t="str">
        <f aca="false">IF(A65="","",IF(OR(B65="",D65=""),"Name and transactions needed","OK"))</f>
        <v/>
      </c>
    </row>
    <row r="66" customFormat="false" ht="15" hidden="false" customHeight="false" outlineLevel="0" collapsed="false">
      <c r="A66" s="15"/>
      <c r="B66" s="15"/>
      <c r="C66" s="15"/>
      <c r="D66" s="15"/>
      <c r="E66" s="15"/>
      <c r="F66" s="15"/>
      <c r="G66" s="16" t="str">
        <f aca="false">IF(A66="","",IF(OR(B66="",D66=""),"Name and transactions needed","OK"))</f>
        <v/>
      </c>
    </row>
    <row r="67" customFormat="false" ht="15" hidden="false" customHeight="false" outlineLevel="0" collapsed="false">
      <c r="A67" s="15"/>
      <c r="B67" s="15"/>
      <c r="C67" s="15"/>
      <c r="D67" s="15"/>
      <c r="E67" s="15"/>
      <c r="F67" s="15"/>
      <c r="G67" s="16" t="str">
        <f aca="false">IF(A67="","",IF(OR(B67="",D67=""),"Name and transactions needed","OK"))</f>
        <v/>
      </c>
    </row>
    <row r="68" customFormat="false" ht="15" hidden="false" customHeight="false" outlineLevel="0" collapsed="false">
      <c r="A68" s="15"/>
      <c r="B68" s="15"/>
      <c r="C68" s="15"/>
      <c r="D68" s="15"/>
      <c r="E68" s="15"/>
      <c r="F68" s="15"/>
      <c r="G68" s="16" t="str">
        <f aca="false">IF(A68="","",IF(OR(B68="",D68=""),"Name and transactions needed","OK"))</f>
        <v/>
      </c>
    </row>
    <row r="69" customFormat="false" ht="15" hidden="false" customHeight="false" outlineLevel="0" collapsed="false">
      <c r="A69" s="15"/>
      <c r="B69" s="15"/>
      <c r="C69" s="15"/>
      <c r="D69" s="15"/>
      <c r="E69" s="15"/>
      <c r="F69" s="15"/>
      <c r="G69" s="16" t="str">
        <f aca="false">IF(A69="","",IF(OR(B69="",D69=""),"Name and transactions needed","OK"))</f>
        <v/>
      </c>
    </row>
    <row r="70" customFormat="false" ht="15" hidden="false" customHeight="false" outlineLevel="0" collapsed="false">
      <c r="A70" s="15"/>
      <c r="B70" s="15"/>
      <c r="C70" s="15"/>
      <c r="D70" s="15"/>
      <c r="E70" s="15"/>
      <c r="F70" s="15"/>
      <c r="G70" s="16" t="str">
        <f aca="false">IF(A70="","",IF(OR(B70="",D70=""),"Name and transactions needed","OK"))</f>
        <v/>
      </c>
    </row>
    <row r="71" customFormat="false" ht="15" hidden="false" customHeight="false" outlineLevel="0" collapsed="false">
      <c r="A71" s="15"/>
      <c r="B71" s="15"/>
      <c r="C71" s="15"/>
      <c r="D71" s="15"/>
      <c r="E71" s="15"/>
      <c r="F71" s="15"/>
      <c r="G71" s="16" t="str">
        <f aca="false">IF(A71="","",IF(OR(B71="",D71=""),"Name and transactions needed","OK"))</f>
        <v/>
      </c>
    </row>
    <row r="72" customFormat="false" ht="15" hidden="false" customHeight="false" outlineLevel="0" collapsed="false">
      <c r="A72" s="15"/>
      <c r="B72" s="15"/>
      <c r="C72" s="15"/>
      <c r="D72" s="15"/>
      <c r="E72" s="15"/>
      <c r="F72" s="15"/>
      <c r="G72" s="16" t="str">
        <f aca="false">IF(A72="","",IF(OR(B72="",D72=""),"Name and transactions needed","OK"))</f>
        <v/>
      </c>
    </row>
    <row r="73" customFormat="false" ht="15" hidden="false" customHeight="false" outlineLevel="0" collapsed="false">
      <c r="A73" s="15"/>
      <c r="B73" s="15"/>
      <c r="C73" s="15"/>
      <c r="D73" s="15"/>
      <c r="E73" s="15"/>
      <c r="F73" s="15"/>
      <c r="G73" s="16" t="str">
        <f aca="false">IF(A73="","",IF(OR(B73="",D73=""),"Name and transactions needed","OK"))</f>
        <v/>
      </c>
    </row>
    <row r="74" customFormat="false" ht="15" hidden="false" customHeight="false" outlineLevel="0" collapsed="false">
      <c r="A74" s="15"/>
      <c r="B74" s="15"/>
      <c r="C74" s="15"/>
      <c r="D74" s="15"/>
      <c r="E74" s="15"/>
      <c r="F74" s="15"/>
      <c r="G74" s="16" t="str">
        <f aca="false">IF(A74="","",IF(OR(B74="",D74=""),"Name and transactions needed","OK"))</f>
        <v/>
      </c>
    </row>
    <row r="75" customFormat="false" ht="15" hidden="false" customHeight="false" outlineLevel="0" collapsed="false">
      <c r="A75" s="15"/>
      <c r="B75" s="15"/>
      <c r="C75" s="15"/>
      <c r="D75" s="15"/>
      <c r="E75" s="15"/>
      <c r="F75" s="15"/>
      <c r="G75" s="16" t="str">
        <f aca="false">IF(A75="","",IF(OR(B75="",D75=""),"Name and transactions needed","OK"))</f>
        <v/>
      </c>
    </row>
    <row r="76" customFormat="false" ht="15" hidden="false" customHeight="false" outlineLevel="0" collapsed="false">
      <c r="A76" s="15"/>
      <c r="B76" s="15"/>
      <c r="C76" s="15"/>
      <c r="D76" s="15"/>
      <c r="E76" s="15"/>
      <c r="F76" s="15"/>
      <c r="G76" s="16" t="str">
        <f aca="false">IF(A76="","",IF(OR(B76="",D76=""),"Name and transactions needed","OK"))</f>
        <v/>
      </c>
    </row>
    <row r="77" customFormat="false" ht="15" hidden="false" customHeight="false" outlineLevel="0" collapsed="false">
      <c r="A77" s="15"/>
      <c r="B77" s="15"/>
      <c r="C77" s="15"/>
      <c r="D77" s="15"/>
      <c r="E77" s="15"/>
      <c r="F77" s="15"/>
      <c r="G77" s="16" t="str">
        <f aca="false">IF(A77="","",IF(OR(B77="",D77=""),"Name and transactions needed","OK"))</f>
        <v/>
      </c>
    </row>
    <row r="78" customFormat="false" ht="15" hidden="false" customHeight="false" outlineLevel="0" collapsed="false">
      <c r="A78" s="15"/>
      <c r="B78" s="15"/>
      <c r="C78" s="15"/>
      <c r="D78" s="15"/>
      <c r="E78" s="15"/>
      <c r="F78" s="15"/>
      <c r="G78" s="16" t="str">
        <f aca="false">IF(A78="","",IF(OR(B78="",D78=""),"Name and transactions needed","OK"))</f>
        <v/>
      </c>
    </row>
    <row r="79" customFormat="false" ht="15" hidden="false" customHeight="false" outlineLevel="0" collapsed="false">
      <c r="A79" s="15"/>
      <c r="B79" s="15"/>
      <c r="C79" s="15"/>
      <c r="D79" s="15"/>
      <c r="E79" s="15"/>
      <c r="F79" s="15"/>
      <c r="G79" s="16" t="str">
        <f aca="false">IF(A79="","",IF(OR(B79="",D79=""),"Name and transactions needed","OK"))</f>
        <v/>
      </c>
    </row>
    <row r="80" customFormat="false" ht="15" hidden="false" customHeight="false" outlineLevel="0" collapsed="false">
      <c r="A80" s="15"/>
      <c r="B80" s="15"/>
      <c r="C80" s="15"/>
      <c r="D80" s="15"/>
      <c r="E80" s="15"/>
      <c r="F80" s="15"/>
      <c r="G80" s="16" t="str">
        <f aca="false">IF(A80="","",IF(OR(B80="",D80=""),"Name and transactions needed","OK"))</f>
        <v/>
      </c>
    </row>
    <row r="81" customFormat="false" ht="15" hidden="false" customHeight="false" outlineLevel="0" collapsed="false">
      <c r="A81" s="15"/>
      <c r="B81" s="15"/>
      <c r="C81" s="15"/>
      <c r="D81" s="15"/>
      <c r="E81" s="15"/>
      <c r="F81" s="15"/>
      <c r="G81" s="16" t="str">
        <f aca="false">IF(A81="","",IF(OR(B81="",D81=""),"Name and transactions needed","OK"))</f>
        <v/>
      </c>
    </row>
    <row r="82" customFormat="false" ht="15" hidden="false" customHeight="false" outlineLevel="0" collapsed="false">
      <c r="A82" s="15"/>
      <c r="B82" s="15"/>
      <c r="C82" s="15"/>
      <c r="D82" s="15"/>
      <c r="E82" s="15"/>
      <c r="F82" s="15"/>
      <c r="G82" s="16" t="str">
        <f aca="false">IF(A82="","",IF(OR(B82="",D82=""),"Name and transactions needed","OK"))</f>
        <v/>
      </c>
    </row>
    <row r="83" customFormat="false" ht="15" hidden="false" customHeight="false" outlineLevel="0" collapsed="false">
      <c r="A83" s="15"/>
      <c r="B83" s="15"/>
      <c r="C83" s="15"/>
      <c r="D83" s="15"/>
      <c r="E83" s="15"/>
      <c r="F83" s="15"/>
      <c r="G83" s="16" t="str">
        <f aca="false">IF(A83="","",IF(OR(B83="",D83=""),"Name and transactions needed","OK"))</f>
        <v/>
      </c>
    </row>
    <row r="84" customFormat="false" ht="15" hidden="false" customHeight="false" outlineLevel="0" collapsed="false">
      <c r="A84" s="15"/>
      <c r="B84" s="15"/>
      <c r="C84" s="15"/>
      <c r="D84" s="15"/>
      <c r="E84" s="15"/>
      <c r="F84" s="15"/>
      <c r="G84" s="16" t="str">
        <f aca="false">IF(A84="","",IF(OR(B84="",D84=""),"Name and transactions needed","OK"))</f>
        <v/>
      </c>
    </row>
    <row r="85" customFormat="false" ht="15" hidden="false" customHeight="false" outlineLevel="0" collapsed="false">
      <c r="A85" s="15"/>
      <c r="B85" s="15"/>
      <c r="C85" s="15"/>
      <c r="D85" s="15"/>
      <c r="E85" s="15"/>
      <c r="F85" s="15"/>
      <c r="G85" s="16" t="str">
        <f aca="false">IF(A85="","",IF(OR(B85="",D85=""),"Name and transactions needed","OK"))</f>
        <v/>
      </c>
    </row>
    <row r="86" customFormat="false" ht="15" hidden="false" customHeight="false" outlineLevel="0" collapsed="false">
      <c r="A86" s="15"/>
      <c r="B86" s="15"/>
      <c r="C86" s="15"/>
      <c r="D86" s="15"/>
      <c r="E86" s="15"/>
      <c r="F86" s="15"/>
      <c r="G86" s="16" t="str">
        <f aca="false">IF(A86="","",IF(OR(B86="",D86=""),"Name and transactions needed","OK"))</f>
        <v/>
      </c>
    </row>
    <row r="87" customFormat="false" ht="15" hidden="false" customHeight="false" outlineLevel="0" collapsed="false">
      <c r="A87" s="15"/>
      <c r="B87" s="15"/>
      <c r="C87" s="15"/>
      <c r="D87" s="15"/>
      <c r="E87" s="15"/>
      <c r="F87" s="15"/>
      <c r="G87" s="16" t="str">
        <f aca="false">IF(A87="","",IF(OR(B87="",D87=""),"Name and transactions needed","OK"))</f>
        <v/>
      </c>
    </row>
    <row r="88" customFormat="false" ht="15" hidden="false" customHeight="false" outlineLevel="0" collapsed="false">
      <c r="A88" s="15"/>
      <c r="B88" s="15"/>
      <c r="C88" s="15"/>
      <c r="D88" s="15"/>
      <c r="E88" s="15"/>
      <c r="F88" s="15"/>
      <c r="G88" s="16" t="str">
        <f aca="false">IF(A88="","",IF(OR(B88="",D88=""),"Name and transactions needed","OK"))</f>
        <v/>
      </c>
    </row>
    <row r="89" customFormat="false" ht="15" hidden="false" customHeight="false" outlineLevel="0" collapsed="false">
      <c r="A89" s="15"/>
      <c r="B89" s="15"/>
      <c r="C89" s="15"/>
      <c r="D89" s="15"/>
      <c r="E89" s="15"/>
      <c r="F89" s="15"/>
      <c r="G89" s="16" t="str">
        <f aca="false">IF(A89="","",IF(OR(B89="",D89=""),"Name and transactions needed","OK"))</f>
        <v/>
      </c>
    </row>
    <row r="90" customFormat="false" ht="15" hidden="false" customHeight="false" outlineLevel="0" collapsed="false">
      <c r="A90" s="15"/>
      <c r="B90" s="15"/>
      <c r="C90" s="15"/>
      <c r="D90" s="15"/>
      <c r="E90" s="15"/>
      <c r="F90" s="15"/>
      <c r="G90" s="16" t="str">
        <f aca="false">IF(A90="","",IF(OR(B90="",D90=""),"Name and transactions needed","OK"))</f>
        <v/>
      </c>
    </row>
    <row r="91" customFormat="false" ht="15" hidden="false" customHeight="false" outlineLevel="0" collapsed="false">
      <c r="A91" s="15"/>
      <c r="B91" s="15"/>
      <c r="C91" s="15"/>
      <c r="D91" s="15"/>
      <c r="E91" s="15"/>
      <c r="F91" s="15"/>
      <c r="G91" s="16" t="str">
        <f aca="false">IF(A91="","",IF(OR(B91="",D91=""),"Name and transactions needed","OK"))</f>
        <v/>
      </c>
    </row>
    <row r="92" customFormat="false" ht="15" hidden="false" customHeight="false" outlineLevel="0" collapsed="false">
      <c r="A92" s="15"/>
      <c r="B92" s="15"/>
      <c r="C92" s="15"/>
      <c r="D92" s="15"/>
      <c r="E92" s="15"/>
      <c r="F92" s="15"/>
      <c r="G92" s="16" t="str">
        <f aca="false">IF(A92="","",IF(OR(B92="",D92=""),"Name and transactions needed","OK"))</f>
        <v/>
      </c>
    </row>
    <row r="93" customFormat="false" ht="15" hidden="false" customHeight="false" outlineLevel="0" collapsed="false">
      <c r="A93" s="15"/>
      <c r="B93" s="15"/>
      <c r="C93" s="15"/>
      <c r="D93" s="15"/>
      <c r="E93" s="15"/>
      <c r="F93" s="15"/>
      <c r="G93" s="16" t="str">
        <f aca="false">IF(A93="","",IF(OR(B93="",D93=""),"Name and transactions needed","OK"))</f>
        <v/>
      </c>
    </row>
    <row r="94" customFormat="false" ht="15" hidden="false" customHeight="false" outlineLevel="0" collapsed="false">
      <c r="A94" s="15"/>
      <c r="B94" s="15"/>
      <c r="C94" s="15"/>
      <c r="D94" s="15"/>
      <c r="E94" s="15"/>
      <c r="F94" s="15"/>
      <c r="G94" s="16" t="str">
        <f aca="false">IF(A94="","",IF(OR(B94="",D94=""),"Name and transactions needed","OK"))</f>
        <v/>
      </c>
    </row>
    <row r="95" customFormat="false" ht="15" hidden="false" customHeight="false" outlineLevel="0" collapsed="false">
      <c r="A95" s="15"/>
      <c r="B95" s="15"/>
      <c r="C95" s="15"/>
      <c r="D95" s="15"/>
      <c r="E95" s="15"/>
      <c r="F95" s="15"/>
      <c r="G95" s="16" t="str">
        <f aca="false">IF(A95="","",IF(OR(B95="",D95=""),"Name and transactions needed","OK"))</f>
        <v/>
      </c>
    </row>
    <row r="96" customFormat="false" ht="15" hidden="false" customHeight="false" outlineLevel="0" collapsed="false">
      <c r="A96" s="15"/>
      <c r="B96" s="15"/>
      <c r="C96" s="15"/>
      <c r="D96" s="15"/>
      <c r="E96" s="15"/>
      <c r="F96" s="15"/>
      <c r="G96" s="16" t="str">
        <f aca="false">IF(A96="","",IF(OR(B96="",D96=""),"Name and transactions needed","OK"))</f>
        <v/>
      </c>
    </row>
    <row r="97" customFormat="false" ht="15" hidden="false" customHeight="false" outlineLevel="0" collapsed="false">
      <c r="A97" s="15"/>
      <c r="B97" s="15"/>
      <c r="C97" s="15"/>
      <c r="D97" s="15"/>
      <c r="E97" s="15"/>
      <c r="F97" s="15"/>
      <c r="G97" s="16" t="str">
        <f aca="false">IF(A97="","",IF(OR(B97="",D97=""),"Name and transactions needed","OK"))</f>
        <v/>
      </c>
    </row>
    <row r="98" customFormat="false" ht="15" hidden="false" customHeight="false" outlineLevel="0" collapsed="false">
      <c r="A98" s="15"/>
      <c r="B98" s="15"/>
      <c r="C98" s="15"/>
      <c r="D98" s="15"/>
      <c r="E98" s="15"/>
      <c r="F98" s="15"/>
      <c r="G98" s="16" t="str">
        <f aca="false">IF(A98="","",IF(OR(B98="",D98=""),"Name and transactions needed","OK"))</f>
        <v/>
      </c>
    </row>
    <row r="99" customFormat="false" ht="15" hidden="false" customHeight="false" outlineLevel="0" collapsed="false">
      <c r="A99" s="15"/>
      <c r="B99" s="15"/>
      <c r="C99" s="15"/>
      <c r="D99" s="15"/>
      <c r="E99" s="15"/>
      <c r="F99" s="15"/>
      <c r="G99" s="16" t="str">
        <f aca="false">IF(A99="","",IF(OR(B99="",D99=""),"Name and transactions needed","OK"))</f>
        <v/>
      </c>
    </row>
    <row r="100" customFormat="false" ht="15" hidden="false" customHeight="false" outlineLevel="0" collapsed="false">
      <c r="A100" s="15"/>
      <c r="B100" s="15"/>
      <c r="C100" s="15"/>
      <c r="D100" s="15"/>
      <c r="E100" s="15"/>
      <c r="F100" s="15"/>
      <c r="G100" s="16" t="str">
        <f aca="false">IF(A100="","",IF(OR(B100="",D100=""),"Name and transactions needed","OK"))</f>
        <v/>
      </c>
    </row>
    <row r="101" customFormat="false" ht="15" hidden="false" customHeight="false" outlineLevel="0" collapsed="false">
      <c r="A101" s="15"/>
      <c r="B101" s="15"/>
      <c r="C101" s="15"/>
      <c r="D101" s="15"/>
      <c r="E101" s="15"/>
      <c r="F101" s="15"/>
      <c r="G101" s="16" t="str">
        <f aca="false">IF(A101="","",IF(OR(B101="",D101=""),"Name and transactions needed","OK"))</f>
        <v/>
      </c>
    </row>
    <row r="102" customFormat="false" ht="15" hidden="false" customHeight="false" outlineLevel="0" collapsed="false">
      <c r="A102" s="15"/>
      <c r="B102" s="15"/>
      <c r="C102" s="15"/>
      <c r="D102" s="15"/>
      <c r="E102" s="15"/>
      <c r="F102" s="15"/>
      <c r="G102" s="16" t="str">
        <f aca="false">IF(A102="","",IF(OR(B102="",D102=""),"Name and transactions needed","OK"))</f>
        <v/>
      </c>
    </row>
    <row r="103" customFormat="false" ht="15" hidden="false" customHeight="false" outlineLevel="0" collapsed="false">
      <c r="A103" s="15"/>
      <c r="B103" s="15"/>
      <c r="C103" s="15"/>
      <c r="D103" s="15"/>
      <c r="E103" s="15"/>
      <c r="F103" s="15"/>
      <c r="G103" s="16" t="str">
        <f aca="false">IF(A103="","",IF(OR(B103="",D103=""),"Name and transactions needed","OK"))</f>
        <v/>
      </c>
    </row>
    <row r="104" customFormat="false" ht="15" hidden="false" customHeight="false" outlineLevel="0" collapsed="false">
      <c r="A104" s="15"/>
      <c r="B104" s="15"/>
      <c r="C104" s="15"/>
      <c r="D104" s="15"/>
      <c r="E104" s="15"/>
      <c r="F104" s="15"/>
      <c r="G104" s="16" t="str">
        <f aca="false">IF(A104="","",IF(OR(B104="",D104=""),"Name and transactions needed","OK"))</f>
        <v/>
      </c>
    </row>
    <row r="105" customFormat="false" ht="15" hidden="false" customHeight="false" outlineLevel="0" collapsed="false">
      <c r="A105" s="15"/>
      <c r="B105" s="15"/>
      <c r="C105" s="15"/>
      <c r="D105" s="15"/>
      <c r="E105" s="15"/>
      <c r="F105" s="15"/>
      <c r="G105" s="16" t="str">
        <f aca="false">IF(A105="","",IF(OR(B105="",D105=""),"Name and transactions needed","OK"))</f>
        <v/>
      </c>
    </row>
    <row r="106" customFormat="false" ht="15" hidden="false" customHeight="false" outlineLevel="0" collapsed="false">
      <c r="A106" s="15"/>
      <c r="B106" s="15"/>
      <c r="C106" s="15"/>
      <c r="D106" s="15"/>
      <c r="E106" s="15"/>
      <c r="F106" s="15"/>
      <c r="G106" s="16" t="str">
        <f aca="false">IF(A106="","",IF(OR(B106="",D106=""),"Name and transactions needed","OK"))</f>
        <v/>
      </c>
    </row>
    <row r="107" customFormat="false" ht="15" hidden="false" customHeight="false" outlineLevel="0" collapsed="false">
      <c r="A107" s="15"/>
      <c r="B107" s="15"/>
      <c r="C107" s="15"/>
      <c r="D107" s="15"/>
      <c r="E107" s="15"/>
      <c r="F107" s="15"/>
      <c r="G107" s="16" t="str">
        <f aca="false">IF(A107="","",IF(OR(B107="",D107=""),"Name and transactions needed","OK"))</f>
        <v/>
      </c>
    </row>
    <row r="108" customFormat="false" ht="15" hidden="false" customHeight="false" outlineLevel="0" collapsed="false">
      <c r="A108" s="15"/>
      <c r="B108" s="15"/>
      <c r="C108" s="15"/>
      <c r="D108" s="15"/>
      <c r="E108" s="15"/>
      <c r="F108" s="15"/>
      <c r="G108" s="16" t="str">
        <f aca="false">IF(A108="","",IF(OR(B108="",D108=""),"Name and transactions needed","OK"))</f>
        <v/>
      </c>
    </row>
    <row r="109" customFormat="false" ht="15" hidden="false" customHeight="false" outlineLevel="0" collapsed="false">
      <c r="A109" s="15"/>
      <c r="B109" s="15"/>
      <c r="C109" s="15"/>
      <c r="D109" s="15"/>
      <c r="E109" s="15"/>
      <c r="F109" s="15"/>
      <c r="G109" s="16" t="str">
        <f aca="false">IF(A109="","",IF(OR(B109="",D109=""),"Name and transactions needed","OK"))</f>
        <v/>
      </c>
    </row>
    <row r="110" customFormat="false" ht="15" hidden="false" customHeight="false" outlineLevel="0" collapsed="false">
      <c r="A110" s="15"/>
      <c r="B110" s="15"/>
      <c r="C110" s="15"/>
      <c r="D110" s="15"/>
      <c r="E110" s="15"/>
      <c r="F110" s="15"/>
      <c r="G110" s="16" t="str">
        <f aca="false">IF(A110="","",IF(OR(B110="",D110=""),"Name and transactions needed","OK"))</f>
        <v/>
      </c>
    </row>
    <row r="111" customFormat="false" ht="15" hidden="false" customHeight="false" outlineLevel="0" collapsed="false">
      <c r="A111" s="15"/>
      <c r="B111" s="15"/>
      <c r="C111" s="15"/>
      <c r="D111" s="15"/>
      <c r="E111" s="15"/>
      <c r="F111" s="15"/>
      <c r="G111" s="16" t="str">
        <f aca="false">IF(A111="","",IF(OR(B111="",D111=""),"Name and transactions needed","OK"))</f>
        <v/>
      </c>
    </row>
    <row r="112" customFormat="false" ht="15" hidden="false" customHeight="false" outlineLevel="0" collapsed="false">
      <c r="A112" s="15"/>
      <c r="B112" s="15"/>
      <c r="C112" s="15"/>
      <c r="D112" s="15"/>
      <c r="E112" s="15"/>
      <c r="F112" s="15"/>
      <c r="G112" s="16" t="str">
        <f aca="false">IF(A112="","",IF(OR(B112="",D112=""),"Name and transactions needed","OK"))</f>
        <v/>
      </c>
    </row>
    <row r="113" customFormat="false" ht="15" hidden="false" customHeight="false" outlineLevel="0" collapsed="false">
      <c r="A113" s="15"/>
      <c r="B113" s="15"/>
      <c r="C113" s="15"/>
      <c r="D113" s="15"/>
      <c r="E113" s="15"/>
      <c r="F113" s="15"/>
      <c r="G113" s="16" t="str">
        <f aca="false">IF(A113="","",IF(OR(B113="",D113=""),"Name and transactions needed","OK"))</f>
        <v/>
      </c>
    </row>
    <row r="114" customFormat="false" ht="15" hidden="false" customHeight="false" outlineLevel="0" collapsed="false">
      <c r="A114" s="15"/>
      <c r="B114" s="15"/>
      <c r="C114" s="15"/>
      <c r="D114" s="15"/>
      <c r="E114" s="15"/>
      <c r="F114" s="15"/>
      <c r="G114" s="16" t="str">
        <f aca="false">IF(A114="","",IF(OR(B114="",D114=""),"Name and transactions needed","OK"))</f>
        <v/>
      </c>
    </row>
    <row r="115" customFormat="false" ht="15" hidden="false" customHeight="false" outlineLevel="0" collapsed="false">
      <c r="A115" s="15"/>
      <c r="B115" s="15"/>
      <c r="C115" s="15"/>
      <c r="D115" s="15"/>
      <c r="E115" s="15"/>
      <c r="F115" s="15"/>
      <c r="G115" s="16" t="str">
        <f aca="false">IF(A115="","",IF(OR(B115="",D115=""),"Name and transactions needed","OK"))</f>
        <v/>
      </c>
    </row>
    <row r="116" customFormat="false" ht="15" hidden="false" customHeight="false" outlineLevel="0" collapsed="false">
      <c r="A116" s="15"/>
      <c r="B116" s="15"/>
      <c r="C116" s="15"/>
      <c r="D116" s="15"/>
      <c r="E116" s="15"/>
      <c r="F116" s="15"/>
      <c r="G116" s="16" t="str">
        <f aca="false">IF(A116="","",IF(OR(B116="",D116=""),"Name and transactions needed","OK"))</f>
        <v/>
      </c>
    </row>
    <row r="117" customFormat="false" ht="15" hidden="false" customHeight="false" outlineLevel="0" collapsed="false">
      <c r="A117" s="15"/>
      <c r="B117" s="15"/>
      <c r="C117" s="15"/>
      <c r="D117" s="15"/>
      <c r="E117" s="15"/>
      <c r="F117" s="15"/>
      <c r="G117" s="16" t="str">
        <f aca="false">IF(A117="","",IF(OR(B117="",D117=""),"Name and transactions needed","OK"))</f>
        <v/>
      </c>
    </row>
    <row r="118" customFormat="false" ht="15" hidden="false" customHeight="false" outlineLevel="0" collapsed="false">
      <c r="A118" s="15"/>
      <c r="B118" s="15"/>
      <c r="C118" s="15"/>
      <c r="D118" s="15"/>
      <c r="E118" s="15"/>
      <c r="F118" s="15"/>
      <c r="G118" s="16" t="str">
        <f aca="false">IF(A118="","",IF(OR(B118="",D118=""),"Name and transactions needed","OK"))</f>
        <v/>
      </c>
    </row>
    <row r="119" customFormat="false" ht="15" hidden="false" customHeight="false" outlineLevel="0" collapsed="false">
      <c r="A119" s="15"/>
      <c r="B119" s="15"/>
      <c r="C119" s="15"/>
      <c r="D119" s="15"/>
      <c r="E119" s="15"/>
      <c r="F119" s="15"/>
      <c r="G119" s="16" t="str">
        <f aca="false">IF(A119="","",IF(OR(B119="",D119=""),"Name and transactions needed","OK"))</f>
        <v/>
      </c>
    </row>
    <row r="120" customFormat="false" ht="15" hidden="false" customHeight="false" outlineLevel="0" collapsed="false">
      <c r="A120" s="15"/>
      <c r="B120" s="15"/>
      <c r="C120" s="15"/>
      <c r="D120" s="15"/>
      <c r="E120" s="15"/>
      <c r="F120" s="15"/>
      <c r="G120" s="16" t="str">
        <f aca="false">IF(A120="","",IF(OR(B120="",D120=""),"Name and transactions needed","OK"))</f>
        <v/>
      </c>
    </row>
    <row r="121" customFormat="false" ht="15" hidden="false" customHeight="false" outlineLevel="0" collapsed="false">
      <c r="A121" s="15"/>
      <c r="B121" s="15"/>
      <c r="C121" s="15"/>
      <c r="D121" s="15"/>
      <c r="E121" s="15"/>
      <c r="F121" s="15"/>
      <c r="G121" s="16" t="str">
        <f aca="false">IF(A121="","",IF(OR(B121="",D121=""),"Name and transactions needed","OK"))</f>
        <v/>
      </c>
    </row>
    <row r="122" customFormat="false" ht="15" hidden="false" customHeight="false" outlineLevel="0" collapsed="false">
      <c r="A122" s="15"/>
      <c r="B122" s="15"/>
      <c r="C122" s="15"/>
      <c r="D122" s="15"/>
      <c r="E122" s="15"/>
      <c r="F122" s="15"/>
      <c r="G122" s="16" t="str">
        <f aca="false">IF(A122="","",IF(OR(B122="",D122=""),"Name and transactions needed","OK"))</f>
        <v/>
      </c>
    </row>
    <row r="123" customFormat="false" ht="15" hidden="false" customHeight="false" outlineLevel="0" collapsed="false">
      <c r="A123" s="15"/>
      <c r="B123" s="15"/>
      <c r="C123" s="15"/>
      <c r="D123" s="15"/>
      <c r="E123" s="15"/>
      <c r="F123" s="15"/>
      <c r="G123" s="16" t="str">
        <f aca="false">IF(A123="","",IF(OR(B123="",D123=""),"Name and transactions needed","OK"))</f>
        <v/>
      </c>
    </row>
    <row r="124" customFormat="false" ht="15" hidden="false" customHeight="false" outlineLevel="0" collapsed="false">
      <c r="A124" s="15"/>
      <c r="B124" s="15"/>
      <c r="C124" s="15"/>
      <c r="D124" s="15"/>
      <c r="E124" s="15"/>
      <c r="F124" s="15"/>
      <c r="G124" s="16" t="str">
        <f aca="false">IF(A124="","",IF(OR(B124="",D124=""),"Name and transactions needed","OK"))</f>
        <v/>
      </c>
    </row>
    <row r="125" customFormat="false" ht="15" hidden="false" customHeight="false" outlineLevel="0" collapsed="false">
      <c r="A125" s="15"/>
      <c r="B125" s="15"/>
      <c r="C125" s="15"/>
      <c r="D125" s="15"/>
      <c r="E125" s="15"/>
      <c r="F125" s="15"/>
      <c r="G125" s="16" t="str">
        <f aca="false">IF(A125="","",IF(OR(B125="",D125=""),"Name and transactions needed","OK"))</f>
        <v/>
      </c>
    </row>
    <row r="126" customFormat="false" ht="15" hidden="false" customHeight="false" outlineLevel="0" collapsed="false">
      <c r="A126" s="15"/>
      <c r="B126" s="15"/>
      <c r="C126" s="15"/>
      <c r="D126" s="15"/>
      <c r="E126" s="15"/>
      <c r="F126" s="15"/>
      <c r="G126" s="16" t="str">
        <f aca="false">IF(A126="","",IF(OR(B126="",D126=""),"Name and transactions needed","OK"))</f>
        <v/>
      </c>
    </row>
    <row r="127" customFormat="false" ht="15" hidden="false" customHeight="false" outlineLevel="0" collapsed="false">
      <c r="A127" s="15"/>
      <c r="B127" s="15"/>
      <c r="C127" s="15"/>
      <c r="D127" s="15"/>
      <c r="E127" s="15"/>
      <c r="F127" s="15"/>
      <c r="G127" s="16" t="str">
        <f aca="false">IF(A127="","",IF(OR(B127="",D127=""),"Name and transactions needed","OK"))</f>
        <v/>
      </c>
    </row>
    <row r="128" customFormat="false" ht="15" hidden="false" customHeight="false" outlineLevel="0" collapsed="false">
      <c r="A128" s="15"/>
      <c r="B128" s="15"/>
      <c r="C128" s="15"/>
      <c r="D128" s="15"/>
      <c r="E128" s="15"/>
      <c r="F128" s="15"/>
      <c r="G128" s="16" t="str">
        <f aca="false">IF(A128="","",IF(OR(B128="",D128=""),"Name and transactions needed","OK"))</f>
        <v/>
      </c>
    </row>
    <row r="129" customFormat="false" ht="15" hidden="false" customHeight="false" outlineLevel="0" collapsed="false">
      <c r="A129" s="15"/>
      <c r="B129" s="15"/>
      <c r="C129" s="15"/>
      <c r="D129" s="15"/>
      <c r="E129" s="15"/>
      <c r="F129" s="15"/>
      <c r="G129" s="16" t="str">
        <f aca="false">IF(A129="","",IF(OR(B129="",D129=""),"Name and transactions needed","OK"))</f>
        <v/>
      </c>
    </row>
    <row r="130" customFormat="false" ht="15" hidden="false" customHeight="false" outlineLevel="0" collapsed="false">
      <c r="A130" s="15"/>
      <c r="B130" s="15"/>
      <c r="C130" s="15"/>
      <c r="D130" s="15"/>
      <c r="E130" s="15"/>
      <c r="F130" s="15"/>
      <c r="G130" s="16" t="str">
        <f aca="false">IF(A130="","",IF(OR(B130="",D130=""),"Name and transactions needed","OK"))</f>
        <v/>
      </c>
    </row>
    <row r="131" customFormat="false" ht="15" hidden="false" customHeight="false" outlineLevel="0" collapsed="false">
      <c r="A131" s="15"/>
      <c r="B131" s="15"/>
      <c r="C131" s="15"/>
      <c r="D131" s="15"/>
      <c r="E131" s="15"/>
      <c r="F131" s="15"/>
      <c r="G131" s="16" t="str">
        <f aca="false">IF(A131="","",IF(OR(B131="",D131=""),"Name and transactions needed","OK"))</f>
        <v/>
      </c>
    </row>
    <row r="132" customFormat="false" ht="15" hidden="false" customHeight="false" outlineLevel="0" collapsed="false">
      <c r="A132" s="15"/>
      <c r="B132" s="15"/>
      <c r="C132" s="15"/>
      <c r="D132" s="15"/>
      <c r="E132" s="15"/>
      <c r="F132" s="15"/>
      <c r="G132" s="16" t="str">
        <f aca="false">IF(A132="","",IF(OR(B132="",D132=""),"Name and transactions needed","OK"))</f>
        <v/>
      </c>
    </row>
    <row r="133" customFormat="false" ht="15" hidden="false" customHeight="false" outlineLevel="0" collapsed="false">
      <c r="A133" s="15"/>
      <c r="B133" s="15"/>
      <c r="C133" s="15"/>
      <c r="D133" s="15"/>
      <c r="E133" s="15"/>
      <c r="F133" s="15"/>
      <c r="G133" s="16" t="str">
        <f aca="false">IF(A133="","",IF(OR(B133="",D133=""),"Name and transactions needed","OK"))</f>
        <v/>
      </c>
    </row>
    <row r="134" customFormat="false" ht="15" hidden="false" customHeight="false" outlineLevel="0" collapsed="false">
      <c r="A134" s="15"/>
      <c r="B134" s="15"/>
      <c r="C134" s="15"/>
      <c r="D134" s="15"/>
      <c r="E134" s="15"/>
      <c r="F134" s="15"/>
      <c r="G134" s="16" t="str">
        <f aca="false">IF(A134="","",IF(OR(B134="",D134=""),"Name and transactions needed","OK"))</f>
        <v/>
      </c>
    </row>
    <row r="135" customFormat="false" ht="15" hidden="false" customHeight="false" outlineLevel="0" collapsed="false">
      <c r="A135" s="15"/>
      <c r="B135" s="15"/>
      <c r="C135" s="15"/>
      <c r="D135" s="15"/>
      <c r="E135" s="15"/>
      <c r="F135" s="15"/>
      <c r="G135" s="16" t="str">
        <f aca="false">IF(A135="","",IF(OR(B135="",D135=""),"Name and transactions needed","OK"))</f>
        <v/>
      </c>
    </row>
    <row r="136" customFormat="false" ht="15" hidden="false" customHeight="false" outlineLevel="0" collapsed="false">
      <c r="A136" s="15"/>
      <c r="B136" s="15"/>
      <c r="C136" s="15"/>
      <c r="D136" s="15"/>
      <c r="E136" s="15"/>
      <c r="F136" s="15"/>
      <c r="G136" s="16" t="str">
        <f aca="false">IF(A136="","",IF(OR(B136="",D136=""),"Name and transactions needed","OK"))</f>
        <v/>
      </c>
    </row>
    <row r="137" customFormat="false" ht="15" hidden="false" customHeight="false" outlineLevel="0" collapsed="false">
      <c r="A137" s="15"/>
      <c r="B137" s="15"/>
      <c r="C137" s="15"/>
      <c r="D137" s="15"/>
      <c r="E137" s="15"/>
      <c r="F137" s="15"/>
      <c r="G137" s="16" t="str">
        <f aca="false">IF(A137="","",IF(OR(B137="",D137=""),"Name and transactions needed","OK"))</f>
        <v/>
      </c>
    </row>
    <row r="138" customFormat="false" ht="15" hidden="false" customHeight="false" outlineLevel="0" collapsed="false">
      <c r="A138" s="15"/>
      <c r="B138" s="15"/>
      <c r="C138" s="15"/>
      <c r="D138" s="15"/>
      <c r="E138" s="15"/>
      <c r="F138" s="15"/>
      <c r="G138" s="16" t="str">
        <f aca="false">IF(A138="","",IF(OR(B138="",D138=""),"Name and transactions needed","OK"))</f>
        <v/>
      </c>
    </row>
    <row r="139" customFormat="false" ht="15" hidden="false" customHeight="false" outlineLevel="0" collapsed="false">
      <c r="A139" s="15"/>
      <c r="B139" s="15"/>
      <c r="C139" s="15"/>
      <c r="D139" s="15"/>
      <c r="E139" s="15"/>
      <c r="F139" s="15"/>
      <c r="G139" s="16" t="str">
        <f aca="false">IF(A139="","",IF(OR(B139="",D139=""),"Name and transactions needed","OK"))</f>
        <v/>
      </c>
    </row>
    <row r="140" customFormat="false" ht="15" hidden="false" customHeight="false" outlineLevel="0" collapsed="false">
      <c r="A140" s="15"/>
      <c r="B140" s="15"/>
      <c r="C140" s="15"/>
      <c r="D140" s="15"/>
      <c r="E140" s="15"/>
      <c r="F140" s="15"/>
      <c r="G140" s="16" t="str">
        <f aca="false">IF(A140="","",IF(OR(B140="",D140=""),"Name and transactions needed","OK"))</f>
        <v/>
      </c>
    </row>
    <row r="141" customFormat="false" ht="15" hidden="false" customHeight="false" outlineLevel="0" collapsed="false">
      <c r="A141" s="15"/>
      <c r="B141" s="15"/>
      <c r="C141" s="15"/>
      <c r="D141" s="15"/>
      <c r="E141" s="15"/>
      <c r="F141" s="15"/>
      <c r="G141" s="16" t="str">
        <f aca="false">IF(A141="","",IF(OR(B141="",D141=""),"Name and transactions needed","OK"))</f>
        <v/>
      </c>
    </row>
    <row r="142" customFormat="false" ht="15" hidden="false" customHeight="false" outlineLevel="0" collapsed="false">
      <c r="A142" s="15"/>
      <c r="B142" s="15"/>
      <c r="C142" s="15"/>
      <c r="D142" s="15"/>
      <c r="E142" s="15"/>
      <c r="F142" s="15"/>
      <c r="G142" s="16" t="str">
        <f aca="false">IF(A142="","",IF(OR(B142="",D142=""),"Name and transactions needed","OK"))</f>
        <v/>
      </c>
    </row>
    <row r="143" customFormat="false" ht="15" hidden="false" customHeight="false" outlineLevel="0" collapsed="false">
      <c r="A143" s="15"/>
      <c r="B143" s="15"/>
      <c r="C143" s="15"/>
      <c r="D143" s="15"/>
      <c r="E143" s="15"/>
      <c r="F143" s="15"/>
      <c r="G143" s="16" t="str">
        <f aca="false">IF(A143="","",IF(OR(B143="",D143=""),"Name and transactions needed","OK"))</f>
        <v/>
      </c>
    </row>
    <row r="144" customFormat="false" ht="15" hidden="false" customHeight="false" outlineLevel="0" collapsed="false">
      <c r="A144" s="15"/>
      <c r="B144" s="15"/>
      <c r="C144" s="15"/>
      <c r="D144" s="15"/>
      <c r="E144" s="15"/>
      <c r="F144" s="15"/>
      <c r="G144" s="16" t="str">
        <f aca="false">IF(A144="","",IF(OR(B144="",D144=""),"Name and transactions needed","OK"))</f>
        <v/>
      </c>
    </row>
    <row r="145" customFormat="false" ht="15" hidden="false" customHeight="false" outlineLevel="0" collapsed="false">
      <c r="A145" s="15"/>
      <c r="B145" s="15"/>
      <c r="C145" s="15"/>
      <c r="D145" s="15"/>
      <c r="E145" s="15"/>
      <c r="F145" s="15"/>
      <c r="G145" s="16" t="str">
        <f aca="false">IF(A145="","",IF(OR(B145="",D145=""),"Name and transactions needed","OK"))</f>
        <v/>
      </c>
    </row>
    <row r="146" customFormat="false" ht="15" hidden="false" customHeight="false" outlineLevel="0" collapsed="false">
      <c r="A146" s="15"/>
      <c r="B146" s="15"/>
      <c r="C146" s="15"/>
      <c r="D146" s="15"/>
      <c r="E146" s="15"/>
      <c r="F146" s="15"/>
      <c r="G146" s="16" t="str">
        <f aca="false">IF(A146="","",IF(OR(B146="",D146=""),"Name and transactions needed","OK"))</f>
        <v/>
      </c>
    </row>
    <row r="147" customFormat="false" ht="15" hidden="false" customHeight="false" outlineLevel="0" collapsed="false">
      <c r="A147" s="15"/>
      <c r="B147" s="15"/>
      <c r="C147" s="15"/>
      <c r="D147" s="15"/>
      <c r="E147" s="15"/>
      <c r="F147" s="15"/>
      <c r="G147" s="16" t="str">
        <f aca="false">IF(A147="","",IF(OR(B147="",D147=""),"Name and transactions needed","OK"))</f>
        <v/>
      </c>
    </row>
    <row r="148" customFormat="false" ht="15" hidden="false" customHeight="false" outlineLevel="0" collapsed="false">
      <c r="A148" s="15"/>
      <c r="B148" s="15"/>
      <c r="C148" s="15"/>
      <c r="D148" s="15"/>
      <c r="E148" s="15"/>
      <c r="F148" s="15"/>
      <c r="G148" s="16" t="str">
        <f aca="false">IF(A148="","",IF(OR(B148="",D148=""),"Name and transactions needed","OK"))</f>
        <v/>
      </c>
    </row>
    <row r="149" customFormat="false" ht="15" hidden="false" customHeight="false" outlineLevel="0" collapsed="false">
      <c r="A149" s="15"/>
      <c r="B149" s="15"/>
      <c r="C149" s="15"/>
      <c r="D149" s="15"/>
      <c r="E149" s="15"/>
      <c r="F149" s="15"/>
      <c r="G149" s="16" t="str">
        <f aca="false">IF(A149="","",IF(OR(B149="",D149=""),"Name and transactions needed","OK"))</f>
        <v/>
      </c>
    </row>
    <row r="150" customFormat="false" ht="15" hidden="false" customHeight="false" outlineLevel="0" collapsed="false">
      <c r="A150" s="15"/>
      <c r="B150" s="15"/>
      <c r="C150" s="15"/>
      <c r="D150" s="15"/>
      <c r="E150" s="15"/>
      <c r="F150" s="15"/>
      <c r="G150" s="16" t="str">
        <f aca="false">IF(A150="","",IF(OR(B150="",D150=""),"Name and transactions needed","OK"))</f>
        <v/>
      </c>
    </row>
    <row r="151" customFormat="false" ht="15" hidden="false" customHeight="false" outlineLevel="0" collapsed="false">
      <c r="A151" s="15"/>
      <c r="B151" s="15"/>
      <c r="C151" s="15"/>
      <c r="D151" s="15"/>
      <c r="E151" s="15"/>
      <c r="F151" s="15"/>
      <c r="G151" s="16" t="str">
        <f aca="false">IF(A151="","",IF(OR(B151="",D151=""),"Name and transactions needed","OK"))</f>
        <v/>
      </c>
    </row>
    <row r="152" customFormat="false" ht="15" hidden="false" customHeight="false" outlineLevel="0" collapsed="false">
      <c r="A152" s="15"/>
      <c r="B152" s="15"/>
      <c r="C152" s="15"/>
      <c r="D152" s="15"/>
      <c r="E152" s="15"/>
      <c r="F152" s="15"/>
      <c r="G152" s="16" t="str">
        <f aca="false">IF(A152="","",IF(OR(B152="",D152=""),"Name and transactions needed","OK"))</f>
        <v/>
      </c>
    </row>
    <row r="153" customFormat="false" ht="15" hidden="false" customHeight="false" outlineLevel="0" collapsed="false">
      <c r="A153" s="15"/>
      <c r="B153" s="15"/>
      <c r="C153" s="15"/>
      <c r="D153" s="15"/>
      <c r="E153" s="15"/>
      <c r="F153" s="15"/>
      <c r="G153" s="16" t="str">
        <f aca="false">IF(A153="","",IF(OR(B153="",D153=""),"Name and transactions needed","OK"))</f>
        <v/>
      </c>
    </row>
    <row r="154" customFormat="false" ht="15" hidden="false" customHeight="false" outlineLevel="0" collapsed="false">
      <c r="A154" s="15"/>
      <c r="B154" s="15"/>
      <c r="C154" s="15"/>
      <c r="D154" s="15"/>
      <c r="E154" s="15"/>
      <c r="F154" s="15"/>
      <c r="G154" s="16" t="str">
        <f aca="false">IF(A154="","",IF(OR(B154="",D154=""),"Name and transactions needed","OK"))</f>
        <v/>
      </c>
    </row>
    <row r="155" customFormat="false" ht="15" hidden="false" customHeight="false" outlineLevel="0" collapsed="false">
      <c r="A155" s="15"/>
      <c r="B155" s="15"/>
      <c r="C155" s="15"/>
      <c r="D155" s="15"/>
      <c r="E155" s="15"/>
      <c r="F155" s="15"/>
      <c r="G155" s="16" t="str">
        <f aca="false">IF(A155="","",IF(OR(B155="",D155=""),"Name and transactions needed","OK"))</f>
        <v/>
      </c>
    </row>
    <row r="156" customFormat="false" ht="15" hidden="false" customHeight="false" outlineLevel="0" collapsed="false">
      <c r="A156" s="15"/>
      <c r="B156" s="15"/>
      <c r="C156" s="15"/>
      <c r="D156" s="15"/>
      <c r="E156" s="15"/>
      <c r="F156" s="15"/>
      <c r="G156" s="16" t="str">
        <f aca="false">IF(A156="","",IF(OR(B156="",D156=""),"Name and transactions needed","OK"))</f>
        <v/>
      </c>
    </row>
    <row r="157" customFormat="false" ht="15" hidden="false" customHeight="false" outlineLevel="0" collapsed="false">
      <c r="A157" s="15"/>
      <c r="B157" s="15"/>
      <c r="C157" s="15"/>
      <c r="D157" s="15"/>
      <c r="E157" s="15"/>
      <c r="F157" s="15"/>
      <c r="G157" s="16" t="str">
        <f aca="false">IF(A157="","",IF(OR(B157="",D157=""),"Name and transactions needed","OK"))</f>
        <v/>
      </c>
    </row>
    <row r="158" customFormat="false" ht="15" hidden="false" customHeight="false" outlineLevel="0" collapsed="false">
      <c r="A158" s="15"/>
      <c r="B158" s="15"/>
      <c r="C158" s="15"/>
      <c r="D158" s="15"/>
      <c r="E158" s="15"/>
      <c r="F158" s="15"/>
      <c r="G158" s="16" t="str">
        <f aca="false">IF(A158="","",IF(OR(B158="",D158=""),"Name and transactions needed","OK"))</f>
        <v/>
      </c>
    </row>
    <row r="159" customFormat="false" ht="15" hidden="false" customHeight="false" outlineLevel="0" collapsed="false">
      <c r="A159" s="15"/>
      <c r="B159" s="15"/>
      <c r="C159" s="15"/>
      <c r="D159" s="15"/>
      <c r="E159" s="15"/>
      <c r="F159" s="15"/>
      <c r="G159" s="16" t="str">
        <f aca="false">IF(A159="","",IF(OR(B159="",D159=""),"Name and transactions needed","OK"))</f>
        <v/>
      </c>
    </row>
    <row r="160" customFormat="false" ht="15" hidden="false" customHeight="false" outlineLevel="0" collapsed="false">
      <c r="A160" s="15"/>
      <c r="B160" s="15"/>
      <c r="C160" s="15"/>
      <c r="D160" s="15"/>
      <c r="E160" s="15"/>
      <c r="F160" s="15"/>
      <c r="G160" s="16" t="str">
        <f aca="false">IF(A160="","",IF(OR(B160="",D160=""),"Name and transactions needed","OK"))</f>
        <v/>
      </c>
    </row>
    <row r="161" customFormat="false" ht="15" hidden="false" customHeight="false" outlineLevel="0" collapsed="false">
      <c r="A161" s="15"/>
      <c r="B161" s="15"/>
      <c r="C161" s="15"/>
      <c r="D161" s="15"/>
      <c r="E161" s="15"/>
      <c r="F161" s="15"/>
      <c r="G161" s="16" t="str">
        <f aca="false">IF(A161="","",IF(OR(B161="",D161=""),"Name and transactions needed","OK"))</f>
        <v/>
      </c>
    </row>
    <row r="162" customFormat="false" ht="15" hidden="false" customHeight="false" outlineLevel="0" collapsed="false">
      <c r="A162" s="15"/>
      <c r="B162" s="15"/>
      <c r="C162" s="15"/>
      <c r="D162" s="15"/>
      <c r="E162" s="15"/>
      <c r="F162" s="15"/>
      <c r="G162" s="16" t="str">
        <f aca="false">IF(A162="","",IF(OR(B162="",D162=""),"Name and transactions needed","OK"))</f>
        <v/>
      </c>
    </row>
    <row r="163" customFormat="false" ht="15" hidden="false" customHeight="false" outlineLevel="0" collapsed="false">
      <c r="A163" s="15"/>
      <c r="B163" s="15"/>
      <c r="C163" s="15"/>
      <c r="D163" s="15"/>
      <c r="E163" s="15"/>
      <c r="F163" s="15"/>
      <c r="G163" s="16" t="str">
        <f aca="false">IF(A163="","",IF(OR(B163="",D163=""),"Name and transactions needed","OK"))</f>
        <v/>
      </c>
    </row>
    <row r="164" customFormat="false" ht="15" hidden="false" customHeight="false" outlineLevel="0" collapsed="false">
      <c r="A164" s="15"/>
      <c r="B164" s="15"/>
      <c r="C164" s="15"/>
      <c r="D164" s="15"/>
      <c r="E164" s="15"/>
      <c r="F164" s="15"/>
      <c r="G164" s="16" t="str">
        <f aca="false">IF(A164="","",IF(OR(B164="",D164=""),"Name and transactions needed","OK"))</f>
        <v/>
      </c>
    </row>
    <row r="165" customFormat="false" ht="15" hidden="false" customHeight="false" outlineLevel="0" collapsed="false">
      <c r="A165" s="15"/>
      <c r="B165" s="15"/>
      <c r="C165" s="15"/>
      <c r="D165" s="15"/>
      <c r="E165" s="15"/>
      <c r="F165" s="15"/>
      <c r="G165" s="16" t="str">
        <f aca="false">IF(A165="","",IF(OR(B165="",D165=""),"Name and transactions needed","OK"))</f>
        <v/>
      </c>
    </row>
    <row r="166" customFormat="false" ht="15" hidden="false" customHeight="false" outlineLevel="0" collapsed="false">
      <c r="A166" s="15"/>
      <c r="B166" s="15"/>
      <c r="C166" s="15"/>
      <c r="D166" s="15"/>
      <c r="E166" s="15"/>
      <c r="F166" s="15"/>
      <c r="G166" s="16" t="str">
        <f aca="false">IF(A166="","",IF(OR(B166="",D166=""),"Name and transactions needed","OK"))</f>
        <v/>
      </c>
    </row>
    <row r="167" customFormat="false" ht="15" hidden="false" customHeight="false" outlineLevel="0" collapsed="false">
      <c r="A167" s="15"/>
      <c r="B167" s="15"/>
      <c r="C167" s="15"/>
      <c r="D167" s="15"/>
      <c r="E167" s="15"/>
      <c r="F167" s="15"/>
      <c r="G167" s="16" t="str">
        <f aca="false">IF(A167="","",IF(OR(B167="",D167=""),"Name and transactions needed","OK"))</f>
        <v/>
      </c>
    </row>
    <row r="168" customFormat="false" ht="15" hidden="false" customHeight="false" outlineLevel="0" collapsed="false">
      <c r="A168" s="15"/>
      <c r="B168" s="15"/>
      <c r="C168" s="15"/>
      <c r="D168" s="15"/>
      <c r="E168" s="15"/>
      <c r="F168" s="15"/>
      <c r="G168" s="16" t="str">
        <f aca="false">IF(A168="","",IF(OR(B168="",D168=""),"Name and transactions needed","OK"))</f>
        <v/>
      </c>
    </row>
    <row r="169" customFormat="false" ht="15" hidden="false" customHeight="false" outlineLevel="0" collapsed="false">
      <c r="A169" s="15"/>
      <c r="B169" s="15"/>
      <c r="C169" s="15"/>
      <c r="D169" s="15"/>
      <c r="E169" s="15"/>
      <c r="F169" s="15"/>
      <c r="G169" s="16" t="str">
        <f aca="false">IF(A169="","",IF(OR(B169="",D169=""),"Name and transactions needed","OK"))</f>
        <v/>
      </c>
    </row>
    <row r="170" customFormat="false" ht="15" hidden="false" customHeight="false" outlineLevel="0" collapsed="false">
      <c r="A170" s="15"/>
      <c r="B170" s="15"/>
      <c r="C170" s="15"/>
      <c r="D170" s="15"/>
      <c r="E170" s="15"/>
      <c r="F170" s="15"/>
      <c r="G170" s="16" t="str">
        <f aca="false">IF(A170="","",IF(OR(B170="",D170=""),"Name and transactions needed","OK"))</f>
        <v/>
      </c>
    </row>
    <row r="171" customFormat="false" ht="15" hidden="false" customHeight="false" outlineLevel="0" collapsed="false">
      <c r="A171" s="15"/>
      <c r="B171" s="15"/>
      <c r="C171" s="15"/>
      <c r="D171" s="15"/>
      <c r="E171" s="15"/>
      <c r="F171" s="15"/>
      <c r="G171" s="16" t="str">
        <f aca="false">IF(A171="","",IF(OR(B171="",D171=""),"Name and transactions needed","OK"))</f>
        <v/>
      </c>
    </row>
    <row r="172" customFormat="false" ht="15" hidden="false" customHeight="false" outlineLevel="0" collapsed="false">
      <c r="A172" s="15"/>
      <c r="B172" s="15"/>
      <c r="C172" s="15"/>
      <c r="D172" s="15"/>
      <c r="E172" s="15"/>
      <c r="F172" s="15"/>
      <c r="G172" s="16" t="str">
        <f aca="false">IF(A172="","",IF(OR(B172="",D172=""),"Name and transactions needed","OK"))</f>
        <v/>
      </c>
    </row>
    <row r="173" customFormat="false" ht="15" hidden="false" customHeight="false" outlineLevel="0" collapsed="false">
      <c r="A173" s="15"/>
      <c r="B173" s="15"/>
      <c r="C173" s="15"/>
      <c r="D173" s="15"/>
      <c r="E173" s="15"/>
      <c r="F173" s="15"/>
      <c r="G173" s="16" t="str">
        <f aca="false">IF(A173="","",IF(OR(B173="",D173=""),"Name and transactions needed","OK"))</f>
        <v/>
      </c>
    </row>
    <row r="174" customFormat="false" ht="15" hidden="false" customHeight="false" outlineLevel="0" collapsed="false">
      <c r="A174" s="15"/>
      <c r="B174" s="15"/>
      <c r="C174" s="15"/>
      <c r="D174" s="15"/>
      <c r="E174" s="15"/>
      <c r="F174" s="15"/>
      <c r="G174" s="16" t="str">
        <f aca="false">IF(A174="","",IF(OR(B174="",D174=""),"Name and transactions needed","OK"))</f>
        <v/>
      </c>
    </row>
    <row r="175" customFormat="false" ht="15" hidden="false" customHeight="false" outlineLevel="0" collapsed="false">
      <c r="A175" s="15"/>
      <c r="B175" s="15"/>
      <c r="C175" s="15"/>
      <c r="D175" s="15"/>
      <c r="E175" s="15"/>
      <c r="F175" s="15"/>
      <c r="G175" s="16" t="str">
        <f aca="false">IF(A175="","",IF(OR(B175="",D175=""),"Name and transactions needed","OK"))</f>
        <v/>
      </c>
    </row>
    <row r="176" customFormat="false" ht="15" hidden="false" customHeight="false" outlineLevel="0" collapsed="false">
      <c r="A176" s="15"/>
      <c r="B176" s="15"/>
      <c r="C176" s="15"/>
      <c r="D176" s="15"/>
      <c r="E176" s="15"/>
      <c r="F176" s="15"/>
      <c r="G176" s="16" t="str">
        <f aca="false">IF(A176="","",IF(OR(B176="",D176=""),"Name and transactions needed","OK"))</f>
        <v/>
      </c>
    </row>
    <row r="177" customFormat="false" ht="15" hidden="false" customHeight="false" outlineLevel="0" collapsed="false">
      <c r="A177" s="15"/>
      <c r="B177" s="15"/>
      <c r="C177" s="15"/>
      <c r="D177" s="15"/>
      <c r="E177" s="15"/>
      <c r="F177" s="15"/>
      <c r="G177" s="16" t="str">
        <f aca="false">IF(A177="","",IF(OR(B177="",D177=""),"Name and transactions needed","OK"))</f>
        <v/>
      </c>
    </row>
    <row r="178" customFormat="false" ht="15" hidden="false" customHeight="false" outlineLevel="0" collapsed="false">
      <c r="A178" s="15"/>
      <c r="B178" s="15"/>
      <c r="C178" s="15"/>
      <c r="D178" s="15"/>
      <c r="E178" s="15"/>
      <c r="F178" s="15"/>
      <c r="G178" s="16" t="str">
        <f aca="false">IF(A178="","",IF(OR(B178="",D178=""),"Name and transactions needed","OK"))</f>
        <v/>
      </c>
    </row>
    <row r="179" customFormat="false" ht="15" hidden="false" customHeight="false" outlineLevel="0" collapsed="false">
      <c r="A179" s="15"/>
      <c r="B179" s="15"/>
      <c r="C179" s="15"/>
      <c r="D179" s="15"/>
      <c r="E179" s="15"/>
      <c r="F179" s="15"/>
      <c r="G179" s="16" t="str">
        <f aca="false">IF(A179="","",IF(OR(B179="",D179=""),"Name and transactions needed","OK"))</f>
        <v/>
      </c>
    </row>
    <row r="180" customFormat="false" ht="15" hidden="false" customHeight="false" outlineLevel="0" collapsed="false">
      <c r="A180" s="15"/>
      <c r="B180" s="15"/>
      <c r="C180" s="15"/>
      <c r="D180" s="15"/>
      <c r="E180" s="15"/>
      <c r="F180" s="15"/>
      <c r="G180" s="16" t="str">
        <f aca="false">IF(A180="","",IF(OR(B180="",D180=""),"Name and transactions needed","OK"))</f>
        <v/>
      </c>
    </row>
    <row r="181" customFormat="false" ht="15" hidden="false" customHeight="false" outlineLevel="0" collapsed="false">
      <c r="A181" s="15"/>
      <c r="B181" s="15"/>
      <c r="C181" s="15"/>
      <c r="D181" s="15"/>
      <c r="E181" s="15"/>
      <c r="F181" s="15"/>
      <c r="G181" s="16" t="str">
        <f aca="false">IF(A181="","",IF(OR(B181="",D181=""),"Name and transactions needed","OK"))</f>
        <v/>
      </c>
    </row>
    <row r="182" customFormat="false" ht="15" hidden="false" customHeight="false" outlineLevel="0" collapsed="false">
      <c r="A182" s="15"/>
      <c r="B182" s="15"/>
      <c r="C182" s="15"/>
      <c r="D182" s="15"/>
      <c r="E182" s="15"/>
      <c r="F182" s="15"/>
      <c r="G182" s="16" t="str">
        <f aca="false">IF(A182="","",IF(OR(B182="",D182=""),"Name and transactions needed","OK"))</f>
        <v/>
      </c>
    </row>
    <row r="183" customFormat="false" ht="15" hidden="false" customHeight="false" outlineLevel="0" collapsed="false">
      <c r="A183" s="15"/>
      <c r="B183" s="15"/>
      <c r="C183" s="15"/>
      <c r="D183" s="15"/>
      <c r="E183" s="15"/>
      <c r="F183" s="15"/>
      <c r="G183" s="16" t="str">
        <f aca="false">IF(A183="","",IF(OR(B183="",D183=""),"Name and transactions needed","OK"))</f>
        <v/>
      </c>
    </row>
    <row r="184" customFormat="false" ht="15" hidden="false" customHeight="false" outlineLevel="0" collapsed="false">
      <c r="A184" s="15"/>
      <c r="B184" s="15"/>
      <c r="C184" s="15"/>
      <c r="D184" s="15"/>
      <c r="E184" s="15"/>
      <c r="F184" s="15"/>
      <c r="G184" s="16" t="str">
        <f aca="false">IF(A184="","",IF(OR(B184="",D184=""),"Name and transactions needed","OK"))</f>
        <v/>
      </c>
    </row>
    <row r="185" customFormat="false" ht="15" hidden="false" customHeight="false" outlineLevel="0" collapsed="false">
      <c r="A185" s="15"/>
      <c r="B185" s="15"/>
      <c r="C185" s="15"/>
      <c r="D185" s="15"/>
      <c r="E185" s="15"/>
      <c r="F185" s="15"/>
      <c r="G185" s="16" t="str">
        <f aca="false">IF(A185="","",IF(OR(B185="",D185=""),"Name and transactions needed","OK"))</f>
        <v/>
      </c>
    </row>
    <row r="186" customFormat="false" ht="15" hidden="false" customHeight="false" outlineLevel="0" collapsed="false">
      <c r="A186" s="15"/>
      <c r="B186" s="15"/>
      <c r="C186" s="15"/>
      <c r="D186" s="15"/>
      <c r="E186" s="15"/>
      <c r="F186" s="15"/>
      <c r="G186" s="16" t="str">
        <f aca="false">IF(A186="","",IF(OR(B186="",D186=""),"Name and transactions needed","OK"))</f>
        <v/>
      </c>
    </row>
    <row r="187" customFormat="false" ht="15" hidden="false" customHeight="false" outlineLevel="0" collapsed="false">
      <c r="A187" s="15"/>
      <c r="B187" s="15"/>
      <c r="C187" s="15"/>
      <c r="D187" s="15"/>
      <c r="E187" s="15"/>
      <c r="F187" s="15"/>
      <c r="G187" s="16" t="str">
        <f aca="false">IF(A187="","",IF(OR(B187="",D187=""),"Name and transactions needed","OK"))</f>
        <v/>
      </c>
    </row>
    <row r="188" customFormat="false" ht="15" hidden="false" customHeight="false" outlineLevel="0" collapsed="false">
      <c r="A188" s="15"/>
      <c r="B188" s="15"/>
      <c r="C188" s="15"/>
      <c r="D188" s="15"/>
      <c r="E188" s="15"/>
      <c r="F188" s="15"/>
      <c r="G188" s="16" t="str">
        <f aca="false">IF(A188="","",IF(OR(B188="",D188=""),"Name and transactions needed","OK"))</f>
        <v/>
      </c>
    </row>
    <row r="189" customFormat="false" ht="15" hidden="false" customHeight="false" outlineLevel="0" collapsed="false">
      <c r="A189" s="15"/>
      <c r="B189" s="15"/>
      <c r="C189" s="15"/>
      <c r="D189" s="15"/>
      <c r="E189" s="15"/>
      <c r="F189" s="15"/>
      <c r="G189" s="16" t="str">
        <f aca="false">IF(A189="","",IF(OR(B189="",D189=""),"Name and transactions needed","OK"))</f>
        <v/>
      </c>
    </row>
    <row r="190" customFormat="false" ht="15" hidden="false" customHeight="false" outlineLevel="0" collapsed="false">
      <c r="A190" s="15"/>
      <c r="B190" s="15"/>
      <c r="C190" s="15"/>
      <c r="D190" s="15"/>
      <c r="E190" s="15"/>
      <c r="F190" s="15"/>
      <c r="G190" s="16" t="str">
        <f aca="false">IF(A190="","",IF(OR(B190="",D190=""),"Name and transactions needed","OK"))</f>
        <v/>
      </c>
    </row>
    <row r="191" customFormat="false" ht="15" hidden="false" customHeight="false" outlineLevel="0" collapsed="false">
      <c r="A191" s="15"/>
      <c r="B191" s="15"/>
      <c r="C191" s="15"/>
      <c r="D191" s="15"/>
      <c r="E191" s="15"/>
      <c r="F191" s="15"/>
      <c r="G191" s="16" t="str">
        <f aca="false">IF(A191="","",IF(OR(B191="",D191=""),"Name and transactions needed","OK"))</f>
        <v/>
      </c>
    </row>
    <row r="192" customFormat="false" ht="15" hidden="false" customHeight="false" outlineLevel="0" collapsed="false">
      <c r="A192" s="15"/>
      <c r="B192" s="15"/>
      <c r="C192" s="15"/>
      <c r="D192" s="15"/>
      <c r="E192" s="15"/>
      <c r="F192" s="15"/>
      <c r="G192" s="16" t="str">
        <f aca="false">IF(A192="","",IF(OR(B192="",D192=""),"Name and transactions needed","OK"))</f>
        <v/>
      </c>
    </row>
    <row r="193" customFormat="false" ht="15" hidden="false" customHeight="false" outlineLevel="0" collapsed="false">
      <c r="A193" s="15"/>
      <c r="B193" s="15"/>
      <c r="C193" s="15"/>
      <c r="D193" s="15"/>
      <c r="E193" s="15"/>
      <c r="F193" s="15"/>
      <c r="G193" s="16" t="str">
        <f aca="false">IF(A193="","",IF(OR(B193="",D193=""),"Name and transactions needed","OK"))</f>
        <v/>
      </c>
    </row>
    <row r="194" customFormat="false" ht="15" hidden="false" customHeight="false" outlineLevel="0" collapsed="false">
      <c r="A194" s="15"/>
      <c r="B194" s="15"/>
      <c r="C194" s="15"/>
      <c r="D194" s="15"/>
      <c r="E194" s="15"/>
      <c r="F194" s="15"/>
      <c r="G194" s="16" t="str">
        <f aca="false">IF(A194="","",IF(OR(B194="",D194=""),"Name and transactions needed","OK"))</f>
        <v/>
      </c>
    </row>
    <row r="195" customFormat="false" ht="15" hidden="false" customHeight="false" outlineLevel="0" collapsed="false">
      <c r="A195" s="15"/>
      <c r="B195" s="15"/>
      <c r="C195" s="15"/>
      <c r="D195" s="15"/>
      <c r="E195" s="15"/>
      <c r="F195" s="15"/>
      <c r="G195" s="16" t="str">
        <f aca="false">IF(A195="","",IF(OR(B195="",D195=""),"Name and transactions needed","OK"))</f>
        <v/>
      </c>
    </row>
    <row r="196" customFormat="false" ht="15" hidden="false" customHeight="false" outlineLevel="0" collapsed="false">
      <c r="A196" s="15"/>
      <c r="B196" s="15"/>
      <c r="C196" s="15"/>
      <c r="D196" s="15"/>
      <c r="E196" s="15"/>
      <c r="F196" s="15"/>
      <c r="G196" s="16" t="str">
        <f aca="false">IF(A196="","",IF(OR(B196="",D196=""),"Name and transactions needed","OK"))</f>
        <v/>
      </c>
    </row>
    <row r="197" customFormat="false" ht="15" hidden="false" customHeight="false" outlineLevel="0" collapsed="false">
      <c r="A197" s="15"/>
      <c r="B197" s="15"/>
      <c r="C197" s="15"/>
      <c r="D197" s="15"/>
      <c r="E197" s="15"/>
      <c r="F197" s="15"/>
      <c r="G197" s="16" t="str">
        <f aca="false">IF(A197="","",IF(OR(B197="",D197=""),"Name and transactions needed","OK"))</f>
        <v/>
      </c>
    </row>
    <row r="198" customFormat="false" ht="15" hidden="false" customHeight="false" outlineLevel="0" collapsed="false">
      <c r="A198" s="15"/>
      <c r="B198" s="15"/>
      <c r="C198" s="15"/>
      <c r="D198" s="15"/>
      <c r="E198" s="15"/>
      <c r="F198" s="15"/>
      <c r="G198" s="16" t="str">
        <f aca="false">IF(A198="","",IF(OR(B198="",D198=""),"Name and transactions needed","OK"))</f>
        <v/>
      </c>
    </row>
    <row r="199" customFormat="false" ht="15" hidden="false" customHeight="false" outlineLevel="0" collapsed="false">
      <c r="A199" s="15"/>
      <c r="B199" s="15"/>
      <c r="C199" s="15"/>
      <c r="D199" s="15"/>
      <c r="E199" s="15"/>
      <c r="F199" s="15"/>
      <c r="G199" s="16" t="str">
        <f aca="false">IF(A199="","",IF(OR(B199="",D199=""),"Name and transactions needed","OK"))</f>
        <v/>
      </c>
    </row>
    <row r="200" customFormat="false" ht="15" hidden="false" customHeight="false" outlineLevel="0" collapsed="false">
      <c r="A200" s="15"/>
      <c r="B200" s="15"/>
      <c r="C200" s="15"/>
      <c r="D200" s="15"/>
      <c r="E200" s="15"/>
      <c r="F200" s="15"/>
      <c r="G200" s="16" t="str">
        <f aca="false">IF(A200="","",IF(OR(B200="",D200=""),"Name and transactions needed","OK"))</f>
        <v/>
      </c>
    </row>
    <row r="201" customFormat="false" ht="15" hidden="false" customHeight="false" outlineLevel="0" collapsed="false">
      <c r="A201" s="15"/>
      <c r="B201" s="15"/>
      <c r="C201" s="15"/>
      <c r="D201" s="15"/>
      <c r="E201" s="15"/>
      <c r="F201" s="15"/>
      <c r="G201" s="16" t="str">
        <f aca="false">IF(A201="","",IF(OR(B201="",D201=""),"Name and transactions needed","OK"))</f>
        <v/>
      </c>
    </row>
    <row r="202" customFormat="false" ht="15" hidden="false" customHeight="false" outlineLevel="0" collapsed="false">
      <c r="A202" s="15"/>
      <c r="B202" s="15"/>
      <c r="C202" s="15"/>
      <c r="D202" s="15"/>
      <c r="E202" s="15"/>
      <c r="F202" s="15"/>
      <c r="G202" s="16" t="str">
        <f aca="false">IF(A202="","",IF(OR(B202="",D202=""),"Name and transactions needed","OK"))</f>
        <v/>
      </c>
    </row>
    <row r="203" customFormat="false" ht="15" hidden="false" customHeight="false" outlineLevel="0" collapsed="false">
      <c r="A203" s="15"/>
      <c r="B203" s="15"/>
      <c r="C203" s="15"/>
      <c r="D203" s="15"/>
      <c r="E203" s="15"/>
      <c r="F203" s="15"/>
      <c r="G203" s="16" t="str">
        <f aca="false">IF(A203="","",IF(OR(B203="",D203=""),"Name and transactions needed","OK"))</f>
        <v/>
      </c>
    </row>
    <row r="204" customFormat="false" ht="15" hidden="false" customHeight="false" outlineLevel="0" collapsed="false">
      <c r="A204" s="15"/>
      <c r="B204" s="15"/>
      <c r="C204" s="15"/>
      <c r="D204" s="15"/>
      <c r="E204" s="15"/>
      <c r="F204" s="15"/>
      <c r="G204" s="16" t="str">
        <f aca="false">IF(A204="","",IF(OR(B204="",D204=""),"Name and transactions needed","OK"))</f>
        <v/>
      </c>
    </row>
  </sheetData>
  <autoFilter ref="A4:G20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28"/>
  </cols>
  <sheetData>
    <row r="1" customFormat="false" ht="17.35" hidden="false" customHeight="false" outlineLevel="0" collapsed="false">
      <c r="A1" s="9" t="s">
        <v>166</v>
      </c>
    </row>
    <row r="2" customFormat="false" ht="15" hidden="false" customHeight="false" outlineLevel="0" collapsed="false">
      <c r="A2" s="10" t="s">
        <v>167</v>
      </c>
    </row>
    <row r="4" customFormat="false" ht="31.5" hidden="false" customHeight="true" outlineLevel="0" collapsed="false">
      <c r="A4" s="11" t="s">
        <v>49</v>
      </c>
      <c r="B4" s="11" t="s">
        <v>26</v>
      </c>
      <c r="C4" s="12" t="s">
        <v>53</v>
      </c>
      <c r="D4" s="11" t="s">
        <v>54</v>
      </c>
      <c r="E4" s="11" t="s">
        <v>57</v>
      </c>
      <c r="F4" s="11" t="s">
        <v>21</v>
      </c>
      <c r="G4" s="11" t="s">
        <v>61</v>
      </c>
      <c r="H4" s="12" t="s">
        <v>45</v>
      </c>
    </row>
    <row r="5" customFormat="false" ht="15" hidden="false" customHeight="false" outlineLevel="0" collapsed="false">
      <c r="A5" s="13" t="s">
        <v>168</v>
      </c>
      <c r="B5" s="13" t="s">
        <v>156</v>
      </c>
      <c r="C5" s="14" t="str">
        <f aca="false">IFERROR(INDEX(Functions!$B$5:$B$204,MATCH(B5,Functions!$A$5:$A$204,0)),"")</f>
        <v>Vendor master maintenance</v>
      </c>
      <c r="D5" s="13" t="s">
        <v>169</v>
      </c>
      <c r="E5" s="13" t="s">
        <v>170</v>
      </c>
      <c r="F5" s="13" t="s">
        <v>171</v>
      </c>
      <c r="G5" s="13" t="s">
        <v>172</v>
      </c>
      <c r="H5" s="14" t="str">
        <f aca="false">IF(A5="","",IF(OR(B5="",D5="",E5=""),"Function, transaction, object needed",IF(COUNTIF(Functions!$A$5:$A$204,B5)=0,"Function not defined","OK")))</f>
        <v>OK</v>
      </c>
    </row>
    <row r="6" customFormat="false" ht="15" hidden="false" customHeight="false" outlineLevel="0" collapsed="false">
      <c r="A6" s="15"/>
      <c r="B6" s="15"/>
      <c r="C6" s="16" t="str">
        <f aca="false">IFERROR(INDEX(Functions!$B$5:$B$204,MATCH(B6,Functions!$A$5:$A$204,0)),"")</f>
        <v/>
      </c>
      <c r="D6" s="15"/>
      <c r="E6" s="15"/>
      <c r="F6" s="15"/>
      <c r="G6" s="15"/>
      <c r="H6" s="16" t="str">
        <f aca="false">IF(A6="","",IF(OR(B6="",D6="",E6=""),"Function, transaction, object needed",IF(COUNTIF(Functions!$A$5:$A$204,B6)=0,"Function not defined","OK")))</f>
        <v/>
      </c>
    </row>
    <row r="7" customFormat="false" ht="15" hidden="false" customHeight="false" outlineLevel="0" collapsed="false">
      <c r="A7" s="15"/>
      <c r="B7" s="15"/>
      <c r="C7" s="16" t="str">
        <f aca="false">IFERROR(INDEX(Functions!$B$5:$B$204,MATCH(B7,Functions!$A$5:$A$204,0)),"")</f>
        <v/>
      </c>
      <c r="D7" s="15"/>
      <c r="E7" s="15"/>
      <c r="F7" s="15"/>
      <c r="G7" s="15"/>
      <c r="H7" s="16" t="str">
        <f aca="false">IF(A7="","",IF(OR(B7="",D7="",E7=""),"Function, transaction, object needed",IF(COUNTIF(Functions!$A$5:$A$204,B7)=0,"Function not defined","OK")))</f>
        <v/>
      </c>
    </row>
    <row r="8" customFormat="false" ht="15" hidden="false" customHeight="false" outlineLevel="0" collapsed="false">
      <c r="A8" s="15"/>
      <c r="B8" s="15"/>
      <c r="C8" s="16" t="str">
        <f aca="false">IFERROR(INDEX(Functions!$B$5:$B$204,MATCH(B8,Functions!$A$5:$A$204,0)),"")</f>
        <v/>
      </c>
      <c r="D8" s="15"/>
      <c r="E8" s="15"/>
      <c r="F8" s="15"/>
      <c r="G8" s="15"/>
      <c r="H8" s="16" t="str">
        <f aca="false">IF(A8="","",IF(OR(B8="",D8="",E8=""),"Function, transaction, object needed",IF(COUNTIF(Functions!$A$5:$A$204,B8)=0,"Function not defined","OK")))</f>
        <v/>
      </c>
    </row>
    <row r="9" customFormat="false" ht="15" hidden="false" customHeight="false" outlineLevel="0" collapsed="false">
      <c r="A9" s="15"/>
      <c r="B9" s="15"/>
      <c r="C9" s="16" t="str">
        <f aca="false">IFERROR(INDEX(Functions!$B$5:$B$204,MATCH(B9,Functions!$A$5:$A$204,0)),"")</f>
        <v/>
      </c>
      <c r="D9" s="15"/>
      <c r="E9" s="15"/>
      <c r="F9" s="15"/>
      <c r="G9" s="15"/>
      <c r="H9" s="16" t="str">
        <f aca="false">IF(A9="","",IF(OR(B9="",D9="",E9=""),"Function, transaction, object needed",IF(COUNTIF(Functions!$A$5:$A$204,B9)=0,"Function not defined","OK")))</f>
        <v/>
      </c>
    </row>
    <row r="10" customFormat="false" ht="15" hidden="false" customHeight="false" outlineLevel="0" collapsed="false">
      <c r="A10" s="15"/>
      <c r="B10" s="15"/>
      <c r="C10" s="16" t="str">
        <f aca="false">IFERROR(INDEX(Functions!$B$5:$B$204,MATCH(B10,Functions!$A$5:$A$204,0)),"")</f>
        <v/>
      </c>
      <c r="D10" s="15"/>
      <c r="E10" s="15"/>
      <c r="F10" s="15"/>
      <c r="G10" s="15"/>
      <c r="H10" s="16" t="str">
        <f aca="false">IF(A10="","",IF(OR(B10="",D10="",E10=""),"Function, transaction, object needed",IF(COUNTIF(Functions!$A$5:$A$204,B10)=0,"Function not defined","OK")))</f>
        <v/>
      </c>
    </row>
    <row r="11" customFormat="false" ht="15" hidden="false" customHeight="false" outlineLevel="0" collapsed="false">
      <c r="A11" s="15"/>
      <c r="B11" s="15"/>
      <c r="C11" s="16" t="str">
        <f aca="false">IFERROR(INDEX(Functions!$B$5:$B$204,MATCH(B11,Functions!$A$5:$A$204,0)),"")</f>
        <v/>
      </c>
      <c r="D11" s="15"/>
      <c r="E11" s="15"/>
      <c r="F11" s="15"/>
      <c r="G11" s="15"/>
      <c r="H11" s="16" t="str">
        <f aca="false">IF(A11="","",IF(OR(B11="",D11="",E11=""),"Function, transaction, object needed",IF(COUNTIF(Functions!$A$5:$A$204,B11)=0,"Function not defined","OK")))</f>
        <v/>
      </c>
    </row>
    <row r="12" customFormat="false" ht="15" hidden="false" customHeight="false" outlineLevel="0" collapsed="false">
      <c r="A12" s="15"/>
      <c r="B12" s="15"/>
      <c r="C12" s="16" t="str">
        <f aca="false">IFERROR(INDEX(Functions!$B$5:$B$204,MATCH(B12,Functions!$A$5:$A$204,0)),"")</f>
        <v/>
      </c>
      <c r="D12" s="15"/>
      <c r="E12" s="15"/>
      <c r="F12" s="15"/>
      <c r="G12" s="15"/>
      <c r="H12" s="16" t="str">
        <f aca="false">IF(A12="","",IF(OR(B12="",D12="",E12=""),"Function, transaction, object needed",IF(COUNTIF(Functions!$A$5:$A$204,B12)=0,"Function not defined","OK")))</f>
        <v/>
      </c>
    </row>
    <row r="13" customFormat="false" ht="15" hidden="false" customHeight="false" outlineLevel="0" collapsed="false">
      <c r="A13" s="15"/>
      <c r="B13" s="15"/>
      <c r="C13" s="16" t="str">
        <f aca="false">IFERROR(INDEX(Functions!$B$5:$B$204,MATCH(B13,Functions!$A$5:$A$204,0)),"")</f>
        <v/>
      </c>
      <c r="D13" s="15"/>
      <c r="E13" s="15"/>
      <c r="F13" s="15"/>
      <c r="G13" s="15"/>
      <c r="H13" s="16" t="str">
        <f aca="false">IF(A13="","",IF(OR(B13="",D13="",E13=""),"Function, transaction, object needed",IF(COUNTIF(Functions!$A$5:$A$204,B13)=0,"Function not defined","OK")))</f>
        <v/>
      </c>
    </row>
    <row r="14" customFormat="false" ht="15" hidden="false" customHeight="false" outlineLevel="0" collapsed="false">
      <c r="A14" s="15"/>
      <c r="B14" s="15"/>
      <c r="C14" s="16" t="str">
        <f aca="false">IFERROR(INDEX(Functions!$B$5:$B$204,MATCH(B14,Functions!$A$5:$A$204,0)),"")</f>
        <v/>
      </c>
      <c r="D14" s="15"/>
      <c r="E14" s="15"/>
      <c r="F14" s="15"/>
      <c r="G14" s="15"/>
      <c r="H14" s="16" t="str">
        <f aca="false">IF(A14="","",IF(OR(B14="",D14="",E14=""),"Function, transaction, object needed",IF(COUNTIF(Functions!$A$5:$A$204,B14)=0,"Function not defined","OK")))</f>
        <v/>
      </c>
    </row>
    <row r="15" customFormat="false" ht="15" hidden="false" customHeight="false" outlineLevel="0" collapsed="false">
      <c r="A15" s="15"/>
      <c r="B15" s="15"/>
      <c r="C15" s="16" t="str">
        <f aca="false">IFERROR(INDEX(Functions!$B$5:$B$204,MATCH(B15,Functions!$A$5:$A$204,0)),"")</f>
        <v/>
      </c>
      <c r="D15" s="15"/>
      <c r="E15" s="15"/>
      <c r="F15" s="15"/>
      <c r="G15" s="15"/>
      <c r="H15" s="16" t="str">
        <f aca="false">IF(A15="","",IF(OR(B15="",D15="",E15=""),"Function, transaction, object needed",IF(COUNTIF(Functions!$A$5:$A$204,B15)=0,"Function not defined","OK")))</f>
        <v/>
      </c>
    </row>
    <row r="16" customFormat="false" ht="15" hidden="false" customHeight="false" outlineLevel="0" collapsed="false">
      <c r="A16" s="15"/>
      <c r="B16" s="15"/>
      <c r="C16" s="16" t="str">
        <f aca="false">IFERROR(INDEX(Functions!$B$5:$B$204,MATCH(B16,Functions!$A$5:$A$204,0)),"")</f>
        <v/>
      </c>
      <c r="D16" s="15"/>
      <c r="E16" s="15"/>
      <c r="F16" s="15"/>
      <c r="G16" s="15"/>
      <c r="H16" s="16" t="str">
        <f aca="false">IF(A16="","",IF(OR(B16="",D16="",E16=""),"Function, transaction, object needed",IF(COUNTIF(Functions!$A$5:$A$204,B16)=0,"Function not defined","OK")))</f>
        <v/>
      </c>
    </row>
    <row r="17" customFormat="false" ht="15" hidden="false" customHeight="false" outlineLevel="0" collapsed="false">
      <c r="A17" s="15"/>
      <c r="B17" s="15"/>
      <c r="C17" s="16" t="str">
        <f aca="false">IFERROR(INDEX(Functions!$B$5:$B$204,MATCH(B17,Functions!$A$5:$A$204,0)),"")</f>
        <v/>
      </c>
      <c r="D17" s="15"/>
      <c r="E17" s="15"/>
      <c r="F17" s="15"/>
      <c r="G17" s="15"/>
      <c r="H17" s="16" t="str">
        <f aca="false">IF(A17="","",IF(OR(B17="",D17="",E17=""),"Function, transaction, object needed",IF(COUNTIF(Functions!$A$5:$A$204,B17)=0,"Function not defined","OK")))</f>
        <v/>
      </c>
    </row>
    <row r="18" customFormat="false" ht="15" hidden="false" customHeight="false" outlineLevel="0" collapsed="false">
      <c r="A18" s="15"/>
      <c r="B18" s="15"/>
      <c r="C18" s="16" t="str">
        <f aca="false">IFERROR(INDEX(Functions!$B$5:$B$204,MATCH(B18,Functions!$A$5:$A$204,0)),"")</f>
        <v/>
      </c>
      <c r="D18" s="15"/>
      <c r="E18" s="15"/>
      <c r="F18" s="15"/>
      <c r="G18" s="15"/>
      <c r="H18" s="16" t="str">
        <f aca="false">IF(A18="","",IF(OR(B18="",D18="",E18=""),"Function, transaction, object needed",IF(COUNTIF(Functions!$A$5:$A$204,B18)=0,"Function not defined","OK")))</f>
        <v/>
      </c>
    </row>
    <row r="19" customFormat="false" ht="15" hidden="false" customHeight="false" outlineLevel="0" collapsed="false">
      <c r="A19" s="15"/>
      <c r="B19" s="15"/>
      <c r="C19" s="16" t="str">
        <f aca="false">IFERROR(INDEX(Functions!$B$5:$B$204,MATCH(B19,Functions!$A$5:$A$204,0)),"")</f>
        <v/>
      </c>
      <c r="D19" s="15"/>
      <c r="E19" s="15"/>
      <c r="F19" s="15"/>
      <c r="G19" s="15"/>
      <c r="H19" s="16" t="str">
        <f aca="false">IF(A19="","",IF(OR(B19="",D19="",E19=""),"Function, transaction, object needed",IF(COUNTIF(Functions!$A$5:$A$204,B19)=0,"Function not defined","OK")))</f>
        <v/>
      </c>
    </row>
    <row r="20" customFormat="false" ht="15" hidden="false" customHeight="false" outlineLevel="0" collapsed="false">
      <c r="A20" s="15"/>
      <c r="B20" s="15"/>
      <c r="C20" s="16" t="str">
        <f aca="false">IFERROR(INDEX(Functions!$B$5:$B$204,MATCH(B20,Functions!$A$5:$A$204,0)),"")</f>
        <v/>
      </c>
      <c r="D20" s="15"/>
      <c r="E20" s="15"/>
      <c r="F20" s="15"/>
      <c r="G20" s="15"/>
      <c r="H20" s="16" t="str">
        <f aca="false">IF(A20="","",IF(OR(B20="",D20="",E20=""),"Function, transaction, object needed",IF(COUNTIF(Functions!$A$5:$A$204,B20)=0,"Function not defined","OK")))</f>
        <v/>
      </c>
    </row>
    <row r="21" customFormat="false" ht="15" hidden="false" customHeight="false" outlineLevel="0" collapsed="false">
      <c r="A21" s="15"/>
      <c r="B21" s="15"/>
      <c r="C21" s="16" t="str">
        <f aca="false">IFERROR(INDEX(Functions!$B$5:$B$204,MATCH(B21,Functions!$A$5:$A$204,0)),"")</f>
        <v/>
      </c>
      <c r="D21" s="15"/>
      <c r="E21" s="15"/>
      <c r="F21" s="15"/>
      <c r="G21" s="15"/>
      <c r="H21" s="16" t="str">
        <f aca="false">IF(A21="","",IF(OR(B21="",D21="",E21=""),"Function, transaction, object needed",IF(COUNTIF(Functions!$A$5:$A$204,B21)=0,"Function not defined","OK")))</f>
        <v/>
      </c>
    </row>
    <row r="22" customFormat="false" ht="15" hidden="false" customHeight="false" outlineLevel="0" collapsed="false">
      <c r="A22" s="15"/>
      <c r="B22" s="15"/>
      <c r="C22" s="16" t="str">
        <f aca="false">IFERROR(INDEX(Functions!$B$5:$B$204,MATCH(B22,Functions!$A$5:$A$204,0)),"")</f>
        <v/>
      </c>
      <c r="D22" s="15"/>
      <c r="E22" s="15"/>
      <c r="F22" s="15"/>
      <c r="G22" s="15"/>
      <c r="H22" s="16" t="str">
        <f aca="false">IF(A22="","",IF(OR(B22="",D22="",E22=""),"Function, transaction, object needed",IF(COUNTIF(Functions!$A$5:$A$204,B22)=0,"Function not defined","OK")))</f>
        <v/>
      </c>
    </row>
    <row r="23" customFormat="false" ht="15" hidden="false" customHeight="false" outlineLevel="0" collapsed="false">
      <c r="A23" s="15"/>
      <c r="B23" s="15"/>
      <c r="C23" s="16" t="str">
        <f aca="false">IFERROR(INDEX(Functions!$B$5:$B$204,MATCH(B23,Functions!$A$5:$A$204,0)),"")</f>
        <v/>
      </c>
      <c r="D23" s="15"/>
      <c r="E23" s="15"/>
      <c r="F23" s="15"/>
      <c r="G23" s="15"/>
      <c r="H23" s="16" t="str">
        <f aca="false">IF(A23="","",IF(OR(B23="",D23="",E23=""),"Function, transaction, object needed",IF(COUNTIF(Functions!$A$5:$A$204,B23)=0,"Function not defined","OK")))</f>
        <v/>
      </c>
    </row>
    <row r="24" customFormat="false" ht="15" hidden="false" customHeight="false" outlineLevel="0" collapsed="false">
      <c r="A24" s="15"/>
      <c r="B24" s="15"/>
      <c r="C24" s="16" t="str">
        <f aca="false">IFERROR(INDEX(Functions!$B$5:$B$204,MATCH(B24,Functions!$A$5:$A$204,0)),"")</f>
        <v/>
      </c>
      <c r="D24" s="15"/>
      <c r="E24" s="15"/>
      <c r="F24" s="15"/>
      <c r="G24" s="15"/>
      <c r="H24" s="16" t="str">
        <f aca="false">IF(A24="","",IF(OR(B24="",D24="",E24=""),"Function, transaction, object needed",IF(COUNTIF(Functions!$A$5:$A$204,B24)=0,"Function not defined","OK")))</f>
        <v/>
      </c>
    </row>
    <row r="25" customFormat="false" ht="15" hidden="false" customHeight="false" outlineLevel="0" collapsed="false">
      <c r="A25" s="15"/>
      <c r="B25" s="15"/>
      <c r="C25" s="16" t="str">
        <f aca="false">IFERROR(INDEX(Functions!$B$5:$B$204,MATCH(B25,Functions!$A$5:$A$204,0)),"")</f>
        <v/>
      </c>
      <c r="D25" s="15"/>
      <c r="E25" s="15"/>
      <c r="F25" s="15"/>
      <c r="G25" s="15"/>
      <c r="H25" s="16" t="str">
        <f aca="false">IF(A25="","",IF(OR(B25="",D25="",E25=""),"Function, transaction, object needed",IF(COUNTIF(Functions!$A$5:$A$204,B25)=0,"Function not defined","OK")))</f>
        <v/>
      </c>
    </row>
    <row r="26" customFormat="false" ht="15" hidden="false" customHeight="false" outlineLevel="0" collapsed="false">
      <c r="A26" s="15"/>
      <c r="B26" s="15"/>
      <c r="C26" s="16" t="str">
        <f aca="false">IFERROR(INDEX(Functions!$B$5:$B$204,MATCH(B26,Functions!$A$5:$A$204,0)),"")</f>
        <v/>
      </c>
      <c r="D26" s="15"/>
      <c r="E26" s="15"/>
      <c r="F26" s="15"/>
      <c r="G26" s="15"/>
      <c r="H26" s="16" t="str">
        <f aca="false">IF(A26="","",IF(OR(B26="",D26="",E26=""),"Function, transaction, object needed",IF(COUNTIF(Functions!$A$5:$A$204,B26)=0,"Function not defined","OK")))</f>
        <v/>
      </c>
    </row>
    <row r="27" customFormat="false" ht="15" hidden="false" customHeight="false" outlineLevel="0" collapsed="false">
      <c r="A27" s="15"/>
      <c r="B27" s="15"/>
      <c r="C27" s="16" t="str">
        <f aca="false">IFERROR(INDEX(Functions!$B$5:$B$204,MATCH(B27,Functions!$A$5:$A$204,0)),"")</f>
        <v/>
      </c>
      <c r="D27" s="15"/>
      <c r="E27" s="15"/>
      <c r="F27" s="15"/>
      <c r="G27" s="15"/>
      <c r="H27" s="16" t="str">
        <f aca="false">IF(A27="","",IF(OR(B27="",D27="",E27=""),"Function, transaction, object needed",IF(COUNTIF(Functions!$A$5:$A$204,B27)=0,"Function not defined","OK")))</f>
        <v/>
      </c>
    </row>
    <row r="28" customFormat="false" ht="15" hidden="false" customHeight="false" outlineLevel="0" collapsed="false">
      <c r="A28" s="15"/>
      <c r="B28" s="15"/>
      <c r="C28" s="16" t="str">
        <f aca="false">IFERROR(INDEX(Functions!$B$5:$B$204,MATCH(B28,Functions!$A$5:$A$204,0)),"")</f>
        <v/>
      </c>
      <c r="D28" s="15"/>
      <c r="E28" s="15"/>
      <c r="F28" s="15"/>
      <c r="G28" s="15"/>
      <c r="H28" s="16" t="str">
        <f aca="false">IF(A28="","",IF(OR(B28="",D28="",E28=""),"Function, transaction, object needed",IF(COUNTIF(Functions!$A$5:$A$204,B28)=0,"Function not defined","OK")))</f>
        <v/>
      </c>
    </row>
    <row r="29" customFormat="false" ht="15" hidden="false" customHeight="false" outlineLevel="0" collapsed="false">
      <c r="A29" s="15"/>
      <c r="B29" s="15"/>
      <c r="C29" s="16" t="str">
        <f aca="false">IFERROR(INDEX(Functions!$B$5:$B$204,MATCH(B29,Functions!$A$5:$A$204,0)),"")</f>
        <v/>
      </c>
      <c r="D29" s="15"/>
      <c r="E29" s="15"/>
      <c r="F29" s="15"/>
      <c r="G29" s="15"/>
      <c r="H29" s="16" t="str">
        <f aca="false">IF(A29="","",IF(OR(B29="",D29="",E29=""),"Function, transaction, object needed",IF(COUNTIF(Functions!$A$5:$A$204,B29)=0,"Function not defined","OK")))</f>
        <v/>
      </c>
    </row>
    <row r="30" customFormat="false" ht="15" hidden="false" customHeight="false" outlineLevel="0" collapsed="false">
      <c r="A30" s="15"/>
      <c r="B30" s="15"/>
      <c r="C30" s="16" t="str">
        <f aca="false">IFERROR(INDEX(Functions!$B$5:$B$204,MATCH(B30,Functions!$A$5:$A$204,0)),"")</f>
        <v/>
      </c>
      <c r="D30" s="15"/>
      <c r="E30" s="15"/>
      <c r="F30" s="15"/>
      <c r="G30" s="15"/>
      <c r="H30" s="16" t="str">
        <f aca="false">IF(A30="","",IF(OR(B30="",D30="",E30=""),"Function, transaction, object needed",IF(COUNTIF(Functions!$A$5:$A$204,B30)=0,"Function not defined","OK")))</f>
        <v/>
      </c>
    </row>
    <row r="31" customFormat="false" ht="15" hidden="false" customHeight="false" outlineLevel="0" collapsed="false">
      <c r="A31" s="15"/>
      <c r="B31" s="15"/>
      <c r="C31" s="16" t="str">
        <f aca="false">IFERROR(INDEX(Functions!$B$5:$B$204,MATCH(B31,Functions!$A$5:$A$204,0)),"")</f>
        <v/>
      </c>
      <c r="D31" s="15"/>
      <c r="E31" s="15"/>
      <c r="F31" s="15"/>
      <c r="G31" s="15"/>
      <c r="H31" s="16" t="str">
        <f aca="false">IF(A31="","",IF(OR(B31="",D31="",E31=""),"Function, transaction, object needed",IF(COUNTIF(Functions!$A$5:$A$204,B31)=0,"Function not defined","OK")))</f>
        <v/>
      </c>
    </row>
    <row r="32" customFormat="false" ht="15" hidden="false" customHeight="false" outlineLevel="0" collapsed="false">
      <c r="A32" s="15"/>
      <c r="B32" s="15"/>
      <c r="C32" s="16" t="str">
        <f aca="false">IFERROR(INDEX(Functions!$B$5:$B$204,MATCH(B32,Functions!$A$5:$A$204,0)),"")</f>
        <v/>
      </c>
      <c r="D32" s="15"/>
      <c r="E32" s="15"/>
      <c r="F32" s="15"/>
      <c r="G32" s="15"/>
      <c r="H32" s="16" t="str">
        <f aca="false">IF(A32="","",IF(OR(B32="",D32="",E32=""),"Function, transaction, object needed",IF(COUNTIF(Functions!$A$5:$A$204,B32)=0,"Function not defined","OK")))</f>
        <v/>
      </c>
    </row>
    <row r="33" customFormat="false" ht="15" hidden="false" customHeight="false" outlineLevel="0" collapsed="false">
      <c r="A33" s="15"/>
      <c r="B33" s="15"/>
      <c r="C33" s="16" t="str">
        <f aca="false">IFERROR(INDEX(Functions!$B$5:$B$204,MATCH(B33,Functions!$A$5:$A$204,0)),"")</f>
        <v/>
      </c>
      <c r="D33" s="15"/>
      <c r="E33" s="15"/>
      <c r="F33" s="15"/>
      <c r="G33" s="15"/>
      <c r="H33" s="16" t="str">
        <f aca="false">IF(A33="","",IF(OR(B33="",D33="",E33=""),"Function, transaction, object needed",IF(COUNTIF(Functions!$A$5:$A$204,B33)=0,"Function not defined","OK")))</f>
        <v/>
      </c>
    </row>
    <row r="34" customFormat="false" ht="15" hidden="false" customHeight="false" outlineLevel="0" collapsed="false">
      <c r="A34" s="15"/>
      <c r="B34" s="15"/>
      <c r="C34" s="16" t="str">
        <f aca="false">IFERROR(INDEX(Functions!$B$5:$B$204,MATCH(B34,Functions!$A$5:$A$204,0)),"")</f>
        <v/>
      </c>
      <c r="D34" s="15"/>
      <c r="E34" s="15"/>
      <c r="F34" s="15"/>
      <c r="G34" s="15"/>
      <c r="H34" s="16" t="str">
        <f aca="false">IF(A34="","",IF(OR(B34="",D34="",E34=""),"Function, transaction, object needed",IF(COUNTIF(Functions!$A$5:$A$204,B34)=0,"Function not defined","OK")))</f>
        <v/>
      </c>
    </row>
    <row r="35" customFormat="false" ht="15" hidden="false" customHeight="false" outlineLevel="0" collapsed="false">
      <c r="A35" s="15"/>
      <c r="B35" s="15"/>
      <c r="C35" s="16" t="str">
        <f aca="false">IFERROR(INDEX(Functions!$B$5:$B$204,MATCH(B35,Functions!$A$5:$A$204,0)),"")</f>
        <v/>
      </c>
      <c r="D35" s="15"/>
      <c r="E35" s="15"/>
      <c r="F35" s="15"/>
      <c r="G35" s="15"/>
      <c r="H35" s="16" t="str">
        <f aca="false">IF(A35="","",IF(OR(B35="",D35="",E35=""),"Function, transaction, object needed",IF(COUNTIF(Functions!$A$5:$A$204,B35)=0,"Function not defined","OK")))</f>
        <v/>
      </c>
    </row>
    <row r="36" customFormat="false" ht="15" hidden="false" customHeight="false" outlineLevel="0" collapsed="false">
      <c r="A36" s="15"/>
      <c r="B36" s="15"/>
      <c r="C36" s="16" t="str">
        <f aca="false">IFERROR(INDEX(Functions!$B$5:$B$204,MATCH(B36,Functions!$A$5:$A$204,0)),"")</f>
        <v/>
      </c>
      <c r="D36" s="15"/>
      <c r="E36" s="15"/>
      <c r="F36" s="15"/>
      <c r="G36" s="15"/>
      <c r="H36" s="16" t="str">
        <f aca="false">IF(A36="","",IF(OR(B36="",D36="",E36=""),"Function, transaction, object needed",IF(COUNTIF(Functions!$A$5:$A$204,B36)=0,"Function not defined","OK")))</f>
        <v/>
      </c>
    </row>
    <row r="37" customFormat="false" ht="15" hidden="false" customHeight="false" outlineLevel="0" collapsed="false">
      <c r="A37" s="15"/>
      <c r="B37" s="15"/>
      <c r="C37" s="16" t="str">
        <f aca="false">IFERROR(INDEX(Functions!$B$5:$B$204,MATCH(B37,Functions!$A$5:$A$204,0)),"")</f>
        <v/>
      </c>
      <c r="D37" s="15"/>
      <c r="E37" s="15"/>
      <c r="F37" s="15"/>
      <c r="G37" s="15"/>
      <c r="H37" s="16" t="str">
        <f aca="false">IF(A37="","",IF(OR(B37="",D37="",E37=""),"Function, transaction, object needed",IF(COUNTIF(Functions!$A$5:$A$204,B37)=0,"Function not defined","OK")))</f>
        <v/>
      </c>
    </row>
    <row r="38" customFormat="false" ht="15" hidden="false" customHeight="false" outlineLevel="0" collapsed="false">
      <c r="A38" s="15"/>
      <c r="B38" s="15"/>
      <c r="C38" s="16" t="str">
        <f aca="false">IFERROR(INDEX(Functions!$B$5:$B$204,MATCH(B38,Functions!$A$5:$A$204,0)),"")</f>
        <v/>
      </c>
      <c r="D38" s="15"/>
      <c r="E38" s="15"/>
      <c r="F38" s="15"/>
      <c r="G38" s="15"/>
      <c r="H38" s="16" t="str">
        <f aca="false">IF(A38="","",IF(OR(B38="",D38="",E38=""),"Function, transaction, object needed",IF(COUNTIF(Functions!$A$5:$A$204,B38)=0,"Function not defined","OK")))</f>
        <v/>
      </c>
    </row>
    <row r="39" customFormat="false" ht="15" hidden="false" customHeight="false" outlineLevel="0" collapsed="false">
      <c r="A39" s="15"/>
      <c r="B39" s="15"/>
      <c r="C39" s="16" t="str">
        <f aca="false">IFERROR(INDEX(Functions!$B$5:$B$204,MATCH(B39,Functions!$A$5:$A$204,0)),"")</f>
        <v/>
      </c>
      <c r="D39" s="15"/>
      <c r="E39" s="15"/>
      <c r="F39" s="15"/>
      <c r="G39" s="15"/>
      <c r="H39" s="16" t="str">
        <f aca="false">IF(A39="","",IF(OR(B39="",D39="",E39=""),"Function, transaction, object needed",IF(COUNTIF(Functions!$A$5:$A$204,B39)=0,"Function not defined","OK")))</f>
        <v/>
      </c>
    </row>
    <row r="40" customFormat="false" ht="15" hidden="false" customHeight="false" outlineLevel="0" collapsed="false">
      <c r="A40" s="15"/>
      <c r="B40" s="15"/>
      <c r="C40" s="16" t="str">
        <f aca="false">IFERROR(INDEX(Functions!$B$5:$B$204,MATCH(B40,Functions!$A$5:$A$204,0)),"")</f>
        <v/>
      </c>
      <c r="D40" s="15"/>
      <c r="E40" s="15"/>
      <c r="F40" s="15"/>
      <c r="G40" s="15"/>
      <c r="H40" s="16" t="str">
        <f aca="false">IF(A40="","",IF(OR(B40="",D40="",E40=""),"Function, transaction, object needed",IF(COUNTIF(Functions!$A$5:$A$204,B40)=0,"Function not defined","OK")))</f>
        <v/>
      </c>
    </row>
    <row r="41" customFormat="false" ht="15" hidden="false" customHeight="false" outlineLevel="0" collapsed="false">
      <c r="A41" s="15"/>
      <c r="B41" s="15"/>
      <c r="C41" s="16" t="str">
        <f aca="false">IFERROR(INDEX(Functions!$B$5:$B$204,MATCH(B41,Functions!$A$5:$A$204,0)),"")</f>
        <v/>
      </c>
      <c r="D41" s="15"/>
      <c r="E41" s="15"/>
      <c r="F41" s="15"/>
      <c r="G41" s="15"/>
      <c r="H41" s="16" t="str">
        <f aca="false">IF(A41="","",IF(OR(B41="",D41="",E41=""),"Function, transaction, object needed",IF(COUNTIF(Functions!$A$5:$A$204,B41)=0,"Function not defined","OK")))</f>
        <v/>
      </c>
    </row>
    <row r="42" customFormat="false" ht="15" hidden="false" customHeight="false" outlineLevel="0" collapsed="false">
      <c r="A42" s="15"/>
      <c r="B42" s="15"/>
      <c r="C42" s="16" t="str">
        <f aca="false">IFERROR(INDEX(Functions!$B$5:$B$204,MATCH(B42,Functions!$A$5:$A$204,0)),"")</f>
        <v/>
      </c>
      <c r="D42" s="15"/>
      <c r="E42" s="15"/>
      <c r="F42" s="15"/>
      <c r="G42" s="15"/>
      <c r="H42" s="16" t="str">
        <f aca="false">IF(A42="","",IF(OR(B42="",D42="",E42=""),"Function, transaction, object needed",IF(COUNTIF(Functions!$A$5:$A$204,B42)=0,"Function not defined","OK")))</f>
        <v/>
      </c>
    </row>
    <row r="43" customFormat="false" ht="15" hidden="false" customHeight="false" outlineLevel="0" collapsed="false">
      <c r="A43" s="15"/>
      <c r="B43" s="15"/>
      <c r="C43" s="16" t="str">
        <f aca="false">IFERROR(INDEX(Functions!$B$5:$B$204,MATCH(B43,Functions!$A$5:$A$204,0)),"")</f>
        <v/>
      </c>
      <c r="D43" s="15"/>
      <c r="E43" s="15"/>
      <c r="F43" s="15"/>
      <c r="G43" s="15"/>
      <c r="H43" s="16" t="str">
        <f aca="false">IF(A43="","",IF(OR(B43="",D43="",E43=""),"Function, transaction, object needed",IF(COUNTIF(Functions!$A$5:$A$204,B43)=0,"Function not defined","OK")))</f>
        <v/>
      </c>
    </row>
    <row r="44" customFormat="false" ht="15" hidden="false" customHeight="false" outlineLevel="0" collapsed="false">
      <c r="A44" s="15"/>
      <c r="B44" s="15"/>
      <c r="C44" s="16" t="str">
        <f aca="false">IFERROR(INDEX(Functions!$B$5:$B$204,MATCH(B44,Functions!$A$5:$A$204,0)),"")</f>
        <v/>
      </c>
      <c r="D44" s="15"/>
      <c r="E44" s="15"/>
      <c r="F44" s="15"/>
      <c r="G44" s="15"/>
      <c r="H44" s="16" t="str">
        <f aca="false">IF(A44="","",IF(OR(B44="",D44="",E44=""),"Function, transaction, object needed",IF(COUNTIF(Functions!$A$5:$A$204,B44)=0,"Function not defined","OK")))</f>
        <v/>
      </c>
    </row>
    <row r="45" customFormat="false" ht="15" hidden="false" customHeight="false" outlineLevel="0" collapsed="false">
      <c r="A45" s="15"/>
      <c r="B45" s="15"/>
      <c r="C45" s="16" t="str">
        <f aca="false">IFERROR(INDEX(Functions!$B$5:$B$204,MATCH(B45,Functions!$A$5:$A$204,0)),"")</f>
        <v/>
      </c>
      <c r="D45" s="15"/>
      <c r="E45" s="15"/>
      <c r="F45" s="15"/>
      <c r="G45" s="15"/>
      <c r="H45" s="16" t="str">
        <f aca="false">IF(A45="","",IF(OR(B45="",D45="",E45=""),"Function, transaction, object needed",IF(COUNTIF(Functions!$A$5:$A$204,B45)=0,"Function not defined","OK")))</f>
        <v/>
      </c>
    </row>
    <row r="46" customFormat="false" ht="15" hidden="false" customHeight="false" outlineLevel="0" collapsed="false">
      <c r="A46" s="15"/>
      <c r="B46" s="15"/>
      <c r="C46" s="16" t="str">
        <f aca="false">IFERROR(INDEX(Functions!$B$5:$B$204,MATCH(B46,Functions!$A$5:$A$204,0)),"")</f>
        <v/>
      </c>
      <c r="D46" s="15"/>
      <c r="E46" s="15"/>
      <c r="F46" s="15"/>
      <c r="G46" s="15"/>
      <c r="H46" s="16" t="str">
        <f aca="false">IF(A46="","",IF(OR(B46="",D46="",E46=""),"Function, transaction, object needed",IF(COUNTIF(Functions!$A$5:$A$204,B46)=0,"Function not defined","OK")))</f>
        <v/>
      </c>
    </row>
    <row r="47" customFormat="false" ht="15" hidden="false" customHeight="false" outlineLevel="0" collapsed="false">
      <c r="A47" s="15"/>
      <c r="B47" s="15"/>
      <c r="C47" s="16" t="str">
        <f aca="false">IFERROR(INDEX(Functions!$B$5:$B$204,MATCH(B47,Functions!$A$5:$A$204,0)),"")</f>
        <v/>
      </c>
      <c r="D47" s="15"/>
      <c r="E47" s="15"/>
      <c r="F47" s="15"/>
      <c r="G47" s="15"/>
      <c r="H47" s="16" t="str">
        <f aca="false">IF(A47="","",IF(OR(B47="",D47="",E47=""),"Function, transaction, object needed",IF(COUNTIF(Functions!$A$5:$A$204,B47)=0,"Function not defined","OK")))</f>
        <v/>
      </c>
    </row>
    <row r="48" customFormat="false" ht="15" hidden="false" customHeight="false" outlineLevel="0" collapsed="false">
      <c r="A48" s="15"/>
      <c r="B48" s="15"/>
      <c r="C48" s="16" t="str">
        <f aca="false">IFERROR(INDEX(Functions!$B$5:$B$204,MATCH(B48,Functions!$A$5:$A$204,0)),"")</f>
        <v/>
      </c>
      <c r="D48" s="15"/>
      <c r="E48" s="15"/>
      <c r="F48" s="15"/>
      <c r="G48" s="15"/>
      <c r="H48" s="16" t="str">
        <f aca="false">IF(A48="","",IF(OR(B48="",D48="",E48=""),"Function, transaction, object needed",IF(COUNTIF(Functions!$A$5:$A$204,B48)=0,"Function not defined","OK")))</f>
        <v/>
      </c>
    </row>
    <row r="49" customFormat="false" ht="15" hidden="false" customHeight="false" outlineLevel="0" collapsed="false">
      <c r="A49" s="15"/>
      <c r="B49" s="15"/>
      <c r="C49" s="16" t="str">
        <f aca="false">IFERROR(INDEX(Functions!$B$5:$B$204,MATCH(B49,Functions!$A$5:$A$204,0)),"")</f>
        <v/>
      </c>
      <c r="D49" s="15"/>
      <c r="E49" s="15"/>
      <c r="F49" s="15"/>
      <c r="G49" s="15"/>
      <c r="H49" s="16" t="str">
        <f aca="false">IF(A49="","",IF(OR(B49="",D49="",E49=""),"Function, transaction, object needed",IF(COUNTIF(Functions!$A$5:$A$204,B49)=0,"Function not defined","OK")))</f>
        <v/>
      </c>
    </row>
    <row r="50" customFormat="false" ht="15" hidden="false" customHeight="false" outlineLevel="0" collapsed="false">
      <c r="A50" s="15"/>
      <c r="B50" s="15"/>
      <c r="C50" s="16" t="str">
        <f aca="false">IFERROR(INDEX(Functions!$B$5:$B$204,MATCH(B50,Functions!$A$5:$A$204,0)),"")</f>
        <v/>
      </c>
      <c r="D50" s="15"/>
      <c r="E50" s="15"/>
      <c r="F50" s="15"/>
      <c r="G50" s="15"/>
      <c r="H50" s="16" t="str">
        <f aca="false">IF(A50="","",IF(OR(B50="",D50="",E50=""),"Function, transaction, object needed",IF(COUNTIF(Functions!$A$5:$A$204,B50)=0,"Function not defined","OK")))</f>
        <v/>
      </c>
    </row>
    <row r="51" customFormat="false" ht="15" hidden="false" customHeight="false" outlineLevel="0" collapsed="false">
      <c r="A51" s="15"/>
      <c r="B51" s="15"/>
      <c r="C51" s="16" t="str">
        <f aca="false">IFERROR(INDEX(Functions!$B$5:$B$204,MATCH(B51,Functions!$A$5:$A$204,0)),"")</f>
        <v/>
      </c>
      <c r="D51" s="15"/>
      <c r="E51" s="15"/>
      <c r="F51" s="15"/>
      <c r="G51" s="15"/>
      <c r="H51" s="16" t="str">
        <f aca="false">IF(A51="","",IF(OR(B51="",D51="",E51=""),"Function, transaction, object needed",IF(COUNTIF(Functions!$A$5:$A$204,B51)=0,"Function not defined","OK")))</f>
        <v/>
      </c>
    </row>
    <row r="52" customFormat="false" ht="15" hidden="false" customHeight="false" outlineLevel="0" collapsed="false">
      <c r="A52" s="15"/>
      <c r="B52" s="15"/>
      <c r="C52" s="16" t="str">
        <f aca="false">IFERROR(INDEX(Functions!$B$5:$B$204,MATCH(B52,Functions!$A$5:$A$204,0)),"")</f>
        <v/>
      </c>
      <c r="D52" s="15"/>
      <c r="E52" s="15"/>
      <c r="F52" s="15"/>
      <c r="G52" s="15"/>
      <c r="H52" s="16" t="str">
        <f aca="false">IF(A52="","",IF(OR(B52="",D52="",E52=""),"Function, transaction, object needed",IF(COUNTIF(Functions!$A$5:$A$204,B52)=0,"Function not defined","OK")))</f>
        <v/>
      </c>
    </row>
    <row r="53" customFormat="false" ht="15" hidden="false" customHeight="false" outlineLevel="0" collapsed="false">
      <c r="A53" s="15"/>
      <c r="B53" s="15"/>
      <c r="C53" s="16" t="str">
        <f aca="false">IFERROR(INDEX(Functions!$B$5:$B$204,MATCH(B53,Functions!$A$5:$A$204,0)),"")</f>
        <v/>
      </c>
      <c r="D53" s="15"/>
      <c r="E53" s="15"/>
      <c r="F53" s="15"/>
      <c r="G53" s="15"/>
      <c r="H53" s="16" t="str">
        <f aca="false">IF(A53="","",IF(OR(B53="",D53="",E53=""),"Function, transaction, object needed",IF(COUNTIF(Functions!$A$5:$A$204,B53)=0,"Function not defined","OK")))</f>
        <v/>
      </c>
    </row>
    <row r="54" customFormat="false" ht="15" hidden="false" customHeight="false" outlineLevel="0" collapsed="false">
      <c r="A54" s="15"/>
      <c r="B54" s="15"/>
      <c r="C54" s="16" t="str">
        <f aca="false">IFERROR(INDEX(Functions!$B$5:$B$204,MATCH(B54,Functions!$A$5:$A$204,0)),"")</f>
        <v/>
      </c>
      <c r="D54" s="15"/>
      <c r="E54" s="15"/>
      <c r="F54" s="15"/>
      <c r="G54" s="15"/>
      <c r="H54" s="16" t="str">
        <f aca="false">IF(A54="","",IF(OR(B54="",D54="",E54=""),"Function, transaction, object needed",IF(COUNTIF(Functions!$A$5:$A$204,B54)=0,"Function not defined","OK")))</f>
        <v/>
      </c>
    </row>
    <row r="55" customFormat="false" ht="15" hidden="false" customHeight="false" outlineLevel="0" collapsed="false">
      <c r="A55" s="15"/>
      <c r="B55" s="15"/>
      <c r="C55" s="16" t="str">
        <f aca="false">IFERROR(INDEX(Functions!$B$5:$B$204,MATCH(B55,Functions!$A$5:$A$204,0)),"")</f>
        <v/>
      </c>
      <c r="D55" s="15"/>
      <c r="E55" s="15"/>
      <c r="F55" s="15"/>
      <c r="G55" s="15"/>
      <c r="H55" s="16" t="str">
        <f aca="false">IF(A55="","",IF(OR(B55="",D55="",E55=""),"Function, transaction, object needed",IF(COUNTIF(Functions!$A$5:$A$204,B55)=0,"Function not defined","OK")))</f>
        <v/>
      </c>
    </row>
    <row r="56" customFormat="false" ht="15" hidden="false" customHeight="false" outlineLevel="0" collapsed="false">
      <c r="A56" s="15"/>
      <c r="B56" s="15"/>
      <c r="C56" s="16" t="str">
        <f aca="false">IFERROR(INDEX(Functions!$B$5:$B$204,MATCH(B56,Functions!$A$5:$A$204,0)),"")</f>
        <v/>
      </c>
      <c r="D56" s="15"/>
      <c r="E56" s="15"/>
      <c r="F56" s="15"/>
      <c r="G56" s="15"/>
      <c r="H56" s="16" t="str">
        <f aca="false">IF(A56="","",IF(OR(B56="",D56="",E56=""),"Function, transaction, object needed",IF(COUNTIF(Functions!$A$5:$A$204,B56)=0,"Function not defined","OK")))</f>
        <v/>
      </c>
    </row>
    <row r="57" customFormat="false" ht="15" hidden="false" customHeight="false" outlineLevel="0" collapsed="false">
      <c r="A57" s="15"/>
      <c r="B57" s="15"/>
      <c r="C57" s="16" t="str">
        <f aca="false">IFERROR(INDEX(Functions!$B$5:$B$204,MATCH(B57,Functions!$A$5:$A$204,0)),"")</f>
        <v/>
      </c>
      <c r="D57" s="15"/>
      <c r="E57" s="15"/>
      <c r="F57" s="15"/>
      <c r="G57" s="15"/>
      <c r="H57" s="16" t="str">
        <f aca="false">IF(A57="","",IF(OR(B57="",D57="",E57=""),"Function, transaction, object needed",IF(COUNTIF(Functions!$A$5:$A$204,B57)=0,"Function not defined","OK")))</f>
        <v/>
      </c>
    </row>
    <row r="58" customFormat="false" ht="15" hidden="false" customHeight="false" outlineLevel="0" collapsed="false">
      <c r="A58" s="15"/>
      <c r="B58" s="15"/>
      <c r="C58" s="16" t="str">
        <f aca="false">IFERROR(INDEX(Functions!$B$5:$B$204,MATCH(B58,Functions!$A$5:$A$204,0)),"")</f>
        <v/>
      </c>
      <c r="D58" s="15"/>
      <c r="E58" s="15"/>
      <c r="F58" s="15"/>
      <c r="G58" s="15"/>
      <c r="H58" s="16" t="str">
        <f aca="false">IF(A58="","",IF(OR(B58="",D58="",E58=""),"Function, transaction, object needed",IF(COUNTIF(Functions!$A$5:$A$204,B58)=0,"Function not defined","OK")))</f>
        <v/>
      </c>
    </row>
    <row r="59" customFormat="false" ht="15" hidden="false" customHeight="false" outlineLevel="0" collapsed="false">
      <c r="A59" s="15"/>
      <c r="B59" s="15"/>
      <c r="C59" s="16" t="str">
        <f aca="false">IFERROR(INDEX(Functions!$B$5:$B$204,MATCH(B59,Functions!$A$5:$A$204,0)),"")</f>
        <v/>
      </c>
      <c r="D59" s="15"/>
      <c r="E59" s="15"/>
      <c r="F59" s="15"/>
      <c r="G59" s="15"/>
      <c r="H59" s="16" t="str">
        <f aca="false">IF(A59="","",IF(OR(B59="",D59="",E59=""),"Function, transaction, object needed",IF(COUNTIF(Functions!$A$5:$A$204,B59)=0,"Function not defined","OK")))</f>
        <v/>
      </c>
    </row>
    <row r="60" customFormat="false" ht="15" hidden="false" customHeight="false" outlineLevel="0" collapsed="false">
      <c r="A60" s="15"/>
      <c r="B60" s="15"/>
      <c r="C60" s="16" t="str">
        <f aca="false">IFERROR(INDEX(Functions!$B$5:$B$204,MATCH(B60,Functions!$A$5:$A$204,0)),"")</f>
        <v/>
      </c>
      <c r="D60" s="15"/>
      <c r="E60" s="15"/>
      <c r="F60" s="15"/>
      <c r="G60" s="15"/>
      <c r="H60" s="16" t="str">
        <f aca="false">IF(A60="","",IF(OR(B60="",D60="",E60=""),"Function, transaction, object needed",IF(COUNTIF(Functions!$A$5:$A$204,B60)=0,"Function not defined","OK")))</f>
        <v/>
      </c>
    </row>
    <row r="61" customFormat="false" ht="15" hidden="false" customHeight="false" outlineLevel="0" collapsed="false">
      <c r="A61" s="15"/>
      <c r="B61" s="15"/>
      <c r="C61" s="16" t="str">
        <f aca="false">IFERROR(INDEX(Functions!$B$5:$B$204,MATCH(B61,Functions!$A$5:$A$204,0)),"")</f>
        <v/>
      </c>
      <c r="D61" s="15"/>
      <c r="E61" s="15"/>
      <c r="F61" s="15"/>
      <c r="G61" s="15"/>
      <c r="H61" s="16" t="str">
        <f aca="false">IF(A61="","",IF(OR(B61="",D61="",E61=""),"Function, transaction, object needed",IF(COUNTIF(Functions!$A$5:$A$204,B61)=0,"Function not defined","OK")))</f>
        <v/>
      </c>
    </row>
    <row r="62" customFormat="false" ht="15" hidden="false" customHeight="false" outlineLevel="0" collapsed="false">
      <c r="A62" s="15"/>
      <c r="B62" s="15"/>
      <c r="C62" s="16" t="str">
        <f aca="false">IFERROR(INDEX(Functions!$B$5:$B$204,MATCH(B62,Functions!$A$5:$A$204,0)),"")</f>
        <v/>
      </c>
      <c r="D62" s="15"/>
      <c r="E62" s="15"/>
      <c r="F62" s="15"/>
      <c r="G62" s="15"/>
      <c r="H62" s="16" t="str">
        <f aca="false">IF(A62="","",IF(OR(B62="",D62="",E62=""),"Function, transaction, object needed",IF(COUNTIF(Functions!$A$5:$A$204,B62)=0,"Function not defined","OK")))</f>
        <v/>
      </c>
    </row>
    <row r="63" customFormat="false" ht="15" hidden="false" customHeight="false" outlineLevel="0" collapsed="false">
      <c r="A63" s="15"/>
      <c r="B63" s="15"/>
      <c r="C63" s="16" t="str">
        <f aca="false">IFERROR(INDEX(Functions!$B$5:$B$204,MATCH(B63,Functions!$A$5:$A$204,0)),"")</f>
        <v/>
      </c>
      <c r="D63" s="15"/>
      <c r="E63" s="15"/>
      <c r="F63" s="15"/>
      <c r="G63" s="15"/>
      <c r="H63" s="16" t="str">
        <f aca="false">IF(A63="","",IF(OR(B63="",D63="",E63=""),"Function, transaction, object needed",IF(COUNTIF(Functions!$A$5:$A$204,B63)=0,"Function not defined","OK")))</f>
        <v/>
      </c>
    </row>
    <row r="64" customFormat="false" ht="15" hidden="false" customHeight="false" outlineLevel="0" collapsed="false">
      <c r="A64" s="15"/>
      <c r="B64" s="15"/>
      <c r="C64" s="16" t="str">
        <f aca="false">IFERROR(INDEX(Functions!$B$5:$B$204,MATCH(B64,Functions!$A$5:$A$204,0)),"")</f>
        <v/>
      </c>
      <c r="D64" s="15"/>
      <c r="E64" s="15"/>
      <c r="F64" s="15"/>
      <c r="G64" s="15"/>
      <c r="H64" s="16" t="str">
        <f aca="false">IF(A64="","",IF(OR(B64="",D64="",E64=""),"Function, transaction, object needed",IF(COUNTIF(Functions!$A$5:$A$204,B64)=0,"Function not defined","OK")))</f>
        <v/>
      </c>
    </row>
    <row r="65" customFormat="false" ht="15" hidden="false" customHeight="false" outlineLevel="0" collapsed="false">
      <c r="A65" s="15"/>
      <c r="B65" s="15"/>
      <c r="C65" s="16" t="str">
        <f aca="false">IFERROR(INDEX(Functions!$B$5:$B$204,MATCH(B65,Functions!$A$5:$A$204,0)),"")</f>
        <v/>
      </c>
      <c r="D65" s="15"/>
      <c r="E65" s="15"/>
      <c r="F65" s="15"/>
      <c r="G65" s="15"/>
      <c r="H65" s="16" t="str">
        <f aca="false">IF(A65="","",IF(OR(B65="",D65="",E65=""),"Function, transaction, object needed",IF(COUNTIF(Functions!$A$5:$A$204,B65)=0,"Function not defined","OK")))</f>
        <v/>
      </c>
    </row>
    <row r="66" customFormat="false" ht="15" hidden="false" customHeight="false" outlineLevel="0" collapsed="false">
      <c r="A66" s="15"/>
      <c r="B66" s="15"/>
      <c r="C66" s="16" t="str">
        <f aca="false">IFERROR(INDEX(Functions!$B$5:$B$204,MATCH(B66,Functions!$A$5:$A$204,0)),"")</f>
        <v/>
      </c>
      <c r="D66" s="15"/>
      <c r="E66" s="15"/>
      <c r="F66" s="15"/>
      <c r="G66" s="15"/>
      <c r="H66" s="16" t="str">
        <f aca="false">IF(A66="","",IF(OR(B66="",D66="",E66=""),"Function, transaction, object needed",IF(COUNTIF(Functions!$A$5:$A$204,B66)=0,"Function not defined","OK")))</f>
        <v/>
      </c>
    </row>
    <row r="67" customFormat="false" ht="15" hidden="false" customHeight="false" outlineLevel="0" collapsed="false">
      <c r="A67" s="15"/>
      <c r="B67" s="15"/>
      <c r="C67" s="16" t="str">
        <f aca="false">IFERROR(INDEX(Functions!$B$5:$B$204,MATCH(B67,Functions!$A$5:$A$204,0)),"")</f>
        <v/>
      </c>
      <c r="D67" s="15"/>
      <c r="E67" s="15"/>
      <c r="F67" s="15"/>
      <c r="G67" s="15"/>
      <c r="H67" s="16" t="str">
        <f aca="false">IF(A67="","",IF(OR(B67="",D67="",E67=""),"Function, transaction, object needed",IF(COUNTIF(Functions!$A$5:$A$204,B67)=0,"Function not defined","OK")))</f>
        <v/>
      </c>
    </row>
    <row r="68" customFormat="false" ht="15" hidden="false" customHeight="false" outlineLevel="0" collapsed="false">
      <c r="A68" s="15"/>
      <c r="B68" s="15"/>
      <c r="C68" s="16" t="str">
        <f aca="false">IFERROR(INDEX(Functions!$B$5:$B$204,MATCH(B68,Functions!$A$5:$A$204,0)),"")</f>
        <v/>
      </c>
      <c r="D68" s="15"/>
      <c r="E68" s="15"/>
      <c r="F68" s="15"/>
      <c r="G68" s="15"/>
      <c r="H68" s="16" t="str">
        <f aca="false">IF(A68="","",IF(OR(B68="",D68="",E68=""),"Function, transaction, object needed",IF(COUNTIF(Functions!$A$5:$A$204,B68)=0,"Function not defined","OK")))</f>
        <v/>
      </c>
    </row>
    <row r="69" customFormat="false" ht="15" hidden="false" customHeight="false" outlineLevel="0" collapsed="false">
      <c r="A69" s="15"/>
      <c r="B69" s="15"/>
      <c r="C69" s="16" t="str">
        <f aca="false">IFERROR(INDEX(Functions!$B$5:$B$204,MATCH(B69,Functions!$A$5:$A$204,0)),"")</f>
        <v/>
      </c>
      <c r="D69" s="15"/>
      <c r="E69" s="15"/>
      <c r="F69" s="15"/>
      <c r="G69" s="15"/>
      <c r="H69" s="16" t="str">
        <f aca="false">IF(A69="","",IF(OR(B69="",D69="",E69=""),"Function, transaction, object needed",IF(COUNTIF(Functions!$A$5:$A$204,B69)=0,"Function not defined","OK")))</f>
        <v/>
      </c>
    </row>
    <row r="70" customFormat="false" ht="15" hidden="false" customHeight="false" outlineLevel="0" collapsed="false">
      <c r="A70" s="15"/>
      <c r="B70" s="15"/>
      <c r="C70" s="16" t="str">
        <f aca="false">IFERROR(INDEX(Functions!$B$5:$B$204,MATCH(B70,Functions!$A$5:$A$204,0)),"")</f>
        <v/>
      </c>
      <c r="D70" s="15"/>
      <c r="E70" s="15"/>
      <c r="F70" s="15"/>
      <c r="G70" s="15"/>
      <c r="H70" s="16" t="str">
        <f aca="false">IF(A70="","",IF(OR(B70="",D70="",E70=""),"Function, transaction, object needed",IF(COUNTIF(Functions!$A$5:$A$204,B70)=0,"Function not defined","OK")))</f>
        <v/>
      </c>
    </row>
    <row r="71" customFormat="false" ht="15" hidden="false" customHeight="false" outlineLevel="0" collapsed="false">
      <c r="A71" s="15"/>
      <c r="B71" s="15"/>
      <c r="C71" s="16" t="str">
        <f aca="false">IFERROR(INDEX(Functions!$B$5:$B$204,MATCH(B71,Functions!$A$5:$A$204,0)),"")</f>
        <v/>
      </c>
      <c r="D71" s="15"/>
      <c r="E71" s="15"/>
      <c r="F71" s="15"/>
      <c r="G71" s="15"/>
      <c r="H71" s="16" t="str">
        <f aca="false">IF(A71="","",IF(OR(B71="",D71="",E71=""),"Function, transaction, object needed",IF(COUNTIF(Functions!$A$5:$A$204,B71)=0,"Function not defined","OK")))</f>
        <v/>
      </c>
    </row>
    <row r="72" customFormat="false" ht="15" hidden="false" customHeight="false" outlineLevel="0" collapsed="false">
      <c r="A72" s="15"/>
      <c r="B72" s="15"/>
      <c r="C72" s="16" t="str">
        <f aca="false">IFERROR(INDEX(Functions!$B$5:$B$204,MATCH(B72,Functions!$A$5:$A$204,0)),"")</f>
        <v/>
      </c>
      <c r="D72" s="15"/>
      <c r="E72" s="15"/>
      <c r="F72" s="15"/>
      <c r="G72" s="15"/>
      <c r="H72" s="16" t="str">
        <f aca="false">IF(A72="","",IF(OR(B72="",D72="",E72=""),"Function, transaction, object needed",IF(COUNTIF(Functions!$A$5:$A$204,B72)=0,"Function not defined","OK")))</f>
        <v/>
      </c>
    </row>
    <row r="73" customFormat="false" ht="15" hidden="false" customHeight="false" outlineLevel="0" collapsed="false">
      <c r="A73" s="15"/>
      <c r="B73" s="15"/>
      <c r="C73" s="16" t="str">
        <f aca="false">IFERROR(INDEX(Functions!$B$5:$B$204,MATCH(B73,Functions!$A$5:$A$204,0)),"")</f>
        <v/>
      </c>
      <c r="D73" s="15"/>
      <c r="E73" s="15"/>
      <c r="F73" s="15"/>
      <c r="G73" s="15"/>
      <c r="H73" s="16" t="str">
        <f aca="false">IF(A73="","",IF(OR(B73="",D73="",E73=""),"Function, transaction, object needed",IF(COUNTIF(Functions!$A$5:$A$204,B73)=0,"Function not defined","OK")))</f>
        <v/>
      </c>
    </row>
    <row r="74" customFormat="false" ht="15" hidden="false" customHeight="false" outlineLevel="0" collapsed="false">
      <c r="A74" s="15"/>
      <c r="B74" s="15"/>
      <c r="C74" s="16" t="str">
        <f aca="false">IFERROR(INDEX(Functions!$B$5:$B$204,MATCH(B74,Functions!$A$5:$A$204,0)),"")</f>
        <v/>
      </c>
      <c r="D74" s="15"/>
      <c r="E74" s="15"/>
      <c r="F74" s="15"/>
      <c r="G74" s="15"/>
      <c r="H74" s="16" t="str">
        <f aca="false">IF(A74="","",IF(OR(B74="",D74="",E74=""),"Function, transaction, object needed",IF(COUNTIF(Functions!$A$5:$A$204,B74)=0,"Function not defined","OK")))</f>
        <v/>
      </c>
    </row>
    <row r="75" customFormat="false" ht="15" hidden="false" customHeight="false" outlineLevel="0" collapsed="false">
      <c r="A75" s="15"/>
      <c r="B75" s="15"/>
      <c r="C75" s="16" t="str">
        <f aca="false">IFERROR(INDEX(Functions!$B$5:$B$204,MATCH(B75,Functions!$A$5:$A$204,0)),"")</f>
        <v/>
      </c>
      <c r="D75" s="15"/>
      <c r="E75" s="15"/>
      <c r="F75" s="15"/>
      <c r="G75" s="15"/>
      <c r="H75" s="16" t="str">
        <f aca="false">IF(A75="","",IF(OR(B75="",D75="",E75=""),"Function, transaction, object needed",IF(COUNTIF(Functions!$A$5:$A$204,B75)=0,"Function not defined","OK")))</f>
        <v/>
      </c>
    </row>
    <row r="76" customFormat="false" ht="15" hidden="false" customHeight="false" outlineLevel="0" collapsed="false">
      <c r="A76" s="15"/>
      <c r="B76" s="15"/>
      <c r="C76" s="16" t="str">
        <f aca="false">IFERROR(INDEX(Functions!$B$5:$B$204,MATCH(B76,Functions!$A$5:$A$204,0)),"")</f>
        <v/>
      </c>
      <c r="D76" s="15"/>
      <c r="E76" s="15"/>
      <c r="F76" s="15"/>
      <c r="G76" s="15"/>
      <c r="H76" s="16" t="str">
        <f aca="false">IF(A76="","",IF(OR(B76="",D76="",E76=""),"Function, transaction, object needed",IF(COUNTIF(Functions!$A$5:$A$204,B76)=0,"Function not defined","OK")))</f>
        <v/>
      </c>
    </row>
    <row r="77" customFormat="false" ht="15" hidden="false" customHeight="false" outlineLevel="0" collapsed="false">
      <c r="A77" s="15"/>
      <c r="B77" s="15"/>
      <c r="C77" s="16" t="str">
        <f aca="false">IFERROR(INDEX(Functions!$B$5:$B$204,MATCH(B77,Functions!$A$5:$A$204,0)),"")</f>
        <v/>
      </c>
      <c r="D77" s="15"/>
      <c r="E77" s="15"/>
      <c r="F77" s="15"/>
      <c r="G77" s="15"/>
      <c r="H77" s="16" t="str">
        <f aca="false">IF(A77="","",IF(OR(B77="",D77="",E77=""),"Function, transaction, object needed",IF(COUNTIF(Functions!$A$5:$A$204,B77)=0,"Function not defined","OK")))</f>
        <v/>
      </c>
    </row>
    <row r="78" customFormat="false" ht="15" hidden="false" customHeight="false" outlineLevel="0" collapsed="false">
      <c r="A78" s="15"/>
      <c r="B78" s="15"/>
      <c r="C78" s="16" t="str">
        <f aca="false">IFERROR(INDEX(Functions!$B$5:$B$204,MATCH(B78,Functions!$A$5:$A$204,0)),"")</f>
        <v/>
      </c>
      <c r="D78" s="15"/>
      <c r="E78" s="15"/>
      <c r="F78" s="15"/>
      <c r="G78" s="15"/>
      <c r="H78" s="16" t="str">
        <f aca="false">IF(A78="","",IF(OR(B78="",D78="",E78=""),"Function, transaction, object needed",IF(COUNTIF(Functions!$A$5:$A$204,B78)=0,"Function not defined","OK")))</f>
        <v/>
      </c>
    </row>
    <row r="79" customFormat="false" ht="15" hidden="false" customHeight="false" outlineLevel="0" collapsed="false">
      <c r="A79" s="15"/>
      <c r="B79" s="15"/>
      <c r="C79" s="16" t="str">
        <f aca="false">IFERROR(INDEX(Functions!$B$5:$B$204,MATCH(B79,Functions!$A$5:$A$204,0)),"")</f>
        <v/>
      </c>
      <c r="D79" s="15"/>
      <c r="E79" s="15"/>
      <c r="F79" s="15"/>
      <c r="G79" s="15"/>
      <c r="H79" s="16" t="str">
        <f aca="false">IF(A79="","",IF(OR(B79="",D79="",E79=""),"Function, transaction, object needed",IF(COUNTIF(Functions!$A$5:$A$204,B79)=0,"Function not defined","OK")))</f>
        <v/>
      </c>
    </row>
    <row r="80" customFormat="false" ht="15" hidden="false" customHeight="false" outlineLevel="0" collapsed="false">
      <c r="A80" s="15"/>
      <c r="B80" s="15"/>
      <c r="C80" s="16" t="str">
        <f aca="false">IFERROR(INDEX(Functions!$B$5:$B$204,MATCH(B80,Functions!$A$5:$A$204,0)),"")</f>
        <v/>
      </c>
      <c r="D80" s="15"/>
      <c r="E80" s="15"/>
      <c r="F80" s="15"/>
      <c r="G80" s="15"/>
      <c r="H80" s="16" t="str">
        <f aca="false">IF(A80="","",IF(OR(B80="",D80="",E80=""),"Function, transaction, object needed",IF(COUNTIF(Functions!$A$5:$A$204,B80)=0,"Function not defined","OK")))</f>
        <v/>
      </c>
    </row>
    <row r="81" customFormat="false" ht="15" hidden="false" customHeight="false" outlineLevel="0" collapsed="false">
      <c r="A81" s="15"/>
      <c r="B81" s="15"/>
      <c r="C81" s="16" t="str">
        <f aca="false">IFERROR(INDEX(Functions!$B$5:$B$204,MATCH(B81,Functions!$A$5:$A$204,0)),"")</f>
        <v/>
      </c>
      <c r="D81" s="15"/>
      <c r="E81" s="15"/>
      <c r="F81" s="15"/>
      <c r="G81" s="15"/>
      <c r="H81" s="16" t="str">
        <f aca="false">IF(A81="","",IF(OR(B81="",D81="",E81=""),"Function, transaction, object needed",IF(COUNTIF(Functions!$A$5:$A$204,B81)=0,"Function not defined","OK")))</f>
        <v/>
      </c>
    </row>
    <row r="82" customFormat="false" ht="15" hidden="false" customHeight="false" outlineLevel="0" collapsed="false">
      <c r="A82" s="15"/>
      <c r="B82" s="15"/>
      <c r="C82" s="16" t="str">
        <f aca="false">IFERROR(INDEX(Functions!$B$5:$B$204,MATCH(B82,Functions!$A$5:$A$204,0)),"")</f>
        <v/>
      </c>
      <c r="D82" s="15"/>
      <c r="E82" s="15"/>
      <c r="F82" s="15"/>
      <c r="G82" s="15"/>
      <c r="H82" s="16" t="str">
        <f aca="false">IF(A82="","",IF(OR(B82="",D82="",E82=""),"Function, transaction, object needed",IF(COUNTIF(Functions!$A$5:$A$204,B82)=0,"Function not defined","OK")))</f>
        <v/>
      </c>
    </row>
    <row r="83" customFormat="false" ht="15" hidden="false" customHeight="false" outlineLevel="0" collapsed="false">
      <c r="A83" s="15"/>
      <c r="B83" s="15"/>
      <c r="C83" s="16" t="str">
        <f aca="false">IFERROR(INDEX(Functions!$B$5:$B$204,MATCH(B83,Functions!$A$5:$A$204,0)),"")</f>
        <v/>
      </c>
      <c r="D83" s="15"/>
      <c r="E83" s="15"/>
      <c r="F83" s="15"/>
      <c r="G83" s="15"/>
      <c r="H83" s="16" t="str">
        <f aca="false">IF(A83="","",IF(OR(B83="",D83="",E83=""),"Function, transaction, object needed",IF(COUNTIF(Functions!$A$5:$A$204,B83)=0,"Function not defined","OK")))</f>
        <v/>
      </c>
    </row>
    <row r="84" customFormat="false" ht="15" hidden="false" customHeight="false" outlineLevel="0" collapsed="false">
      <c r="A84" s="15"/>
      <c r="B84" s="15"/>
      <c r="C84" s="16" t="str">
        <f aca="false">IFERROR(INDEX(Functions!$B$5:$B$204,MATCH(B84,Functions!$A$5:$A$204,0)),"")</f>
        <v/>
      </c>
      <c r="D84" s="15"/>
      <c r="E84" s="15"/>
      <c r="F84" s="15"/>
      <c r="G84" s="15"/>
      <c r="H84" s="16" t="str">
        <f aca="false">IF(A84="","",IF(OR(B84="",D84="",E84=""),"Function, transaction, object needed",IF(COUNTIF(Functions!$A$5:$A$204,B84)=0,"Function not defined","OK")))</f>
        <v/>
      </c>
    </row>
    <row r="85" customFormat="false" ht="15" hidden="false" customHeight="false" outlineLevel="0" collapsed="false">
      <c r="A85" s="15"/>
      <c r="B85" s="15"/>
      <c r="C85" s="16" t="str">
        <f aca="false">IFERROR(INDEX(Functions!$B$5:$B$204,MATCH(B85,Functions!$A$5:$A$204,0)),"")</f>
        <v/>
      </c>
      <c r="D85" s="15"/>
      <c r="E85" s="15"/>
      <c r="F85" s="15"/>
      <c r="G85" s="15"/>
      <c r="H85" s="16" t="str">
        <f aca="false">IF(A85="","",IF(OR(B85="",D85="",E85=""),"Function, transaction, object needed",IF(COUNTIF(Functions!$A$5:$A$204,B85)=0,"Function not defined","OK")))</f>
        <v/>
      </c>
    </row>
    <row r="86" customFormat="false" ht="15" hidden="false" customHeight="false" outlineLevel="0" collapsed="false">
      <c r="A86" s="15"/>
      <c r="B86" s="15"/>
      <c r="C86" s="16" t="str">
        <f aca="false">IFERROR(INDEX(Functions!$B$5:$B$204,MATCH(B86,Functions!$A$5:$A$204,0)),"")</f>
        <v/>
      </c>
      <c r="D86" s="15"/>
      <c r="E86" s="15"/>
      <c r="F86" s="15"/>
      <c r="G86" s="15"/>
      <c r="H86" s="16" t="str">
        <f aca="false">IF(A86="","",IF(OR(B86="",D86="",E86=""),"Function, transaction, object needed",IF(COUNTIF(Functions!$A$5:$A$204,B86)=0,"Function not defined","OK")))</f>
        <v/>
      </c>
    </row>
    <row r="87" customFormat="false" ht="15" hidden="false" customHeight="false" outlineLevel="0" collapsed="false">
      <c r="A87" s="15"/>
      <c r="B87" s="15"/>
      <c r="C87" s="16" t="str">
        <f aca="false">IFERROR(INDEX(Functions!$B$5:$B$204,MATCH(B87,Functions!$A$5:$A$204,0)),"")</f>
        <v/>
      </c>
      <c r="D87" s="15"/>
      <c r="E87" s="15"/>
      <c r="F87" s="15"/>
      <c r="G87" s="15"/>
      <c r="H87" s="16" t="str">
        <f aca="false">IF(A87="","",IF(OR(B87="",D87="",E87=""),"Function, transaction, object needed",IF(COUNTIF(Functions!$A$5:$A$204,B87)=0,"Function not defined","OK")))</f>
        <v/>
      </c>
    </row>
    <row r="88" customFormat="false" ht="15" hidden="false" customHeight="false" outlineLevel="0" collapsed="false">
      <c r="A88" s="15"/>
      <c r="B88" s="15"/>
      <c r="C88" s="16" t="str">
        <f aca="false">IFERROR(INDEX(Functions!$B$5:$B$204,MATCH(B88,Functions!$A$5:$A$204,0)),"")</f>
        <v/>
      </c>
      <c r="D88" s="15"/>
      <c r="E88" s="15"/>
      <c r="F88" s="15"/>
      <c r="G88" s="15"/>
      <c r="H88" s="16" t="str">
        <f aca="false">IF(A88="","",IF(OR(B88="",D88="",E88=""),"Function, transaction, object needed",IF(COUNTIF(Functions!$A$5:$A$204,B88)=0,"Function not defined","OK")))</f>
        <v/>
      </c>
    </row>
    <row r="89" customFormat="false" ht="15" hidden="false" customHeight="false" outlineLevel="0" collapsed="false">
      <c r="A89" s="15"/>
      <c r="B89" s="15"/>
      <c r="C89" s="16" t="str">
        <f aca="false">IFERROR(INDEX(Functions!$B$5:$B$204,MATCH(B89,Functions!$A$5:$A$204,0)),"")</f>
        <v/>
      </c>
      <c r="D89" s="15"/>
      <c r="E89" s="15"/>
      <c r="F89" s="15"/>
      <c r="G89" s="15"/>
      <c r="H89" s="16" t="str">
        <f aca="false">IF(A89="","",IF(OR(B89="",D89="",E89=""),"Function, transaction, object needed",IF(COUNTIF(Functions!$A$5:$A$204,B89)=0,"Function not defined","OK")))</f>
        <v/>
      </c>
    </row>
    <row r="90" customFormat="false" ht="15" hidden="false" customHeight="false" outlineLevel="0" collapsed="false">
      <c r="A90" s="15"/>
      <c r="B90" s="15"/>
      <c r="C90" s="16" t="str">
        <f aca="false">IFERROR(INDEX(Functions!$B$5:$B$204,MATCH(B90,Functions!$A$5:$A$204,0)),"")</f>
        <v/>
      </c>
      <c r="D90" s="15"/>
      <c r="E90" s="15"/>
      <c r="F90" s="15"/>
      <c r="G90" s="15"/>
      <c r="H90" s="16" t="str">
        <f aca="false">IF(A90="","",IF(OR(B90="",D90="",E90=""),"Function, transaction, object needed",IF(COUNTIF(Functions!$A$5:$A$204,B90)=0,"Function not defined","OK")))</f>
        <v/>
      </c>
    </row>
    <row r="91" customFormat="false" ht="15" hidden="false" customHeight="false" outlineLevel="0" collapsed="false">
      <c r="A91" s="15"/>
      <c r="B91" s="15"/>
      <c r="C91" s="16" t="str">
        <f aca="false">IFERROR(INDEX(Functions!$B$5:$B$204,MATCH(B91,Functions!$A$5:$A$204,0)),"")</f>
        <v/>
      </c>
      <c r="D91" s="15"/>
      <c r="E91" s="15"/>
      <c r="F91" s="15"/>
      <c r="G91" s="15"/>
      <c r="H91" s="16" t="str">
        <f aca="false">IF(A91="","",IF(OR(B91="",D91="",E91=""),"Function, transaction, object needed",IF(COUNTIF(Functions!$A$5:$A$204,B91)=0,"Function not defined","OK")))</f>
        <v/>
      </c>
    </row>
    <row r="92" customFormat="false" ht="15" hidden="false" customHeight="false" outlineLevel="0" collapsed="false">
      <c r="A92" s="15"/>
      <c r="B92" s="15"/>
      <c r="C92" s="16" t="str">
        <f aca="false">IFERROR(INDEX(Functions!$B$5:$B$204,MATCH(B92,Functions!$A$5:$A$204,0)),"")</f>
        <v/>
      </c>
      <c r="D92" s="15"/>
      <c r="E92" s="15"/>
      <c r="F92" s="15"/>
      <c r="G92" s="15"/>
      <c r="H92" s="16" t="str">
        <f aca="false">IF(A92="","",IF(OR(B92="",D92="",E92=""),"Function, transaction, object needed",IF(COUNTIF(Functions!$A$5:$A$204,B92)=0,"Function not defined","OK")))</f>
        <v/>
      </c>
    </row>
    <row r="93" customFormat="false" ht="15" hidden="false" customHeight="false" outlineLevel="0" collapsed="false">
      <c r="A93" s="15"/>
      <c r="B93" s="15"/>
      <c r="C93" s="16" t="str">
        <f aca="false">IFERROR(INDEX(Functions!$B$5:$B$204,MATCH(B93,Functions!$A$5:$A$204,0)),"")</f>
        <v/>
      </c>
      <c r="D93" s="15"/>
      <c r="E93" s="15"/>
      <c r="F93" s="15"/>
      <c r="G93" s="15"/>
      <c r="H93" s="16" t="str">
        <f aca="false">IF(A93="","",IF(OR(B93="",D93="",E93=""),"Function, transaction, object needed",IF(COUNTIF(Functions!$A$5:$A$204,B93)=0,"Function not defined","OK")))</f>
        <v/>
      </c>
    </row>
    <row r="94" customFormat="false" ht="15" hidden="false" customHeight="false" outlineLevel="0" collapsed="false">
      <c r="A94" s="15"/>
      <c r="B94" s="15"/>
      <c r="C94" s="16" t="str">
        <f aca="false">IFERROR(INDEX(Functions!$B$5:$B$204,MATCH(B94,Functions!$A$5:$A$204,0)),"")</f>
        <v/>
      </c>
      <c r="D94" s="15"/>
      <c r="E94" s="15"/>
      <c r="F94" s="15"/>
      <c r="G94" s="15"/>
      <c r="H94" s="16" t="str">
        <f aca="false">IF(A94="","",IF(OR(B94="",D94="",E94=""),"Function, transaction, object needed",IF(COUNTIF(Functions!$A$5:$A$204,B94)=0,"Function not defined","OK")))</f>
        <v/>
      </c>
    </row>
    <row r="95" customFormat="false" ht="15" hidden="false" customHeight="false" outlineLevel="0" collapsed="false">
      <c r="A95" s="15"/>
      <c r="B95" s="15"/>
      <c r="C95" s="16" t="str">
        <f aca="false">IFERROR(INDEX(Functions!$B$5:$B$204,MATCH(B95,Functions!$A$5:$A$204,0)),"")</f>
        <v/>
      </c>
      <c r="D95" s="15"/>
      <c r="E95" s="15"/>
      <c r="F95" s="15"/>
      <c r="G95" s="15"/>
      <c r="H95" s="16" t="str">
        <f aca="false">IF(A95="","",IF(OR(B95="",D95="",E95=""),"Function, transaction, object needed",IF(COUNTIF(Functions!$A$5:$A$204,B95)=0,"Function not defined","OK")))</f>
        <v/>
      </c>
    </row>
    <row r="96" customFormat="false" ht="15" hidden="false" customHeight="false" outlineLevel="0" collapsed="false">
      <c r="A96" s="15"/>
      <c r="B96" s="15"/>
      <c r="C96" s="16" t="str">
        <f aca="false">IFERROR(INDEX(Functions!$B$5:$B$204,MATCH(B96,Functions!$A$5:$A$204,0)),"")</f>
        <v/>
      </c>
      <c r="D96" s="15"/>
      <c r="E96" s="15"/>
      <c r="F96" s="15"/>
      <c r="G96" s="15"/>
      <c r="H96" s="16" t="str">
        <f aca="false">IF(A96="","",IF(OR(B96="",D96="",E96=""),"Function, transaction, object needed",IF(COUNTIF(Functions!$A$5:$A$204,B96)=0,"Function not defined","OK")))</f>
        <v/>
      </c>
    </row>
    <row r="97" customFormat="false" ht="15" hidden="false" customHeight="false" outlineLevel="0" collapsed="false">
      <c r="A97" s="15"/>
      <c r="B97" s="15"/>
      <c r="C97" s="16" t="str">
        <f aca="false">IFERROR(INDEX(Functions!$B$5:$B$204,MATCH(B97,Functions!$A$5:$A$204,0)),"")</f>
        <v/>
      </c>
      <c r="D97" s="15"/>
      <c r="E97" s="15"/>
      <c r="F97" s="15"/>
      <c r="G97" s="15"/>
      <c r="H97" s="16" t="str">
        <f aca="false">IF(A97="","",IF(OR(B97="",D97="",E97=""),"Function, transaction, object needed",IF(COUNTIF(Functions!$A$5:$A$204,B97)=0,"Function not defined","OK")))</f>
        <v/>
      </c>
    </row>
    <row r="98" customFormat="false" ht="15" hidden="false" customHeight="false" outlineLevel="0" collapsed="false">
      <c r="A98" s="15"/>
      <c r="B98" s="15"/>
      <c r="C98" s="16" t="str">
        <f aca="false">IFERROR(INDEX(Functions!$B$5:$B$204,MATCH(B98,Functions!$A$5:$A$204,0)),"")</f>
        <v/>
      </c>
      <c r="D98" s="15"/>
      <c r="E98" s="15"/>
      <c r="F98" s="15"/>
      <c r="G98" s="15"/>
      <c r="H98" s="16" t="str">
        <f aca="false">IF(A98="","",IF(OR(B98="",D98="",E98=""),"Function, transaction, object needed",IF(COUNTIF(Functions!$A$5:$A$204,B98)=0,"Function not defined","OK")))</f>
        <v/>
      </c>
    </row>
    <row r="99" customFormat="false" ht="15" hidden="false" customHeight="false" outlineLevel="0" collapsed="false">
      <c r="A99" s="15"/>
      <c r="B99" s="15"/>
      <c r="C99" s="16" t="str">
        <f aca="false">IFERROR(INDEX(Functions!$B$5:$B$204,MATCH(B99,Functions!$A$5:$A$204,0)),"")</f>
        <v/>
      </c>
      <c r="D99" s="15"/>
      <c r="E99" s="15"/>
      <c r="F99" s="15"/>
      <c r="G99" s="15"/>
      <c r="H99" s="16" t="str">
        <f aca="false">IF(A99="","",IF(OR(B99="",D99="",E99=""),"Function, transaction, object needed",IF(COUNTIF(Functions!$A$5:$A$204,B99)=0,"Function not defined","OK")))</f>
        <v/>
      </c>
    </row>
    <row r="100" customFormat="false" ht="15" hidden="false" customHeight="false" outlineLevel="0" collapsed="false">
      <c r="A100" s="15"/>
      <c r="B100" s="15"/>
      <c r="C100" s="16" t="str">
        <f aca="false">IFERROR(INDEX(Functions!$B$5:$B$204,MATCH(B100,Functions!$A$5:$A$204,0)),"")</f>
        <v/>
      </c>
      <c r="D100" s="15"/>
      <c r="E100" s="15"/>
      <c r="F100" s="15"/>
      <c r="G100" s="15"/>
      <c r="H100" s="16" t="str">
        <f aca="false">IF(A100="","",IF(OR(B100="",D100="",E100=""),"Function, transaction, object needed",IF(COUNTIF(Functions!$A$5:$A$204,B100)=0,"Function not defined","OK")))</f>
        <v/>
      </c>
    </row>
    <row r="101" customFormat="false" ht="15" hidden="false" customHeight="false" outlineLevel="0" collapsed="false">
      <c r="A101" s="15"/>
      <c r="B101" s="15"/>
      <c r="C101" s="16" t="str">
        <f aca="false">IFERROR(INDEX(Functions!$B$5:$B$204,MATCH(B101,Functions!$A$5:$A$204,0)),"")</f>
        <v/>
      </c>
      <c r="D101" s="15"/>
      <c r="E101" s="15"/>
      <c r="F101" s="15"/>
      <c r="G101" s="15"/>
      <c r="H101" s="16" t="str">
        <f aca="false">IF(A101="","",IF(OR(B101="",D101="",E101=""),"Function, transaction, object needed",IF(COUNTIF(Functions!$A$5:$A$204,B101)=0,"Function not defined","OK")))</f>
        <v/>
      </c>
    </row>
    <row r="102" customFormat="false" ht="15" hidden="false" customHeight="false" outlineLevel="0" collapsed="false">
      <c r="A102" s="15"/>
      <c r="B102" s="15"/>
      <c r="C102" s="16" t="str">
        <f aca="false">IFERROR(INDEX(Functions!$B$5:$B$204,MATCH(B102,Functions!$A$5:$A$204,0)),"")</f>
        <v/>
      </c>
      <c r="D102" s="15"/>
      <c r="E102" s="15"/>
      <c r="F102" s="15"/>
      <c r="G102" s="15"/>
      <c r="H102" s="16" t="str">
        <f aca="false">IF(A102="","",IF(OR(B102="",D102="",E102=""),"Function, transaction, object needed",IF(COUNTIF(Functions!$A$5:$A$204,B102)=0,"Function not defined","OK")))</f>
        <v/>
      </c>
    </row>
    <row r="103" customFormat="false" ht="15" hidden="false" customHeight="false" outlineLevel="0" collapsed="false">
      <c r="A103" s="15"/>
      <c r="B103" s="15"/>
      <c r="C103" s="16" t="str">
        <f aca="false">IFERROR(INDEX(Functions!$B$5:$B$204,MATCH(B103,Functions!$A$5:$A$204,0)),"")</f>
        <v/>
      </c>
      <c r="D103" s="15"/>
      <c r="E103" s="15"/>
      <c r="F103" s="15"/>
      <c r="G103" s="15"/>
      <c r="H103" s="16" t="str">
        <f aca="false">IF(A103="","",IF(OR(B103="",D103="",E103=""),"Function, transaction, object needed",IF(COUNTIF(Functions!$A$5:$A$204,B103)=0,"Function not defined","OK")))</f>
        <v/>
      </c>
    </row>
    <row r="104" customFormat="false" ht="15" hidden="false" customHeight="false" outlineLevel="0" collapsed="false">
      <c r="A104" s="15"/>
      <c r="B104" s="15"/>
      <c r="C104" s="16" t="str">
        <f aca="false">IFERROR(INDEX(Functions!$B$5:$B$204,MATCH(B104,Functions!$A$5:$A$204,0)),"")</f>
        <v/>
      </c>
      <c r="D104" s="15"/>
      <c r="E104" s="15"/>
      <c r="F104" s="15"/>
      <c r="G104" s="15"/>
      <c r="H104" s="16" t="str">
        <f aca="false">IF(A104="","",IF(OR(B104="",D104="",E104=""),"Function, transaction, object needed",IF(COUNTIF(Functions!$A$5:$A$204,B104)=0,"Function not defined","OK")))</f>
        <v/>
      </c>
    </row>
    <row r="105" customFormat="false" ht="15" hidden="false" customHeight="false" outlineLevel="0" collapsed="false">
      <c r="A105" s="15"/>
      <c r="B105" s="15"/>
      <c r="C105" s="16" t="str">
        <f aca="false">IFERROR(INDEX(Functions!$B$5:$B$204,MATCH(B105,Functions!$A$5:$A$204,0)),"")</f>
        <v/>
      </c>
      <c r="D105" s="15"/>
      <c r="E105" s="15"/>
      <c r="F105" s="15"/>
      <c r="G105" s="15"/>
      <c r="H105" s="16" t="str">
        <f aca="false">IF(A105="","",IF(OR(B105="",D105="",E105=""),"Function, transaction, object needed",IF(COUNTIF(Functions!$A$5:$A$204,B105)=0,"Function not defined","OK")))</f>
        <v/>
      </c>
    </row>
    <row r="106" customFormat="false" ht="15" hidden="false" customHeight="false" outlineLevel="0" collapsed="false">
      <c r="A106" s="15"/>
      <c r="B106" s="15"/>
      <c r="C106" s="16" t="str">
        <f aca="false">IFERROR(INDEX(Functions!$B$5:$B$204,MATCH(B106,Functions!$A$5:$A$204,0)),"")</f>
        <v/>
      </c>
      <c r="D106" s="15"/>
      <c r="E106" s="15"/>
      <c r="F106" s="15"/>
      <c r="G106" s="15"/>
      <c r="H106" s="16" t="str">
        <f aca="false">IF(A106="","",IF(OR(B106="",D106="",E106=""),"Function, transaction, object needed",IF(COUNTIF(Functions!$A$5:$A$204,B106)=0,"Function not defined","OK")))</f>
        <v/>
      </c>
    </row>
    <row r="107" customFormat="false" ht="15" hidden="false" customHeight="false" outlineLevel="0" collapsed="false">
      <c r="A107" s="15"/>
      <c r="B107" s="15"/>
      <c r="C107" s="16" t="str">
        <f aca="false">IFERROR(INDEX(Functions!$B$5:$B$204,MATCH(B107,Functions!$A$5:$A$204,0)),"")</f>
        <v/>
      </c>
      <c r="D107" s="15"/>
      <c r="E107" s="15"/>
      <c r="F107" s="15"/>
      <c r="G107" s="15"/>
      <c r="H107" s="16" t="str">
        <f aca="false">IF(A107="","",IF(OR(B107="",D107="",E107=""),"Function, transaction, object needed",IF(COUNTIF(Functions!$A$5:$A$204,B107)=0,"Function not defined","OK")))</f>
        <v/>
      </c>
    </row>
    <row r="108" customFormat="false" ht="15" hidden="false" customHeight="false" outlineLevel="0" collapsed="false">
      <c r="A108" s="15"/>
      <c r="B108" s="15"/>
      <c r="C108" s="16" t="str">
        <f aca="false">IFERROR(INDEX(Functions!$B$5:$B$204,MATCH(B108,Functions!$A$5:$A$204,0)),"")</f>
        <v/>
      </c>
      <c r="D108" s="15"/>
      <c r="E108" s="15"/>
      <c r="F108" s="15"/>
      <c r="G108" s="15"/>
      <c r="H108" s="16" t="str">
        <f aca="false">IF(A108="","",IF(OR(B108="",D108="",E108=""),"Function, transaction, object needed",IF(COUNTIF(Functions!$A$5:$A$204,B108)=0,"Function not defined","OK")))</f>
        <v/>
      </c>
    </row>
    <row r="109" customFormat="false" ht="15" hidden="false" customHeight="false" outlineLevel="0" collapsed="false">
      <c r="A109" s="15"/>
      <c r="B109" s="15"/>
      <c r="C109" s="16" t="str">
        <f aca="false">IFERROR(INDEX(Functions!$B$5:$B$204,MATCH(B109,Functions!$A$5:$A$204,0)),"")</f>
        <v/>
      </c>
      <c r="D109" s="15"/>
      <c r="E109" s="15"/>
      <c r="F109" s="15"/>
      <c r="G109" s="15"/>
      <c r="H109" s="16" t="str">
        <f aca="false">IF(A109="","",IF(OR(B109="",D109="",E109=""),"Function, transaction, object needed",IF(COUNTIF(Functions!$A$5:$A$204,B109)=0,"Function not defined","OK")))</f>
        <v/>
      </c>
    </row>
    <row r="110" customFormat="false" ht="15" hidden="false" customHeight="false" outlineLevel="0" collapsed="false">
      <c r="A110" s="15"/>
      <c r="B110" s="15"/>
      <c r="C110" s="16" t="str">
        <f aca="false">IFERROR(INDEX(Functions!$B$5:$B$204,MATCH(B110,Functions!$A$5:$A$204,0)),"")</f>
        <v/>
      </c>
      <c r="D110" s="15"/>
      <c r="E110" s="15"/>
      <c r="F110" s="15"/>
      <c r="G110" s="15"/>
      <c r="H110" s="16" t="str">
        <f aca="false">IF(A110="","",IF(OR(B110="",D110="",E110=""),"Function, transaction, object needed",IF(COUNTIF(Functions!$A$5:$A$204,B110)=0,"Function not defined","OK")))</f>
        <v/>
      </c>
    </row>
    <row r="111" customFormat="false" ht="15" hidden="false" customHeight="false" outlineLevel="0" collapsed="false">
      <c r="A111" s="15"/>
      <c r="B111" s="15"/>
      <c r="C111" s="16" t="str">
        <f aca="false">IFERROR(INDEX(Functions!$B$5:$B$204,MATCH(B111,Functions!$A$5:$A$204,0)),"")</f>
        <v/>
      </c>
      <c r="D111" s="15"/>
      <c r="E111" s="15"/>
      <c r="F111" s="15"/>
      <c r="G111" s="15"/>
      <c r="H111" s="16" t="str">
        <f aca="false">IF(A111="","",IF(OR(B111="",D111="",E111=""),"Function, transaction, object needed",IF(COUNTIF(Functions!$A$5:$A$204,B111)=0,"Function not defined","OK")))</f>
        <v/>
      </c>
    </row>
    <row r="112" customFormat="false" ht="15" hidden="false" customHeight="false" outlineLevel="0" collapsed="false">
      <c r="A112" s="15"/>
      <c r="B112" s="15"/>
      <c r="C112" s="16" t="str">
        <f aca="false">IFERROR(INDEX(Functions!$B$5:$B$204,MATCH(B112,Functions!$A$5:$A$204,0)),"")</f>
        <v/>
      </c>
      <c r="D112" s="15"/>
      <c r="E112" s="15"/>
      <c r="F112" s="15"/>
      <c r="G112" s="15"/>
      <c r="H112" s="16" t="str">
        <f aca="false">IF(A112="","",IF(OR(B112="",D112="",E112=""),"Function, transaction, object needed",IF(COUNTIF(Functions!$A$5:$A$204,B112)=0,"Function not defined","OK")))</f>
        <v/>
      </c>
    </row>
    <row r="113" customFormat="false" ht="15" hidden="false" customHeight="false" outlineLevel="0" collapsed="false">
      <c r="A113" s="15"/>
      <c r="B113" s="15"/>
      <c r="C113" s="16" t="str">
        <f aca="false">IFERROR(INDEX(Functions!$B$5:$B$204,MATCH(B113,Functions!$A$5:$A$204,0)),"")</f>
        <v/>
      </c>
      <c r="D113" s="15"/>
      <c r="E113" s="15"/>
      <c r="F113" s="15"/>
      <c r="G113" s="15"/>
      <c r="H113" s="16" t="str">
        <f aca="false">IF(A113="","",IF(OR(B113="",D113="",E113=""),"Function, transaction, object needed",IF(COUNTIF(Functions!$A$5:$A$204,B113)=0,"Function not defined","OK")))</f>
        <v/>
      </c>
    </row>
    <row r="114" customFormat="false" ht="15" hidden="false" customHeight="false" outlineLevel="0" collapsed="false">
      <c r="A114" s="15"/>
      <c r="B114" s="15"/>
      <c r="C114" s="16" t="str">
        <f aca="false">IFERROR(INDEX(Functions!$B$5:$B$204,MATCH(B114,Functions!$A$5:$A$204,0)),"")</f>
        <v/>
      </c>
      <c r="D114" s="15"/>
      <c r="E114" s="15"/>
      <c r="F114" s="15"/>
      <c r="G114" s="15"/>
      <c r="H114" s="16" t="str">
        <f aca="false">IF(A114="","",IF(OR(B114="",D114="",E114=""),"Function, transaction, object needed",IF(COUNTIF(Functions!$A$5:$A$204,B114)=0,"Function not defined","OK")))</f>
        <v/>
      </c>
    </row>
    <row r="115" customFormat="false" ht="15" hidden="false" customHeight="false" outlineLevel="0" collapsed="false">
      <c r="A115" s="15"/>
      <c r="B115" s="15"/>
      <c r="C115" s="16" t="str">
        <f aca="false">IFERROR(INDEX(Functions!$B$5:$B$204,MATCH(B115,Functions!$A$5:$A$204,0)),"")</f>
        <v/>
      </c>
      <c r="D115" s="15"/>
      <c r="E115" s="15"/>
      <c r="F115" s="15"/>
      <c r="G115" s="15"/>
      <c r="H115" s="16" t="str">
        <f aca="false">IF(A115="","",IF(OR(B115="",D115="",E115=""),"Function, transaction, object needed",IF(COUNTIF(Functions!$A$5:$A$204,B115)=0,"Function not defined","OK")))</f>
        <v/>
      </c>
    </row>
    <row r="116" customFormat="false" ht="15" hidden="false" customHeight="false" outlineLevel="0" collapsed="false">
      <c r="A116" s="15"/>
      <c r="B116" s="15"/>
      <c r="C116" s="16" t="str">
        <f aca="false">IFERROR(INDEX(Functions!$B$5:$B$204,MATCH(B116,Functions!$A$5:$A$204,0)),"")</f>
        <v/>
      </c>
      <c r="D116" s="15"/>
      <c r="E116" s="15"/>
      <c r="F116" s="15"/>
      <c r="G116" s="15"/>
      <c r="H116" s="16" t="str">
        <f aca="false">IF(A116="","",IF(OR(B116="",D116="",E116=""),"Function, transaction, object needed",IF(COUNTIF(Functions!$A$5:$A$204,B116)=0,"Function not defined","OK")))</f>
        <v/>
      </c>
    </row>
    <row r="117" customFormat="false" ht="15" hidden="false" customHeight="false" outlineLevel="0" collapsed="false">
      <c r="A117" s="15"/>
      <c r="B117" s="15"/>
      <c r="C117" s="16" t="str">
        <f aca="false">IFERROR(INDEX(Functions!$B$5:$B$204,MATCH(B117,Functions!$A$5:$A$204,0)),"")</f>
        <v/>
      </c>
      <c r="D117" s="15"/>
      <c r="E117" s="15"/>
      <c r="F117" s="15"/>
      <c r="G117" s="15"/>
      <c r="H117" s="16" t="str">
        <f aca="false">IF(A117="","",IF(OR(B117="",D117="",E117=""),"Function, transaction, object needed",IF(COUNTIF(Functions!$A$5:$A$204,B117)=0,"Function not defined","OK")))</f>
        <v/>
      </c>
    </row>
    <row r="118" customFormat="false" ht="15" hidden="false" customHeight="false" outlineLevel="0" collapsed="false">
      <c r="A118" s="15"/>
      <c r="B118" s="15"/>
      <c r="C118" s="16" t="str">
        <f aca="false">IFERROR(INDEX(Functions!$B$5:$B$204,MATCH(B118,Functions!$A$5:$A$204,0)),"")</f>
        <v/>
      </c>
      <c r="D118" s="15"/>
      <c r="E118" s="15"/>
      <c r="F118" s="15"/>
      <c r="G118" s="15"/>
      <c r="H118" s="16" t="str">
        <f aca="false">IF(A118="","",IF(OR(B118="",D118="",E118=""),"Function, transaction, object needed",IF(COUNTIF(Functions!$A$5:$A$204,B118)=0,"Function not defined","OK")))</f>
        <v/>
      </c>
    </row>
    <row r="119" customFormat="false" ht="15" hidden="false" customHeight="false" outlineLevel="0" collapsed="false">
      <c r="A119" s="15"/>
      <c r="B119" s="15"/>
      <c r="C119" s="16" t="str">
        <f aca="false">IFERROR(INDEX(Functions!$B$5:$B$204,MATCH(B119,Functions!$A$5:$A$204,0)),"")</f>
        <v/>
      </c>
      <c r="D119" s="15"/>
      <c r="E119" s="15"/>
      <c r="F119" s="15"/>
      <c r="G119" s="15"/>
      <c r="H119" s="16" t="str">
        <f aca="false">IF(A119="","",IF(OR(B119="",D119="",E119=""),"Function, transaction, object needed",IF(COUNTIF(Functions!$A$5:$A$204,B119)=0,"Function not defined","OK")))</f>
        <v/>
      </c>
    </row>
    <row r="120" customFormat="false" ht="15" hidden="false" customHeight="false" outlineLevel="0" collapsed="false">
      <c r="A120" s="15"/>
      <c r="B120" s="15"/>
      <c r="C120" s="16" t="str">
        <f aca="false">IFERROR(INDEX(Functions!$B$5:$B$204,MATCH(B120,Functions!$A$5:$A$204,0)),"")</f>
        <v/>
      </c>
      <c r="D120" s="15"/>
      <c r="E120" s="15"/>
      <c r="F120" s="15"/>
      <c r="G120" s="15"/>
      <c r="H120" s="16" t="str">
        <f aca="false">IF(A120="","",IF(OR(B120="",D120="",E120=""),"Function, transaction, object needed",IF(COUNTIF(Functions!$A$5:$A$204,B120)=0,"Function not defined","OK")))</f>
        <v/>
      </c>
    </row>
    <row r="121" customFormat="false" ht="15" hidden="false" customHeight="false" outlineLevel="0" collapsed="false">
      <c r="A121" s="15"/>
      <c r="B121" s="15"/>
      <c r="C121" s="16" t="str">
        <f aca="false">IFERROR(INDEX(Functions!$B$5:$B$204,MATCH(B121,Functions!$A$5:$A$204,0)),"")</f>
        <v/>
      </c>
      <c r="D121" s="15"/>
      <c r="E121" s="15"/>
      <c r="F121" s="15"/>
      <c r="G121" s="15"/>
      <c r="H121" s="16" t="str">
        <f aca="false">IF(A121="","",IF(OR(B121="",D121="",E121=""),"Function, transaction, object needed",IF(COUNTIF(Functions!$A$5:$A$204,B121)=0,"Function not defined","OK")))</f>
        <v/>
      </c>
    </row>
    <row r="122" customFormat="false" ht="15" hidden="false" customHeight="false" outlineLevel="0" collapsed="false">
      <c r="A122" s="15"/>
      <c r="B122" s="15"/>
      <c r="C122" s="16" t="str">
        <f aca="false">IFERROR(INDEX(Functions!$B$5:$B$204,MATCH(B122,Functions!$A$5:$A$204,0)),"")</f>
        <v/>
      </c>
      <c r="D122" s="15"/>
      <c r="E122" s="15"/>
      <c r="F122" s="15"/>
      <c r="G122" s="15"/>
      <c r="H122" s="16" t="str">
        <f aca="false">IF(A122="","",IF(OR(B122="",D122="",E122=""),"Function, transaction, object needed",IF(COUNTIF(Functions!$A$5:$A$204,B122)=0,"Function not defined","OK")))</f>
        <v/>
      </c>
    </row>
    <row r="123" customFormat="false" ht="15" hidden="false" customHeight="false" outlineLevel="0" collapsed="false">
      <c r="A123" s="15"/>
      <c r="B123" s="15"/>
      <c r="C123" s="16" t="str">
        <f aca="false">IFERROR(INDEX(Functions!$B$5:$B$204,MATCH(B123,Functions!$A$5:$A$204,0)),"")</f>
        <v/>
      </c>
      <c r="D123" s="15"/>
      <c r="E123" s="15"/>
      <c r="F123" s="15"/>
      <c r="G123" s="15"/>
      <c r="H123" s="16" t="str">
        <f aca="false">IF(A123="","",IF(OR(B123="",D123="",E123=""),"Function, transaction, object needed",IF(COUNTIF(Functions!$A$5:$A$204,B123)=0,"Function not defined","OK")))</f>
        <v/>
      </c>
    </row>
    <row r="124" customFormat="false" ht="15" hidden="false" customHeight="false" outlineLevel="0" collapsed="false">
      <c r="A124" s="15"/>
      <c r="B124" s="15"/>
      <c r="C124" s="16" t="str">
        <f aca="false">IFERROR(INDEX(Functions!$B$5:$B$204,MATCH(B124,Functions!$A$5:$A$204,0)),"")</f>
        <v/>
      </c>
      <c r="D124" s="15"/>
      <c r="E124" s="15"/>
      <c r="F124" s="15"/>
      <c r="G124" s="15"/>
      <c r="H124" s="16" t="str">
        <f aca="false">IF(A124="","",IF(OR(B124="",D124="",E124=""),"Function, transaction, object needed",IF(COUNTIF(Functions!$A$5:$A$204,B124)=0,"Function not defined","OK")))</f>
        <v/>
      </c>
    </row>
    <row r="125" customFormat="false" ht="15" hidden="false" customHeight="false" outlineLevel="0" collapsed="false">
      <c r="A125" s="15"/>
      <c r="B125" s="15"/>
      <c r="C125" s="16" t="str">
        <f aca="false">IFERROR(INDEX(Functions!$B$5:$B$204,MATCH(B125,Functions!$A$5:$A$204,0)),"")</f>
        <v/>
      </c>
      <c r="D125" s="15"/>
      <c r="E125" s="15"/>
      <c r="F125" s="15"/>
      <c r="G125" s="15"/>
      <c r="H125" s="16" t="str">
        <f aca="false">IF(A125="","",IF(OR(B125="",D125="",E125=""),"Function, transaction, object needed",IF(COUNTIF(Functions!$A$5:$A$204,B125)=0,"Function not defined","OK")))</f>
        <v/>
      </c>
    </row>
    <row r="126" customFormat="false" ht="15" hidden="false" customHeight="false" outlineLevel="0" collapsed="false">
      <c r="A126" s="15"/>
      <c r="B126" s="15"/>
      <c r="C126" s="16" t="str">
        <f aca="false">IFERROR(INDEX(Functions!$B$5:$B$204,MATCH(B126,Functions!$A$5:$A$204,0)),"")</f>
        <v/>
      </c>
      <c r="D126" s="15"/>
      <c r="E126" s="15"/>
      <c r="F126" s="15"/>
      <c r="G126" s="15"/>
      <c r="H126" s="16" t="str">
        <f aca="false">IF(A126="","",IF(OR(B126="",D126="",E126=""),"Function, transaction, object needed",IF(COUNTIF(Functions!$A$5:$A$204,B126)=0,"Function not defined","OK")))</f>
        <v/>
      </c>
    </row>
    <row r="127" customFormat="false" ht="15" hidden="false" customHeight="false" outlineLevel="0" collapsed="false">
      <c r="A127" s="15"/>
      <c r="B127" s="15"/>
      <c r="C127" s="16" t="str">
        <f aca="false">IFERROR(INDEX(Functions!$B$5:$B$204,MATCH(B127,Functions!$A$5:$A$204,0)),"")</f>
        <v/>
      </c>
      <c r="D127" s="15"/>
      <c r="E127" s="15"/>
      <c r="F127" s="15"/>
      <c r="G127" s="15"/>
      <c r="H127" s="16" t="str">
        <f aca="false">IF(A127="","",IF(OR(B127="",D127="",E127=""),"Function, transaction, object needed",IF(COUNTIF(Functions!$A$5:$A$204,B127)=0,"Function not defined","OK")))</f>
        <v/>
      </c>
    </row>
    <row r="128" customFormat="false" ht="15" hidden="false" customHeight="false" outlineLevel="0" collapsed="false">
      <c r="A128" s="15"/>
      <c r="B128" s="15"/>
      <c r="C128" s="16" t="str">
        <f aca="false">IFERROR(INDEX(Functions!$B$5:$B$204,MATCH(B128,Functions!$A$5:$A$204,0)),"")</f>
        <v/>
      </c>
      <c r="D128" s="15"/>
      <c r="E128" s="15"/>
      <c r="F128" s="15"/>
      <c r="G128" s="15"/>
      <c r="H128" s="16" t="str">
        <f aca="false">IF(A128="","",IF(OR(B128="",D128="",E128=""),"Function, transaction, object needed",IF(COUNTIF(Functions!$A$5:$A$204,B128)=0,"Function not defined","OK")))</f>
        <v/>
      </c>
    </row>
    <row r="129" customFormat="false" ht="15" hidden="false" customHeight="false" outlineLevel="0" collapsed="false">
      <c r="A129" s="15"/>
      <c r="B129" s="15"/>
      <c r="C129" s="16" t="str">
        <f aca="false">IFERROR(INDEX(Functions!$B$5:$B$204,MATCH(B129,Functions!$A$5:$A$204,0)),"")</f>
        <v/>
      </c>
      <c r="D129" s="15"/>
      <c r="E129" s="15"/>
      <c r="F129" s="15"/>
      <c r="G129" s="15"/>
      <c r="H129" s="16" t="str">
        <f aca="false">IF(A129="","",IF(OR(B129="",D129="",E129=""),"Function, transaction, object needed",IF(COUNTIF(Functions!$A$5:$A$204,B129)=0,"Function not defined","OK")))</f>
        <v/>
      </c>
    </row>
    <row r="130" customFormat="false" ht="15" hidden="false" customHeight="false" outlineLevel="0" collapsed="false">
      <c r="A130" s="15"/>
      <c r="B130" s="15"/>
      <c r="C130" s="16" t="str">
        <f aca="false">IFERROR(INDEX(Functions!$B$5:$B$204,MATCH(B130,Functions!$A$5:$A$204,0)),"")</f>
        <v/>
      </c>
      <c r="D130" s="15"/>
      <c r="E130" s="15"/>
      <c r="F130" s="15"/>
      <c r="G130" s="15"/>
      <c r="H130" s="16" t="str">
        <f aca="false">IF(A130="","",IF(OR(B130="",D130="",E130=""),"Function, transaction, object needed",IF(COUNTIF(Functions!$A$5:$A$204,B130)=0,"Function not defined","OK")))</f>
        <v/>
      </c>
    </row>
    <row r="131" customFormat="false" ht="15" hidden="false" customHeight="false" outlineLevel="0" collapsed="false">
      <c r="A131" s="15"/>
      <c r="B131" s="15"/>
      <c r="C131" s="16" t="str">
        <f aca="false">IFERROR(INDEX(Functions!$B$5:$B$204,MATCH(B131,Functions!$A$5:$A$204,0)),"")</f>
        <v/>
      </c>
      <c r="D131" s="15"/>
      <c r="E131" s="15"/>
      <c r="F131" s="15"/>
      <c r="G131" s="15"/>
      <c r="H131" s="16" t="str">
        <f aca="false">IF(A131="","",IF(OR(B131="",D131="",E131=""),"Function, transaction, object needed",IF(COUNTIF(Functions!$A$5:$A$204,B131)=0,"Function not defined","OK")))</f>
        <v/>
      </c>
    </row>
    <row r="132" customFormat="false" ht="15" hidden="false" customHeight="false" outlineLevel="0" collapsed="false">
      <c r="A132" s="15"/>
      <c r="B132" s="15"/>
      <c r="C132" s="16" t="str">
        <f aca="false">IFERROR(INDEX(Functions!$B$5:$B$204,MATCH(B132,Functions!$A$5:$A$204,0)),"")</f>
        <v/>
      </c>
      <c r="D132" s="15"/>
      <c r="E132" s="15"/>
      <c r="F132" s="15"/>
      <c r="G132" s="15"/>
      <c r="H132" s="16" t="str">
        <f aca="false">IF(A132="","",IF(OR(B132="",D132="",E132=""),"Function, transaction, object needed",IF(COUNTIF(Functions!$A$5:$A$204,B132)=0,"Function not defined","OK")))</f>
        <v/>
      </c>
    </row>
    <row r="133" customFormat="false" ht="15" hidden="false" customHeight="false" outlineLevel="0" collapsed="false">
      <c r="A133" s="15"/>
      <c r="B133" s="15"/>
      <c r="C133" s="16" t="str">
        <f aca="false">IFERROR(INDEX(Functions!$B$5:$B$204,MATCH(B133,Functions!$A$5:$A$204,0)),"")</f>
        <v/>
      </c>
      <c r="D133" s="15"/>
      <c r="E133" s="15"/>
      <c r="F133" s="15"/>
      <c r="G133" s="15"/>
      <c r="H133" s="16" t="str">
        <f aca="false">IF(A133="","",IF(OR(B133="",D133="",E133=""),"Function, transaction, object needed",IF(COUNTIF(Functions!$A$5:$A$204,B133)=0,"Function not defined","OK")))</f>
        <v/>
      </c>
    </row>
    <row r="134" customFormat="false" ht="15" hidden="false" customHeight="false" outlineLevel="0" collapsed="false">
      <c r="A134" s="15"/>
      <c r="B134" s="15"/>
      <c r="C134" s="16" t="str">
        <f aca="false">IFERROR(INDEX(Functions!$B$5:$B$204,MATCH(B134,Functions!$A$5:$A$204,0)),"")</f>
        <v/>
      </c>
      <c r="D134" s="15"/>
      <c r="E134" s="15"/>
      <c r="F134" s="15"/>
      <c r="G134" s="15"/>
      <c r="H134" s="16" t="str">
        <f aca="false">IF(A134="","",IF(OR(B134="",D134="",E134=""),"Function, transaction, object needed",IF(COUNTIF(Functions!$A$5:$A$204,B134)=0,"Function not defined","OK")))</f>
        <v/>
      </c>
    </row>
    <row r="135" customFormat="false" ht="15" hidden="false" customHeight="false" outlineLevel="0" collapsed="false">
      <c r="A135" s="15"/>
      <c r="B135" s="15"/>
      <c r="C135" s="16" t="str">
        <f aca="false">IFERROR(INDEX(Functions!$B$5:$B$204,MATCH(B135,Functions!$A$5:$A$204,0)),"")</f>
        <v/>
      </c>
      <c r="D135" s="15"/>
      <c r="E135" s="15"/>
      <c r="F135" s="15"/>
      <c r="G135" s="15"/>
      <c r="H135" s="16" t="str">
        <f aca="false">IF(A135="","",IF(OR(B135="",D135="",E135=""),"Function, transaction, object needed",IF(COUNTIF(Functions!$A$5:$A$204,B135)=0,"Function not defined","OK")))</f>
        <v/>
      </c>
    </row>
    <row r="136" customFormat="false" ht="15" hidden="false" customHeight="false" outlineLevel="0" collapsed="false">
      <c r="A136" s="15"/>
      <c r="B136" s="15"/>
      <c r="C136" s="16" t="str">
        <f aca="false">IFERROR(INDEX(Functions!$B$5:$B$204,MATCH(B136,Functions!$A$5:$A$204,0)),"")</f>
        <v/>
      </c>
      <c r="D136" s="15"/>
      <c r="E136" s="15"/>
      <c r="F136" s="15"/>
      <c r="G136" s="15"/>
      <c r="H136" s="16" t="str">
        <f aca="false">IF(A136="","",IF(OR(B136="",D136="",E136=""),"Function, transaction, object needed",IF(COUNTIF(Functions!$A$5:$A$204,B136)=0,"Function not defined","OK")))</f>
        <v/>
      </c>
    </row>
    <row r="137" customFormat="false" ht="15" hidden="false" customHeight="false" outlineLevel="0" collapsed="false">
      <c r="A137" s="15"/>
      <c r="B137" s="15"/>
      <c r="C137" s="16" t="str">
        <f aca="false">IFERROR(INDEX(Functions!$B$5:$B$204,MATCH(B137,Functions!$A$5:$A$204,0)),"")</f>
        <v/>
      </c>
      <c r="D137" s="15"/>
      <c r="E137" s="15"/>
      <c r="F137" s="15"/>
      <c r="G137" s="15"/>
      <c r="H137" s="16" t="str">
        <f aca="false">IF(A137="","",IF(OR(B137="",D137="",E137=""),"Function, transaction, object needed",IF(COUNTIF(Functions!$A$5:$A$204,B137)=0,"Function not defined","OK")))</f>
        <v/>
      </c>
    </row>
    <row r="138" customFormat="false" ht="15" hidden="false" customHeight="false" outlineLevel="0" collapsed="false">
      <c r="A138" s="15"/>
      <c r="B138" s="15"/>
      <c r="C138" s="16" t="str">
        <f aca="false">IFERROR(INDEX(Functions!$B$5:$B$204,MATCH(B138,Functions!$A$5:$A$204,0)),"")</f>
        <v/>
      </c>
      <c r="D138" s="15"/>
      <c r="E138" s="15"/>
      <c r="F138" s="15"/>
      <c r="G138" s="15"/>
      <c r="H138" s="16" t="str">
        <f aca="false">IF(A138="","",IF(OR(B138="",D138="",E138=""),"Function, transaction, object needed",IF(COUNTIF(Functions!$A$5:$A$204,B138)=0,"Function not defined","OK")))</f>
        <v/>
      </c>
    </row>
    <row r="139" customFormat="false" ht="15" hidden="false" customHeight="false" outlineLevel="0" collapsed="false">
      <c r="A139" s="15"/>
      <c r="B139" s="15"/>
      <c r="C139" s="16" t="str">
        <f aca="false">IFERROR(INDEX(Functions!$B$5:$B$204,MATCH(B139,Functions!$A$5:$A$204,0)),"")</f>
        <v/>
      </c>
      <c r="D139" s="15"/>
      <c r="E139" s="15"/>
      <c r="F139" s="15"/>
      <c r="G139" s="15"/>
      <c r="H139" s="16" t="str">
        <f aca="false">IF(A139="","",IF(OR(B139="",D139="",E139=""),"Function, transaction, object needed",IF(COUNTIF(Functions!$A$5:$A$204,B139)=0,"Function not defined","OK")))</f>
        <v/>
      </c>
    </row>
    <row r="140" customFormat="false" ht="15" hidden="false" customHeight="false" outlineLevel="0" collapsed="false">
      <c r="A140" s="15"/>
      <c r="B140" s="15"/>
      <c r="C140" s="16" t="str">
        <f aca="false">IFERROR(INDEX(Functions!$B$5:$B$204,MATCH(B140,Functions!$A$5:$A$204,0)),"")</f>
        <v/>
      </c>
      <c r="D140" s="15"/>
      <c r="E140" s="15"/>
      <c r="F140" s="15"/>
      <c r="G140" s="15"/>
      <c r="H140" s="16" t="str">
        <f aca="false">IF(A140="","",IF(OR(B140="",D140="",E140=""),"Function, transaction, object needed",IF(COUNTIF(Functions!$A$5:$A$204,B140)=0,"Function not defined","OK")))</f>
        <v/>
      </c>
    </row>
    <row r="141" customFormat="false" ht="15" hidden="false" customHeight="false" outlineLevel="0" collapsed="false">
      <c r="A141" s="15"/>
      <c r="B141" s="15"/>
      <c r="C141" s="16" t="str">
        <f aca="false">IFERROR(INDEX(Functions!$B$5:$B$204,MATCH(B141,Functions!$A$5:$A$204,0)),"")</f>
        <v/>
      </c>
      <c r="D141" s="15"/>
      <c r="E141" s="15"/>
      <c r="F141" s="15"/>
      <c r="G141" s="15"/>
      <c r="H141" s="16" t="str">
        <f aca="false">IF(A141="","",IF(OR(B141="",D141="",E141=""),"Function, transaction, object needed",IF(COUNTIF(Functions!$A$5:$A$204,B141)=0,"Function not defined","OK")))</f>
        <v/>
      </c>
    </row>
    <row r="142" customFormat="false" ht="15" hidden="false" customHeight="false" outlineLevel="0" collapsed="false">
      <c r="A142" s="15"/>
      <c r="B142" s="15"/>
      <c r="C142" s="16" t="str">
        <f aca="false">IFERROR(INDEX(Functions!$B$5:$B$204,MATCH(B142,Functions!$A$5:$A$204,0)),"")</f>
        <v/>
      </c>
      <c r="D142" s="15"/>
      <c r="E142" s="15"/>
      <c r="F142" s="15"/>
      <c r="G142" s="15"/>
      <c r="H142" s="16" t="str">
        <f aca="false">IF(A142="","",IF(OR(B142="",D142="",E142=""),"Function, transaction, object needed",IF(COUNTIF(Functions!$A$5:$A$204,B142)=0,"Function not defined","OK")))</f>
        <v/>
      </c>
    </row>
    <row r="143" customFormat="false" ht="15" hidden="false" customHeight="false" outlineLevel="0" collapsed="false">
      <c r="A143" s="15"/>
      <c r="B143" s="15"/>
      <c r="C143" s="16" t="str">
        <f aca="false">IFERROR(INDEX(Functions!$B$5:$B$204,MATCH(B143,Functions!$A$5:$A$204,0)),"")</f>
        <v/>
      </c>
      <c r="D143" s="15"/>
      <c r="E143" s="15"/>
      <c r="F143" s="15"/>
      <c r="G143" s="15"/>
      <c r="H143" s="16" t="str">
        <f aca="false">IF(A143="","",IF(OR(B143="",D143="",E143=""),"Function, transaction, object needed",IF(COUNTIF(Functions!$A$5:$A$204,B143)=0,"Function not defined","OK")))</f>
        <v/>
      </c>
    </row>
    <row r="144" customFormat="false" ht="15" hidden="false" customHeight="false" outlineLevel="0" collapsed="false">
      <c r="A144" s="15"/>
      <c r="B144" s="15"/>
      <c r="C144" s="16" t="str">
        <f aca="false">IFERROR(INDEX(Functions!$B$5:$B$204,MATCH(B144,Functions!$A$5:$A$204,0)),"")</f>
        <v/>
      </c>
      <c r="D144" s="15"/>
      <c r="E144" s="15"/>
      <c r="F144" s="15"/>
      <c r="G144" s="15"/>
      <c r="H144" s="16" t="str">
        <f aca="false">IF(A144="","",IF(OR(B144="",D144="",E144=""),"Function, transaction, object needed",IF(COUNTIF(Functions!$A$5:$A$204,B144)=0,"Function not defined","OK")))</f>
        <v/>
      </c>
    </row>
    <row r="145" customFormat="false" ht="15" hidden="false" customHeight="false" outlineLevel="0" collapsed="false">
      <c r="A145" s="15"/>
      <c r="B145" s="15"/>
      <c r="C145" s="16" t="str">
        <f aca="false">IFERROR(INDEX(Functions!$B$5:$B$204,MATCH(B145,Functions!$A$5:$A$204,0)),"")</f>
        <v/>
      </c>
      <c r="D145" s="15"/>
      <c r="E145" s="15"/>
      <c r="F145" s="15"/>
      <c r="G145" s="15"/>
      <c r="H145" s="16" t="str">
        <f aca="false">IF(A145="","",IF(OR(B145="",D145="",E145=""),"Function, transaction, object needed",IF(COUNTIF(Functions!$A$5:$A$204,B145)=0,"Function not defined","OK")))</f>
        <v/>
      </c>
    </row>
    <row r="146" customFormat="false" ht="15" hidden="false" customHeight="false" outlineLevel="0" collapsed="false">
      <c r="A146" s="15"/>
      <c r="B146" s="15"/>
      <c r="C146" s="16" t="str">
        <f aca="false">IFERROR(INDEX(Functions!$B$5:$B$204,MATCH(B146,Functions!$A$5:$A$204,0)),"")</f>
        <v/>
      </c>
      <c r="D146" s="15"/>
      <c r="E146" s="15"/>
      <c r="F146" s="15"/>
      <c r="G146" s="15"/>
      <c r="H146" s="16" t="str">
        <f aca="false">IF(A146="","",IF(OR(B146="",D146="",E146=""),"Function, transaction, object needed",IF(COUNTIF(Functions!$A$5:$A$204,B146)=0,"Function not defined","OK")))</f>
        <v/>
      </c>
    </row>
    <row r="147" customFormat="false" ht="15" hidden="false" customHeight="false" outlineLevel="0" collapsed="false">
      <c r="A147" s="15"/>
      <c r="B147" s="15"/>
      <c r="C147" s="16" t="str">
        <f aca="false">IFERROR(INDEX(Functions!$B$5:$B$204,MATCH(B147,Functions!$A$5:$A$204,0)),"")</f>
        <v/>
      </c>
      <c r="D147" s="15"/>
      <c r="E147" s="15"/>
      <c r="F147" s="15"/>
      <c r="G147" s="15"/>
      <c r="H147" s="16" t="str">
        <f aca="false">IF(A147="","",IF(OR(B147="",D147="",E147=""),"Function, transaction, object needed",IF(COUNTIF(Functions!$A$5:$A$204,B147)=0,"Function not defined","OK")))</f>
        <v/>
      </c>
    </row>
    <row r="148" customFormat="false" ht="15" hidden="false" customHeight="false" outlineLevel="0" collapsed="false">
      <c r="A148" s="15"/>
      <c r="B148" s="15"/>
      <c r="C148" s="16" t="str">
        <f aca="false">IFERROR(INDEX(Functions!$B$5:$B$204,MATCH(B148,Functions!$A$5:$A$204,0)),"")</f>
        <v/>
      </c>
      <c r="D148" s="15"/>
      <c r="E148" s="15"/>
      <c r="F148" s="15"/>
      <c r="G148" s="15"/>
      <c r="H148" s="16" t="str">
        <f aca="false">IF(A148="","",IF(OR(B148="",D148="",E148=""),"Function, transaction, object needed",IF(COUNTIF(Functions!$A$5:$A$204,B148)=0,"Function not defined","OK")))</f>
        <v/>
      </c>
    </row>
    <row r="149" customFormat="false" ht="15" hidden="false" customHeight="false" outlineLevel="0" collapsed="false">
      <c r="A149" s="15"/>
      <c r="B149" s="15"/>
      <c r="C149" s="16" t="str">
        <f aca="false">IFERROR(INDEX(Functions!$B$5:$B$204,MATCH(B149,Functions!$A$5:$A$204,0)),"")</f>
        <v/>
      </c>
      <c r="D149" s="15"/>
      <c r="E149" s="15"/>
      <c r="F149" s="15"/>
      <c r="G149" s="15"/>
      <c r="H149" s="16" t="str">
        <f aca="false">IF(A149="","",IF(OR(B149="",D149="",E149=""),"Function, transaction, object needed",IF(COUNTIF(Functions!$A$5:$A$204,B149)=0,"Function not defined","OK")))</f>
        <v/>
      </c>
    </row>
    <row r="150" customFormat="false" ht="15" hidden="false" customHeight="false" outlineLevel="0" collapsed="false">
      <c r="A150" s="15"/>
      <c r="B150" s="15"/>
      <c r="C150" s="16" t="str">
        <f aca="false">IFERROR(INDEX(Functions!$B$5:$B$204,MATCH(B150,Functions!$A$5:$A$204,0)),"")</f>
        <v/>
      </c>
      <c r="D150" s="15"/>
      <c r="E150" s="15"/>
      <c r="F150" s="15"/>
      <c r="G150" s="15"/>
      <c r="H150" s="16" t="str">
        <f aca="false">IF(A150="","",IF(OR(B150="",D150="",E150=""),"Function, transaction, object needed",IF(COUNTIF(Functions!$A$5:$A$204,B150)=0,"Function not defined","OK")))</f>
        <v/>
      </c>
    </row>
    <row r="151" customFormat="false" ht="15" hidden="false" customHeight="false" outlineLevel="0" collapsed="false">
      <c r="A151" s="15"/>
      <c r="B151" s="15"/>
      <c r="C151" s="16" t="str">
        <f aca="false">IFERROR(INDEX(Functions!$B$5:$B$204,MATCH(B151,Functions!$A$5:$A$204,0)),"")</f>
        <v/>
      </c>
      <c r="D151" s="15"/>
      <c r="E151" s="15"/>
      <c r="F151" s="15"/>
      <c r="G151" s="15"/>
      <c r="H151" s="16" t="str">
        <f aca="false">IF(A151="","",IF(OR(B151="",D151="",E151=""),"Function, transaction, object needed",IF(COUNTIF(Functions!$A$5:$A$204,B151)=0,"Function not defined","OK")))</f>
        <v/>
      </c>
    </row>
    <row r="152" customFormat="false" ht="15" hidden="false" customHeight="false" outlineLevel="0" collapsed="false">
      <c r="A152" s="15"/>
      <c r="B152" s="15"/>
      <c r="C152" s="16" t="str">
        <f aca="false">IFERROR(INDEX(Functions!$B$5:$B$204,MATCH(B152,Functions!$A$5:$A$204,0)),"")</f>
        <v/>
      </c>
      <c r="D152" s="15"/>
      <c r="E152" s="15"/>
      <c r="F152" s="15"/>
      <c r="G152" s="15"/>
      <c r="H152" s="16" t="str">
        <f aca="false">IF(A152="","",IF(OR(B152="",D152="",E152=""),"Function, transaction, object needed",IF(COUNTIF(Functions!$A$5:$A$204,B152)=0,"Function not defined","OK")))</f>
        <v/>
      </c>
    </row>
    <row r="153" customFormat="false" ht="15" hidden="false" customHeight="false" outlineLevel="0" collapsed="false">
      <c r="A153" s="15"/>
      <c r="B153" s="15"/>
      <c r="C153" s="16" t="str">
        <f aca="false">IFERROR(INDEX(Functions!$B$5:$B$204,MATCH(B153,Functions!$A$5:$A$204,0)),"")</f>
        <v/>
      </c>
      <c r="D153" s="15"/>
      <c r="E153" s="15"/>
      <c r="F153" s="15"/>
      <c r="G153" s="15"/>
      <c r="H153" s="16" t="str">
        <f aca="false">IF(A153="","",IF(OR(B153="",D153="",E153=""),"Function, transaction, object needed",IF(COUNTIF(Functions!$A$5:$A$204,B153)=0,"Function not defined","OK")))</f>
        <v/>
      </c>
    </row>
    <row r="154" customFormat="false" ht="15" hidden="false" customHeight="false" outlineLevel="0" collapsed="false">
      <c r="A154" s="15"/>
      <c r="B154" s="15"/>
      <c r="C154" s="16" t="str">
        <f aca="false">IFERROR(INDEX(Functions!$B$5:$B$204,MATCH(B154,Functions!$A$5:$A$204,0)),"")</f>
        <v/>
      </c>
      <c r="D154" s="15"/>
      <c r="E154" s="15"/>
      <c r="F154" s="15"/>
      <c r="G154" s="15"/>
      <c r="H154" s="16" t="str">
        <f aca="false">IF(A154="","",IF(OR(B154="",D154="",E154=""),"Function, transaction, object needed",IF(COUNTIF(Functions!$A$5:$A$204,B154)=0,"Function not defined","OK")))</f>
        <v/>
      </c>
    </row>
    <row r="155" customFormat="false" ht="15" hidden="false" customHeight="false" outlineLevel="0" collapsed="false">
      <c r="A155" s="15"/>
      <c r="B155" s="15"/>
      <c r="C155" s="16" t="str">
        <f aca="false">IFERROR(INDEX(Functions!$B$5:$B$204,MATCH(B155,Functions!$A$5:$A$204,0)),"")</f>
        <v/>
      </c>
      <c r="D155" s="15"/>
      <c r="E155" s="15"/>
      <c r="F155" s="15"/>
      <c r="G155" s="15"/>
      <c r="H155" s="16" t="str">
        <f aca="false">IF(A155="","",IF(OR(B155="",D155="",E155=""),"Function, transaction, object needed",IF(COUNTIF(Functions!$A$5:$A$204,B155)=0,"Function not defined","OK")))</f>
        <v/>
      </c>
    </row>
    <row r="156" customFormat="false" ht="15" hidden="false" customHeight="false" outlineLevel="0" collapsed="false">
      <c r="A156" s="15"/>
      <c r="B156" s="15"/>
      <c r="C156" s="16" t="str">
        <f aca="false">IFERROR(INDEX(Functions!$B$5:$B$204,MATCH(B156,Functions!$A$5:$A$204,0)),"")</f>
        <v/>
      </c>
      <c r="D156" s="15"/>
      <c r="E156" s="15"/>
      <c r="F156" s="15"/>
      <c r="G156" s="15"/>
      <c r="H156" s="16" t="str">
        <f aca="false">IF(A156="","",IF(OR(B156="",D156="",E156=""),"Function, transaction, object needed",IF(COUNTIF(Functions!$A$5:$A$204,B156)=0,"Function not defined","OK")))</f>
        <v/>
      </c>
    </row>
    <row r="157" customFormat="false" ht="15" hidden="false" customHeight="false" outlineLevel="0" collapsed="false">
      <c r="A157" s="15"/>
      <c r="B157" s="15"/>
      <c r="C157" s="16" t="str">
        <f aca="false">IFERROR(INDEX(Functions!$B$5:$B$204,MATCH(B157,Functions!$A$5:$A$204,0)),"")</f>
        <v/>
      </c>
      <c r="D157" s="15"/>
      <c r="E157" s="15"/>
      <c r="F157" s="15"/>
      <c r="G157" s="15"/>
      <c r="H157" s="16" t="str">
        <f aca="false">IF(A157="","",IF(OR(B157="",D157="",E157=""),"Function, transaction, object needed",IF(COUNTIF(Functions!$A$5:$A$204,B157)=0,"Function not defined","OK")))</f>
        <v/>
      </c>
    </row>
    <row r="158" customFormat="false" ht="15" hidden="false" customHeight="false" outlineLevel="0" collapsed="false">
      <c r="A158" s="15"/>
      <c r="B158" s="15"/>
      <c r="C158" s="16" t="str">
        <f aca="false">IFERROR(INDEX(Functions!$B$5:$B$204,MATCH(B158,Functions!$A$5:$A$204,0)),"")</f>
        <v/>
      </c>
      <c r="D158" s="15"/>
      <c r="E158" s="15"/>
      <c r="F158" s="15"/>
      <c r="G158" s="15"/>
      <c r="H158" s="16" t="str">
        <f aca="false">IF(A158="","",IF(OR(B158="",D158="",E158=""),"Function, transaction, object needed",IF(COUNTIF(Functions!$A$5:$A$204,B158)=0,"Function not defined","OK")))</f>
        <v/>
      </c>
    </row>
    <row r="159" customFormat="false" ht="15" hidden="false" customHeight="false" outlineLevel="0" collapsed="false">
      <c r="A159" s="15"/>
      <c r="B159" s="15"/>
      <c r="C159" s="16" t="str">
        <f aca="false">IFERROR(INDEX(Functions!$B$5:$B$204,MATCH(B159,Functions!$A$5:$A$204,0)),"")</f>
        <v/>
      </c>
      <c r="D159" s="15"/>
      <c r="E159" s="15"/>
      <c r="F159" s="15"/>
      <c r="G159" s="15"/>
      <c r="H159" s="16" t="str">
        <f aca="false">IF(A159="","",IF(OR(B159="",D159="",E159=""),"Function, transaction, object needed",IF(COUNTIF(Functions!$A$5:$A$204,B159)=0,"Function not defined","OK")))</f>
        <v/>
      </c>
    </row>
    <row r="160" customFormat="false" ht="15" hidden="false" customHeight="false" outlineLevel="0" collapsed="false">
      <c r="A160" s="15"/>
      <c r="B160" s="15"/>
      <c r="C160" s="16" t="str">
        <f aca="false">IFERROR(INDEX(Functions!$B$5:$B$204,MATCH(B160,Functions!$A$5:$A$204,0)),"")</f>
        <v/>
      </c>
      <c r="D160" s="15"/>
      <c r="E160" s="15"/>
      <c r="F160" s="15"/>
      <c r="G160" s="15"/>
      <c r="H160" s="16" t="str">
        <f aca="false">IF(A160="","",IF(OR(B160="",D160="",E160=""),"Function, transaction, object needed",IF(COUNTIF(Functions!$A$5:$A$204,B160)=0,"Function not defined","OK")))</f>
        <v/>
      </c>
    </row>
    <row r="161" customFormat="false" ht="15" hidden="false" customHeight="false" outlineLevel="0" collapsed="false">
      <c r="A161" s="15"/>
      <c r="B161" s="15"/>
      <c r="C161" s="16" t="str">
        <f aca="false">IFERROR(INDEX(Functions!$B$5:$B$204,MATCH(B161,Functions!$A$5:$A$204,0)),"")</f>
        <v/>
      </c>
      <c r="D161" s="15"/>
      <c r="E161" s="15"/>
      <c r="F161" s="15"/>
      <c r="G161" s="15"/>
      <c r="H161" s="16" t="str">
        <f aca="false">IF(A161="","",IF(OR(B161="",D161="",E161=""),"Function, transaction, object needed",IF(COUNTIF(Functions!$A$5:$A$204,B161)=0,"Function not defined","OK")))</f>
        <v/>
      </c>
    </row>
    <row r="162" customFormat="false" ht="15" hidden="false" customHeight="false" outlineLevel="0" collapsed="false">
      <c r="A162" s="15"/>
      <c r="B162" s="15"/>
      <c r="C162" s="16" t="str">
        <f aca="false">IFERROR(INDEX(Functions!$B$5:$B$204,MATCH(B162,Functions!$A$5:$A$204,0)),"")</f>
        <v/>
      </c>
      <c r="D162" s="15"/>
      <c r="E162" s="15"/>
      <c r="F162" s="15"/>
      <c r="G162" s="15"/>
      <c r="H162" s="16" t="str">
        <f aca="false">IF(A162="","",IF(OR(B162="",D162="",E162=""),"Function, transaction, object needed",IF(COUNTIF(Functions!$A$5:$A$204,B162)=0,"Function not defined","OK")))</f>
        <v/>
      </c>
    </row>
    <row r="163" customFormat="false" ht="15" hidden="false" customHeight="false" outlineLevel="0" collapsed="false">
      <c r="A163" s="15"/>
      <c r="B163" s="15"/>
      <c r="C163" s="16" t="str">
        <f aca="false">IFERROR(INDEX(Functions!$B$5:$B$204,MATCH(B163,Functions!$A$5:$A$204,0)),"")</f>
        <v/>
      </c>
      <c r="D163" s="15"/>
      <c r="E163" s="15"/>
      <c r="F163" s="15"/>
      <c r="G163" s="15"/>
      <c r="H163" s="16" t="str">
        <f aca="false">IF(A163="","",IF(OR(B163="",D163="",E163=""),"Function, transaction, object needed",IF(COUNTIF(Functions!$A$5:$A$204,B163)=0,"Function not defined","OK")))</f>
        <v/>
      </c>
    </row>
    <row r="164" customFormat="false" ht="15" hidden="false" customHeight="false" outlineLevel="0" collapsed="false">
      <c r="A164" s="15"/>
      <c r="B164" s="15"/>
      <c r="C164" s="16" t="str">
        <f aca="false">IFERROR(INDEX(Functions!$B$5:$B$204,MATCH(B164,Functions!$A$5:$A$204,0)),"")</f>
        <v/>
      </c>
      <c r="D164" s="15"/>
      <c r="E164" s="15"/>
      <c r="F164" s="15"/>
      <c r="G164" s="15"/>
      <c r="H164" s="16" t="str">
        <f aca="false">IF(A164="","",IF(OR(B164="",D164="",E164=""),"Function, transaction, object needed",IF(COUNTIF(Functions!$A$5:$A$204,B164)=0,"Function not defined","OK")))</f>
        <v/>
      </c>
    </row>
    <row r="165" customFormat="false" ht="15" hidden="false" customHeight="false" outlineLevel="0" collapsed="false">
      <c r="A165" s="15"/>
      <c r="B165" s="15"/>
      <c r="C165" s="16" t="str">
        <f aca="false">IFERROR(INDEX(Functions!$B$5:$B$204,MATCH(B165,Functions!$A$5:$A$204,0)),"")</f>
        <v/>
      </c>
      <c r="D165" s="15"/>
      <c r="E165" s="15"/>
      <c r="F165" s="15"/>
      <c r="G165" s="15"/>
      <c r="H165" s="16" t="str">
        <f aca="false">IF(A165="","",IF(OR(B165="",D165="",E165=""),"Function, transaction, object needed",IF(COUNTIF(Functions!$A$5:$A$204,B165)=0,"Function not defined","OK")))</f>
        <v/>
      </c>
    </row>
    <row r="166" customFormat="false" ht="15" hidden="false" customHeight="false" outlineLevel="0" collapsed="false">
      <c r="A166" s="15"/>
      <c r="B166" s="15"/>
      <c r="C166" s="16" t="str">
        <f aca="false">IFERROR(INDEX(Functions!$B$5:$B$204,MATCH(B166,Functions!$A$5:$A$204,0)),"")</f>
        <v/>
      </c>
      <c r="D166" s="15"/>
      <c r="E166" s="15"/>
      <c r="F166" s="15"/>
      <c r="G166" s="15"/>
      <c r="H166" s="16" t="str">
        <f aca="false">IF(A166="","",IF(OR(B166="",D166="",E166=""),"Function, transaction, object needed",IF(COUNTIF(Functions!$A$5:$A$204,B166)=0,"Function not defined","OK")))</f>
        <v/>
      </c>
    </row>
    <row r="167" customFormat="false" ht="15" hidden="false" customHeight="false" outlineLevel="0" collapsed="false">
      <c r="A167" s="15"/>
      <c r="B167" s="15"/>
      <c r="C167" s="16" t="str">
        <f aca="false">IFERROR(INDEX(Functions!$B$5:$B$204,MATCH(B167,Functions!$A$5:$A$204,0)),"")</f>
        <v/>
      </c>
      <c r="D167" s="15"/>
      <c r="E167" s="15"/>
      <c r="F167" s="15"/>
      <c r="G167" s="15"/>
      <c r="H167" s="16" t="str">
        <f aca="false">IF(A167="","",IF(OR(B167="",D167="",E167=""),"Function, transaction, object needed",IF(COUNTIF(Functions!$A$5:$A$204,B167)=0,"Function not defined","OK")))</f>
        <v/>
      </c>
    </row>
    <row r="168" customFormat="false" ht="15" hidden="false" customHeight="false" outlineLevel="0" collapsed="false">
      <c r="A168" s="15"/>
      <c r="B168" s="15"/>
      <c r="C168" s="16" t="str">
        <f aca="false">IFERROR(INDEX(Functions!$B$5:$B$204,MATCH(B168,Functions!$A$5:$A$204,0)),"")</f>
        <v/>
      </c>
      <c r="D168" s="15"/>
      <c r="E168" s="15"/>
      <c r="F168" s="15"/>
      <c r="G168" s="15"/>
      <c r="H168" s="16" t="str">
        <f aca="false">IF(A168="","",IF(OR(B168="",D168="",E168=""),"Function, transaction, object needed",IF(COUNTIF(Functions!$A$5:$A$204,B168)=0,"Function not defined","OK")))</f>
        <v/>
      </c>
    </row>
    <row r="169" customFormat="false" ht="15" hidden="false" customHeight="false" outlineLevel="0" collapsed="false">
      <c r="A169" s="15"/>
      <c r="B169" s="15"/>
      <c r="C169" s="16" t="str">
        <f aca="false">IFERROR(INDEX(Functions!$B$5:$B$204,MATCH(B169,Functions!$A$5:$A$204,0)),"")</f>
        <v/>
      </c>
      <c r="D169" s="15"/>
      <c r="E169" s="15"/>
      <c r="F169" s="15"/>
      <c r="G169" s="15"/>
      <c r="H169" s="16" t="str">
        <f aca="false">IF(A169="","",IF(OR(B169="",D169="",E169=""),"Function, transaction, object needed",IF(COUNTIF(Functions!$A$5:$A$204,B169)=0,"Function not defined","OK")))</f>
        <v/>
      </c>
    </row>
    <row r="170" customFormat="false" ht="15" hidden="false" customHeight="false" outlineLevel="0" collapsed="false">
      <c r="A170" s="15"/>
      <c r="B170" s="15"/>
      <c r="C170" s="16" t="str">
        <f aca="false">IFERROR(INDEX(Functions!$B$5:$B$204,MATCH(B170,Functions!$A$5:$A$204,0)),"")</f>
        <v/>
      </c>
      <c r="D170" s="15"/>
      <c r="E170" s="15"/>
      <c r="F170" s="15"/>
      <c r="G170" s="15"/>
      <c r="H170" s="16" t="str">
        <f aca="false">IF(A170="","",IF(OR(B170="",D170="",E170=""),"Function, transaction, object needed",IF(COUNTIF(Functions!$A$5:$A$204,B170)=0,"Function not defined","OK")))</f>
        <v/>
      </c>
    </row>
    <row r="171" customFormat="false" ht="15" hidden="false" customHeight="false" outlineLevel="0" collapsed="false">
      <c r="A171" s="15"/>
      <c r="B171" s="15"/>
      <c r="C171" s="16" t="str">
        <f aca="false">IFERROR(INDEX(Functions!$B$5:$B$204,MATCH(B171,Functions!$A$5:$A$204,0)),"")</f>
        <v/>
      </c>
      <c r="D171" s="15"/>
      <c r="E171" s="15"/>
      <c r="F171" s="15"/>
      <c r="G171" s="15"/>
      <c r="H171" s="16" t="str">
        <f aca="false">IF(A171="","",IF(OR(B171="",D171="",E171=""),"Function, transaction, object needed",IF(COUNTIF(Functions!$A$5:$A$204,B171)=0,"Function not defined","OK")))</f>
        <v/>
      </c>
    </row>
    <row r="172" customFormat="false" ht="15" hidden="false" customHeight="false" outlineLevel="0" collapsed="false">
      <c r="A172" s="15"/>
      <c r="B172" s="15"/>
      <c r="C172" s="16" t="str">
        <f aca="false">IFERROR(INDEX(Functions!$B$5:$B$204,MATCH(B172,Functions!$A$5:$A$204,0)),"")</f>
        <v/>
      </c>
      <c r="D172" s="15"/>
      <c r="E172" s="15"/>
      <c r="F172" s="15"/>
      <c r="G172" s="15"/>
      <c r="H172" s="16" t="str">
        <f aca="false">IF(A172="","",IF(OR(B172="",D172="",E172=""),"Function, transaction, object needed",IF(COUNTIF(Functions!$A$5:$A$204,B172)=0,"Function not defined","OK")))</f>
        <v/>
      </c>
    </row>
    <row r="173" customFormat="false" ht="15" hidden="false" customHeight="false" outlineLevel="0" collapsed="false">
      <c r="A173" s="15"/>
      <c r="B173" s="15"/>
      <c r="C173" s="16" t="str">
        <f aca="false">IFERROR(INDEX(Functions!$B$5:$B$204,MATCH(B173,Functions!$A$5:$A$204,0)),"")</f>
        <v/>
      </c>
      <c r="D173" s="15"/>
      <c r="E173" s="15"/>
      <c r="F173" s="15"/>
      <c r="G173" s="15"/>
      <c r="H173" s="16" t="str">
        <f aca="false">IF(A173="","",IF(OR(B173="",D173="",E173=""),"Function, transaction, object needed",IF(COUNTIF(Functions!$A$5:$A$204,B173)=0,"Function not defined","OK")))</f>
        <v/>
      </c>
    </row>
    <row r="174" customFormat="false" ht="15" hidden="false" customHeight="false" outlineLevel="0" collapsed="false">
      <c r="A174" s="15"/>
      <c r="B174" s="15"/>
      <c r="C174" s="16" t="str">
        <f aca="false">IFERROR(INDEX(Functions!$B$5:$B$204,MATCH(B174,Functions!$A$5:$A$204,0)),"")</f>
        <v/>
      </c>
      <c r="D174" s="15"/>
      <c r="E174" s="15"/>
      <c r="F174" s="15"/>
      <c r="G174" s="15"/>
      <c r="H174" s="16" t="str">
        <f aca="false">IF(A174="","",IF(OR(B174="",D174="",E174=""),"Function, transaction, object needed",IF(COUNTIF(Functions!$A$5:$A$204,B174)=0,"Function not defined","OK")))</f>
        <v/>
      </c>
    </row>
    <row r="175" customFormat="false" ht="15" hidden="false" customHeight="false" outlineLevel="0" collapsed="false">
      <c r="A175" s="15"/>
      <c r="B175" s="15"/>
      <c r="C175" s="16" t="str">
        <f aca="false">IFERROR(INDEX(Functions!$B$5:$B$204,MATCH(B175,Functions!$A$5:$A$204,0)),"")</f>
        <v/>
      </c>
      <c r="D175" s="15"/>
      <c r="E175" s="15"/>
      <c r="F175" s="15"/>
      <c r="G175" s="15"/>
      <c r="H175" s="16" t="str">
        <f aca="false">IF(A175="","",IF(OR(B175="",D175="",E175=""),"Function, transaction, object needed",IF(COUNTIF(Functions!$A$5:$A$204,B175)=0,"Function not defined","OK")))</f>
        <v/>
      </c>
    </row>
    <row r="176" customFormat="false" ht="15" hidden="false" customHeight="false" outlineLevel="0" collapsed="false">
      <c r="A176" s="15"/>
      <c r="B176" s="15"/>
      <c r="C176" s="16" t="str">
        <f aca="false">IFERROR(INDEX(Functions!$B$5:$B$204,MATCH(B176,Functions!$A$5:$A$204,0)),"")</f>
        <v/>
      </c>
      <c r="D176" s="15"/>
      <c r="E176" s="15"/>
      <c r="F176" s="15"/>
      <c r="G176" s="15"/>
      <c r="H176" s="16" t="str">
        <f aca="false">IF(A176="","",IF(OR(B176="",D176="",E176=""),"Function, transaction, object needed",IF(COUNTIF(Functions!$A$5:$A$204,B176)=0,"Function not defined","OK")))</f>
        <v/>
      </c>
    </row>
    <row r="177" customFormat="false" ht="15" hidden="false" customHeight="false" outlineLevel="0" collapsed="false">
      <c r="A177" s="15"/>
      <c r="B177" s="15"/>
      <c r="C177" s="16" t="str">
        <f aca="false">IFERROR(INDEX(Functions!$B$5:$B$204,MATCH(B177,Functions!$A$5:$A$204,0)),"")</f>
        <v/>
      </c>
      <c r="D177" s="15"/>
      <c r="E177" s="15"/>
      <c r="F177" s="15"/>
      <c r="G177" s="15"/>
      <c r="H177" s="16" t="str">
        <f aca="false">IF(A177="","",IF(OR(B177="",D177="",E177=""),"Function, transaction, object needed",IF(COUNTIF(Functions!$A$5:$A$204,B177)=0,"Function not defined","OK")))</f>
        <v/>
      </c>
    </row>
    <row r="178" customFormat="false" ht="15" hidden="false" customHeight="false" outlineLevel="0" collapsed="false">
      <c r="A178" s="15"/>
      <c r="B178" s="15"/>
      <c r="C178" s="16" t="str">
        <f aca="false">IFERROR(INDEX(Functions!$B$5:$B$204,MATCH(B178,Functions!$A$5:$A$204,0)),"")</f>
        <v/>
      </c>
      <c r="D178" s="15"/>
      <c r="E178" s="15"/>
      <c r="F178" s="15"/>
      <c r="G178" s="15"/>
      <c r="H178" s="16" t="str">
        <f aca="false">IF(A178="","",IF(OR(B178="",D178="",E178=""),"Function, transaction, object needed",IF(COUNTIF(Functions!$A$5:$A$204,B178)=0,"Function not defined","OK")))</f>
        <v/>
      </c>
    </row>
    <row r="179" customFormat="false" ht="15" hidden="false" customHeight="false" outlineLevel="0" collapsed="false">
      <c r="A179" s="15"/>
      <c r="B179" s="15"/>
      <c r="C179" s="16" t="str">
        <f aca="false">IFERROR(INDEX(Functions!$B$5:$B$204,MATCH(B179,Functions!$A$5:$A$204,0)),"")</f>
        <v/>
      </c>
      <c r="D179" s="15"/>
      <c r="E179" s="15"/>
      <c r="F179" s="15"/>
      <c r="G179" s="15"/>
      <c r="H179" s="16" t="str">
        <f aca="false">IF(A179="","",IF(OR(B179="",D179="",E179=""),"Function, transaction, object needed",IF(COUNTIF(Functions!$A$5:$A$204,B179)=0,"Function not defined","OK")))</f>
        <v/>
      </c>
    </row>
    <row r="180" customFormat="false" ht="15" hidden="false" customHeight="false" outlineLevel="0" collapsed="false">
      <c r="A180" s="15"/>
      <c r="B180" s="15"/>
      <c r="C180" s="16" t="str">
        <f aca="false">IFERROR(INDEX(Functions!$B$5:$B$204,MATCH(B180,Functions!$A$5:$A$204,0)),"")</f>
        <v/>
      </c>
      <c r="D180" s="15"/>
      <c r="E180" s="15"/>
      <c r="F180" s="15"/>
      <c r="G180" s="15"/>
      <c r="H180" s="16" t="str">
        <f aca="false">IF(A180="","",IF(OR(B180="",D180="",E180=""),"Function, transaction, object needed",IF(COUNTIF(Functions!$A$5:$A$204,B180)=0,"Function not defined","OK")))</f>
        <v/>
      </c>
    </row>
    <row r="181" customFormat="false" ht="15" hidden="false" customHeight="false" outlineLevel="0" collapsed="false">
      <c r="A181" s="15"/>
      <c r="B181" s="15"/>
      <c r="C181" s="16" t="str">
        <f aca="false">IFERROR(INDEX(Functions!$B$5:$B$204,MATCH(B181,Functions!$A$5:$A$204,0)),"")</f>
        <v/>
      </c>
      <c r="D181" s="15"/>
      <c r="E181" s="15"/>
      <c r="F181" s="15"/>
      <c r="G181" s="15"/>
      <c r="H181" s="16" t="str">
        <f aca="false">IF(A181="","",IF(OR(B181="",D181="",E181=""),"Function, transaction, object needed",IF(COUNTIF(Functions!$A$5:$A$204,B181)=0,"Function not defined","OK")))</f>
        <v/>
      </c>
    </row>
    <row r="182" customFormat="false" ht="15" hidden="false" customHeight="false" outlineLevel="0" collapsed="false">
      <c r="A182" s="15"/>
      <c r="B182" s="15"/>
      <c r="C182" s="16" t="str">
        <f aca="false">IFERROR(INDEX(Functions!$B$5:$B$204,MATCH(B182,Functions!$A$5:$A$204,0)),"")</f>
        <v/>
      </c>
      <c r="D182" s="15"/>
      <c r="E182" s="15"/>
      <c r="F182" s="15"/>
      <c r="G182" s="15"/>
      <c r="H182" s="16" t="str">
        <f aca="false">IF(A182="","",IF(OR(B182="",D182="",E182=""),"Function, transaction, object needed",IF(COUNTIF(Functions!$A$5:$A$204,B182)=0,"Function not defined","OK")))</f>
        <v/>
      </c>
    </row>
    <row r="183" customFormat="false" ht="15" hidden="false" customHeight="false" outlineLevel="0" collapsed="false">
      <c r="A183" s="15"/>
      <c r="B183" s="15"/>
      <c r="C183" s="16" t="str">
        <f aca="false">IFERROR(INDEX(Functions!$B$5:$B$204,MATCH(B183,Functions!$A$5:$A$204,0)),"")</f>
        <v/>
      </c>
      <c r="D183" s="15"/>
      <c r="E183" s="15"/>
      <c r="F183" s="15"/>
      <c r="G183" s="15"/>
      <c r="H183" s="16" t="str">
        <f aca="false">IF(A183="","",IF(OR(B183="",D183="",E183=""),"Function, transaction, object needed",IF(COUNTIF(Functions!$A$5:$A$204,B183)=0,"Function not defined","OK")))</f>
        <v/>
      </c>
    </row>
    <row r="184" customFormat="false" ht="15" hidden="false" customHeight="false" outlineLevel="0" collapsed="false">
      <c r="A184" s="15"/>
      <c r="B184" s="15"/>
      <c r="C184" s="16" t="str">
        <f aca="false">IFERROR(INDEX(Functions!$B$5:$B$204,MATCH(B184,Functions!$A$5:$A$204,0)),"")</f>
        <v/>
      </c>
      <c r="D184" s="15"/>
      <c r="E184" s="15"/>
      <c r="F184" s="15"/>
      <c r="G184" s="15"/>
      <c r="H184" s="16" t="str">
        <f aca="false">IF(A184="","",IF(OR(B184="",D184="",E184=""),"Function, transaction, object needed",IF(COUNTIF(Functions!$A$5:$A$204,B184)=0,"Function not defined","OK")))</f>
        <v/>
      </c>
    </row>
    <row r="185" customFormat="false" ht="15" hidden="false" customHeight="false" outlineLevel="0" collapsed="false">
      <c r="A185" s="15"/>
      <c r="B185" s="15"/>
      <c r="C185" s="16" t="str">
        <f aca="false">IFERROR(INDEX(Functions!$B$5:$B$204,MATCH(B185,Functions!$A$5:$A$204,0)),"")</f>
        <v/>
      </c>
      <c r="D185" s="15"/>
      <c r="E185" s="15"/>
      <c r="F185" s="15"/>
      <c r="G185" s="15"/>
      <c r="H185" s="16" t="str">
        <f aca="false">IF(A185="","",IF(OR(B185="",D185="",E185=""),"Function, transaction, object needed",IF(COUNTIF(Functions!$A$5:$A$204,B185)=0,"Function not defined","OK")))</f>
        <v/>
      </c>
    </row>
    <row r="186" customFormat="false" ht="15" hidden="false" customHeight="false" outlineLevel="0" collapsed="false">
      <c r="A186" s="15"/>
      <c r="B186" s="15"/>
      <c r="C186" s="16" t="str">
        <f aca="false">IFERROR(INDEX(Functions!$B$5:$B$204,MATCH(B186,Functions!$A$5:$A$204,0)),"")</f>
        <v/>
      </c>
      <c r="D186" s="15"/>
      <c r="E186" s="15"/>
      <c r="F186" s="15"/>
      <c r="G186" s="15"/>
      <c r="H186" s="16" t="str">
        <f aca="false">IF(A186="","",IF(OR(B186="",D186="",E186=""),"Function, transaction, object needed",IF(COUNTIF(Functions!$A$5:$A$204,B186)=0,"Function not defined","OK")))</f>
        <v/>
      </c>
    </row>
    <row r="187" customFormat="false" ht="15" hidden="false" customHeight="false" outlineLevel="0" collapsed="false">
      <c r="A187" s="15"/>
      <c r="B187" s="15"/>
      <c r="C187" s="16" t="str">
        <f aca="false">IFERROR(INDEX(Functions!$B$5:$B$204,MATCH(B187,Functions!$A$5:$A$204,0)),"")</f>
        <v/>
      </c>
      <c r="D187" s="15"/>
      <c r="E187" s="15"/>
      <c r="F187" s="15"/>
      <c r="G187" s="15"/>
      <c r="H187" s="16" t="str">
        <f aca="false">IF(A187="","",IF(OR(B187="",D187="",E187=""),"Function, transaction, object needed",IF(COUNTIF(Functions!$A$5:$A$204,B187)=0,"Function not defined","OK")))</f>
        <v/>
      </c>
    </row>
    <row r="188" customFormat="false" ht="15" hidden="false" customHeight="false" outlineLevel="0" collapsed="false">
      <c r="A188" s="15"/>
      <c r="B188" s="15"/>
      <c r="C188" s="16" t="str">
        <f aca="false">IFERROR(INDEX(Functions!$B$5:$B$204,MATCH(B188,Functions!$A$5:$A$204,0)),"")</f>
        <v/>
      </c>
      <c r="D188" s="15"/>
      <c r="E188" s="15"/>
      <c r="F188" s="15"/>
      <c r="G188" s="15"/>
      <c r="H188" s="16" t="str">
        <f aca="false">IF(A188="","",IF(OR(B188="",D188="",E188=""),"Function, transaction, object needed",IF(COUNTIF(Functions!$A$5:$A$204,B188)=0,"Function not defined","OK")))</f>
        <v/>
      </c>
    </row>
    <row r="189" customFormat="false" ht="15" hidden="false" customHeight="false" outlineLevel="0" collapsed="false">
      <c r="A189" s="15"/>
      <c r="B189" s="15"/>
      <c r="C189" s="16" t="str">
        <f aca="false">IFERROR(INDEX(Functions!$B$5:$B$204,MATCH(B189,Functions!$A$5:$A$204,0)),"")</f>
        <v/>
      </c>
      <c r="D189" s="15"/>
      <c r="E189" s="15"/>
      <c r="F189" s="15"/>
      <c r="G189" s="15"/>
      <c r="H189" s="16" t="str">
        <f aca="false">IF(A189="","",IF(OR(B189="",D189="",E189=""),"Function, transaction, object needed",IF(COUNTIF(Functions!$A$5:$A$204,B189)=0,"Function not defined","OK")))</f>
        <v/>
      </c>
    </row>
    <row r="190" customFormat="false" ht="15" hidden="false" customHeight="false" outlineLevel="0" collapsed="false">
      <c r="A190" s="15"/>
      <c r="B190" s="15"/>
      <c r="C190" s="16" t="str">
        <f aca="false">IFERROR(INDEX(Functions!$B$5:$B$204,MATCH(B190,Functions!$A$5:$A$204,0)),"")</f>
        <v/>
      </c>
      <c r="D190" s="15"/>
      <c r="E190" s="15"/>
      <c r="F190" s="15"/>
      <c r="G190" s="15"/>
      <c r="H190" s="16" t="str">
        <f aca="false">IF(A190="","",IF(OR(B190="",D190="",E190=""),"Function, transaction, object needed",IF(COUNTIF(Functions!$A$5:$A$204,B190)=0,"Function not defined","OK")))</f>
        <v/>
      </c>
    </row>
    <row r="191" customFormat="false" ht="15" hidden="false" customHeight="false" outlineLevel="0" collapsed="false">
      <c r="A191" s="15"/>
      <c r="B191" s="15"/>
      <c r="C191" s="16" t="str">
        <f aca="false">IFERROR(INDEX(Functions!$B$5:$B$204,MATCH(B191,Functions!$A$5:$A$204,0)),"")</f>
        <v/>
      </c>
      <c r="D191" s="15"/>
      <c r="E191" s="15"/>
      <c r="F191" s="15"/>
      <c r="G191" s="15"/>
      <c r="H191" s="16" t="str">
        <f aca="false">IF(A191="","",IF(OR(B191="",D191="",E191=""),"Function, transaction, object needed",IF(COUNTIF(Functions!$A$5:$A$204,B191)=0,"Function not defined","OK")))</f>
        <v/>
      </c>
    </row>
    <row r="192" customFormat="false" ht="15" hidden="false" customHeight="false" outlineLevel="0" collapsed="false">
      <c r="A192" s="15"/>
      <c r="B192" s="15"/>
      <c r="C192" s="16" t="str">
        <f aca="false">IFERROR(INDEX(Functions!$B$5:$B$204,MATCH(B192,Functions!$A$5:$A$204,0)),"")</f>
        <v/>
      </c>
      <c r="D192" s="15"/>
      <c r="E192" s="15"/>
      <c r="F192" s="15"/>
      <c r="G192" s="15"/>
      <c r="H192" s="16" t="str">
        <f aca="false">IF(A192="","",IF(OR(B192="",D192="",E192=""),"Function, transaction, object needed",IF(COUNTIF(Functions!$A$5:$A$204,B192)=0,"Function not defined","OK")))</f>
        <v/>
      </c>
    </row>
    <row r="193" customFormat="false" ht="15" hidden="false" customHeight="false" outlineLevel="0" collapsed="false">
      <c r="A193" s="15"/>
      <c r="B193" s="15"/>
      <c r="C193" s="16" t="str">
        <f aca="false">IFERROR(INDEX(Functions!$B$5:$B$204,MATCH(B193,Functions!$A$5:$A$204,0)),"")</f>
        <v/>
      </c>
      <c r="D193" s="15"/>
      <c r="E193" s="15"/>
      <c r="F193" s="15"/>
      <c r="G193" s="15"/>
      <c r="H193" s="16" t="str">
        <f aca="false">IF(A193="","",IF(OR(B193="",D193="",E193=""),"Function, transaction, object needed",IF(COUNTIF(Functions!$A$5:$A$204,B193)=0,"Function not defined","OK")))</f>
        <v/>
      </c>
    </row>
    <row r="194" customFormat="false" ht="15" hidden="false" customHeight="false" outlineLevel="0" collapsed="false">
      <c r="A194" s="15"/>
      <c r="B194" s="15"/>
      <c r="C194" s="16" t="str">
        <f aca="false">IFERROR(INDEX(Functions!$B$5:$B$204,MATCH(B194,Functions!$A$5:$A$204,0)),"")</f>
        <v/>
      </c>
      <c r="D194" s="15"/>
      <c r="E194" s="15"/>
      <c r="F194" s="15"/>
      <c r="G194" s="15"/>
      <c r="H194" s="16" t="str">
        <f aca="false">IF(A194="","",IF(OR(B194="",D194="",E194=""),"Function, transaction, object needed",IF(COUNTIF(Functions!$A$5:$A$204,B194)=0,"Function not defined","OK")))</f>
        <v/>
      </c>
    </row>
    <row r="195" customFormat="false" ht="15" hidden="false" customHeight="false" outlineLevel="0" collapsed="false">
      <c r="A195" s="15"/>
      <c r="B195" s="15"/>
      <c r="C195" s="16" t="str">
        <f aca="false">IFERROR(INDEX(Functions!$B$5:$B$204,MATCH(B195,Functions!$A$5:$A$204,0)),"")</f>
        <v/>
      </c>
      <c r="D195" s="15"/>
      <c r="E195" s="15"/>
      <c r="F195" s="15"/>
      <c r="G195" s="15"/>
      <c r="H195" s="16" t="str">
        <f aca="false">IF(A195="","",IF(OR(B195="",D195="",E195=""),"Function, transaction, object needed",IF(COUNTIF(Functions!$A$5:$A$204,B195)=0,"Function not defined","OK")))</f>
        <v/>
      </c>
    </row>
    <row r="196" customFormat="false" ht="15" hidden="false" customHeight="false" outlineLevel="0" collapsed="false">
      <c r="A196" s="15"/>
      <c r="B196" s="15"/>
      <c r="C196" s="16" t="str">
        <f aca="false">IFERROR(INDEX(Functions!$B$5:$B$204,MATCH(B196,Functions!$A$5:$A$204,0)),"")</f>
        <v/>
      </c>
      <c r="D196" s="15"/>
      <c r="E196" s="15"/>
      <c r="F196" s="15"/>
      <c r="G196" s="15"/>
      <c r="H196" s="16" t="str">
        <f aca="false">IF(A196="","",IF(OR(B196="",D196="",E196=""),"Function, transaction, object needed",IF(COUNTIF(Functions!$A$5:$A$204,B196)=0,"Function not defined","OK")))</f>
        <v/>
      </c>
    </row>
    <row r="197" customFormat="false" ht="15" hidden="false" customHeight="false" outlineLevel="0" collapsed="false">
      <c r="A197" s="15"/>
      <c r="B197" s="15"/>
      <c r="C197" s="16" t="str">
        <f aca="false">IFERROR(INDEX(Functions!$B$5:$B$204,MATCH(B197,Functions!$A$5:$A$204,0)),"")</f>
        <v/>
      </c>
      <c r="D197" s="15"/>
      <c r="E197" s="15"/>
      <c r="F197" s="15"/>
      <c r="G197" s="15"/>
      <c r="H197" s="16" t="str">
        <f aca="false">IF(A197="","",IF(OR(B197="",D197="",E197=""),"Function, transaction, object needed",IF(COUNTIF(Functions!$A$5:$A$204,B197)=0,"Function not defined","OK")))</f>
        <v/>
      </c>
    </row>
    <row r="198" customFormat="false" ht="15" hidden="false" customHeight="false" outlineLevel="0" collapsed="false">
      <c r="A198" s="15"/>
      <c r="B198" s="15"/>
      <c r="C198" s="16" t="str">
        <f aca="false">IFERROR(INDEX(Functions!$B$5:$B$204,MATCH(B198,Functions!$A$5:$A$204,0)),"")</f>
        <v/>
      </c>
      <c r="D198" s="15"/>
      <c r="E198" s="15"/>
      <c r="F198" s="15"/>
      <c r="G198" s="15"/>
      <c r="H198" s="16" t="str">
        <f aca="false">IF(A198="","",IF(OR(B198="",D198="",E198=""),"Function, transaction, object needed",IF(COUNTIF(Functions!$A$5:$A$204,B198)=0,"Function not defined","OK")))</f>
        <v/>
      </c>
    </row>
    <row r="199" customFormat="false" ht="15" hidden="false" customHeight="false" outlineLevel="0" collapsed="false">
      <c r="A199" s="15"/>
      <c r="B199" s="15"/>
      <c r="C199" s="16" t="str">
        <f aca="false">IFERROR(INDEX(Functions!$B$5:$B$204,MATCH(B199,Functions!$A$5:$A$204,0)),"")</f>
        <v/>
      </c>
      <c r="D199" s="15"/>
      <c r="E199" s="15"/>
      <c r="F199" s="15"/>
      <c r="G199" s="15"/>
      <c r="H199" s="16" t="str">
        <f aca="false">IF(A199="","",IF(OR(B199="",D199="",E199=""),"Function, transaction, object needed",IF(COUNTIF(Functions!$A$5:$A$204,B199)=0,"Function not defined","OK")))</f>
        <v/>
      </c>
    </row>
    <row r="200" customFormat="false" ht="15" hidden="false" customHeight="false" outlineLevel="0" collapsed="false">
      <c r="A200" s="15"/>
      <c r="B200" s="15"/>
      <c r="C200" s="16" t="str">
        <f aca="false">IFERROR(INDEX(Functions!$B$5:$B$204,MATCH(B200,Functions!$A$5:$A$204,0)),"")</f>
        <v/>
      </c>
      <c r="D200" s="15"/>
      <c r="E200" s="15"/>
      <c r="F200" s="15"/>
      <c r="G200" s="15"/>
      <c r="H200" s="16" t="str">
        <f aca="false">IF(A200="","",IF(OR(B200="",D200="",E200=""),"Function, transaction, object needed",IF(COUNTIF(Functions!$A$5:$A$204,B200)=0,"Function not defined","OK")))</f>
        <v/>
      </c>
    </row>
    <row r="201" customFormat="false" ht="15" hidden="false" customHeight="false" outlineLevel="0" collapsed="false">
      <c r="A201" s="15"/>
      <c r="B201" s="15"/>
      <c r="C201" s="16" t="str">
        <f aca="false">IFERROR(INDEX(Functions!$B$5:$B$204,MATCH(B201,Functions!$A$5:$A$204,0)),"")</f>
        <v/>
      </c>
      <c r="D201" s="15"/>
      <c r="E201" s="15"/>
      <c r="F201" s="15"/>
      <c r="G201" s="15"/>
      <c r="H201" s="16" t="str">
        <f aca="false">IF(A201="","",IF(OR(B201="",D201="",E201=""),"Function, transaction, object needed",IF(COUNTIF(Functions!$A$5:$A$204,B201)=0,"Function not defined","OK")))</f>
        <v/>
      </c>
    </row>
    <row r="202" customFormat="false" ht="15" hidden="false" customHeight="false" outlineLevel="0" collapsed="false">
      <c r="A202" s="15"/>
      <c r="B202" s="15"/>
      <c r="C202" s="16" t="str">
        <f aca="false">IFERROR(INDEX(Functions!$B$5:$B$204,MATCH(B202,Functions!$A$5:$A$204,0)),"")</f>
        <v/>
      </c>
      <c r="D202" s="15"/>
      <c r="E202" s="15"/>
      <c r="F202" s="15"/>
      <c r="G202" s="15"/>
      <c r="H202" s="16" t="str">
        <f aca="false">IF(A202="","",IF(OR(B202="",D202="",E202=""),"Function, transaction, object needed",IF(COUNTIF(Functions!$A$5:$A$204,B202)=0,"Function not defined","OK")))</f>
        <v/>
      </c>
    </row>
    <row r="203" customFormat="false" ht="15" hidden="false" customHeight="false" outlineLevel="0" collapsed="false">
      <c r="A203" s="15"/>
      <c r="B203" s="15"/>
      <c r="C203" s="16" t="str">
        <f aca="false">IFERROR(INDEX(Functions!$B$5:$B$204,MATCH(B203,Functions!$A$5:$A$204,0)),"")</f>
        <v/>
      </c>
      <c r="D203" s="15"/>
      <c r="E203" s="15"/>
      <c r="F203" s="15"/>
      <c r="G203" s="15"/>
      <c r="H203" s="16" t="str">
        <f aca="false">IF(A203="","",IF(OR(B203="",D203="",E203=""),"Function, transaction, object needed",IF(COUNTIF(Functions!$A$5:$A$204,B203)=0,"Function not defined","OK")))</f>
        <v/>
      </c>
    </row>
    <row r="204" customFormat="false" ht="15" hidden="false" customHeight="false" outlineLevel="0" collapsed="false">
      <c r="A204" s="15"/>
      <c r="B204" s="15"/>
      <c r="C204" s="16" t="str">
        <f aca="false">IFERROR(INDEX(Functions!$B$5:$B$204,MATCH(B204,Functions!$A$5:$A$204,0)),"")</f>
        <v/>
      </c>
      <c r="D204" s="15"/>
      <c r="E204" s="15"/>
      <c r="F204" s="15"/>
      <c r="G204" s="15"/>
      <c r="H204" s="16" t="str">
        <f aca="false">IF(A204="","",IF(OR(B204="",D204="",E204=""),"Function, transaction, object needed",IF(COUNTIF(Functions!$A$5:$A$204,B204)=0,"Function not defined","OK")))</f>
        <v/>
      </c>
    </row>
  </sheetData>
  <autoFilter ref="A4:H204"/>
  <dataValidations count="1">
    <dataValidation allowBlank="true" error="Pick a value from the list." errorStyle="warning" operator="between" showDropDown="false" showErrorMessage="true" showInputMessage="false" sqref="B5:B204" type="list">
      <formula1>Functions!$A$5:$A$204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0"/>
    <col collapsed="false" customWidth="true" hidden="false" outlineLevel="0" max="5" min="4" style="0" width="22"/>
    <col collapsed="false" customWidth="true" hidden="false" outlineLevel="0" max="6" min="6" style="0" width="34"/>
    <col collapsed="false" customWidth="true" hidden="false" outlineLevel="0" max="8" min="7" style="0" width="12"/>
    <col collapsed="false" customWidth="true" hidden="false" outlineLevel="0" max="9" min="9" style="0" width="10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3" min="12" style="0" width="16"/>
    <col collapsed="false" customWidth="true" hidden="false" outlineLevel="0" max="14" min="14" style="0" width="9"/>
    <col collapsed="false" customWidth="true" hidden="false" outlineLevel="0" max="15" min="15" style="0" width="32"/>
  </cols>
  <sheetData>
    <row r="1" customFormat="false" ht="17.35" hidden="false" customHeight="false" outlineLevel="0" collapsed="false">
      <c r="A1" s="9" t="s">
        <v>173</v>
      </c>
    </row>
    <row r="2" customFormat="false" ht="15" hidden="false" customHeight="false" outlineLevel="0" collapsed="false">
      <c r="A2" s="10" t="s">
        <v>174</v>
      </c>
    </row>
    <row r="4" customFormat="false" ht="31.5" hidden="false" customHeight="true" outlineLevel="0" collapsed="false">
      <c r="A4" s="11" t="s">
        <v>65</v>
      </c>
      <c r="B4" s="11" t="s">
        <v>67</v>
      </c>
      <c r="C4" s="11" t="s">
        <v>69</v>
      </c>
      <c r="D4" s="12" t="s">
        <v>71</v>
      </c>
      <c r="E4" s="12" t="s">
        <v>73</v>
      </c>
      <c r="F4" s="11" t="s">
        <v>74</v>
      </c>
      <c r="G4" s="11" t="s">
        <v>77</v>
      </c>
      <c r="H4" s="11" t="s">
        <v>33</v>
      </c>
      <c r="I4" s="11" t="s">
        <v>81</v>
      </c>
      <c r="J4" s="11" t="s">
        <v>84</v>
      </c>
      <c r="K4" s="11" t="s">
        <v>87</v>
      </c>
      <c r="L4" s="11" t="s">
        <v>90</v>
      </c>
      <c r="M4" s="11" t="s">
        <v>93</v>
      </c>
      <c r="N4" s="11" t="s">
        <v>96</v>
      </c>
      <c r="O4" s="12" t="s">
        <v>45</v>
      </c>
    </row>
    <row r="5" customFormat="false" ht="23.85" hidden="false" customHeight="false" outlineLevel="0" collapsed="false">
      <c r="A5" s="13" t="s">
        <v>175</v>
      </c>
      <c r="B5" s="13" t="s">
        <v>156</v>
      </c>
      <c r="C5" s="13" t="s">
        <v>161</v>
      </c>
      <c r="D5" s="14" t="str">
        <f aca="false">IFERROR(INDEX(Functions!$B$5:$B$204,MATCH(B5,Functions!$A$5:$A$204,0)),"")</f>
        <v>Vendor master maintenance</v>
      </c>
      <c r="E5" s="14" t="str">
        <f aca="false">IFERROR(INDEX(Functions!$B$5:$B$204,MATCH(C5,Functions!$A$5:$A$204,0)),"")</f>
        <v>Payment run</v>
      </c>
      <c r="F5" s="13" t="s">
        <v>176</v>
      </c>
      <c r="G5" s="13" t="s">
        <v>177</v>
      </c>
      <c r="H5" s="13" t="s">
        <v>163</v>
      </c>
      <c r="I5" s="13" t="s">
        <v>178</v>
      </c>
      <c r="J5" s="13" t="s">
        <v>179</v>
      </c>
      <c r="K5" s="13" t="s">
        <v>180</v>
      </c>
      <c r="L5" s="13" t="s">
        <v>181</v>
      </c>
      <c r="M5" s="13" t="s">
        <v>182</v>
      </c>
      <c r="N5" s="13" t="s">
        <v>183</v>
      </c>
      <c r="O5" s="14" t="str">
        <f aca="false">IF(A5="","",IF(OR(B5="",C5="",G5=""),"Functions and RISK-ID needed",IF(B5=C5,"Functions must differ",IF(OR(COUNTIF(Functions!$A$5:$A$204,B5)=0,COUNTIF(Functions!$A$5:$A$204,C5)=0),"Function not defined",IF(COUNTIF(Ref_RISK!$A$2:$A$201,G5)=0,"RISK-ID not in W04",IF(AND(L5&lt;&gt;"",L5&lt;&gt;"None",COUNTIF(Ref_CTRL!$A$2:$A$201,L5)=0),"Mitigation not in W05 RCM","OK"))))))</f>
        <v>OK</v>
      </c>
    </row>
    <row r="6" customFormat="false" ht="15" hidden="false" customHeight="false" outlineLevel="0" collapsed="false">
      <c r="A6" s="15"/>
      <c r="B6" s="15"/>
      <c r="C6" s="15"/>
      <c r="D6" s="16" t="str">
        <f aca="false">IFERROR(INDEX(Functions!$B$5:$B$204,MATCH(B6,Functions!$A$5:$A$204,0)),"")</f>
        <v/>
      </c>
      <c r="E6" s="16" t="str">
        <f aca="false">IFERROR(INDEX(Functions!$B$5:$B$204,MATCH(C6,Functions!$A$5:$A$204,0)),"")</f>
        <v/>
      </c>
      <c r="F6" s="15"/>
      <c r="G6" s="15"/>
      <c r="H6" s="15"/>
      <c r="I6" s="15"/>
      <c r="J6" s="15"/>
      <c r="K6" s="15"/>
      <c r="L6" s="15"/>
      <c r="M6" s="15"/>
      <c r="N6" s="15"/>
      <c r="O6" s="16" t="str">
        <f aca="false">IF(A6="","",IF(OR(B6="",C6="",G6=""),"Functions and RISK-ID needed",IF(B6=C6,"Functions must differ",IF(OR(COUNTIF(Functions!$A$5:$A$204,B6)=0,COUNTIF(Functions!$A$5:$A$204,C6)=0),"Function not defined",IF(COUNTIF(Ref_RISK!$A$2:$A$201,G6)=0,"RISK-ID not in W04",IF(AND(L6&lt;&gt;"",L6&lt;&gt;"None",COUNTIF(Ref_CTRL!$A$2:$A$201,L6)=0),"Mitigation not in W05 RCM","OK"))))))</f>
        <v/>
      </c>
    </row>
    <row r="7" customFormat="false" ht="15" hidden="false" customHeight="false" outlineLevel="0" collapsed="false">
      <c r="A7" s="15"/>
      <c r="B7" s="15"/>
      <c r="C7" s="15"/>
      <c r="D7" s="16" t="str">
        <f aca="false">IFERROR(INDEX(Functions!$B$5:$B$204,MATCH(B7,Functions!$A$5:$A$204,0)),"")</f>
        <v/>
      </c>
      <c r="E7" s="16" t="str">
        <f aca="false">IFERROR(INDEX(Functions!$B$5:$B$204,MATCH(C7,Functions!$A$5:$A$204,0)),"")</f>
        <v/>
      </c>
      <c r="F7" s="15"/>
      <c r="G7" s="15"/>
      <c r="H7" s="15"/>
      <c r="I7" s="15"/>
      <c r="J7" s="15"/>
      <c r="K7" s="15"/>
      <c r="L7" s="15"/>
      <c r="M7" s="15"/>
      <c r="N7" s="15"/>
      <c r="O7" s="16" t="str">
        <f aca="false">IF(A7="","",IF(OR(B7="",C7="",G7=""),"Functions and RISK-ID needed",IF(B7=C7,"Functions must differ",IF(OR(COUNTIF(Functions!$A$5:$A$204,B7)=0,COUNTIF(Functions!$A$5:$A$204,C7)=0),"Function not defined",IF(COUNTIF(Ref_RISK!$A$2:$A$201,G7)=0,"RISK-ID not in W04",IF(AND(L7&lt;&gt;"",L7&lt;&gt;"None",COUNTIF(Ref_CTRL!$A$2:$A$201,L7)=0),"Mitigation not in W05 RCM","OK"))))))</f>
        <v/>
      </c>
    </row>
    <row r="8" customFormat="false" ht="15" hidden="false" customHeight="false" outlineLevel="0" collapsed="false">
      <c r="A8" s="15"/>
      <c r="B8" s="15"/>
      <c r="C8" s="15"/>
      <c r="D8" s="16" t="str">
        <f aca="false">IFERROR(INDEX(Functions!$B$5:$B$204,MATCH(B8,Functions!$A$5:$A$204,0)),"")</f>
        <v/>
      </c>
      <c r="E8" s="16" t="str">
        <f aca="false">IFERROR(INDEX(Functions!$B$5:$B$204,MATCH(C8,Functions!$A$5:$A$204,0)),"")</f>
        <v/>
      </c>
      <c r="F8" s="15"/>
      <c r="G8" s="15"/>
      <c r="H8" s="15"/>
      <c r="I8" s="15"/>
      <c r="J8" s="15"/>
      <c r="K8" s="15"/>
      <c r="L8" s="15"/>
      <c r="M8" s="15"/>
      <c r="N8" s="15"/>
      <c r="O8" s="16" t="str">
        <f aca="false">IF(A8="","",IF(OR(B8="",C8="",G8=""),"Functions and RISK-ID needed",IF(B8=C8,"Functions must differ",IF(OR(COUNTIF(Functions!$A$5:$A$204,B8)=0,COUNTIF(Functions!$A$5:$A$204,C8)=0),"Function not defined",IF(COUNTIF(Ref_RISK!$A$2:$A$201,G8)=0,"RISK-ID not in W04",IF(AND(L8&lt;&gt;"",L8&lt;&gt;"None",COUNTIF(Ref_CTRL!$A$2:$A$201,L8)=0),"Mitigation not in W05 RCM","OK"))))))</f>
        <v/>
      </c>
    </row>
    <row r="9" customFormat="false" ht="15" hidden="false" customHeight="false" outlineLevel="0" collapsed="false">
      <c r="A9" s="15"/>
      <c r="B9" s="15"/>
      <c r="C9" s="15"/>
      <c r="D9" s="16" t="str">
        <f aca="false">IFERROR(INDEX(Functions!$B$5:$B$204,MATCH(B9,Functions!$A$5:$A$204,0)),"")</f>
        <v/>
      </c>
      <c r="E9" s="16" t="str">
        <f aca="false">IFERROR(INDEX(Functions!$B$5:$B$204,MATCH(C9,Functions!$A$5:$A$204,0)),"")</f>
        <v/>
      </c>
      <c r="F9" s="15"/>
      <c r="G9" s="15"/>
      <c r="H9" s="15"/>
      <c r="I9" s="15"/>
      <c r="J9" s="15"/>
      <c r="K9" s="15"/>
      <c r="L9" s="15"/>
      <c r="M9" s="15"/>
      <c r="N9" s="15"/>
      <c r="O9" s="16" t="str">
        <f aca="false">IF(A9="","",IF(OR(B9="",C9="",G9=""),"Functions and RISK-ID needed",IF(B9=C9,"Functions must differ",IF(OR(COUNTIF(Functions!$A$5:$A$204,B9)=0,COUNTIF(Functions!$A$5:$A$204,C9)=0),"Function not defined",IF(COUNTIF(Ref_RISK!$A$2:$A$201,G9)=0,"RISK-ID not in W04",IF(AND(L9&lt;&gt;"",L9&lt;&gt;"None",COUNTIF(Ref_CTRL!$A$2:$A$201,L9)=0),"Mitigation not in W05 RCM","OK"))))))</f>
        <v/>
      </c>
    </row>
    <row r="10" customFormat="false" ht="15" hidden="false" customHeight="false" outlineLevel="0" collapsed="false">
      <c r="A10" s="15"/>
      <c r="B10" s="15"/>
      <c r="C10" s="15"/>
      <c r="D10" s="16" t="str">
        <f aca="false">IFERROR(INDEX(Functions!$B$5:$B$204,MATCH(B10,Functions!$A$5:$A$204,0)),"")</f>
        <v/>
      </c>
      <c r="E10" s="16" t="str">
        <f aca="false">IFERROR(INDEX(Functions!$B$5:$B$204,MATCH(C10,Functions!$A$5:$A$204,0)),"")</f>
        <v/>
      </c>
      <c r="F10" s="15"/>
      <c r="G10" s="15"/>
      <c r="H10" s="15"/>
      <c r="I10" s="15"/>
      <c r="J10" s="15"/>
      <c r="K10" s="15"/>
      <c r="L10" s="15"/>
      <c r="M10" s="15"/>
      <c r="N10" s="15"/>
      <c r="O10" s="16" t="str">
        <f aca="false">IF(A10="","",IF(OR(B10="",C10="",G10=""),"Functions and RISK-ID needed",IF(B10=C10,"Functions must differ",IF(OR(COUNTIF(Functions!$A$5:$A$204,B10)=0,COUNTIF(Functions!$A$5:$A$204,C10)=0),"Function not defined",IF(COUNTIF(Ref_RISK!$A$2:$A$201,G10)=0,"RISK-ID not in W04",IF(AND(L10&lt;&gt;"",L10&lt;&gt;"None",COUNTIF(Ref_CTRL!$A$2:$A$201,L10)=0),"Mitigation not in W05 RCM","OK"))))))</f>
        <v/>
      </c>
    </row>
    <row r="11" customFormat="false" ht="15" hidden="false" customHeight="false" outlineLevel="0" collapsed="false">
      <c r="A11" s="15"/>
      <c r="B11" s="15"/>
      <c r="C11" s="15"/>
      <c r="D11" s="16" t="str">
        <f aca="false">IFERROR(INDEX(Functions!$B$5:$B$204,MATCH(B11,Functions!$A$5:$A$204,0)),"")</f>
        <v/>
      </c>
      <c r="E11" s="16" t="str">
        <f aca="false">IFERROR(INDEX(Functions!$B$5:$B$204,MATCH(C11,Functions!$A$5:$A$204,0)),"")</f>
        <v/>
      </c>
      <c r="F11" s="15"/>
      <c r="G11" s="15"/>
      <c r="H11" s="15"/>
      <c r="I11" s="15"/>
      <c r="J11" s="15"/>
      <c r="K11" s="15"/>
      <c r="L11" s="15"/>
      <c r="M11" s="15"/>
      <c r="N11" s="15"/>
      <c r="O11" s="16" t="str">
        <f aca="false">IF(A11="","",IF(OR(B11="",C11="",G11=""),"Functions and RISK-ID needed",IF(B11=C11,"Functions must differ",IF(OR(COUNTIF(Functions!$A$5:$A$204,B11)=0,COUNTIF(Functions!$A$5:$A$204,C11)=0),"Function not defined",IF(COUNTIF(Ref_RISK!$A$2:$A$201,G11)=0,"RISK-ID not in W04",IF(AND(L11&lt;&gt;"",L11&lt;&gt;"None",COUNTIF(Ref_CTRL!$A$2:$A$201,L11)=0),"Mitigation not in W05 RCM","OK"))))))</f>
        <v/>
      </c>
    </row>
    <row r="12" customFormat="false" ht="15" hidden="false" customHeight="false" outlineLevel="0" collapsed="false">
      <c r="A12" s="15"/>
      <c r="B12" s="15"/>
      <c r="C12" s="15"/>
      <c r="D12" s="16" t="str">
        <f aca="false">IFERROR(INDEX(Functions!$B$5:$B$204,MATCH(B12,Functions!$A$5:$A$204,0)),"")</f>
        <v/>
      </c>
      <c r="E12" s="16" t="str">
        <f aca="false">IFERROR(INDEX(Functions!$B$5:$B$204,MATCH(C12,Functions!$A$5:$A$204,0)),"")</f>
        <v/>
      </c>
      <c r="F12" s="15"/>
      <c r="G12" s="15"/>
      <c r="H12" s="15"/>
      <c r="I12" s="15"/>
      <c r="J12" s="15"/>
      <c r="K12" s="15"/>
      <c r="L12" s="15"/>
      <c r="M12" s="15"/>
      <c r="N12" s="15"/>
      <c r="O12" s="16" t="str">
        <f aca="false">IF(A12="","",IF(OR(B12="",C12="",G12=""),"Functions and RISK-ID needed",IF(B12=C12,"Functions must differ",IF(OR(COUNTIF(Functions!$A$5:$A$204,B12)=0,COUNTIF(Functions!$A$5:$A$204,C12)=0),"Function not defined",IF(COUNTIF(Ref_RISK!$A$2:$A$201,G12)=0,"RISK-ID not in W04",IF(AND(L12&lt;&gt;"",L12&lt;&gt;"None",COUNTIF(Ref_CTRL!$A$2:$A$201,L12)=0),"Mitigation not in W05 RCM","OK"))))))</f>
        <v/>
      </c>
    </row>
    <row r="13" customFormat="false" ht="15" hidden="false" customHeight="false" outlineLevel="0" collapsed="false">
      <c r="A13" s="15"/>
      <c r="B13" s="15"/>
      <c r="C13" s="15"/>
      <c r="D13" s="16" t="str">
        <f aca="false">IFERROR(INDEX(Functions!$B$5:$B$204,MATCH(B13,Functions!$A$5:$A$204,0)),"")</f>
        <v/>
      </c>
      <c r="E13" s="16" t="str">
        <f aca="false">IFERROR(INDEX(Functions!$B$5:$B$204,MATCH(C13,Functions!$A$5:$A$204,0)),"")</f>
        <v/>
      </c>
      <c r="F13" s="15"/>
      <c r="G13" s="15"/>
      <c r="H13" s="15"/>
      <c r="I13" s="15"/>
      <c r="J13" s="15"/>
      <c r="K13" s="15"/>
      <c r="L13" s="15"/>
      <c r="M13" s="15"/>
      <c r="N13" s="15"/>
      <c r="O13" s="16" t="str">
        <f aca="false">IF(A13="","",IF(OR(B13="",C13="",G13=""),"Functions and RISK-ID needed",IF(B13=C13,"Functions must differ",IF(OR(COUNTIF(Functions!$A$5:$A$204,B13)=0,COUNTIF(Functions!$A$5:$A$204,C13)=0),"Function not defined",IF(COUNTIF(Ref_RISK!$A$2:$A$201,G13)=0,"RISK-ID not in W04",IF(AND(L13&lt;&gt;"",L13&lt;&gt;"None",COUNTIF(Ref_CTRL!$A$2:$A$201,L13)=0),"Mitigation not in W05 RCM","OK"))))))</f>
        <v/>
      </c>
    </row>
    <row r="14" customFormat="false" ht="15" hidden="false" customHeight="false" outlineLevel="0" collapsed="false">
      <c r="A14" s="15"/>
      <c r="B14" s="15"/>
      <c r="C14" s="15"/>
      <c r="D14" s="16" t="str">
        <f aca="false">IFERROR(INDEX(Functions!$B$5:$B$204,MATCH(B14,Functions!$A$5:$A$204,0)),"")</f>
        <v/>
      </c>
      <c r="E14" s="16" t="str">
        <f aca="false">IFERROR(INDEX(Functions!$B$5:$B$204,MATCH(C14,Functions!$A$5:$A$204,0)),"")</f>
        <v/>
      </c>
      <c r="F14" s="15"/>
      <c r="G14" s="15"/>
      <c r="H14" s="15"/>
      <c r="I14" s="15"/>
      <c r="J14" s="15"/>
      <c r="K14" s="15"/>
      <c r="L14" s="15"/>
      <c r="M14" s="15"/>
      <c r="N14" s="15"/>
      <c r="O14" s="16" t="str">
        <f aca="false">IF(A14="","",IF(OR(B14="",C14="",G14=""),"Functions and RISK-ID needed",IF(B14=C14,"Functions must differ",IF(OR(COUNTIF(Functions!$A$5:$A$204,B14)=0,COUNTIF(Functions!$A$5:$A$204,C14)=0),"Function not defined",IF(COUNTIF(Ref_RISK!$A$2:$A$201,G14)=0,"RISK-ID not in W04",IF(AND(L14&lt;&gt;"",L14&lt;&gt;"None",COUNTIF(Ref_CTRL!$A$2:$A$201,L14)=0),"Mitigation not in W05 RCM","OK"))))))</f>
        <v/>
      </c>
    </row>
    <row r="15" customFormat="false" ht="15" hidden="false" customHeight="false" outlineLevel="0" collapsed="false">
      <c r="A15" s="15"/>
      <c r="B15" s="15"/>
      <c r="C15" s="15"/>
      <c r="D15" s="16" t="str">
        <f aca="false">IFERROR(INDEX(Functions!$B$5:$B$204,MATCH(B15,Functions!$A$5:$A$204,0)),"")</f>
        <v/>
      </c>
      <c r="E15" s="16" t="str">
        <f aca="false">IFERROR(INDEX(Functions!$B$5:$B$204,MATCH(C15,Functions!$A$5:$A$204,0)),"")</f>
        <v/>
      </c>
      <c r="F15" s="15"/>
      <c r="G15" s="15"/>
      <c r="H15" s="15"/>
      <c r="I15" s="15"/>
      <c r="J15" s="15"/>
      <c r="K15" s="15"/>
      <c r="L15" s="15"/>
      <c r="M15" s="15"/>
      <c r="N15" s="15"/>
      <c r="O15" s="16" t="str">
        <f aca="false">IF(A15="","",IF(OR(B15="",C15="",G15=""),"Functions and RISK-ID needed",IF(B15=C15,"Functions must differ",IF(OR(COUNTIF(Functions!$A$5:$A$204,B15)=0,COUNTIF(Functions!$A$5:$A$204,C15)=0),"Function not defined",IF(COUNTIF(Ref_RISK!$A$2:$A$201,G15)=0,"RISK-ID not in W04",IF(AND(L15&lt;&gt;"",L15&lt;&gt;"None",COUNTIF(Ref_CTRL!$A$2:$A$201,L15)=0),"Mitigation not in W05 RCM","OK"))))))</f>
        <v/>
      </c>
    </row>
    <row r="16" customFormat="false" ht="15" hidden="false" customHeight="false" outlineLevel="0" collapsed="false">
      <c r="A16" s="15"/>
      <c r="B16" s="15"/>
      <c r="C16" s="15"/>
      <c r="D16" s="16" t="str">
        <f aca="false">IFERROR(INDEX(Functions!$B$5:$B$204,MATCH(B16,Functions!$A$5:$A$204,0)),"")</f>
        <v/>
      </c>
      <c r="E16" s="16" t="str">
        <f aca="false">IFERROR(INDEX(Functions!$B$5:$B$204,MATCH(C16,Functions!$A$5:$A$204,0)),"")</f>
        <v/>
      </c>
      <c r="F16" s="15"/>
      <c r="G16" s="15"/>
      <c r="H16" s="15"/>
      <c r="I16" s="15"/>
      <c r="J16" s="15"/>
      <c r="K16" s="15"/>
      <c r="L16" s="15"/>
      <c r="M16" s="15"/>
      <c r="N16" s="15"/>
      <c r="O16" s="16" t="str">
        <f aca="false">IF(A16="","",IF(OR(B16="",C16="",G16=""),"Functions and RISK-ID needed",IF(B16=C16,"Functions must differ",IF(OR(COUNTIF(Functions!$A$5:$A$204,B16)=0,COUNTIF(Functions!$A$5:$A$204,C16)=0),"Function not defined",IF(COUNTIF(Ref_RISK!$A$2:$A$201,G16)=0,"RISK-ID not in W04",IF(AND(L16&lt;&gt;"",L16&lt;&gt;"None",COUNTIF(Ref_CTRL!$A$2:$A$201,L16)=0),"Mitigation not in W05 RCM","OK"))))))</f>
        <v/>
      </c>
    </row>
    <row r="17" customFormat="false" ht="15" hidden="false" customHeight="false" outlineLevel="0" collapsed="false">
      <c r="A17" s="15"/>
      <c r="B17" s="15"/>
      <c r="C17" s="15"/>
      <c r="D17" s="16" t="str">
        <f aca="false">IFERROR(INDEX(Functions!$B$5:$B$204,MATCH(B17,Functions!$A$5:$A$204,0)),"")</f>
        <v/>
      </c>
      <c r="E17" s="16" t="str">
        <f aca="false">IFERROR(INDEX(Functions!$B$5:$B$204,MATCH(C17,Functions!$A$5:$A$204,0)),"")</f>
        <v/>
      </c>
      <c r="F17" s="15"/>
      <c r="G17" s="15"/>
      <c r="H17" s="15"/>
      <c r="I17" s="15"/>
      <c r="J17" s="15"/>
      <c r="K17" s="15"/>
      <c r="L17" s="15"/>
      <c r="M17" s="15"/>
      <c r="N17" s="15"/>
      <c r="O17" s="16" t="str">
        <f aca="false">IF(A17="","",IF(OR(B17="",C17="",G17=""),"Functions and RISK-ID needed",IF(B17=C17,"Functions must differ",IF(OR(COUNTIF(Functions!$A$5:$A$204,B17)=0,COUNTIF(Functions!$A$5:$A$204,C17)=0),"Function not defined",IF(COUNTIF(Ref_RISK!$A$2:$A$201,G17)=0,"RISK-ID not in W04",IF(AND(L17&lt;&gt;"",L17&lt;&gt;"None",COUNTIF(Ref_CTRL!$A$2:$A$201,L17)=0),"Mitigation not in W05 RCM","OK"))))))</f>
        <v/>
      </c>
    </row>
    <row r="18" customFormat="false" ht="15" hidden="false" customHeight="false" outlineLevel="0" collapsed="false">
      <c r="A18" s="15"/>
      <c r="B18" s="15"/>
      <c r="C18" s="15"/>
      <c r="D18" s="16" t="str">
        <f aca="false">IFERROR(INDEX(Functions!$B$5:$B$204,MATCH(B18,Functions!$A$5:$A$204,0)),"")</f>
        <v/>
      </c>
      <c r="E18" s="16" t="str">
        <f aca="false">IFERROR(INDEX(Functions!$B$5:$B$204,MATCH(C18,Functions!$A$5:$A$204,0)),"")</f>
        <v/>
      </c>
      <c r="F18" s="15"/>
      <c r="G18" s="15"/>
      <c r="H18" s="15"/>
      <c r="I18" s="15"/>
      <c r="J18" s="15"/>
      <c r="K18" s="15"/>
      <c r="L18" s="15"/>
      <c r="M18" s="15"/>
      <c r="N18" s="15"/>
      <c r="O18" s="16" t="str">
        <f aca="false">IF(A18="","",IF(OR(B18="",C18="",G18=""),"Functions and RISK-ID needed",IF(B18=C18,"Functions must differ",IF(OR(COUNTIF(Functions!$A$5:$A$204,B18)=0,COUNTIF(Functions!$A$5:$A$204,C18)=0),"Function not defined",IF(COUNTIF(Ref_RISK!$A$2:$A$201,G18)=0,"RISK-ID not in W04",IF(AND(L18&lt;&gt;"",L18&lt;&gt;"None",COUNTIF(Ref_CTRL!$A$2:$A$201,L18)=0),"Mitigation not in W05 RCM","OK"))))))</f>
        <v/>
      </c>
    </row>
    <row r="19" customFormat="false" ht="15" hidden="false" customHeight="false" outlineLevel="0" collapsed="false">
      <c r="A19" s="15"/>
      <c r="B19" s="15"/>
      <c r="C19" s="15"/>
      <c r="D19" s="16" t="str">
        <f aca="false">IFERROR(INDEX(Functions!$B$5:$B$204,MATCH(B19,Functions!$A$5:$A$204,0)),"")</f>
        <v/>
      </c>
      <c r="E19" s="16" t="str">
        <f aca="false">IFERROR(INDEX(Functions!$B$5:$B$204,MATCH(C19,Functions!$A$5:$A$204,0)),"")</f>
        <v/>
      </c>
      <c r="F19" s="15"/>
      <c r="G19" s="15"/>
      <c r="H19" s="15"/>
      <c r="I19" s="15"/>
      <c r="J19" s="15"/>
      <c r="K19" s="15"/>
      <c r="L19" s="15"/>
      <c r="M19" s="15"/>
      <c r="N19" s="15"/>
      <c r="O19" s="16" t="str">
        <f aca="false">IF(A19="","",IF(OR(B19="",C19="",G19=""),"Functions and RISK-ID needed",IF(B19=C19,"Functions must differ",IF(OR(COUNTIF(Functions!$A$5:$A$204,B19)=0,COUNTIF(Functions!$A$5:$A$204,C19)=0),"Function not defined",IF(COUNTIF(Ref_RISK!$A$2:$A$201,G19)=0,"RISK-ID not in W04",IF(AND(L19&lt;&gt;"",L19&lt;&gt;"None",COUNTIF(Ref_CTRL!$A$2:$A$201,L19)=0),"Mitigation not in W05 RCM","OK"))))))</f>
        <v/>
      </c>
    </row>
    <row r="20" customFormat="false" ht="15" hidden="false" customHeight="false" outlineLevel="0" collapsed="false">
      <c r="A20" s="15"/>
      <c r="B20" s="15"/>
      <c r="C20" s="15"/>
      <c r="D20" s="16" t="str">
        <f aca="false">IFERROR(INDEX(Functions!$B$5:$B$204,MATCH(B20,Functions!$A$5:$A$204,0)),"")</f>
        <v/>
      </c>
      <c r="E20" s="16" t="str">
        <f aca="false">IFERROR(INDEX(Functions!$B$5:$B$204,MATCH(C20,Functions!$A$5:$A$204,0)),"")</f>
        <v/>
      </c>
      <c r="F20" s="15"/>
      <c r="G20" s="15"/>
      <c r="H20" s="15"/>
      <c r="I20" s="15"/>
      <c r="J20" s="15"/>
      <c r="K20" s="15"/>
      <c r="L20" s="15"/>
      <c r="M20" s="15"/>
      <c r="N20" s="15"/>
      <c r="O20" s="16" t="str">
        <f aca="false">IF(A20="","",IF(OR(B20="",C20="",G20=""),"Functions and RISK-ID needed",IF(B20=C20,"Functions must differ",IF(OR(COUNTIF(Functions!$A$5:$A$204,B20)=0,COUNTIF(Functions!$A$5:$A$204,C20)=0),"Function not defined",IF(COUNTIF(Ref_RISK!$A$2:$A$201,G20)=0,"RISK-ID not in W04",IF(AND(L20&lt;&gt;"",L20&lt;&gt;"None",COUNTIF(Ref_CTRL!$A$2:$A$201,L20)=0),"Mitigation not in W05 RCM","OK"))))))</f>
        <v/>
      </c>
    </row>
    <row r="21" customFormat="false" ht="15" hidden="false" customHeight="false" outlineLevel="0" collapsed="false">
      <c r="A21" s="15"/>
      <c r="B21" s="15"/>
      <c r="C21" s="15"/>
      <c r="D21" s="16" t="str">
        <f aca="false">IFERROR(INDEX(Functions!$B$5:$B$204,MATCH(B21,Functions!$A$5:$A$204,0)),"")</f>
        <v/>
      </c>
      <c r="E21" s="16" t="str">
        <f aca="false">IFERROR(INDEX(Functions!$B$5:$B$204,MATCH(C21,Functions!$A$5:$A$204,0)),"")</f>
        <v/>
      </c>
      <c r="F21" s="15"/>
      <c r="G21" s="15"/>
      <c r="H21" s="15"/>
      <c r="I21" s="15"/>
      <c r="J21" s="15"/>
      <c r="K21" s="15"/>
      <c r="L21" s="15"/>
      <c r="M21" s="15"/>
      <c r="N21" s="15"/>
      <c r="O21" s="16" t="str">
        <f aca="false">IF(A21="","",IF(OR(B21="",C21="",G21=""),"Functions and RISK-ID needed",IF(B21=C21,"Functions must differ",IF(OR(COUNTIF(Functions!$A$5:$A$204,B21)=0,COUNTIF(Functions!$A$5:$A$204,C21)=0),"Function not defined",IF(COUNTIF(Ref_RISK!$A$2:$A$201,G21)=0,"RISK-ID not in W04",IF(AND(L21&lt;&gt;"",L21&lt;&gt;"None",COUNTIF(Ref_CTRL!$A$2:$A$201,L21)=0),"Mitigation not in W05 RCM","OK"))))))</f>
        <v/>
      </c>
    </row>
    <row r="22" customFormat="false" ht="15" hidden="false" customHeight="false" outlineLevel="0" collapsed="false">
      <c r="A22" s="15"/>
      <c r="B22" s="15"/>
      <c r="C22" s="15"/>
      <c r="D22" s="16" t="str">
        <f aca="false">IFERROR(INDEX(Functions!$B$5:$B$204,MATCH(B22,Functions!$A$5:$A$204,0)),"")</f>
        <v/>
      </c>
      <c r="E22" s="16" t="str">
        <f aca="false">IFERROR(INDEX(Functions!$B$5:$B$204,MATCH(C22,Functions!$A$5:$A$204,0)),"")</f>
        <v/>
      </c>
      <c r="F22" s="15"/>
      <c r="G22" s="15"/>
      <c r="H22" s="15"/>
      <c r="I22" s="15"/>
      <c r="J22" s="15"/>
      <c r="K22" s="15"/>
      <c r="L22" s="15"/>
      <c r="M22" s="15"/>
      <c r="N22" s="15"/>
      <c r="O22" s="16" t="str">
        <f aca="false">IF(A22="","",IF(OR(B22="",C22="",G22=""),"Functions and RISK-ID needed",IF(B22=C22,"Functions must differ",IF(OR(COUNTIF(Functions!$A$5:$A$204,B22)=0,COUNTIF(Functions!$A$5:$A$204,C22)=0),"Function not defined",IF(COUNTIF(Ref_RISK!$A$2:$A$201,G22)=0,"RISK-ID not in W04",IF(AND(L22&lt;&gt;"",L22&lt;&gt;"None",COUNTIF(Ref_CTRL!$A$2:$A$201,L22)=0),"Mitigation not in W05 RCM","OK"))))))</f>
        <v/>
      </c>
    </row>
    <row r="23" customFormat="false" ht="15" hidden="false" customHeight="false" outlineLevel="0" collapsed="false">
      <c r="A23" s="15"/>
      <c r="B23" s="15"/>
      <c r="C23" s="15"/>
      <c r="D23" s="16" t="str">
        <f aca="false">IFERROR(INDEX(Functions!$B$5:$B$204,MATCH(B23,Functions!$A$5:$A$204,0)),"")</f>
        <v/>
      </c>
      <c r="E23" s="16" t="str">
        <f aca="false">IFERROR(INDEX(Functions!$B$5:$B$204,MATCH(C23,Functions!$A$5:$A$204,0)),"")</f>
        <v/>
      </c>
      <c r="F23" s="15"/>
      <c r="G23" s="15"/>
      <c r="H23" s="15"/>
      <c r="I23" s="15"/>
      <c r="J23" s="15"/>
      <c r="K23" s="15"/>
      <c r="L23" s="15"/>
      <c r="M23" s="15"/>
      <c r="N23" s="15"/>
      <c r="O23" s="16" t="str">
        <f aca="false">IF(A23="","",IF(OR(B23="",C23="",G23=""),"Functions and RISK-ID needed",IF(B23=C23,"Functions must differ",IF(OR(COUNTIF(Functions!$A$5:$A$204,B23)=0,COUNTIF(Functions!$A$5:$A$204,C23)=0),"Function not defined",IF(COUNTIF(Ref_RISK!$A$2:$A$201,G23)=0,"RISK-ID not in W04",IF(AND(L23&lt;&gt;"",L23&lt;&gt;"None",COUNTIF(Ref_CTRL!$A$2:$A$201,L23)=0),"Mitigation not in W05 RCM","OK"))))))</f>
        <v/>
      </c>
    </row>
    <row r="24" customFormat="false" ht="15" hidden="false" customHeight="false" outlineLevel="0" collapsed="false">
      <c r="A24" s="15"/>
      <c r="B24" s="15"/>
      <c r="C24" s="15"/>
      <c r="D24" s="16" t="str">
        <f aca="false">IFERROR(INDEX(Functions!$B$5:$B$204,MATCH(B24,Functions!$A$5:$A$204,0)),"")</f>
        <v/>
      </c>
      <c r="E24" s="16" t="str">
        <f aca="false">IFERROR(INDEX(Functions!$B$5:$B$204,MATCH(C24,Functions!$A$5:$A$204,0)),"")</f>
        <v/>
      </c>
      <c r="F24" s="15"/>
      <c r="G24" s="15"/>
      <c r="H24" s="15"/>
      <c r="I24" s="15"/>
      <c r="J24" s="15"/>
      <c r="K24" s="15"/>
      <c r="L24" s="15"/>
      <c r="M24" s="15"/>
      <c r="N24" s="15"/>
      <c r="O24" s="16" t="str">
        <f aca="false">IF(A24="","",IF(OR(B24="",C24="",G24=""),"Functions and RISK-ID needed",IF(B24=C24,"Functions must differ",IF(OR(COUNTIF(Functions!$A$5:$A$204,B24)=0,COUNTIF(Functions!$A$5:$A$204,C24)=0),"Function not defined",IF(COUNTIF(Ref_RISK!$A$2:$A$201,G24)=0,"RISK-ID not in W04",IF(AND(L24&lt;&gt;"",L24&lt;&gt;"None",COUNTIF(Ref_CTRL!$A$2:$A$201,L24)=0),"Mitigation not in W05 RCM","OK"))))))</f>
        <v/>
      </c>
    </row>
    <row r="25" customFormat="false" ht="15" hidden="false" customHeight="false" outlineLevel="0" collapsed="false">
      <c r="A25" s="15"/>
      <c r="B25" s="15"/>
      <c r="C25" s="15"/>
      <c r="D25" s="16" t="str">
        <f aca="false">IFERROR(INDEX(Functions!$B$5:$B$204,MATCH(B25,Functions!$A$5:$A$204,0)),"")</f>
        <v/>
      </c>
      <c r="E25" s="16" t="str">
        <f aca="false">IFERROR(INDEX(Functions!$B$5:$B$204,MATCH(C25,Functions!$A$5:$A$204,0)),"")</f>
        <v/>
      </c>
      <c r="F25" s="15"/>
      <c r="G25" s="15"/>
      <c r="H25" s="15"/>
      <c r="I25" s="15"/>
      <c r="J25" s="15"/>
      <c r="K25" s="15"/>
      <c r="L25" s="15"/>
      <c r="M25" s="15"/>
      <c r="N25" s="15"/>
      <c r="O25" s="16" t="str">
        <f aca="false">IF(A25="","",IF(OR(B25="",C25="",G25=""),"Functions and RISK-ID needed",IF(B25=C25,"Functions must differ",IF(OR(COUNTIF(Functions!$A$5:$A$204,B25)=0,COUNTIF(Functions!$A$5:$A$204,C25)=0),"Function not defined",IF(COUNTIF(Ref_RISK!$A$2:$A$201,G25)=0,"RISK-ID not in W04",IF(AND(L25&lt;&gt;"",L25&lt;&gt;"None",COUNTIF(Ref_CTRL!$A$2:$A$201,L25)=0),"Mitigation not in W05 RCM","OK"))))))</f>
        <v/>
      </c>
    </row>
    <row r="26" customFormat="false" ht="15" hidden="false" customHeight="false" outlineLevel="0" collapsed="false">
      <c r="A26" s="15"/>
      <c r="B26" s="15"/>
      <c r="C26" s="15"/>
      <c r="D26" s="16" t="str">
        <f aca="false">IFERROR(INDEX(Functions!$B$5:$B$204,MATCH(B26,Functions!$A$5:$A$204,0)),"")</f>
        <v/>
      </c>
      <c r="E26" s="16" t="str">
        <f aca="false">IFERROR(INDEX(Functions!$B$5:$B$204,MATCH(C26,Functions!$A$5:$A$204,0)),"")</f>
        <v/>
      </c>
      <c r="F26" s="15"/>
      <c r="G26" s="15"/>
      <c r="H26" s="15"/>
      <c r="I26" s="15"/>
      <c r="J26" s="15"/>
      <c r="K26" s="15"/>
      <c r="L26" s="15"/>
      <c r="M26" s="15"/>
      <c r="N26" s="15"/>
      <c r="O26" s="16" t="str">
        <f aca="false">IF(A26="","",IF(OR(B26="",C26="",G26=""),"Functions and RISK-ID needed",IF(B26=C26,"Functions must differ",IF(OR(COUNTIF(Functions!$A$5:$A$204,B26)=0,COUNTIF(Functions!$A$5:$A$204,C26)=0),"Function not defined",IF(COUNTIF(Ref_RISK!$A$2:$A$201,G26)=0,"RISK-ID not in W04",IF(AND(L26&lt;&gt;"",L26&lt;&gt;"None",COUNTIF(Ref_CTRL!$A$2:$A$201,L26)=0),"Mitigation not in W05 RCM","OK"))))))</f>
        <v/>
      </c>
    </row>
    <row r="27" customFormat="false" ht="15" hidden="false" customHeight="false" outlineLevel="0" collapsed="false">
      <c r="A27" s="15"/>
      <c r="B27" s="15"/>
      <c r="C27" s="15"/>
      <c r="D27" s="16" t="str">
        <f aca="false">IFERROR(INDEX(Functions!$B$5:$B$204,MATCH(B27,Functions!$A$5:$A$204,0)),"")</f>
        <v/>
      </c>
      <c r="E27" s="16" t="str">
        <f aca="false">IFERROR(INDEX(Functions!$B$5:$B$204,MATCH(C27,Functions!$A$5:$A$204,0)),"")</f>
        <v/>
      </c>
      <c r="F27" s="15"/>
      <c r="G27" s="15"/>
      <c r="H27" s="15"/>
      <c r="I27" s="15"/>
      <c r="J27" s="15"/>
      <c r="K27" s="15"/>
      <c r="L27" s="15"/>
      <c r="M27" s="15"/>
      <c r="N27" s="15"/>
      <c r="O27" s="16" t="str">
        <f aca="false">IF(A27="","",IF(OR(B27="",C27="",G27=""),"Functions and RISK-ID needed",IF(B27=C27,"Functions must differ",IF(OR(COUNTIF(Functions!$A$5:$A$204,B27)=0,COUNTIF(Functions!$A$5:$A$204,C27)=0),"Function not defined",IF(COUNTIF(Ref_RISK!$A$2:$A$201,G27)=0,"RISK-ID not in W04",IF(AND(L27&lt;&gt;"",L27&lt;&gt;"None",COUNTIF(Ref_CTRL!$A$2:$A$201,L27)=0),"Mitigation not in W05 RCM","OK"))))))</f>
        <v/>
      </c>
    </row>
    <row r="28" customFormat="false" ht="15" hidden="false" customHeight="false" outlineLevel="0" collapsed="false">
      <c r="A28" s="15"/>
      <c r="B28" s="15"/>
      <c r="C28" s="15"/>
      <c r="D28" s="16" t="str">
        <f aca="false">IFERROR(INDEX(Functions!$B$5:$B$204,MATCH(B28,Functions!$A$5:$A$204,0)),"")</f>
        <v/>
      </c>
      <c r="E28" s="16" t="str">
        <f aca="false">IFERROR(INDEX(Functions!$B$5:$B$204,MATCH(C28,Functions!$A$5:$A$204,0)),"")</f>
        <v/>
      </c>
      <c r="F28" s="15"/>
      <c r="G28" s="15"/>
      <c r="H28" s="15"/>
      <c r="I28" s="15"/>
      <c r="J28" s="15"/>
      <c r="K28" s="15"/>
      <c r="L28" s="15"/>
      <c r="M28" s="15"/>
      <c r="N28" s="15"/>
      <c r="O28" s="16" t="str">
        <f aca="false">IF(A28="","",IF(OR(B28="",C28="",G28=""),"Functions and RISK-ID needed",IF(B28=C28,"Functions must differ",IF(OR(COUNTIF(Functions!$A$5:$A$204,B28)=0,COUNTIF(Functions!$A$5:$A$204,C28)=0),"Function not defined",IF(COUNTIF(Ref_RISK!$A$2:$A$201,G28)=0,"RISK-ID not in W04",IF(AND(L28&lt;&gt;"",L28&lt;&gt;"None",COUNTIF(Ref_CTRL!$A$2:$A$201,L28)=0),"Mitigation not in W05 RCM","OK"))))))</f>
        <v/>
      </c>
    </row>
    <row r="29" customFormat="false" ht="15" hidden="false" customHeight="false" outlineLevel="0" collapsed="false">
      <c r="A29" s="15"/>
      <c r="B29" s="15"/>
      <c r="C29" s="15"/>
      <c r="D29" s="16" t="str">
        <f aca="false">IFERROR(INDEX(Functions!$B$5:$B$204,MATCH(B29,Functions!$A$5:$A$204,0)),"")</f>
        <v/>
      </c>
      <c r="E29" s="16" t="str">
        <f aca="false">IFERROR(INDEX(Functions!$B$5:$B$204,MATCH(C29,Functions!$A$5:$A$204,0)),"")</f>
        <v/>
      </c>
      <c r="F29" s="15"/>
      <c r="G29" s="15"/>
      <c r="H29" s="15"/>
      <c r="I29" s="15"/>
      <c r="J29" s="15"/>
      <c r="K29" s="15"/>
      <c r="L29" s="15"/>
      <c r="M29" s="15"/>
      <c r="N29" s="15"/>
      <c r="O29" s="16" t="str">
        <f aca="false">IF(A29="","",IF(OR(B29="",C29="",G29=""),"Functions and RISK-ID needed",IF(B29=C29,"Functions must differ",IF(OR(COUNTIF(Functions!$A$5:$A$204,B29)=0,COUNTIF(Functions!$A$5:$A$204,C29)=0),"Function not defined",IF(COUNTIF(Ref_RISK!$A$2:$A$201,G29)=0,"RISK-ID not in W04",IF(AND(L29&lt;&gt;"",L29&lt;&gt;"None",COUNTIF(Ref_CTRL!$A$2:$A$201,L29)=0),"Mitigation not in W05 RCM","OK"))))))</f>
        <v/>
      </c>
    </row>
    <row r="30" customFormat="false" ht="15" hidden="false" customHeight="false" outlineLevel="0" collapsed="false">
      <c r="A30" s="15"/>
      <c r="B30" s="15"/>
      <c r="C30" s="15"/>
      <c r="D30" s="16" t="str">
        <f aca="false">IFERROR(INDEX(Functions!$B$5:$B$204,MATCH(B30,Functions!$A$5:$A$204,0)),"")</f>
        <v/>
      </c>
      <c r="E30" s="16" t="str">
        <f aca="false">IFERROR(INDEX(Functions!$B$5:$B$204,MATCH(C30,Functions!$A$5:$A$204,0)),"")</f>
        <v/>
      </c>
      <c r="F30" s="15"/>
      <c r="G30" s="15"/>
      <c r="H30" s="15"/>
      <c r="I30" s="15"/>
      <c r="J30" s="15"/>
      <c r="K30" s="15"/>
      <c r="L30" s="15"/>
      <c r="M30" s="15"/>
      <c r="N30" s="15"/>
      <c r="O30" s="16" t="str">
        <f aca="false">IF(A30="","",IF(OR(B30="",C30="",G30=""),"Functions and RISK-ID needed",IF(B30=C30,"Functions must differ",IF(OR(COUNTIF(Functions!$A$5:$A$204,B30)=0,COUNTIF(Functions!$A$5:$A$204,C30)=0),"Function not defined",IF(COUNTIF(Ref_RISK!$A$2:$A$201,G30)=0,"RISK-ID not in W04",IF(AND(L30&lt;&gt;"",L30&lt;&gt;"None",COUNTIF(Ref_CTRL!$A$2:$A$201,L30)=0),"Mitigation not in W05 RCM","OK"))))))</f>
        <v/>
      </c>
    </row>
    <row r="31" customFormat="false" ht="15" hidden="false" customHeight="false" outlineLevel="0" collapsed="false">
      <c r="A31" s="15"/>
      <c r="B31" s="15"/>
      <c r="C31" s="15"/>
      <c r="D31" s="16" t="str">
        <f aca="false">IFERROR(INDEX(Functions!$B$5:$B$204,MATCH(B31,Functions!$A$5:$A$204,0)),"")</f>
        <v/>
      </c>
      <c r="E31" s="16" t="str">
        <f aca="false">IFERROR(INDEX(Functions!$B$5:$B$204,MATCH(C31,Functions!$A$5:$A$204,0)),"")</f>
        <v/>
      </c>
      <c r="F31" s="15"/>
      <c r="G31" s="15"/>
      <c r="H31" s="15"/>
      <c r="I31" s="15"/>
      <c r="J31" s="15"/>
      <c r="K31" s="15"/>
      <c r="L31" s="15"/>
      <c r="M31" s="15"/>
      <c r="N31" s="15"/>
      <c r="O31" s="16" t="str">
        <f aca="false">IF(A31="","",IF(OR(B31="",C31="",G31=""),"Functions and RISK-ID needed",IF(B31=C31,"Functions must differ",IF(OR(COUNTIF(Functions!$A$5:$A$204,B31)=0,COUNTIF(Functions!$A$5:$A$204,C31)=0),"Function not defined",IF(COUNTIF(Ref_RISK!$A$2:$A$201,G31)=0,"RISK-ID not in W04",IF(AND(L31&lt;&gt;"",L31&lt;&gt;"None",COUNTIF(Ref_CTRL!$A$2:$A$201,L31)=0),"Mitigation not in W05 RCM","OK"))))))</f>
        <v/>
      </c>
    </row>
    <row r="32" customFormat="false" ht="15" hidden="false" customHeight="false" outlineLevel="0" collapsed="false">
      <c r="A32" s="15"/>
      <c r="B32" s="15"/>
      <c r="C32" s="15"/>
      <c r="D32" s="16" t="str">
        <f aca="false">IFERROR(INDEX(Functions!$B$5:$B$204,MATCH(B32,Functions!$A$5:$A$204,0)),"")</f>
        <v/>
      </c>
      <c r="E32" s="16" t="str">
        <f aca="false">IFERROR(INDEX(Functions!$B$5:$B$204,MATCH(C32,Functions!$A$5:$A$204,0)),"")</f>
        <v/>
      </c>
      <c r="F32" s="15"/>
      <c r="G32" s="15"/>
      <c r="H32" s="15"/>
      <c r="I32" s="15"/>
      <c r="J32" s="15"/>
      <c r="K32" s="15"/>
      <c r="L32" s="15"/>
      <c r="M32" s="15"/>
      <c r="N32" s="15"/>
      <c r="O32" s="16" t="str">
        <f aca="false">IF(A32="","",IF(OR(B32="",C32="",G32=""),"Functions and RISK-ID needed",IF(B32=C32,"Functions must differ",IF(OR(COUNTIF(Functions!$A$5:$A$204,B32)=0,COUNTIF(Functions!$A$5:$A$204,C32)=0),"Function not defined",IF(COUNTIF(Ref_RISK!$A$2:$A$201,G32)=0,"RISK-ID not in W04",IF(AND(L32&lt;&gt;"",L32&lt;&gt;"None",COUNTIF(Ref_CTRL!$A$2:$A$201,L32)=0),"Mitigation not in W05 RCM","OK"))))))</f>
        <v/>
      </c>
    </row>
    <row r="33" customFormat="false" ht="15" hidden="false" customHeight="false" outlineLevel="0" collapsed="false">
      <c r="A33" s="15"/>
      <c r="B33" s="15"/>
      <c r="C33" s="15"/>
      <c r="D33" s="16" t="str">
        <f aca="false">IFERROR(INDEX(Functions!$B$5:$B$204,MATCH(B33,Functions!$A$5:$A$204,0)),"")</f>
        <v/>
      </c>
      <c r="E33" s="16" t="str">
        <f aca="false">IFERROR(INDEX(Functions!$B$5:$B$204,MATCH(C33,Functions!$A$5:$A$204,0)),"")</f>
        <v/>
      </c>
      <c r="F33" s="15"/>
      <c r="G33" s="15"/>
      <c r="H33" s="15"/>
      <c r="I33" s="15"/>
      <c r="J33" s="15"/>
      <c r="K33" s="15"/>
      <c r="L33" s="15"/>
      <c r="M33" s="15"/>
      <c r="N33" s="15"/>
      <c r="O33" s="16" t="str">
        <f aca="false">IF(A33="","",IF(OR(B33="",C33="",G33=""),"Functions and RISK-ID needed",IF(B33=C33,"Functions must differ",IF(OR(COUNTIF(Functions!$A$5:$A$204,B33)=0,COUNTIF(Functions!$A$5:$A$204,C33)=0),"Function not defined",IF(COUNTIF(Ref_RISK!$A$2:$A$201,G33)=0,"RISK-ID not in W04",IF(AND(L33&lt;&gt;"",L33&lt;&gt;"None",COUNTIF(Ref_CTRL!$A$2:$A$201,L33)=0),"Mitigation not in W05 RCM","OK"))))))</f>
        <v/>
      </c>
    </row>
    <row r="34" customFormat="false" ht="15" hidden="false" customHeight="false" outlineLevel="0" collapsed="false">
      <c r="A34" s="15"/>
      <c r="B34" s="15"/>
      <c r="C34" s="15"/>
      <c r="D34" s="16" t="str">
        <f aca="false">IFERROR(INDEX(Functions!$B$5:$B$204,MATCH(B34,Functions!$A$5:$A$204,0)),"")</f>
        <v/>
      </c>
      <c r="E34" s="16" t="str">
        <f aca="false">IFERROR(INDEX(Functions!$B$5:$B$204,MATCH(C34,Functions!$A$5:$A$204,0)),"")</f>
        <v/>
      </c>
      <c r="F34" s="15"/>
      <c r="G34" s="15"/>
      <c r="H34" s="15"/>
      <c r="I34" s="15"/>
      <c r="J34" s="15"/>
      <c r="K34" s="15"/>
      <c r="L34" s="15"/>
      <c r="M34" s="15"/>
      <c r="N34" s="15"/>
      <c r="O34" s="16" t="str">
        <f aca="false">IF(A34="","",IF(OR(B34="",C34="",G34=""),"Functions and RISK-ID needed",IF(B34=C34,"Functions must differ",IF(OR(COUNTIF(Functions!$A$5:$A$204,B34)=0,COUNTIF(Functions!$A$5:$A$204,C34)=0),"Function not defined",IF(COUNTIF(Ref_RISK!$A$2:$A$201,G34)=0,"RISK-ID not in W04",IF(AND(L34&lt;&gt;"",L34&lt;&gt;"None",COUNTIF(Ref_CTRL!$A$2:$A$201,L34)=0),"Mitigation not in W05 RCM","OK"))))))</f>
        <v/>
      </c>
    </row>
    <row r="35" customFormat="false" ht="15" hidden="false" customHeight="false" outlineLevel="0" collapsed="false">
      <c r="A35" s="15"/>
      <c r="B35" s="15"/>
      <c r="C35" s="15"/>
      <c r="D35" s="16" t="str">
        <f aca="false">IFERROR(INDEX(Functions!$B$5:$B$204,MATCH(B35,Functions!$A$5:$A$204,0)),"")</f>
        <v/>
      </c>
      <c r="E35" s="16" t="str">
        <f aca="false">IFERROR(INDEX(Functions!$B$5:$B$204,MATCH(C35,Functions!$A$5:$A$204,0)),"")</f>
        <v/>
      </c>
      <c r="F35" s="15"/>
      <c r="G35" s="15"/>
      <c r="H35" s="15"/>
      <c r="I35" s="15"/>
      <c r="J35" s="15"/>
      <c r="K35" s="15"/>
      <c r="L35" s="15"/>
      <c r="M35" s="15"/>
      <c r="N35" s="15"/>
      <c r="O35" s="16" t="str">
        <f aca="false">IF(A35="","",IF(OR(B35="",C35="",G35=""),"Functions and RISK-ID needed",IF(B35=C35,"Functions must differ",IF(OR(COUNTIF(Functions!$A$5:$A$204,B35)=0,COUNTIF(Functions!$A$5:$A$204,C35)=0),"Function not defined",IF(COUNTIF(Ref_RISK!$A$2:$A$201,G35)=0,"RISK-ID not in W04",IF(AND(L35&lt;&gt;"",L35&lt;&gt;"None",COUNTIF(Ref_CTRL!$A$2:$A$201,L35)=0),"Mitigation not in W05 RCM","OK"))))))</f>
        <v/>
      </c>
    </row>
    <row r="36" customFormat="false" ht="15" hidden="false" customHeight="false" outlineLevel="0" collapsed="false">
      <c r="A36" s="15"/>
      <c r="B36" s="15"/>
      <c r="C36" s="15"/>
      <c r="D36" s="16" t="str">
        <f aca="false">IFERROR(INDEX(Functions!$B$5:$B$204,MATCH(B36,Functions!$A$5:$A$204,0)),"")</f>
        <v/>
      </c>
      <c r="E36" s="16" t="str">
        <f aca="false">IFERROR(INDEX(Functions!$B$5:$B$204,MATCH(C36,Functions!$A$5:$A$204,0)),"")</f>
        <v/>
      </c>
      <c r="F36" s="15"/>
      <c r="G36" s="15"/>
      <c r="H36" s="15"/>
      <c r="I36" s="15"/>
      <c r="J36" s="15"/>
      <c r="K36" s="15"/>
      <c r="L36" s="15"/>
      <c r="M36" s="15"/>
      <c r="N36" s="15"/>
      <c r="O36" s="16" t="str">
        <f aca="false">IF(A36="","",IF(OR(B36="",C36="",G36=""),"Functions and RISK-ID needed",IF(B36=C36,"Functions must differ",IF(OR(COUNTIF(Functions!$A$5:$A$204,B36)=0,COUNTIF(Functions!$A$5:$A$204,C36)=0),"Function not defined",IF(COUNTIF(Ref_RISK!$A$2:$A$201,G36)=0,"RISK-ID not in W04",IF(AND(L36&lt;&gt;"",L36&lt;&gt;"None",COUNTIF(Ref_CTRL!$A$2:$A$201,L36)=0),"Mitigation not in W05 RCM","OK"))))))</f>
        <v/>
      </c>
    </row>
    <row r="37" customFormat="false" ht="15" hidden="false" customHeight="false" outlineLevel="0" collapsed="false">
      <c r="A37" s="15"/>
      <c r="B37" s="15"/>
      <c r="C37" s="15"/>
      <c r="D37" s="16" t="str">
        <f aca="false">IFERROR(INDEX(Functions!$B$5:$B$204,MATCH(B37,Functions!$A$5:$A$204,0)),"")</f>
        <v/>
      </c>
      <c r="E37" s="16" t="str">
        <f aca="false">IFERROR(INDEX(Functions!$B$5:$B$204,MATCH(C37,Functions!$A$5:$A$204,0)),"")</f>
        <v/>
      </c>
      <c r="F37" s="15"/>
      <c r="G37" s="15"/>
      <c r="H37" s="15"/>
      <c r="I37" s="15"/>
      <c r="J37" s="15"/>
      <c r="K37" s="15"/>
      <c r="L37" s="15"/>
      <c r="M37" s="15"/>
      <c r="N37" s="15"/>
      <c r="O37" s="16" t="str">
        <f aca="false">IF(A37="","",IF(OR(B37="",C37="",G37=""),"Functions and RISK-ID needed",IF(B37=C37,"Functions must differ",IF(OR(COUNTIF(Functions!$A$5:$A$204,B37)=0,COUNTIF(Functions!$A$5:$A$204,C37)=0),"Function not defined",IF(COUNTIF(Ref_RISK!$A$2:$A$201,G37)=0,"RISK-ID not in W04",IF(AND(L37&lt;&gt;"",L37&lt;&gt;"None",COUNTIF(Ref_CTRL!$A$2:$A$201,L37)=0),"Mitigation not in W05 RCM","OK"))))))</f>
        <v/>
      </c>
    </row>
    <row r="38" customFormat="false" ht="15" hidden="false" customHeight="false" outlineLevel="0" collapsed="false">
      <c r="A38" s="15"/>
      <c r="B38" s="15"/>
      <c r="C38" s="15"/>
      <c r="D38" s="16" t="str">
        <f aca="false">IFERROR(INDEX(Functions!$B$5:$B$204,MATCH(B38,Functions!$A$5:$A$204,0)),"")</f>
        <v/>
      </c>
      <c r="E38" s="16" t="str">
        <f aca="false">IFERROR(INDEX(Functions!$B$5:$B$204,MATCH(C38,Functions!$A$5:$A$204,0)),"")</f>
        <v/>
      </c>
      <c r="F38" s="15"/>
      <c r="G38" s="15"/>
      <c r="H38" s="15"/>
      <c r="I38" s="15"/>
      <c r="J38" s="15"/>
      <c r="K38" s="15"/>
      <c r="L38" s="15"/>
      <c r="M38" s="15"/>
      <c r="N38" s="15"/>
      <c r="O38" s="16" t="str">
        <f aca="false">IF(A38="","",IF(OR(B38="",C38="",G38=""),"Functions and RISK-ID needed",IF(B38=C38,"Functions must differ",IF(OR(COUNTIF(Functions!$A$5:$A$204,B38)=0,COUNTIF(Functions!$A$5:$A$204,C38)=0),"Function not defined",IF(COUNTIF(Ref_RISK!$A$2:$A$201,G38)=0,"RISK-ID not in W04",IF(AND(L38&lt;&gt;"",L38&lt;&gt;"None",COUNTIF(Ref_CTRL!$A$2:$A$201,L38)=0),"Mitigation not in W05 RCM","OK"))))))</f>
        <v/>
      </c>
    </row>
    <row r="39" customFormat="false" ht="15" hidden="false" customHeight="false" outlineLevel="0" collapsed="false">
      <c r="A39" s="15"/>
      <c r="B39" s="15"/>
      <c r="C39" s="15"/>
      <c r="D39" s="16" t="str">
        <f aca="false">IFERROR(INDEX(Functions!$B$5:$B$204,MATCH(B39,Functions!$A$5:$A$204,0)),"")</f>
        <v/>
      </c>
      <c r="E39" s="16" t="str">
        <f aca="false">IFERROR(INDEX(Functions!$B$5:$B$204,MATCH(C39,Functions!$A$5:$A$204,0)),"")</f>
        <v/>
      </c>
      <c r="F39" s="15"/>
      <c r="G39" s="15"/>
      <c r="H39" s="15"/>
      <c r="I39" s="15"/>
      <c r="J39" s="15"/>
      <c r="K39" s="15"/>
      <c r="L39" s="15"/>
      <c r="M39" s="15"/>
      <c r="N39" s="15"/>
      <c r="O39" s="16" t="str">
        <f aca="false">IF(A39="","",IF(OR(B39="",C39="",G39=""),"Functions and RISK-ID needed",IF(B39=C39,"Functions must differ",IF(OR(COUNTIF(Functions!$A$5:$A$204,B39)=0,COUNTIF(Functions!$A$5:$A$204,C39)=0),"Function not defined",IF(COUNTIF(Ref_RISK!$A$2:$A$201,G39)=0,"RISK-ID not in W04",IF(AND(L39&lt;&gt;"",L39&lt;&gt;"None",COUNTIF(Ref_CTRL!$A$2:$A$201,L39)=0),"Mitigation not in W05 RCM","OK"))))))</f>
        <v/>
      </c>
    </row>
    <row r="40" customFormat="false" ht="15" hidden="false" customHeight="false" outlineLevel="0" collapsed="false">
      <c r="A40" s="15"/>
      <c r="B40" s="15"/>
      <c r="C40" s="15"/>
      <c r="D40" s="16" t="str">
        <f aca="false">IFERROR(INDEX(Functions!$B$5:$B$204,MATCH(B40,Functions!$A$5:$A$204,0)),"")</f>
        <v/>
      </c>
      <c r="E40" s="16" t="str">
        <f aca="false">IFERROR(INDEX(Functions!$B$5:$B$204,MATCH(C40,Functions!$A$5:$A$204,0)),"")</f>
        <v/>
      </c>
      <c r="F40" s="15"/>
      <c r="G40" s="15"/>
      <c r="H40" s="15"/>
      <c r="I40" s="15"/>
      <c r="J40" s="15"/>
      <c r="K40" s="15"/>
      <c r="L40" s="15"/>
      <c r="M40" s="15"/>
      <c r="N40" s="15"/>
      <c r="O40" s="16" t="str">
        <f aca="false">IF(A40="","",IF(OR(B40="",C40="",G40=""),"Functions and RISK-ID needed",IF(B40=C40,"Functions must differ",IF(OR(COUNTIF(Functions!$A$5:$A$204,B40)=0,COUNTIF(Functions!$A$5:$A$204,C40)=0),"Function not defined",IF(COUNTIF(Ref_RISK!$A$2:$A$201,G40)=0,"RISK-ID not in W04",IF(AND(L40&lt;&gt;"",L40&lt;&gt;"None",COUNTIF(Ref_CTRL!$A$2:$A$201,L40)=0),"Mitigation not in W05 RCM","OK"))))))</f>
        <v/>
      </c>
    </row>
    <row r="41" customFormat="false" ht="15" hidden="false" customHeight="false" outlineLevel="0" collapsed="false">
      <c r="A41" s="15"/>
      <c r="B41" s="15"/>
      <c r="C41" s="15"/>
      <c r="D41" s="16" t="str">
        <f aca="false">IFERROR(INDEX(Functions!$B$5:$B$204,MATCH(B41,Functions!$A$5:$A$204,0)),"")</f>
        <v/>
      </c>
      <c r="E41" s="16" t="str">
        <f aca="false">IFERROR(INDEX(Functions!$B$5:$B$204,MATCH(C41,Functions!$A$5:$A$204,0)),"")</f>
        <v/>
      </c>
      <c r="F41" s="15"/>
      <c r="G41" s="15"/>
      <c r="H41" s="15"/>
      <c r="I41" s="15"/>
      <c r="J41" s="15"/>
      <c r="K41" s="15"/>
      <c r="L41" s="15"/>
      <c r="M41" s="15"/>
      <c r="N41" s="15"/>
      <c r="O41" s="16" t="str">
        <f aca="false">IF(A41="","",IF(OR(B41="",C41="",G41=""),"Functions and RISK-ID needed",IF(B41=C41,"Functions must differ",IF(OR(COUNTIF(Functions!$A$5:$A$204,B41)=0,COUNTIF(Functions!$A$5:$A$204,C41)=0),"Function not defined",IF(COUNTIF(Ref_RISK!$A$2:$A$201,G41)=0,"RISK-ID not in W04",IF(AND(L41&lt;&gt;"",L41&lt;&gt;"None",COUNTIF(Ref_CTRL!$A$2:$A$201,L41)=0),"Mitigation not in W05 RCM","OK"))))))</f>
        <v/>
      </c>
    </row>
    <row r="42" customFormat="false" ht="15" hidden="false" customHeight="false" outlineLevel="0" collapsed="false">
      <c r="A42" s="15"/>
      <c r="B42" s="15"/>
      <c r="C42" s="15"/>
      <c r="D42" s="16" t="str">
        <f aca="false">IFERROR(INDEX(Functions!$B$5:$B$204,MATCH(B42,Functions!$A$5:$A$204,0)),"")</f>
        <v/>
      </c>
      <c r="E42" s="16" t="str">
        <f aca="false">IFERROR(INDEX(Functions!$B$5:$B$204,MATCH(C42,Functions!$A$5:$A$204,0)),"")</f>
        <v/>
      </c>
      <c r="F42" s="15"/>
      <c r="G42" s="15"/>
      <c r="H42" s="15"/>
      <c r="I42" s="15"/>
      <c r="J42" s="15"/>
      <c r="K42" s="15"/>
      <c r="L42" s="15"/>
      <c r="M42" s="15"/>
      <c r="N42" s="15"/>
      <c r="O42" s="16" t="str">
        <f aca="false">IF(A42="","",IF(OR(B42="",C42="",G42=""),"Functions and RISK-ID needed",IF(B42=C42,"Functions must differ",IF(OR(COUNTIF(Functions!$A$5:$A$204,B42)=0,COUNTIF(Functions!$A$5:$A$204,C42)=0),"Function not defined",IF(COUNTIF(Ref_RISK!$A$2:$A$201,G42)=0,"RISK-ID not in W04",IF(AND(L42&lt;&gt;"",L42&lt;&gt;"None",COUNTIF(Ref_CTRL!$A$2:$A$201,L42)=0),"Mitigation not in W05 RCM","OK"))))))</f>
        <v/>
      </c>
    </row>
    <row r="43" customFormat="false" ht="15" hidden="false" customHeight="false" outlineLevel="0" collapsed="false">
      <c r="A43" s="15"/>
      <c r="B43" s="15"/>
      <c r="C43" s="15"/>
      <c r="D43" s="16" t="str">
        <f aca="false">IFERROR(INDEX(Functions!$B$5:$B$204,MATCH(B43,Functions!$A$5:$A$204,0)),"")</f>
        <v/>
      </c>
      <c r="E43" s="16" t="str">
        <f aca="false">IFERROR(INDEX(Functions!$B$5:$B$204,MATCH(C43,Functions!$A$5:$A$204,0)),"")</f>
        <v/>
      </c>
      <c r="F43" s="15"/>
      <c r="G43" s="15"/>
      <c r="H43" s="15"/>
      <c r="I43" s="15"/>
      <c r="J43" s="15"/>
      <c r="K43" s="15"/>
      <c r="L43" s="15"/>
      <c r="M43" s="15"/>
      <c r="N43" s="15"/>
      <c r="O43" s="16" t="str">
        <f aca="false">IF(A43="","",IF(OR(B43="",C43="",G43=""),"Functions and RISK-ID needed",IF(B43=C43,"Functions must differ",IF(OR(COUNTIF(Functions!$A$5:$A$204,B43)=0,COUNTIF(Functions!$A$5:$A$204,C43)=0),"Function not defined",IF(COUNTIF(Ref_RISK!$A$2:$A$201,G43)=0,"RISK-ID not in W04",IF(AND(L43&lt;&gt;"",L43&lt;&gt;"None",COUNTIF(Ref_CTRL!$A$2:$A$201,L43)=0),"Mitigation not in W05 RCM","OK"))))))</f>
        <v/>
      </c>
    </row>
    <row r="44" customFormat="false" ht="15" hidden="false" customHeight="false" outlineLevel="0" collapsed="false">
      <c r="A44" s="15"/>
      <c r="B44" s="15"/>
      <c r="C44" s="15"/>
      <c r="D44" s="16" t="str">
        <f aca="false">IFERROR(INDEX(Functions!$B$5:$B$204,MATCH(B44,Functions!$A$5:$A$204,0)),"")</f>
        <v/>
      </c>
      <c r="E44" s="16" t="str">
        <f aca="false">IFERROR(INDEX(Functions!$B$5:$B$204,MATCH(C44,Functions!$A$5:$A$204,0)),"")</f>
        <v/>
      </c>
      <c r="F44" s="15"/>
      <c r="G44" s="15"/>
      <c r="H44" s="15"/>
      <c r="I44" s="15"/>
      <c r="J44" s="15"/>
      <c r="K44" s="15"/>
      <c r="L44" s="15"/>
      <c r="M44" s="15"/>
      <c r="N44" s="15"/>
      <c r="O44" s="16" t="str">
        <f aca="false">IF(A44="","",IF(OR(B44="",C44="",G44=""),"Functions and RISK-ID needed",IF(B44=C44,"Functions must differ",IF(OR(COUNTIF(Functions!$A$5:$A$204,B44)=0,COUNTIF(Functions!$A$5:$A$204,C44)=0),"Function not defined",IF(COUNTIF(Ref_RISK!$A$2:$A$201,G44)=0,"RISK-ID not in W04",IF(AND(L44&lt;&gt;"",L44&lt;&gt;"None",COUNTIF(Ref_CTRL!$A$2:$A$201,L44)=0),"Mitigation not in W05 RCM","OK"))))))</f>
        <v/>
      </c>
    </row>
    <row r="45" customFormat="false" ht="15" hidden="false" customHeight="false" outlineLevel="0" collapsed="false">
      <c r="A45" s="15"/>
      <c r="B45" s="15"/>
      <c r="C45" s="15"/>
      <c r="D45" s="16" t="str">
        <f aca="false">IFERROR(INDEX(Functions!$B$5:$B$204,MATCH(B45,Functions!$A$5:$A$204,0)),"")</f>
        <v/>
      </c>
      <c r="E45" s="16" t="str">
        <f aca="false">IFERROR(INDEX(Functions!$B$5:$B$204,MATCH(C45,Functions!$A$5:$A$204,0)),"")</f>
        <v/>
      </c>
      <c r="F45" s="15"/>
      <c r="G45" s="15"/>
      <c r="H45" s="15"/>
      <c r="I45" s="15"/>
      <c r="J45" s="15"/>
      <c r="K45" s="15"/>
      <c r="L45" s="15"/>
      <c r="M45" s="15"/>
      <c r="N45" s="15"/>
      <c r="O45" s="16" t="str">
        <f aca="false">IF(A45="","",IF(OR(B45="",C45="",G45=""),"Functions and RISK-ID needed",IF(B45=C45,"Functions must differ",IF(OR(COUNTIF(Functions!$A$5:$A$204,B45)=0,COUNTIF(Functions!$A$5:$A$204,C45)=0),"Function not defined",IF(COUNTIF(Ref_RISK!$A$2:$A$201,G45)=0,"RISK-ID not in W04",IF(AND(L45&lt;&gt;"",L45&lt;&gt;"None",COUNTIF(Ref_CTRL!$A$2:$A$201,L45)=0),"Mitigation not in W05 RCM","OK"))))))</f>
        <v/>
      </c>
    </row>
    <row r="46" customFormat="false" ht="15" hidden="false" customHeight="false" outlineLevel="0" collapsed="false">
      <c r="A46" s="15"/>
      <c r="B46" s="15"/>
      <c r="C46" s="15"/>
      <c r="D46" s="16" t="str">
        <f aca="false">IFERROR(INDEX(Functions!$B$5:$B$204,MATCH(B46,Functions!$A$5:$A$204,0)),"")</f>
        <v/>
      </c>
      <c r="E46" s="16" t="str">
        <f aca="false">IFERROR(INDEX(Functions!$B$5:$B$204,MATCH(C46,Functions!$A$5:$A$204,0)),"")</f>
        <v/>
      </c>
      <c r="F46" s="15"/>
      <c r="G46" s="15"/>
      <c r="H46" s="15"/>
      <c r="I46" s="15"/>
      <c r="J46" s="15"/>
      <c r="K46" s="15"/>
      <c r="L46" s="15"/>
      <c r="M46" s="15"/>
      <c r="N46" s="15"/>
      <c r="O46" s="16" t="str">
        <f aca="false">IF(A46="","",IF(OR(B46="",C46="",G46=""),"Functions and RISK-ID needed",IF(B46=C46,"Functions must differ",IF(OR(COUNTIF(Functions!$A$5:$A$204,B46)=0,COUNTIF(Functions!$A$5:$A$204,C46)=0),"Function not defined",IF(COUNTIF(Ref_RISK!$A$2:$A$201,G46)=0,"RISK-ID not in W04",IF(AND(L46&lt;&gt;"",L46&lt;&gt;"None",COUNTIF(Ref_CTRL!$A$2:$A$201,L46)=0),"Mitigation not in W05 RCM","OK"))))))</f>
        <v/>
      </c>
    </row>
    <row r="47" customFormat="false" ht="15" hidden="false" customHeight="false" outlineLevel="0" collapsed="false">
      <c r="A47" s="15"/>
      <c r="B47" s="15"/>
      <c r="C47" s="15"/>
      <c r="D47" s="16" t="str">
        <f aca="false">IFERROR(INDEX(Functions!$B$5:$B$204,MATCH(B47,Functions!$A$5:$A$204,0)),"")</f>
        <v/>
      </c>
      <c r="E47" s="16" t="str">
        <f aca="false">IFERROR(INDEX(Functions!$B$5:$B$204,MATCH(C47,Functions!$A$5:$A$204,0)),"")</f>
        <v/>
      </c>
      <c r="F47" s="15"/>
      <c r="G47" s="15"/>
      <c r="H47" s="15"/>
      <c r="I47" s="15"/>
      <c r="J47" s="15"/>
      <c r="K47" s="15"/>
      <c r="L47" s="15"/>
      <c r="M47" s="15"/>
      <c r="N47" s="15"/>
      <c r="O47" s="16" t="str">
        <f aca="false">IF(A47="","",IF(OR(B47="",C47="",G47=""),"Functions and RISK-ID needed",IF(B47=C47,"Functions must differ",IF(OR(COUNTIF(Functions!$A$5:$A$204,B47)=0,COUNTIF(Functions!$A$5:$A$204,C47)=0),"Function not defined",IF(COUNTIF(Ref_RISK!$A$2:$A$201,G47)=0,"RISK-ID not in W04",IF(AND(L47&lt;&gt;"",L47&lt;&gt;"None",COUNTIF(Ref_CTRL!$A$2:$A$201,L47)=0),"Mitigation not in W05 RCM","OK"))))))</f>
        <v/>
      </c>
    </row>
    <row r="48" customFormat="false" ht="15" hidden="false" customHeight="false" outlineLevel="0" collapsed="false">
      <c r="A48" s="15"/>
      <c r="B48" s="15"/>
      <c r="C48" s="15"/>
      <c r="D48" s="16" t="str">
        <f aca="false">IFERROR(INDEX(Functions!$B$5:$B$204,MATCH(B48,Functions!$A$5:$A$204,0)),"")</f>
        <v/>
      </c>
      <c r="E48" s="16" t="str">
        <f aca="false">IFERROR(INDEX(Functions!$B$5:$B$204,MATCH(C48,Functions!$A$5:$A$204,0)),"")</f>
        <v/>
      </c>
      <c r="F48" s="15"/>
      <c r="G48" s="15"/>
      <c r="H48" s="15"/>
      <c r="I48" s="15"/>
      <c r="J48" s="15"/>
      <c r="K48" s="15"/>
      <c r="L48" s="15"/>
      <c r="M48" s="15"/>
      <c r="N48" s="15"/>
      <c r="O48" s="16" t="str">
        <f aca="false">IF(A48="","",IF(OR(B48="",C48="",G48=""),"Functions and RISK-ID needed",IF(B48=C48,"Functions must differ",IF(OR(COUNTIF(Functions!$A$5:$A$204,B48)=0,COUNTIF(Functions!$A$5:$A$204,C48)=0),"Function not defined",IF(COUNTIF(Ref_RISK!$A$2:$A$201,G48)=0,"RISK-ID not in W04",IF(AND(L48&lt;&gt;"",L48&lt;&gt;"None",COUNTIF(Ref_CTRL!$A$2:$A$201,L48)=0),"Mitigation not in W05 RCM","OK"))))))</f>
        <v/>
      </c>
    </row>
    <row r="49" customFormat="false" ht="15" hidden="false" customHeight="false" outlineLevel="0" collapsed="false">
      <c r="A49" s="15"/>
      <c r="B49" s="15"/>
      <c r="C49" s="15"/>
      <c r="D49" s="16" t="str">
        <f aca="false">IFERROR(INDEX(Functions!$B$5:$B$204,MATCH(B49,Functions!$A$5:$A$204,0)),"")</f>
        <v/>
      </c>
      <c r="E49" s="16" t="str">
        <f aca="false">IFERROR(INDEX(Functions!$B$5:$B$204,MATCH(C49,Functions!$A$5:$A$204,0)),"")</f>
        <v/>
      </c>
      <c r="F49" s="15"/>
      <c r="G49" s="15"/>
      <c r="H49" s="15"/>
      <c r="I49" s="15"/>
      <c r="J49" s="15"/>
      <c r="K49" s="15"/>
      <c r="L49" s="15"/>
      <c r="M49" s="15"/>
      <c r="N49" s="15"/>
      <c r="O49" s="16" t="str">
        <f aca="false">IF(A49="","",IF(OR(B49="",C49="",G49=""),"Functions and RISK-ID needed",IF(B49=C49,"Functions must differ",IF(OR(COUNTIF(Functions!$A$5:$A$204,B49)=0,COUNTIF(Functions!$A$5:$A$204,C49)=0),"Function not defined",IF(COUNTIF(Ref_RISK!$A$2:$A$201,G49)=0,"RISK-ID not in W04",IF(AND(L49&lt;&gt;"",L49&lt;&gt;"None",COUNTIF(Ref_CTRL!$A$2:$A$201,L49)=0),"Mitigation not in W05 RCM","OK"))))))</f>
        <v/>
      </c>
    </row>
    <row r="50" customFormat="false" ht="15" hidden="false" customHeight="false" outlineLevel="0" collapsed="false">
      <c r="A50" s="15"/>
      <c r="B50" s="15"/>
      <c r="C50" s="15"/>
      <c r="D50" s="16" t="str">
        <f aca="false">IFERROR(INDEX(Functions!$B$5:$B$204,MATCH(B50,Functions!$A$5:$A$204,0)),"")</f>
        <v/>
      </c>
      <c r="E50" s="16" t="str">
        <f aca="false">IFERROR(INDEX(Functions!$B$5:$B$204,MATCH(C50,Functions!$A$5:$A$204,0)),"")</f>
        <v/>
      </c>
      <c r="F50" s="15"/>
      <c r="G50" s="15"/>
      <c r="H50" s="15"/>
      <c r="I50" s="15"/>
      <c r="J50" s="15"/>
      <c r="K50" s="15"/>
      <c r="L50" s="15"/>
      <c r="M50" s="15"/>
      <c r="N50" s="15"/>
      <c r="O50" s="16" t="str">
        <f aca="false">IF(A50="","",IF(OR(B50="",C50="",G50=""),"Functions and RISK-ID needed",IF(B50=C50,"Functions must differ",IF(OR(COUNTIF(Functions!$A$5:$A$204,B50)=0,COUNTIF(Functions!$A$5:$A$204,C50)=0),"Function not defined",IF(COUNTIF(Ref_RISK!$A$2:$A$201,G50)=0,"RISK-ID not in W04",IF(AND(L50&lt;&gt;"",L50&lt;&gt;"None",COUNTIF(Ref_CTRL!$A$2:$A$201,L50)=0),"Mitigation not in W05 RCM","OK"))))))</f>
        <v/>
      </c>
    </row>
    <row r="51" customFormat="false" ht="15" hidden="false" customHeight="false" outlineLevel="0" collapsed="false">
      <c r="A51" s="15"/>
      <c r="B51" s="15"/>
      <c r="C51" s="15"/>
      <c r="D51" s="16" t="str">
        <f aca="false">IFERROR(INDEX(Functions!$B$5:$B$204,MATCH(B51,Functions!$A$5:$A$204,0)),"")</f>
        <v/>
      </c>
      <c r="E51" s="16" t="str">
        <f aca="false">IFERROR(INDEX(Functions!$B$5:$B$204,MATCH(C51,Functions!$A$5:$A$204,0)),"")</f>
        <v/>
      </c>
      <c r="F51" s="15"/>
      <c r="G51" s="15"/>
      <c r="H51" s="15"/>
      <c r="I51" s="15"/>
      <c r="J51" s="15"/>
      <c r="K51" s="15"/>
      <c r="L51" s="15"/>
      <c r="M51" s="15"/>
      <c r="N51" s="15"/>
      <c r="O51" s="16" t="str">
        <f aca="false">IF(A51="","",IF(OR(B51="",C51="",G51=""),"Functions and RISK-ID needed",IF(B51=C51,"Functions must differ",IF(OR(COUNTIF(Functions!$A$5:$A$204,B51)=0,COUNTIF(Functions!$A$5:$A$204,C51)=0),"Function not defined",IF(COUNTIF(Ref_RISK!$A$2:$A$201,G51)=0,"RISK-ID not in W04",IF(AND(L51&lt;&gt;"",L51&lt;&gt;"None",COUNTIF(Ref_CTRL!$A$2:$A$201,L51)=0),"Mitigation not in W05 RCM","OK"))))))</f>
        <v/>
      </c>
    </row>
    <row r="52" customFormat="false" ht="15" hidden="false" customHeight="false" outlineLevel="0" collapsed="false">
      <c r="A52" s="15"/>
      <c r="B52" s="15"/>
      <c r="C52" s="15"/>
      <c r="D52" s="16" t="str">
        <f aca="false">IFERROR(INDEX(Functions!$B$5:$B$204,MATCH(B52,Functions!$A$5:$A$204,0)),"")</f>
        <v/>
      </c>
      <c r="E52" s="16" t="str">
        <f aca="false">IFERROR(INDEX(Functions!$B$5:$B$204,MATCH(C52,Functions!$A$5:$A$204,0)),"")</f>
        <v/>
      </c>
      <c r="F52" s="15"/>
      <c r="G52" s="15"/>
      <c r="H52" s="15"/>
      <c r="I52" s="15"/>
      <c r="J52" s="15"/>
      <c r="K52" s="15"/>
      <c r="L52" s="15"/>
      <c r="M52" s="15"/>
      <c r="N52" s="15"/>
      <c r="O52" s="16" t="str">
        <f aca="false">IF(A52="","",IF(OR(B52="",C52="",G52=""),"Functions and RISK-ID needed",IF(B52=C52,"Functions must differ",IF(OR(COUNTIF(Functions!$A$5:$A$204,B52)=0,COUNTIF(Functions!$A$5:$A$204,C52)=0),"Function not defined",IF(COUNTIF(Ref_RISK!$A$2:$A$201,G52)=0,"RISK-ID not in W04",IF(AND(L52&lt;&gt;"",L52&lt;&gt;"None",COUNTIF(Ref_CTRL!$A$2:$A$201,L52)=0),"Mitigation not in W05 RCM","OK"))))))</f>
        <v/>
      </c>
    </row>
    <row r="53" customFormat="false" ht="15" hidden="false" customHeight="false" outlineLevel="0" collapsed="false">
      <c r="A53" s="15"/>
      <c r="B53" s="15"/>
      <c r="C53" s="15"/>
      <c r="D53" s="16" t="str">
        <f aca="false">IFERROR(INDEX(Functions!$B$5:$B$204,MATCH(B53,Functions!$A$5:$A$204,0)),"")</f>
        <v/>
      </c>
      <c r="E53" s="16" t="str">
        <f aca="false">IFERROR(INDEX(Functions!$B$5:$B$204,MATCH(C53,Functions!$A$5:$A$204,0)),"")</f>
        <v/>
      </c>
      <c r="F53" s="15"/>
      <c r="G53" s="15"/>
      <c r="H53" s="15"/>
      <c r="I53" s="15"/>
      <c r="J53" s="15"/>
      <c r="K53" s="15"/>
      <c r="L53" s="15"/>
      <c r="M53" s="15"/>
      <c r="N53" s="15"/>
      <c r="O53" s="16" t="str">
        <f aca="false">IF(A53="","",IF(OR(B53="",C53="",G53=""),"Functions and RISK-ID needed",IF(B53=C53,"Functions must differ",IF(OR(COUNTIF(Functions!$A$5:$A$204,B53)=0,COUNTIF(Functions!$A$5:$A$204,C53)=0),"Function not defined",IF(COUNTIF(Ref_RISK!$A$2:$A$201,G53)=0,"RISK-ID not in W04",IF(AND(L53&lt;&gt;"",L53&lt;&gt;"None",COUNTIF(Ref_CTRL!$A$2:$A$201,L53)=0),"Mitigation not in W05 RCM","OK"))))))</f>
        <v/>
      </c>
    </row>
    <row r="54" customFormat="false" ht="15" hidden="false" customHeight="false" outlineLevel="0" collapsed="false">
      <c r="A54" s="15"/>
      <c r="B54" s="15"/>
      <c r="C54" s="15"/>
      <c r="D54" s="16" t="str">
        <f aca="false">IFERROR(INDEX(Functions!$B$5:$B$204,MATCH(B54,Functions!$A$5:$A$204,0)),"")</f>
        <v/>
      </c>
      <c r="E54" s="16" t="str">
        <f aca="false">IFERROR(INDEX(Functions!$B$5:$B$204,MATCH(C54,Functions!$A$5:$A$204,0)),"")</f>
        <v/>
      </c>
      <c r="F54" s="15"/>
      <c r="G54" s="15"/>
      <c r="H54" s="15"/>
      <c r="I54" s="15"/>
      <c r="J54" s="15"/>
      <c r="K54" s="15"/>
      <c r="L54" s="15"/>
      <c r="M54" s="15"/>
      <c r="N54" s="15"/>
      <c r="O54" s="16" t="str">
        <f aca="false">IF(A54="","",IF(OR(B54="",C54="",G54=""),"Functions and RISK-ID needed",IF(B54=C54,"Functions must differ",IF(OR(COUNTIF(Functions!$A$5:$A$204,B54)=0,COUNTIF(Functions!$A$5:$A$204,C54)=0),"Function not defined",IF(COUNTIF(Ref_RISK!$A$2:$A$201,G54)=0,"RISK-ID not in W04",IF(AND(L54&lt;&gt;"",L54&lt;&gt;"None",COUNTIF(Ref_CTRL!$A$2:$A$201,L54)=0),"Mitigation not in W05 RCM","OK"))))))</f>
        <v/>
      </c>
    </row>
    <row r="55" customFormat="false" ht="15" hidden="false" customHeight="false" outlineLevel="0" collapsed="false">
      <c r="A55" s="15"/>
      <c r="B55" s="15"/>
      <c r="C55" s="15"/>
      <c r="D55" s="16" t="str">
        <f aca="false">IFERROR(INDEX(Functions!$B$5:$B$204,MATCH(B55,Functions!$A$5:$A$204,0)),"")</f>
        <v/>
      </c>
      <c r="E55" s="16" t="str">
        <f aca="false">IFERROR(INDEX(Functions!$B$5:$B$204,MATCH(C55,Functions!$A$5:$A$204,0)),"")</f>
        <v/>
      </c>
      <c r="F55" s="15"/>
      <c r="G55" s="15"/>
      <c r="H55" s="15"/>
      <c r="I55" s="15"/>
      <c r="J55" s="15"/>
      <c r="K55" s="15"/>
      <c r="L55" s="15"/>
      <c r="M55" s="15"/>
      <c r="N55" s="15"/>
      <c r="O55" s="16" t="str">
        <f aca="false">IF(A55="","",IF(OR(B55="",C55="",G55=""),"Functions and RISK-ID needed",IF(B55=C55,"Functions must differ",IF(OR(COUNTIF(Functions!$A$5:$A$204,B55)=0,COUNTIF(Functions!$A$5:$A$204,C55)=0),"Function not defined",IF(COUNTIF(Ref_RISK!$A$2:$A$201,G55)=0,"RISK-ID not in W04",IF(AND(L55&lt;&gt;"",L55&lt;&gt;"None",COUNTIF(Ref_CTRL!$A$2:$A$201,L55)=0),"Mitigation not in W05 RCM","OK"))))))</f>
        <v/>
      </c>
    </row>
    <row r="56" customFormat="false" ht="15" hidden="false" customHeight="false" outlineLevel="0" collapsed="false">
      <c r="A56" s="15"/>
      <c r="B56" s="15"/>
      <c r="C56" s="15"/>
      <c r="D56" s="16" t="str">
        <f aca="false">IFERROR(INDEX(Functions!$B$5:$B$204,MATCH(B56,Functions!$A$5:$A$204,0)),"")</f>
        <v/>
      </c>
      <c r="E56" s="16" t="str">
        <f aca="false">IFERROR(INDEX(Functions!$B$5:$B$204,MATCH(C56,Functions!$A$5:$A$204,0)),"")</f>
        <v/>
      </c>
      <c r="F56" s="15"/>
      <c r="G56" s="15"/>
      <c r="H56" s="15"/>
      <c r="I56" s="15"/>
      <c r="J56" s="15"/>
      <c r="K56" s="15"/>
      <c r="L56" s="15"/>
      <c r="M56" s="15"/>
      <c r="N56" s="15"/>
      <c r="O56" s="16" t="str">
        <f aca="false">IF(A56="","",IF(OR(B56="",C56="",G56=""),"Functions and RISK-ID needed",IF(B56=C56,"Functions must differ",IF(OR(COUNTIF(Functions!$A$5:$A$204,B56)=0,COUNTIF(Functions!$A$5:$A$204,C56)=0),"Function not defined",IF(COUNTIF(Ref_RISK!$A$2:$A$201,G56)=0,"RISK-ID not in W04",IF(AND(L56&lt;&gt;"",L56&lt;&gt;"None",COUNTIF(Ref_CTRL!$A$2:$A$201,L56)=0),"Mitigation not in W05 RCM","OK"))))))</f>
        <v/>
      </c>
    </row>
    <row r="57" customFormat="false" ht="15" hidden="false" customHeight="false" outlineLevel="0" collapsed="false">
      <c r="A57" s="15"/>
      <c r="B57" s="15"/>
      <c r="C57" s="15"/>
      <c r="D57" s="16" t="str">
        <f aca="false">IFERROR(INDEX(Functions!$B$5:$B$204,MATCH(B57,Functions!$A$5:$A$204,0)),"")</f>
        <v/>
      </c>
      <c r="E57" s="16" t="str">
        <f aca="false">IFERROR(INDEX(Functions!$B$5:$B$204,MATCH(C57,Functions!$A$5:$A$204,0)),"")</f>
        <v/>
      </c>
      <c r="F57" s="15"/>
      <c r="G57" s="15"/>
      <c r="H57" s="15"/>
      <c r="I57" s="15"/>
      <c r="J57" s="15"/>
      <c r="K57" s="15"/>
      <c r="L57" s="15"/>
      <c r="M57" s="15"/>
      <c r="N57" s="15"/>
      <c r="O57" s="16" t="str">
        <f aca="false">IF(A57="","",IF(OR(B57="",C57="",G57=""),"Functions and RISK-ID needed",IF(B57=C57,"Functions must differ",IF(OR(COUNTIF(Functions!$A$5:$A$204,B57)=0,COUNTIF(Functions!$A$5:$A$204,C57)=0),"Function not defined",IF(COUNTIF(Ref_RISK!$A$2:$A$201,G57)=0,"RISK-ID not in W04",IF(AND(L57&lt;&gt;"",L57&lt;&gt;"None",COUNTIF(Ref_CTRL!$A$2:$A$201,L57)=0),"Mitigation not in W05 RCM","OK"))))))</f>
        <v/>
      </c>
    </row>
    <row r="58" customFormat="false" ht="15" hidden="false" customHeight="false" outlineLevel="0" collapsed="false">
      <c r="A58" s="15"/>
      <c r="B58" s="15"/>
      <c r="C58" s="15"/>
      <c r="D58" s="16" t="str">
        <f aca="false">IFERROR(INDEX(Functions!$B$5:$B$204,MATCH(B58,Functions!$A$5:$A$204,0)),"")</f>
        <v/>
      </c>
      <c r="E58" s="16" t="str">
        <f aca="false">IFERROR(INDEX(Functions!$B$5:$B$204,MATCH(C58,Functions!$A$5:$A$204,0)),"")</f>
        <v/>
      </c>
      <c r="F58" s="15"/>
      <c r="G58" s="15"/>
      <c r="H58" s="15"/>
      <c r="I58" s="15"/>
      <c r="J58" s="15"/>
      <c r="K58" s="15"/>
      <c r="L58" s="15"/>
      <c r="M58" s="15"/>
      <c r="N58" s="15"/>
      <c r="O58" s="16" t="str">
        <f aca="false">IF(A58="","",IF(OR(B58="",C58="",G58=""),"Functions and RISK-ID needed",IF(B58=C58,"Functions must differ",IF(OR(COUNTIF(Functions!$A$5:$A$204,B58)=0,COUNTIF(Functions!$A$5:$A$204,C58)=0),"Function not defined",IF(COUNTIF(Ref_RISK!$A$2:$A$201,G58)=0,"RISK-ID not in W04",IF(AND(L58&lt;&gt;"",L58&lt;&gt;"None",COUNTIF(Ref_CTRL!$A$2:$A$201,L58)=0),"Mitigation not in W05 RCM","OK"))))))</f>
        <v/>
      </c>
    </row>
    <row r="59" customFormat="false" ht="15" hidden="false" customHeight="false" outlineLevel="0" collapsed="false">
      <c r="A59" s="15"/>
      <c r="B59" s="15"/>
      <c r="C59" s="15"/>
      <c r="D59" s="16" t="str">
        <f aca="false">IFERROR(INDEX(Functions!$B$5:$B$204,MATCH(B59,Functions!$A$5:$A$204,0)),"")</f>
        <v/>
      </c>
      <c r="E59" s="16" t="str">
        <f aca="false">IFERROR(INDEX(Functions!$B$5:$B$204,MATCH(C59,Functions!$A$5:$A$204,0)),"")</f>
        <v/>
      </c>
      <c r="F59" s="15"/>
      <c r="G59" s="15"/>
      <c r="H59" s="15"/>
      <c r="I59" s="15"/>
      <c r="J59" s="15"/>
      <c r="K59" s="15"/>
      <c r="L59" s="15"/>
      <c r="M59" s="15"/>
      <c r="N59" s="15"/>
      <c r="O59" s="16" t="str">
        <f aca="false">IF(A59="","",IF(OR(B59="",C59="",G59=""),"Functions and RISK-ID needed",IF(B59=C59,"Functions must differ",IF(OR(COUNTIF(Functions!$A$5:$A$204,B59)=0,COUNTIF(Functions!$A$5:$A$204,C59)=0),"Function not defined",IF(COUNTIF(Ref_RISK!$A$2:$A$201,G59)=0,"RISK-ID not in W04",IF(AND(L59&lt;&gt;"",L59&lt;&gt;"None",COUNTIF(Ref_CTRL!$A$2:$A$201,L59)=0),"Mitigation not in W05 RCM","OK"))))))</f>
        <v/>
      </c>
    </row>
    <row r="60" customFormat="false" ht="15" hidden="false" customHeight="false" outlineLevel="0" collapsed="false">
      <c r="A60" s="15"/>
      <c r="B60" s="15"/>
      <c r="C60" s="15"/>
      <c r="D60" s="16" t="str">
        <f aca="false">IFERROR(INDEX(Functions!$B$5:$B$204,MATCH(B60,Functions!$A$5:$A$204,0)),"")</f>
        <v/>
      </c>
      <c r="E60" s="16" t="str">
        <f aca="false">IFERROR(INDEX(Functions!$B$5:$B$204,MATCH(C60,Functions!$A$5:$A$204,0)),"")</f>
        <v/>
      </c>
      <c r="F60" s="15"/>
      <c r="G60" s="15"/>
      <c r="H60" s="15"/>
      <c r="I60" s="15"/>
      <c r="J60" s="15"/>
      <c r="K60" s="15"/>
      <c r="L60" s="15"/>
      <c r="M60" s="15"/>
      <c r="N60" s="15"/>
      <c r="O60" s="16" t="str">
        <f aca="false">IF(A60="","",IF(OR(B60="",C60="",G60=""),"Functions and RISK-ID needed",IF(B60=C60,"Functions must differ",IF(OR(COUNTIF(Functions!$A$5:$A$204,B60)=0,COUNTIF(Functions!$A$5:$A$204,C60)=0),"Function not defined",IF(COUNTIF(Ref_RISK!$A$2:$A$201,G60)=0,"RISK-ID not in W04",IF(AND(L60&lt;&gt;"",L60&lt;&gt;"None",COUNTIF(Ref_CTRL!$A$2:$A$201,L60)=0),"Mitigation not in W05 RCM","OK"))))))</f>
        <v/>
      </c>
    </row>
    <row r="61" customFormat="false" ht="15" hidden="false" customHeight="false" outlineLevel="0" collapsed="false">
      <c r="A61" s="15"/>
      <c r="B61" s="15"/>
      <c r="C61" s="15"/>
      <c r="D61" s="16" t="str">
        <f aca="false">IFERROR(INDEX(Functions!$B$5:$B$204,MATCH(B61,Functions!$A$5:$A$204,0)),"")</f>
        <v/>
      </c>
      <c r="E61" s="16" t="str">
        <f aca="false">IFERROR(INDEX(Functions!$B$5:$B$204,MATCH(C61,Functions!$A$5:$A$204,0)),"")</f>
        <v/>
      </c>
      <c r="F61" s="15"/>
      <c r="G61" s="15"/>
      <c r="H61" s="15"/>
      <c r="I61" s="15"/>
      <c r="J61" s="15"/>
      <c r="K61" s="15"/>
      <c r="L61" s="15"/>
      <c r="M61" s="15"/>
      <c r="N61" s="15"/>
      <c r="O61" s="16" t="str">
        <f aca="false">IF(A61="","",IF(OR(B61="",C61="",G61=""),"Functions and RISK-ID needed",IF(B61=C61,"Functions must differ",IF(OR(COUNTIF(Functions!$A$5:$A$204,B61)=0,COUNTIF(Functions!$A$5:$A$204,C61)=0),"Function not defined",IF(COUNTIF(Ref_RISK!$A$2:$A$201,G61)=0,"RISK-ID not in W04",IF(AND(L61&lt;&gt;"",L61&lt;&gt;"None",COUNTIF(Ref_CTRL!$A$2:$A$201,L61)=0),"Mitigation not in W05 RCM","OK"))))))</f>
        <v/>
      </c>
    </row>
    <row r="62" customFormat="false" ht="15" hidden="false" customHeight="false" outlineLevel="0" collapsed="false">
      <c r="A62" s="15"/>
      <c r="B62" s="15"/>
      <c r="C62" s="15"/>
      <c r="D62" s="16" t="str">
        <f aca="false">IFERROR(INDEX(Functions!$B$5:$B$204,MATCH(B62,Functions!$A$5:$A$204,0)),"")</f>
        <v/>
      </c>
      <c r="E62" s="16" t="str">
        <f aca="false">IFERROR(INDEX(Functions!$B$5:$B$204,MATCH(C62,Functions!$A$5:$A$204,0)),"")</f>
        <v/>
      </c>
      <c r="F62" s="15"/>
      <c r="G62" s="15"/>
      <c r="H62" s="15"/>
      <c r="I62" s="15"/>
      <c r="J62" s="15"/>
      <c r="K62" s="15"/>
      <c r="L62" s="15"/>
      <c r="M62" s="15"/>
      <c r="N62" s="15"/>
      <c r="O62" s="16" t="str">
        <f aca="false">IF(A62="","",IF(OR(B62="",C62="",G62=""),"Functions and RISK-ID needed",IF(B62=C62,"Functions must differ",IF(OR(COUNTIF(Functions!$A$5:$A$204,B62)=0,COUNTIF(Functions!$A$5:$A$204,C62)=0),"Function not defined",IF(COUNTIF(Ref_RISK!$A$2:$A$201,G62)=0,"RISK-ID not in W04",IF(AND(L62&lt;&gt;"",L62&lt;&gt;"None",COUNTIF(Ref_CTRL!$A$2:$A$201,L62)=0),"Mitigation not in W05 RCM","OK"))))))</f>
        <v/>
      </c>
    </row>
    <row r="63" customFormat="false" ht="15" hidden="false" customHeight="false" outlineLevel="0" collapsed="false">
      <c r="A63" s="15"/>
      <c r="B63" s="15"/>
      <c r="C63" s="15"/>
      <c r="D63" s="16" t="str">
        <f aca="false">IFERROR(INDEX(Functions!$B$5:$B$204,MATCH(B63,Functions!$A$5:$A$204,0)),"")</f>
        <v/>
      </c>
      <c r="E63" s="16" t="str">
        <f aca="false">IFERROR(INDEX(Functions!$B$5:$B$204,MATCH(C63,Functions!$A$5:$A$204,0)),"")</f>
        <v/>
      </c>
      <c r="F63" s="15"/>
      <c r="G63" s="15"/>
      <c r="H63" s="15"/>
      <c r="I63" s="15"/>
      <c r="J63" s="15"/>
      <c r="K63" s="15"/>
      <c r="L63" s="15"/>
      <c r="M63" s="15"/>
      <c r="N63" s="15"/>
      <c r="O63" s="16" t="str">
        <f aca="false">IF(A63="","",IF(OR(B63="",C63="",G63=""),"Functions and RISK-ID needed",IF(B63=C63,"Functions must differ",IF(OR(COUNTIF(Functions!$A$5:$A$204,B63)=0,COUNTIF(Functions!$A$5:$A$204,C63)=0),"Function not defined",IF(COUNTIF(Ref_RISK!$A$2:$A$201,G63)=0,"RISK-ID not in W04",IF(AND(L63&lt;&gt;"",L63&lt;&gt;"None",COUNTIF(Ref_CTRL!$A$2:$A$201,L63)=0),"Mitigation not in W05 RCM","OK"))))))</f>
        <v/>
      </c>
    </row>
    <row r="64" customFormat="false" ht="15" hidden="false" customHeight="false" outlineLevel="0" collapsed="false">
      <c r="A64" s="15"/>
      <c r="B64" s="15"/>
      <c r="C64" s="15"/>
      <c r="D64" s="16" t="str">
        <f aca="false">IFERROR(INDEX(Functions!$B$5:$B$204,MATCH(B64,Functions!$A$5:$A$204,0)),"")</f>
        <v/>
      </c>
      <c r="E64" s="16" t="str">
        <f aca="false">IFERROR(INDEX(Functions!$B$5:$B$204,MATCH(C64,Functions!$A$5:$A$204,0)),"")</f>
        <v/>
      </c>
      <c r="F64" s="15"/>
      <c r="G64" s="15"/>
      <c r="H64" s="15"/>
      <c r="I64" s="15"/>
      <c r="J64" s="15"/>
      <c r="K64" s="15"/>
      <c r="L64" s="15"/>
      <c r="M64" s="15"/>
      <c r="N64" s="15"/>
      <c r="O64" s="16" t="str">
        <f aca="false">IF(A64="","",IF(OR(B64="",C64="",G64=""),"Functions and RISK-ID needed",IF(B64=C64,"Functions must differ",IF(OR(COUNTIF(Functions!$A$5:$A$204,B64)=0,COUNTIF(Functions!$A$5:$A$204,C64)=0),"Function not defined",IF(COUNTIF(Ref_RISK!$A$2:$A$201,G64)=0,"RISK-ID not in W04",IF(AND(L64&lt;&gt;"",L64&lt;&gt;"None",COUNTIF(Ref_CTRL!$A$2:$A$201,L64)=0),"Mitigation not in W05 RCM","OK"))))))</f>
        <v/>
      </c>
    </row>
    <row r="65" customFormat="false" ht="15" hidden="false" customHeight="false" outlineLevel="0" collapsed="false">
      <c r="A65" s="15"/>
      <c r="B65" s="15"/>
      <c r="C65" s="15"/>
      <c r="D65" s="16" t="str">
        <f aca="false">IFERROR(INDEX(Functions!$B$5:$B$204,MATCH(B65,Functions!$A$5:$A$204,0)),"")</f>
        <v/>
      </c>
      <c r="E65" s="16" t="str">
        <f aca="false">IFERROR(INDEX(Functions!$B$5:$B$204,MATCH(C65,Functions!$A$5:$A$204,0)),"")</f>
        <v/>
      </c>
      <c r="F65" s="15"/>
      <c r="G65" s="15"/>
      <c r="H65" s="15"/>
      <c r="I65" s="15"/>
      <c r="J65" s="15"/>
      <c r="K65" s="15"/>
      <c r="L65" s="15"/>
      <c r="M65" s="15"/>
      <c r="N65" s="15"/>
      <c r="O65" s="16" t="str">
        <f aca="false">IF(A65="","",IF(OR(B65="",C65="",G65=""),"Functions and RISK-ID needed",IF(B65=C65,"Functions must differ",IF(OR(COUNTIF(Functions!$A$5:$A$204,B65)=0,COUNTIF(Functions!$A$5:$A$204,C65)=0),"Function not defined",IF(COUNTIF(Ref_RISK!$A$2:$A$201,G65)=0,"RISK-ID not in W04",IF(AND(L65&lt;&gt;"",L65&lt;&gt;"None",COUNTIF(Ref_CTRL!$A$2:$A$201,L65)=0),"Mitigation not in W05 RCM","OK"))))))</f>
        <v/>
      </c>
    </row>
    <row r="66" customFormat="false" ht="15" hidden="false" customHeight="false" outlineLevel="0" collapsed="false">
      <c r="A66" s="15"/>
      <c r="B66" s="15"/>
      <c r="C66" s="15"/>
      <c r="D66" s="16" t="str">
        <f aca="false">IFERROR(INDEX(Functions!$B$5:$B$204,MATCH(B66,Functions!$A$5:$A$204,0)),"")</f>
        <v/>
      </c>
      <c r="E66" s="16" t="str">
        <f aca="false">IFERROR(INDEX(Functions!$B$5:$B$204,MATCH(C66,Functions!$A$5:$A$204,0)),"")</f>
        <v/>
      </c>
      <c r="F66" s="15"/>
      <c r="G66" s="15"/>
      <c r="H66" s="15"/>
      <c r="I66" s="15"/>
      <c r="J66" s="15"/>
      <c r="K66" s="15"/>
      <c r="L66" s="15"/>
      <c r="M66" s="15"/>
      <c r="N66" s="15"/>
      <c r="O66" s="16" t="str">
        <f aca="false">IF(A66="","",IF(OR(B66="",C66="",G66=""),"Functions and RISK-ID needed",IF(B66=C66,"Functions must differ",IF(OR(COUNTIF(Functions!$A$5:$A$204,B66)=0,COUNTIF(Functions!$A$5:$A$204,C66)=0),"Function not defined",IF(COUNTIF(Ref_RISK!$A$2:$A$201,G66)=0,"RISK-ID not in W04",IF(AND(L66&lt;&gt;"",L66&lt;&gt;"None",COUNTIF(Ref_CTRL!$A$2:$A$201,L66)=0),"Mitigation not in W05 RCM","OK"))))))</f>
        <v/>
      </c>
    </row>
    <row r="67" customFormat="false" ht="15" hidden="false" customHeight="false" outlineLevel="0" collapsed="false">
      <c r="A67" s="15"/>
      <c r="B67" s="15"/>
      <c r="C67" s="15"/>
      <c r="D67" s="16" t="str">
        <f aca="false">IFERROR(INDEX(Functions!$B$5:$B$204,MATCH(B67,Functions!$A$5:$A$204,0)),"")</f>
        <v/>
      </c>
      <c r="E67" s="16" t="str">
        <f aca="false">IFERROR(INDEX(Functions!$B$5:$B$204,MATCH(C67,Functions!$A$5:$A$204,0)),"")</f>
        <v/>
      </c>
      <c r="F67" s="15"/>
      <c r="G67" s="15"/>
      <c r="H67" s="15"/>
      <c r="I67" s="15"/>
      <c r="J67" s="15"/>
      <c r="K67" s="15"/>
      <c r="L67" s="15"/>
      <c r="M67" s="15"/>
      <c r="N67" s="15"/>
      <c r="O67" s="16" t="str">
        <f aca="false">IF(A67="","",IF(OR(B67="",C67="",G67=""),"Functions and RISK-ID needed",IF(B67=C67,"Functions must differ",IF(OR(COUNTIF(Functions!$A$5:$A$204,B67)=0,COUNTIF(Functions!$A$5:$A$204,C67)=0),"Function not defined",IF(COUNTIF(Ref_RISK!$A$2:$A$201,G67)=0,"RISK-ID not in W04",IF(AND(L67&lt;&gt;"",L67&lt;&gt;"None",COUNTIF(Ref_CTRL!$A$2:$A$201,L67)=0),"Mitigation not in W05 RCM","OK"))))))</f>
        <v/>
      </c>
    </row>
    <row r="68" customFormat="false" ht="15" hidden="false" customHeight="false" outlineLevel="0" collapsed="false">
      <c r="A68" s="15"/>
      <c r="B68" s="15"/>
      <c r="C68" s="15"/>
      <c r="D68" s="16" t="str">
        <f aca="false">IFERROR(INDEX(Functions!$B$5:$B$204,MATCH(B68,Functions!$A$5:$A$204,0)),"")</f>
        <v/>
      </c>
      <c r="E68" s="16" t="str">
        <f aca="false">IFERROR(INDEX(Functions!$B$5:$B$204,MATCH(C68,Functions!$A$5:$A$204,0)),"")</f>
        <v/>
      </c>
      <c r="F68" s="15"/>
      <c r="G68" s="15"/>
      <c r="H68" s="15"/>
      <c r="I68" s="15"/>
      <c r="J68" s="15"/>
      <c r="K68" s="15"/>
      <c r="L68" s="15"/>
      <c r="M68" s="15"/>
      <c r="N68" s="15"/>
      <c r="O68" s="16" t="str">
        <f aca="false">IF(A68="","",IF(OR(B68="",C68="",G68=""),"Functions and RISK-ID needed",IF(B68=C68,"Functions must differ",IF(OR(COUNTIF(Functions!$A$5:$A$204,B68)=0,COUNTIF(Functions!$A$5:$A$204,C68)=0),"Function not defined",IF(COUNTIF(Ref_RISK!$A$2:$A$201,G68)=0,"RISK-ID not in W04",IF(AND(L68&lt;&gt;"",L68&lt;&gt;"None",COUNTIF(Ref_CTRL!$A$2:$A$201,L68)=0),"Mitigation not in W05 RCM","OK"))))))</f>
        <v/>
      </c>
    </row>
    <row r="69" customFormat="false" ht="15" hidden="false" customHeight="false" outlineLevel="0" collapsed="false">
      <c r="A69" s="15"/>
      <c r="B69" s="15"/>
      <c r="C69" s="15"/>
      <c r="D69" s="16" t="str">
        <f aca="false">IFERROR(INDEX(Functions!$B$5:$B$204,MATCH(B69,Functions!$A$5:$A$204,0)),"")</f>
        <v/>
      </c>
      <c r="E69" s="16" t="str">
        <f aca="false">IFERROR(INDEX(Functions!$B$5:$B$204,MATCH(C69,Functions!$A$5:$A$204,0)),"")</f>
        <v/>
      </c>
      <c r="F69" s="15"/>
      <c r="G69" s="15"/>
      <c r="H69" s="15"/>
      <c r="I69" s="15"/>
      <c r="J69" s="15"/>
      <c r="K69" s="15"/>
      <c r="L69" s="15"/>
      <c r="M69" s="15"/>
      <c r="N69" s="15"/>
      <c r="O69" s="16" t="str">
        <f aca="false">IF(A69="","",IF(OR(B69="",C69="",G69=""),"Functions and RISK-ID needed",IF(B69=C69,"Functions must differ",IF(OR(COUNTIF(Functions!$A$5:$A$204,B69)=0,COUNTIF(Functions!$A$5:$A$204,C69)=0),"Function not defined",IF(COUNTIF(Ref_RISK!$A$2:$A$201,G69)=0,"RISK-ID not in W04",IF(AND(L69&lt;&gt;"",L69&lt;&gt;"None",COUNTIF(Ref_CTRL!$A$2:$A$201,L69)=0),"Mitigation not in W05 RCM","OK"))))))</f>
        <v/>
      </c>
    </row>
    <row r="70" customFormat="false" ht="15" hidden="false" customHeight="false" outlineLevel="0" collapsed="false">
      <c r="A70" s="15"/>
      <c r="B70" s="15"/>
      <c r="C70" s="15"/>
      <c r="D70" s="16" t="str">
        <f aca="false">IFERROR(INDEX(Functions!$B$5:$B$204,MATCH(B70,Functions!$A$5:$A$204,0)),"")</f>
        <v/>
      </c>
      <c r="E70" s="16" t="str">
        <f aca="false">IFERROR(INDEX(Functions!$B$5:$B$204,MATCH(C70,Functions!$A$5:$A$204,0)),"")</f>
        <v/>
      </c>
      <c r="F70" s="15"/>
      <c r="G70" s="15"/>
      <c r="H70" s="15"/>
      <c r="I70" s="15"/>
      <c r="J70" s="15"/>
      <c r="K70" s="15"/>
      <c r="L70" s="15"/>
      <c r="M70" s="15"/>
      <c r="N70" s="15"/>
      <c r="O70" s="16" t="str">
        <f aca="false">IF(A70="","",IF(OR(B70="",C70="",G70=""),"Functions and RISK-ID needed",IF(B70=C70,"Functions must differ",IF(OR(COUNTIF(Functions!$A$5:$A$204,B70)=0,COUNTIF(Functions!$A$5:$A$204,C70)=0),"Function not defined",IF(COUNTIF(Ref_RISK!$A$2:$A$201,G70)=0,"RISK-ID not in W04",IF(AND(L70&lt;&gt;"",L70&lt;&gt;"None",COUNTIF(Ref_CTRL!$A$2:$A$201,L70)=0),"Mitigation not in W05 RCM","OK"))))))</f>
        <v/>
      </c>
    </row>
    <row r="71" customFormat="false" ht="15" hidden="false" customHeight="false" outlineLevel="0" collapsed="false">
      <c r="A71" s="15"/>
      <c r="B71" s="15"/>
      <c r="C71" s="15"/>
      <c r="D71" s="16" t="str">
        <f aca="false">IFERROR(INDEX(Functions!$B$5:$B$204,MATCH(B71,Functions!$A$5:$A$204,0)),"")</f>
        <v/>
      </c>
      <c r="E71" s="16" t="str">
        <f aca="false">IFERROR(INDEX(Functions!$B$5:$B$204,MATCH(C71,Functions!$A$5:$A$204,0)),"")</f>
        <v/>
      </c>
      <c r="F71" s="15"/>
      <c r="G71" s="15"/>
      <c r="H71" s="15"/>
      <c r="I71" s="15"/>
      <c r="J71" s="15"/>
      <c r="K71" s="15"/>
      <c r="L71" s="15"/>
      <c r="M71" s="15"/>
      <c r="N71" s="15"/>
      <c r="O71" s="16" t="str">
        <f aca="false">IF(A71="","",IF(OR(B71="",C71="",G71=""),"Functions and RISK-ID needed",IF(B71=C71,"Functions must differ",IF(OR(COUNTIF(Functions!$A$5:$A$204,B71)=0,COUNTIF(Functions!$A$5:$A$204,C71)=0),"Function not defined",IF(COUNTIF(Ref_RISK!$A$2:$A$201,G71)=0,"RISK-ID not in W04",IF(AND(L71&lt;&gt;"",L71&lt;&gt;"None",COUNTIF(Ref_CTRL!$A$2:$A$201,L71)=0),"Mitigation not in W05 RCM","OK"))))))</f>
        <v/>
      </c>
    </row>
    <row r="72" customFormat="false" ht="15" hidden="false" customHeight="false" outlineLevel="0" collapsed="false">
      <c r="A72" s="15"/>
      <c r="B72" s="15"/>
      <c r="C72" s="15"/>
      <c r="D72" s="16" t="str">
        <f aca="false">IFERROR(INDEX(Functions!$B$5:$B$204,MATCH(B72,Functions!$A$5:$A$204,0)),"")</f>
        <v/>
      </c>
      <c r="E72" s="16" t="str">
        <f aca="false">IFERROR(INDEX(Functions!$B$5:$B$204,MATCH(C72,Functions!$A$5:$A$204,0)),"")</f>
        <v/>
      </c>
      <c r="F72" s="15"/>
      <c r="G72" s="15"/>
      <c r="H72" s="15"/>
      <c r="I72" s="15"/>
      <c r="J72" s="15"/>
      <c r="K72" s="15"/>
      <c r="L72" s="15"/>
      <c r="M72" s="15"/>
      <c r="N72" s="15"/>
      <c r="O72" s="16" t="str">
        <f aca="false">IF(A72="","",IF(OR(B72="",C72="",G72=""),"Functions and RISK-ID needed",IF(B72=C72,"Functions must differ",IF(OR(COUNTIF(Functions!$A$5:$A$204,B72)=0,COUNTIF(Functions!$A$5:$A$204,C72)=0),"Function not defined",IF(COUNTIF(Ref_RISK!$A$2:$A$201,G72)=0,"RISK-ID not in W04",IF(AND(L72&lt;&gt;"",L72&lt;&gt;"None",COUNTIF(Ref_CTRL!$A$2:$A$201,L72)=0),"Mitigation not in W05 RCM","OK"))))))</f>
        <v/>
      </c>
    </row>
    <row r="73" customFormat="false" ht="15" hidden="false" customHeight="false" outlineLevel="0" collapsed="false">
      <c r="A73" s="15"/>
      <c r="B73" s="15"/>
      <c r="C73" s="15"/>
      <c r="D73" s="16" t="str">
        <f aca="false">IFERROR(INDEX(Functions!$B$5:$B$204,MATCH(B73,Functions!$A$5:$A$204,0)),"")</f>
        <v/>
      </c>
      <c r="E73" s="16" t="str">
        <f aca="false">IFERROR(INDEX(Functions!$B$5:$B$204,MATCH(C73,Functions!$A$5:$A$204,0)),"")</f>
        <v/>
      </c>
      <c r="F73" s="15"/>
      <c r="G73" s="15"/>
      <c r="H73" s="15"/>
      <c r="I73" s="15"/>
      <c r="J73" s="15"/>
      <c r="K73" s="15"/>
      <c r="L73" s="15"/>
      <c r="M73" s="15"/>
      <c r="N73" s="15"/>
      <c r="O73" s="16" t="str">
        <f aca="false">IF(A73="","",IF(OR(B73="",C73="",G73=""),"Functions and RISK-ID needed",IF(B73=C73,"Functions must differ",IF(OR(COUNTIF(Functions!$A$5:$A$204,B73)=0,COUNTIF(Functions!$A$5:$A$204,C73)=0),"Function not defined",IF(COUNTIF(Ref_RISK!$A$2:$A$201,G73)=0,"RISK-ID not in W04",IF(AND(L73&lt;&gt;"",L73&lt;&gt;"None",COUNTIF(Ref_CTRL!$A$2:$A$201,L73)=0),"Mitigation not in W05 RCM","OK"))))))</f>
        <v/>
      </c>
    </row>
    <row r="74" customFormat="false" ht="15" hidden="false" customHeight="false" outlineLevel="0" collapsed="false">
      <c r="A74" s="15"/>
      <c r="B74" s="15"/>
      <c r="C74" s="15"/>
      <c r="D74" s="16" t="str">
        <f aca="false">IFERROR(INDEX(Functions!$B$5:$B$204,MATCH(B74,Functions!$A$5:$A$204,0)),"")</f>
        <v/>
      </c>
      <c r="E74" s="16" t="str">
        <f aca="false">IFERROR(INDEX(Functions!$B$5:$B$204,MATCH(C74,Functions!$A$5:$A$204,0)),"")</f>
        <v/>
      </c>
      <c r="F74" s="15"/>
      <c r="G74" s="15"/>
      <c r="H74" s="15"/>
      <c r="I74" s="15"/>
      <c r="J74" s="15"/>
      <c r="K74" s="15"/>
      <c r="L74" s="15"/>
      <c r="M74" s="15"/>
      <c r="N74" s="15"/>
      <c r="O74" s="16" t="str">
        <f aca="false">IF(A74="","",IF(OR(B74="",C74="",G74=""),"Functions and RISK-ID needed",IF(B74=C74,"Functions must differ",IF(OR(COUNTIF(Functions!$A$5:$A$204,B74)=0,COUNTIF(Functions!$A$5:$A$204,C74)=0),"Function not defined",IF(COUNTIF(Ref_RISK!$A$2:$A$201,G74)=0,"RISK-ID not in W04",IF(AND(L74&lt;&gt;"",L74&lt;&gt;"None",COUNTIF(Ref_CTRL!$A$2:$A$201,L74)=0),"Mitigation not in W05 RCM","OK"))))))</f>
        <v/>
      </c>
    </row>
    <row r="75" customFormat="false" ht="15" hidden="false" customHeight="false" outlineLevel="0" collapsed="false">
      <c r="A75" s="15"/>
      <c r="B75" s="15"/>
      <c r="C75" s="15"/>
      <c r="D75" s="16" t="str">
        <f aca="false">IFERROR(INDEX(Functions!$B$5:$B$204,MATCH(B75,Functions!$A$5:$A$204,0)),"")</f>
        <v/>
      </c>
      <c r="E75" s="16" t="str">
        <f aca="false">IFERROR(INDEX(Functions!$B$5:$B$204,MATCH(C75,Functions!$A$5:$A$204,0)),"")</f>
        <v/>
      </c>
      <c r="F75" s="15"/>
      <c r="G75" s="15"/>
      <c r="H75" s="15"/>
      <c r="I75" s="15"/>
      <c r="J75" s="15"/>
      <c r="K75" s="15"/>
      <c r="L75" s="15"/>
      <c r="M75" s="15"/>
      <c r="N75" s="15"/>
      <c r="O75" s="16" t="str">
        <f aca="false">IF(A75="","",IF(OR(B75="",C75="",G75=""),"Functions and RISK-ID needed",IF(B75=C75,"Functions must differ",IF(OR(COUNTIF(Functions!$A$5:$A$204,B75)=0,COUNTIF(Functions!$A$5:$A$204,C75)=0),"Function not defined",IF(COUNTIF(Ref_RISK!$A$2:$A$201,G75)=0,"RISK-ID not in W04",IF(AND(L75&lt;&gt;"",L75&lt;&gt;"None",COUNTIF(Ref_CTRL!$A$2:$A$201,L75)=0),"Mitigation not in W05 RCM","OK"))))))</f>
        <v/>
      </c>
    </row>
    <row r="76" customFormat="false" ht="15" hidden="false" customHeight="false" outlineLevel="0" collapsed="false">
      <c r="A76" s="15"/>
      <c r="B76" s="15"/>
      <c r="C76" s="15"/>
      <c r="D76" s="16" t="str">
        <f aca="false">IFERROR(INDEX(Functions!$B$5:$B$204,MATCH(B76,Functions!$A$5:$A$204,0)),"")</f>
        <v/>
      </c>
      <c r="E76" s="16" t="str">
        <f aca="false">IFERROR(INDEX(Functions!$B$5:$B$204,MATCH(C76,Functions!$A$5:$A$204,0)),"")</f>
        <v/>
      </c>
      <c r="F76" s="15"/>
      <c r="G76" s="15"/>
      <c r="H76" s="15"/>
      <c r="I76" s="15"/>
      <c r="J76" s="15"/>
      <c r="K76" s="15"/>
      <c r="L76" s="15"/>
      <c r="M76" s="15"/>
      <c r="N76" s="15"/>
      <c r="O76" s="16" t="str">
        <f aca="false">IF(A76="","",IF(OR(B76="",C76="",G76=""),"Functions and RISK-ID needed",IF(B76=C76,"Functions must differ",IF(OR(COUNTIF(Functions!$A$5:$A$204,B76)=0,COUNTIF(Functions!$A$5:$A$204,C76)=0),"Function not defined",IF(COUNTIF(Ref_RISK!$A$2:$A$201,G76)=0,"RISK-ID not in W04",IF(AND(L76&lt;&gt;"",L76&lt;&gt;"None",COUNTIF(Ref_CTRL!$A$2:$A$201,L76)=0),"Mitigation not in W05 RCM","OK"))))))</f>
        <v/>
      </c>
    </row>
    <row r="77" customFormat="false" ht="15" hidden="false" customHeight="false" outlineLevel="0" collapsed="false">
      <c r="A77" s="15"/>
      <c r="B77" s="15"/>
      <c r="C77" s="15"/>
      <c r="D77" s="16" t="str">
        <f aca="false">IFERROR(INDEX(Functions!$B$5:$B$204,MATCH(B77,Functions!$A$5:$A$204,0)),"")</f>
        <v/>
      </c>
      <c r="E77" s="16" t="str">
        <f aca="false">IFERROR(INDEX(Functions!$B$5:$B$204,MATCH(C77,Functions!$A$5:$A$204,0)),"")</f>
        <v/>
      </c>
      <c r="F77" s="15"/>
      <c r="G77" s="15"/>
      <c r="H77" s="15"/>
      <c r="I77" s="15"/>
      <c r="J77" s="15"/>
      <c r="K77" s="15"/>
      <c r="L77" s="15"/>
      <c r="M77" s="15"/>
      <c r="N77" s="15"/>
      <c r="O77" s="16" t="str">
        <f aca="false">IF(A77="","",IF(OR(B77="",C77="",G77=""),"Functions and RISK-ID needed",IF(B77=C77,"Functions must differ",IF(OR(COUNTIF(Functions!$A$5:$A$204,B77)=0,COUNTIF(Functions!$A$5:$A$204,C77)=0),"Function not defined",IF(COUNTIF(Ref_RISK!$A$2:$A$201,G77)=0,"RISK-ID not in W04",IF(AND(L77&lt;&gt;"",L77&lt;&gt;"None",COUNTIF(Ref_CTRL!$A$2:$A$201,L77)=0),"Mitigation not in W05 RCM","OK"))))))</f>
        <v/>
      </c>
    </row>
    <row r="78" customFormat="false" ht="15" hidden="false" customHeight="false" outlineLevel="0" collapsed="false">
      <c r="A78" s="15"/>
      <c r="B78" s="15"/>
      <c r="C78" s="15"/>
      <c r="D78" s="16" t="str">
        <f aca="false">IFERROR(INDEX(Functions!$B$5:$B$204,MATCH(B78,Functions!$A$5:$A$204,0)),"")</f>
        <v/>
      </c>
      <c r="E78" s="16" t="str">
        <f aca="false">IFERROR(INDEX(Functions!$B$5:$B$204,MATCH(C78,Functions!$A$5:$A$204,0)),"")</f>
        <v/>
      </c>
      <c r="F78" s="15"/>
      <c r="G78" s="15"/>
      <c r="H78" s="15"/>
      <c r="I78" s="15"/>
      <c r="J78" s="15"/>
      <c r="K78" s="15"/>
      <c r="L78" s="15"/>
      <c r="M78" s="15"/>
      <c r="N78" s="15"/>
      <c r="O78" s="16" t="str">
        <f aca="false">IF(A78="","",IF(OR(B78="",C78="",G78=""),"Functions and RISK-ID needed",IF(B78=C78,"Functions must differ",IF(OR(COUNTIF(Functions!$A$5:$A$204,B78)=0,COUNTIF(Functions!$A$5:$A$204,C78)=0),"Function not defined",IF(COUNTIF(Ref_RISK!$A$2:$A$201,G78)=0,"RISK-ID not in W04",IF(AND(L78&lt;&gt;"",L78&lt;&gt;"None",COUNTIF(Ref_CTRL!$A$2:$A$201,L78)=0),"Mitigation not in W05 RCM","OK"))))))</f>
        <v/>
      </c>
    </row>
    <row r="79" customFormat="false" ht="15" hidden="false" customHeight="false" outlineLevel="0" collapsed="false">
      <c r="A79" s="15"/>
      <c r="B79" s="15"/>
      <c r="C79" s="15"/>
      <c r="D79" s="16" t="str">
        <f aca="false">IFERROR(INDEX(Functions!$B$5:$B$204,MATCH(B79,Functions!$A$5:$A$204,0)),"")</f>
        <v/>
      </c>
      <c r="E79" s="16" t="str">
        <f aca="false">IFERROR(INDEX(Functions!$B$5:$B$204,MATCH(C79,Functions!$A$5:$A$204,0)),"")</f>
        <v/>
      </c>
      <c r="F79" s="15"/>
      <c r="G79" s="15"/>
      <c r="H79" s="15"/>
      <c r="I79" s="15"/>
      <c r="J79" s="15"/>
      <c r="K79" s="15"/>
      <c r="L79" s="15"/>
      <c r="M79" s="15"/>
      <c r="N79" s="15"/>
      <c r="O79" s="16" t="str">
        <f aca="false">IF(A79="","",IF(OR(B79="",C79="",G79=""),"Functions and RISK-ID needed",IF(B79=C79,"Functions must differ",IF(OR(COUNTIF(Functions!$A$5:$A$204,B79)=0,COUNTIF(Functions!$A$5:$A$204,C79)=0),"Function not defined",IF(COUNTIF(Ref_RISK!$A$2:$A$201,G79)=0,"RISK-ID not in W04",IF(AND(L79&lt;&gt;"",L79&lt;&gt;"None",COUNTIF(Ref_CTRL!$A$2:$A$201,L79)=0),"Mitigation not in W05 RCM","OK"))))))</f>
        <v/>
      </c>
    </row>
    <row r="80" customFormat="false" ht="15" hidden="false" customHeight="false" outlineLevel="0" collapsed="false">
      <c r="A80" s="15"/>
      <c r="B80" s="15"/>
      <c r="C80" s="15"/>
      <c r="D80" s="16" t="str">
        <f aca="false">IFERROR(INDEX(Functions!$B$5:$B$204,MATCH(B80,Functions!$A$5:$A$204,0)),"")</f>
        <v/>
      </c>
      <c r="E80" s="16" t="str">
        <f aca="false">IFERROR(INDEX(Functions!$B$5:$B$204,MATCH(C80,Functions!$A$5:$A$204,0)),"")</f>
        <v/>
      </c>
      <c r="F80" s="15"/>
      <c r="G80" s="15"/>
      <c r="H80" s="15"/>
      <c r="I80" s="15"/>
      <c r="J80" s="15"/>
      <c r="K80" s="15"/>
      <c r="L80" s="15"/>
      <c r="M80" s="15"/>
      <c r="N80" s="15"/>
      <c r="O80" s="16" t="str">
        <f aca="false">IF(A80="","",IF(OR(B80="",C80="",G80=""),"Functions and RISK-ID needed",IF(B80=C80,"Functions must differ",IF(OR(COUNTIF(Functions!$A$5:$A$204,B80)=0,COUNTIF(Functions!$A$5:$A$204,C80)=0),"Function not defined",IF(COUNTIF(Ref_RISK!$A$2:$A$201,G80)=0,"RISK-ID not in W04",IF(AND(L80&lt;&gt;"",L80&lt;&gt;"None",COUNTIF(Ref_CTRL!$A$2:$A$201,L80)=0),"Mitigation not in W05 RCM","OK"))))))</f>
        <v/>
      </c>
    </row>
    <row r="81" customFormat="false" ht="15" hidden="false" customHeight="false" outlineLevel="0" collapsed="false">
      <c r="A81" s="15"/>
      <c r="B81" s="15"/>
      <c r="C81" s="15"/>
      <c r="D81" s="16" t="str">
        <f aca="false">IFERROR(INDEX(Functions!$B$5:$B$204,MATCH(B81,Functions!$A$5:$A$204,0)),"")</f>
        <v/>
      </c>
      <c r="E81" s="16" t="str">
        <f aca="false">IFERROR(INDEX(Functions!$B$5:$B$204,MATCH(C81,Functions!$A$5:$A$204,0)),"")</f>
        <v/>
      </c>
      <c r="F81" s="15"/>
      <c r="G81" s="15"/>
      <c r="H81" s="15"/>
      <c r="I81" s="15"/>
      <c r="J81" s="15"/>
      <c r="K81" s="15"/>
      <c r="L81" s="15"/>
      <c r="M81" s="15"/>
      <c r="N81" s="15"/>
      <c r="O81" s="16" t="str">
        <f aca="false">IF(A81="","",IF(OR(B81="",C81="",G81=""),"Functions and RISK-ID needed",IF(B81=C81,"Functions must differ",IF(OR(COUNTIF(Functions!$A$5:$A$204,B81)=0,COUNTIF(Functions!$A$5:$A$204,C81)=0),"Function not defined",IF(COUNTIF(Ref_RISK!$A$2:$A$201,G81)=0,"RISK-ID not in W04",IF(AND(L81&lt;&gt;"",L81&lt;&gt;"None",COUNTIF(Ref_CTRL!$A$2:$A$201,L81)=0),"Mitigation not in W05 RCM","OK"))))))</f>
        <v/>
      </c>
    </row>
    <row r="82" customFormat="false" ht="15" hidden="false" customHeight="false" outlineLevel="0" collapsed="false">
      <c r="A82" s="15"/>
      <c r="B82" s="15"/>
      <c r="C82" s="15"/>
      <c r="D82" s="16" t="str">
        <f aca="false">IFERROR(INDEX(Functions!$B$5:$B$204,MATCH(B82,Functions!$A$5:$A$204,0)),"")</f>
        <v/>
      </c>
      <c r="E82" s="16" t="str">
        <f aca="false">IFERROR(INDEX(Functions!$B$5:$B$204,MATCH(C82,Functions!$A$5:$A$204,0)),"")</f>
        <v/>
      </c>
      <c r="F82" s="15"/>
      <c r="G82" s="15"/>
      <c r="H82" s="15"/>
      <c r="I82" s="15"/>
      <c r="J82" s="15"/>
      <c r="K82" s="15"/>
      <c r="L82" s="15"/>
      <c r="M82" s="15"/>
      <c r="N82" s="15"/>
      <c r="O82" s="16" t="str">
        <f aca="false">IF(A82="","",IF(OR(B82="",C82="",G82=""),"Functions and RISK-ID needed",IF(B82=C82,"Functions must differ",IF(OR(COUNTIF(Functions!$A$5:$A$204,B82)=0,COUNTIF(Functions!$A$5:$A$204,C82)=0),"Function not defined",IF(COUNTIF(Ref_RISK!$A$2:$A$201,G82)=0,"RISK-ID not in W04",IF(AND(L82&lt;&gt;"",L82&lt;&gt;"None",COUNTIF(Ref_CTRL!$A$2:$A$201,L82)=0),"Mitigation not in W05 RCM","OK"))))))</f>
        <v/>
      </c>
    </row>
    <row r="83" customFormat="false" ht="15" hidden="false" customHeight="false" outlineLevel="0" collapsed="false">
      <c r="A83" s="15"/>
      <c r="B83" s="15"/>
      <c r="C83" s="15"/>
      <c r="D83" s="16" t="str">
        <f aca="false">IFERROR(INDEX(Functions!$B$5:$B$204,MATCH(B83,Functions!$A$5:$A$204,0)),"")</f>
        <v/>
      </c>
      <c r="E83" s="16" t="str">
        <f aca="false">IFERROR(INDEX(Functions!$B$5:$B$204,MATCH(C83,Functions!$A$5:$A$204,0)),"")</f>
        <v/>
      </c>
      <c r="F83" s="15"/>
      <c r="G83" s="15"/>
      <c r="H83" s="15"/>
      <c r="I83" s="15"/>
      <c r="J83" s="15"/>
      <c r="K83" s="15"/>
      <c r="L83" s="15"/>
      <c r="M83" s="15"/>
      <c r="N83" s="15"/>
      <c r="O83" s="16" t="str">
        <f aca="false">IF(A83="","",IF(OR(B83="",C83="",G83=""),"Functions and RISK-ID needed",IF(B83=C83,"Functions must differ",IF(OR(COUNTIF(Functions!$A$5:$A$204,B83)=0,COUNTIF(Functions!$A$5:$A$204,C83)=0),"Function not defined",IF(COUNTIF(Ref_RISK!$A$2:$A$201,G83)=0,"RISK-ID not in W04",IF(AND(L83&lt;&gt;"",L83&lt;&gt;"None",COUNTIF(Ref_CTRL!$A$2:$A$201,L83)=0),"Mitigation not in W05 RCM","OK"))))))</f>
        <v/>
      </c>
    </row>
    <row r="84" customFormat="false" ht="15" hidden="false" customHeight="false" outlineLevel="0" collapsed="false">
      <c r="A84" s="15"/>
      <c r="B84" s="15"/>
      <c r="C84" s="15"/>
      <c r="D84" s="16" t="str">
        <f aca="false">IFERROR(INDEX(Functions!$B$5:$B$204,MATCH(B84,Functions!$A$5:$A$204,0)),"")</f>
        <v/>
      </c>
      <c r="E84" s="16" t="str">
        <f aca="false">IFERROR(INDEX(Functions!$B$5:$B$204,MATCH(C84,Functions!$A$5:$A$204,0)),"")</f>
        <v/>
      </c>
      <c r="F84" s="15"/>
      <c r="G84" s="15"/>
      <c r="H84" s="15"/>
      <c r="I84" s="15"/>
      <c r="J84" s="15"/>
      <c r="K84" s="15"/>
      <c r="L84" s="15"/>
      <c r="M84" s="15"/>
      <c r="N84" s="15"/>
      <c r="O84" s="16" t="str">
        <f aca="false">IF(A84="","",IF(OR(B84="",C84="",G84=""),"Functions and RISK-ID needed",IF(B84=C84,"Functions must differ",IF(OR(COUNTIF(Functions!$A$5:$A$204,B84)=0,COUNTIF(Functions!$A$5:$A$204,C84)=0),"Function not defined",IF(COUNTIF(Ref_RISK!$A$2:$A$201,G84)=0,"RISK-ID not in W04",IF(AND(L84&lt;&gt;"",L84&lt;&gt;"None",COUNTIF(Ref_CTRL!$A$2:$A$201,L84)=0),"Mitigation not in W05 RCM","OK"))))))</f>
        <v/>
      </c>
    </row>
    <row r="85" customFormat="false" ht="15" hidden="false" customHeight="false" outlineLevel="0" collapsed="false">
      <c r="A85" s="15"/>
      <c r="B85" s="15"/>
      <c r="C85" s="15"/>
      <c r="D85" s="16" t="str">
        <f aca="false">IFERROR(INDEX(Functions!$B$5:$B$204,MATCH(B85,Functions!$A$5:$A$204,0)),"")</f>
        <v/>
      </c>
      <c r="E85" s="16" t="str">
        <f aca="false">IFERROR(INDEX(Functions!$B$5:$B$204,MATCH(C85,Functions!$A$5:$A$204,0)),"")</f>
        <v/>
      </c>
      <c r="F85" s="15"/>
      <c r="G85" s="15"/>
      <c r="H85" s="15"/>
      <c r="I85" s="15"/>
      <c r="J85" s="15"/>
      <c r="K85" s="15"/>
      <c r="L85" s="15"/>
      <c r="M85" s="15"/>
      <c r="N85" s="15"/>
      <c r="O85" s="16" t="str">
        <f aca="false">IF(A85="","",IF(OR(B85="",C85="",G85=""),"Functions and RISK-ID needed",IF(B85=C85,"Functions must differ",IF(OR(COUNTIF(Functions!$A$5:$A$204,B85)=0,COUNTIF(Functions!$A$5:$A$204,C85)=0),"Function not defined",IF(COUNTIF(Ref_RISK!$A$2:$A$201,G85)=0,"RISK-ID not in W04",IF(AND(L85&lt;&gt;"",L85&lt;&gt;"None",COUNTIF(Ref_CTRL!$A$2:$A$201,L85)=0),"Mitigation not in W05 RCM","OK"))))))</f>
        <v/>
      </c>
    </row>
    <row r="86" customFormat="false" ht="15" hidden="false" customHeight="false" outlineLevel="0" collapsed="false">
      <c r="A86" s="15"/>
      <c r="B86" s="15"/>
      <c r="C86" s="15"/>
      <c r="D86" s="16" t="str">
        <f aca="false">IFERROR(INDEX(Functions!$B$5:$B$204,MATCH(B86,Functions!$A$5:$A$204,0)),"")</f>
        <v/>
      </c>
      <c r="E86" s="16" t="str">
        <f aca="false">IFERROR(INDEX(Functions!$B$5:$B$204,MATCH(C86,Functions!$A$5:$A$204,0)),"")</f>
        <v/>
      </c>
      <c r="F86" s="15"/>
      <c r="G86" s="15"/>
      <c r="H86" s="15"/>
      <c r="I86" s="15"/>
      <c r="J86" s="15"/>
      <c r="K86" s="15"/>
      <c r="L86" s="15"/>
      <c r="M86" s="15"/>
      <c r="N86" s="15"/>
      <c r="O86" s="16" t="str">
        <f aca="false">IF(A86="","",IF(OR(B86="",C86="",G86=""),"Functions and RISK-ID needed",IF(B86=C86,"Functions must differ",IF(OR(COUNTIF(Functions!$A$5:$A$204,B86)=0,COUNTIF(Functions!$A$5:$A$204,C86)=0),"Function not defined",IF(COUNTIF(Ref_RISK!$A$2:$A$201,G86)=0,"RISK-ID not in W04",IF(AND(L86&lt;&gt;"",L86&lt;&gt;"None",COUNTIF(Ref_CTRL!$A$2:$A$201,L86)=0),"Mitigation not in W05 RCM","OK"))))))</f>
        <v/>
      </c>
    </row>
    <row r="87" customFormat="false" ht="15" hidden="false" customHeight="false" outlineLevel="0" collapsed="false">
      <c r="A87" s="15"/>
      <c r="B87" s="15"/>
      <c r="C87" s="15"/>
      <c r="D87" s="16" t="str">
        <f aca="false">IFERROR(INDEX(Functions!$B$5:$B$204,MATCH(B87,Functions!$A$5:$A$204,0)),"")</f>
        <v/>
      </c>
      <c r="E87" s="16" t="str">
        <f aca="false">IFERROR(INDEX(Functions!$B$5:$B$204,MATCH(C87,Functions!$A$5:$A$204,0)),"")</f>
        <v/>
      </c>
      <c r="F87" s="15"/>
      <c r="G87" s="15"/>
      <c r="H87" s="15"/>
      <c r="I87" s="15"/>
      <c r="J87" s="15"/>
      <c r="K87" s="15"/>
      <c r="L87" s="15"/>
      <c r="M87" s="15"/>
      <c r="N87" s="15"/>
      <c r="O87" s="16" t="str">
        <f aca="false">IF(A87="","",IF(OR(B87="",C87="",G87=""),"Functions and RISK-ID needed",IF(B87=C87,"Functions must differ",IF(OR(COUNTIF(Functions!$A$5:$A$204,B87)=0,COUNTIF(Functions!$A$5:$A$204,C87)=0),"Function not defined",IF(COUNTIF(Ref_RISK!$A$2:$A$201,G87)=0,"RISK-ID not in W04",IF(AND(L87&lt;&gt;"",L87&lt;&gt;"None",COUNTIF(Ref_CTRL!$A$2:$A$201,L87)=0),"Mitigation not in W05 RCM","OK"))))))</f>
        <v/>
      </c>
    </row>
    <row r="88" customFormat="false" ht="15" hidden="false" customHeight="false" outlineLevel="0" collapsed="false">
      <c r="A88" s="15"/>
      <c r="B88" s="15"/>
      <c r="C88" s="15"/>
      <c r="D88" s="16" t="str">
        <f aca="false">IFERROR(INDEX(Functions!$B$5:$B$204,MATCH(B88,Functions!$A$5:$A$204,0)),"")</f>
        <v/>
      </c>
      <c r="E88" s="16" t="str">
        <f aca="false">IFERROR(INDEX(Functions!$B$5:$B$204,MATCH(C88,Functions!$A$5:$A$204,0)),"")</f>
        <v/>
      </c>
      <c r="F88" s="15"/>
      <c r="G88" s="15"/>
      <c r="H88" s="15"/>
      <c r="I88" s="15"/>
      <c r="J88" s="15"/>
      <c r="K88" s="15"/>
      <c r="L88" s="15"/>
      <c r="M88" s="15"/>
      <c r="N88" s="15"/>
      <c r="O88" s="16" t="str">
        <f aca="false">IF(A88="","",IF(OR(B88="",C88="",G88=""),"Functions and RISK-ID needed",IF(B88=C88,"Functions must differ",IF(OR(COUNTIF(Functions!$A$5:$A$204,B88)=0,COUNTIF(Functions!$A$5:$A$204,C88)=0),"Function not defined",IF(COUNTIF(Ref_RISK!$A$2:$A$201,G88)=0,"RISK-ID not in W04",IF(AND(L88&lt;&gt;"",L88&lt;&gt;"None",COUNTIF(Ref_CTRL!$A$2:$A$201,L88)=0),"Mitigation not in W05 RCM","OK"))))))</f>
        <v/>
      </c>
    </row>
    <row r="89" customFormat="false" ht="15" hidden="false" customHeight="false" outlineLevel="0" collapsed="false">
      <c r="A89" s="15"/>
      <c r="B89" s="15"/>
      <c r="C89" s="15"/>
      <c r="D89" s="16" t="str">
        <f aca="false">IFERROR(INDEX(Functions!$B$5:$B$204,MATCH(B89,Functions!$A$5:$A$204,0)),"")</f>
        <v/>
      </c>
      <c r="E89" s="16" t="str">
        <f aca="false">IFERROR(INDEX(Functions!$B$5:$B$204,MATCH(C89,Functions!$A$5:$A$204,0)),"")</f>
        <v/>
      </c>
      <c r="F89" s="15"/>
      <c r="G89" s="15"/>
      <c r="H89" s="15"/>
      <c r="I89" s="15"/>
      <c r="J89" s="15"/>
      <c r="K89" s="15"/>
      <c r="L89" s="15"/>
      <c r="M89" s="15"/>
      <c r="N89" s="15"/>
      <c r="O89" s="16" t="str">
        <f aca="false">IF(A89="","",IF(OR(B89="",C89="",G89=""),"Functions and RISK-ID needed",IF(B89=C89,"Functions must differ",IF(OR(COUNTIF(Functions!$A$5:$A$204,B89)=0,COUNTIF(Functions!$A$5:$A$204,C89)=0),"Function not defined",IF(COUNTIF(Ref_RISK!$A$2:$A$201,G89)=0,"RISK-ID not in W04",IF(AND(L89&lt;&gt;"",L89&lt;&gt;"None",COUNTIF(Ref_CTRL!$A$2:$A$201,L89)=0),"Mitigation not in W05 RCM","OK"))))))</f>
        <v/>
      </c>
    </row>
    <row r="90" customFormat="false" ht="15" hidden="false" customHeight="false" outlineLevel="0" collapsed="false">
      <c r="A90" s="15"/>
      <c r="B90" s="15"/>
      <c r="C90" s="15"/>
      <c r="D90" s="16" t="str">
        <f aca="false">IFERROR(INDEX(Functions!$B$5:$B$204,MATCH(B90,Functions!$A$5:$A$204,0)),"")</f>
        <v/>
      </c>
      <c r="E90" s="16" t="str">
        <f aca="false">IFERROR(INDEX(Functions!$B$5:$B$204,MATCH(C90,Functions!$A$5:$A$204,0)),"")</f>
        <v/>
      </c>
      <c r="F90" s="15"/>
      <c r="G90" s="15"/>
      <c r="H90" s="15"/>
      <c r="I90" s="15"/>
      <c r="J90" s="15"/>
      <c r="K90" s="15"/>
      <c r="L90" s="15"/>
      <c r="M90" s="15"/>
      <c r="N90" s="15"/>
      <c r="O90" s="16" t="str">
        <f aca="false">IF(A90="","",IF(OR(B90="",C90="",G90=""),"Functions and RISK-ID needed",IF(B90=C90,"Functions must differ",IF(OR(COUNTIF(Functions!$A$5:$A$204,B90)=0,COUNTIF(Functions!$A$5:$A$204,C90)=0),"Function not defined",IF(COUNTIF(Ref_RISK!$A$2:$A$201,G90)=0,"RISK-ID not in W04",IF(AND(L90&lt;&gt;"",L90&lt;&gt;"None",COUNTIF(Ref_CTRL!$A$2:$A$201,L90)=0),"Mitigation not in W05 RCM","OK"))))))</f>
        <v/>
      </c>
    </row>
    <row r="91" customFormat="false" ht="15" hidden="false" customHeight="false" outlineLevel="0" collapsed="false">
      <c r="A91" s="15"/>
      <c r="B91" s="15"/>
      <c r="C91" s="15"/>
      <c r="D91" s="16" t="str">
        <f aca="false">IFERROR(INDEX(Functions!$B$5:$B$204,MATCH(B91,Functions!$A$5:$A$204,0)),"")</f>
        <v/>
      </c>
      <c r="E91" s="16" t="str">
        <f aca="false">IFERROR(INDEX(Functions!$B$5:$B$204,MATCH(C91,Functions!$A$5:$A$204,0)),"")</f>
        <v/>
      </c>
      <c r="F91" s="15"/>
      <c r="G91" s="15"/>
      <c r="H91" s="15"/>
      <c r="I91" s="15"/>
      <c r="J91" s="15"/>
      <c r="K91" s="15"/>
      <c r="L91" s="15"/>
      <c r="M91" s="15"/>
      <c r="N91" s="15"/>
      <c r="O91" s="16" t="str">
        <f aca="false">IF(A91="","",IF(OR(B91="",C91="",G91=""),"Functions and RISK-ID needed",IF(B91=C91,"Functions must differ",IF(OR(COUNTIF(Functions!$A$5:$A$204,B91)=0,COUNTIF(Functions!$A$5:$A$204,C91)=0),"Function not defined",IF(COUNTIF(Ref_RISK!$A$2:$A$201,G91)=0,"RISK-ID not in W04",IF(AND(L91&lt;&gt;"",L91&lt;&gt;"None",COUNTIF(Ref_CTRL!$A$2:$A$201,L91)=0),"Mitigation not in W05 RCM","OK"))))))</f>
        <v/>
      </c>
    </row>
    <row r="92" customFormat="false" ht="15" hidden="false" customHeight="false" outlineLevel="0" collapsed="false">
      <c r="A92" s="15"/>
      <c r="B92" s="15"/>
      <c r="C92" s="15"/>
      <c r="D92" s="16" t="str">
        <f aca="false">IFERROR(INDEX(Functions!$B$5:$B$204,MATCH(B92,Functions!$A$5:$A$204,0)),"")</f>
        <v/>
      </c>
      <c r="E92" s="16" t="str">
        <f aca="false">IFERROR(INDEX(Functions!$B$5:$B$204,MATCH(C92,Functions!$A$5:$A$204,0)),"")</f>
        <v/>
      </c>
      <c r="F92" s="15"/>
      <c r="G92" s="15"/>
      <c r="H92" s="15"/>
      <c r="I92" s="15"/>
      <c r="J92" s="15"/>
      <c r="K92" s="15"/>
      <c r="L92" s="15"/>
      <c r="M92" s="15"/>
      <c r="N92" s="15"/>
      <c r="O92" s="16" t="str">
        <f aca="false">IF(A92="","",IF(OR(B92="",C92="",G92=""),"Functions and RISK-ID needed",IF(B92=C92,"Functions must differ",IF(OR(COUNTIF(Functions!$A$5:$A$204,B92)=0,COUNTIF(Functions!$A$5:$A$204,C92)=0),"Function not defined",IF(COUNTIF(Ref_RISK!$A$2:$A$201,G92)=0,"RISK-ID not in W04",IF(AND(L92&lt;&gt;"",L92&lt;&gt;"None",COUNTIF(Ref_CTRL!$A$2:$A$201,L92)=0),"Mitigation not in W05 RCM","OK"))))))</f>
        <v/>
      </c>
    </row>
    <row r="93" customFormat="false" ht="15" hidden="false" customHeight="false" outlineLevel="0" collapsed="false">
      <c r="A93" s="15"/>
      <c r="B93" s="15"/>
      <c r="C93" s="15"/>
      <c r="D93" s="16" t="str">
        <f aca="false">IFERROR(INDEX(Functions!$B$5:$B$204,MATCH(B93,Functions!$A$5:$A$204,0)),"")</f>
        <v/>
      </c>
      <c r="E93" s="16" t="str">
        <f aca="false">IFERROR(INDEX(Functions!$B$5:$B$204,MATCH(C93,Functions!$A$5:$A$204,0)),"")</f>
        <v/>
      </c>
      <c r="F93" s="15"/>
      <c r="G93" s="15"/>
      <c r="H93" s="15"/>
      <c r="I93" s="15"/>
      <c r="J93" s="15"/>
      <c r="K93" s="15"/>
      <c r="L93" s="15"/>
      <c r="M93" s="15"/>
      <c r="N93" s="15"/>
      <c r="O93" s="16" t="str">
        <f aca="false">IF(A93="","",IF(OR(B93="",C93="",G93=""),"Functions and RISK-ID needed",IF(B93=C93,"Functions must differ",IF(OR(COUNTIF(Functions!$A$5:$A$204,B93)=0,COUNTIF(Functions!$A$5:$A$204,C93)=0),"Function not defined",IF(COUNTIF(Ref_RISK!$A$2:$A$201,G93)=0,"RISK-ID not in W04",IF(AND(L93&lt;&gt;"",L93&lt;&gt;"None",COUNTIF(Ref_CTRL!$A$2:$A$201,L93)=0),"Mitigation not in W05 RCM","OK"))))))</f>
        <v/>
      </c>
    </row>
    <row r="94" customFormat="false" ht="15" hidden="false" customHeight="false" outlineLevel="0" collapsed="false">
      <c r="A94" s="15"/>
      <c r="B94" s="15"/>
      <c r="C94" s="15"/>
      <c r="D94" s="16" t="str">
        <f aca="false">IFERROR(INDEX(Functions!$B$5:$B$204,MATCH(B94,Functions!$A$5:$A$204,0)),"")</f>
        <v/>
      </c>
      <c r="E94" s="16" t="str">
        <f aca="false">IFERROR(INDEX(Functions!$B$5:$B$204,MATCH(C94,Functions!$A$5:$A$204,0)),"")</f>
        <v/>
      </c>
      <c r="F94" s="15"/>
      <c r="G94" s="15"/>
      <c r="H94" s="15"/>
      <c r="I94" s="15"/>
      <c r="J94" s="15"/>
      <c r="K94" s="15"/>
      <c r="L94" s="15"/>
      <c r="M94" s="15"/>
      <c r="N94" s="15"/>
      <c r="O94" s="16" t="str">
        <f aca="false">IF(A94="","",IF(OR(B94="",C94="",G94=""),"Functions and RISK-ID needed",IF(B94=C94,"Functions must differ",IF(OR(COUNTIF(Functions!$A$5:$A$204,B94)=0,COUNTIF(Functions!$A$5:$A$204,C94)=0),"Function not defined",IF(COUNTIF(Ref_RISK!$A$2:$A$201,G94)=0,"RISK-ID not in W04",IF(AND(L94&lt;&gt;"",L94&lt;&gt;"None",COUNTIF(Ref_CTRL!$A$2:$A$201,L94)=0),"Mitigation not in W05 RCM","OK"))))))</f>
        <v/>
      </c>
    </row>
    <row r="95" customFormat="false" ht="15" hidden="false" customHeight="false" outlineLevel="0" collapsed="false">
      <c r="A95" s="15"/>
      <c r="B95" s="15"/>
      <c r="C95" s="15"/>
      <c r="D95" s="16" t="str">
        <f aca="false">IFERROR(INDEX(Functions!$B$5:$B$204,MATCH(B95,Functions!$A$5:$A$204,0)),"")</f>
        <v/>
      </c>
      <c r="E95" s="16" t="str">
        <f aca="false">IFERROR(INDEX(Functions!$B$5:$B$204,MATCH(C95,Functions!$A$5:$A$204,0)),"")</f>
        <v/>
      </c>
      <c r="F95" s="15"/>
      <c r="G95" s="15"/>
      <c r="H95" s="15"/>
      <c r="I95" s="15"/>
      <c r="J95" s="15"/>
      <c r="K95" s="15"/>
      <c r="L95" s="15"/>
      <c r="M95" s="15"/>
      <c r="N95" s="15"/>
      <c r="O95" s="16" t="str">
        <f aca="false">IF(A95="","",IF(OR(B95="",C95="",G95=""),"Functions and RISK-ID needed",IF(B95=C95,"Functions must differ",IF(OR(COUNTIF(Functions!$A$5:$A$204,B95)=0,COUNTIF(Functions!$A$5:$A$204,C95)=0),"Function not defined",IF(COUNTIF(Ref_RISK!$A$2:$A$201,G95)=0,"RISK-ID not in W04",IF(AND(L95&lt;&gt;"",L95&lt;&gt;"None",COUNTIF(Ref_CTRL!$A$2:$A$201,L95)=0),"Mitigation not in W05 RCM","OK"))))))</f>
        <v/>
      </c>
    </row>
    <row r="96" customFormat="false" ht="15" hidden="false" customHeight="false" outlineLevel="0" collapsed="false">
      <c r="A96" s="15"/>
      <c r="B96" s="15"/>
      <c r="C96" s="15"/>
      <c r="D96" s="16" t="str">
        <f aca="false">IFERROR(INDEX(Functions!$B$5:$B$204,MATCH(B96,Functions!$A$5:$A$204,0)),"")</f>
        <v/>
      </c>
      <c r="E96" s="16" t="str">
        <f aca="false">IFERROR(INDEX(Functions!$B$5:$B$204,MATCH(C96,Functions!$A$5:$A$204,0)),"")</f>
        <v/>
      </c>
      <c r="F96" s="15"/>
      <c r="G96" s="15"/>
      <c r="H96" s="15"/>
      <c r="I96" s="15"/>
      <c r="J96" s="15"/>
      <c r="K96" s="15"/>
      <c r="L96" s="15"/>
      <c r="M96" s="15"/>
      <c r="N96" s="15"/>
      <c r="O96" s="16" t="str">
        <f aca="false">IF(A96="","",IF(OR(B96="",C96="",G96=""),"Functions and RISK-ID needed",IF(B96=C96,"Functions must differ",IF(OR(COUNTIF(Functions!$A$5:$A$204,B96)=0,COUNTIF(Functions!$A$5:$A$204,C96)=0),"Function not defined",IF(COUNTIF(Ref_RISK!$A$2:$A$201,G96)=0,"RISK-ID not in W04",IF(AND(L96&lt;&gt;"",L96&lt;&gt;"None",COUNTIF(Ref_CTRL!$A$2:$A$201,L96)=0),"Mitigation not in W05 RCM","OK"))))))</f>
        <v/>
      </c>
    </row>
    <row r="97" customFormat="false" ht="15" hidden="false" customHeight="false" outlineLevel="0" collapsed="false">
      <c r="A97" s="15"/>
      <c r="B97" s="15"/>
      <c r="C97" s="15"/>
      <c r="D97" s="16" t="str">
        <f aca="false">IFERROR(INDEX(Functions!$B$5:$B$204,MATCH(B97,Functions!$A$5:$A$204,0)),"")</f>
        <v/>
      </c>
      <c r="E97" s="16" t="str">
        <f aca="false">IFERROR(INDEX(Functions!$B$5:$B$204,MATCH(C97,Functions!$A$5:$A$204,0)),"")</f>
        <v/>
      </c>
      <c r="F97" s="15"/>
      <c r="G97" s="15"/>
      <c r="H97" s="15"/>
      <c r="I97" s="15"/>
      <c r="J97" s="15"/>
      <c r="K97" s="15"/>
      <c r="L97" s="15"/>
      <c r="M97" s="15"/>
      <c r="N97" s="15"/>
      <c r="O97" s="16" t="str">
        <f aca="false">IF(A97="","",IF(OR(B97="",C97="",G97=""),"Functions and RISK-ID needed",IF(B97=C97,"Functions must differ",IF(OR(COUNTIF(Functions!$A$5:$A$204,B97)=0,COUNTIF(Functions!$A$5:$A$204,C97)=0),"Function not defined",IF(COUNTIF(Ref_RISK!$A$2:$A$201,G97)=0,"RISK-ID not in W04",IF(AND(L97&lt;&gt;"",L97&lt;&gt;"None",COUNTIF(Ref_CTRL!$A$2:$A$201,L97)=0),"Mitigation not in W05 RCM","OK"))))))</f>
        <v/>
      </c>
    </row>
    <row r="98" customFormat="false" ht="15" hidden="false" customHeight="false" outlineLevel="0" collapsed="false">
      <c r="A98" s="15"/>
      <c r="B98" s="15"/>
      <c r="C98" s="15"/>
      <c r="D98" s="16" t="str">
        <f aca="false">IFERROR(INDEX(Functions!$B$5:$B$204,MATCH(B98,Functions!$A$5:$A$204,0)),"")</f>
        <v/>
      </c>
      <c r="E98" s="16" t="str">
        <f aca="false">IFERROR(INDEX(Functions!$B$5:$B$204,MATCH(C98,Functions!$A$5:$A$204,0)),"")</f>
        <v/>
      </c>
      <c r="F98" s="15"/>
      <c r="G98" s="15"/>
      <c r="H98" s="15"/>
      <c r="I98" s="15"/>
      <c r="J98" s="15"/>
      <c r="K98" s="15"/>
      <c r="L98" s="15"/>
      <c r="M98" s="15"/>
      <c r="N98" s="15"/>
      <c r="O98" s="16" t="str">
        <f aca="false">IF(A98="","",IF(OR(B98="",C98="",G98=""),"Functions and RISK-ID needed",IF(B98=C98,"Functions must differ",IF(OR(COUNTIF(Functions!$A$5:$A$204,B98)=0,COUNTIF(Functions!$A$5:$A$204,C98)=0),"Function not defined",IF(COUNTIF(Ref_RISK!$A$2:$A$201,G98)=0,"RISK-ID not in W04",IF(AND(L98&lt;&gt;"",L98&lt;&gt;"None",COUNTIF(Ref_CTRL!$A$2:$A$201,L98)=0),"Mitigation not in W05 RCM","OK"))))))</f>
        <v/>
      </c>
    </row>
    <row r="99" customFormat="false" ht="15" hidden="false" customHeight="false" outlineLevel="0" collapsed="false">
      <c r="A99" s="15"/>
      <c r="B99" s="15"/>
      <c r="C99" s="15"/>
      <c r="D99" s="16" t="str">
        <f aca="false">IFERROR(INDEX(Functions!$B$5:$B$204,MATCH(B99,Functions!$A$5:$A$204,0)),"")</f>
        <v/>
      </c>
      <c r="E99" s="16" t="str">
        <f aca="false">IFERROR(INDEX(Functions!$B$5:$B$204,MATCH(C99,Functions!$A$5:$A$204,0)),"")</f>
        <v/>
      </c>
      <c r="F99" s="15"/>
      <c r="G99" s="15"/>
      <c r="H99" s="15"/>
      <c r="I99" s="15"/>
      <c r="J99" s="15"/>
      <c r="K99" s="15"/>
      <c r="L99" s="15"/>
      <c r="M99" s="15"/>
      <c r="N99" s="15"/>
      <c r="O99" s="16" t="str">
        <f aca="false">IF(A99="","",IF(OR(B99="",C99="",G99=""),"Functions and RISK-ID needed",IF(B99=C99,"Functions must differ",IF(OR(COUNTIF(Functions!$A$5:$A$204,B99)=0,COUNTIF(Functions!$A$5:$A$204,C99)=0),"Function not defined",IF(COUNTIF(Ref_RISK!$A$2:$A$201,G99)=0,"RISK-ID not in W04",IF(AND(L99&lt;&gt;"",L99&lt;&gt;"None",COUNTIF(Ref_CTRL!$A$2:$A$201,L99)=0),"Mitigation not in W05 RCM","OK"))))))</f>
        <v/>
      </c>
    </row>
    <row r="100" customFormat="false" ht="15" hidden="false" customHeight="false" outlineLevel="0" collapsed="false">
      <c r="A100" s="15"/>
      <c r="B100" s="15"/>
      <c r="C100" s="15"/>
      <c r="D100" s="16" t="str">
        <f aca="false">IFERROR(INDEX(Functions!$B$5:$B$204,MATCH(B100,Functions!$A$5:$A$204,0)),"")</f>
        <v/>
      </c>
      <c r="E100" s="16" t="str">
        <f aca="false">IFERROR(INDEX(Functions!$B$5:$B$204,MATCH(C100,Functions!$A$5:$A$204,0)),"")</f>
        <v/>
      </c>
      <c r="F100" s="15"/>
      <c r="G100" s="15"/>
      <c r="H100" s="15"/>
      <c r="I100" s="15"/>
      <c r="J100" s="15"/>
      <c r="K100" s="15"/>
      <c r="L100" s="15"/>
      <c r="M100" s="15"/>
      <c r="N100" s="15"/>
      <c r="O100" s="16" t="str">
        <f aca="false">IF(A100="","",IF(OR(B100="",C100="",G100=""),"Functions and RISK-ID needed",IF(B100=C100,"Functions must differ",IF(OR(COUNTIF(Functions!$A$5:$A$204,B100)=0,COUNTIF(Functions!$A$5:$A$204,C100)=0),"Function not defined",IF(COUNTIF(Ref_RISK!$A$2:$A$201,G100)=0,"RISK-ID not in W04",IF(AND(L100&lt;&gt;"",L100&lt;&gt;"None",COUNTIF(Ref_CTRL!$A$2:$A$201,L100)=0),"Mitigation not in W05 RCM","OK"))))))</f>
        <v/>
      </c>
    </row>
    <row r="101" customFormat="false" ht="15" hidden="false" customHeight="false" outlineLevel="0" collapsed="false">
      <c r="A101" s="15"/>
      <c r="B101" s="15"/>
      <c r="C101" s="15"/>
      <c r="D101" s="16" t="str">
        <f aca="false">IFERROR(INDEX(Functions!$B$5:$B$204,MATCH(B101,Functions!$A$5:$A$204,0)),"")</f>
        <v/>
      </c>
      <c r="E101" s="16" t="str">
        <f aca="false">IFERROR(INDEX(Functions!$B$5:$B$204,MATCH(C101,Functions!$A$5:$A$204,0)),"")</f>
        <v/>
      </c>
      <c r="F101" s="15"/>
      <c r="G101" s="15"/>
      <c r="H101" s="15"/>
      <c r="I101" s="15"/>
      <c r="J101" s="15"/>
      <c r="K101" s="15"/>
      <c r="L101" s="15"/>
      <c r="M101" s="15"/>
      <c r="N101" s="15"/>
      <c r="O101" s="16" t="str">
        <f aca="false">IF(A101="","",IF(OR(B101="",C101="",G101=""),"Functions and RISK-ID needed",IF(B101=C101,"Functions must differ",IF(OR(COUNTIF(Functions!$A$5:$A$204,B101)=0,COUNTIF(Functions!$A$5:$A$204,C101)=0),"Function not defined",IF(COUNTIF(Ref_RISK!$A$2:$A$201,G101)=0,"RISK-ID not in W04",IF(AND(L101&lt;&gt;"",L101&lt;&gt;"None",COUNTIF(Ref_CTRL!$A$2:$A$201,L101)=0),"Mitigation not in W05 RCM","OK"))))))</f>
        <v/>
      </c>
    </row>
    <row r="102" customFormat="false" ht="15" hidden="false" customHeight="false" outlineLevel="0" collapsed="false">
      <c r="A102" s="15"/>
      <c r="B102" s="15"/>
      <c r="C102" s="15"/>
      <c r="D102" s="16" t="str">
        <f aca="false">IFERROR(INDEX(Functions!$B$5:$B$204,MATCH(B102,Functions!$A$5:$A$204,0)),"")</f>
        <v/>
      </c>
      <c r="E102" s="16" t="str">
        <f aca="false">IFERROR(INDEX(Functions!$B$5:$B$204,MATCH(C102,Functions!$A$5:$A$204,0)),"")</f>
        <v/>
      </c>
      <c r="F102" s="15"/>
      <c r="G102" s="15"/>
      <c r="H102" s="15"/>
      <c r="I102" s="15"/>
      <c r="J102" s="15"/>
      <c r="K102" s="15"/>
      <c r="L102" s="15"/>
      <c r="M102" s="15"/>
      <c r="N102" s="15"/>
      <c r="O102" s="16" t="str">
        <f aca="false">IF(A102="","",IF(OR(B102="",C102="",G102=""),"Functions and RISK-ID needed",IF(B102=C102,"Functions must differ",IF(OR(COUNTIF(Functions!$A$5:$A$204,B102)=0,COUNTIF(Functions!$A$5:$A$204,C102)=0),"Function not defined",IF(COUNTIF(Ref_RISK!$A$2:$A$201,G102)=0,"RISK-ID not in W04",IF(AND(L102&lt;&gt;"",L102&lt;&gt;"None",COUNTIF(Ref_CTRL!$A$2:$A$201,L102)=0),"Mitigation not in W05 RCM","OK"))))))</f>
        <v/>
      </c>
    </row>
    <row r="103" customFormat="false" ht="15" hidden="false" customHeight="false" outlineLevel="0" collapsed="false">
      <c r="A103" s="15"/>
      <c r="B103" s="15"/>
      <c r="C103" s="15"/>
      <c r="D103" s="16" t="str">
        <f aca="false">IFERROR(INDEX(Functions!$B$5:$B$204,MATCH(B103,Functions!$A$5:$A$204,0)),"")</f>
        <v/>
      </c>
      <c r="E103" s="16" t="str">
        <f aca="false">IFERROR(INDEX(Functions!$B$5:$B$204,MATCH(C103,Functions!$A$5:$A$204,0)),"")</f>
        <v/>
      </c>
      <c r="F103" s="15"/>
      <c r="G103" s="15"/>
      <c r="H103" s="15"/>
      <c r="I103" s="15"/>
      <c r="J103" s="15"/>
      <c r="K103" s="15"/>
      <c r="L103" s="15"/>
      <c r="M103" s="15"/>
      <c r="N103" s="15"/>
      <c r="O103" s="16" t="str">
        <f aca="false">IF(A103="","",IF(OR(B103="",C103="",G103=""),"Functions and RISK-ID needed",IF(B103=C103,"Functions must differ",IF(OR(COUNTIF(Functions!$A$5:$A$204,B103)=0,COUNTIF(Functions!$A$5:$A$204,C103)=0),"Function not defined",IF(COUNTIF(Ref_RISK!$A$2:$A$201,G103)=0,"RISK-ID not in W04",IF(AND(L103&lt;&gt;"",L103&lt;&gt;"None",COUNTIF(Ref_CTRL!$A$2:$A$201,L103)=0),"Mitigation not in W05 RCM","OK"))))))</f>
        <v/>
      </c>
    </row>
    <row r="104" customFormat="false" ht="15" hidden="false" customHeight="false" outlineLevel="0" collapsed="false">
      <c r="A104" s="15"/>
      <c r="B104" s="15"/>
      <c r="C104" s="15"/>
      <c r="D104" s="16" t="str">
        <f aca="false">IFERROR(INDEX(Functions!$B$5:$B$204,MATCH(B104,Functions!$A$5:$A$204,0)),"")</f>
        <v/>
      </c>
      <c r="E104" s="16" t="str">
        <f aca="false">IFERROR(INDEX(Functions!$B$5:$B$204,MATCH(C104,Functions!$A$5:$A$204,0)),"")</f>
        <v/>
      </c>
      <c r="F104" s="15"/>
      <c r="G104" s="15"/>
      <c r="H104" s="15"/>
      <c r="I104" s="15"/>
      <c r="J104" s="15"/>
      <c r="K104" s="15"/>
      <c r="L104" s="15"/>
      <c r="M104" s="15"/>
      <c r="N104" s="15"/>
      <c r="O104" s="16" t="str">
        <f aca="false">IF(A104="","",IF(OR(B104="",C104="",G104=""),"Functions and RISK-ID needed",IF(B104=C104,"Functions must differ",IF(OR(COUNTIF(Functions!$A$5:$A$204,B104)=0,COUNTIF(Functions!$A$5:$A$204,C104)=0),"Function not defined",IF(COUNTIF(Ref_RISK!$A$2:$A$201,G104)=0,"RISK-ID not in W04",IF(AND(L104&lt;&gt;"",L104&lt;&gt;"None",COUNTIF(Ref_CTRL!$A$2:$A$201,L104)=0),"Mitigation not in W05 RCM","OK"))))))</f>
        <v/>
      </c>
    </row>
    <row r="105" customFormat="false" ht="15" hidden="false" customHeight="false" outlineLevel="0" collapsed="false">
      <c r="A105" s="15"/>
      <c r="B105" s="15"/>
      <c r="C105" s="15"/>
      <c r="D105" s="16" t="str">
        <f aca="false">IFERROR(INDEX(Functions!$B$5:$B$204,MATCH(B105,Functions!$A$5:$A$204,0)),"")</f>
        <v/>
      </c>
      <c r="E105" s="16" t="str">
        <f aca="false">IFERROR(INDEX(Functions!$B$5:$B$204,MATCH(C105,Functions!$A$5:$A$204,0)),"")</f>
        <v/>
      </c>
      <c r="F105" s="15"/>
      <c r="G105" s="15"/>
      <c r="H105" s="15"/>
      <c r="I105" s="15"/>
      <c r="J105" s="15"/>
      <c r="K105" s="15"/>
      <c r="L105" s="15"/>
      <c r="M105" s="15"/>
      <c r="N105" s="15"/>
      <c r="O105" s="16" t="str">
        <f aca="false">IF(A105="","",IF(OR(B105="",C105="",G105=""),"Functions and RISK-ID needed",IF(B105=C105,"Functions must differ",IF(OR(COUNTIF(Functions!$A$5:$A$204,B105)=0,COUNTIF(Functions!$A$5:$A$204,C105)=0),"Function not defined",IF(COUNTIF(Ref_RISK!$A$2:$A$201,G105)=0,"RISK-ID not in W04",IF(AND(L105&lt;&gt;"",L105&lt;&gt;"None",COUNTIF(Ref_CTRL!$A$2:$A$201,L105)=0),"Mitigation not in W05 RCM","OK"))))))</f>
        <v/>
      </c>
    </row>
    <row r="106" customFormat="false" ht="15" hidden="false" customHeight="false" outlineLevel="0" collapsed="false">
      <c r="A106" s="15"/>
      <c r="B106" s="15"/>
      <c r="C106" s="15"/>
      <c r="D106" s="16" t="str">
        <f aca="false">IFERROR(INDEX(Functions!$B$5:$B$204,MATCH(B106,Functions!$A$5:$A$204,0)),"")</f>
        <v/>
      </c>
      <c r="E106" s="16" t="str">
        <f aca="false">IFERROR(INDEX(Functions!$B$5:$B$204,MATCH(C106,Functions!$A$5:$A$204,0)),"")</f>
        <v/>
      </c>
      <c r="F106" s="15"/>
      <c r="G106" s="15"/>
      <c r="H106" s="15"/>
      <c r="I106" s="15"/>
      <c r="J106" s="15"/>
      <c r="K106" s="15"/>
      <c r="L106" s="15"/>
      <c r="M106" s="15"/>
      <c r="N106" s="15"/>
      <c r="O106" s="16" t="str">
        <f aca="false">IF(A106="","",IF(OR(B106="",C106="",G106=""),"Functions and RISK-ID needed",IF(B106=C106,"Functions must differ",IF(OR(COUNTIF(Functions!$A$5:$A$204,B106)=0,COUNTIF(Functions!$A$5:$A$204,C106)=0),"Function not defined",IF(COUNTIF(Ref_RISK!$A$2:$A$201,G106)=0,"RISK-ID not in W04",IF(AND(L106&lt;&gt;"",L106&lt;&gt;"None",COUNTIF(Ref_CTRL!$A$2:$A$201,L106)=0),"Mitigation not in W05 RCM","OK"))))))</f>
        <v/>
      </c>
    </row>
    <row r="107" customFormat="false" ht="15" hidden="false" customHeight="false" outlineLevel="0" collapsed="false">
      <c r="A107" s="15"/>
      <c r="B107" s="15"/>
      <c r="C107" s="15"/>
      <c r="D107" s="16" t="str">
        <f aca="false">IFERROR(INDEX(Functions!$B$5:$B$204,MATCH(B107,Functions!$A$5:$A$204,0)),"")</f>
        <v/>
      </c>
      <c r="E107" s="16" t="str">
        <f aca="false">IFERROR(INDEX(Functions!$B$5:$B$204,MATCH(C107,Functions!$A$5:$A$204,0)),"")</f>
        <v/>
      </c>
      <c r="F107" s="15"/>
      <c r="G107" s="15"/>
      <c r="H107" s="15"/>
      <c r="I107" s="15"/>
      <c r="J107" s="15"/>
      <c r="K107" s="15"/>
      <c r="L107" s="15"/>
      <c r="M107" s="15"/>
      <c r="N107" s="15"/>
      <c r="O107" s="16" t="str">
        <f aca="false">IF(A107="","",IF(OR(B107="",C107="",G107=""),"Functions and RISK-ID needed",IF(B107=C107,"Functions must differ",IF(OR(COUNTIF(Functions!$A$5:$A$204,B107)=0,COUNTIF(Functions!$A$5:$A$204,C107)=0),"Function not defined",IF(COUNTIF(Ref_RISK!$A$2:$A$201,G107)=0,"RISK-ID not in W04",IF(AND(L107&lt;&gt;"",L107&lt;&gt;"None",COUNTIF(Ref_CTRL!$A$2:$A$201,L107)=0),"Mitigation not in W05 RCM","OK"))))))</f>
        <v/>
      </c>
    </row>
    <row r="108" customFormat="false" ht="15" hidden="false" customHeight="false" outlineLevel="0" collapsed="false">
      <c r="A108" s="15"/>
      <c r="B108" s="15"/>
      <c r="C108" s="15"/>
      <c r="D108" s="16" t="str">
        <f aca="false">IFERROR(INDEX(Functions!$B$5:$B$204,MATCH(B108,Functions!$A$5:$A$204,0)),"")</f>
        <v/>
      </c>
      <c r="E108" s="16" t="str">
        <f aca="false">IFERROR(INDEX(Functions!$B$5:$B$204,MATCH(C108,Functions!$A$5:$A$204,0)),"")</f>
        <v/>
      </c>
      <c r="F108" s="15"/>
      <c r="G108" s="15"/>
      <c r="H108" s="15"/>
      <c r="I108" s="15"/>
      <c r="J108" s="15"/>
      <c r="K108" s="15"/>
      <c r="L108" s="15"/>
      <c r="M108" s="15"/>
      <c r="N108" s="15"/>
      <c r="O108" s="16" t="str">
        <f aca="false">IF(A108="","",IF(OR(B108="",C108="",G108=""),"Functions and RISK-ID needed",IF(B108=C108,"Functions must differ",IF(OR(COUNTIF(Functions!$A$5:$A$204,B108)=0,COUNTIF(Functions!$A$5:$A$204,C108)=0),"Function not defined",IF(COUNTIF(Ref_RISK!$A$2:$A$201,G108)=0,"RISK-ID not in W04",IF(AND(L108&lt;&gt;"",L108&lt;&gt;"None",COUNTIF(Ref_CTRL!$A$2:$A$201,L108)=0),"Mitigation not in W05 RCM","OK"))))))</f>
        <v/>
      </c>
    </row>
    <row r="109" customFormat="false" ht="15" hidden="false" customHeight="false" outlineLevel="0" collapsed="false">
      <c r="A109" s="15"/>
      <c r="B109" s="15"/>
      <c r="C109" s="15"/>
      <c r="D109" s="16" t="str">
        <f aca="false">IFERROR(INDEX(Functions!$B$5:$B$204,MATCH(B109,Functions!$A$5:$A$204,0)),"")</f>
        <v/>
      </c>
      <c r="E109" s="16" t="str">
        <f aca="false">IFERROR(INDEX(Functions!$B$5:$B$204,MATCH(C109,Functions!$A$5:$A$204,0)),"")</f>
        <v/>
      </c>
      <c r="F109" s="15"/>
      <c r="G109" s="15"/>
      <c r="H109" s="15"/>
      <c r="I109" s="15"/>
      <c r="J109" s="15"/>
      <c r="K109" s="15"/>
      <c r="L109" s="15"/>
      <c r="M109" s="15"/>
      <c r="N109" s="15"/>
      <c r="O109" s="16" t="str">
        <f aca="false">IF(A109="","",IF(OR(B109="",C109="",G109=""),"Functions and RISK-ID needed",IF(B109=C109,"Functions must differ",IF(OR(COUNTIF(Functions!$A$5:$A$204,B109)=0,COUNTIF(Functions!$A$5:$A$204,C109)=0),"Function not defined",IF(COUNTIF(Ref_RISK!$A$2:$A$201,G109)=0,"RISK-ID not in W04",IF(AND(L109&lt;&gt;"",L109&lt;&gt;"None",COUNTIF(Ref_CTRL!$A$2:$A$201,L109)=0),"Mitigation not in W05 RCM","OK"))))))</f>
        <v/>
      </c>
    </row>
    <row r="110" customFormat="false" ht="15" hidden="false" customHeight="false" outlineLevel="0" collapsed="false">
      <c r="A110" s="15"/>
      <c r="B110" s="15"/>
      <c r="C110" s="15"/>
      <c r="D110" s="16" t="str">
        <f aca="false">IFERROR(INDEX(Functions!$B$5:$B$204,MATCH(B110,Functions!$A$5:$A$204,0)),"")</f>
        <v/>
      </c>
      <c r="E110" s="16" t="str">
        <f aca="false">IFERROR(INDEX(Functions!$B$5:$B$204,MATCH(C110,Functions!$A$5:$A$204,0)),"")</f>
        <v/>
      </c>
      <c r="F110" s="15"/>
      <c r="G110" s="15"/>
      <c r="H110" s="15"/>
      <c r="I110" s="15"/>
      <c r="J110" s="15"/>
      <c r="K110" s="15"/>
      <c r="L110" s="15"/>
      <c r="M110" s="15"/>
      <c r="N110" s="15"/>
      <c r="O110" s="16" t="str">
        <f aca="false">IF(A110="","",IF(OR(B110="",C110="",G110=""),"Functions and RISK-ID needed",IF(B110=C110,"Functions must differ",IF(OR(COUNTIF(Functions!$A$5:$A$204,B110)=0,COUNTIF(Functions!$A$5:$A$204,C110)=0),"Function not defined",IF(COUNTIF(Ref_RISK!$A$2:$A$201,G110)=0,"RISK-ID not in W04",IF(AND(L110&lt;&gt;"",L110&lt;&gt;"None",COUNTIF(Ref_CTRL!$A$2:$A$201,L110)=0),"Mitigation not in W05 RCM","OK"))))))</f>
        <v/>
      </c>
    </row>
    <row r="111" customFormat="false" ht="15" hidden="false" customHeight="false" outlineLevel="0" collapsed="false">
      <c r="A111" s="15"/>
      <c r="B111" s="15"/>
      <c r="C111" s="15"/>
      <c r="D111" s="16" t="str">
        <f aca="false">IFERROR(INDEX(Functions!$B$5:$B$204,MATCH(B111,Functions!$A$5:$A$204,0)),"")</f>
        <v/>
      </c>
      <c r="E111" s="16" t="str">
        <f aca="false">IFERROR(INDEX(Functions!$B$5:$B$204,MATCH(C111,Functions!$A$5:$A$204,0)),"")</f>
        <v/>
      </c>
      <c r="F111" s="15"/>
      <c r="G111" s="15"/>
      <c r="H111" s="15"/>
      <c r="I111" s="15"/>
      <c r="J111" s="15"/>
      <c r="K111" s="15"/>
      <c r="L111" s="15"/>
      <c r="M111" s="15"/>
      <c r="N111" s="15"/>
      <c r="O111" s="16" t="str">
        <f aca="false">IF(A111="","",IF(OR(B111="",C111="",G111=""),"Functions and RISK-ID needed",IF(B111=C111,"Functions must differ",IF(OR(COUNTIF(Functions!$A$5:$A$204,B111)=0,COUNTIF(Functions!$A$5:$A$204,C111)=0),"Function not defined",IF(COUNTIF(Ref_RISK!$A$2:$A$201,G111)=0,"RISK-ID not in W04",IF(AND(L111&lt;&gt;"",L111&lt;&gt;"None",COUNTIF(Ref_CTRL!$A$2:$A$201,L111)=0),"Mitigation not in W05 RCM","OK"))))))</f>
        <v/>
      </c>
    </row>
    <row r="112" customFormat="false" ht="15" hidden="false" customHeight="false" outlineLevel="0" collapsed="false">
      <c r="A112" s="15"/>
      <c r="B112" s="15"/>
      <c r="C112" s="15"/>
      <c r="D112" s="16" t="str">
        <f aca="false">IFERROR(INDEX(Functions!$B$5:$B$204,MATCH(B112,Functions!$A$5:$A$204,0)),"")</f>
        <v/>
      </c>
      <c r="E112" s="16" t="str">
        <f aca="false">IFERROR(INDEX(Functions!$B$5:$B$204,MATCH(C112,Functions!$A$5:$A$204,0)),"")</f>
        <v/>
      </c>
      <c r="F112" s="15"/>
      <c r="G112" s="15"/>
      <c r="H112" s="15"/>
      <c r="I112" s="15"/>
      <c r="J112" s="15"/>
      <c r="K112" s="15"/>
      <c r="L112" s="15"/>
      <c r="M112" s="15"/>
      <c r="N112" s="15"/>
      <c r="O112" s="16" t="str">
        <f aca="false">IF(A112="","",IF(OR(B112="",C112="",G112=""),"Functions and RISK-ID needed",IF(B112=C112,"Functions must differ",IF(OR(COUNTIF(Functions!$A$5:$A$204,B112)=0,COUNTIF(Functions!$A$5:$A$204,C112)=0),"Function not defined",IF(COUNTIF(Ref_RISK!$A$2:$A$201,G112)=0,"RISK-ID not in W04",IF(AND(L112&lt;&gt;"",L112&lt;&gt;"None",COUNTIF(Ref_CTRL!$A$2:$A$201,L112)=0),"Mitigation not in W05 RCM","OK"))))))</f>
        <v/>
      </c>
    </row>
    <row r="113" customFormat="false" ht="15" hidden="false" customHeight="false" outlineLevel="0" collapsed="false">
      <c r="A113" s="15"/>
      <c r="B113" s="15"/>
      <c r="C113" s="15"/>
      <c r="D113" s="16" t="str">
        <f aca="false">IFERROR(INDEX(Functions!$B$5:$B$204,MATCH(B113,Functions!$A$5:$A$204,0)),"")</f>
        <v/>
      </c>
      <c r="E113" s="16" t="str">
        <f aca="false">IFERROR(INDEX(Functions!$B$5:$B$204,MATCH(C113,Functions!$A$5:$A$204,0)),"")</f>
        <v/>
      </c>
      <c r="F113" s="15"/>
      <c r="G113" s="15"/>
      <c r="H113" s="15"/>
      <c r="I113" s="15"/>
      <c r="J113" s="15"/>
      <c r="K113" s="15"/>
      <c r="L113" s="15"/>
      <c r="M113" s="15"/>
      <c r="N113" s="15"/>
      <c r="O113" s="16" t="str">
        <f aca="false">IF(A113="","",IF(OR(B113="",C113="",G113=""),"Functions and RISK-ID needed",IF(B113=C113,"Functions must differ",IF(OR(COUNTIF(Functions!$A$5:$A$204,B113)=0,COUNTIF(Functions!$A$5:$A$204,C113)=0),"Function not defined",IF(COUNTIF(Ref_RISK!$A$2:$A$201,G113)=0,"RISK-ID not in W04",IF(AND(L113&lt;&gt;"",L113&lt;&gt;"None",COUNTIF(Ref_CTRL!$A$2:$A$201,L113)=0),"Mitigation not in W05 RCM","OK"))))))</f>
        <v/>
      </c>
    </row>
    <row r="114" customFormat="false" ht="15" hidden="false" customHeight="false" outlineLevel="0" collapsed="false">
      <c r="A114" s="15"/>
      <c r="B114" s="15"/>
      <c r="C114" s="15"/>
      <c r="D114" s="16" t="str">
        <f aca="false">IFERROR(INDEX(Functions!$B$5:$B$204,MATCH(B114,Functions!$A$5:$A$204,0)),"")</f>
        <v/>
      </c>
      <c r="E114" s="16" t="str">
        <f aca="false">IFERROR(INDEX(Functions!$B$5:$B$204,MATCH(C114,Functions!$A$5:$A$204,0)),"")</f>
        <v/>
      </c>
      <c r="F114" s="15"/>
      <c r="G114" s="15"/>
      <c r="H114" s="15"/>
      <c r="I114" s="15"/>
      <c r="J114" s="15"/>
      <c r="K114" s="15"/>
      <c r="L114" s="15"/>
      <c r="M114" s="15"/>
      <c r="N114" s="15"/>
      <c r="O114" s="16" t="str">
        <f aca="false">IF(A114="","",IF(OR(B114="",C114="",G114=""),"Functions and RISK-ID needed",IF(B114=C114,"Functions must differ",IF(OR(COUNTIF(Functions!$A$5:$A$204,B114)=0,COUNTIF(Functions!$A$5:$A$204,C114)=0),"Function not defined",IF(COUNTIF(Ref_RISK!$A$2:$A$201,G114)=0,"RISK-ID not in W04",IF(AND(L114&lt;&gt;"",L114&lt;&gt;"None",COUNTIF(Ref_CTRL!$A$2:$A$201,L114)=0),"Mitigation not in W05 RCM","OK"))))))</f>
        <v/>
      </c>
    </row>
    <row r="115" customFormat="false" ht="15" hidden="false" customHeight="false" outlineLevel="0" collapsed="false">
      <c r="A115" s="15"/>
      <c r="B115" s="15"/>
      <c r="C115" s="15"/>
      <c r="D115" s="16" t="str">
        <f aca="false">IFERROR(INDEX(Functions!$B$5:$B$204,MATCH(B115,Functions!$A$5:$A$204,0)),"")</f>
        <v/>
      </c>
      <c r="E115" s="16" t="str">
        <f aca="false">IFERROR(INDEX(Functions!$B$5:$B$204,MATCH(C115,Functions!$A$5:$A$204,0)),"")</f>
        <v/>
      </c>
      <c r="F115" s="15"/>
      <c r="G115" s="15"/>
      <c r="H115" s="15"/>
      <c r="I115" s="15"/>
      <c r="J115" s="15"/>
      <c r="K115" s="15"/>
      <c r="L115" s="15"/>
      <c r="M115" s="15"/>
      <c r="N115" s="15"/>
      <c r="O115" s="16" t="str">
        <f aca="false">IF(A115="","",IF(OR(B115="",C115="",G115=""),"Functions and RISK-ID needed",IF(B115=C115,"Functions must differ",IF(OR(COUNTIF(Functions!$A$5:$A$204,B115)=0,COUNTIF(Functions!$A$5:$A$204,C115)=0),"Function not defined",IF(COUNTIF(Ref_RISK!$A$2:$A$201,G115)=0,"RISK-ID not in W04",IF(AND(L115&lt;&gt;"",L115&lt;&gt;"None",COUNTIF(Ref_CTRL!$A$2:$A$201,L115)=0),"Mitigation not in W05 RCM","OK"))))))</f>
        <v/>
      </c>
    </row>
    <row r="116" customFormat="false" ht="15" hidden="false" customHeight="false" outlineLevel="0" collapsed="false">
      <c r="A116" s="15"/>
      <c r="B116" s="15"/>
      <c r="C116" s="15"/>
      <c r="D116" s="16" t="str">
        <f aca="false">IFERROR(INDEX(Functions!$B$5:$B$204,MATCH(B116,Functions!$A$5:$A$204,0)),"")</f>
        <v/>
      </c>
      <c r="E116" s="16" t="str">
        <f aca="false">IFERROR(INDEX(Functions!$B$5:$B$204,MATCH(C116,Functions!$A$5:$A$204,0)),"")</f>
        <v/>
      </c>
      <c r="F116" s="15"/>
      <c r="G116" s="15"/>
      <c r="H116" s="15"/>
      <c r="I116" s="15"/>
      <c r="J116" s="15"/>
      <c r="K116" s="15"/>
      <c r="L116" s="15"/>
      <c r="M116" s="15"/>
      <c r="N116" s="15"/>
      <c r="O116" s="16" t="str">
        <f aca="false">IF(A116="","",IF(OR(B116="",C116="",G116=""),"Functions and RISK-ID needed",IF(B116=C116,"Functions must differ",IF(OR(COUNTIF(Functions!$A$5:$A$204,B116)=0,COUNTIF(Functions!$A$5:$A$204,C116)=0),"Function not defined",IF(COUNTIF(Ref_RISK!$A$2:$A$201,G116)=0,"RISK-ID not in W04",IF(AND(L116&lt;&gt;"",L116&lt;&gt;"None",COUNTIF(Ref_CTRL!$A$2:$A$201,L116)=0),"Mitigation not in W05 RCM","OK"))))))</f>
        <v/>
      </c>
    </row>
    <row r="117" customFormat="false" ht="15" hidden="false" customHeight="false" outlineLevel="0" collapsed="false">
      <c r="A117" s="15"/>
      <c r="B117" s="15"/>
      <c r="C117" s="15"/>
      <c r="D117" s="16" t="str">
        <f aca="false">IFERROR(INDEX(Functions!$B$5:$B$204,MATCH(B117,Functions!$A$5:$A$204,0)),"")</f>
        <v/>
      </c>
      <c r="E117" s="16" t="str">
        <f aca="false">IFERROR(INDEX(Functions!$B$5:$B$204,MATCH(C117,Functions!$A$5:$A$204,0)),"")</f>
        <v/>
      </c>
      <c r="F117" s="15"/>
      <c r="G117" s="15"/>
      <c r="H117" s="15"/>
      <c r="I117" s="15"/>
      <c r="J117" s="15"/>
      <c r="K117" s="15"/>
      <c r="L117" s="15"/>
      <c r="M117" s="15"/>
      <c r="N117" s="15"/>
      <c r="O117" s="16" t="str">
        <f aca="false">IF(A117="","",IF(OR(B117="",C117="",G117=""),"Functions and RISK-ID needed",IF(B117=C117,"Functions must differ",IF(OR(COUNTIF(Functions!$A$5:$A$204,B117)=0,COUNTIF(Functions!$A$5:$A$204,C117)=0),"Function not defined",IF(COUNTIF(Ref_RISK!$A$2:$A$201,G117)=0,"RISK-ID not in W04",IF(AND(L117&lt;&gt;"",L117&lt;&gt;"None",COUNTIF(Ref_CTRL!$A$2:$A$201,L117)=0),"Mitigation not in W05 RCM","OK"))))))</f>
        <v/>
      </c>
    </row>
    <row r="118" customFormat="false" ht="15" hidden="false" customHeight="false" outlineLevel="0" collapsed="false">
      <c r="A118" s="15"/>
      <c r="B118" s="15"/>
      <c r="C118" s="15"/>
      <c r="D118" s="16" t="str">
        <f aca="false">IFERROR(INDEX(Functions!$B$5:$B$204,MATCH(B118,Functions!$A$5:$A$204,0)),"")</f>
        <v/>
      </c>
      <c r="E118" s="16" t="str">
        <f aca="false">IFERROR(INDEX(Functions!$B$5:$B$204,MATCH(C118,Functions!$A$5:$A$204,0)),"")</f>
        <v/>
      </c>
      <c r="F118" s="15"/>
      <c r="G118" s="15"/>
      <c r="H118" s="15"/>
      <c r="I118" s="15"/>
      <c r="J118" s="15"/>
      <c r="K118" s="15"/>
      <c r="L118" s="15"/>
      <c r="M118" s="15"/>
      <c r="N118" s="15"/>
      <c r="O118" s="16" t="str">
        <f aca="false">IF(A118="","",IF(OR(B118="",C118="",G118=""),"Functions and RISK-ID needed",IF(B118=C118,"Functions must differ",IF(OR(COUNTIF(Functions!$A$5:$A$204,B118)=0,COUNTIF(Functions!$A$5:$A$204,C118)=0),"Function not defined",IF(COUNTIF(Ref_RISK!$A$2:$A$201,G118)=0,"RISK-ID not in W04",IF(AND(L118&lt;&gt;"",L118&lt;&gt;"None",COUNTIF(Ref_CTRL!$A$2:$A$201,L118)=0),"Mitigation not in W05 RCM","OK"))))))</f>
        <v/>
      </c>
    </row>
    <row r="119" customFormat="false" ht="15" hidden="false" customHeight="false" outlineLevel="0" collapsed="false">
      <c r="A119" s="15"/>
      <c r="B119" s="15"/>
      <c r="C119" s="15"/>
      <c r="D119" s="16" t="str">
        <f aca="false">IFERROR(INDEX(Functions!$B$5:$B$204,MATCH(B119,Functions!$A$5:$A$204,0)),"")</f>
        <v/>
      </c>
      <c r="E119" s="16" t="str">
        <f aca="false">IFERROR(INDEX(Functions!$B$5:$B$204,MATCH(C119,Functions!$A$5:$A$204,0)),"")</f>
        <v/>
      </c>
      <c r="F119" s="15"/>
      <c r="G119" s="15"/>
      <c r="H119" s="15"/>
      <c r="I119" s="15"/>
      <c r="J119" s="15"/>
      <c r="K119" s="15"/>
      <c r="L119" s="15"/>
      <c r="M119" s="15"/>
      <c r="N119" s="15"/>
      <c r="O119" s="16" t="str">
        <f aca="false">IF(A119="","",IF(OR(B119="",C119="",G119=""),"Functions and RISK-ID needed",IF(B119=C119,"Functions must differ",IF(OR(COUNTIF(Functions!$A$5:$A$204,B119)=0,COUNTIF(Functions!$A$5:$A$204,C119)=0),"Function not defined",IF(COUNTIF(Ref_RISK!$A$2:$A$201,G119)=0,"RISK-ID not in W04",IF(AND(L119&lt;&gt;"",L119&lt;&gt;"None",COUNTIF(Ref_CTRL!$A$2:$A$201,L119)=0),"Mitigation not in W05 RCM","OK"))))))</f>
        <v/>
      </c>
    </row>
    <row r="120" customFormat="false" ht="15" hidden="false" customHeight="false" outlineLevel="0" collapsed="false">
      <c r="A120" s="15"/>
      <c r="B120" s="15"/>
      <c r="C120" s="15"/>
      <c r="D120" s="16" t="str">
        <f aca="false">IFERROR(INDEX(Functions!$B$5:$B$204,MATCH(B120,Functions!$A$5:$A$204,0)),"")</f>
        <v/>
      </c>
      <c r="E120" s="16" t="str">
        <f aca="false">IFERROR(INDEX(Functions!$B$5:$B$204,MATCH(C120,Functions!$A$5:$A$204,0)),"")</f>
        <v/>
      </c>
      <c r="F120" s="15"/>
      <c r="G120" s="15"/>
      <c r="H120" s="15"/>
      <c r="I120" s="15"/>
      <c r="J120" s="15"/>
      <c r="K120" s="15"/>
      <c r="L120" s="15"/>
      <c r="M120" s="15"/>
      <c r="N120" s="15"/>
      <c r="O120" s="16" t="str">
        <f aca="false">IF(A120="","",IF(OR(B120="",C120="",G120=""),"Functions and RISK-ID needed",IF(B120=C120,"Functions must differ",IF(OR(COUNTIF(Functions!$A$5:$A$204,B120)=0,COUNTIF(Functions!$A$5:$A$204,C120)=0),"Function not defined",IF(COUNTIF(Ref_RISK!$A$2:$A$201,G120)=0,"RISK-ID not in W04",IF(AND(L120&lt;&gt;"",L120&lt;&gt;"None",COUNTIF(Ref_CTRL!$A$2:$A$201,L120)=0),"Mitigation not in W05 RCM","OK"))))))</f>
        <v/>
      </c>
    </row>
    <row r="121" customFormat="false" ht="15" hidden="false" customHeight="false" outlineLevel="0" collapsed="false">
      <c r="A121" s="15"/>
      <c r="B121" s="15"/>
      <c r="C121" s="15"/>
      <c r="D121" s="16" t="str">
        <f aca="false">IFERROR(INDEX(Functions!$B$5:$B$204,MATCH(B121,Functions!$A$5:$A$204,0)),"")</f>
        <v/>
      </c>
      <c r="E121" s="16" t="str">
        <f aca="false">IFERROR(INDEX(Functions!$B$5:$B$204,MATCH(C121,Functions!$A$5:$A$204,0)),"")</f>
        <v/>
      </c>
      <c r="F121" s="15"/>
      <c r="G121" s="15"/>
      <c r="H121" s="15"/>
      <c r="I121" s="15"/>
      <c r="J121" s="15"/>
      <c r="K121" s="15"/>
      <c r="L121" s="15"/>
      <c r="M121" s="15"/>
      <c r="N121" s="15"/>
      <c r="O121" s="16" t="str">
        <f aca="false">IF(A121="","",IF(OR(B121="",C121="",G121=""),"Functions and RISK-ID needed",IF(B121=C121,"Functions must differ",IF(OR(COUNTIF(Functions!$A$5:$A$204,B121)=0,COUNTIF(Functions!$A$5:$A$204,C121)=0),"Function not defined",IF(COUNTIF(Ref_RISK!$A$2:$A$201,G121)=0,"RISK-ID not in W04",IF(AND(L121&lt;&gt;"",L121&lt;&gt;"None",COUNTIF(Ref_CTRL!$A$2:$A$201,L121)=0),"Mitigation not in W05 RCM","OK"))))))</f>
        <v/>
      </c>
    </row>
    <row r="122" customFormat="false" ht="15" hidden="false" customHeight="false" outlineLevel="0" collapsed="false">
      <c r="A122" s="15"/>
      <c r="B122" s="15"/>
      <c r="C122" s="15"/>
      <c r="D122" s="16" t="str">
        <f aca="false">IFERROR(INDEX(Functions!$B$5:$B$204,MATCH(B122,Functions!$A$5:$A$204,0)),"")</f>
        <v/>
      </c>
      <c r="E122" s="16" t="str">
        <f aca="false">IFERROR(INDEX(Functions!$B$5:$B$204,MATCH(C122,Functions!$A$5:$A$204,0)),"")</f>
        <v/>
      </c>
      <c r="F122" s="15"/>
      <c r="G122" s="15"/>
      <c r="H122" s="15"/>
      <c r="I122" s="15"/>
      <c r="J122" s="15"/>
      <c r="K122" s="15"/>
      <c r="L122" s="15"/>
      <c r="M122" s="15"/>
      <c r="N122" s="15"/>
      <c r="O122" s="16" t="str">
        <f aca="false">IF(A122="","",IF(OR(B122="",C122="",G122=""),"Functions and RISK-ID needed",IF(B122=C122,"Functions must differ",IF(OR(COUNTIF(Functions!$A$5:$A$204,B122)=0,COUNTIF(Functions!$A$5:$A$204,C122)=0),"Function not defined",IF(COUNTIF(Ref_RISK!$A$2:$A$201,G122)=0,"RISK-ID not in W04",IF(AND(L122&lt;&gt;"",L122&lt;&gt;"None",COUNTIF(Ref_CTRL!$A$2:$A$201,L122)=0),"Mitigation not in W05 RCM","OK"))))))</f>
        <v/>
      </c>
    </row>
    <row r="123" customFormat="false" ht="15" hidden="false" customHeight="false" outlineLevel="0" collapsed="false">
      <c r="A123" s="15"/>
      <c r="B123" s="15"/>
      <c r="C123" s="15"/>
      <c r="D123" s="16" t="str">
        <f aca="false">IFERROR(INDEX(Functions!$B$5:$B$204,MATCH(B123,Functions!$A$5:$A$204,0)),"")</f>
        <v/>
      </c>
      <c r="E123" s="16" t="str">
        <f aca="false">IFERROR(INDEX(Functions!$B$5:$B$204,MATCH(C123,Functions!$A$5:$A$204,0)),"")</f>
        <v/>
      </c>
      <c r="F123" s="15"/>
      <c r="G123" s="15"/>
      <c r="H123" s="15"/>
      <c r="I123" s="15"/>
      <c r="J123" s="15"/>
      <c r="K123" s="15"/>
      <c r="L123" s="15"/>
      <c r="M123" s="15"/>
      <c r="N123" s="15"/>
      <c r="O123" s="16" t="str">
        <f aca="false">IF(A123="","",IF(OR(B123="",C123="",G123=""),"Functions and RISK-ID needed",IF(B123=C123,"Functions must differ",IF(OR(COUNTIF(Functions!$A$5:$A$204,B123)=0,COUNTIF(Functions!$A$5:$A$204,C123)=0),"Function not defined",IF(COUNTIF(Ref_RISK!$A$2:$A$201,G123)=0,"RISK-ID not in W04",IF(AND(L123&lt;&gt;"",L123&lt;&gt;"None",COUNTIF(Ref_CTRL!$A$2:$A$201,L123)=0),"Mitigation not in W05 RCM","OK"))))))</f>
        <v/>
      </c>
    </row>
    <row r="124" customFormat="false" ht="15" hidden="false" customHeight="false" outlineLevel="0" collapsed="false">
      <c r="A124" s="15"/>
      <c r="B124" s="15"/>
      <c r="C124" s="15"/>
      <c r="D124" s="16" t="str">
        <f aca="false">IFERROR(INDEX(Functions!$B$5:$B$204,MATCH(B124,Functions!$A$5:$A$204,0)),"")</f>
        <v/>
      </c>
      <c r="E124" s="16" t="str">
        <f aca="false">IFERROR(INDEX(Functions!$B$5:$B$204,MATCH(C124,Functions!$A$5:$A$204,0)),"")</f>
        <v/>
      </c>
      <c r="F124" s="15"/>
      <c r="G124" s="15"/>
      <c r="H124" s="15"/>
      <c r="I124" s="15"/>
      <c r="J124" s="15"/>
      <c r="K124" s="15"/>
      <c r="L124" s="15"/>
      <c r="M124" s="15"/>
      <c r="N124" s="15"/>
      <c r="O124" s="16" t="str">
        <f aca="false">IF(A124="","",IF(OR(B124="",C124="",G124=""),"Functions and RISK-ID needed",IF(B124=C124,"Functions must differ",IF(OR(COUNTIF(Functions!$A$5:$A$204,B124)=0,COUNTIF(Functions!$A$5:$A$204,C124)=0),"Function not defined",IF(COUNTIF(Ref_RISK!$A$2:$A$201,G124)=0,"RISK-ID not in W04",IF(AND(L124&lt;&gt;"",L124&lt;&gt;"None",COUNTIF(Ref_CTRL!$A$2:$A$201,L124)=0),"Mitigation not in W05 RCM","OK"))))))</f>
        <v/>
      </c>
    </row>
    <row r="125" customFormat="false" ht="15" hidden="false" customHeight="false" outlineLevel="0" collapsed="false">
      <c r="A125" s="15"/>
      <c r="B125" s="15"/>
      <c r="C125" s="15"/>
      <c r="D125" s="16" t="str">
        <f aca="false">IFERROR(INDEX(Functions!$B$5:$B$204,MATCH(B125,Functions!$A$5:$A$204,0)),"")</f>
        <v/>
      </c>
      <c r="E125" s="16" t="str">
        <f aca="false">IFERROR(INDEX(Functions!$B$5:$B$204,MATCH(C125,Functions!$A$5:$A$204,0)),"")</f>
        <v/>
      </c>
      <c r="F125" s="15"/>
      <c r="G125" s="15"/>
      <c r="H125" s="15"/>
      <c r="I125" s="15"/>
      <c r="J125" s="15"/>
      <c r="K125" s="15"/>
      <c r="L125" s="15"/>
      <c r="M125" s="15"/>
      <c r="N125" s="15"/>
      <c r="O125" s="16" t="str">
        <f aca="false">IF(A125="","",IF(OR(B125="",C125="",G125=""),"Functions and RISK-ID needed",IF(B125=C125,"Functions must differ",IF(OR(COUNTIF(Functions!$A$5:$A$204,B125)=0,COUNTIF(Functions!$A$5:$A$204,C125)=0),"Function not defined",IF(COUNTIF(Ref_RISK!$A$2:$A$201,G125)=0,"RISK-ID not in W04",IF(AND(L125&lt;&gt;"",L125&lt;&gt;"None",COUNTIF(Ref_CTRL!$A$2:$A$201,L125)=0),"Mitigation not in W05 RCM","OK"))))))</f>
        <v/>
      </c>
    </row>
    <row r="126" customFormat="false" ht="15" hidden="false" customHeight="false" outlineLevel="0" collapsed="false">
      <c r="A126" s="15"/>
      <c r="B126" s="15"/>
      <c r="C126" s="15"/>
      <c r="D126" s="16" t="str">
        <f aca="false">IFERROR(INDEX(Functions!$B$5:$B$204,MATCH(B126,Functions!$A$5:$A$204,0)),"")</f>
        <v/>
      </c>
      <c r="E126" s="16" t="str">
        <f aca="false">IFERROR(INDEX(Functions!$B$5:$B$204,MATCH(C126,Functions!$A$5:$A$204,0)),"")</f>
        <v/>
      </c>
      <c r="F126" s="15"/>
      <c r="G126" s="15"/>
      <c r="H126" s="15"/>
      <c r="I126" s="15"/>
      <c r="J126" s="15"/>
      <c r="K126" s="15"/>
      <c r="L126" s="15"/>
      <c r="M126" s="15"/>
      <c r="N126" s="15"/>
      <c r="O126" s="16" t="str">
        <f aca="false">IF(A126="","",IF(OR(B126="",C126="",G126=""),"Functions and RISK-ID needed",IF(B126=C126,"Functions must differ",IF(OR(COUNTIF(Functions!$A$5:$A$204,B126)=0,COUNTIF(Functions!$A$5:$A$204,C126)=0),"Function not defined",IF(COUNTIF(Ref_RISK!$A$2:$A$201,G126)=0,"RISK-ID not in W04",IF(AND(L126&lt;&gt;"",L126&lt;&gt;"None",COUNTIF(Ref_CTRL!$A$2:$A$201,L126)=0),"Mitigation not in W05 RCM","OK"))))))</f>
        <v/>
      </c>
    </row>
    <row r="127" customFormat="false" ht="15" hidden="false" customHeight="false" outlineLevel="0" collapsed="false">
      <c r="A127" s="15"/>
      <c r="B127" s="15"/>
      <c r="C127" s="15"/>
      <c r="D127" s="16" t="str">
        <f aca="false">IFERROR(INDEX(Functions!$B$5:$B$204,MATCH(B127,Functions!$A$5:$A$204,0)),"")</f>
        <v/>
      </c>
      <c r="E127" s="16" t="str">
        <f aca="false">IFERROR(INDEX(Functions!$B$5:$B$204,MATCH(C127,Functions!$A$5:$A$204,0)),"")</f>
        <v/>
      </c>
      <c r="F127" s="15"/>
      <c r="G127" s="15"/>
      <c r="H127" s="15"/>
      <c r="I127" s="15"/>
      <c r="J127" s="15"/>
      <c r="K127" s="15"/>
      <c r="L127" s="15"/>
      <c r="M127" s="15"/>
      <c r="N127" s="15"/>
      <c r="O127" s="16" t="str">
        <f aca="false">IF(A127="","",IF(OR(B127="",C127="",G127=""),"Functions and RISK-ID needed",IF(B127=C127,"Functions must differ",IF(OR(COUNTIF(Functions!$A$5:$A$204,B127)=0,COUNTIF(Functions!$A$5:$A$204,C127)=0),"Function not defined",IF(COUNTIF(Ref_RISK!$A$2:$A$201,G127)=0,"RISK-ID not in W04",IF(AND(L127&lt;&gt;"",L127&lt;&gt;"None",COUNTIF(Ref_CTRL!$A$2:$A$201,L127)=0),"Mitigation not in W05 RCM","OK"))))))</f>
        <v/>
      </c>
    </row>
    <row r="128" customFormat="false" ht="15" hidden="false" customHeight="false" outlineLevel="0" collapsed="false">
      <c r="A128" s="15"/>
      <c r="B128" s="15"/>
      <c r="C128" s="15"/>
      <c r="D128" s="16" t="str">
        <f aca="false">IFERROR(INDEX(Functions!$B$5:$B$204,MATCH(B128,Functions!$A$5:$A$204,0)),"")</f>
        <v/>
      </c>
      <c r="E128" s="16" t="str">
        <f aca="false">IFERROR(INDEX(Functions!$B$5:$B$204,MATCH(C128,Functions!$A$5:$A$204,0)),"")</f>
        <v/>
      </c>
      <c r="F128" s="15"/>
      <c r="G128" s="15"/>
      <c r="H128" s="15"/>
      <c r="I128" s="15"/>
      <c r="J128" s="15"/>
      <c r="K128" s="15"/>
      <c r="L128" s="15"/>
      <c r="M128" s="15"/>
      <c r="N128" s="15"/>
      <c r="O128" s="16" t="str">
        <f aca="false">IF(A128="","",IF(OR(B128="",C128="",G128=""),"Functions and RISK-ID needed",IF(B128=C128,"Functions must differ",IF(OR(COUNTIF(Functions!$A$5:$A$204,B128)=0,COUNTIF(Functions!$A$5:$A$204,C128)=0),"Function not defined",IF(COUNTIF(Ref_RISK!$A$2:$A$201,G128)=0,"RISK-ID not in W04",IF(AND(L128&lt;&gt;"",L128&lt;&gt;"None",COUNTIF(Ref_CTRL!$A$2:$A$201,L128)=0),"Mitigation not in W05 RCM","OK"))))))</f>
        <v/>
      </c>
    </row>
    <row r="129" customFormat="false" ht="15" hidden="false" customHeight="false" outlineLevel="0" collapsed="false">
      <c r="A129" s="15"/>
      <c r="B129" s="15"/>
      <c r="C129" s="15"/>
      <c r="D129" s="16" t="str">
        <f aca="false">IFERROR(INDEX(Functions!$B$5:$B$204,MATCH(B129,Functions!$A$5:$A$204,0)),"")</f>
        <v/>
      </c>
      <c r="E129" s="16" t="str">
        <f aca="false">IFERROR(INDEX(Functions!$B$5:$B$204,MATCH(C129,Functions!$A$5:$A$204,0)),"")</f>
        <v/>
      </c>
      <c r="F129" s="15"/>
      <c r="G129" s="15"/>
      <c r="H129" s="15"/>
      <c r="I129" s="15"/>
      <c r="J129" s="15"/>
      <c r="K129" s="15"/>
      <c r="L129" s="15"/>
      <c r="M129" s="15"/>
      <c r="N129" s="15"/>
      <c r="O129" s="16" t="str">
        <f aca="false">IF(A129="","",IF(OR(B129="",C129="",G129=""),"Functions and RISK-ID needed",IF(B129=C129,"Functions must differ",IF(OR(COUNTIF(Functions!$A$5:$A$204,B129)=0,COUNTIF(Functions!$A$5:$A$204,C129)=0),"Function not defined",IF(COUNTIF(Ref_RISK!$A$2:$A$201,G129)=0,"RISK-ID not in W04",IF(AND(L129&lt;&gt;"",L129&lt;&gt;"None",COUNTIF(Ref_CTRL!$A$2:$A$201,L129)=0),"Mitigation not in W05 RCM","OK"))))))</f>
        <v/>
      </c>
    </row>
    <row r="130" customFormat="false" ht="15" hidden="false" customHeight="false" outlineLevel="0" collapsed="false">
      <c r="A130" s="15"/>
      <c r="B130" s="15"/>
      <c r="C130" s="15"/>
      <c r="D130" s="16" t="str">
        <f aca="false">IFERROR(INDEX(Functions!$B$5:$B$204,MATCH(B130,Functions!$A$5:$A$204,0)),"")</f>
        <v/>
      </c>
      <c r="E130" s="16" t="str">
        <f aca="false">IFERROR(INDEX(Functions!$B$5:$B$204,MATCH(C130,Functions!$A$5:$A$204,0)),"")</f>
        <v/>
      </c>
      <c r="F130" s="15"/>
      <c r="G130" s="15"/>
      <c r="H130" s="15"/>
      <c r="I130" s="15"/>
      <c r="J130" s="15"/>
      <c r="K130" s="15"/>
      <c r="L130" s="15"/>
      <c r="M130" s="15"/>
      <c r="N130" s="15"/>
      <c r="O130" s="16" t="str">
        <f aca="false">IF(A130="","",IF(OR(B130="",C130="",G130=""),"Functions and RISK-ID needed",IF(B130=C130,"Functions must differ",IF(OR(COUNTIF(Functions!$A$5:$A$204,B130)=0,COUNTIF(Functions!$A$5:$A$204,C130)=0),"Function not defined",IF(COUNTIF(Ref_RISK!$A$2:$A$201,G130)=0,"RISK-ID not in W04",IF(AND(L130&lt;&gt;"",L130&lt;&gt;"None",COUNTIF(Ref_CTRL!$A$2:$A$201,L130)=0),"Mitigation not in W05 RCM","OK"))))))</f>
        <v/>
      </c>
    </row>
    <row r="131" customFormat="false" ht="15" hidden="false" customHeight="false" outlineLevel="0" collapsed="false">
      <c r="A131" s="15"/>
      <c r="B131" s="15"/>
      <c r="C131" s="15"/>
      <c r="D131" s="16" t="str">
        <f aca="false">IFERROR(INDEX(Functions!$B$5:$B$204,MATCH(B131,Functions!$A$5:$A$204,0)),"")</f>
        <v/>
      </c>
      <c r="E131" s="16" t="str">
        <f aca="false">IFERROR(INDEX(Functions!$B$5:$B$204,MATCH(C131,Functions!$A$5:$A$204,0)),"")</f>
        <v/>
      </c>
      <c r="F131" s="15"/>
      <c r="G131" s="15"/>
      <c r="H131" s="15"/>
      <c r="I131" s="15"/>
      <c r="J131" s="15"/>
      <c r="K131" s="15"/>
      <c r="L131" s="15"/>
      <c r="M131" s="15"/>
      <c r="N131" s="15"/>
      <c r="O131" s="16" t="str">
        <f aca="false">IF(A131="","",IF(OR(B131="",C131="",G131=""),"Functions and RISK-ID needed",IF(B131=C131,"Functions must differ",IF(OR(COUNTIF(Functions!$A$5:$A$204,B131)=0,COUNTIF(Functions!$A$5:$A$204,C131)=0),"Function not defined",IF(COUNTIF(Ref_RISK!$A$2:$A$201,G131)=0,"RISK-ID not in W04",IF(AND(L131&lt;&gt;"",L131&lt;&gt;"None",COUNTIF(Ref_CTRL!$A$2:$A$201,L131)=0),"Mitigation not in W05 RCM","OK"))))))</f>
        <v/>
      </c>
    </row>
    <row r="132" customFormat="false" ht="15" hidden="false" customHeight="false" outlineLevel="0" collapsed="false">
      <c r="A132" s="15"/>
      <c r="B132" s="15"/>
      <c r="C132" s="15"/>
      <c r="D132" s="16" t="str">
        <f aca="false">IFERROR(INDEX(Functions!$B$5:$B$204,MATCH(B132,Functions!$A$5:$A$204,0)),"")</f>
        <v/>
      </c>
      <c r="E132" s="16" t="str">
        <f aca="false">IFERROR(INDEX(Functions!$B$5:$B$204,MATCH(C132,Functions!$A$5:$A$204,0)),"")</f>
        <v/>
      </c>
      <c r="F132" s="15"/>
      <c r="G132" s="15"/>
      <c r="H132" s="15"/>
      <c r="I132" s="15"/>
      <c r="J132" s="15"/>
      <c r="K132" s="15"/>
      <c r="L132" s="15"/>
      <c r="M132" s="15"/>
      <c r="N132" s="15"/>
      <c r="O132" s="16" t="str">
        <f aca="false">IF(A132="","",IF(OR(B132="",C132="",G132=""),"Functions and RISK-ID needed",IF(B132=C132,"Functions must differ",IF(OR(COUNTIF(Functions!$A$5:$A$204,B132)=0,COUNTIF(Functions!$A$5:$A$204,C132)=0),"Function not defined",IF(COUNTIF(Ref_RISK!$A$2:$A$201,G132)=0,"RISK-ID not in W04",IF(AND(L132&lt;&gt;"",L132&lt;&gt;"None",COUNTIF(Ref_CTRL!$A$2:$A$201,L132)=0),"Mitigation not in W05 RCM","OK"))))))</f>
        <v/>
      </c>
    </row>
    <row r="133" customFormat="false" ht="15" hidden="false" customHeight="false" outlineLevel="0" collapsed="false">
      <c r="A133" s="15"/>
      <c r="B133" s="15"/>
      <c r="C133" s="15"/>
      <c r="D133" s="16" t="str">
        <f aca="false">IFERROR(INDEX(Functions!$B$5:$B$204,MATCH(B133,Functions!$A$5:$A$204,0)),"")</f>
        <v/>
      </c>
      <c r="E133" s="16" t="str">
        <f aca="false">IFERROR(INDEX(Functions!$B$5:$B$204,MATCH(C133,Functions!$A$5:$A$204,0)),"")</f>
        <v/>
      </c>
      <c r="F133" s="15"/>
      <c r="G133" s="15"/>
      <c r="H133" s="15"/>
      <c r="I133" s="15"/>
      <c r="J133" s="15"/>
      <c r="K133" s="15"/>
      <c r="L133" s="15"/>
      <c r="M133" s="15"/>
      <c r="N133" s="15"/>
      <c r="O133" s="16" t="str">
        <f aca="false">IF(A133="","",IF(OR(B133="",C133="",G133=""),"Functions and RISK-ID needed",IF(B133=C133,"Functions must differ",IF(OR(COUNTIF(Functions!$A$5:$A$204,B133)=0,COUNTIF(Functions!$A$5:$A$204,C133)=0),"Function not defined",IF(COUNTIF(Ref_RISK!$A$2:$A$201,G133)=0,"RISK-ID not in W04",IF(AND(L133&lt;&gt;"",L133&lt;&gt;"None",COUNTIF(Ref_CTRL!$A$2:$A$201,L133)=0),"Mitigation not in W05 RCM","OK"))))))</f>
        <v/>
      </c>
    </row>
    <row r="134" customFormat="false" ht="15" hidden="false" customHeight="false" outlineLevel="0" collapsed="false">
      <c r="A134" s="15"/>
      <c r="B134" s="15"/>
      <c r="C134" s="15"/>
      <c r="D134" s="16" t="str">
        <f aca="false">IFERROR(INDEX(Functions!$B$5:$B$204,MATCH(B134,Functions!$A$5:$A$204,0)),"")</f>
        <v/>
      </c>
      <c r="E134" s="16" t="str">
        <f aca="false">IFERROR(INDEX(Functions!$B$5:$B$204,MATCH(C134,Functions!$A$5:$A$204,0)),"")</f>
        <v/>
      </c>
      <c r="F134" s="15"/>
      <c r="G134" s="15"/>
      <c r="H134" s="15"/>
      <c r="I134" s="15"/>
      <c r="J134" s="15"/>
      <c r="K134" s="15"/>
      <c r="L134" s="15"/>
      <c r="M134" s="15"/>
      <c r="N134" s="15"/>
      <c r="O134" s="16" t="str">
        <f aca="false">IF(A134="","",IF(OR(B134="",C134="",G134=""),"Functions and RISK-ID needed",IF(B134=C134,"Functions must differ",IF(OR(COUNTIF(Functions!$A$5:$A$204,B134)=0,COUNTIF(Functions!$A$5:$A$204,C134)=0),"Function not defined",IF(COUNTIF(Ref_RISK!$A$2:$A$201,G134)=0,"RISK-ID not in W04",IF(AND(L134&lt;&gt;"",L134&lt;&gt;"None",COUNTIF(Ref_CTRL!$A$2:$A$201,L134)=0),"Mitigation not in W05 RCM","OK"))))))</f>
        <v/>
      </c>
    </row>
    <row r="135" customFormat="false" ht="15" hidden="false" customHeight="false" outlineLevel="0" collapsed="false">
      <c r="A135" s="15"/>
      <c r="B135" s="15"/>
      <c r="C135" s="15"/>
      <c r="D135" s="16" t="str">
        <f aca="false">IFERROR(INDEX(Functions!$B$5:$B$204,MATCH(B135,Functions!$A$5:$A$204,0)),"")</f>
        <v/>
      </c>
      <c r="E135" s="16" t="str">
        <f aca="false">IFERROR(INDEX(Functions!$B$5:$B$204,MATCH(C135,Functions!$A$5:$A$204,0)),"")</f>
        <v/>
      </c>
      <c r="F135" s="15"/>
      <c r="G135" s="15"/>
      <c r="H135" s="15"/>
      <c r="I135" s="15"/>
      <c r="J135" s="15"/>
      <c r="K135" s="15"/>
      <c r="L135" s="15"/>
      <c r="M135" s="15"/>
      <c r="N135" s="15"/>
      <c r="O135" s="16" t="str">
        <f aca="false">IF(A135="","",IF(OR(B135="",C135="",G135=""),"Functions and RISK-ID needed",IF(B135=C135,"Functions must differ",IF(OR(COUNTIF(Functions!$A$5:$A$204,B135)=0,COUNTIF(Functions!$A$5:$A$204,C135)=0),"Function not defined",IF(COUNTIF(Ref_RISK!$A$2:$A$201,G135)=0,"RISK-ID not in W04",IF(AND(L135&lt;&gt;"",L135&lt;&gt;"None",COUNTIF(Ref_CTRL!$A$2:$A$201,L135)=0),"Mitigation not in W05 RCM","OK"))))))</f>
        <v/>
      </c>
    </row>
    <row r="136" customFormat="false" ht="15" hidden="false" customHeight="false" outlineLevel="0" collapsed="false">
      <c r="A136" s="15"/>
      <c r="B136" s="15"/>
      <c r="C136" s="15"/>
      <c r="D136" s="16" t="str">
        <f aca="false">IFERROR(INDEX(Functions!$B$5:$B$204,MATCH(B136,Functions!$A$5:$A$204,0)),"")</f>
        <v/>
      </c>
      <c r="E136" s="16" t="str">
        <f aca="false">IFERROR(INDEX(Functions!$B$5:$B$204,MATCH(C136,Functions!$A$5:$A$204,0)),"")</f>
        <v/>
      </c>
      <c r="F136" s="15"/>
      <c r="G136" s="15"/>
      <c r="H136" s="15"/>
      <c r="I136" s="15"/>
      <c r="J136" s="15"/>
      <c r="K136" s="15"/>
      <c r="L136" s="15"/>
      <c r="M136" s="15"/>
      <c r="N136" s="15"/>
      <c r="O136" s="16" t="str">
        <f aca="false">IF(A136="","",IF(OR(B136="",C136="",G136=""),"Functions and RISK-ID needed",IF(B136=C136,"Functions must differ",IF(OR(COUNTIF(Functions!$A$5:$A$204,B136)=0,COUNTIF(Functions!$A$5:$A$204,C136)=0),"Function not defined",IF(COUNTIF(Ref_RISK!$A$2:$A$201,G136)=0,"RISK-ID not in W04",IF(AND(L136&lt;&gt;"",L136&lt;&gt;"None",COUNTIF(Ref_CTRL!$A$2:$A$201,L136)=0),"Mitigation not in W05 RCM","OK"))))))</f>
        <v/>
      </c>
    </row>
    <row r="137" customFormat="false" ht="15" hidden="false" customHeight="false" outlineLevel="0" collapsed="false">
      <c r="A137" s="15"/>
      <c r="B137" s="15"/>
      <c r="C137" s="15"/>
      <c r="D137" s="16" t="str">
        <f aca="false">IFERROR(INDEX(Functions!$B$5:$B$204,MATCH(B137,Functions!$A$5:$A$204,0)),"")</f>
        <v/>
      </c>
      <c r="E137" s="16" t="str">
        <f aca="false">IFERROR(INDEX(Functions!$B$5:$B$204,MATCH(C137,Functions!$A$5:$A$204,0)),"")</f>
        <v/>
      </c>
      <c r="F137" s="15"/>
      <c r="G137" s="15"/>
      <c r="H137" s="15"/>
      <c r="I137" s="15"/>
      <c r="J137" s="15"/>
      <c r="K137" s="15"/>
      <c r="L137" s="15"/>
      <c r="M137" s="15"/>
      <c r="N137" s="15"/>
      <c r="O137" s="16" t="str">
        <f aca="false">IF(A137="","",IF(OR(B137="",C137="",G137=""),"Functions and RISK-ID needed",IF(B137=C137,"Functions must differ",IF(OR(COUNTIF(Functions!$A$5:$A$204,B137)=0,COUNTIF(Functions!$A$5:$A$204,C137)=0),"Function not defined",IF(COUNTIF(Ref_RISK!$A$2:$A$201,G137)=0,"RISK-ID not in W04",IF(AND(L137&lt;&gt;"",L137&lt;&gt;"None",COUNTIF(Ref_CTRL!$A$2:$A$201,L137)=0),"Mitigation not in W05 RCM","OK"))))))</f>
        <v/>
      </c>
    </row>
    <row r="138" customFormat="false" ht="15" hidden="false" customHeight="false" outlineLevel="0" collapsed="false">
      <c r="A138" s="15"/>
      <c r="B138" s="15"/>
      <c r="C138" s="15"/>
      <c r="D138" s="16" t="str">
        <f aca="false">IFERROR(INDEX(Functions!$B$5:$B$204,MATCH(B138,Functions!$A$5:$A$204,0)),"")</f>
        <v/>
      </c>
      <c r="E138" s="16" t="str">
        <f aca="false">IFERROR(INDEX(Functions!$B$5:$B$204,MATCH(C138,Functions!$A$5:$A$204,0)),"")</f>
        <v/>
      </c>
      <c r="F138" s="15"/>
      <c r="G138" s="15"/>
      <c r="H138" s="15"/>
      <c r="I138" s="15"/>
      <c r="J138" s="15"/>
      <c r="K138" s="15"/>
      <c r="L138" s="15"/>
      <c r="M138" s="15"/>
      <c r="N138" s="15"/>
      <c r="O138" s="16" t="str">
        <f aca="false">IF(A138="","",IF(OR(B138="",C138="",G138=""),"Functions and RISK-ID needed",IF(B138=C138,"Functions must differ",IF(OR(COUNTIF(Functions!$A$5:$A$204,B138)=0,COUNTIF(Functions!$A$5:$A$204,C138)=0),"Function not defined",IF(COUNTIF(Ref_RISK!$A$2:$A$201,G138)=0,"RISK-ID not in W04",IF(AND(L138&lt;&gt;"",L138&lt;&gt;"None",COUNTIF(Ref_CTRL!$A$2:$A$201,L138)=0),"Mitigation not in W05 RCM","OK"))))))</f>
        <v/>
      </c>
    </row>
    <row r="139" customFormat="false" ht="15" hidden="false" customHeight="false" outlineLevel="0" collapsed="false">
      <c r="A139" s="15"/>
      <c r="B139" s="15"/>
      <c r="C139" s="15"/>
      <c r="D139" s="16" t="str">
        <f aca="false">IFERROR(INDEX(Functions!$B$5:$B$204,MATCH(B139,Functions!$A$5:$A$204,0)),"")</f>
        <v/>
      </c>
      <c r="E139" s="16" t="str">
        <f aca="false">IFERROR(INDEX(Functions!$B$5:$B$204,MATCH(C139,Functions!$A$5:$A$204,0)),"")</f>
        <v/>
      </c>
      <c r="F139" s="15"/>
      <c r="G139" s="15"/>
      <c r="H139" s="15"/>
      <c r="I139" s="15"/>
      <c r="J139" s="15"/>
      <c r="K139" s="15"/>
      <c r="L139" s="15"/>
      <c r="M139" s="15"/>
      <c r="N139" s="15"/>
      <c r="O139" s="16" t="str">
        <f aca="false">IF(A139="","",IF(OR(B139="",C139="",G139=""),"Functions and RISK-ID needed",IF(B139=C139,"Functions must differ",IF(OR(COUNTIF(Functions!$A$5:$A$204,B139)=0,COUNTIF(Functions!$A$5:$A$204,C139)=0),"Function not defined",IF(COUNTIF(Ref_RISK!$A$2:$A$201,G139)=0,"RISK-ID not in W04",IF(AND(L139&lt;&gt;"",L139&lt;&gt;"None",COUNTIF(Ref_CTRL!$A$2:$A$201,L139)=0),"Mitigation not in W05 RCM","OK"))))))</f>
        <v/>
      </c>
    </row>
    <row r="140" customFormat="false" ht="15" hidden="false" customHeight="false" outlineLevel="0" collapsed="false">
      <c r="A140" s="15"/>
      <c r="B140" s="15"/>
      <c r="C140" s="15"/>
      <c r="D140" s="16" t="str">
        <f aca="false">IFERROR(INDEX(Functions!$B$5:$B$204,MATCH(B140,Functions!$A$5:$A$204,0)),"")</f>
        <v/>
      </c>
      <c r="E140" s="16" t="str">
        <f aca="false">IFERROR(INDEX(Functions!$B$5:$B$204,MATCH(C140,Functions!$A$5:$A$204,0)),"")</f>
        <v/>
      </c>
      <c r="F140" s="15"/>
      <c r="G140" s="15"/>
      <c r="H140" s="15"/>
      <c r="I140" s="15"/>
      <c r="J140" s="15"/>
      <c r="K140" s="15"/>
      <c r="L140" s="15"/>
      <c r="M140" s="15"/>
      <c r="N140" s="15"/>
      <c r="O140" s="16" t="str">
        <f aca="false">IF(A140="","",IF(OR(B140="",C140="",G140=""),"Functions and RISK-ID needed",IF(B140=C140,"Functions must differ",IF(OR(COUNTIF(Functions!$A$5:$A$204,B140)=0,COUNTIF(Functions!$A$5:$A$204,C140)=0),"Function not defined",IF(COUNTIF(Ref_RISK!$A$2:$A$201,G140)=0,"RISK-ID not in W04",IF(AND(L140&lt;&gt;"",L140&lt;&gt;"None",COUNTIF(Ref_CTRL!$A$2:$A$201,L140)=0),"Mitigation not in W05 RCM","OK"))))))</f>
        <v/>
      </c>
    </row>
    <row r="141" customFormat="false" ht="15" hidden="false" customHeight="false" outlineLevel="0" collapsed="false">
      <c r="A141" s="15"/>
      <c r="B141" s="15"/>
      <c r="C141" s="15"/>
      <c r="D141" s="16" t="str">
        <f aca="false">IFERROR(INDEX(Functions!$B$5:$B$204,MATCH(B141,Functions!$A$5:$A$204,0)),"")</f>
        <v/>
      </c>
      <c r="E141" s="16" t="str">
        <f aca="false">IFERROR(INDEX(Functions!$B$5:$B$204,MATCH(C141,Functions!$A$5:$A$204,0)),"")</f>
        <v/>
      </c>
      <c r="F141" s="15"/>
      <c r="G141" s="15"/>
      <c r="H141" s="15"/>
      <c r="I141" s="15"/>
      <c r="J141" s="15"/>
      <c r="K141" s="15"/>
      <c r="L141" s="15"/>
      <c r="M141" s="15"/>
      <c r="N141" s="15"/>
      <c r="O141" s="16" t="str">
        <f aca="false">IF(A141="","",IF(OR(B141="",C141="",G141=""),"Functions and RISK-ID needed",IF(B141=C141,"Functions must differ",IF(OR(COUNTIF(Functions!$A$5:$A$204,B141)=0,COUNTIF(Functions!$A$5:$A$204,C141)=0),"Function not defined",IF(COUNTIF(Ref_RISK!$A$2:$A$201,G141)=0,"RISK-ID not in W04",IF(AND(L141&lt;&gt;"",L141&lt;&gt;"None",COUNTIF(Ref_CTRL!$A$2:$A$201,L141)=0),"Mitigation not in W05 RCM","OK"))))))</f>
        <v/>
      </c>
    </row>
    <row r="142" customFormat="false" ht="15" hidden="false" customHeight="false" outlineLevel="0" collapsed="false">
      <c r="A142" s="15"/>
      <c r="B142" s="15"/>
      <c r="C142" s="15"/>
      <c r="D142" s="16" t="str">
        <f aca="false">IFERROR(INDEX(Functions!$B$5:$B$204,MATCH(B142,Functions!$A$5:$A$204,0)),"")</f>
        <v/>
      </c>
      <c r="E142" s="16" t="str">
        <f aca="false">IFERROR(INDEX(Functions!$B$5:$B$204,MATCH(C142,Functions!$A$5:$A$204,0)),"")</f>
        <v/>
      </c>
      <c r="F142" s="15"/>
      <c r="G142" s="15"/>
      <c r="H142" s="15"/>
      <c r="I142" s="15"/>
      <c r="J142" s="15"/>
      <c r="K142" s="15"/>
      <c r="L142" s="15"/>
      <c r="M142" s="15"/>
      <c r="N142" s="15"/>
      <c r="O142" s="16" t="str">
        <f aca="false">IF(A142="","",IF(OR(B142="",C142="",G142=""),"Functions and RISK-ID needed",IF(B142=C142,"Functions must differ",IF(OR(COUNTIF(Functions!$A$5:$A$204,B142)=0,COUNTIF(Functions!$A$5:$A$204,C142)=0),"Function not defined",IF(COUNTIF(Ref_RISK!$A$2:$A$201,G142)=0,"RISK-ID not in W04",IF(AND(L142&lt;&gt;"",L142&lt;&gt;"None",COUNTIF(Ref_CTRL!$A$2:$A$201,L142)=0),"Mitigation not in W05 RCM","OK"))))))</f>
        <v/>
      </c>
    </row>
    <row r="143" customFormat="false" ht="15" hidden="false" customHeight="false" outlineLevel="0" collapsed="false">
      <c r="A143" s="15"/>
      <c r="B143" s="15"/>
      <c r="C143" s="15"/>
      <c r="D143" s="16" t="str">
        <f aca="false">IFERROR(INDEX(Functions!$B$5:$B$204,MATCH(B143,Functions!$A$5:$A$204,0)),"")</f>
        <v/>
      </c>
      <c r="E143" s="16" t="str">
        <f aca="false">IFERROR(INDEX(Functions!$B$5:$B$204,MATCH(C143,Functions!$A$5:$A$204,0)),"")</f>
        <v/>
      </c>
      <c r="F143" s="15"/>
      <c r="G143" s="15"/>
      <c r="H143" s="15"/>
      <c r="I143" s="15"/>
      <c r="J143" s="15"/>
      <c r="K143" s="15"/>
      <c r="L143" s="15"/>
      <c r="M143" s="15"/>
      <c r="N143" s="15"/>
      <c r="O143" s="16" t="str">
        <f aca="false">IF(A143="","",IF(OR(B143="",C143="",G143=""),"Functions and RISK-ID needed",IF(B143=C143,"Functions must differ",IF(OR(COUNTIF(Functions!$A$5:$A$204,B143)=0,COUNTIF(Functions!$A$5:$A$204,C143)=0),"Function not defined",IF(COUNTIF(Ref_RISK!$A$2:$A$201,G143)=0,"RISK-ID not in W04",IF(AND(L143&lt;&gt;"",L143&lt;&gt;"None",COUNTIF(Ref_CTRL!$A$2:$A$201,L143)=0),"Mitigation not in W05 RCM","OK"))))))</f>
        <v/>
      </c>
    </row>
    <row r="144" customFormat="false" ht="15" hidden="false" customHeight="false" outlineLevel="0" collapsed="false">
      <c r="A144" s="15"/>
      <c r="B144" s="15"/>
      <c r="C144" s="15"/>
      <c r="D144" s="16" t="str">
        <f aca="false">IFERROR(INDEX(Functions!$B$5:$B$204,MATCH(B144,Functions!$A$5:$A$204,0)),"")</f>
        <v/>
      </c>
      <c r="E144" s="16" t="str">
        <f aca="false">IFERROR(INDEX(Functions!$B$5:$B$204,MATCH(C144,Functions!$A$5:$A$204,0)),"")</f>
        <v/>
      </c>
      <c r="F144" s="15"/>
      <c r="G144" s="15"/>
      <c r="H144" s="15"/>
      <c r="I144" s="15"/>
      <c r="J144" s="15"/>
      <c r="K144" s="15"/>
      <c r="L144" s="15"/>
      <c r="M144" s="15"/>
      <c r="N144" s="15"/>
      <c r="O144" s="16" t="str">
        <f aca="false">IF(A144="","",IF(OR(B144="",C144="",G144=""),"Functions and RISK-ID needed",IF(B144=C144,"Functions must differ",IF(OR(COUNTIF(Functions!$A$5:$A$204,B144)=0,COUNTIF(Functions!$A$5:$A$204,C144)=0),"Function not defined",IF(COUNTIF(Ref_RISK!$A$2:$A$201,G144)=0,"RISK-ID not in W04",IF(AND(L144&lt;&gt;"",L144&lt;&gt;"None",COUNTIF(Ref_CTRL!$A$2:$A$201,L144)=0),"Mitigation not in W05 RCM","OK"))))))</f>
        <v/>
      </c>
    </row>
    <row r="145" customFormat="false" ht="15" hidden="false" customHeight="false" outlineLevel="0" collapsed="false">
      <c r="A145" s="15"/>
      <c r="B145" s="15"/>
      <c r="C145" s="15"/>
      <c r="D145" s="16" t="str">
        <f aca="false">IFERROR(INDEX(Functions!$B$5:$B$204,MATCH(B145,Functions!$A$5:$A$204,0)),"")</f>
        <v/>
      </c>
      <c r="E145" s="16" t="str">
        <f aca="false">IFERROR(INDEX(Functions!$B$5:$B$204,MATCH(C145,Functions!$A$5:$A$204,0)),"")</f>
        <v/>
      </c>
      <c r="F145" s="15"/>
      <c r="G145" s="15"/>
      <c r="H145" s="15"/>
      <c r="I145" s="15"/>
      <c r="J145" s="15"/>
      <c r="K145" s="15"/>
      <c r="L145" s="15"/>
      <c r="M145" s="15"/>
      <c r="N145" s="15"/>
      <c r="O145" s="16" t="str">
        <f aca="false">IF(A145="","",IF(OR(B145="",C145="",G145=""),"Functions and RISK-ID needed",IF(B145=C145,"Functions must differ",IF(OR(COUNTIF(Functions!$A$5:$A$204,B145)=0,COUNTIF(Functions!$A$5:$A$204,C145)=0),"Function not defined",IF(COUNTIF(Ref_RISK!$A$2:$A$201,G145)=0,"RISK-ID not in W04",IF(AND(L145&lt;&gt;"",L145&lt;&gt;"None",COUNTIF(Ref_CTRL!$A$2:$A$201,L145)=0),"Mitigation not in W05 RCM","OK"))))))</f>
        <v/>
      </c>
    </row>
    <row r="146" customFormat="false" ht="15" hidden="false" customHeight="false" outlineLevel="0" collapsed="false">
      <c r="A146" s="15"/>
      <c r="B146" s="15"/>
      <c r="C146" s="15"/>
      <c r="D146" s="16" t="str">
        <f aca="false">IFERROR(INDEX(Functions!$B$5:$B$204,MATCH(B146,Functions!$A$5:$A$204,0)),"")</f>
        <v/>
      </c>
      <c r="E146" s="16" t="str">
        <f aca="false">IFERROR(INDEX(Functions!$B$5:$B$204,MATCH(C146,Functions!$A$5:$A$204,0)),"")</f>
        <v/>
      </c>
      <c r="F146" s="15"/>
      <c r="G146" s="15"/>
      <c r="H146" s="15"/>
      <c r="I146" s="15"/>
      <c r="J146" s="15"/>
      <c r="K146" s="15"/>
      <c r="L146" s="15"/>
      <c r="M146" s="15"/>
      <c r="N146" s="15"/>
      <c r="O146" s="16" t="str">
        <f aca="false">IF(A146="","",IF(OR(B146="",C146="",G146=""),"Functions and RISK-ID needed",IF(B146=C146,"Functions must differ",IF(OR(COUNTIF(Functions!$A$5:$A$204,B146)=0,COUNTIF(Functions!$A$5:$A$204,C146)=0),"Function not defined",IF(COUNTIF(Ref_RISK!$A$2:$A$201,G146)=0,"RISK-ID not in W04",IF(AND(L146&lt;&gt;"",L146&lt;&gt;"None",COUNTIF(Ref_CTRL!$A$2:$A$201,L146)=0),"Mitigation not in W05 RCM","OK"))))))</f>
        <v/>
      </c>
    </row>
    <row r="147" customFormat="false" ht="15" hidden="false" customHeight="false" outlineLevel="0" collapsed="false">
      <c r="A147" s="15"/>
      <c r="B147" s="15"/>
      <c r="C147" s="15"/>
      <c r="D147" s="16" t="str">
        <f aca="false">IFERROR(INDEX(Functions!$B$5:$B$204,MATCH(B147,Functions!$A$5:$A$204,0)),"")</f>
        <v/>
      </c>
      <c r="E147" s="16" t="str">
        <f aca="false">IFERROR(INDEX(Functions!$B$5:$B$204,MATCH(C147,Functions!$A$5:$A$204,0)),"")</f>
        <v/>
      </c>
      <c r="F147" s="15"/>
      <c r="G147" s="15"/>
      <c r="H147" s="15"/>
      <c r="I147" s="15"/>
      <c r="J147" s="15"/>
      <c r="K147" s="15"/>
      <c r="L147" s="15"/>
      <c r="M147" s="15"/>
      <c r="N147" s="15"/>
      <c r="O147" s="16" t="str">
        <f aca="false">IF(A147="","",IF(OR(B147="",C147="",G147=""),"Functions and RISK-ID needed",IF(B147=C147,"Functions must differ",IF(OR(COUNTIF(Functions!$A$5:$A$204,B147)=0,COUNTIF(Functions!$A$5:$A$204,C147)=0),"Function not defined",IF(COUNTIF(Ref_RISK!$A$2:$A$201,G147)=0,"RISK-ID not in W04",IF(AND(L147&lt;&gt;"",L147&lt;&gt;"None",COUNTIF(Ref_CTRL!$A$2:$A$201,L147)=0),"Mitigation not in W05 RCM","OK"))))))</f>
        <v/>
      </c>
    </row>
    <row r="148" customFormat="false" ht="15" hidden="false" customHeight="false" outlineLevel="0" collapsed="false">
      <c r="A148" s="15"/>
      <c r="B148" s="15"/>
      <c r="C148" s="15"/>
      <c r="D148" s="16" t="str">
        <f aca="false">IFERROR(INDEX(Functions!$B$5:$B$204,MATCH(B148,Functions!$A$5:$A$204,0)),"")</f>
        <v/>
      </c>
      <c r="E148" s="16" t="str">
        <f aca="false">IFERROR(INDEX(Functions!$B$5:$B$204,MATCH(C148,Functions!$A$5:$A$204,0)),"")</f>
        <v/>
      </c>
      <c r="F148" s="15"/>
      <c r="G148" s="15"/>
      <c r="H148" s="15"/>
      <c r="I148" s="15"/>
      <c r="J148" s="15"/>
      <c r="K148" s="15"/>
      <c r="L148" s="15"/>
      <c r="M148" s="15"/>
      <c r="N148" s="15"/>
      <c r="O148" s="16" t="str">
        <f aca="false">IF(A148="","",IF(OR(B148="",C148="",G148=""),"Functions and RISK-ID needed",IF(B148=C148,"Functions must differ",IF(OR(COUNTIF(Functions!$A$5:$A$204,B148)=0,COUNTIF(Functions!$A$5:$A$204,C148)=0),"Function not defined",IF(COUNTIF(Ref_RISK!$A$2:$A$201,G148)=0,"RISK-ID not in W04",IF(AND(L148&lt;&gt;"",L148&lt;&gt;"None",COUNTIF(Ref_CTRL!$A$2:$A$201,L148)=0),"Mitigation not in W05 RCM","OK"))))))</f>
        <v/>
      </c>
    </row>
    <row r="149" customFormat="false" ht="15" hidden="false" customHeight="false" outlineLevel="0" collapsed="false">
      <c r="A149" s="15"/>
      <c r="B149" s="15"/>
      <c r="C149" s="15"/>
      <c r="D149" s="16" t="str">
        <f aca="false">IFERROR(INDEX(Functions!$B$5:$B$204,MATCH(B149,Functions!$A$5:$A$204,0)),"")</f>
        <v/>
      </c>
      <c r="E149" s="16" t="str">
        <f aca="false">IFERROR(INDEX(Functions!$B$5:$B$204,MATCH(C149,Functions!$A$5:$A$204,0)),"")</f>
        <v/>
      </c>
      <c r="F149" s="15"/>
      <c r="G149" s="15"/>
      <c r="H149" s="15"/>
      <c r="I149" s="15"/>
      <c r="J149" s="15"/>
      <c r="K149" s="15"/>
      <c r="L149" s="15"/>
      <c r="M149" s="15"/>
      <c r="N149" s="15"/>
      <c r="O149" s="16" t="str">
        <f aca="false">IF(A149="","",IF(OR(B149="",C149="",G149=""),"Functions and RISK-ID needed",IF(B149=C149,"Functions must differ",IF(OR(COUNTIF(Functions!$A$5:$A$204,B149)=0,COUNTIF(Functions!$A$5:$A$204,C149)=0),"Function not defined",IF(COUNTIF(Ref_RISK!$A$2:$A$201,G149)=0,"RISK-ID not in W04",IF(AND(L149&lt;&gt;"",L149&lt;&gt;"None",COUNTIF(Ref_CTRL!$A$2:$A$201,L149)=0),"Mitigation not in W05 RCM","OK"))))))</f>
        <v/>
      </c>
    </row>
    <row r="150" customFormat="false" ht="15" hidden="false" customHeight="false" outlineLevel="0" collapsed="false">
      <c r="A150" s="15"/>
      <c r="B150" s="15"/>
      <c r="C150" s="15"/>
      <c r="D150" s="16" t="str">
        <f aca="false">IFERROR(INDEX(Functions!$B$5:$B$204,MATCH(B150,Functions!$A$5:$A$204,0)),"")</f>
        <v/>
      </c>
      <c r="E150" s="16" t="str">
        <f aca="false">IFERROR(INDEX(Functions!$B$5:$B$204,MATCH(C150,Functions!$A$5:$A$204,0)),"")</f>
        <v/>
      </c>
      <c r="F150" s="15"/>
      <c r="G150" s="15"/>
      <c r="H150" s="15"/>
      <c r="I150" s="15"/>
      <c r="J150" s="15"/>
      <c r="K150" s="15"/>
      <c r="L150" s="15"/>
      <c r="M150" s="15"/>
      <c r="N150" s="15"/>
      <c r="O150" s="16" t="str">
        <f aca="false">IF(A150="","",IF(OR(B150="",C150="",G150=""),"Functions and RISK-ID needed",IF(B150=C150,"Functions must differ",IF(OR(COUNTIF(Functions!$A$5:$A$204,B150)=0,COUNTIF(Functions!$A$5:$A$204,C150)=0),"Function not defined",IF(COUNTIF(Ref_RISK!$A$2:$A$201,G150)=0,"RISK-ID not in W04",IF(AND(L150&lt;&gt;"",L150&lt;&gt;"None",COUNTIF(Ref_CTRL!$A$2:$A$201,L150)=0),"Mitigation not in W05 RCM","OK"))))))</f>
        <v/>
      </c>
    </row>
    <row r="151" customFormat="false" ht="15" hidden="false" customHeight="false" outlineLevel="0" collapsed="false">
      <c r="A151" s="15"/>
      <c r="B151" s="15"/>
      <c r="C151" s="15"/>
      <c r="D151" s="16" t="str">
        <f aca="false">IFERROR(INDEX(Functions!$B$5:$B$204,MATCH(B151,Functions!$A$5:$A$204,0)),"")</f>
        <v/>
      </c>
      <c r="E151" s="16" t="str">
        <f aca="false">IFERROR(INDEX(Functions!$B$5:$B$204,MATCH(C151,Functions!$A$5:$A$204,0)),"")</f>
        <v/>
      </c>
      <c r="F151" s="15"/>
      <c r="G151" s="15"/>
      <c r="H151" s="15"/>
      <c r="I151" s="15"/>
      <c r="J151" s="15"/>
      <c r="K151" s="15"/>
      <c r="L151" s="15"/>
      <c r="M151" s="15"/>
      <c r="N151" s="15"/>
      <c r="O151" s="16" t="str">
        <f aca="false">IF(A151="","",IF(OR(B151="",C151="",G151=""),"Functions and RISK-ID needed",IF(B151=C151,"Functions must differ",IF(OR(COUNTIF(Functions!$A$5:$A$204,B151)=0,COUNTIF(Functions!$A$5:$A$204,C151)=0),"Function not defined",IF(COUNTIF(Ref_RISK!$A$2:$A$201,G151)=0,"RISK-ID not in W04",IF(AND(L151&lt;&gt;"",L151&lt;&gt;"None",COUNTIF(Ref_CTRL!$A$2:$A$201,L151)=0),"Mitigation not in W05 RCM","OK"))))))</f>
        <v/>
      </c>
    </row>
    <row r="152" customFormat="false" ht="15" hidden="false" customHeight="false" outlineLevel="0" collapsed="false">
      <c r="A152" s="15"/>
      <c r="B152" s="15"/>
      <c r="C152" s="15"/>
      <c r="D152" s="16" t="str">
        <f aca="false">IFERROR(INDEX(Functions!$B$5:$B$204,MATCH(B152,Functions!$A$5:$A$204,0)),"")</f>
        <v/>
      </c>
      <c r="E152" s="16" t="str">
        <f aca="false">IFERROR(INDEX(Functions!$B$5:$B$204,MATCH(C152,Functions!$A$5:$A$204,0)),"")</f>
        <v/>
      </c>
      <c r="F152" s="15"/>
      <c r="G152" s="15"/>
      <c r="H152" s="15"/>
      <c r="I152" s="15"/>
      <c r="J152" s="15"/>
      <c r="K152" s="15"/>
      <c r="L152" s="15"/>
      <c r="M152" s="15"/>
      <c r="N152" s="15"/>
      <c r="O152" s="16" t="str">
        <f aca="false">IF(A152="","",IF(OR(B152="",C152="",G152=""),"Functions and RISK-ID needed",IF(B152=C152,"Functions must differ",IF(OR(COUNTIF(Functions!$A$5:$A$204,B152)=0,COUNTIF(Functions!$A$5:$A$204,C152)=0),"Function not defined",IF(COUNTIF(Ref_RISK!$A$2:$A$201,G152)=0,"RISK-ID not in W04",IF(AND(L152&lt;&gt;"",L152&lt;&gt;"None",COUNTIF(Ref_CTRL!$A$2:$A$201,L152)=0),"Mitigation not in W05 RCM","OK"))))))</f>
        <v/>
      </c>
    </row>
    <row r="153" customFormat="false" ht="15" hidden="false" customHeight="false" outlineLevel="0" collapsed="false">
      <c r="A153" s="15"/>
      <c r="B153" s="15"/>
      <c r="C153" s="15"/>
      <c r="D153" s="16" t="str">
        <f aca="false">IFERROR(INDEX(Functions!$B$5:$B$204,MATCH(B153,Functions!$A$5:$A$204,0)),"")</f>
        <v/>
      </c>
      <c r="E153" s="16" t="str">
        <f aca="false">IFERROR(INDEX(Functions!$B$5:$B$204,MATCH(C153,Functions!$A$5:$A$204,0)),"")</f>
        <v/>
      </c>
      <c r="F153" s="15"/>
      <c r="G153" s="15"/>
      <c r="H153" s="15"/>
      <c r="I153" s="15"/>
      <c r="J153" s="15"/>
      <c r="K153" s="15"/>
      <c r="L153" s="15"/>
      <c r="M153" s="15"/>
      <c r="N153" s="15"/>
      <c r="O153" s="16" t="str">
        <f aca="false">IF(A153="","",IF(OR(B153="",C153="",G153=""),"Functions and RISK-ID needed",IF(B153=C153,"Functions must differ",IF(OR(COUNTIF(Functions!$A$5:$A$204,B153)=0,COUNTIF(Functions!$A$5:$A$204,C153)=0),"Function not defined",IF(COUNTIF(Ref_RISK!$A$2:$A$201,G153)=0,"RISK-ID not in W04",IF(AND(L153&lt;&gt;"",L153&lt;&gt;"None",COUNTIF(Ref_CTRL!$A$2:$A$201,L153)=0),"Mitigation not in W05 RCM","OK"))))))</f>
        <v/>
      </c>
    </row>
    <row r="154" customFormat="false" ht="15" hidden="false" customHeight="false" outlineLevel="0" collapsed="false">
      <c r="A154" s="15"/>
      <c r="B154" s="15"/>
      <c r="C154" s="15"/>
      <c r="D154" s="16" t="str">
        <f aca="false">IFERROR(INDEX(Functions!$B$5:$B$204,MATCH(B154,Functions!$A$5:$A$204,0)),"")</f>
        <v/>
      </c>
      <c r="E154" s="16" t="str">
        <f aca="false">IFERROR(INDEX(Functions!$B$5:$B$204,MATCH(C154,Functions!$A$5:$A$204,0)),"")</f>
        <v/>
      </c>
      <c r="F154" s="15"/>
      <c r="G154" s="15"/>
      <c r="H154" s="15"/>
      <c r="I154" s="15"/>
      <c r="J154" s="15"/>
      <c r="K154" s="15"/>
      <c r="L154" s="15"/>
      <c r="M154" s="15"/>
      <c r="N154" s="15"/>
      <c r="O154" s="16" t="str">
        <f aca="false">IF(A154="","",IF(OR(B154="",C154="",G154=""),"Functions and RISK-ID needed",IF(B154=C154,"Functions must differ",IF(OR(COUNTIF(Functions!$A$5:$A$204,B154)=0,COUNTIF(Functions!$A$5:$A$204,C154)=0),"Function not defined",IF(COUNTIF(Ref_RISK!$A$2:$A$201,G154)=0,"RISK-ID not in W04",IF(AND(L154&lt;&gt;"",L154&lt;&gt;"None",COUNTIF(Ref_CTRL!$A$2:$A$201,L154)=0),"Mitigation not in W05 RCM","OK"))))))</f>
        <v/>
      </c>
    </row>
    <row r="155" customFormat="false" ht="15" hidden="false" customHeight="false" outlineLevel="0" collapsed="false">
      <c r="A155" s="15"/>
      <c r="B155" s="15"/>
      <c r="C155" s="15"/>
      <c r="D155" s="16" t="str">
        <f aca="false">IFERROR(INDEX(Functions!$B$5:$B$204,MATCH(B155,Functions!$A$5:$A$204,0)),"")</f>
        <v/>
      </c>
      <c r="E155" s="16" t="str">
        <f aca="false">IFERROR(INDEX(Functions!$B$5:$B$204,MATCH(C155,Functions!$A$5:$A$204,0)),"")</f>
        <v/>
      </c>
      <c r="F155" s="15"/>
      <c r="G155" s="15"/>
      <c r="H155" s="15"/>
      <c r="I155" s="15"/>
      <c r="J155" s="15"/>
      <c r="K155" s="15"/>
      <c r="L155" s="15"/>
      <c r="M155" s="15"/>
      <c r="N155" s="15"/>
      <c r="O155" s="16" t="str">
        <f aca="false">IF(A155="","",IF(OR(B155="",C155="",G155=""),"Functions and RISK-ID needed",IF(B155=C155,"Functions must differ",IF(OR(COUNTIF(Functions!$A$5:$A$204,B155)=0,COUNTIF(Functions!$A$5:$A$204,C155)=0),"Function not defined",IF(COUNTIF(Ref_RISK!$A$2:$A$201,G155)=0,"RISK-ID not in W04",IF(AND(L155&lt;&gt;"",L155&lt;&gt;"None",COUNTIF(Ref_CTRL!$A$2:$A$201,L155)=0),"Mitigation not in W05 RCM","OK"))))))</f>
        <v/>
      </c>
    </row>
    <row r="156" customFormat="false" ht="15" hidden="false" customHeight="false" outlineLevel="0" collapsed="false">
      <c r="A156" s="15"/>
      <c r="B156" s="15"/>
      <c r="C156" s="15"/>
      <c r="D156" s="16" t="str">
        <f aca="false">IFERROR(INDEX(Functions!$B$5:$B$204,MATCH(B156,Functions!$A$5:$A$204,0)),"")</f>
        <v/>
      </c>
      <c r="E156" s="16" t="str">
        <f aca="false">IFERROR(INDEX(Functions!$B$5:$B$204,MATCH(C156,Functions!$A$5:$A$204,0)),"")</f>
        <v/>
      </c>
      <c r="F156" s="15"/>
      <c r="G156" s="15"/>
      <c r="H156" s="15"/>
      <c r="I156" s="15"/>
      <c r="J156" s="15"/>
      <c r="K156" s="15"/>
      <c r="L156" s="15"/>
      <c r="M156" s="15"/>
      <c r="N156" s="15"/>
      <c r="O156" s="16" t="str">
        <f aca="false">IF(A156="","",IF(OR(B156="",C156="",G156=""),"Functions and RISK-ID needed",IF(B156=C156,"Functions must differ",IF(OR(COUNTIF(Functions!$A$5:$A$204,B156)=0,COUNTIF(Functions!$A$5:$A$204,C156)=0),"Function not defined",IF(COUNTIF(Ref_RISK!$A$2:$A$201,G156)=0,"RISK-ID not in W04",IF(AND(L156&lt;&gt;"",L156&lt;&gt;"None",COUNTIF(Ref_CTRL!$A$2:$A$201,L156)=0),"Mitigation not in W05 RCM","OK"))))))</f>
        <v/>
      </c>
    </row>
    <row r="157" customFormat="false" ht="15" hidden="false" customHeight="false" outlineLevel="0" collapsed="false">
      <c r="A157" s="15"/>
      <c r="B157" s="15"/>
      <c r="C157" s="15"/>
      <c r="D157" s="16" t="str">
        <f aca="false">IFERROR(INDEX(Functions!$B$5:$B$204,MATCH(B157,Functions!$A$5:$A$204,0)),"")</f>
        <v/>
      </c>
      <c r="E157" s="16" t="str">
        <f aca="false">IFERROR(INDEX(Functions!$B$5:$B$204,MATCH(C157,Functions!$A$5:$A$204,0)),"")</f>
        <v/>
      </c>
      <c r="F157" s="15"/>
      <c r="G157" s="15"/>
      <c r="H157" s="15"/>
      <c r="I157" s="15"/>
      <c r="J157" s="15"/>
      <c r="K157" s="15"/>
      <c r="L157" s="15"/>
      <c r="M157" s="15"/>
      <c r="N157" s="15"/>
      <c r="O157" s="16" t="str">
        <f aca="false">IF(A157="","",IF(OR(B157="",C157="",G157=""),"Functions and RISK-ID needed",IF(B157=C157,"Functions must differ",IF(OR(COUNTIF(Functions!$A$5:$A$204,B157)=0,COUNTIF(Functions!$A$5:$A$204,C157)=0),"Function not defined",IF(COUNTIF(Ref_RISK!$A$2:$A$201,G157)=0,"RISK-ID not in W04",IF(AND(L157&lt;&gt;"",L157&lt;&gt;"None",COUNTIF(Ref_CTRL!$A$2:$A$201,L157)=0),"Mitigation not in W05 RCM","OK"))))))</f>
        <v/>
      </c>
    </row>
    <row r="158" customFormat="false" ht="15" hidden="false" customHeight="false" outlineLevel="0" collapsed="false">
      <c r="A158" s="15"/>
      <c r="B158" s="15"/>
      <c r="C158" s="15"/>
      <c r="D158" s="16" t="str">
        <f aca="false">IFERROR(INDEX(Functions!$B$5:$B$204,MATCH(B158,Functions!$A$5:$A$204,0)),"")</f>
        <v/>
      </c>
      <c r="E158" s="16" t="str">
        <f aca="false">IFERROR(INDEX(Functions!$B$5:$B$204,MATCH(C158,Functions!$A$5:$A$204,0)),"")</f>
        <v/>
      </c>
      <c r="F158" s="15"/>
      <c r="G158" s="15"/>
      <c r="H158" s="15"/>
      <c r="I158" s="15"/>
      <c r="J158" s="15"/>
      <c r="K158" s="15"/>
      <c r="L158" s="15"/>
      <c r="M158" s="15"/>
      <c r="N158" s="15"/>
      <c r="O158" s="16" t="str">
        <f aca="false">IF(A158="","",IF(OR(B158="",C158="",G158=""),"Functions and RISK-ID needed",IF(B158=C158,"Functions must differ",IF(OR(COUNTIF(Functions!$A$5:$A$204,B158)=0,COUNTIF(Functions!$A$5:$A$204,C158)=0),"Function not defined",IF(COUNTIF(Ref_RISK!$A$2:$A$201,G158)=0,"RISK-ID not in W04",IF(AND(L158&lt;&gt;"",L158&lt;&gt;"None",COUNTIF(Ref_CTRL!$A$2:$A$201,L158)=0),"Mitigation not in W05 RCM","OK"))))))</f>
        <v/>
      </c>
    </row>
    <row r="159" customFormat="false" ht="15" hidden="false" customHeight="false" outlineLevel="0" collapsed="false">
      <c r="A159" s="15"/>
      <c r="B159" s="15"/>
      <c r="C159" s="15"/>
      <c r="D159" s="16" t="str">
        <f aca="false">IFERROR(INDEX(Functions!$B$5:$B$204,MATCH(B159,Functions!$A$5:$A$204,0)),"")</f>
        <v/>
      </c>
      <c r="E159" s="16" t="str">
        <f aca="false">IFERROR(INDEX(Functions!$B$5:$B$204,MATCH(C159,Functions!$A$5:$A$204,0)),"")</f>
        <v/>
      </c>
      <c r="F159" s="15"/>
      <c r="G159" s="15"/>
      <c r="H159" s="15"/>
      <c r="I159" s="15"/>
      <c r="J159" s="15"/>
      <c r="K159" s="15"/>
      <c r="L159" s="15"/>
      <c r="M159" s="15"/>
      <c r="N159" s="15"/>
      <c r="O159" s="16" t="str">
        <f aca="false">IF(A159="","",IF(OR(B159="",C159="",G159=""),"Functions and RISK-ID needed",IF(B159=C159,"Functions must differ",IF(OR(COUNTIF(Functions!$A$5:$A$204,B159)=0,COUNTIF(Functions!$A$5:$A$204,C159)=0),"Function not defined",IF(COUNTIF(Ref_RISK!$A$2:$A$201,G159)=0,"RISK-ID not in W04",IF(AND(L159&lt;&gt;"",L159&lt;&gt;"None",COUNTIF(Ref_CTRL!$A$2:$A$201,L159)=0),"Mitigation not in W05 RCM","OK"))))))</f>
        <v/>
      </c>
    </row>
    <row r="160" customFormat="false" ht="15" hidden="false" customHeight="false" outlineLevel="0" collapsed="false">
      <c r="A160" s="15"/>
      <c r="B160" s="15"/>
      <c r="C160" s="15"/>
      <c r="D160" s="16" t="str">
        <f aca="false">IFERROR(INDEX(Functions!$B$5:$B$204,MATCH(B160,Functions!$A$5:$A$204,0)),"")</f>
        <v/>
      </c>
      <c r="E160" s="16" t="str">
        <f aca="false">IFERROR(INDEX(Functions!$B$5:$B$204,MATCH(C160,Functions!$A$5:$A$204,0)),"")</f>
        <v/>
      </c>
      <c r="F160" s="15"/>
      <c r="G160" s="15"/>
      <c r="H160" s="15"/>
      <c r="I160" s="15"/>
      <c r="J160" s="15"/>
      <c r="K160" s="15"/>
      <c r="L160" s="15"/>
      <c r="M160" s="15"/>
      <c r="N160" s="15"/>
      <c r="O160" s="16" t="str">
        <f aca="false">IF(A160="","",IF(OR(B160="",C160="",G160=""),"Functions and RISK-ID needed",IF(B160=C160,"Functions must differ",IF(OR(COUNTIF(Functions!$A$5:$A$204,B160)=0,COUNTIF(Functions!$A$5:$A$204,C160)=0),"Function not defined",IF(COUNTIF(Ref_RISK!$A$2:$A$201,G160)=0,"RISK-ID not in W04",IF(AND(L160&lt;&gt;"",L160&lt;&gt;"None",COUNTIF(Ref_CTRL!$A$2:$A$201,L160)=0),"Mitigation not in W05 RCM","OK"))))))</f>
        <v/>
      </c>
    </row>
    <row r="161" customFormat="false" ht="15" hidden="false" customHeight="false" outlineLevel="0" collapsed="false">
      <c r="A161" s="15"/>
      <c r="B161" s="15"/>
      <c r="C161" s="15"/>
      <c r="D161" s="16" t="str">
        <f aca="false">IFERROR(INDEX(Functions!$B$5:$B$204,MATCH(B161,Functions!$A$5:$A$204,0)),"")</f>
        <v/>
      </c>
      <c r="E161" s="16" t="str">
        <f aca="false">IFERROR(INDEX(Functions!$B$5:$B$204,MATCH(C161,Functions!$A$5:$A$204,0)),"")</f>
        <v/>
      </c>
      <c r="F161" s="15"/>
      <c r="G161" s="15"/>
      <c r="H161" s="15"/>
      <c r="I161" s="15"/>
      <c r="J161" s="15"/>
      <c r="K161" s="15"/>
      <c r="L161" s="15"/>
      <c r="M161" s="15"/>
      <c r="N161" s="15"/>
      <c r="O161" s="16" t="str">
        <f aca="false">IF(A161="","",IF(OR(B161="",C161="",G161=""),"Functions and RISK-ID needed",IF(B161=C161,"Functions must differ",IF(OR(COUNTIF(Functions!$A$5:$A$204,B161)=0,COUNTIF(Functions!$A$5:$A$204,C161)=0),"Function not defined",IF(COUNTIF(Ref_RISK!$A$2:$A$201,G161)=0,"RISK-ID not in W04",IF(AND(L161&lt;&gt;"",L161&lt;&gt;"None",COUNTIF(Ref_CTRL!$A$2:$A$201,L161)=0),"Mitigation not in W05 RCM","OK"))))))</f>
        <v/>
      </c>
    </row>
    <row r="162" customFormat="false" ht="15" hidden="false" customHeight="false" outlineLevel="0" collapsed="false">
      <c r="A162" s="15"/>
      <c r="B162" s="15"/>
      <c r="C162" s="15"/>
      <c r="D162" s="16" t="str">
        <f aca="false">IFERROR(INDEX(Functions!$B$5:$B$204,MATCH(B162,Functions!$A$5:$A$204,0)),"")</f>
        <v/>
      </c>
      <c r="E162" s="16" t="str">
        <f aca="false">IFERROR(INDEX(Functions!$B$5:$B$204,MATCH(C162,Functions!$A$5:$A$204,0)),"")</f>
        <v/>
      </c>
      <c r="F162" s="15"/>
      <c r="G162" s="15"/>
      <c r="H162" s="15"/>
      <c r="I162" s="15"/>
      <c r="J162" s="15"/>
      <c r="K162" s="15"/>
      <c r="L162" s="15"/>
      <c r="M162" s="15"/>
      <c r="N162" s="15"/>
      <c r="O162" s="16" t="str">
        <f aca="false">IF(A162="","",IF(OR(B162="",C162="",G162=""),"Functions and RISK-ID needed",IF(B162=C162,"Functions must differ",IF(OR(COUNTIF(Functions!$A$5:$A$204,B162)=0,COUNTIF(Functions!$A$5:$A$204,C162)=0),"Function not defined",IF(COUNTIF(Ref_RISK!$A$2:$A$201,G162)=0,"RISK-ID not in W04",IF(AND(L162&lt;&gt;"",L162&lt;&gt;"None",COUNTIF(Ref_CTRL!$A$2:$A$201,L162)=0),"Mitigation not in W05 RCM","OK"))))))</f>
        <v/>
      </c>
    </row>
    <row r="163" customFormat="false" ht="15" hidden="false" customHeight="false" outlineLevel="0" collapsed="false">
      <c r="A163" s="15"/>
      <c r="B163" s="15"/>
      <c r="C163" s="15"/>
      <c r="D163" s="16" t="str">
        <f aca="false">IFERROR(INDEX(Functions!$B$5:$B$204,MATCH(B163,Functions!$A$5:$A$204,0)),"")</f>
        <v/>
      </c>
      <c r="E163" s="16" t="str">
        <f aca="false">IFERROR(INDEX(Functions!$B$5:$B$204,MATCH(C163,Functions!$A$5:$A$204,0)),"")</f>
        <v/>
      </c>
      <c r="F163" s="15"/>
      <c r="G163" s="15"/>
      <c r="H163" s="15"/>
      <c r="I163" s="15"/>
      <c r="J163" s="15"/>
      <c r="K163" s="15"/>
      <c r="L163" s="15"/>
      <c r="M163" s="15"/>
      <c r="N163" s="15"/>
      <c r="O163" s="16" t="str">
        <f aca="false">IF(A163="","",IF(OR(B163="",C163="",G163=""),"Functions and RISK-ID needed",IF(B163=C163,"Functions must differ",IF(OR(COUNTIF(Functions!$A$5:$A$204,B163)=0,COUNTIF(Functions!$A$5:$A$204,C163)=0),"Function not defined",IF(COUNTIF(Ref_RISK!$A$2:$A$201,G163)=0,"RISK-ID not in W04",IF(AND(L163&lt;&gt;"",L163&lt;&gt;"None",COUNTIF(Ref_CTRL!$A$2:$A$201,L163)=0),"Mitigation not in W05 RCM","OK"))))))</f>
        <v/>
      </c>
    </row>
    <row r="164" customFormat="false" ht="15" hidden="false" customHeight="false" outlineLevel="0" collapsed="false">
      <c r="A164" s="15"/>
      <c r="B164" s="15"/>
      <c r="C164" s="15"/>
      <c r="D164" s="16" t="str">
        <f aca="false">IFERROR(INDEX(Functions!$B$5:$B$204,MATCH(B164,Functions!$A$5:$A$204,0)),"")</f>
        <v/>
      </c>
      <c r="E164" s="16" t="str">
        <f aca="false">IFERROR(INDEX(Functions!$B$5:$B$204,MATCH(C164,Functions!$A$5:$A$204,0)),"")</f>
        <v/>
      </c>
      <c r="F164" s="15"/>
      <c r="G164" s="15"/>
      <c r="H164" s="15"/>
      <c r="I164" s="15"/>
      <c r="J164" s="15"/>
      <c r="K164" s="15"/>
      <c r="L164" s="15"/>
      <c r="M164" s="15"/>
      <c r="N164" s="15"/>
      <c r="O164" s="16" t="str">
        <f aca="false">IF(A164="","",IF(OR(B164="",C164="",G164=""),"Functions and RISK-ID needed",IF(B164=C164,"Functions must differ",IF(OR(COUNTIF(Functions!$A$5:$A$204,B164)=0,COUNTIF(Functions!$A$5:$A$204,C164)=0),"Function not defined",IF(COUNTIF(Ref_RISK!$A$2:$A$201,G164)=0,"RISK-ID not in W04",IF(AND(L164&lt;&gt;"",L164&lt;&gt;"None",COUNTIF(Ref_CTRL!$A$2:$A$201,L164)=0),"Mitigation not in W05 RCM","OK"))))))</f>
        <v/>
      </c>
    </row>
    <row r="165" customFormat="false" ht="15" hidden="false" customHeight="false" outlineLevel="0" collapsed="false">
      <c r="A165" s="15"/>
      <c r="B165" s="15"/>
      <c r="C165" s="15"/>
      <c r="D165" s="16" t="str">
        <f aca="false">IFERROR(INDEX(Functions!$B$5:$B$204,MATCH(B165,Functions!$A$5:$A$204,0)),"")</f>
        <v/>
      </c>
      <c r="E165" s="16" t="str">
        <f aca="false">IFERROR(INDEX(Functions!$B$5:$B$204,MATCH(C165,Functions!$A$5:$A$204,0)),"")</f>
        <v/>
      </c>
      <c r="F165" s="15"/>
      <c r="G165" s="15"/>
      <c r="H165" s="15"/>
      <c r="I165" s="15"/>
      <c r="J165" s="15"/>
      <c r="K165" s="15"/>
      <c r="L165" s="15"/>
      <c r="M165" s="15"/>
      <c r="N165" s="15"/>
      <c r="O165" s="16" t="str">
        <f aca="false">IF(A165="","",IF(OR(B165="",C165="",G165=""),"Functions and RISK-ID needed",IF(B165=C165,"Functions must differ",IF(OR(COUNTIF(Functions!$A$5:$A$204,B165)=0,COUNTIF(Functions!$A$5:$A$204,C165)=0),"Function not defined",IF(COUNTIF(Ref_RISK!$A$2:$A$201,G165)=0,"RISK-ID not in W04",IF(AND(L165&lt;&gt;"",L165&lt;&gt;"None",COUNTIF(Ref_CTRL!$A$2:$A$201,L165)=0),"Mitigation not in W05 RCM","OK"))))))</f>
        <v/>
      </c>
    </row>
    <row r="166" customFormat="false" ht="15" hidden="false" customHeight="false" outlineLevel="0" collapsed="false">
      <c r="A166" s="15"/>
      <c r="B166" s="15"/>
      <c r="C166" s="15"/>
      <c r="D166" s="16" t="str">
        <f aca="false">IFERROR(INDEX(Functions!$B$5:$B$204,MATCH(B166,Functions!$A$5:$A$204,0)),"")</f>
        <v/>
      </c>
      <c r="E166" s="16" t="str">
        <f aca="false">IFERROR(INDEX(Functions!$B$5:$B$204,MATCH(C166,Functions!$A$5:$A$204,0)),"")</f>
        <v/>
      </c>
      <c r="F166" s="15"/>
      <c r="G166" s="15"/>
      <c r="H166" s="15"/>
      <c r="I166" s="15"/>
      <c r="J166" s="15"/>
      <c r="K166" s="15"/>
      <c r="L166" s="15"/>
      <c r="M166" s="15"/>
      <c r="N166" s="15"/>
      <c r="O166" s="16" t="str">
        <f aca="false">IF(A166="","",IF(OR(B166="",C166="",G166=""),"Functions and RISK-ID needed",IF(B166=C166,"Functions must differ",IF(OR(COUNTIF(Functions!$A$5:$A$204,B166)=0,COUNTIF(Functions!$A$5:$A$204,C166)=0),"Function not defined",IF(COUNTIF(Ref_RISK!$A$2:$A$201,G166)=0,"RISK-ID not in W04",IF(AND(L166&lt;&gt;"",L166&lt;&gt;"None",COUNTIF(Ref_CTRL!$A$2:$A$201,L166)=0),"Mitigation not in W05 RCM","OK"))))))</f>
        <v/>
      </c>
    </row>
    <row r="167" customFormat="false" ht="15" hidden="false" customHeight="false" outlineLevel="0" collapsed="false">
      <c r="A167" s="15"/>
      <c r="B167" s="15"/>
      <c r="C167" s="15"/>
      <c r="D167" s="16" t="str">
        <f aca="false">IFERROR(INDEX(Functions!$B$5:$B$204,MATCH(B167,Functions!$A$5:$A$204,0)),"")</f>
        <v/>
      </c>
      <c r="E167" s="16" t="str">
        <f aca="false">IFERROR(INDEX(Functions!$B$5:$B$204,MATCH(C167,Functions!$A$5:$A$204,0)),"")</f>
        <v/>
      </c>
      <c r="F167" s="15"/>
      <c r="G167" s="15"/>
      <c r="H167" s="15"/>
      <c r="I167" s="15"/>
      <c r="J167" s="15"/>
      <c r="K167" s="15"/>
      <c r="L167" s="15"/>
      <c r="M167" s="15"/>
      <c r="N167" s="15"/>
      <c r="O167" s="16" t="str">
        <f aca="false">IF(A167="","",IF(OR(B167="",C167="",G167=""),"Functions and RISK-ID needed",IF(B167=C167,"Functions must differ",IF(OR(COUNTIF(Functions!$A$5:$A$204,B167)=0,COUNTIF(Functions!$A$5:$A$204,C167)=0),"Function not defined",IF(COUNTIF(Ref_RISK!$A$2:$A$201,G167)=0,"RISK-ID not in W04",IF(AND(L167&lt;&gt;"",L167&lt;&gt;"None",COUNTIF(Ref_CTRL!$A$2:$A$201,L167)=0),"Mitigation not in W05 RCM","OK"))))))</f>
        <v/>
      </c>
    </row>
    <row r="168" customFormat="false" ht="15" hidden="false" customHeight="false" outlineLevel="0" collapsed="false">
      <c r="A168" s="15"/>
      <c r="B168" s="15"/>
      <c r="C168" s="15"/>
      <c r="D168" s="16" t="str">
        <f aca="false">IFERROR(INDEX(Functions!$B$5:$B$204,MATCH(B168,Functions!$A$5:$A$204,0)),"")</f>
        <v/>
      </c>
      <c r="E168" s="16" t="str">
        <f aca="false">IFERROR(INDEX(Functions!$B$5:$B$204,MATCH(C168,Functions!$A$5:$A$204,0)),"")</f>
        <v/>
      </c>
      <c r="F168" s="15"/>
      <c r="G168" s="15"/>
      <c r="H168" s="15"/>
      <c r="I168" s="15"/>
      <c r="J168" s="15"/>
      <c r="K168" s="15"/>
      <c r="L168" s="15"/>
      <c r="M168" s="15"/>
      <c r="N168" s="15"/>
      <c r="O168" s="16" t="str">
        <f aca="false">IF(A168="","",IF(OR(B168="",C168="",G168=""),"Functions and RISK-ID needed",IF(B168=C168,"Functions must differ",IF(OR(COUNTIF(Functions!$A$5:$A$204,B168)=0,COUNTIF(Functions!$A$5:$A$204,C168)=0),"Function not defined",IF(COUNTIF(Ref_RISK!$A$2:$A$201,G168)=0,"RISK-ID not in W04",IF(AND(L168&lt;&gt;"",L168&lt;&gt;"None",COUNTIF(Ref_CTRL!$A$2:$A$201,L168)=0),"Mitigation not in W05 RCM","OK"))))))</f>
        <v/>
      </c>
    </row>
    <row r="169" customFormat="false" ht="15" hidden="false" customHeight="false" outlineLevel="0" collapsed="false">
      <c r="A169" s="15"/>
      <c r="B169" s="15"/>
      <c r="C169" s="15"/>
      <c r="D169" s="16" t="str">
        <f aca="false">IFERROR(INDEX(Functions!$B$5:$B$204,MATCH(B169,Functions!$A$5:$A$204,0)),"")</f>
        <v/>
      </c>
      <c r="E169" s="16" t="str">
        <f aca="false">IFERROR(INDEX(Functions!$B$5:$B$204,MATCH(C169,Functions!$A$5:$A$204,0)),"")</f>
        <v/>
      </c>
      <c r="F169" s="15"/>
      <c r="G169" s="15"/>
      <c r="H169" s="15"/>
      <c r="I169" s="15"/>
      <c r="J169" s="15"/>
      <c r="K169" s="15"/>
      <c r="L169" s="15"/>
      <c r="M169" s="15"/>
      <c r="N169" s="15"/>
      <c r="O169" s="16" t="str">
        <f aca="false">IF(A169="","",IF(OR(B169="",C169="",G169=""),"Functions and RISK-ID needed",IF(B169=C169,"Functions must differ",IF(OR(COUNTIF(Functions!$A$5:$A$204,B169)=0,COUNTIF(Functions!$A$5:$A$204,C169)=0),"Function not defined",IF(COUNTIF(Ref_RISK!$A$2:$A$201,G169)=0,"RISK-ID not in W04",IF(AND(L169&lt;&gt;"",L169&lt;&gt;"None",COUNTIF(Ref_CTRL!$A$2:$A$201,L169)=0),"Mitigation not in W05 RCM","OK"))))))</f>
        <v/>
      </c>
    </row>
    <row r="170" customFormat="false" ht="15" hidden="false" customHeight="false" outlineLevel="0" collapsed="false">
      <c r="A170" s="15"/>
      <c r="B170" s="15"/>
      <c r="C170" s="15"/>
      <c r="D170" s="16" t="str">
        <f aca="false">IFERROR(INDEX(Functions!$B$5:$B$204,MATCH(B170,Functions!$A$5:$A$204,0)),"")</f>
        <v/>
      </c>
      <c r="E170" s="16" t="str">
        <f aca="false">IFERROR(INDEX(Functions!$B$5:$B$204,MATCH(C170,Functions!$A$5:$A$204,0)),"")</f>
        <v/>
      </c>
      <c r="F170" s="15"/>
      <c r="G170" s="15"/>
      <c r="H170" s="15"/>
      <c r="I170" s="15"/>
      <c r="J170" s="15"/>
      <c r="K170" s="15"/>
      <c r="L170" s="15"/>
      <c r="M170" s="15"/>
      <c r="N170" s="15"/>
      <c r="O170" s="16" t="str">
        <f aca="false">IF(A170="","",IF(OR(B170="",C170="",G170=""),"Functions and RISK-ID needed",IF(B170=C170,"Functions must differ",IF(OR(COUNTIF(Functions!$A$5:$A$204,B170)=0,COUNTIF(Functions!$A$5:$A$204,C170)=0),"Function not defined",IF(COUNTIF(Ref_RISK!$A$2:$A$201,G170)=0,"RISK-ID not in W04",IF(AND(L170&lt;&gt;"",L170&lt;&gt;"None",COUNTIF(Ref_CTRL!$A$2:$A$201,L170)=0),"Mitigation not in W05 RCM","OK"))))))</f>
        <v/>
      </c>
    </row>
    <row r="171" customFormat="false" ht="15" hidden="false" customHeight="false" outlineLevel="0" collapsed="false">
      <c r="A171" s="15"/>
      <c r="B171" s="15"/>
      <c r="C171" s="15"/>
      <c r="D171" s="16" t="str">
        <f aca="false">IFERROR(INDEX(Functions!$B$5:$B$204,MATCH(B171,Functions!$A$5:$A$204,0)),"")</f>
        <v/>
      </c>
      <c r="E171" s="16" t="str">
        <f aca="false">IFERROR(INDEX(Functions!$B$5:$B$204,MATCH(C171,Functions!$A$5:$A$204,0)),"")</f>
        <v/>
      </c>
      <c r="F171" s="15"/>
      <c r="G171" s="15"/>
      <c r="H171" s="15"/>
      <c r="I171" s="15"/>
      <c r="J171" s="15"/>
      <c r="K171" s="15"/>
      <c r="L171" s="15"/>
      <c r="M171" s="15"/>
      <c r="N171" s="15"/>
      <c r="O171" s="16" t="str">
        <f aca="false">IF(A171="","",IF(OR(B171="",C171="",G171=""),"Functions and RISK-ID needed",IF(B171=C171,"Functions must differ",IF(OR(COUNTIF(Functions!$A$5:$A$204,B171)=0,COUNTIF(Functions!$A$5:$A$204,C171)=0),"Function not defined",IF(COUNTIF(Ref_RISK!$A$2:$A$201,G171)=0,"RISK-ID not in W04",IF(AND(L171&lt;&gt;"",L171&lt;&gt;"None",COUNTIF(Ref_CTRL!$A$2:$A$201,L171)=0),"Mitigation not in W05 RCM","OK"))))))</f>
        <v/>
      </c>
    </row>
    <row r="172" customFormat="false" ht="15" hidden="false" customHeight="false" outlineLevel="0" collapsed="false">
      <c r="A172" s="15"/>
      <c r="B172" s="15"/>
      <c r="C172" s="15"/>
      <c r="D172" s="16" t="str">
        <f aca="false">IFERROR(INDEX(Functions!$B$5:$B$204,MATCH(B172,Functions!$A$5:$A$204,0)),"")</f>
        <v/>
      </c>
      <c r="E172" s="16" t="str">
        <f aca="false">IFERROR(INDEX(Functions!$B$5:$B$204,MATCH(C172,Functions!$A$5:$A$204,0)),"")</f>
        <v/>
      </c>
      <c r="F172" s="15"/>
      <c r="G172" s="15"/>
      <c r="H172" s="15"/>
      <c r="I172" s="15"/>
      <c r="J172" s="15"/>
      <c r="K172" s="15"/>
      <c r="L172" s="15"/>
      <c r="M172" s="15"/>
      <c r="N172" s="15"/>
      <c r="O172" s="16" t="str">
        <f aca="false">IF(A172="","",IF(OR(B172="",C172="",G172=""),"Functions and RISK-ID needed",IF(B172=C172,"Functions must differ",IF(OR(COUNTIF(Functions!$A$5:$A$204,B172)=0,COUNTIF(Functions!$A$5:$A$204,C172)=0),"Function not defined",IF(COUNTIF(Ref_RISK!$A$2:$A$201,G172)=0,"RISK-ID not in W04",IF(AND(L172&lt;&gt;"",L172&lt;&gt;"None",COUNTIF(Ref_CTRL!$A$2:$A$201,L172)=0),"Mitigation not in W05 RCM","OK"))))))</f>
        <v/>
      </c>
    </row>
    <row r="173" customFormat="false" ht="15" hidden="false" customHeight="false" outlineLevel="0" collapsed="false">
      <c r="A173" s="15"/>
      <c r="B173" s="15"/>
      <c r="C173" s="15"/>
      <c r="D173" s="16" t="str">
        <f aca="false">IFERROR(INDEX(Functions!$B$5:$B$204,MATCH(B173,Functions!$A$5:$A$204,0)),"")</f>
        <v/>
      </c>
      <c r="E173" s="16" t="str">
        <f aca="false">IFERROR(INDEX(Functions!$B$5:$B$204,MATCH(C173,Functions!$A$5:$A$204,0)),"")</f>
        <v/>
      </c>
      <c r="F173" s="15"/>
      <c r="G173" s="15"/>
      <c r="H173" s="15"/>
      <c r="I173" s="15"/>
      <c r="J173" s="15"/>
      <c r="K173" s="15"/>
      <c r="L173" s="15"/>
      <c r="M173" s="15"/>
      <c r="N173" s="15"/>
      <c r="O173" s="16" t="str">
        <f aca="false">IF(A173="","",IF(OR(B173="",C173="",G173=""),"Functions and RISK-ID needed",IF(B173=C173,"Functions must differ",IF(OR(COUNTIF(Functions!$A$5:$A$204,B173)=0,COUNTIF(Functions!$A$5:$A$204,C173)=0),"Function not defined",IF(COUNTIF(Ref_RISK!$A$2:$A$201,G173)=0,"RISK-ID not in W04",IF(AND(L173&lt;&gt;"",L173&lt;&gt;"None",COUNTIF(Ref_CTRL!$A$2:$A$201,L173)=0),"Mitigation not in W05 RCM","OK"))))))</f>
        <v/>
      </c>
    </row>
    <row r="174" customFormat="false" ht="15" hidden="false" customHeight="false" outlineLevel="0" collapsed="false">
      <c r="A174" s="15"/>
      <c r="B174" s="15"/>
      <c r="C174" s="15"/>
      <c r="D174" s="16" t="str">
        <f aca="false">IFERROR(INDEX(Functions!$B$5:$B$204,MATCH(B174,Functions!$A$5:$A$204,0)),"")</f>
        <v/>
      </c>
      <c r="E174" s="16" t="str">
        <f aca="false">IFERROR(INDEX(Functions!$B$5:$B$204,MATCH(C174,Functions!$A$5:$A$204,0)),"")</f>
        <v/>
      </c>
      <c r="F174" s="15"/>
      <c r="G174" s="15"/>
      <c r="H174" s="15"/>
      <c r="I174" s="15"/>
      <c r="J174" s="15"/>
      <c r="K174" s="15"/>
      <c r="L174" s="15"/>
      <c r="M174" s="15"/>
      <c r="N174" s="15"/>
      <c r="O174" s="16" t="str">
        <f aca="false">IF(A174="","",IF(OR(B174="",C174="",G174=""),"Functions and RISK-ID needed",IF(B174=C174,"Functions must differ",IF(OR(COUNTIF(Functions!$A$5:$A$204,B174)=0,COUNTIF(Functions!$A$5:$A$204,C174)=0),"Function not defined",IF(COUNTIF(Ref_RISK!$A$2:$A$201,G174)=0,"RISK-ID not in W04",IF(AND(L174&lt;&gt;"",L174&lt;&gt;"None",COUNTIF(Ref_CTRL!$A$2:$A$201,L174)=0),"Mitigation not in W05 RCM","OK"))))))</f>
        <v/>
      </c>
    </row>
    <row r="175" customFormat="false" ht="15" hidden="false" customHeight="false" outlineLevel="0" collapsed="false">
      <c r="A175" s="15"/>
      <c r="B175" s="15"/>
      <c r="C175" s="15"/>
      <c r="D175" s="16" t="str">
        <f aca="false">IFERROR(INDEX(Functions!$B$5:$B$204,MATCH(B175,Functions!$A$5:$A$204,0)),"")</f>
        <v/>
      </c>
      <c r="E175" s="16" t="str">
        <f aca="false">IFERROR(INDEX(Functions!$B$5:$B$204,MATCH(C175,Functions!$A$5:$A$204,0)),"")</f>
        <v/>
      </c>
      <c r="F175" s="15"/>
      <c r="G175" s="15"/>
      <c r="H175" s="15"/>
      <c r="I175" s="15"/>
      <c r="J175" s="15"/>
      <c r="K175" s="15"/>
      <c r="L175" s="15"/>
      <c r="M175" s="15"/>
      <c r="N175" s="15"/>
      <c r="O175" s="16" t="str">
        <f aca="false">IF(A175="","",IF(OR(B175="",C175="",G175=""),"Functions and RISK-ID needed",IF(B175=C175,"Functions must differ",IF(OR(COUNTIF(Functions!$A$5:$A$204,B175)=0,COUNTIF(Functions!$A$5:$A$204,C175)=0),"Function not defined",IF(COUNTIF(Ref_RISK!$A$2:$A$201,G175)=0,"RISK-ID not in W04",IF(AND(L175&lt;&gt;"",L175&lt;&gt;"None",COUNTIF(Ref_CTRL!$A$2:$A$201,L175)=0),"Mitigation not in W05 RCM","OK"))))))</f>
        <v/>
      </c>
    </row>
    <row r="176" customFormat="false" ht="15" hidden="false" customHeight="false" outlineLevel="0" collapsed="false">
      <c r="A176" s="15"/>
      <c r="B176" s="15"/>
      <c r="C176" s="15"/>
      <c r="D176" s="16" t="str">
        <f aca="false">IFERROR(INDEX(Functions!$B$5:$B$204,MATCH(B176,Functions!$A$5:$A$204,0)),"")</f>
        <v/>
      </c>
      <c r="E176" s="16" t="str">
        <f aca="false">IFERROR(INDEX(Functions!$B$5:$B$204,MATCH(C176,Functions!$A$5:$A$204,0)),"")</f>
        <v/>
      </c>
      <c r="F176" s="15"/>
      <c r="G176" s="15"/>
      <c r="H176" s="15"/>
      <c r="I176" s="15"/>
      <c r="J176" s="15"/>
      <c r="K176" s="15"/>
      <c r="L176" s="15"/>
      <c r="M176" s="15"/>
      <c r="N176" s="15"/>
      <c r="O176" s="16" t="str">
        <f aca="false">IF(A176="","",IF(OR(B176="",C176="",G176=""),"Functions and RISK-ID needed",IF(B176=C176,"Functions must differ",IF(OR(COUNTIF(Functions!$A$5:$A$204,B176)=0,COUNTIF(Functions!$A$5:$A$204,C176)=0),"Function not defined",IF(COUNTIF(Ref_RISK!$A$2:$A$201,G176)=0,"RISK-ID not in W04",IF(AND(L176&lt;&gt;"",L176&lt;&gt;"None",COUNTIF(Ref_CTRL!$A$2:$A$201,L176)=0),"Mitigation not in W05 RCM","OK"))))))</f>
        <v/>
      </c>
    </row>
    <row r="177" customFormat="false" ht="15" hidden="false" customHeight="false" outlineLevel="0" collapsed="false">
      <c r="A177" s="15"/>
      <c r="B177" s="15"/>
      <c r="C177" s="15"/>
      <c r="D177" s="16" t="str">
        <f aca="false">IFERROR(INDEX(Functions!$B$5:$B$204,MATCH(B177,Functions!$A$5:$A$204,0)),"")</f>
        <v/>
      </c>
      <c r="E177" s="16" t="str">
        <f aca="false">IFERROR(INDEX(Functions!$B$5:$B$204,MATCH(C177,Functions!$A$5:$A$204,0)),"")</f>
        <v/>
      </c>
      <c r="F177" s="15"/>
      <c r="G177" s="15"/>
      <c r="H177" s="15"/>
      <c r="I177" s="15"/>
      <c r="J177" s="15"/>
      <c r="K177" s="15"/>
      <c r="L177" s="15"/>
      <c r="M177" s="15"/>
      <c r="N177" s="15"/>
      <c r="O177" s="16" t="str">
        <f aca="false">IF(A177="","",IF(OR(B177="",C177="",G177=""),"Functions and RISK-ID needed",IF(B177=C177,"Functions must differ",IF(OR(COUNTIF(Functions!$A$5:$A$204,B177)=0,COUNTIF(Functions!$A$5:$A$204,C177)=0),"Function not defined",IF(COUNTIF(Ref_RISK!$A$2:$A$201,G177)=0,"RISK-ID not in W04",IF(AND(L177&lt;&gt;"",L177&lt;&gt;"None",COUNTIF(Ref_CTRL!$A$2:$A$201,L177)=0),"Mitigation not in W05 RCM","OK"))))))</f>
        <v/>
      </c>
    </row>
    <row r="178" customFormat="false" ht="15" hidden="false" customHeight="false" outlineLevel="0" collapsed="false">
      <c r="A178" s="15"/>
      <c r="B178" s="15"/>
      <c r="C178" s="15"/>
      <c r="D178" s="16" t="str">
        <f aca="false">IFERROR(INDEX(Functions!$B$5:$B$204,MATCH(B178,Functions!$A$5:$A$204,0)),"")</f>
        <v/>
      </c>
      <c r="E178" s="16" t="str">
        <f aca="false">IFERROR(INDEX(Functions!$B$5:$B$204,MATCH(C178,Functions!$A$5:$A$204,0)),"")</f>
        <v/>
      </c>
      <c r="F178" s="15"/>
      <c r="G178" s="15"/>
      <c r="H178" s="15"/>
      <c r="I178" s="15"/>
      <c r="J178" s="15"/>
      <c r="K178" s="15"/>
      <c r="L178" s="15"/>
      <c r="M178" s="15"/>
      <c r="N178" s="15"/>
      <c r="O178" s="16" t="str">
        <f aca="false">IF(A178="","",IF(OR(B178="",C178="",G178=""),"Functions and RISK-ID needed",IF(B178=C178,"Functions must differ",IF(OR(COUNTIF(Functions!$A$5:$A$204,B178)=0,COUNTIF(Functions!$A$5:$A$204,C178)=0),"Function not defined",IF(COUNTIF(Ref_RISK!$A$2:$A$201,G178)=0,"RISK-ID not in W04",IF(AND(L178&lt;&gt;"",L178&lt;&gt;"None",COUNTIF(Ref_CTRL!$A$2:$A$201,L178)=0),"Mitigation not in W05 RCM","OK"))))))</f>
        <v/>
      </c>
    </row>
    <row r="179" customFormat="false" ht="15" hidden="false" customHeight="false" outlineLevel="0" collapsed="false">
      <c r="A179" s="15"/>
      <c r="B179" s="15"/>
      <c r="C179" s="15"/>
      <c r="D179" s="16" t="str">
        <f aca="false">IFERROR(INDEX(Functions!$B$5:$B$204,MATCH(B179,Functions!$A$5:$A$204,0)),"")</f>
        <v/>
      </c>
      <c r="E179" s="16" t="str">
        <f aca="false">IFERROR(INDEX(Functions!$B$5:$B$204,MATCH(C179,Functions!$A$5:$A$204,0)),"")</f>
        <v/>
      </c>
      <c r="F179" s="15"/>
      <c r="G179" s="15"/>
      <c r="H179" s="15"/>
      <c r="I179" s="15"/>
      <c r="J179" s="15"/>
      <c r="K179" s="15"/>
      <c r="L179" s="15"/>
      <c r="M179" s="15"/>
      <c r="N179" s="15"/>
      <c r="O179" s="16" t="str">
        <f aca="false">IF(A179="","",IF(OR(B179="",C179="",G179=""),"Functions and RISK-ID needed",IF(B179=C179,"Functions must differ",IF(OR(COUNTIF(Functions!$A$5:$A$204,B179)=0,COUNTIF(Functions!$A$5:$A$204,C179)=0),"Function not defined",IF(COUNTIF(Ref_RISK!$A$2:$A$201,G179)=0,"RISK-ID not in W04",IF(AND(L179&lt;&gt;"",L179&lt;&gt;"None",COUNTIF(Ref_CTRL!$A$2:$A$201,L179)=0),"Mitigation not in W05 RCM","OK"))))))</f>
        <v/>
      </c>
    </row>
    <row r="180" customFormat="false" ht="15" hidden="false" customHeight="false" outlineLevel="0" collapsed="false">
      <c r="A180" s="15"/>
      <c r="B180" s="15"/>
      <c r="C180" s="15"/>
      <c r="D180" s="16" t="str">
        <f aca="false">IFERROR(INDEX(Functions!$B$5:$B$204,MATCH(B180,Functions!$A$5:$A$204,0)),"")</f>
        <v/>
      </c>
      <c r="E180" s="16" t="str">
        <f aca="false">IFERROR(INDEX(Functions!$B$5:$B$204,MATCH(C180,Functions!$A$5:$A$204,0)),"")</f>
        <v/>
      </c>
      <c r="F180" s="15"/>
      <c r="G180" s="15"/>
      <c r="H180" s="15"/>
      <c r="I180" s="15"/>
      <c r="J180" s="15"/>
      <c r="K180" s="15"/>
      <c r="L180" s="15"/>
      <c r="M180" s="15"/>
      <c r="N180" s="15"/>
      <c r="O180" s="16" t="str">
        <f aca="false">IF(A180="","",IF(OR(B180="",C180="",G180=""),"Functions and RISK-ID needed",IF(B180=C180,"Functions must differ",IF(OR(COUNTIF(Functions!$A$5:$A$204,B180)=0,COUNTIF(Functions!$A$5:$A$204,C180)=0),"Function not defined",IF(COUNTIF(Ref_RISK!$A$2:$A$201,G180)=0,"RISK-ID not in W04",IF(AND(L180&lt;&gt;"",L180&lt;&gt;"None",COUNTIF(Ref_CTRL!$A$2:$A$201,L180)=0),"Mitigation not in W05 RCM","OK"))))))</f>
        <v/>
      </c>
    </row>
    <row r="181" customFormat="false" ht="15" hidden="false" customHeight="false" outlineLevel="0" collapsed="false">
      <c r="A181" s="15"/>
      <c r="B181" s="15"/>
      <c r="C181" s="15"/>
      <c r="D181" s="16" t="str">
        <f aca="false">IFERROR(INDEX(Functions!$B$5:$B$204,MATCH(B181,Functions!$A$5:$A$204,0)),"")</f>
        <v/>
      </c>
      <c r="E181" s="16" t="str">
        <f aca="false">IFERROR(INDEX(Functions!$B$5:$B$204,MATCH(C181,Functions!$A$5:$A$204,0)),"")</f>
        <v/>
      </c>
      <c r="F181" s="15"/>
      <c r="G181" s="15"/>
      <c r="H181" s="15"/>
      <c r="I181" s="15"/>
      <c r="J181" s="15"/>
      <c r="K181" s="15"/>
      <c r="L181" s="15"/>
      <c r="M181" s="15"/>
      <c r="N181" s="15"/>
      <c r="O181" s="16" t="str">
        <f aca="false">IF(A181="","",IF(OR(B181="",C181="",G181=""),"Functions and RISK-ID needed",IF(B181=C181,"Functions must differ",IF(OR(COUNTIF(Functions!$A$5:$A$204,B181)=0,COUNTIF(Functions!$A$5:$A$204,C181)=0),"Function not defined",IF(COUNTIF(Ref_RISK!$A$2:$A$201,G181)=0,"RISK-ID not in W04",IF(AND(L181&lt;&gt;"",L181&lt;&gt;"None",COUNTIF(Ref_CTRL!$A$2:$A$201,L181)=0),"Mitigation not in W05 RCM","OK"))))))</f>
        <v/>
      </c>
    </row>
    <row r="182" customFormat="false" ht="15" hidden="false" customHeight="false" outlineLevel="0" collapsed="false">
      <c r="A182" s="15"/>
      <c r="B182" s="15"/>
      <c r="C182" s="15"/>
      <c r="D182" s="16" t="str">
        <f aca="false">IFERROR(INDEX(Functions!$B$5:$B$204,MATCH(B182,Functions!$A$5:$A$204,0)),"")</f>
        <v/>
      </c>
      <c r="E182" s="16" t="str">
        <f aca="false">IFERROR(INDEX(Functions!$B$5:$B$204,MATCH(C182,Functions!$A$5:$A$204,0)),"")</f>
        <v/>
      </c>
      <c r="F182" s="15"/>
      <c r="G182" s="15"/>
      <c r="H182" s="15"/>
      <c r="I182" s="15"/>
      <c r="J182" s="15"/>
      <c r="K182" s="15"/>
      <c r="L182" s="15"/>
      <c r="M182" s="15"/>
      <c r="N182" s="15"/>
      <c r="O182" s="16" t="str">
        <f aca="false">IF(A182="","",IF(OR(B182="",C182="",G182=""),"Functions and RISK-ID needed",IF(B182=C182,"Functions must differ",IF(OR(COUNTIF(Functions!$A$5:$A$204,B182)=0,COUNTIF(Functions!$A$5:$A$204,C182)=0),"Function not defined",IF(COUNTIF(Ref_RISK!$A$2:$A$201,G182)=0,"RISK-ID not in W04",IF(AND(L182&lt;&gt;"",L182&lt;&gt;"None",COUNTIF(Ref_CTRL!$A$2:$A$201,L182)=0),"Mitigation not in W05 RCM","OK"))))))</f>
        <v/>
      </c>
    </row>
    <row r="183" customFormat="false" ht="15" hidden="false" customHeight="false" outlineLevel="0" collapsed="false">
      <c r="A183" s="15"/>
      <c r="B183" s="15"/>
      <c r="C183" s="15"/>
      <c r="D183" s="16" t="str">
        <f aca="false">IFERROR(INDEX(Functions!$B$5:$B$204,MATCH(B183,Functions!$A$5:$A$204,0)),"")</f>
        <v/>
      </c>
      <c r="E183" s="16" t="str">
        <f aca="false">IFERROR(INDEX(Functions!$B$5:$B$204,MATCH(C183,Functions!$A$5:$A$204,0)),"")</f>
        <v/>
      </c>
      <c r="F183" s="15"/>
      <c r="G183" s="15"/>
      <c r="H183" s="15"/>
      <c r="I183" s="15"/>
      <c r="J183" s="15"/>
      <c r="K183" s="15"/>
      <c r="L183" s="15"/>
      <c r="M183" s="15"/>
      <c r="N183" s="15"/>
      <c r="O183" s="16" t="str">
        <f aca="false">IF(A183="","",IF(OR(B183="",C183="",G183=""),"Functions and RISK-ID needed",IF(B183=C183,"Functions must differ",IF(OR(COUNTIF(Functions!$A$5:$A$204,B183)=0,COUNTIF(Functions!$A$5:$A$204,C183)=0),"Function not defined",IF(COUNTIF(Ref_RISK!$A$2:$A$201,G183)=0,"RISK-ID not in W04",IF(AND(L183&lt;&gt;"",L183&lt;&gt;"None",COUNTIF(Ref_CTRL!$A$2:$A$201,L183)=0),"Mitigation not in W05 RCM","OK"))))))</f>
        <v/>
      </c>
    </row>
    <row r="184" customFormat="false" ht="15" hidden="false" customHeight="false" outlineLevel="0" collapsed="false">
      <c r="A184" s="15"/>
      <c r="B184" s="15"/>
      <c r="C184" s="15"/>
      <c r="D184" s="16" t="str">
        <f aca="false">IFERROR(INDEX(Functions!$B$5:$B$204,MATCH(B184,Functions!$A$5:$A$204,0)),"")</f>
        <v/>
      </c>
      <c r="E184" s="16" t="str">
        <f aca="false">IFERROR(INDEX(Functions!$B$5:$B$204,MATCH(C184,Functions!$A$5:$A$204,0)),"")</f>
        <v/>
      </c>
      <c r="F184" s="15"/>
      <c r="G184" s="15"/>
      <c r="H184" s="15"/>
      <c r="I184" s="15"/>
      <c r="J184" s="15"/>
      <c r="K184" s="15"/>
      <c r="L184" s="15"/>
      <c r="M184" s="15"/>
      <c r="N184" s="15"/>
      <c r="O184" s="16" t="str">
        <f aca="false">IF(A184="","",IF(OR(B184="",C184="",G184=""),"Functions and RISK-ID needed",IF(B184=C184,"Functions must differ",IF(OR(COUNTIF(Functions!$A$5:$A$204,B184)=0,COUNTIF(Functions!$A$5:$A$204,C184)=0),"Function not defined",IF(COUNTIF(Ref_RISK!$A$2:$A$201,G184)=0,"RISK-ID not in W04",IF(AND(L184&lt;&gt;"",L184&lt;&gt;"None",COUNTIF(Ref_CTRL!$A$2:$A$201,L184)=0),"Mitigation not in W05 RCM","OK"))))))</f>
        <v/>
      </c>
    </row>
    <row r="185" customFormat="false" ht="15" hidden="false" customHeight="false" outlineLevel="0" collapsed="false">
      <c r="A185" s="15"/>
      <c r="B185" s="15"/>
      <c r="C185" s="15"/>
      <c r="D185" s="16" t="str">
        <f aca="false">IFERROR(INDEX(Functions!$B$5:$B$204,MATCH(B185,Functions!$A$5:$A$204,0)),"")</f>
        <v/>
      </c>
      <c r="E185" s="16" t="str">
        <f aca="false">IFERROR(INDEX(Functions!$B$5:$B$204,MATCH(C185,Functions!$A$5:$A$204,0)),"")</f>
        <v/>
      </c>
      <c r="F185" s="15"/>
      <c r="G185" s="15"/>
      <c r="H185" s="15"/>
      <c r="I185" s="15"/>
      <c r="J185" s="15"/>
      <c r="K185" s="15"/>
      <c r="L185" s="15"/>
      <c r="M185" s="15"/>
      <c r="N185" s="15"/>
      <c r="O185" s="16" t="str">
        <f aca="false">IF(A185="","",IF(OR(B185="",C185="",G185=""),"Functions and RISK-ID needed",IF(B185=C185,"Functions must differ",IF(OR(COUNTIF(Functions!$A$5:$A$204,B185)=0,COUNTIF(Functions!$A$5:$A$204,C185)=0),"Function not defined",IF(COUNTIF(Ref_RISK!$A$2:$A$201,G185)=0,"RISK-ID not in W04",IF(AND(L185&lt;&gt;"",L185&lt;&gt;"None",COUNTIF(Ref_CTRL!$A$2:$A$201,L185)=0),"Mitigation not in W05 RCM","OK"))))))</f>
        <v/>
      </c>
    </row>
    <row r="186" customFormat="false" ht="15" hidden="false" customHeight="false" outlineLevel="0" collapsed="false">
      <c r="A186" s="15"/>
      <c r="B186" s="15"/>
      <c r="C186" s="15"/>
      <c r="D186" s="16" t="str">
        <f aca="false">IFERROR(INDEX(Functions!$B$5:$B$204,MATCH(B186,Functions!$A$5:$A$204,0)),"")</f>
        <v/>
      </c>
      <c r="E186" s="16" t="str">
        <f aca="false">IFERROR(INDEX(Functions!$B$5:$B$204,MATCH(C186,Functions!$A$5:$A$204,0)),"")</f>
        <v/>
      </c>
      <c r="F186" s="15"/>
      <c r="G186" s="15"/>
      <c r="H186" s="15"/>
      <c r="I186" s="15"/>
      <c r="J186" s="15"/>
      <c r="K186" s="15"/>
      <c r="L186" s="15"/>
      <c r="M186" s="15"/>
      <c r="N186" s="15"/>
      <c r="O186" s="16" t="str">
        <f aca="false">IF(A186="","",IF(OR(B186="",C186="",G186=""),"Functions and RISK-ID needed",IF(B186=C186,"Functions must differ",IF(OR(COUNTIF(Functions!$A$5:$A$204,B186)=0,COUNTIF(Functions!$A$5:$A$204,C186)=0),"Function not defined",IF(COUNTIF(Ref_RISK!$A$2:$A$201,G186)=0,"RISK-ID not in W04",IF(AND(L186&lt;&gt;"",L186&lt;&gt;"None",COUNTIF(Ref_CTRL!$A$2:$A$201,L186)=0),"Mitigation not in W05 RCM","OK"))))))</f>
        <v/>
      </c>
    </row>
    <row r="187" customFormat="false" ht="15" hidden="false" customHeight="false" outlineLevel="0" collapsed="false">
      <c r="A187" s="15"/>
      <c r="B187" s="15"/>
      <c r="C187" s="15"/>
      <c r="D187" s="16" t="str">
        <f aca="false">IFERROR(INDEX(Functions!$B$5:$B$204,MATCH(B187,Functions!$A$5:$A$204,0)),"")</f>
        <v/>
      </c>
      <c r="E187" s="16" t="str">
        <f aca="false">IFERROR(INDEX(Functions!$B$5:$B$204,MATCH(C187,Functions!$A$5:$A$204,0)),"")</f>
        <v/>
      </c>
      <c r="F187" s="15"/>
      <c r="G187" s="15"/>
      <c r="H187" s="15"/>
      <c r="I187" s="15"/>
      <c r="J187" s="15"/>
      <c r="K187" s="15"/>
      <c r="L187" s="15"/>
      <c r="M187" s="15"/>
      <c r="N187" s="15"/>
      <c r="O187" s="16" t="str">
        <f aca="false">IF(A187="","",IF(OR(B187="",C187="",G187=""),"Functions and RISK-ID needed",IF(B187=C187,"Functions must differ",IF(OR(COUNTIF(Functions!$A$5:$A$204,B187)=0,COUNTIF(Functions!$A$5:$A$204,C187)=0),"Function not defined",IF(COUNTIF(Ref_RISK!$A$2:$A$201,G187)=0,"RISK-ID not in W04",IF(AND(L187&lt;&gt;"",L187&lt;&gt;"None",COUNTIF(Ref_CTRL!$A$2:$A$201,L187)=0),"Mitigation not in W05 RCM","OK"))))))</f>
        <v/>
      </c>
    </row>
    <row r="188" customFormat="false" ht="15" hidden="false" customHeight="false" outlineLevel="0" collapsed="false">
      <c r="A188" s="15"/>
      <c r="B188" s="15"/>
      <c r="C188" s="15"/>
      <c r="D188" s="16" t="str">
        <f aca="false">IFERROR(INDEX(Functions!$B$5:$B$204,MATCH(B188,Functions!$A$5:$A$204,0)),"")</f>
        <v/>
      </c>
      <c r="E188" s="16" t="str">
        <f aca="false">IFERROR(INDEX(Functions!$B$5:$B$204,MATCH(C188,Functions!$A$5:$A$204,0)),"")</f>
        <v/>
      </c>
      <c r="F188" s="15"/>
      <c r="G188" s="15"/>
      <c r="H188" s="15"/>
      <c r="I188" s="15"/>
      <c r="J188" s="15"/>
      <c r="K188" s="15"/>
      <c r="L188" s="15"/>
      <c r="M188" s="15"/>
      <c r="N188" s="15"/>
      <c r="O188" s="16" t="str">
        <f aca="false">IF(A188="","",IF(OR(B188="",C188="",G188=""),"Functions and RISK-ID needed",IF(B188=C188,"Functions must differ",IF(OR(COUNTIF(Functions!$A$5:$A$204,B188)=0,COUNTIF(Functions!$A$5:$A$204,C188)=0),"Function not defined",IF(COUNTIF(Ref_RISK!$A$2:$A$201,G188)=0,"RISK-ID not in W04",IF(AND(L188&lt;&gt;"",L188&lt;&gt;"None",COUNTIF(Ref_CTRL!$A$2:$A$201,L188)=0),"Mitigation not in W05 RCM","OK"))))))</f>
        <v/>
      </c>
    </row>
    <row r="189" customFormat="false" ht="15" hidden="false" customHeight="false" outlineLevel="0" collapsed="false">
      <c r="A189" s="15"/>
      <c r="B189" s="15"/>
      <c r="C189" s="15"/>
      <c r="D189" s="16" t="str">
        <f aca="false">IFERROR(INDEX(Functions!$B$5:$B$204,MATCH(B189,Functions!$A$5:$A$204,0)),"")</f>
        <v/>
      </c>
      <c r="E189" s="16" t="str">
        <f aca="false">IFERROR(INDEX(Functions!$B$5:$B$204,MATCH(C189,Functions!$A$5:$A$204,0)),"")</f>
        <v/>
      </c>
      <c r="F189" s="15"/>
      <c r="G189" s="15"/>
      <c r="H189" s="15"/>
      <c r="I189" s="15"/>
      <c r="J189" s="15"/>
      <c r="K189" s="15"/>
      <c r="L189" s="15"/>
      <c r="M189" s="15"/>
      <c r="N189" s="15"/>
      <c r="O189" s="16" t="str">
        <f aca="false">IF(A189="","",IF(OR(B189="",C189="",G189=""),"Functions and RISK-ID needed",IF(B189=C189,"Functions must differ",IF(OR(COUNTIF(Functions!$A$5:$A$204,B189)=0,COUNTIF(Functions!$A$5:$A$204,C189)=0),"Function not defined",IF(COUNTIF(Ref_RISK!$A$2:$A$201,G189)=0,"RISK-ID not in W04",IF(AND(L189&lt;&gt;"",L189&lt;&gt;"None",COUNTIF(Ref_CTRL!$A$2:$A$201,L189)=0),"Mitigation not in W05 RCM","OK"))))))</f>
        <v/>
      </c>
    </row>
    <row r="190" customFormat="false" ht="15" hidden="false" customHeight="false" outlineLevel="0" collapsed="false">
      <c r="A190" s="15"/>
      <c r="B190" s="15"/>
      <c r="C190" s="15"/>
      <c r="D190" s="16" t="str">
        <f aca="false">IFERROR(INDEX(Functions!$B$5:$B$204,MATCH(B190,Functions!$A$5:$A$204,0)),"")</f>
        <v/>
      </c>
      <c r="E190" s="16" t="str">
        <f aca="false">IFERROR(INDEX(Functions!$B$5:$B$204,MATCH(C190,Functions!$A$5:$A$204,0)),"")</f>
        <v/>
      </c>
      <c r="F190" s="15"/>
      <c r="G190" s="15"/>
      <c r="H190" s="15"/>
      <c r="I190" s="15"/>
      <c r="J190" s="15"/>
      <c r="K190" s="15"/>
      <c r="L190" s="15"/>
      <c r="M190" s="15"/>
      <c r="N190" s="15"/>
      <c r="O190" s="16" t="str">
        <f aca="false">IF(A190="","",IF(OR(B190="",C190="",G190=""),"Functions and RISK-ID needed",IF(B190=C190,"Functions must differ",IF(OR(COUNTIF(Functions!$A$5:$A$204,B190)=0,COUNTIF(Functions!$A$5:$A$204,C190)=0),"Function not defined",IF(COUNTIF(Ref_RISK!$A$2:$A$201,G190)=0,"RISK-ID not in W04",IF(AND(L190&lt;&gt;"",L190&lt;&gt;"None",COUNTIF(Ref_CTRL!$A$2:$A$201,L190)=0),"Mitigation not in W05 RCM","OK"))))))</f>
        <v/>
      </c>
    </row>
    <row r="191" customFormat="false" ht="15" hidden="false" customHeight="false" outlineLevel="0" collapsed="false">
      <c r="A191" s="15"/>
      <c r="B191" s="15"/>
      <c r="C191" s="15"/>
      <c r="D191" s="16" t="str">
        <f aca="false">IFERROR(INDEX(Functions!$B$5:$B$204,MATCH(B191,Functions!$A$5:$A$204,0)),"")</f>
        <v/>
      </c>
      <c r="E191" s="16" t="str">
        <f aca="false">IFERROR(INDEX(Functions!$B$5:$B$204,MATCH(C191,Functions!$A$5:$A$204,0)),"")</f>
        <v/>
      </c>
      <c r="F191" s="15"/>
      <c r="G191" s="15"/>
      <c r="H191" s="15"/>
      <c r="I191" s="15"/>
      <c r="J191" s="15"/>
      <c r="K191" s="15"/>
      <c r="L191" s="15"/>
      <c r="M191" s="15"/>
      <c r="N191" s="15"/>
      <c r="O191" s="16" t="str">
        <f aca="false">IF(A191="","",IF(OR(B191="",C191="",G191=""),"Functions and RISK-ID needed",IF(B191=C191,"Functions must differ",IF(OR(COUNTIF(Functions!$A$5:$A$204,B191)=0,COUNTIF(Functions!$A$5:$A$204,C191)=0),"Function not defined",IF(COUNTIF(Ref_RISK!$A$2:$A$201,G191)=0,"RISK-ID not in W04",IF(AND(L191&lt;&gt;"",L191&lt;&gt;"None",COUNTIF(Ref_CTRL!$A$2:$A$201,L191)=0),"Mitigation not in W05 RCM","OK"))))))</f>
        <v/>
      </c>
    </row>
    <row r="192" customFormat="false" ht="15" hidden="false" customHeight="false" outlineLevel="0" collapsed="false">
      <c r="A192" s="15"/>
      <c r="B192" s="15"/>
      <c r="C192" s="15"/>
      <c r="D192" s="16" t="str">
        <f aca="false">IFERROR(INDEX(Functions!$B$5:$B$204,MATCH(B192,Functions!$A$5:$A$204,0)),"")</f>
        <v/>
      </c>
      <c r="E192" s="16" t="str">
        <f aca="false">IFERROR(INDEX(Functions!$B$5:$B$204,MATCH(C192,Functions!$A$5:$A$204,0)),"")</f>
        <v/>
      </c>
      <c r="F192" s="15"/>
      <c r="G192" s="15"/>
      <c r="H192" s="15"/>
      <c r="I192" s="15"/>
      <c r="J192" s="15"/>
      <c r="K192" s="15"/>
      <c r="L192" s="15"/>
      <c r="M192" s="15"/>
      <c r="N192" s="15"/>
      <c r="O192" s="16" t="str">
        <f aca="false">IF(A192="","",IF(OR(B192="",C192="",G192=""),"Functions and RISK-ID needed",IF(B192=C192,"Functions must differ",IF(OR(COUNTIF(Functions!$A$5:$A$204,B192)=0,COUNTIF(Functions!$A$5:$A$204,C192)=0),"Function not defined",IF(COUNTIF(Ref_RISK!$A$2:$A$201,G192)=0,"RISK-ID not in W04",IF(AND(L192&lt;&gt;"",L192&lt;&gt;"None",COUNTIF(Ref_CTRL!$A$2:$A$201,L192)=0),"Mitigation not in W05 RCM","OK"))))))</f>
        <v/>
      </c>
    </row>
    <row r="193" customFormat="false" ht="15" hidden="false" customHeight="false" outlineLevel="0" collapsed="false">
      <c r="A193" s="15"/>
      <c r="B193" s="15"/>
      <c r="C193" s="15"/>
      <c r="D193" s="16" t="str">
        <f aca="false">IFERROR(INDEX(Functions!$B$5:$B$204,MATCH(B193,Functions!$A$5:$A$204,0)),"")</f>
        <v/>
      </c>
      <c r="E193" s="16" t="str">
        <f aca="false">IFERROR(INDEX(Functions!$B$5:$B$204,MATCH(C193,Functions!$A$5:$A$204,0)),"")</f>
        <v/>
      </c>
      <c r="F193" s="15"/>
      <c r="G193" s="15"/>
      <c r="H193" s="15"/>
      <c r="I193" s="15"/>
      <c r="J193" s="15"/>
      <c r="K193" s="15"/>
      <c r="L193" s="15"/>
      <c r="M193" s="15"/>
      <c r="N193" s="15"/>
      <c r="O193" s="16" t="str">
        <f aca="false">IF(A193="","",IF(OR(B193="",C193="",G193=""),"Functions and RISK-ID needed",IF(B193=C193,"Functions must differ",IF(OR(COUNTIF(Functions!$A$5:$A$204,B193)=0,COUNTIF(Functions!$A$5:$A$204,C193)=0),"Function not defined",IF(COUNTIF(Ref_RISK!$A$2:$A$201,G193)=0,"RISK-ID not in W04",IF(AND(L193&lt;&gt;"",L193&lt;&gt;"None",COUNTIF(Ref_CTRL!$A$2:$A$201,L193)=0),"Mitigation not in W05 RCM","OK"))))))</f>
        <v/>
      </c>
    </row>
    <row r="194" customFormat="false" ht="15" hidden="false" customHeight="false" outlineLevel="0" collapsed="false">
      <c r="A194" s="15"/>
      <c r="B194" s="15"/>
      <c r="C194" s="15"/>
      <c r="D194" s="16" t="str">
        <f aca="false">IFERROR(INDEX(Functions!$B$5:$B$204,MATCH(B194,Functions!$A$5:$A$204,0)),"")</f>
        <v/>
      </c>
      <c r="E194" s="16" t="str">
        <f aca="false">IFERROR(INDEX(Functions!$B$5:$B$204,MATCH(C194,Functions!$A$5:$A$204,0)),"")</f>
        <v/>
      </c>
      <c r="F194" s="15"/>
      <c r="G194" s="15"/>
      <c r="H194" s="15"/>
      <c r="I194" s="15"/>
      <c r="J194" s="15"/>
      <c r="K194" s="15"/>
      <c r="L194" s="15"/>
      <c r="M194" s="15"/>
      <c r="N194" s="15"/>
      <c r="O194" s="16" t="str">
        <f aca="false">IF(A194="","",IF(OR(B194="",C194="",G194=""),"Functions and RISK-ID needed",IF(B194=C194,"Functions must differ",IF(OR(COUNTIF(Functions!$A$5:$A$204,B194)=0,COUNTIF(Functions!$A$5:$A$204,C194)=0),"Function not defined",IF(COUNTIF(Ref_RISK!$A$2:$A$201,G194)=0,"RISK-ID not in W04",IF(AND(L194&lt;&gt;"",L194&lt;&gt;"None",COUNTIF(Ref_CTRL!$A$2:$A$201,L194)=0),"Mitigation not in W05 RCM","OK"))))))</f>
        <v/>
      </c>
    </row>
    <row r="195" customFormat="false" ht="15" hidden="false" customHeight="false" outlineLevel="0" collapsed="false">
      <c r="A195" s="15"/>
      <c r="B195" s="15"/>
      <c r="C195" s="15"/>
      <c r="D195" s="16" t="str">
        <f aca="false">IFERROR(INDEX(Functions!$B$5:$B$204,MATCH(B195,Functions!$A$5:$A$204,0)),"")</f>
        <v/>
      </c>
      <c r="E195" s="16" t="str">
        <f aca="false">IFERROR(INDEX(Functions!$B$5:$B$204,MATCH(C195,Functions!$A$5:$A$204,0)),"")</f>
        <v/>
      </c>
      <c r="F195" s="15"/>
      <c r="G195" s="15"/>
      <c r="H195" s="15"/>
      <c r="I195" s="15"/>
      <c r="J195" s="15"/>
      <c r="K195" s="15"/>
      <c r="L195" s="15"/>
      <c r="M195" s="15"/>
      <c r="N195" s="15"/>
      <c r="O195" s="16" t="str">
        <f aca="false">IF(A195="","",IF(OR(B195="",C195="",G195=""),"Functions and RISK-ID needed",IF(B195=C195,"Functions must differ",IF(OR(COUNTIF(Functions!$A$5:$A$204,B195)=0,COUNTIF(Functions!$A$5:$A$204,C195)=0),"Function not defined",IF(COUNTIF(Ref_RISK!$A$2:$A$201,G195)=0,"RISK-ID not in W04",IF(AND(L195&lt;&gt;"",L195&lt;&gt;"None",COUNTIF(Ref_CTRL!$A$2:$A$201,L195)=0),"Mitigation not in W05 RCM","OK"))))))</f>
        <v/>
      </c>
    </row>
    <row r="196" customFormat="false" ht="15" hidden="false" customHeight="false" outlineLevel="0" collapsed="false">
      <c r="A196" s="15"/>
      <c r="B196" s="15"/>
      <c r="C196" s="15"/>
      <c r="D196" s="16" t="str">
        <f aca="false">IFERROR(INDEX(Functions!$B$5:$B$204,MATCH(B196,Functions!$A$5:$A$204,0)),"")</f>
        <v/>
      </c>
      <c r="E196" s="16" t="str">
        <f aca="false">IFERROR(INDEX(Functions!$B$5:$B$204,MATCH(C196,Functions!$A$5:$A$204,0)),"")</f>
        <v/>
      </c>
      <c r="F196" s="15"/>
      <c r="G196" s="15"/>
      <c r="H196" s="15"/>
      <c r="I196" s="15"/>
      <c r="J196" s="15"/>
      <c r="K196" s="15"/>
      <c r="L196" s="15"/>
      <c r="M196" s="15"/>
      <c r="N196" s="15"/>
      <c r="O196" s="16" t="str">
        <f aca="false">IF(A196="","",IF(OR(B196="",C196="",G196=""),"Functions and RISK-ID needed",IF(B196=C196,"Functions must differ",IF(OR(COUNTIF(Functions!$A$5:$A$204,B196)=0,COUNTIF(Functions!$A$5:$A$204,C196)=0),"Function not defined",IF(COUNTIF(Ref_RISK!$A$2:$A$201,G196)=0,"RISK-ID not in W04",IF(AND(L196&lt;&gt;"",L196&lt;&gt;"None",COUNTIF(Ref_CTRL!$A$2:$A$201,L196)=0),"Mitigation not in W05 RCM","OK"))))))</f>
        <v/>
      </c>
    </row>
    <row r="197" customFormat="false" ht="15" hidden="false" customHeight="false" outlineLevel="0" collapsed="false">
      <c r="A197" s="15"/>
      <c r="B197" s="15"/>
      <c r="C197" s="15"/>
      <c r="D197" s="16" t="str">
        <f aca="false">IFERROR(INDEX(Functions!$B$5:$B$204,MATCH(B197,Functions!$A$5:$A$204,0)),"")</f>
        <v/>
      </c>
      <c r="E197" s="16" t="str">
        <f aca="false">IFERROR(INDEX(Functions!$B$5:$B$204,MATCH(C197,Functions!$A$5:$A$204,0)),"")</f>
        <v/>
      </c>
      <c r="F197" s="15"/>
      <c r="G197" s="15"/>
      <c r="H197" s="15"/>
      <c r="I197" s="15"/>
      <c r="J197" s="15"/>
      <c r="K197" s="15"/>
      <c r="L197" s="15"/>
      <c r="M197" s="15"/>
      <c r="N197" s="15"/>
      <c r="O197" s="16" t="str">
        <f aca="false">IF(A197="","",IF(OR(B197="",C197="",G197=""),"Functions and RISK-ID needed",IF(B197=C197,"Functions must differ",IF(OR(COUNTIF(Functions!$A$5:$A$204,B197)=0,COUNTIF(Functions!$A$5:$A$204,C197)=0),"Function not defined",IF(COUNTIF(Ref_RISK!$A$2:$A$201,G197)=0,"RISK-ID not in W04",IF(AND(L197&lt;&gt;"",L197&lt;&gt;"None",COUNTIF(Ref_CTRL!$A$2:$A$201,L197)=0),"Mitigation not in W05 RCM","OK"))))))</f>
        <v/>
      </c>
    </row>
    <row r="198" customFormat="false" ht="15" hidden="false" customHeight="false" outlineLevel="0" collapsed="false">
      <c r="A198" s="15"/>
      <c r="B198" s="15"/>
      <c r="C198" s="15"/>
      <c r="D198" s="16" t="str">
        <f aca="false">IFERROR(INDEX(Functions!$B$5:$B$204,MATCH(B198,Functions!$A$5:$A$204,0)),"")</f>
        <v/>
      </c>
      <c r="E198" s="16" t="str">
        <f aca="false">IFERROR(INDEX(Functions!$B$5:$B$204,MATCH(C198,Functions!$A$5:$A$204,0)),"")</f>
        <v/>
      </c>
      <c r="F198" s="15"/>
      <c r="G198" s="15"/>
      <c r="H198" s="15"/>
      <c r="I198" s="15"/>
      <c r="J198" s="15"/>
      <c r="K198" s="15"/>
      <c r="L198" s="15"/>
      <c r="M198" s="15"/>
      <c r="N198" s="15"/>
      <c r="O198" s="16" t="str">
        <f aca="false">IF(A198="","",IF(OR(B198="",C198="",G198=""),"Functions and RISK-ID needed",IF(B198=C198,"Functions must differ",IF(OR(COUNTIF(Functions!$A$5:$A$204,B198)=0,COUNTIF(Functions!$A$5:$A$204,C198)=0),"Function not defined",IF(COUNTIF(Ref_RISK!$A$2:$A$201,G198)=0,"RISK-ID not in W04",IF(AND(L198&lt;&gt;"",L198&lt;&gt;"None",COUNTIF(Ref_CTRL!$A$2:$A$201,L198)=0),"Mitigation not in W05 RCM","OK"))))))</f>
        <v/>
      </c>
    </row>
    <row r="199" customFormat="false" ht="15" hidden="false" customHeight="false" outlineLevel="0" collapsed="false">
      <c r="A199" s="15"/>
      <c r="B199" s="15"/>
      <c r="C199" s="15"/>
      <c r="D199" s="16" t="str">
        <f aca="false">IFERROR(INDEX(Functions!$B$5:$B$204,MATCH(B199,Functions!$A$5:$A$204,0)),"")</f>
        <v/>
      </c>
      <c r="E199" s="16" t="str">
        <f aca="false">IFERROR(INDEX(Functions!$B$5:$B$204,MATCH(C199,Functions!$A$5:$A$204,0)),"")</f>
        <v/>
      </c>
      <c r="F199" s="15"/>
      <c r="G199" s="15"/>
      <c r="H199" s="15"/>
      <c r="I199" s="15"/>
      <c r="J199" s="15"/>
      <c r="K199" s="15"/>
      <c r="L199" s="15"/>
      <c r="M199" s="15"/>
      <c r="N199" s="15"/>
      <c r="O199" s="16" t="str">
        <f aca="false">IF(A199="","",IF(OR(B199="",C199="",G199=""),"Functions and RISK-ID needed",IF(B199=C199,"Functions must differ",IF(OR(COUNTIF(Functions!$A$5:$A$204,B199)=0,COUNTIF(Functions!$A$5:$A$204,C199)=0),"Function not defined",IF(COUNTIF(Ref_RISK!$A$2:$A$201,G199)=0,"RISK-ID not in W04",IF(AND(L199&lt;&gt;"",L199&lt;&gt;"None",COUNTIF(Ref_CTRL!$A$2:$A$201,L199)=0),"Mitigation not in W05 RCM","OK"))))))</f>
        <v/>
      </c>
    </row>
    <row r="200" customFormat="false" ht="15" hidden="false" customHeight="false" outlineLevel="0" collapsed="false">
      <c r="A200" s="15"/>
      <c r="B200" s="15"/>
      <c r="C200" s="15"/>
      <c r="D200" s="16" t="str">
        <f aca="false">IFERROR(INDEX(Functions!$B$5:$B$204,MATCH(B200,Functions!$A$5:$A$204,0)),"")</f>
        <v/>
      </c>
      <c r="E200" s="16" t="str">
        <f aca="false">IFERROR(INDEX(Functions!$B$5:$B$204,MATCH(C200,Functions!$A$5:$A$204,0)),"")</f>
        <v/>
      </c>
      <c r="F200" s="15"/>
      <c r="G200" s="15"/>
      <c r="H200" s="15"/>
      <c r="I200" s="15"/>
      <c r="J200" s="15"/>
      <c r="K200" s="15"/>
      <c r="L200" s="15"/>
      <c r="M200" s="15"/>
      <c r="N200" s="15"/>
      <c r="O200" s="16" t="str">
        <f aca="false">IF(A200="","",IF(OR(B200="",C200="",G200=""),"Functions and RISK-ID needed",IF(B200=C200,"Functions must differ",IF(OR(COUNTIF(Functions!$A$5:$A$204,B200)=0,COUNTIF(Functions!$A$5:$A$204,C200)=0),"Function not defined",IF(COUNTIF(Ref_RISK!$A$2:$A$201,G200)=0,"RISK-ID not in W04",IF(AND(L200&lt;&gt;"",L200&lt;&gt;"None",COUNTIF(Ref_CTRL!$A$2:$A$201,L200)=0),"Mitigation not in W05 RCM","OK"))))))</f>
        <v/>
      </c>
    </row>
    <row r="201" customFormat="false" ht="15" hidden="false" customHeight="false" outlineLevel="0" collapsed="false">
      <c r="A201" s="15"/>
      <c r="B201" s="15"/>
      <c r="C201" s="15"/>
      <c r="D201" s="16" t="str">
        <f aca="false">IFERROR(INDEX(Functions!$B$5:$B$204,MATCH(B201,Functions!$A$5:$A$204,0)),"")</f>
        <v/>
      </c>
      <c r="E201" s="16" t="str">
        <f aca="false">IFERROR(INDEX(Functions!$B$5:$B$204,MATCH(C201,Functions!$A$5:$A$204,0)),"")</f>
        <v/>
      </c>
      <c r="F201" s="15"/>
      <c r="G201" s="15"/>
      <c r="H201" s="15"/>
      <c r="I201" s="15"/>
      <c r="J201" s="15"/>
      <c r="K201" s="15"/>
      <c r="L201" s="15"/>
      <c r="M201" s="15"/>
      <c r="N201" s="15"/>
      <c r="O201" s="16" t="str">
        <f aca="false">IF(A201="","",IF(OR(B201="",C201="",G201=""),"Functions and RISK-ID needed",IF(B201=C201,"Functions must differ",IF(OR(COUNTIF(Functions!$A$5:$A$204,B201)=0,COUNTIF(Functions!$A$5:$A$204,C201)=0),"Function not defined",IF(COUNTIF(Ref_RISK!$A$2:$A$201,G201)=0,"RISK-ID not in W04",IF(AND(L201&lt;&gt;"",L201&lt;&gt;"None",COUNTIF(Ref_CTRL!$A$2:$A$201,L201)=0),"Mitigation not in W05 RCM","OK"))))))</f>
        <v/>
      </c>
    </row>
    <row r="202" customFormat="false" ht="15" hidden="false" customHeight="false" outlineLevel="0" collapsed="false">
      <c r="A202" s="15"/>
      <c r="B202" s="15"/>
      <c r="C202" s="15"/>
      <c r="D202" s="16" t="str">
        <f aca="false">IFERROR(INDEX(Functions!$B$5:$B$204,MATCH(B202,Functions!$A$5:$A$204,0)),"")</f>
        <v/>
      </c>
      <c r="E202" s="16" t="str">
        <f aca="false">IFERROR(INDEX(Functions!$B$5:$B$204,MATCH(C202,Functions!$A$5:$A$204,0)),"")</f>
        <v/>
      </c>
      <c r="F202" s="15"/>
      <c r="G202" s="15"/>
      <c r="H202" s="15"/>
      <c r="I202" s="15"/>
      <c r="J202" s="15"/>
      <c r="K202" s="15"/>
      <c r="L202" s="15"/>
      <c r="M202" s="15"/>
      <c r="N202" s="15"/>
      <c r="O202" s="16" t="str">
        <f aca="false">IF(A202="","",IF(OR(B202="",C202="",G202=""),"Functions and RISK-ID needed",IF(B202=C202,"Functions must differ",IF(OR(COUNTIF(Functions!$A$5:$A$204,B202)=0,COUNTIF(Functions!$A$5:$A$204,C202)=0),"Function not defined",IF(COUNTIF(Ref_RISK!$A$2:$A$201,G202)=0,"RISK-ID not in W04",IF(AND(L202&lt;&gt;"",L202&lt;&gt;"None",COUNTIF(Ref_CTRL!$A$2:$A$201,L202)=0),"Mitigation not in W05 RCM","OK"))))))</f>
        <v/>
      </c>
    </row>
    <row r="203" customFormat="false" ht="15" hidden="false" customHeight="false" outlineLevel="0" collapsed="false">
      <c r="A203" s="15"/>
      <c r="B203" s="15"/>
      <c r="C203" s="15"/>
      <c r="D203" s="16" t="str">
        <f aca="false">IFERROR(INDEX(Functions!$B$5:$B$204,MATCH(B203,Functions!$A$5:$A$204,0)),"")</f>
        <v/>
      </c>
      <c r="E203" s="16" t="str">
        <f aca="false">IFERROR(INDEX(Functions!$B$5:$B$204,MATCH(C203,Functions!$A$5:$A$204,0)),"")</f>
        <v/>
      </c>
      <c r="F203" s="15"/>
      <c r="G203" s="15"/>
      <c r="H203" s="15"/>
      <c r="I203" s="15"/>
      <c r="J203" s="15"/>
      <c r="K203" s="15"/>
      <c r="L203" s="15"/>
      <c r="M203" s="15"/>
      <c r="N203" s="15"/>
      <c r="O203" s="16" t="str">
        <f aca="false">IF(A203="","",IF(OR(B203="",C203="",G203=""),"Functions and RISK-ID needed",IF(B203=C203,"Functions must differ",IF(OR(COUNTIF(Functions!$A$5:$A$204,B203)=0,COUNTIF(Functions!$A$5:$A$204,C203)=0),"Function not defined",IF(COUNTIF(Ref_RISK!$A$2:$A$201,G203)=0,"RISK-ID not in W04",IF(AND(L203&lt;&gt;"",L203&lt;&gt;"None",COUNTIF(Ref_CTRL!$A$2:$A$201,L203)=0),"Mitigation not in W05 RCM","OK"))))))</f>
        <v/>
      </c>
    </row>
    <row r="204" customFormat="false" ht="15" hidden="false" customHeight="false" outlineLevel="0" collapsed="false">
      <c r="A204" s="15"/>
      <c r="B204" s="15"/>
      <c r="C204" s="15"/>
      <c r="D204" s="16" t="str">
        <f aca="false">IFERROR(INDEX(Functions!$B$5:$B$204,MATCH(B204,Functions!$A$5:$A$204,0)),"")</f>
        <v/>
      </c>
      <c r="E204" s="16" t="str">
        <f aca="false">IFERROR(INDEX(Functions!$B$5:$B$204,MATCH(C204,Functions!$A$5:$A$204,0)),"")</f>
        <v/>
      </c>
      <c r="F204" s="15"/>
      <c r="G204" s="15"/>
      <c r="H204" s="15"/>
      <c r="I204" s="15"/>
      <c r="J204" s="15"/>
      <c r="K204" s="15"/>
      <c r="L204" s="15"/>
      <c r="M204" s="15"/>
      <c r="N204" s="15"/>
      <c r="O204" s="16" t="str">
        <f aca="false">IF(A204="","",IF(OR(B204="",C204="",G204=""),"Functions and RISK-ID needed",IF(B204=C204,"Functions must differ",IF(OR(COUNTIF(Functions!$A$5:$A$204,B204)=0,COUNTIF(Functions!$A$5:$A$204,C204)=0),"Function not defined",IF(COUNTIF(Ref_RISK!$A$2:$A$201,G204)=0,"RISK-ID not in W04",IF(AND(L204&lt;&gt;"",L204&lt;&gt;"None",COUNTIF(Ref_CTRL!$A$2:$A$201,L204)=0),"Mitigation not in W05 RCM","OK"))))))</f>
        <v/>
      </c>
    </row>
  </sheetData>
  <autoFilter ref="A4:O204"/>
  <dataValidations count="8">
    <dataValidation allowBlank="true" error="Pick a value from the list." errorStyle="warning" operator="between" showDropDown="false" showErrorMessage="true" showInputMessage="false" sqref="B5:B204" type="list">
      <formula1>Functions!$A$5:$A$204</formula1>
      <formula2>0</formula2>
    </dataValidation>
    <dataValidation allowBlank="true" error="Pick a value from the list." errorStyle="warning" operator="between" showDropDown="false" showErrorMessage="true" showInputMessage="false" sqref="C5:C204" type="list">
      <formula1>Functions!$A$5:$A$204</formula1>
      <formula2>0</formula2>
    </dataValidation>
    <dataValidation allowBlank="true" error="Pick a value from the list." errorStyle="warning" operator="between" showDropDown="false" showErrorMessage="true" showInputMessage="false" sqref="G5:G204" type="list">
      <formula1>Ref_RISK!$A$2:$A$201</formula1>
      <formula2>0</formula2>
    </dataValidation>
    <dataValidation allowBlank="true" error="Pick a value from the list." errorStyle="stop" operator="between" showDropDown="false" showErrorMessage="true" showInputMessage="false" sqref="I5:I204" type="list">
      <formula1>Lists!$C$2:$C$4</formula1>
      <formula2>0</formula2>
    </dataValidation>
    <dataValidation allowBlank="true" error="Pick a value from the list." errorStyle="stop" operator="between" showDropDown="false" showErrorMessage="true" showInputMessage="false" sqref="J5:J204" type="list">
      <formula1>Lists!$D$2:$D$3</formula1>
      <formula2>0</formula2>
    </dataValidation>
    <dataValidation allowBlank="true" error="Pick a value from the list." errorStyle="stop" operator="between" showDropDown="false" showErrorMessage="true" showInputMessage="false" sqref="K5:K204" type="list">
      <formula1>Lists!$E$2:$E$3</formula1>
      <formula2>0</formula2>
    </dataValidation>
    <dataValidation allowBlank="true" error="Pick a value from the list." errorStyle="warning" operator="between" showDropDown="false" showErrorMessage="true" showInputMessage="false" sqref="L5:L204" type="list">
      <formula1>Ref_CTRL!$A$2:$A$201</formula1>
      <formula2>0</formula2>
    </dataValidation>
    <dataValidation allowBlank="true" error="Pick a value from the list." errorStyle="stop" operator="between" showDropDown="false" showErrorMessage="true" showInputMessage="false" sqref="N5:N204" type="list">
      <formula1>Lists!$A$2:$A$3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34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6" min="6" style="0" width="16"/>
    <col collapsed="false" customWidth="true" hidden="false" outlineLevel="0" max="7" min="7" style="0" width="24"/>
  </cols>
  <sheetData>
    <row r="1" customFormat="false" ht="17.35" hidden="false" customHeight="false" outlineLevel="0" collapsed="false">
      <c r="A1" s="9" t="s">
        <v>184</v>
      </c>
    </row>
    <row r="2" customFormat="false" ht="15" hidden="false" customHeight="false" outlineLevel="0" collapsed="false">
      <c r="A2" s="10" t="s">
        <v>185</v>
      </c>
    </row>
    <row r="4" customFormat="false" ht="31.5" hidden="false" customHeight="true" outlineLevel="0" collapsed="false">
      <c r="A4" s="11" t="s">
        <v>100</v>
      </c>
      <c r="B4" s="11" t="s">
        <v>102</v>
      </c>
      <c r="C4" s="11" t="s">
        <v>105</v>
      </c>
      <c r="D4" s="11" t="s">
        <v>77</v>
      </c>
      <c r="E4" s="11" t="s">
        <v>109</v>
      </c>
      <c r="F4" s="11" t="s">
        <v>112</v>
      </c>
      <c r="G4" s="12" t="s">
        <v>45</v>
      </c>
    </row>
    <row r="5" customFormat="false" ht="23.85" hidden="false" customHeight="false" outlineLevel="0" collapsed="false">
      <c r="A5" s="13" t="s">
        <v>186</v>
      </c>
      <c r="B5" s="13" t="s">
        <v>187</v>
      </c>
      <c r="C5" s="13" t="s">
        <v>188</v>
      </c>
      <c r="D5" s="13" t="s">
        <v>189</v>
      </c>
      <c r="E5" s="13" t="s">
        <v>190</v>
      </c>
      <c r="F5" s="13" t="s">
        <v>191</v>
      </c>
      <c r="G5" s="14" t="str">
        <f aca="false">IF(A5="","",IF(OR(B5="",D5=""),"Access item and RISK-ID needed","OK"))</f>
        <v>OK</v>
      </c>
    </row>
    <row r="6" customFormat="false" ht="15" hidden="false" customHeight="false" outlineLevel="0" collapsed="false">
      <c r="A6" s="15"/>
      <c r="B6" s="15"/>
      <c r="C6" s="15"/>
      <c r="D6" s="15"/>
      <c r="E6" s="15"/>
      <c r="F6" s="15"/>
      <c r="G6" s="16" t="str">
        <f aca="false">IF(A6="","",IF(OR(B6="",D6=""),"Access item and RISK-ID needed","OK"))</f>
        <v/>
      </c>
    </row>
    <row r="7" customFormat="false" ht="15" hidden="false" customHeight="false" outlineLevel="0" collapsed="false">
      <c r="A7" s="15"/>
      <c r="B7" s="15"/>
      <c r="C7" s="15"/>
      <c r="D7" s="15"/>
      <c r="E7" s="15"/>
      <c r="F7" s="15"/>
      <c r="G7" s="16" t="str">
        <f aca="false">IF(A7="","",IF(OR(B7="",D7=""),"Access item and RISK-ID needed","OK"))</f>
        <v/>
      </c>
    </row>
    <row r="8" customFormat="false" ht="15" hidden="false" customHeight="false" outlineLevel="0" collapsed="false">
      <c r="A8" s="15"/>
      <c r="B8" s="15"/>
      <c r="C8" s="15"/>
      <c r="D8" s="15"/>
      <c r="E8" s="15"/>
      <c r="F8" s="15"/>
      <c r="G8" s="16" t="str">
        <f aca="false">IF(A8="","",IF(OR(B8="",D8=""),"Access item and RISK-ID needed","OK"))</f>
        <v/>
      </c>
    </row>
    <row r="9" customFormat="false" ht="15" hidden="false" customHeight="false" outlineLevel="0" collapsed="false">
      <c r="A9" s="15"/>
      <c r="B9" s="15"/>
      <c r="C9" s="15"/>
      <c r="D9" s="15"/>
      <c r="E9" s="15"/>
      <c r="F9" s="15"/>
      <c r="G9" s="16" t="str">
        <f aca="false">IF(A9="","",IF(OR(B9="",D9=""),"Access item and RISK-ID needed","OK"))</f>
        <v/>
      </c>
    </row>
    <row r="10" customFormat="false" ht="15" hidden="false" customHeight="false" outlineLevel="0" collapsed="false">
      <c r="A10" s="15"/>
      <c r="B10" s="15"/>
      <c r="C10" s="15"/>
      <c r="D10" s="15"/>
      <c r="E10" s="15"/>
      <c r="F10" s="15"/>
      <c r="G10" s="16" t="str">
        <f aca="false">IF(A10="","",IF(OR(B10="",D10=""),"Access item and RISK-ID needed","OK"))</f>
        <v/>
      </c>
    </row>
    <row r="11" customFormat="false" ht="15" hidden="false" customHeight="false" outlineLevel="0" collapsed="false">
      <c r="A11" s="15"/>
      <c r="B11" s="15"/>
      <c r="C11" s="15"/>
      <c r="D11" s="15"/>
      <c r="E11" s="15"/>
      <c r="F11" s="15"/>
      <c r="G11" s="16" t="str">
        <f aca="false">IF(A11="","",IF(OR(B11="",D11=""),"Access item and RISK-ID needed","OK"))</f>
        <v/>
      </c>
    </row>
    <row r="12" customFormat="false" ht="15" hidden="false" customHeight="false" outlineLevel="0" collapsed="false">
      <c r="A12" s="15"/>
      <c r="B12" s="15"/>
      <c r="C12" s="15"/>
      <c r="D12" s="15"/>
      <c r="E12" s="15"/>
      <c r="F12" s="15"/>
      <c r="G12" s="16" t="str">
        <f aca="false">IF(A12="","",IF(OR(B12="",D12=""),"Access item and RISK-ID needed","OK"))</f>
        <v/>
      </c>
    </row>
    <row r="13" customFormat="false" ht="15" hidden="false" customHeight="false" outlineLevel="0" collapsed="false">
      <c r="A13" s="15"/>
      <c r="B13" s="15"/>
      <c r="C13" s="15"/>
      <c r="D13" s="15"/>
      <c r="E13" s="15"/>
      <c r="F13" s="15"/>
      <c r="G13" s="16" t="str">
        <f aca="false">IF(A13="","",IF(OR(B13="",D13=""),"Access item and RISK-ID needed","OK"))</f>
        <v/>
      </c>
    </row>
    <row r="14" customFormat="false" ht="15" hidden="false" customHeight="false" outlineLevel="0" collapsed="false">
      <c r="A14" s="15"/>
      <c r="B14" s="15"/>
      <c r="C14" s="15"/>
      <c r="D14" s="15"/>
      <c r="E14" s="15"/>
      <c r="F14" s="15"/>
      <c r="G14" s="16" t="str">
        <f aca="false">IF(A14="","",IF(OR(B14="",D14=""),"Access item and RISK-ID needed","OK"))</f>
        <v/>
      </c>
    </row>
    <row r="15" customFormat="false" ht="15" hidden="false" customHeight="false" outlineLevel="0" collapsed="false">
      <c r="A15" s="15"/>
      <c r="B15" s="15"/>
      <c r="C15" s="15"/>
      <c r="D15" s="15"/>
      <c r="E15" s="15"/>
      <c r="F15" s="15"/>
      <c r="G15" s="16" t="str">
        <f aca="false">IF(A15="","",IF(OR(B15="",D15=""),"Access item and RISK-ID needed","OK"))</f>
        <v/>
      </c>
    </row>
    <row r="16" customFormat="false" ht="15" hidden="false" customHeight="false" outlineLevel="0" collapsed="false">
      <c r="A16" s="15"/>
      <c r="B16" s="15"/>
      <c r="C16" s="15"/>
      <c r="D16" s="15"/>
      <c r="E16" s="15"/>
      <c r="F16" s="15"/>
      <c r="G16" s="16" t="str">
        <f aca="false">IF(A16="","",IF(OR(B16="",D16=""),"Access item and RISK-ID needed","OK"))</f>
        <v/>
      </c>
    </row>
    <row r="17" customFormat="false" ht="15" hidden="false" customHeight="false" outlineLevel="0" collapsed="false">
      <c r="A17" s="15"/>
      <c r="B17" s="15"/>
      <c r="C17" s="15"/>
      <c r="D17" s="15"/>
      <c r="E17" s="15"/>
      <c r="F17" s="15"/>
      <c r="G17" s="16" t="str">
        <f aca="false">IF(A17="","",IF(OR(B17="",D17=""),"Access item and RISK-ID needed","OK"))</f>
        <v/>
      </c>
    </row>
    <row r="18" customFormat="false" ht="15" hidden="false" customHeight="false" outlineLevel="0" collapsed="false">
      <c r="A18" s="15"/>
      <c r="B18" s="15"/>
      <c r="C18" s="15"/>
      <c r="D18" s="15"/>
      <c r="E18" s="15"/>
      <c r="F18" s="15"/>
      <c r="G18" s="16" t="str">
        <f aca="false">IF(A18="","",IF(OR(B18="",D18=""),"Access item and RISK-ID needed","OK"))</f>
        <v/>
      </c>
    </row>
    <row r="19" customFormat="false" ht="15" hidden="false" customHeight="false" outlineLevel="0" collapsed="false">
      <c r="A19" s="15"/>
      <c r="B19" s="15"/>
      <c r="C19" s="15"/>
      <c r="D19" s="15"/>
      <c r="E19" s="15"/>
      <c r="F19" s="15"/>
      <c r="G19" s="16" t="str">
        <f aca="false">IF(A19="","",IF(OR(B19="",D19=""),"Access item and RISK-ID needed","OK"))</f>
        <v/>
      </c>
    </row>
    <row r="20" customFormat="false" ht="15" hidden="false" customHeight="false" outlineLevel="0" collapsed="false">
      <c r="A20" s="15"/>
      <c r="B20" s="15"/>
      <c r="C20" s="15"/>
      <c r="D20" s="15"/>
      <c r="E20" s="15"/>
      <c r="F20" s="15"/>
      <c r="G20" s="16" t="str">
        <f aca="false">IF(A20="","",IF(OR(B20="",D20=""),"Access item and RISK-ID needed","OK"))</f>
        <v/>
      </c>
    </row>
    <row r="21" customFormat="false" ht="15" hidden="false" customHeight="false" outlineLevel="0" collapsed="false">
      <c r="A21" s="15"/>
      <c r="B21" s="15"/>
      <c r="C21" s="15"/>
      <c r="D21" s="15"/>
      <c r="E21" s="15"/>
      <c r="F21" s="15"/>
      <c r="G21" s="16" t="str">
        <f aca="false">IF(A21="","",IF(OR(B21="",D21=""),"Access item and RISK-ID needed","OK"))</f>
        <v/>
      </c>
    </row>
    <row r="22" customFormat="false" ht="15" hidden="false" customHeight="false" outlineLevel="0" collapsed="false">
      <c r="A22" s="15"/>
      <c r="B22" s="15"/>
      <c r="C22" s="15"/>
      <c r="D22" s="15"/>
      <c r="E22" s="15"/>
      <c r="F22" s="15"/>
      <c r="G22" s="16" t="str">
        <f aca="false">IF(A22="","",IF(OR(B22="",D22=""),"Access item and RISK-ID needed","OK"))</f>
        <v/>
      </c>
    </row>
    <row r="23" customFormat="false" ht="15" hidden="false" customHeight="false" outlineLevel="0" collapsed="false">
      <c r="A23" s="15"/>
      <c r="B23" s="15"/>
      <c r="C23" s="15"/>
      <c r="D23" s="15"/>
      <c r="E23" s="15"/>
      <c r="F23" s="15"/>
      <c r="G23" s="16" t="str">
        <f aca="false">IF(A23="","",IF(OR(B23="",D23=""),"Access item and RISK-ID needed","OK"))</f>
        <v/>
      </c>
    </row>
    <row r="24" customFormat="false" ht="15" hidden="false" customHeight="false" outlineLevel="0" collapsed="false">
      <c r="A24" s="15"/>
      <c r="B24" s="15"/>
      <c r="C24" s="15"/>
      <c r="D24" s="15"/>
      <c r="E24" s="15"/>
      <c r="F24" s="15"/>
      <c r="G24" s="16" t="str">
        <f aca="false">IF(A24="","",IF(OR(B24="",D24=""),"Access item and RISK-ID needed","OK"))</f>
        <v/>
      </c>
    </row>
    <row r="25" customFormat="false" ht="15" hidden="false" customHeight="false" outlineLevel="0" collapsed="false">
      <c r="A25" s="15"/>
      <c r="B25" s="15"/>
      <c r="C25" s="15"/>
      <c r="D25" s="15"/>
      <c r="E25" s="15"/>
      <c r="F25" s="15"/>
      <c r="G25" s="16" t="str">
        <f aca="false">IF(A25="","",IF(OR(B25="",D25=""),"Access item and RISK-ID needed","OK"))</f>
        <v/>
      </c>
    </row>
    <row r="26" customFormat="false" ht="15" hidden="false" customHeight="false" outlineLevel="0" collapsed="false">
      <c r="A26" s="15"/>
      <c r="B26" s="15"/>
      <c r="C26" s="15"/>
      <c r="D26" s="15"/>
      <c r="E26" s="15"/>
      <c r="F26" s="15"/>
      <c r="G26" s="16" t="str">
        <f aca="false">IF(A26="","",IF(OR(B26="",D26=""),"Access item and RISK-ID needed","OK"))</f>
        <v/>
      </c>
    </row>
    <row r="27" customFormat="false" ht="15" hidden="false" customHeight="false" outlineLevel="0" collapsed="false">
      <c r="A27" s="15"/>
      <c r="B27" s="15"/>
      <c r="C27" s="15"/>
      <c r="D27" s="15"/>
      <c r="E27" s="15"/>
      <c r="F27" s="15"/>
      <c r="G27" s="16" t="str">
        <f aca="false">IF(A27="","",IF(OR(B27="",D27=""),"Access item and RISK-ID needed","OK"))</f>
        <v/>
      </c>
    </row>
    <row r="28" customFormat="false" ht="15" hidden="false" customHeight="false" outlineLevel="0" collapsed="false">
      <c r="A28" s="15"/>
      <c r="B28" s="15"/>
      <c r="C28" s="15"/>
      <c r="D28" s="15"/>
      <c r="E28" s="15"/>
      <c r="F28" s="15"/>
      <c r="G28" s="16" t="str">
        <f aca="false">IF(A28="","",IF(OR(B28="",D28=""),"Access item and RISK-ID needed","OK"))</f>
        <v/>
      </c>
    </row>
    <row r="29" customFormat="false" ht="15" hidden="false" customHeight="false" outlineLevel="0" collapsed="false">
      <c r="A29" s="15"/>
      <c r="B29" s="15"/>
      <c r="C29" s="15"/>
      <c r="D29" s="15"/>
      <c r="E29" s="15"/>
      <c r="F29" s="15"/>
      <c r="G29" s="16" t="str">
        <f aca="false">IF(A29="","",IF(OR(B29="",D29=""),"Access item and RISK-ID needed","OK"))</f>
        <v/>
      </c>
    </row>
    <row r="30" customFormat="false" ht="15" hidden="false" customHeight="false" outlineLevel="0" collapsed="false">
      <c r="A30" s="15"/>
      <c r="B30" s="15"/>
      <c r="C30" s="15"/>
      <c r="D30" s="15"/>
      <c r="E30" s="15"/>
      <c r="F30" s="15"/>
      <c r="G30" s="16" t="str">
        <f aca="false">IF(A30="","",IF(OR(B30="",D30=""),"Access item and RISK-ID needed","OK"))</f>
        <v/>
      </c>
    </row>
    <row r="31" customFormat="false" ht="15" hidden="false" customHeight="false" outlineLevel="0" collapsed="false">
      <c r="A31" s="15"/>
      <c r="B31" s="15"/>
      <c r="C31" s="15"/>
      <c r="D31" s="15"/>
      <c r="E31" s="15"/>
      <c r="F31" s="15"/>
      <c r="G31" s="16" t="str">
        <f aca="false">IF(A31="","",IF(OR(B31="",D31=""),"Access item and RISK-ID needed","OK"))</f>
        <v/>
      </c>
    </row>
    <row r="32" customFormat="false" ht="15" hidden="false" customHeight="false" outlineLevel="0" collapsed="false">
      <c r="A32" s="15"/>
      <c r="B32" s="15"/>
      <c r="C32" s="15"/>
      <c r="D32" s="15"/>
      <c r="E32" s="15"/>
      <c r="F32" s="15"/>
      <c r="G32" s="16" t="str">
        <f aca="false">IF(A32="","",IF(OR(B32="",D32=""),"Access item and RISK-ID needed","OK"))</f>
        <v/>
      </c>
    </row>
    <row r="33" customFormat="false" ht="15" hidden="false" customHeight="false" outlineLevel="0" collapsed="false">
      <c r="A33" s="15"/>
      <c r="B33" s="15"/>
      <c r="C33" s="15"/>
      <c r="D33" s="15"/>
      <c r="E33" s="15"/>
      <c r="F33" s="15"/>
      <c r="G33" s="16" t="str">
        <f aca="false">IF(A33="","",IF(OR(B33="",D33=""),"Access item and RISK-ID needed","OK"))</f>
        <v/>
      </c>
    </row>
    <row r="34" customFormat="false" ht="15" hidden="false" customHeight="false" outlineLevel="0" collapsed="false">
      <c r="A34" s="15"/>
      <c r="B34" s="15"/>
      <c r="C34" s="15"/>
      <c r="D34" s="15"/>
      <c r="E34" s="15"/>
      <c r="F34" s="15"/>
      <c r="G34" s="16" t="str">
        <f aca="false">IF(A34="","",IF(OR(B34="",D34=""),"Access item and RISK-ID needed","OK"))</f>
        <v/>
      </c>
    </row>
    <row r="35" customFormat="false" ht="15" hidden="false" customHeight="false" outlineLevel="0" collapsed="false">
      <c r="A35" s="15"/>
      <c r="B35" s="15"/>
      <c r="C35" s="15"/>
      <c r="D35" s="15"/>
      <c r="E35" s="15"/>
      <c r="F35" s="15"/>
      <c r="G35" s="16" t="str">
        <f aca="false">IF(A35="","",IF(OR(B35="",D35=""),"Access item and RISK-ID needed","OK"))</f>
        <v/>
      </c>
    </row>
    <row r="36" customFormat="false" ht="15" hidden="false" customHeight="false" outlineLevel="0" collapsed="false">
      <c r="A36" s="15"/>
      <c r="B36" s="15"/>
      <c r="C36" s="15"/>
      <c r="D36" s="15"/>
      <c r="E36" s="15"/>
      <c r="F36" s="15"/>
      <c r="G36" s="16" t="str">
        <f aca="false">IF(A36="","",IF(OR(B36="",D36=""),"Access item and RISK-ID needed","OK"))</f>
        <v/>
      </c>
    </row>
    <row r="37" customFormat="false" ht="15" hidden="false" customHeight="false" outlineLevel="0" collapsed="false">
      <c r="A37" s="15"/>
      <c r="B37" s="15"/>
      <c r="C37" s="15"/>
      <c r="D37" s="15"/>
      <c r="E37" s="15"/>
      <c r="F37" s="15"/>
      <c r="G37" s="16" t="str">
        <f aca="false">IF(A37="","",IF(OR(B37="",D37=""),"Access item and RISK-ID needed","OK"))</f>
        <v/>
      </c>
    </row>
    <row r="38" customFormat="false" ht="15" hidden="false" customHeight="false" outlineLevel="0" collapsed="false">
      <c r="A38" s="15"/>
      <c r="B38" s="15"/>
      <c r="C38" s="15"/>
      <c r="D38" s="15"/>
      <c r="E38" s="15"/>
      <c r="F38" s="15"/>
      <c r="G38" s="16" t="str">
        <f aca="false">IF(A38="","",IF(OR(B38="",D38=""),"Access item and RISK-ID needed","OK"))</f>
        <v/>
      </c>
    </row>
    <row r="39" customFormat="false" ht="15" hidden="false" customHeight="false" outlineLevel="0" collapsed="false">
      <c r="A39" s="15"/>
      <c r="B39" s="15"/>
      <c r="C39" s="15"/>
      <c r="D39" s="15"/>
      <c r="E39" s="15"/>
      <c r="F39" s="15"/>
      <c r="G39" s="16" t="str">
        <f aca="false">IF(A39="","",IF(OR(B39="",D39=""),"Access item and RISK-ID needed","OK"))</f>
        <v/>
      </c>
    </row>
    <row r="40" customFormat="false" ht="15" hidden="false" customHeight="false" outlineLevel="0" collapsed="false">
      <c r="A40" s="15"/>
      <c r="B40" s="15"/>
      <c r="C40" s="15"/>
      <c r="D40" s="15"/>
      <c r="E40" s="15"/>
      <c r="F40" s="15"/>
      <c r="G40" s="16" t="str">
        <f aca="false">IF(A40="","",IF(OR(B40="",D40=""),"Access item and RISK-ID needed","OK"))</f>
        <v/>
      </c>
    </row>
    <row r="41" customFormat="false" ht="15" hidden="false" customHeight="false" outlineLevel="0" collapsed="false">
      <c r="A41" s="15"/>
      <c r="B41" s="15"/>
      <c r="C41" s="15"/>
      <c r="D41" s="15"/>
      <c r="E41" s="15"/>
      <c r="F41" s="15"/>
      <c r="G41" s="16" t="str">
        <f aca="false">IF(A41="","",IF(OR(B41="",D41=""),"Access item and RISK-ID needed","OK"))</f>
        <v/>
      </c>
    </row>
    <row r="42" customFormat="false" ht="15" hidden="false" customHeight="false" outlineLevel="0" collapsed="false">
      <c r="A42" s="15"/>
      <c r="B42" s="15"/>
      <c r="C42" s="15"/>
      <c r="D42" s="15"/>
      <c r="E42" s="15"/>
      <c r="F42" s="15"/>
      <c r="G42" s="16" t="str">
        <f aca="false">IF(A42="","",IF(OR(B42="",D42=""),"Access item and RISK-ID needed","OK"))</f>
        <v/>
      </c>
    </row>
    <row r="43" customFormat="false" ht="15" hidden="false" customHeight="false" outlineLevel="0" collapsed="false">
      <c r="A43" s="15"/>
      <c r="B43" s="15"/>
      <c r="C43" s="15"/>
      <c r="D43" s="15"/>
      <c r="E43" s="15"/>
      <c r="F43" s="15"/>
      <c r="G43" s="16" t="str">
        <f aca="false">IF(A43="","",IF(OR(B43="",D43=""),"Access item and RISK-ID needed","OK"))</f>
        <v/>
      </c>
    </row>
    <row r="44" customFormat="false" ht="15" hidden="false" customHeight="false" outlineLevel="0" collapsed="false">
      <c r="A44" s="15"/>
      <c r="B44" s="15"/>
      <c r="C44" s="15"/>
      <c r="D44" s="15"/>
      <c r="E44" s="15"/>
      <c r="F44" s="15"/>
      <c r="G44" s="16" t="str">
        <f aca="false">IF(A44="","",IF(OR(B44="",D44=""),"Access item and RISK-ID needed","OK"))</f>
        <v/>
      </c>
    </row>
    <row r="45" customFormat="false" ht="15" hidden="false" customHeight="false" outlineLevel="0" collapsed="false">
      <c r="A45" s="15"/>
      <c r="B45" s="15"/>
      <c r="C45" s="15"/>
      <c r="D45" s="15"/>
      <c r="E45" s="15"/>
      <c r="F45" s="15"/>
      <c r="G45" s="16" t="str">
        <f aca="false">IF(A45="","",IF(OR(B45="",D45=""),"Access item and RISK-ID needed","OK"))</f>
        <v/>
      </c>
    </row>
    <row r="46" customFormat="false" ht="15" hidden="false" customHeight="false" outlineLevel="0" collapsed="false">
      <c r="A46" s="15"/>
      <c r="B46" s="15"/>
      <c r="C46" s="15"/>
      <c r="D46" s="15"/>
      <c r="E46" s="15"/>
      <c r="F46" s="15"/>
      <c r="G46" s="16" t="str">
        <f aca="false">IF(A46="","",IF(OR(B46="",D46=""),"Access item and RISK-ID needed","OK"))</f>
        <v/>
      </c>
    </row>
    <row r="47" customFormat="false" ht="15" hidden="false" customHeight="false" outlineLevel="0" collapsed="false">
      <c r="A47" s="15"/>
      <c r="B47" s="15"/>
      <c r="C47" s="15"/>
      <c r="D47" s="15"/>
      <c r="E47" s="15"/>
      <c r="F47" s="15"/>
      <c r="G47" s="16" t="str">
        <f aca="false">IF(A47="","",IF(OR(B47="",D47=""),"Access item and RISK-ID needed","OK"))</f>
        <v/>
      </c>
    </row>
    <row r="48" customFormat="false" ht="15" hidden="false" customHeight="false" outlineLevel="0" collapsed="false">
      <c r="A48" s="15"/>
      <c r="B48" s="15"/>
      <c r="C48" s="15"/>
      <c r="D48" s="15"/>
      <c r="E48" s="15"/>
      <c r="F48" s="15"/>
      <c r="G48" s="16" t="str">
        <f aca="false">IF(A48="","",IF(OR(B48="",D48=""),"Access item and RISK-ID needed","OK"))</f>
        <v/>
      </c>
    </row>
    <row r="49" customFormat="false" ht="15" hidden="false" customHeight="false" outlineLevel="0" collapsed="false">
      <c r="A49" s="15"/>
      <c r="B49" s="15"/>
      <c r="C49" s="15"/>
      <c r="D49" s="15"/>
      <c r="E49" s="15"/>
      <c r="F49" s="15"/>
      <c r="G49" s="16" t="str">
        <f aca="false">IF(A49="","",IF(OR(B49="",D49=""),"Access item and RISK-ID needed","OK"))</f>
        <v/>
      </c>
    </row>
    <row r="50" customFormat="false" ht="15" hidden="false" customHeight="false" outlineLevel="0" collapsed="false">
      <c r="A50" s="15"/>
      <c r="B50" s="15"/>
      <c r="C50" s="15"/>
      <c r="D50" s="15"/>
      <c r="E50" s="15"/>
      <c r="F50" s="15"/>
      <c r="G50" s="16" t="str">
        <f aca="false">IF(A50="","",IF(OR(B50="",D50=""),"Access item and RISK-ID needed","OK"))</f>
        <v/>
      </c>
    </row>
    <row r="51" customFormat="false" ht="15" hidden="false" customHeight="false" outlineLevel="0" collapsed="false">
      <c r="A51" s="15"/>
      <c r="B51" s="15"/>
      <c r="C51" s="15"/>
      <c r="D51" s="15"/>
      <c r="E51" s="15"/>
      <c r="F51" s="15"/>
      <c r="G51" s="16" t="str">
        <f aca="false">IF(A51="","",IF(OR(B51="",D51=""),"Access item and RISK-ID needed","OK"))</f>
        <v/>
      </c>
    </row>
    <row r="52" customFormat="false" ht="15" hidden="false" customHeight="false" outlineLevel="0" collapsed="false">
      <c r="A52" s="15"/>
      <c r="B52" s="15"/>
      <c r="C52" s="15"/>
      <c r="D52" s="15"/>
      <c r="E52" s="15"/>
      <c r="F52" s="15"/>
      <c r="G52" s="16" t="str">
        <f aca="false">IF(A52="","",IF(OR(B52="",D52=""),"Access item and RISK-ID needed","OK"))</f>
        <v/>
      </c>
    </row>
    <row r="53" customFormat="false" ht="15" hidden="false" customHeight="false" outlineLevel="0" collapsed="false">
      <c r="A53" s="15"/>
      <c r="B53" s="15"/>
      <c r="C53" s="15"/>
      <c r="D53" s="15"/>
      <c r="E53" s="15"/>
      <c r="F53" s="15"/>
      <c r="G53" s="16" t="str">
        <f aca="false">IF(A53="","",IF(OR(B53="",D53=""),"Access item and RISK-ID needed","OK"))</f>
        <v/>
      </c>
    </row>
    <row r="54" customFormat="false" ht="15" hidden="false" customHeight="false" outlineLevel="0" collapsed="false">
      <c r="A54" s="15"/>
      <c r="B54" s="15"/>
      <c r="C54" s="15"/>
      <c r="D54" s="15"/>
      <c r="E54" s="15"/>
      <c r="F54" s="15"/>
      <c r="G54" s="16" t="str">
        <f aca="false">IF(A54="","",IF(OR(B54="",D54=""),"Access item and RISK-ID needed","OK"))</f>
        <v/>
      </c>
    </row>
    <row r="55" customFormat="false" ht="15" hidden="false" customHeight="false" outlineLevel="0" collapsed="false">
      <c r="A55" s="15"/>
      <c r="B55" s="15"/>
      <c r="C55" s="15"/>
      <c r="D55" s="15"/>
      <c r="E55" s="15"/>
      <c r="F55" s="15"/>
      <c r="G55" s="16" t="str">
        <f aca="false">IF(A55="","",IF(OR(B55="",D55=""),"Access item and RISK-ID needed","OK"))</f>
        <v/>
      </c>
    </row>
    <row r="56" customFormat="false" ht="15" hidden="false" customHeight="false" outlineLevel="0" collapsed="false">
      <c r="A56" s="15"/>
      <c r="B56" s="15"/>
      <c r="C56" s="15"/>
      <c r="D56" s="15"/>
      <c r="E56" s="15"/>
      <c r="F56" s="15"/>
      <c r="G56" s="16" t="str">
        <f aca="false">IF(A56="","",IF(OR(B56="",D56=""),"Access item and RISK-ID needed","OK"))</f>
        <v/>
      </c>
    </row>
    <row r="57" customFormat="false" ht="15" hidden="false" customHeight="false" outlineLevel="0" collapsed="false">
      <c r="A57" s="15"/>
      <c r="B57" s="15"/>
      <c r="C57" s="15"/>
      <c r="D57" s="15"/>
      <c r="E57" s="15"/>
      <c r="F57" s="15"/>
      <c r="G57" s="16" t="str">
        <f aca="false">IF(A57="","",IF(OR(B57="",D57=""),"Access item and RISK-ID needed","OK"))</f>
        <v/>
      </c>
    </row>
    <row r="58" customFormat="false" ht="15" hidden="false" customHeight="false" outlineLevel="0" collapsed="false">
      <c r="A58" s="15"/>
      <c r="B58" s="15"/>
      <c r="C58" s="15"/>
      <c r="D58" s="15"/>
      <c r="E58" s="15"/>
      <c r="F58" s="15"/>
      <c r="G58" s="16" t="str">
        <f aca="false">IF(A58="","",IF(OR(B58="",D58=""),"Access item and RISK-ID needed","OK"))</f>
        <v/>
      </c>
    </row>
    <row r="59" customFormat="false" ht="15" hidden="false" customHeight="false" outlineLevel="0" collapsed="false">
      <c r="A59" s="15"/>
      <c r="B59" s="15"/>
      <c r="C59" s="15"/>
      <c r="D59" s="15"/>
      <c r="E59" s="15"/>
      <c r="F59" s="15"/>
      <c r="G59" s="16" t="str">
        <f aca="false">IF(A59="","",IF(OR(B59="",D59=""),"Access item and RISK-ID needed","OK"))</f>
        <v/>
      </c>
    </row>
    <row r="60" customFormat="false" ht="15" hidden="false" customHeight="false" outlineLevel="0" collapsed="false">
      <c r="A60" s="15"/>
      <c r="B60" s="15"/>
      <c r="C60" s="15"/>
      <c r="D60" s="15"/>
      <c r="E60" s="15"/>
      <c r="F60" s="15"/>
      <c r="G60" s="16" t="str">
        <f aca="false">IF(A60="","",IF(OR(B60="",D60=""),"Access item and RISK-ID needed","OK"))</f>
        <v/>
      </c>
    </row>
    <row r="61" customFormat="false" ht="15" hidden="false" customHeight="false" outlineLevel="0" collapsed="false">
      <c r="A61" s="15"/>
      <c r="B61" s="15"/>
      <c r="C61" s="15"/>
      <c r="D61" s="15"/>
      <c r="E61" s="15"/>
      <c r="F61" s="15"/>
      <c r="G61" s="16" t="str">
        <f aca="false">IF(A61="","",IF(OR(B61="",D61=""),"Access item and RISK-ID needed","OK"))</f>
        <v/>
      </c>
    </row>
    <row r="62" customFormat="false" ht="15" hidden="false" customHeight="false" outlineLevel="0" collapsed="false">
      <c r="A62" s="15"/>
      <c r="B62" s="15"/>
      <c r="C62" s="15"/>
      <c r="D62" s="15"/>
      <c r="E62" s="15"/>
      <c r="F62" s="15"/>
      <c r="G62" s="16" t="str">
        <f aca="false">IF(A62="","",IF(OR(B62="",D62=""),"Access item and RISK-ID needed","OK"))</f>
        <v/>
      </c>
    </row>
    <row r="63" customFormat="false" ht="15" hidden="false" customHeight="false" outlineLevel="0" collapsed="false">
      <c r="A63" s="15"/>
      <c r="B63" s="15"/>
      <c r="C63" s="15"/>
      <c r="D63" s="15"/>
      <c r="E63" s="15"/>
      <c r="F63" s="15"/>
      <c r="G63" s="16" t="str">
        <f aca="false">IF(A63="","",IF(OR(B63="",D63=""),"Access item and RISK-ID needed","OK"))</f>
        <v/>
      </c>
    </row>
    <row r="64" customFormat="false" ht="15" hidden="false" customHeight="false" outlineLevel="0" collapsed="false">
      <c r="A64" s="15"/>
      <c r="B64" s="15"/>
      <c r="C64" s="15"/>
      <c r="D64" s="15"/>
      <c r="E64" s="15"/>
      <c r="F64" s="15"/>
      <c r="G64" s="16" t="str">
        <f aca="false">IF(A64="","",IF(OR(B64="",D64=""),"Access item and RISK-ID needed","OK"))</f>
        <v/>
      </c>
    </row>
    <row r="65" customFormat="false" ht="15" hidden="false" customHeight="false" outlineLevel="0" collapsed="false">
      <c r="A65" s="15"/>
      <c r="B65" s="15"/>
      <c r="C65" s="15"/>
      <c r="D65" s="15"/>
      <c r="E65" s="15"/>
      <c r="F65" s="15"/>
      <c r="G65" s="16" t="str">
        <f aca="false">IF(A65="","",IF(OR(B65="",D65=""),"Access item and RISK-ID needed","OK"))</f>
        <v/>
      </c>
    </row>
    <row r="66" customFormat="false" ht="15" hidden="false" customHeight="false" outlineLevel="0" collapsed="false">
      <c r="A66" s="15"/>
      <c r="B66" s="15"/>
      <c r="C66" s="15"/>
      <c r="D66" s="15"/>
      <c r="E66" s="15"/>
      <c r="F66" s="15"/>
      <c r="G66" s="16" t="str">
        <f aca="false">IF(A66="","",IF(OR(B66="",D66=""),"Access item and RISK-ID needed","OK"))</f>
        <v/>
      </c>
    </row>
    <row r="67" customFormat="false" ht="15" hidden="false" customHeight="false" outlineLevel="0" collapsed="false">
      <c r="A67" s="15"/>
      <c r="B67" s="15"/>
      <c r="C67" s="15"/>
      <c r="D67" s="15"/>
      <c r="E67" s="15"/>
      <c r="F67" s="15"/>
      <c r="G67" s="16" t="str">
        <f aca="false">IF(A67="","",IF(OR(B67="",D67=""),"Access item and RISK-ID needed","OK"))</f>
        <v/>
      </c>
    </row>
    <row r="68" customFormat="false" ht="15" hidden="false" customHeight="false" outlineLevel="0" collapsed="false">
      <c r="A68" s="15"/>
      <c r="B68" s="15"/>
      <c r="C68" s="15"/>
      <c r="D68" s="15"/>
      <c r="E68" s="15"/>
      <c r="F68" s="15"/>
      <c r="G68" s="16" t="str">
        <f aca="false">IF(A68="","",IF(OR(B68="",D68=""),"Access item and RISK-ID needed","OK"))</f>
        <v/>
      </c>
    </row>
    <row r="69" customFormat="false" ht="15" hidden="false" customHeight="false" outlineLevel="0" collapsed="false">
      <c r="A69" s="15"/>
      <c r="B69" s="15"/>
      <c r="C69" s="15"/>
      <c r="D69" s="15"/>
      <c r="E69" s="15"/>
      <c r="F69" s="15"/>
      <c r="G69" s="16" t="str">
        <f aca="false">IF(A69="","",IF(OR(B69="",D69=""),"Access item and RISK-ID needed","OK"))</f>
        <v/>
      </c>
    </row>
    <row r="70" customFormat="false" ht="15" hidden="false" customHeight="false" outlineLevel="0" collapsed="false">
      <c r="A70" s="15"/>
      <c r="B70" s="15"/>
      <c r="C70" s="15"/>
      <c r="D70" s="15"/>
      <c r="E70" s="15"/>
      <c r="F70" s="15"/>
      <c r="G70" s="16" t="str">
        <f aca="false">IF(A70="","",IF(OR(B70="",D70=""),"Access item and RISK-ID needed","OK"))</f>
        <v/>
      </c>
    </row>
    <row r="71" customFormat="false" ht="15" hidden="false" customHeight="false" outlineLevel="0" collapsed="false">
      <c r="A71" s="15"/>
      <c r="B71" s="15"/>
      <c r="C71" s="15"/>
      <c r="D71" s="15"/>
      <c r="E71" s="15"/>
      <c r="F71" s="15"/>
      <c r="G71" s="16" t="str">
        <f aca="false">IF(A71="","",IF(OR(B71="",D71=""),"Access item and RISK-ID needed","OK"))</f>
        <v/>
      </c>
    </row>
    <row r="72" customFormat="false" ht="15" hidden="false" customHeight="false" outlineLevel="0" collapsed="false">
      <c r="A72" s="15"/>
      <c r="B72" s="15"/>
      <c r="C72" s="15"/>
      <c r="D72" s="15"/>
      <c r="E72" s="15"/>
      <c r="F72" s="15"/>
      <c r="G72" s="16" t="str">
        <f aca="false">IF(A72="","",IF(OR(B72="",D72=""),"Access item and RISK-ID needed","OK"))</f>
        <v/>
      </c>
    </row>
    <row r="73" customFormat="false" ht="15" hidden="false" customHeight="false" outlineLevel="0" collapsed="false">
      <c r="A73" s="15"/>
      <c r="B73" s="15"/>
      <c r="C73" s="15"/>
      <c r="D73" s="15"/>
      <c r="E73" s="15"/>
      <c r="F73" s="15"/>
      <c r="G73" s="16" t="str">
        <f aca="false">IF(A73="","",IF(OR(B73="",D73=""),"Access item and RISK-ID needed","OK"))</f>
        <v/>
      </c>
    </row>
    <row r="74" customFormat="false" ht="15" hidden="false" customHeight="false" outlineLevel="0" collapsed="false">
      <c r="A74" s="15"/>
      <c r="B74" s="15"/>
      <c r="C74" s="15"/>
      <c r="D74" s="15"/>
      <c r="E74" s="15"/>
      <c r="F74" s="15"/>
      <c r="G74" s="16" t="str">
        <f aca="false">IF(A74="","",IF(OR(B74="",D74=""),"Access item and RISK-ID needed","OK"))</f>
        <v/>
      </c>
    </row>
    <row r="75" customFormat="false" ht="15" hidden="false" customHeight="false" outlineLevel="0" collapsed="false">
      <c r="A75" s="15"/>
      <c r="B75" s="15"/>
      <c r="C75" s="15"/>
      <c r="D75" s="15"/>
      <c r="E75" s="15"/>
      <c r="F75" s="15"/>
      <c r="G75" s="16" t="str">
        <f aca="false">IF(A75="","",IF(OR(B75="",D75=""),"Access item and RISK-ID needed","OK"))</f>
        <v/>
      </c>
    </row>
    <row r="76" customFormat="false" ht="15" hidden="false" customHeight="false" outlineLevel="0" collapsed="false">
      <c r="A76" s="15"/>
      <c r="B76" s="15"/>
      <c r="C76" s="15"/>
      <c r="D76" s="15"/>
      <c r="E76" s="15"/>
      <c r="F76" s="15"/>
      <c r="G76" s="16" t="str">
        <f aca="false">IF(A76="","",IF(OR(B76="",D76=""),"Access item and RISK-ID needed","OK"))</f>
        <v/>
      </c>
    </row>
    <row r="77" customFormat="false" ht="15" hidden="false" customHeight="false" outlineLevel="0" collapsed="false">
      <c r="A77" s="15"/>
      <c r="B77" s="15"/>
      <c r="C77" s="15"/>
      <c r="D77" s="15"/>
      <c r="E77" s="15"/>
      <c r="F77" s="15"/>
      <c r="G77" s="16" t="str">
        <f aca="false">IF(A77="","",IF(OR(B77="",D77=""),"Access item and RISK-ID needed","OK"))</f>
        <v/>
      </c>
    </row>
    <row r="78" customFormat="false" ht="15" hidden="false" customHeight="false" outlineLevel="0" collapsed="false">
      <c r="A78" s="15"/>
      <c r="B78" s="15"/>
      <c r="C78" s="15"/>
      <c r="D78" s="15"/>
      <c r="E78" s="15"/>
      <c r="F78" s="15"/>
      <c r="G78" s="16" t="str">
        <f aca="false">IF(A78="","",IF(OR(B78="",D78=""),"Access item and RISK-ID needed","OK"))</f>
        <v/>
      </c>
    </row>
    <row r="79" customFormat="false" ht="15" hidden="false" customHeight="false" outlineLevel="0" collapsed="false">
      <c r="A79" s="15"/>
      <c r="B79" s="15"/>
      <c r="C79" s="15"/>
      <c r="D79" s="15"/>
      <c r="E79" s="15"/>
      <c r="F79" s="15"/>
      <c r="G79" s="16" t="str">
        <f aca="false">IF(A79="","",IF(OR(B79="",D79=""),"Access item and RISK-ID needed","OK"))</f>
        <v/>
      </c>
    </row>
    <row r="80" customFormat="false" ht="15" hidden="false" customHeight="false" outlineLevel="0" collapsed="false">
      <c r="A80" s="15"/>
      <c r="B80" s="15"/>
      <c r="C80" s="15"/>
      <c r="D80" s="15"/>
      <c r="E80" s="15"/>
      <c r="F80" s="15"/>
      <c r="G80" s="16" t="str">
        <f aca="false">IF(A80="","",IF(OR(B80="",D80=""),"Access item and RISK-ID needed","OK"))</f>
        <v/>
      </c>
    </row>
    <row r="81" customFormat="false" ht="15" hidden="false" customHeight="false" outlineLevel="0" collapsed="false">
      <c r="A81" s="15"/>
      <c r="B81" s="15"/>
      <c r="C81" s="15"/>
      <c r="D81" s="15"/>
      <c r="E81" s="15"/>
      <c r="F81" s="15"/>
      <c r="G81" s="16" t="str">
        <f aca="false">IF(A81="","",IF(OR(B81="",D81=""),"Access item and RISK-ID needed","OK"))</f>
        <v/>
      </c>
    </row>
    <row r="82" customFormat="false" ht="15" hidden="false" customHeight="false" outlineLevel="0" collapsed="false">
      <c r="A82" s="15"/>
      <c r="B82" s="15"/>
      <c r="C82" s="15"/>
      <c r="D82" s="15"/>
      <c r="E82" s="15"/>
      <c r="F82" s="15"/>
      <c r="G82" s="16" t="str">
        <f aca="false">IF(A82="","",IF(OR(B82="",D82=""),"Access item and RISK-ID needed","OK"))</f>
        <v/>
      </c>
    </row>
    <row r="83" customFormat="false" ht="15" hidden="false" customHeight="false" outlineLevel="0" collapsed="false">
      <c r="A83" s="15"/>
      <c r="B83" s="15"/>
      <c r="C83" s="15"/>
      <c r="D83" s="15"/>
      <c r="E83" s="15"/>
      <c r="F83" s="15"/>
      <c r="G83" s="16" t="str">
        <f aca="false">IF(A83="","",IF(OR(B83="",D83=""),"Access item and RISK-ID needed","OK"))</f>
        <v/>
      </c>
    </row>
    <row r="84" customFormat="false" ht="15" hidden="false" customHeight="false" outlineLevel="0" collapsed="false">
      <c r="A84" s="15"/>
      <c r="B84" s="15"/>
      <c r="C84" s="15"/>
      <c r="D84" s="15"/>
      <c r="E84" s="15"/>
      <c r="F84" s="15"/>
      <c r="G84" s="16" t="str">
        <f aca="false">IF(A84="","",IF(OR(B84="",D84=""),"Access item and RISK-ID needed","OK"))</f>
        <v/>
      </c>
    </row>
    <row r="85" customFormat="false" ht="15" hidden="false" customHeight="false" outlineLevel="0" collapsed="false">
      <c r="A85" s="15"/>
      <c r="B85" s="15"/>
      <c r="C85" s="15"/>
      <c r="D85" s="15"/>
      <c r="E85" s="15"/>
      <c r="F85" s="15"/>
      <c r="G85" s="16" t="str">
        <f aca="false">IF(A85="","",IF(OR(B85="",D85=""),"Access item and RISK-ID needed","OK"))</f>
        <v/>
      </c>
    </row>
    <row r="86" customFormat="false" ht="15" hidden="false" customHeight="false" outlineLevel="0" collapsed="false">
      <c r="A86" s="15"/>
      <c r="B86" s="15"/>
      <c r="C86" s="15"/>
      <c r="D86" s="15"/>
      <c r="E86" s="15"/>
      <c r="F86" s="15"/>
      <c r="G86" s="16" t="str">
        <f aca="false">IF(A86="","",IF(OR(B86="",D86=""),"Access item and RISK-ID needed","OK"))</f>
        <v/>
      </c>
    </row>
    <row r="87" customFormat="false" ht="15" hidden="false" customHeight="false" outlineLevel="0" collapsed="false">
      <c r="A87" s="15"/>
      <c r="B87" s="15"/>
      <c r="C87" s="15"/>
      <c r="D87" s="15"/>
      <c r="E87" s="15"/>
      <c r="F87" s="15"/>
      <c r="G87" s="16" t="str">
        <f aca="false">IF(A87="","",IF(OR(B87="",D87=""),"Access item and RISK-ID needed","OK"))</f>
        <v/>
      </c>
    </row>
    <row r="88" customFormat="false" ht="15" hidden="false" customHeight="false" outlineLevel="0" collapsed="false">
      <c r="A88" s="15"/>
      <c r="B88" s="15"/>
      <c r="C88" s="15"/>
      <c r="D88" s="15"/>
      <c r="E88" s="15"/>
      <c r="F88" s="15"/>
      <c r="G88" s="16" t="str">
        <f aca="false">IF(A88="","",IF(OR(B88="",D88=""),"Access item and RISK-ID needed","OK"))</f>
        <v/>
      </c>
    </row>
    <row r="89" customFormat="false" ht="15" hidden="false" customHeight="false" outlineLevel="0" collapsed="false">
      <c r="A89" s="15"/>
      <c r="B89" s="15"/>
      <c r="C89" s="15"/>
      <c r="D89" s="15"/>
      <c r="E89" s="15"/>
      <c r="F89" s="15"/>
      <c r="G89" s="16" t="str">
        <f aca="false">IF(A89="","",IF(OR(B89="",D89=""),"Access item and RISK-ID needed","OK"))</f>
        <v/>
      </c>
    </row>
    <row r="90" customFormat="false" ht="15" hidden="false" customHeight="false" outlineLevel="0" collapsed="false">
      <c r="A90" s="15"/>
      <c r="B90" s="15"/>
      <c r="C90" s="15"/>
      <c r="D90" s="15"/>
      <c r="E90" s="15"/>
      <c r="F90" s="15"/>
      <c r="G90" s="16" t="str">
        <f aca="false">IF(A90="","",IF(OR(B90="",D90=""),"Access item and RISK-ID needed","OK"))</f>
        <v/>
      </c>
    </row>
    <row r="91" customFormat="false" ht="15" hidden="false" customHeight="false" outlineLevel="0" collapsed="false">
      <c r="A91" s="15"/>
      <c r="B91" s="15"/>
      <c r="C91" s="15"/>
      <c r="D91" s="15"/>
      <c r="E91" s="15"/>
      <c r="F91" s="15"/>
      <c r="G91" s="16" t="str">
        <f aca="false">IF(A91="","",IF(OR(B91="",D91=""),"Access item and RISK-ID needed","OK"))</f>
        <v/>
      </c>
    </row>
    <row r="92" customFormat="false" ht="15" hidden="false" customHeight="false" outlineLevel="0" collapsed="false">
      <c r="A92" s="15"/>
      <c r="B92" s="15"/>
      <c r="C92" s="15"/>
      <c r="D92" s="15"/>
      <c r="E92" s="15"/>
      <c r="F92" s="15"/>
      <c r="G92" s="16" t="str">
        <f aca="false">IF(A92="","",IF(OR(B92="",D92=""),"Access item and RISK-ID needed","OK"))</f>
        <v/>
      </c>
    </row>
    <row r="93" customFormat="false" ht="15" hidden="false" customHeight="false" outlineLevel="0" collapsed="false">
      <c r="A93" s="15"/>
      <c r="B93" s="15"/>
      <c r="C93" s="15"/>
      <c r="D93" s="15"/>
      <c r="E93" s="15"/>
      <c r="F93" s="15"/>
      <c r="G93" s="16" t="str">
        <f aca="false">IF(A93="","",IF(OR(B93="",D93=""),"Access item and RISK-ID needed","OK"))</f>
        <v/>
      </c>
    </row>
    <row r="94" customFormat="false" ht="15" hidden="false" customHeight="false" outlineLevel="0" collapsed="false">
      <c r="A94" s="15"/>
      <c r="B94" s="15"/>
      <c r="C94" s="15"/>
      <c r="D94" s="15"/>
      <c r="E94" s="15"/>
      <c r="F94" s="15"/>
      <c r="G94" s="16" t="str">
        <f aca="false">IF(A94="","",IF(OR(B94="",D94=""),"Access item and RISK-ID needed","OK"))</f>
        <v/>
      </c>
    </row>
    <row r="95" customFormat="false" ht="15" hidden="false" customHeight="false" outlineLevel="0" collapsed="false">
      <c r="A95" s="15"/>
      <c r="B95" s="15"/>
      <c r="C95" s="15"/>
      <c r="D95" s="15"/>
      <c r="E95" s="15"/>
      <c r="F95" s="15"/>
      <c r="G95" s="16" t="str">
        <f aca="false">IF(A95="","",IF(OR(B95="",D95=""),"Access item and RISK-ID needed","OK"))</f>
        <v/>
      </c>
    </row>
    <row r="96" customFormat="false" ht="15" hidden="false" customHeight="false" outlineLevel="0" collapsed="false">
      <c r="A96" s="15"/>
      <c r="B96" s="15"/>
      <c r="C96" s="15"/>
      <c r="D96" s="15"/>
      <c r="E96" s="15"/>
      <c r="F96" s="15"/>
      <c r="G96" s="16" t="str">
        <f aca="false">IF(A96="","",IF(OR(B96="",D96=""),"Access item and RISK-ID needed","OK"))</f>
        <v/>
      </c>
    </row>
    <row r="97" customFormat="false" ht="15" hidden="false" customHeight="false" outlineLevel="0" collapsed="false">
      <c r="A97" s="15"/>
      <c r="B97" s="15"/>
      <c r="C97" s="15"/>
      <c r="D97" s="15"/>
      <c r="E97" s="15"/>
      <c r="F97" s="15"/>
      <c r="G97" s="16" t="str">
        <f aca="false">IF(A97="","",IF(OR(B97="",D97=""),"Access item and RISK-ID needed","OK"))</f>
        <v/>
      </c>
    </row>
    <row r="98" customFormat="false" ht="15" hidden="false" customHeight="false" outlineLevel="0" collapsed="false">
      <c r="A98" s="15"/>
      <c r="B98" s="15"/>
      <c r="C98" s="15"/>
      <c r="D98" s="15"/>
      <c r="E98" s="15"/>
      <c r="F98" s="15"/>
      <c r="G98" s="16" t="str">
        <f aca="false">IF(A98="","",IF(OR(B98="",D98=""),"Access item and RISK-ID needed","OK"))</f>
        <v/>
      </c>
    </row>
    <row r="99" customFormat="false" ht="15" hidden="false" customHeight="false" outlineLevel="0" collapsed="false">
      <c r="A99" s="15"/>
      <c r="B99" s="15"/>
      <c r="C99" s="15"/>
      <c r="D99" s="15"/>
      <c r="E99" s="15"/>
      <c r="F99" s="15"/>
      <c r="G99" s="16" t="str">
        <f aca="false">IF(A99="","",IF(OR(B99="",D99=""),"Access item and RISK-ID needed","OK"))</f>
        <v/>
      </c>
    </row>
    <row r="100" customFormat="false" ht="15" hidden="false" customHeight="false" outlineLevel="0" collapsed="false">
      <c r="A100" s="15"/>
      <c r="B100" s="15"/>
      <c r="C100" s="15"/>
      <c r="D100" s="15"/>
      <c r="E100" s="15"/>
      <c r="F100" s="15"/>
      <c r="G100" s="16" t="str">
        <f aca="false">IF(A100="","",IF(OR(B100="",D100=""),"Access item and RISK-ID needed","OK"))</f>
        <v/>
      </c>
    </row>
    <row r="101" customFormat="false" ht="15" hidden="false" customHeight="false" outlineLevel="0" collapsed="false">
      <c r="A101" s="15"/>
      <c r="B101" s="15"/>
      <c r="C101" s="15"/>
      <c r="D101" s="15"/>
      <c r="E101" s="15"/>
      <c r="F101" s="15"/>
      <c r="G101" s="16" t="str">
        <f aca="false">IF(A101="","",IF(OR(B101="",D101=""),"Access item and RISK-ID needed","OK"))</f>
        <v/>
      </c>
    </row>
    <row r="102" customFormat="false" ht="15" hidden="false" customHeight="false" outlineLevel="0" collapsed="false">
      <c r="A102" s="15"/>
      <c r="B102" s="15"/>
      <c r="C102" s="15"/>
      <c r="D102" s="15"/>
      <c r="E102" s="15"/>
      <c r="F102" s="15"/>
      <c r="G102" s="16" t="str">
        <f aca="false">IF(A102="","",IF(OR(B102="",D102=""),"Access item and RISK-ID needed","OK"))</f>
        <v/>
      </c>
    </row>
    <row r="103" customFormat="false" ht="15" hidden="false" customHeight="false" outlineLevel="0" collapsed="false">
      <c r="A103" s="15"/>
      <c r="B103" s="15"/>
      <c r="C103" s="15"/>
      <c r="D103" s="15"/>
      <c r="E103" s="15"/>
      <c r="F103" s="15"/>
      <c r="G103" s="16" t="str">
        <f aca="false">IF(A103="","",IF(OR(B103="",D103=""),"Access item and RISK-ID needed","OK"))</f>
        <v/>
      </c>
    </row>
    <row r="104" customFormat="false" ht="15" hidden="false" customHeight="false" outlineLevel="0" collapsed="false">
      <c r="A104" s="15"/>
      <c r="B104" s="15"/>
      <c r="C104" s="15"/>
      <c r="D104" s="15"/>
      <c r="E104" s="15"/>
      <c r="F104" s="15"/>
      <c r="G104" s="16" t="str">
        <f aca="false">IF(A104="","",IF(OR(B104="",D104=""),"Access item and RISK-ID needed","OK"))</f>
        <v/>
      </c>
    </row>
    <row r="105" customFormat="false" ht="15" hidden="false" customHeight="false" outlineLevel="0" collapsed="false">
      <c r="A105" s="15"/>
      <c r="B105" s="15"/>
      <c r="C105" s="15"/>
      <c r="D105" s="15"/>
      <c r="E105" s="15"/>
      <c r="F105" s="15"/>
      <c r="G105" s="16" t="str">
        <f aca="false">IF(A105="","",IF(OR(B105="",D105=""),"Access item and RISK-ID needed","OK"))</f>
        <v/>
      </c>
    </row>
    <row r="106" customFormat="false" ht="15" hidden="false" customHeight="false" outlineLevel="0" collapsed="false">
      <c r="A106" s="15"/>
      <c r="B106" s="15"/>
      <c r="C106" s="15"/>
      <c r="D106" s="15"/>
      <c r="E106" s="15"/>
      <c r="F106" s="15"/>
      <c r="G106" s="16" t="str">
        <f aca="false">IF(A106="","",IF(OR(B106="",D106=""),"Access item and RISK-ID needed","OK"))</f>
        <v/>
      </c>
    </row>
    <row r="107" customFormat="false" ht="15" hidden="false" customHeight="false" outlineLevel="0" collapsed="false">
      <c r="A107" s="15"/>
      <c r="B107" s="15"/>
      <c r="C107" s="15"/>
      <c r="D107" s="15"/>
      <c r="E107" s="15"/>
      <c r="F107" s="15"/>
      <c r="G107" s="16" t="str">
        <f aca="false">IF(A107="","",IF(OR(B107="",D107=""),"Access item and RISK-ID needed","OK"))</f>
        <v/>
      </c>
    </row>
    <row r="108" customFormat="false" ht="15" hidden="false" customHeight="false" outlineLevel="0" collapsed="false">
      <c r="A108" s="15"/>
      <c r="B108" s="15"/>
      <c r="C108" s="15"/>
      <c r="D108" s="15"/>
      <c r="E108" s="15"/>
      <c r="F108" s="15"/>
      <c r="G108" s="16" t="str">
        <f aca="false">IF(A108="","",IF(OR(B108="",D108=""),"Access item and RISK-ID needed","OK"))</f>
        <v/>
      </c>
    </row>
    <row r="109" customFormat="false" ht="15" hidden="false" customHeight="false" outlineLevel="0" collapsed="false">
      <c r="A109" s="15"/>
      <c r="B109" s="15"/>
      <c r="C109" s="15"/>
      <c r="D109" s="15"/>
      <c r="E109" s="15"/>
      <c r="F109" s="15"/>
      <c r="G109" s="16" t="str">
        <f aca="false">IF(A109="","",IF(OR(B109="",D109=""),"Access item and RISK-ID needed","OK"))</f>
        <v/>
      </c>
    </row>
    <row r="110" customFormat="false" ht="15" hidden="false" customHeight="false" outlineLevel="0" collapsed="false">
      <c r="A110" s="15"/>
      <c r="B110" s="15"/>
      <c r="C110" s="15"/>
      <c r="D110" s="15"/>
      <c r="E110" s="15"/>
      <c r="F110" s="15"/>
      <c r="G110" s="16" t="str">
        <f aca="false">IF(A110="","",IF(OR(B110="",D110=""),"Access item and RISK-ID needed","OK"))</f>
        <v/>
      </c>
    </row>
    <row r="111" customFormat="false" ht="15" hidden="false" customHeight="false" outlineLevel="0" collapsed="false">
      <c r="A111" s="15"/>
      <c r="B111" s="15"/>
      <c r="C111" s="15"/>
      <c r="D111" s="15"/>
      <c r="E111" s="15"/>
      <c r="F111" s="15"/>
      <c r="G111" s="16" t="str">
        <f aca="false">IF(A111="","",IF(OR(B111="",D111=""),"Access item and RISK-ID needed","OK"))</f>
        <v/>
      </c>
    </row>
    <row r="112" customFormat="false" ht="15" hidden="false" customHeight="false" outlineLevel="0" collapsed="false">
      <c r="A112" s="15"/>
      <c r="B112" s="15"/>
      <c r="C112" s="15"/>
      <c r="D112" s="15"/>
      <c r="E112" s="15"/>
      <c r="F112" s="15"/>
      <c r="G112" s="16" t="str">
        <f aca="false">IF(A112="","",IF(OR(B112="",D112=""),"Access item and RISK-ID needed","OK"))</f>
        <v/>
      </c>
    </row>
    <row r="113" customFormat="false" ht="15" hidden="false" customHeight="false" outlineLevel="0" collapsed="false">
      <c r="A113" s="15"/>
      <c r="B113" s="15"/>
      <c r="C113" s="15"/>
      <c r="D113" s="15"/>
      <c r="E113" s="15"/>
      <c r="F113" s="15"/>
      <c r="G113" s="16" t="str">
        <f aca="false">IF(A113="","",IF(OR(B113="",D113=""),"Access item and RISK-ID needed","OK"))</f>
        <v/>
      </c>
    </row>
    <row r="114" customFormat="false" ht="15" hidden="false" customHeight="false" outlineLevel="0" collapsed="false">
      <c r="A114" s="15"/>
      <c r="B114" s="15"/>
      <c r="C114" s="15"/>
      <c r="D114" s="15"/>
      <c r="E114" s="15"/>
      <c r="F114" s="15"/>
      <c r="G114" s="16" t="str">
        <f aca="false">IF(A114="","",IF(OR(B114="",D114=""),"Access item and RISK-ID needed","OK"))</f>
        <v/>
      </c>
    </row>
    <row r="115" customFormat="false" ht="15" hidden="false" customHeight="false" outlineLevel="0" collapsed="false">
      <c r="A115" s="15"/>
      <c r="B115" s="15"/>
      <c r="C115" s="15"/>
      <c r="D115" s="15"/>
      <c r="E115" s="15"/>
      <c r="F115" s="15"/>
      <c r="G115" s="16" t="str">
        <f aca="false">IF(A115="","",IF(OR(B115="",D115=""),"Access item and RISK-ID needed","OK"))</f>
        <v/>
      </c>
    </row>
    <row r="116" customFormat="false" ht="15" hidden="false" customHeight="false" outlineLevel="0" collapsed="false">
      <c r="A116" s="15"/>
      <c r="B116" s="15"/>
      <c r="C116" s="15"/>
      <c r="D116" s="15"/>
      <c r="E116" s="15"/>
      <c r="F116" s="15"/>
      <c r="G116" s="16" t="str">
        <f aca="false">IF(A116="","",IF(OR(B116="",D116=""),"Access item and RISK-ID needed","OK"))</f>
        <v/>
      </c>
    </row>
    <row r="117" customFormat="false" ht="15" hidden="false" customHeight="false" outlineLevel="0" collapsed="false">
      <c r="A117" s="15"/>
      <c r="B117" s="15"/>
      <c r="C117" s="15"/>
      <c r="D117" s="15"/>
      <c r="E117" s="15"/>
      <c r="F117" s="15"/>
      <c r="G117" s="16" t="str">
        <f aca="false">IF(A117="","",IF(OR(B117="",D117=""),"Access item and RISK-ID needed","OK"))</f>
        <v/>
      </c>
    </row>
    <row r="118" customFormat="false" ht="15" hidden="false" customHeight="false" outlineLevel="0" collapsed="false">
      <c r="A118" s="15"/>
      <c r="B118" s="15"/>
      <c r="C118" s="15"/>
      <c r="D118" s="15"/>
      <c r="E118" s="15"/>
      <c r="F118" s="15"/>
      <c r="G118" s="16" t="str">
        <f aca="false">IF(A118="","",IF(OR(B118="",D118=""),"Access item and RISK-ID needed","OK"))</f>
        <v/>
      </c>
    </row>
    <row r="119" customFormat="false" ht="15" hidden="false" customHeight="false" outlineLevel="0" collapsed="false">
      <c r="A119" s="15"/>
      <c r="B119" s="15"/>
      <c r="C119" s="15"/>
      <c r="D119" s="15"/>
      <c r="E119" s="15"/>
      <c r="F119" s="15"/>
      <c r="G119" s="16" t="str">
        <f aca="false">IF(A119="","",IF(OR(B119="",D119=""),"Access item and RISK-ID needed","OK"))</f>
        <v/>
      </c>
    </row>
    <row r="120" customFormat="false" ht="15" hidden="false" customHeight="false" outlineLevel="0" collapsed="false">
      <c r="A120" s="15"/>
      <c r="B120" s="15"/>
      <c r="C120" s="15"/>
      <c r="D120" s="15"/>
      <c r="E120" s="15"/>
      <c r="F120" s="15"/>
      <c r="G120" s="16" t="str">
        <f aca="false">IF(A120="","",IF(OR(B120="",D120=""),"Access item and RISK-ID needed","OK"))</f>
        <v/>
      </c>
    </row>
    <row r="121" customFormat="false" ht="15" hidden="false" customHeight="false" outlineLevel="0" collapsed="false">
      <c r="A121" s="15"/>
      <c r="B121" s="15"/>
      <c r="C121" s="15"/>
      <c r="D121" s="15"/>
      <c r="E121" s="15"/>
      <c r="F121" s="15"/>
      <c r="G121" s="16" t="str">
        <f aca="false">IF(A121="","",IF(OR(B121="",D121=""),"Access item and RISK-ID needed","OK"))</f>
        <v/>
      </c>
    </row>
    <row r="122" customFormat="false" ht="15" hidden="false" customHeight="false" outlineLevel="0" collapsed="false">
      <c r="A122" s="15"/>
      <c r="B122" s="15"/>
      <c r="C122" s="15"/>
      <c r="D122" s="15"/>
      <c r="E122" s="15"/>
      <c r="F122" s="15"/>
      <c r="G122" s="16" t="str">
        <f aca="false">IF(A122="","",IF(OR(B122="",D122=""),"Access item and RISK-ID needed","OK"))</f>
        <v/>
      </c>
    </row>
    <row r="123" customFormat="false" ht="15" hidden="false" customHeight="false" outlineLevel="0" collapsed="false">
      <c r="A123" s="15"/>
      <c r="B123" s="15"/>
      <c r="C123" s="15"/>
      <c r="D123" s="15"/>
      <c r="E123" s="15"/>
      <c r="F123" s="15"/>
      <c r="G123" s="16" t="str">
        <f aca="false">IF(A123="","",IF(OR(B123="",D123=""),"Access item and RISK-ID needed","OK"))</f>
        <v/>
      </c>
    </row>
    <row r="124" customFormat="false" ht="15" hidden="false" customHeight="false" outlineLevel="0" collapsed="false">
      <c r="A124" s="15"/>
      <c r="B124" s="15"/>
      <c r="C124" s="15"/>
      <c r="D124" s="15"/>
      <c r="E124" s="15"/>
      <c r="F124" s="15"/>
      <c r="G124" s="16" t="str">
        <f aca="false">IF(A124="","",IF(OR(B124="",D124=""),"Access item and RISK-ID needed","OK"))</f>
        <v/>
      </c>
    </row>
    <row r="125" customFormat="false" ht="15" hidden="false" customHeight="false" outlineLevel="0" collapsed="false">
      <c r="A125" s="15"/>
      <c r="B125" s="15"/>
      <c r="C125" s="15"/>
      <c r="D125" s="15"/>
      <c r="E125" s="15"/>
      <c r="F125" s="15"/>
      <c r="G125" s="16" t="str">
        <f aca="false">IF(A125="","",IF(OR(B125="",D125=""),"Access item and RISK-ID needed","OK"))</f>
        <v/>
      </c>
    </row>
    <row r="126" customFormat="false" ht="15" hidden="false" customHeight="false" outlineLevel="0" collapsed="false">
      <c r="A126" s="15"/>
      <c r="B126" s="15"/>
      <c r="C126" s="15"/>
      <c r="D126" s="15"/>
      <c r="E126" s="15"/>
      <c r="F126" s="15"/>
      <c r="G126" s="16" t="str">
        <f aca="false">IF(A126="","",IF(OR(B126="",D126=""),"Access item and RISK-ID needed","OK"))</f>
        <v/>
      </c>
    </row>
    <row r="127" customFormat="false" ht="15" hidden="false" customHeight="false" outlineLevel="0" collapsed="false">
      <c r="A127" s="15"/>
      <c r="B127" s="15"/>
      <c r="C127" s="15"/>
      <c r="D127" s="15"/>
      <c r="E127" s="15"/>
      <c r="F127" s="15"/>
      <c r="G127" s="16" t="str">
        <f aca="false">IF(A127="","",IF(OR(B127="",D127=""),"Access item and RISK-ID needed","OK"))</f>
        <v/>
      </c>
    </row>
    <row r="128" customFormat="false" ht="15" hidden="false" customHeight="false" outlineLevel="0" collapsed="false">
      <c r="A128" s="15"/>
      <c r="B128" s="15"/>
      <c r="C128" s="15"/>
      <c r="D128" s="15"/>
      <c r="E128" s="15"/>
      <c r="F128" s="15"/>
      <c r="G128" s="16" t="str">
        <f aca="false">IF(A128="","",IF(OR(B128="",D128=""),"Access item and RISK-ID needed","OK"))</f>
        <v/>
      </c>
    </row>
    <row r="129" customFormat="false" ht="15" hidden="false" customHeight="false" outlineLevel="0" collapsed="false">
      <c r="A129" s="15"/>
      <c r="B129" s="15"/>
      <c r="C129" s="15"/>
      <c r="D129" s="15"/>
      <c r="E129" s="15"/>
      <c r="F129" s="15"/>
      <c r="G129" s="16" t="str">
        <f aca="false">IF(A129="","",IF(OR(B129="",D129=""),"Access item and RISK-ID needed","OK"))</f>
        <v/>
      </c>
    </row>
    <row r="130" customFormat="false" ht="15" hidden="false" customHeight="false" outlineLevel="0" collapsed="false">
      <c r="A130" s="15"/>
      <c r="B130" s="15"/>
      <c r="C130" s="15"/>
      <c r="D130" s="15"/>
      <c r="E130" s="15"/>
      <c r="F130" s="15"/>
      <c r="G130" s="16" t="str">
        <f aca="false">IF(A130="","",IF(OR(B130="",D130=""),"Access item and RISK-ID needed","OK"))</f>
        <v/>
      </c>
    </row>
    <row r="131" customFormat="false" ht="15" hidden="false" customHeight="false" outlineLevel="0" collapsed="false">
      <c r="A131" s="15"/>
      <c r="B131" s="15"/>
      <c r="C131" s="15"/>
      <c r="D131" s="15"/>
      <c r="E131" s="15"/>
      <c r="F131" s="15"/>
      <c r="G131" s="16" t="str">
        <f aca="false">IF(A131="","",IF(OR(B131="",D131=""),"Access item and RISK-ID needed","OK"))</f>
        <v/>
      </c>
    </row>
    <row r="132" customFormat="false" ht="15" hidden="false" customHeight="false" outlineLevel="0" collapsed="false">
      <c r="A132" s="15"/>
      <c r="B132" s="15"/>
      <c r="C132" s="15"/>
      <c r="D132" s="15"/>
      <c r="E132" s="15"/>
      <c r="F132" s="15"/>
      <c r="G132" s="16" t="str">
        <f aca="false">IF(A132="","",IF(OR(B132="",D132=""),"Access item and RISK-ID needed","OK"))</f>
        <v/>
      </c>
    </row>
    <row r="133" customFormat="false" ht="15" hidden="false" customHeight="false" outlineLevel="0" collapsed="false">
      <c r="A133" s="15"/>
      <c r="B133" s="15"/>
      <c r="C133" s="15"/>
      <c r="D133" s="15"/>
      <c r="E133" s="15"/>
      <c r="F133" s="15"/>
      <c r="G133" s="16" t="str">
        <f aca="false">IF(A133="","",IF(OR(B133="",D133=""),"Access item and RISK-ID needed","OK"))</f>
        <v/>
      </c>
    </row>
    <row r="134" customFormat="false" ht="15" hidden="false" customHeight="false" outlineLevel="0" collapsed="false">
      <c r="A134" s="15"/>
      <c r="B134" s="15"/>
      <c r="C134" s="15"/>
      <c r="D134" s="15"/>
      <c r="E134" s="15"/>
      <c r="F134" s="15"/>
      <c r="G134" s="16" t="str">
        <f aca="false">IF(A134="","",IF(OR(B134="",D134=""),"Access item and RISK-ID needed","OK"))</f>
        <v/>
      </c>
    </row>
    <row r="135" customFormat="false" ht="15" hidden="false" customHeight="false" outlineLevel="0" collapsed="false">
      <c r="A135" s="15"/>
      <c r="B135" s="15"/>
      <c r="C135" s="15"/>
      <c r="D135" s="15"/>
      <c r="E135" s="15"/>
      <c r="F135" s="15"/>
      <c r="G135" s="16" t="str">
        <f aca="false">IF(A135="","",IF(OR(B135="",D135=""),"Access item and RISK-ID needed","OK"))</f>
        <v/>
      </c>
    </row>
    <row r="136" customFormat="false" ht="15" hidden="false" customHeight="false" outlineLevel="0" collapsed="false">
      <c r="A136" s="15"/>
      <c r="B136" s="15"/>
      <c r="C136" s="15"/>
      <c r="D136" s="15"/>
      <c r="E136" s="15"/>
      <c r="F136" s="15"/>
      <c r="G136" s="16" t="str">
        <f aca="false">IF(A136="","",IF(OR(B136="",D136=""),"Access item and RISK-ID needed","OK"))</f>
        <v/>
      </c>
    </row>
    <row r="137" customFormat="false" ht="15" hidden="false" customHeight="false" outlineLevel="0" collapsed="false">
      <c r="A137" s="15"/>
      <c r="B137" s="15"/>
      <c r="C137" s="15"/>
      <c r="D137" s="15"/>
      <c r="E137" s="15"/>
      <c r="F137" s="15"/>
      <c r="G137" s="16" t="str">
        <f aca="false">IF(A137="","",IF(OR(B137="",D137=""),"Access item and RISK-ID needed","OK"))</f>
        <v/>
      </c>
    </row>
    <row r="138" customFormat="false" ht="15" hidden="false" customHeight="false" outlineLevel="0" collapsed="false">
      <c r="A138" s="15"/>
      <c r="B138" s="15"/>
      <c r="C138" s="15"/>
      <c r="D138" s="15"/>
      <c r="E138" s="15"/>
      <c r="F138" s="15"/>
      <c r="G138" s="16" t="str">
        <f aca="false">IF(A138="","",IF(OR(B138="",D138=""),"Access item and RISK-ID needed","OK"))</f>
        <v/>
      </c>
    </row>
    <row r="139" customFormat="false" ht="15" hidden="false" customHeight="false" outlineLevel="0" collapsed="false">
      <c r="A139" s="15"/>
      <c r="B139" s="15"/>
      <c r="C139" s="15"/>
      <c r="D139" s="15"/>
      <c r="E139" s="15"/>
      <c r="F139" s="15"/>
      <c r="G139" s="16" t="str">
        <f aca="false">IF(A139="","",IF(OR(B139="",D139=""),"Access item and RISK-ID needed","OK"))</f>
        <v/>
      </c>
    </row>
    <row r="140" customFormat="false" ht="15" hidden="false" customHeight="false" outlineLevel="0" collapsed="false">
      <c r="A140" s="15"/>
      <c r="B140" s="15"/>
      <c r="C140" s="15"/>
      <c r="D140" s="15"/>
      <c r="E140" s="15"/>
      <c r="F140" s="15"/>
      <c r="G140" s="16" t="str">
        <f aca="false">IF(A140="","",IF(OR(B140="",D140=""),"Access item and RISK-ID needed","OK"))</f>
        <v/>
      </c>
    </row>
    <row r="141" customFormat="false" ht="15" hidden="false" customHeight="false" outlineLevel="0" collapsed="false">
      <c r="A141" s="15"/>
      <c r="B141" s="15"/>
      <c r="C141" s="15"/>
      <c r="D141" s="15"/>
      <c r="E141" s="15"/>
      <c r="F141" s="15"/>
      <c r="G141" s="16" t="str">
        <f aca="false">IF(A141="","",IF(OR(B141="",D141=""),"Access item and RISK-ID needed","OK"))</f>
        <v/>
      </c>
    </row>
    <row r="142" customFormat="false" ht="15" hidden="false" customHeight="false" outlineLevel="0" collapsed="false">
      <c r="A142" s="15"/>
      <c r="B142" s="15"/>
      <c r="C142" s="15"/>
      <c r="D142" s="15"/>
      <c r="E142" s="15"/>
      <c r="F142" s="15"/>
      <c r="G142" s="16" t="str">
        <f aca="false">IF(A142="","",IF(OR(B142="",D142=""),"Access item and RISK-ID needed","OK"))</f>
        <v/>
      </c>
    </row>
    <row r="143" customFormat="false" ht="15" hidden="false" customHeight="false" outlineLevel="0" collapsed="false">
      <c r="A143" s="15"/>
      <c r="B143" s="15"/>
      <c r="C143" s="15"/>
      <c r="D143" s="15"/>
      <c r="E143" s="15"/>
      <c r="F143" s="15"/>
      <c r="G143" s="16" t="str">
        <f aca="false">IF(A143="","",IF(OR(B143="",D143=""),"Access item and RISK-ID needed","OK"))</f>
        <v/>
      </c>
    </row>
    <row r="144" customFormat="false" ht="15" hidden="false" customHeight="false" outlineLevel="0" collapsed="false">
      <c r="A144" s="15"/>
      <c r="B144" s="15"/>
      <c r="C144" s="15"/>
      <c r="D144" s="15"/>
      <c r="E144" s="15"/>
      <c r="F144" s="15"/>
      <c r="G144" s="16" t="str">
        <f aca="false">IF(A144="","",IF(OR(B144="",D144=""),"Access item and RISK-ID needed","OK"))</f>
        <v/>
      </c>
    </row>
    <row r="145" customFormat="false" ht="15" hidden="false" customHeight="false" outlineLevel="0" collapsed="false">
      <c r="A145" s="15"/>
      <c r="B145" s="15"/>
      <c r="C145" s="15"/>
      <c r="D145" s="15"/>
      <c r="E145" s="15"/>
      <c r="F145" s="15"/>
      <c r="G145" s="16" t="str">
        <f aca="false">IF(A145="","",IF(OR(B145="",D145=""),"Access item and RISK-ID needed","OK"))</f>
        <v/>
      </c>
    </row>
    <row r="146" customFormat="false" ht="15" hidden="false" customHeight="false" outlineLevel="0" collapsed="false">
      <c r="A146" s="15"/>
      <c r="B146" s="15"/>
      <c r="C146" s="15"/>
      <c r="D146" s="15"/>
      <c r="E146" s="15"/>
      <c r="F146" s="15"/>
      <c r="G146" s="16" t="str">
        <f aca="false">IF(A146="","",IF(OR(B146="",D146=""),"Access item and RISK-ID needed","OK"))</f>
        <v/>
      </c>
    </row>
    <row r="147" customFormat="false" ht="15" hidden="false" customHeight="false" outlineLevel="0" collapsed="false">
      <c r="A147" s="15"/>
      <c r="B147" s="15"/>
      <c r="C147" s="15"/>
      <c r="D147" s="15"/>
      <c r="E147" s="15"/>
      <c r="F147" s="15"/>
      <c r="G147" s="16" t="str">
        <f aca="false">IF(A147="","",IF(OR(B147="",D147=""),"Access item and RISK-ID needed","OK"))</f>
        <v/>
      </c>
    </row>
    <row r="148" customFormat="false" ht="15" hidden="false" customHeight="false" outlineLevel="0" collapsed="false">
      <c r="A148" s="15"/>
      <c r="B148" s="15"/>
      <c r="C148" s="15"/>
      <c r="D148" s="15"/>
      <c r="E148" s="15"/>
      <c r="F148" s="15"/>
      <c r="G148" s="16" t="str">
        <f aca="false">IF(A148="","",IF(OR(B148="",D148=""),"Access item and RISK-ID needed","OK"))</f>
        <v/>
      </c>
    </row>
    <row r="149" customFormat="false" ht="15" hidden="false" customHeight="false" outlineLevel="0" collapsed="false">
      <c r="A149" s="15"/>
      <c r="B149" s="15"/>
      <c r="C149" s="15"/>
      <c r="D149" s="15"/>
      <c r="E149" s="15"/>
      <c r="F149" s="15"/>
      <c r="G149" s="16" t="str">
        <f aca="false">IF(A149="","",IF(OR(B149="",D149=""),"Access item and RISK-ID needed","OK"))</f>
        <v/>
      </c>
    </row>
    <row r="150" customFormat="false" ht="15" hidden="false" customHeight="false" outlineLevel="0" collapsed="false">
      <c r="A150" s="15"/>
      <c r="B150" s="15"/>
      <c r="C150" s="15"/>
      <c r="D150" s="15"/>
      <c r="E150" s="15"/>
      <c r="F150" s="15"/>
      <c r="G150" s="16" t="str">
        <f aca="false">IF(A150="","",IF(OR(B150="",D150=""),"Access item and RISK-ID needed","OK"))</f>
        <v/>
      </c>
    </row>
    <row r="151" customFormat="false" ht="15" hidden="false" customHeight="false" outlineLevel="0" collapsed="false">
      <c r="A151" s="15"/>
      <c r="B151" s="15"/>
      <c r="C151" s="15"/>
      <c r="D151" s="15"/>
      <c r="E151" s="15"/>
      <c r="F151" s="15"/>
      <c r="G151" s="16" t="str">
        <f aca="false">IF(A151="","",IF(OR(B151="",D151=""),"Access item and RISK-ID needed","OK"))</f>
        <v/>
      </c>
    </row>
    <row r="152" customFormat="false" ht="15" hidden="false" customHeight="false" outlineLevel="0" collapsed="false">
      <c r="A152" s="15"/>
      <c r="B152" s="15"/>
      <c r="C152" s="15"/>
      <c r="D152" s="15"/>
      <c r="E152" s="15"/>
      <c r="F152" s="15"/>
      <c r="G152" s="16" t="str">
        <f aca="false">IF(A152="","",IF(OR(B152="",D152=""),"Access item and RISK-ID needed","OK"))</f>
        <v/>
      </c>
    </row>
    <row r="153" customFormat="false" ht="15" hidden="false" customHeight="false" outlineLevel="0" collapsed="false">
      <c r="A153" s="15"/>
      <c r="B153" s="15"/>
      <c r="C153" s="15"/>
      <c r="D153" s="15"/>
      <c r="E153" s="15"/>
      <c r="F153" s="15"/>
      <c r="G153" s="16" t="str">
        <f aca="false">IF(A153="","",IF(OR(B153="",D153=""),"Access item and RISK-ID needed","OK"))</f>
        <v/>
      </c>
    </row>
    <row r="154" customFormat="false" ht="15" hidden="false" customHeight="false" outlineLevel="0" collapsed="false">
      <c r="A154" s="15"/>
      <c r="B154" s="15"/>
      <c r="C154" s="15"/>
      <c r="D154" s="15"/>
      <c r="E154" s="15"/>
      <c r="F154" s="15"/>
      <c r="G154" s="16" t="str">
        <f aca="false">IF(A154="","",IF(OR(B154="",D154=""),"Access item and RISK-ID needed","OK"))</f>
        <v/>
      </c>
    </row>
    <row r="155" customFormat="false" ht="15" hidden="false" customHeight="false" outlineLevel="0" collapsed="false">
      <c r="A155" s="15"/>
      <c r="B155" s="15"/>
      <c r="C155" s="15"/>
      <c r="D155" s="15"/>
      <c r="E155" s="15"/>
      <c r="F155" s="15"/>
      <c r="G155" s="16" t="str">
        <f aca="false">IF(A155="","",IF(OR(B155="",D155=""),"Access item and RISK-ID needed","OK"))</f>
        <v/>
      </c>
    </row>
    <row r="156" customFormat="false" ht="15" hidden="false" customHeight="false" outlineLevel="0" collapsed="false">
      <c r="A156" s="15"/>
      <c r="B156" s="15"/>
      <c r="C156" s="15"/>
      <c r="D156" s="15"/>
      <c r="E156" s="15"/>
      <c r="F156" s="15"/>
      <c r="G156" s="16" t="str">
        <f aca="false">IF(A156="","",IF(OR(B156="",D156=""),"Access item and RISK-ID needed","OK"))</f>
        <v/>
      </c>
    </row>
    <row r="157" customFormat="false" ht="15" hidden="false" customHeight="false" outlineLevel="0" collapsed="false">
      <c r="A157" s="15"/>
      <c r="B157" s="15"/>
      <c r="C157" s="15"/>
      <c r="D157" s="15"/>
      <c r="E157" s="15"/>
      <c r="F157" s="15"/>
      <c r="G157" s="16" t="str">
        <f aca="false">IF(A157="","",IF(OR(B157="",D157=""),"Access item and RISK-ID needed","OK"))</f>
        <v/>
      </c>
    </row>
    <row r="158" customFormat="false" ht="15" hidden="false" customHeight="false" outlineLevel="0" collapsed="false">
      <c r="A158" s="15"/>
      <c r="B158" s="15"/>
      <c r="C158" s="15"/>
      <c r="D158" s="15"/>
      <c r="E158" s="15"/>
      <c r="F158" s="15"/>
      <c r="G158" s="16" t="str">
        <f aca="false">IF(A158="","",IF(OR(B158="",D158=""),"Access item and RISK-ID needed","OK"))</f>
        <v/>
      </c>
    </row>
    <row r="159" customFormat="false" ht="15" hidden="false" customHeight="false" outlineLevel="0" collapsed="false">
      <c r="A159" s="15"/>
      <c r="B159" s="15"/>
      <c r="C159" s="15"/>
      <c r="D159" s="15"/>
      <c r="E159" s="15"/>
      <c r="F159" s="15"/>
      <c r="G159" s="16" t="str">
        <f aca="false">IF(A159="","",IF(OR(B159="",D159=""),"Access item and RISK-ID needed","OK"))</f>
        <v/>
      </c>
    </row>
    <row r="160" customFormat="false" ht="15" hidden="false" customHeight="false" outlineLevel="0" collapsed="false">
      <c r="A160" s="15"/>
      <c r="B160" s="15"/>
      <c r="C160" s="15"/>
      <c r="D160" s="15"/>
      <c r="E160" s="15"/>
      <c r="F160" s="15"/>
      <c r="G160" s="16" t="str">
        <f aca="false">IF(A160="","",IF(OR(B160="",D160=""),"Access item and RISK-ID needed","OK"))</f>
        <v/>
      </c>
    </row>
    <row r="161" customFormat="false" ht="15" hidden="false" customHeight="false" outlineLevel="0" collapsed="false">
      <c r="A161" s="15"/>
      <c r="B161" s="15"/>
      <c r="C161" s="15"/>
      <c r="D161" s="15"/>
      <c r="E161" s="15"/>
      <c r="F161" s="15"/>
      <c r="G161" s="16" t="str">
        <f aca="false">IF(A161="","",IF(OR(B161="",D161=""),"Access item and RISK-ID needed","OK"))</f>
        <v/>
      </c>
    </row>
    <row r="162" customFormat="false" ht="15" hidden="false" customHeight="false" outlineLevel="0" collapsed="false">
      <c r="A162" s="15"/>
      <c r="B162" s="15"/>
      <c r="C162" s="15"/>
      <c r="D162" s="15"/>
      <c r="E162" s="15"/>
      <c r="F162" s="15"/>
      <c r="G162" s="16" t="str">
        <f aca="false">IF(A162="","",IF(OR(B162="",D162=""),"Access item and RISK-ID needed","OK"))</f>
        <v/>
      </c>
    </row>
    <row r="163" customFormat="false" ht="15" hidden="false" customHeight="false" outlineLevel="0" collapsed="false">
      <c r="A163" s="15"/>
      <c r="B163" s="15"/>
      <c r="C163" s="15"/>
      <c r="D163" s="15"/>
      <c r="E163" s="15"/>
      <c r="F163" s="15"/>
      <c r="G163" s="16" t="str">
        <f aca="false">IF(A163="","",IF(OR(B163="",D163=""),"Access item and RISK-ID needed","OK"))</f>
        <v/>
      </c>
    </row>
    <row r="164" customFormat="false" ht="15" hidden="false" customHeight="false" outlineLevel="0" collapsed="false">
      <c r="A164" s="15"/>
      <c r="B164" s="15"/>
      <c r="C164" s="15"/>
      <c r="D164" s="15"/>
      <c r="E164" s="15"/>
      <c r="F164" s="15"/>
      <c r="G164" s="16" t="str">
        <f aca="false">IF(A164="","",IF(OR(B164="",D164=""),"Access item and RISK-ID needed","OK"))</f>
        <v/>
      </c>
    </row>
    <row r="165" customFormat="false" ht="15" hidden="false" customHeight="false" outlineLevel="0" collapsed="false">
      <c r="A165" s="15"/>
      <c r="B165" s="15"/>
      <c r="C165" s="15"/>
      <c r="D165" s="15"/>
      <c r="E165" s="15"/>
      <c r="F165" s="15"/>
      <c r="G165" s="16" t="str">
        <f aca="false">IF(A165="","",IF(OR(B165="",D165=""),"Access item and RISK-ID needed","OK"))</f>
        <v/>
      </c>
    </row>
    <row r="166" customFormat="false" ht="15" hidden="false" customHeight="false" outlineLevel="0" collapsed="false">
      <c r="A166" s="15"/>
      <c r="B166" s="15"/>
      <c r="C166" s="15"/>
      <c r="D166" s="15"/>
      <c r="E166" s="15"/>
      <c r="F166" s="15"/>
      <c r="G166" s="16" t="str">
        <f aca="false">IF(A166="","",IF(OR(B166="",D166=""),"Access item and RISK-ID needed","OK"))</f>
        <v/>
      </c>
    </row>
    <row r="167" customFormat="false" ht="15" hidden="false" customHeight="false" outlineLevel="0" collapsed="false">
      <c r="A167" s="15"/>
      <c r="B167" s="15"/>
      <c r="C167" s="15"/>
      <c r="D167" s="15"/>
      <c r="E167" s="15"/>
      <c r="F167" s="15"/>
      <c r="G167" s="16" t="str">
        <f aca="false">IF(A167="","",IF(OR(B167="",D167=""),"Access item and RISK-ID needed","OK"))</f>
        <v/>
      </c>
    </row>
    <row r="168" customFormat="false" ht="15" hidden="false" customHeight="false" outlineLevel="0" collapsed="false">
      <c r="A168" s="15"/>
      <c r="B168" s="15"/>
      <c r="C168" s="15"/>
      <c r="D168" s="15"/>
      <c r="E168" s="15"/>
      <c r="F168" s="15"/>
      <c r="G168" s="16" t="str">
        <f aca="false">IF(A168="","",IF(OR(B168="",D168=""),"Access item and RISK-ID needed","OK"))</f>
        <v/>
      </c>
    </row>
    <row r="169" customFormat="false" ht="15" hidden="false" customHeight="false" outlineLevel="0" collapsed="false">
      <c r="A169" s="15"/>
      <c r="B169" s="15"/>
      <c r="C169" s="15"/>
      <c r="D169" s="15"/>
      <c r="E169" s="15"/>
      <c r="F169" s="15"/>
      <c r="G169" s="16" t="str">
        <f aca="false">IF(A169="","",IF(OR(B169="",D169=""),"Access item and RISK-ID needed","OK"))</f>
        <v/>
      </c>
    </row>
    <row r="170" customFormat="false" ht="15" hidden="false" customHeight="false" outlineLevel="0" collapsed="false">
      <c r="A170" s="15"/>
      <c r="B170" s="15"/>
      <c r="C170" s="15"/>
      <c r="D170" s="15"/>
      <c r="E170" s="15"/>
      <c r="F170" s="15"/>
      <c r="G170" s="16" t="str">
        <f aca="false">IF(A170="","",IF(OR(B170="",D170=""),"Access item and RISK-ID needed","OK"))</f>
        <v/>
      </c>
    </row>
    <row r="171" customFormat="false" ht="15" hidden="false" customHeight="false" outlineLevel="0" collapsed="false">
      <c r="A171" s="15"/>
      <c r="B171" s="15"/>
      <c r="C171" s="15"/>
      <c r="D171" s="15"/>
      <c r="E171" s="15"/>
      <c r="F171" s="15"/>
      <c r="G171" s="16" t="str">
        <f aca="false">IF(A171="","",IF(OR(B171="",D171=""),"Access item and RISK-ID needed","OK"))</f>
        <v/>
      </c>
    </row>
    <row r="172" customFormat="false" ht="15" hidden="false" customHeight="false" outlineLevel="0" collapsed="false">
      <c r="A172" s="15"/>
      <c r="B172" s="15"/>
      <c r="C172" s="15"/>
      <c r="D172" s="15"/>
      <c r="E172" s="15"/>
      <c r="F172" s="15"/>
      <c r="G172" s="16" t="str">
        <f aca="false">IF(A172="","",IF(OR(B172="",D172=""),"Access item and RISK-ID needed","OK"))</f>
        <v/>
      </c>
    </row>
    <row r="173" customFormat="false" ht="15" hidden="false" customHeight="false" outlineLevel="0" collapsed="false">
      <c r="A173" s="15"/>
      <c r="B173" s="15"/>
      <c r="C173" s="15"/>
      <c r="D173" s="15"/>
      <c r="E173" s="15"/>
      <c r="F173" s="15"/>
      <c r="G173" s="16" t="str">
        <f aca="false">IF(A173="","",IF(OR(B173="",D173=""),"Access item and RISK-ID needed","OK"))</f>
        <v/>
      </c>
    </row>
    <row r="174" customFormat="false" ht="15" hidden="false" customHeight="false" outlineLevel="0" collapsed="false">
      <c r="A174" s="15"/>
      <c r="B174" s="15"/>
      <c r="C174" s="15"/>
      <c r="D174" s="15"/>
      <c r="E174" s="15"/>
      <c r="F174" s="15"/>
      <c r="G174" s="16" t="str">
        <f aca="false">IF(A174="","",IF(OR(B174="",D174=""),"Access item and RISK-ID needed","OK"))</f>
        <v/>
      </c>
    </row>
    <row r="175" customFormat="false" ht="15" hidden="false" customHeight="false" outlineLevel="0" collapsed="false">
      <c r="A175" s="15"/>
      <c r="B175" s="15"/>
      <c r="C175" s="15"/>
      <c r="D175" s="15"/>
      <c r="E175" s="15"/>
      <c r="F175" s="15"/>
      <c r="G175" s="16" t="str">
        <f aca="false">IF(A175="","",IF(OR(B175="",D175=""),"Access item and RISK-ID needed","OK"))</f>
        <v/>
      </c>
    </row>
    <row r="176" customFormat="false" ht="15" hidden="false" customHeight="false" outlineLevel="0" collapsed="false">
      <c r="A176" s="15"/>
      <c r="B176" s="15"/>
      <c r="C176" s="15"/>
      <c r="D176" s="15"/>
      <c r="E176" s="15"/>
      <c r="F176" s="15"/>
      <c r="G176" s="16" t="str">
        <f aca="false">IF(A176="","",IF(OR(B176="",D176=""),"Access item and RISK-ID needed","OK"))</f>
        <v/>
      </c>
    </row>
    <row r="177" customFormat="false" ht="15" hidden="false" customHeight="false" outlineLevel="0" collapsed="false">
      <c r="A177" s="15"/>
      <c r="B177" s="15"/>
      <c r="C177" s="15"/>
      <c r="D177" s="15"/>
      <c r="E177" s="15"/>
      <c r="F177" s="15"/>
      <c r="G177" s="16" t="str">
        <f aca="false">IF(A177="","",IF(OR(B177="",D177=""),"Access item and RISK-ID needed","OK"))</f>
        <v/>
      </c>
    </row>
    <row r="178" customFormat="false" ht="15" hidden="false" customHeight="false" outlineLevel="0" collapsed="false">
      <c r="A178" s="15"/>
      <c r="B178" s="15"/>
      <c r="C178" s="15"/>
      <c r="D178" s="15"/>
      <c r="E178" s="15"/>
      <c r="F178" s="15"/>
      <c r="G178" s="16" t="str">
        <f aca="false">IF(A178="","",IF(OR(B178="",D178=""),"Access item and RISK-ID needed","OK"))</f>
        <v/>
      </c>
    </row>
    <row r="179" customFormat="false" ht="15" hidden="false" customHeight="false" outlineLevel="0" collapsed="false">
      <c r="A179" s="15"/>
      <c r="B179" s="15"/>
      <c r="C179" s="15"/>
      <c r="D179" s="15"/>
      <c r="E179" s="15"/>
      <c r="F179" s="15"/>
      <c r="G179" s="16" t="str">
        <f aca="false">IF(A179="","",IF(OR(B179="",D179=""),"Access item and RISK-ID needed","OK"))</f>
        <v/>
      </c>
    </row>
    <row r="180" customFormat="false" ht="15" hidden="false" customHeight="false" outlineLevel="0" collapsed="false">
      <c r="A180" s="15"/>
      <c r="B180" s="15"/>
      <c r="C180" s="15"/>
      <c r="D180" s="15"/>
      <c r="E180" s="15"/>
      <c r="F180" s="15"/>
      <c r="G180" s="16" t="str">
        <f aca="false">IF(A180="","",IF(OR(B180="",D180=""),"Access item and RISK-ID needed","OK"))</f>
        <v/>
      </c>
    </row>
    <row r="181" customFormat="false" ht="15" hidden="false" customHeight="false" outlineLevel="0" collapsed="false">
      <c r="A181" s="15"/>
      <c r="B181" s="15"/>
      <c r="C181" s="15"/>
      <c r="D181" s="15"/>
      <c r="E181" s="15"/>
      <c r="F181" s="15"/>
      <c r="G181" s="16" t="str">
        <f aca="false">IF(A181="","",IF(OR(B181="",D181=""),"Access item and RISK-ID needed","OK"))</f>
        <v/>
      </c>
    </row>
    <row r="182" customFormat="false" ht="15" hidden="false" customHeight="false" outlineLevel="0" collapsed="false">
      <c r="A182" s="15"/>
      <c r="B182" s="15"/>
      <c r="C182" s="15"/>
      <c r="D182" s="15"/>
      <c r="E182" s="15"/>
      <c r="F182" s="15"/>
      <c r="G182" s="16" t="str">
        <f aca="false">IF(A182="","",IF(OR(B182="",D182=""),"Access item and RISK-ID needed","OK"))</f>
        <v/>
      </c>
    </row>
    <row r="183" customFormat="false" ht="15" hidden="false" customHeight="false" outlineLevel="0" collapsed="false">
      <c r="A183" s="15"/>
      <c r="B183" s="15"/>
      <c r="C183" s="15"/>
      <c r="D183" s="15"/>
      <c r="E183" s="15"/>
      <c r="F183" s="15"/>
      <c r="G183" s="16" t="str">
        <f aca="false">IF(A183="","",IF(OR(B183="",D183=""),"Access item and RISK-ID needed","OK"))</f>
        <v/>
      </c>
    </row>
    <row r="184" customFormat="false" ht="15" hidden="false" customHeight="false" outlineLevel="0" collapsed="false">
      <c r="A184" s="15"/>
      <c r="B184" s="15"/>
      <c r="C184" s="15"/>
      <c r="D184" s="15"/>
      <c r="E184" s="15"/>
      <c r="F184" s="15"/>
      <c r="G184" s="16" t="str">
        <f aca="false">IF(A184="","",IF(OR(B184="",D184=""),"Access item and RISK-ID needed","OK"))</f>
        <v/>
      </c>
    </row>
    <row r="185" customFormat="false" ht="15" hidden="false" customHeight="false" outlineLevel="0" collapsed="false">
      <c r="A185" s="15"/>
      <c r="B185" s="15"/>
      <c r="C185" s="15"/>
      <c r="D185" s="15"/>
      <c r="E185" s="15"/>
      <c r="F185" s="15"/>
      <c r="G185" s="16" t="str">
        <f aca="false">IF(A185="","",IF(OR(B185="",D185=""),"Access item and RISK-ID needed","OK"))</f>
        <v/>
      </c>
    </row>
    <row r="186" customFormat="false" ht="15" hidden="false" customHeight="false" outlineLevel="0" collapsed="false">
      <c r="A186" s="15"/>
      <c r="B186" s="15"/>
      <c r="C186" s="15"/>
      <c r="D186" s="15"/>
      <c r="E186" s="15"/>
      <c r="F186" s="15"/>
      <c r="G186" s="16" t="str">
        <f aca="false">IF(A186="","",IF(OR(B186="",D186=""),"Access item and RISK-ID needed","OK"))</f>
        <v/>
      </c>
    </row>
    <row r="187" customFormat="false" ht="15" hidden="false" customHeight="false" outlineLevel="0" collapsed="false">
      <c r="A187" s="15"/>
      <c r="B187" s="15"/>
      <c r="C187" s="15"/>
      <c r="D187" s="15"/>
      <c r="E187" s="15"/>
      <c r="F187" s="15"/>
      <c r="G187" s="16" t="str">
        <f aca="false">IF(A187="","",IF(OR(B187="",D187=""),"Access item and RISK-ID needed","OK"))</f>
        <v/>
      </c>
    </row>
    <row r="188" customFormat="false" ht="15" hidden="false" customHeight="false" outlineLevel="0" collapsed="false">
      <c r="A188" s="15"/>
      <c r="B188" s="15"/>
      <c r="C188" s="15"/>
      <c r="D188" s="15"/>
      <c r="E188" s="15"/>
      <c r="F188" s="15"/>
      <c r="G188" s="16" t="str">
        <f aca="false">IF(A188="","",IF(OR(B188="",D188=""),"Access item and RISK-ID needed","OK"))</f>
        <v/>
      </c>
    </row>
    <row r="189" customFormat="false" ht="15" hidden="false" customHeight="false" outlineLevel="0" collapsed="false">
      <c r="A189" s="15"/>
      <c r="B189" s="15"/>
      <c r="C189" s="15"/>
      <c r="D189" s="15"/>
      <c r="E189" s="15"/>
      <c r="F189" s="15"/>
      <c r="G189" s="16" t="str">
        <f aca="false">IF(A189="","",IF(OR(B189="",D189=""),"Access item and RISK-ID needed","OK"))</f>
        <v/>
      </c>
    </row>
    <row r="190" customFormat="false" ht="15" hidden="false" customHeight="false" outlineLevel="0" collapsed="false">
      <c r="A190" s="15"/>
      <c r="B190" s="15"/>
      <c r="C190" s="15"/>
      <c r="D190" s="15"/>
      <c r="E190" s="15"/>
      <c r="F190" s="15"/>
      <c r="G190" s="16" t="str">
        <f aca="false">IF(A190="","",IF(OR(B190="",D190=""),"Access item and RISK-ID needed","OK"))</f>
        <v/>
      </c>
    </row>
    <row r="191" customFormat="false" ht="15" hidden="false" customHeight="false" outlineLevel="0" collapsed="false">
      <c r="A191" s="15"/>
      <c r="B191" s="15"/>
      <c r="C191" s="15"/>
      <c r="D191" s="15"/>
      <c r="E191" s="15"/>
      <c r="F191" s="15"/>
      <c r="G191" s="16" t="str">
        <f aca="false">IF(A191="","",IF(OR(B191="",D191=""),"Access item and RISK-ID needed","OK"))</f>
        <v/>
      </c>
    </row>
    <row r="192" customFormat="false" ht="15" hidden="false" customHeight="false" outlineLevel="0" collapsed="false">
      <c r="A192" s="15"/>
      <c r="B192" s="15"/>
      <c r="C192" s="15"/>
      <c r="D192" s="15"/>
      <c r="E192" s="15"/>
      <c r="F192" s="15"/>
      <c r="G192" s="16" t="str">
        <f aca="false">IF(A192="","",IF(OR(B192="",D192=""),"Access item and RISK-ID needed","OK"))</f>
        <v/>
      </c>
    </row>
    <row r="193" customFormat="false" ht="15" hidden="false" customHeight="false" outlineLevel="0" collapsed="false">
      <c r="A193" s="15"/>
      <c r="B193" s="15"/>
      <c r="C193" s="15"/>
      <c r="D193" s="15"/>
      <c r="E193" s="15"/>
      <c r="F193" s="15"/>
      <c r="G193" s="16" t="str">
        <f aca="false">IF(A193="","",IF(OR(B193="",D193=""),"Access item and RISK-ID needed","OK"))</f>
        <v/>
      </c>
    </row>
    <row r="194" customFormat="false" ht="15" hidden="false" customHeight="false" outlineLevel="0" collapsed="false">
      <c r="A194" s="15"/>
      <c r="B194" s="15"/>
      <c r="C194" s="15"/>
      <c r="D194" s="15"/>
      <c r="E194" s="15"/>
      <c r="F194" s="15"/>
      <c r="G194" s="16" t="str">
        <f aca="false">IF(A194="","",IF(OR(B194="",D194=""),"Access item and RISK-ID needed","OK"))</f>
        <v/>
      </c>
    </row>
    <row r="195" customFormat="false" ht="15" hidden="false" customHeight="false" outlineLevel="0" collapsed="false">
      <c r="A195" s="15"/>
      <c r="B195" s="15"/>
      <c r="C195" s="15"/>
      <c r="D195" s="15"/>
      <c r="E195" s="15"/>
      <c r="F195" s="15"/>
      <c r="G195" s="16" t="str">
        <f aca="false">IF(A195="","",IF(OR(B195="",D195=""),"Access item and RISK-ID needed","OK"))</f>
        <v/>
      </c>
    </row>
    <row r="196" customFormat="false" ht="15" hidden="false" customHeight="false" outlineLevel="0" collapsed="false">
      <c r="A196" s="15"/>
      <c r="B196" s="15"/>
      <c r="C196" s="15"/>
      <c r="D196" s="15"/>
      <c r="E196" s="15"/>
      <c r="F196" s="15"/>
      <c r="G196" s="16" t="str">
        <f aca="false">IF(A196="","",IF(OR(B196="",D196=""),"Access item and RISK-ID needed","OK"))</f>
        <v/>
      </c>
    </row>
    <row r="197" customFormat="false" ht="15" hidden="false" customHeight="false" outlineLevel="0" collapsed="false">
      <c r="A197" s="15"/>
      <c r="B197" s="15"/>
      <c r="C197" s="15"/>
      <c r="D197" s="15"/>
      <c r="E197" s="15"/>
      <c r="F197" s="15"/>
      <c r="G197" s="16" t="str">
        <f aca="false">IF(A197="","",IF(OR(B197="",D197=""),"Access item and RISK-ID needed","OK"))</f>
        <v/>
      </c>
    </row>
    <row r="198" customFormat="false" ht="15" hidden="false" customHeight="false" outlineLevel="0" collapsed="false">
      <c r="A198" s="15"/>
      <c r="B198" s="15"/>
      <c r="C198" s="15"/>
      <c r="D198" s="15"/>
      <c r="E198" s="15"/>
      <c r="F198" s="15"/>
      <c r="G198" s="16" t="str">
        <f aca="false">IF(A198="","",IF(OR(B198="",D198=""),"Access item and RISK-ID needed","OK"))</f>
        <v/>
      </c>
    </row>
    <row r="199" customFormat="false" ht="15" hidden="false" customHeight="false" outlineLevel="0" collapsed="false">
      <c r="A199" s="15"/>
      <c r="B199" s="15"/>
      <c r="C199" s="15"/>
      <c r="D199" s="15"/>
      <c r="E199" s="15"/>
      <c r="F199" s="15"/>
      <c r="G199" s="16" t="str">
        <f aca="false">IF(A199="","",IF(OR(B199="",D199=""),"Access item and RISK-ID needed","OK"))</f>
        <v/>
      </c>
    </row>
    <row r="200" customFormat="false" ht="15" hidden="false" customHeight="false" outlineLevel="0" collapsed="false">
      <c r="A200" s="15"/>
      <c r="B200" s="15"/>
      <c r="C200" s="15"/>
      <c r="D200" s="15"/>
      <c r="E200" s="15"/>
      <c r="F200" s="15"/>
      <c r="G200" s="16" t="str">
        <f aca="false">IF(A200="","",IF(OR(B200="",D200=""),"Access item and RISK-ID needed","OK"))</f>
        <v/>
      </c>
    </row>
    <row r="201" customFormat="false" ht="15" hidden="false" customHeight="false" outlineLevel="0" collapsed="false">
      <c r="A201" s="15"/>
      <c r="B201" s="15"/>
      <c r="C201" s="15"/>
      <c r="D201" s="15"/>
      <c r="E201" s="15"/>
      <c r="F201" s="15"/>
      <c r="G201" s="16" t="str">
        <f aca="false">IF(A201="","",IF(OR(B201="",D201=""),"Access item and RISK-ID needed","OK"))</f>
        <v/>
      </c>
    </row>
    <row r="202" customFormat="false" ht="15" hidden="false" customHeight="false" outlineLevel="0" collapsed="false">
      <c r="A202" s="15"/>
      <c r="B202" s="15"/>
      <c r="C202" s="15"/>
      <c r="D202" s="15"/>
      <c r="E202" s="15"/>
      <c r="F202" s="15"/>
      <c r="G202" s="16" t="str">
        <f aca="false">IF(A202="","",IF(OR(B202="",D202=""),"Access item and RISK-ID needed","OK"))</f>
        <v/>
      </c>
    </row>
    <row r="203" customFormat="false" ht="15" hidden="false" customHeight="false" outlineLevel="0" collapsed="false">
      <c r="A203" s="15"/>
      <c r="B203" s="15"/>
      <c r="C203" s="15"/>
      <c r="D203" s="15"/>
      <c r="E203" s="15"/>
      <c r="F203" s="15"/>
      <c r="G203" s="16" t="str">
        <f aca="false">IF(A203="","",IF(OR(B203="",D203=""),"Access item and RISK-ID needed","OK"))</f>
        <v/>
      </c>
    </row>
    <row r="204" customFormat="false" ht="15" hidden="false" customHeight="false" outlineLevel="0" collapsed="false">
      <c r="A204" s="15"/>
      <c r="B204" s="15"/>
      <c r="C204" s="15"/>
      <c r="D204" s="15"/>
      <c r="E204" s="15"/>
      <c r="F204" s="15"/>
      <c r="G204" s="16" t="str">
        <f aca="false">IF(A204="","",IF(OR(B204="",D204=""),"Access item and RISK-ID needed","OK"))</f>
        <v/>
      </c>
    </row>
  </sheetData>
  <autoFilter ref="A4:G204"/>
  <dataValidations count="1">
    <dataValidation allowBlank="true" error="Pick a value from the list." errorStyle="warning" operator="between" showDropDown="false" showErrorMessage="true" showInputMessage="false" sqref="D5:D204" type="list">
      <formula1>Ref_RISK!$A$2:$A$201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6" min="5" style="0" width="12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30"/>
  </cols>
  <sheetData>
    <row r="1" customFormat="false" ht="17.35" hidden="false" customHeight="false" outlineLevel="0" collapsed="false">
      <c r="A1" s="9" t="s">
        <v>192</v>
      </c>
    </row>
    <row r="2" customFormat="false" ht="15" hidden="false" customHeight="false" outlineLevel="0" collapsed="false">
      <c r="A2" s="10" t="s">
        <v>193</v>
      </c>
    </row>
    <row r="4" customFormat="false" ht="31.5" hidden="false" customHeight="true" outlineLevel="0" collapsed="false">
      <c r="A4" s="11" t="s">
        <v>116</v>
      </c>
      <c r="B4" s="11" t="s">
        <v>90</v>
      </c>
      <c r="C4" s="11" t="s">
        <v>120</v>
      </c>
      <c r="D4" s="11" t="s">
        <v>123</v>
      </c>
      <c r="E4" s="11" t="s">
        <v>126</v>
      </c>
      <c r="F4" s="11" t="s">
        <v>129</v>
      </c>
      <c r="G4" s="11" t="s">
        <v>131</v>
      </c>
      <c r="H4" s="11" t="s">
        <v>133</v>
      </c>
      <c r="I4" s="12" t="s">
        <v>45</v>
      </c>
    </row>
    <row r="5" customFormat="false" ht="15" hidden="false" customHeight="false" outlineLevel="0" collapsed="false">
      <c r="A5" s="13" t="s">
        <v>194</v>
      </c>
      <c r="B5" s="13" t="s">
        <v>195</v>
      </c>
      <c r="C5" s="13" t="s">
        <v>175</v>
      </c>
      <c r="D5" s="13" t="s">
        <v>196</v>
      </c>
      <c r="E5" s="17" t="n">
        <v>46023</v>
      </c>
      <c r="F5" s="17" t="n">
        <v>46387</v>
      </c>
      <c r="G5" s="13" t="s">
        <v>182</v>
      </c>
      <c r="H5" s="13" t="s">
        <v>197</v>
      </c>
      <c r="I5" s="14" t="str">
        <f aca="true">IF(A5="","",IF(COUNTIF(Ref_CTRL!$A$2:$A$201,B5)=0,"CTRL not in W05",IF(COUNTIF(SoD_Rules!$A$5:$A$204,C5)=0,"SOD-ID not defined",IF(AND(F5&lt;&gt;"",F5&lt;TODAY()),"Expired mitigation",IF(H5="N","Mitigating control failed testing",IF(H5="Pending","OK (test pending)","OK"))))))</f>
        <v>OK (test pending)</v>
      </c>
    </row>
    <row r="6" customFormat="false" ht="15" hidden="false" customHeight="false" outlineLevel="0" collapsed="false">
      <c r="A6" s="15"/>
      <c r="B6" s="15"/>
      <c r="C6" s="15"/>
      <c r="D6" s="15"/>
      <c r="E6" s="18"/>
      <c r="F6" s="18"/>
      <c r="G6" s="15"/>
      <c r="H6" s="15"/>
      <c r="I6" s="16" t="str">
        <f aca="true">IF(A6="","",IF(COUNTIF(Ref_CTRL!$A$2:$A$201,B6)=0,"CTRL not in W05",IF(COUNTIF(SoD_Rules!$A$5:$A$204,C6)=0,"SOD-ID not defined",IF(AND(F6&lt;&gt;"",F6&lt;TODAY()),"Expired mitigation",IF(H6="N","Mitigating control failed testing",IF(H6="Pending","OK (test pending)","OK"))))))</f>
        <v/>
      </c>
    </row>
    <row r="7" customFormat="false" ht="15" hidden="false" customHeight="false" outlineLevel="0" collapsed="false">
      <c r="A7" s="15"/>
      <c r="B7" s="15"/>
      <c r="C7" s="15"/>
      <c r="D7" s="15"/>
      <c r="E7" s="18"/>
      <c r="F7" s="18"/>
      <c r="G7" s="15"/>
      <c r="H7" s="15"/>
      <c r="I7" s="16" t="str">
        <f aca="true">IF(A7="","",IF(COUNTIF(Ref_CTRL!$A$2:$A$201,B7)=0,"CTRL not in W05",IF(COUNTIF(SoD_Rules!$A$5:$A$204,C7)=0,"SOD-ID not defined",IF(AND(F7&lt;&gt;"",F7&lt;TODAY()),"Expired mitigation",IF(H7="N","Mitigating control failed testing",IF(H7="Pending","OK (test pending)","OK"))))))</f>
        <v/>
      </c>
    </row>
    <row r="8" customFormat="false" ht="15" hidden="false" customHeight="false" outlineLevel="0" collapsed="false">
      <c r="A8" s="15"/>
      <c r="B8" s="15"/>
      <c r="C8" s="15"/>
      <c r="D8" s="15"/>
      <c r="E8" s="18"/>
      <c r="F8" s="18"/>
      <c r="G8" s="15"/>
      <c r="H8" s="15"/>
      <c r="I8" s="16" t="str">
        <f aca="true">IF(A8="","",IF(COUNTIF(Ref_CTRL!$A$2:$A$201,B8)=0,"CTRL not in W05",IF(COUNTIF(SoD_Rules!$A$5:$A$204,C8)=0,"SOD-ID not defined",IF(AND(F8&lt;&gt;"",F8&lt;TODAY()),"Expired mitigation",IF(H8="N","Mitigating control failed testing",IF(H8="Pending","OK (test pending)","OK"))))))</f>
        <v/>
      </c>
    </row>
    <row r="9" customFormat="false" ht="15" hidden="false" customHeight="false" outlineLevel="0" collapsed="false">
      <c r="A9" s="15"/>
      <c r="B9" s="15"/>
      <c r="C9" s="15"/>
      <c r="D9" s="15"/>
      <c r="E9" s="18"/>
      <c r="F9" s="18"/>
      <c r="G9" s="15"/>
      <c r="H9" s="15"/>
      <c r="I9" s="16" t="str">
        <f aca="true">IF(A9="","",IF(COUNTIF(Ref_CTRL!$A$2:$A$201,B9)=0,"CTRL not in W05",IF(COUNTIF(SoD_Rules!$A$5:$A$204,C9)=0,"SOD-ID not defined",IF(AND(F9&lt;&gt;"",F9&lt;TODAY()),"Expired mitigation",IF(H9="N","Mitigating control failed testing",IF(H9="Pending","OK (test pending)","OK"))))))</f>
        <v/>
      </c>
    </row>
    <row r="10" customFormat="false" ht="15" hidden="false" customHeight="false" outlineLevel="0" collapsed="false">
      <c r="A10" s="15"/>
      <c r="B10" s="15"/>
      <c r="C10" s="15"/>
      <c r="D10" s="15"/>
      <c r="E10" s="18"/>
      <c r="F10" s="18"/>
      <c r="G10" s="15"/>
      <c r="H10" s="15"/>
      <c r="I10" s="16" t="str">
        <f aca="true">IF(A10="","",IF(COUNTIF(Ref_CTRL!$A$2:$A$201,B10)=0,"CTRL not in W05",IF(COUNTIF(SoD_Rules!$A$5:$A$204,C10)=0,"SOD-ID not defined",IF(AND(F10&lt;&gt;"",F10&lt;TODAY()),"Expired mitigation",IF(H10="N","Mitigating control failed testing",IF(H10="Pending","OK (test pending)","OK"))))))</f>
        <v/>
      </c>
    </row>
    <row r="11" customFormat="false" ht="15" hidden="false" customHeight="false" outlineLevel="0" collapsed="false">
      <c r="A11" s="15"/>
      <c r="B11" s="15"/>
      <c r="C11" s="15"/>
      <c r="D11" s="15"/>
      <c r="E11" s="18"/>
      <c r="F11" s="18"/>
      <c r="G11" s="15"/>
      <c r="H11" s="15"/>
      <c r="I11" s="16" t="str">
        <f aca="true">IF(A11="","",IF(COUNTIF(Ref_CTRL!$A$2:$A$201,B11)=0,"CTRL not in W05",IF(COUNTIF(SoD_Rules!$A$5:$A$204,C11)=0,"SOD-ID not defined",IF(AND(F11&lt;&gt;"",F11&lt;TODAY()),"Expired mitigation",IF(H11="N","Mitigating control failed testing",IF(H11="Pending","OK (test pending)","OK"))))))</f>
        <v/>
      </c>
    </row>
    <row r="12" customFormat="false" ht="15" hidden="false" customHeight="false" outlineLevel="0" collapsed="false">
      <c r="A12" s="15"/>
      <c r="B12" s="15"/>
      <c r="C12" s="15"/>
      <c r="D12" s="15"/>
      <c r="E12" s="18"/>
      <c r="F12" s="18"/>
      <c r="G12" s="15"/>
      <c r="H12" s="15"/>
      <c r="I12" s="16" t="str">
        <f aca="true">IF(A12="","",IF(COUNTIF(Ref_CTRL!$A$2:$A$201,B12)=0,"CTRL not in W05",IF(COUNTIF(SoD_Rules!$A$5:$A$204,C12)=0,"SOD-ID not defined",IF(AND(F12&lt;&gt;"",F12&lt;TODAY()),"Expired mitigation",IF(H12="N","Mitigating control failed testing",IF(H12="Pending","OK (test pending)","OK"))))))</f>
        <v/>
      </c>
    </row>
    <row r="13" customFormat="false" ht="15" hidden="false" customHeight="false" outlineLevel="0" collapsed="false">
      <c r="A13" s="15"/>
      <c r="B13" s="15"/>
      <c r="C13" s="15"/>
      <c r="D13" s="15"/>
      <c r="E13" s="18"/>
      <c r="F13" s="18"/>
      <c r="G13" s="15"/>
      <c r="H13" s="15"/>
      <c r="I13" s="16" t="str">
        <f aca="true">IF(A13="","",IF(COUNTIF(Ref_CTRL!$A$2:$A$201,B13)=0,"CTRL not in W05",IF(COUNTIF(SoD_Rules!$A$5:$A$204,C13)=0,"SOD-ID not defined",IF(AND(F13&lt;&gt;"",F13&lt;TODAY()),"Expired mitigation",IF(H13="N","Mitigating control failed testing",IF(H13="Pending","OK (test pending)","OK"))))))</f>
        <v/>
      </c>
    </row>
    <row r="14" customFormat="false" ht="15" hidden="false" customHeight="false" outlineLevel="0" collapsed="false">
      <c r="A14" s="15"/>
      <c r="B14" s="15"/>
      <c r="C14" s="15"/>
      <c r="D14" s="15"/>
      <c r="E14" s="18"/>
      <c r="F14" s="18"/>
      <c r="G14" s="15"/>
      <c r="H14" s="15"/>
      <c r="I14" s="16" t="str">
        <f aca="true">IF(A14="","",IF(COUNTIF(Ref_CTRL!$A$2:$A$201,B14)=0,"CTRL not in W05",IF(COUNTIF(SoD_Rules!$A$5:$A$204,C14)=0,"SOD-ID not defined",IF(AND(F14&lt;&gt;"",F14&lt;TODAY()),"Expired mitigation",IF(H14="N","Mitigating control failed testing",IF(H14="Pending","OK (test pending)","OK"))))))</f>
        <v/>
      </c>
    </row>
    <row r="15" customFormat="false" ht="15" hidden="false" customHeight="false" outlineLevel="0" collapsed="false">
      <c r="A15" s="15"/>
      <c r="B15" s="15"/>
      <c r="C15" s="15"/>
      <c r="D15" s="15"/>
      <c r="E15" s="18"/>
      <c r="F15" s="18"/>
      <c r="G15" s="15"/>
      <c r="H15" s="15"/>
      <c r="I15" s="16" t="str">
        <f aca="true">IF(A15="","",IF(COUNTIF(Ref_CTRL!$A$2:$A$201,B15)=0,"CTRL not in W05",IF(COUNTIF(SoD_Rules!$A$5:$A$204,C15)=0,"SOD-ID not defined",IF(AND(F15&lt;&gt;"",F15&lt;TODAY()),"Expired mitigation",IF(H15="N","Mitigating control failed testing",IF(H15="Pending","OK (test pending)","OK"))))))</f>
        <v/>
      </c>
    </row>
    <row r="16" customFormat="false" ht="15" hidden="false" customHeight="false" outlineLevel="0" collapsed="false">
      <c r="A16" s="15"/>
      <c r="B16" s="15"/>
      <c r="C16" s="15"/>
      <c r="D16" s="15"/>
      <c r="E16" s="18"/>
      <c r="F16" s="18"/>
      <c r="G16" s="15"/>
      <c r="H16" s="15"/>
      <c r="I16" s="16" t="str">
        <f aca="true">IF(A16="","",IF(COUNTIF(Ref_CTRL!$A$2:$A$201,B16)=0,"CTRL not in W05",IF(COUNTIF(SoD_Rules!$A$5:$A$204,C16)=0,"SOD-ID not defined",IF(AND(F16&lt;&gt;"",F16&lt;TODAY()),"Expired mitigation",IF(H16="N","Mitigating control failed testing",IF(H16="Pending","OK (test pending)","OK"))))))</f>
        <v/>
      </c>
    </row>
    <row r="17" customFormat="false" ht="15" hidden="false" customHeight="false" outlineLevel="0" collapsed="false">
      <c r="A17" s="15"/>
      <c r="B17" s="15"/>
      <c r="C17" s="15"/>
      <c r="D17" s="15"/>
      <c r="E17" s="18"/>
      <c r="F17" s="18"/>
      <c r="G17" s="15"/>
      <c r="H17" s="15"/>
      <c r="I17" s="16" t="str">
        <f aca="true">IF(A17="","",IF(COUNTIF(Ref_CTRL!$A$2:$A$201,B17)=0,"CTRL not in W05",IF(COUNTIF(SoD_Rules!$A$5:$A$204,C17)=0,"SOD-ID not defined",IF(AND(F17&lt;&gt;"",F17&lt;TODAY()),"Expired mitigation",IF(H17="N","Mitigating control failed testing",IF(H17="Pending","OK (test pending)","OK"))))))</f>
        <v/>
      </c>
    </row>
    <row r="18" customFormat="false" ht="15" hidden="false" customHeight="false" outlineLevel="0" collapsed="false">
      <c r="A18" s="15"/>
      <c r="B18" s="15"/>
      <c r="C18" s="15"/>
      <c r="D18" s="15"/>
      <c r="E18" s="18"/>
      <c r="F18" s="18"/>
      <c r="G18" s="15"/>
      <c r="H18" s="15"/>
      <c r="I18" s="16" t="str">
        <f aca="true">IF(A18="","",IF(COUNTIF(Ref_CTRL!$A$2:$A$201,B18)=0,"CTRL not in W05",IF(COUNTIF(SoD_Rules!$A$5:$A$204,C18)=0,"SOD-ID not defined",IF(AND(F18&lt;&gt;"",F18&lt;TODAY()),"Expired mitigation",IF(H18="N","Mitigating control failed testing",IF(H18="Pending","OK (test pending)","OK"))))))</f>
        <v/>
      </c>
    </row>
    <row r="19" customFormat="false" ht="15" hidden="false" customHeight="false" outlineLevel="0" collapsed="false">
      <c r="A19" s="15"/>
      <c r="B19" s="15"/>
      <c r="C19" s="15"/>
      <c r="D19" s="15"/>
      <c r="E19" s="18"/>
      <c r="F19" s="18"/>
      <c r="G19" s="15"/>
      <c r="H19" s="15"/>
      <c r="I19" s="16" t="str">
        <f aca="true">IF(A19="","",IF(COUNTIF(Ref_CTRL!$A$2:$A$201,B19)=0,"CTRL not in W05",IF(COUNTIF(SoD_Rules!$A$5:$A$204,C19)=0,"SOD-ID not defined",IF(AND(F19&lt;&gt;"",F19&lt;TODAY()),"Expired mitigation",IF(H19="N","Mitigating control failed testing",IF(H19="Pending","OK (test pending)","OK"))))))</f>
        <v/>
      </c>
    </row>
    <row r="20" customFormat="false" ht="15" hidden="false" customHeight="false" outlineLevel="0" collapsed="false">
      <c r="A20" s="15"/>
      <c r="B20" s="15"/>
      <c r="C20" s="15"/>
      <c r="D20" s="15"/>
      <c r="E20" s="18"/>
      <c r="F20" s="18"/>
      <c r="G20" s="15"/>
      <c r="H20" s="15"/>
      <c r="I20" s="16" t="str">
        <f aca="true">IF(A20="","",IF(COUNTIF(Ref_CTRL!$A$2:$A$201,B20)=0,"CTRL not in W05",IF(COUNTIF(SoD_Rules!$A$5:$A$204,C20)=0,"SOD-ID not defined",IF(AND(F20&lt;&gt;"",F20&lt;TODAY()),"Expired mitigation",IF(H20="N","Mitigating control failed testing",IF(H20="Pending","OK (test pending)","OK"))))))</f>
        <v/>
      </c>
    </row>
    <row r="21" customFormat="false" ht="15" hidden="false" customHeight="false" outlineLevel="0" collapsed="false">
      <c r="A21" s="15"/>
      <c r="B21" s="15"/>
      <c r="C21" s="15"/>
      <c r="D21" s="15"/>
      <c r="E21" s="18"/>
      <c r="F21" s="18"/>
      <c r="G21" s="15"/>
      <c r="H21" s="15"/>
      <c r="I21" s="16" t="str">
        <f aca="true">IF(A21="","",IF(COUNTIF(Ref_CTRL!$A$2:$A$201,B21)=0,"CTRL not in W05",IF(COUNTIF(SoD_Rules!$A$5:$A$204,C21)=0,"SOD-ID not defined",IF(AND(F21&lt;&gt;"",F21&lt;TODAY()),"Expired mitigation",IF(H21="N","Mitigating control failed testing",IF(H21="Pending","OK (test pending)","OK"))))))</f>
        <v/>
      </c>
    </row>
    <row r="22" customFormat="false" ht="15" hidden="false" customHeight="false" outlineLevel="0" collapsed="false">
      <c r="A22" s="15"/>
      <c r="B22" s="15"/>
      <c r="C22" s="15"/>
      <c r="D22" s="15"/>
      <c r="E22" s="18"/>
      <c r="F22" s="18"/>
      <c r="G22" s="15"/>
      <c r="H22" s="15"/>
      <c r="I22" s="16" t="str">
        <f aca="true">IF(A22="","",IF(COUNTIF(Ref_CTRL!$A$2:$A$201,B22)=0,"CTRL not in W05",IF(COUNTIF(SoD_Rules!$A$5:$A$204,C22)=0,"SOD-ID not defined",IF(AND(F22&lt;&gt;"",F22&lt;TODAY()),"Expired mitigation",IF(H22="N","Mitigating control failed testing",IF(H22="Pending","OK (test pending)","OK"))))))</f>
        <v/>
      </c>
    </row>
    <row r="23" customFormat="false" ht="15" hidden="false" customHeight="false" outlineLevel="0" collapsed="false">
      <c r="A23" s="15"/>
      <c r="B23" s="15"/>
      <c r="C23" s="15"/>
      <c r="D23" s="15"/>
      <c r="E23" s="18"/>
      <c r="F23" s="18"/>
      <c r="G23" s="15"/>
      <c r="H23" s="15"/>
      <c r="I23" s="16" t="str">
        <f aca="true">IF(A23="","",IF(COUNTIF(Ref_CTRL!$A$2:$A$201,B23)=0,"CTRL not in W05",IF(COUNTIF(SoD_Rules!$A$5:$A$204,C23)=0,"SOD-ID not defined",IF(AND(F23&lt;&gt;"",F23&lt;TODAY()),"Expired mitigation",IF(H23="N","Mitigating control failed testing",IF(H23="Pending","OK (test pending)","OK"))))))</f>
        <v/>
      </c>
    </row>
    <row r="24" customFormat="false" ht="15" hidden="false" customHeight="false" outlineLevel="0" collapsed="false">
      <c r="A24" s="15"/>
      <c r="B24" s="15"/>
      <c r="C24" s="15"/>
      <c r="D24" s="15"/>
      <c r="E24" s="18"/>
      <c r="F24" s="18"/>
      <c r="G24" s="15"/>
      <c r="H24" s="15"/>
      <c r="I24" s="16" t="str">
        <f aca="true">IF(A24="","",IF(COUNTIF(Ref_CTRL!$A$2:$A$201,B24)=0,"CTRL not in W05",IF(COUNTIF(SoD_Rules!$A$5:$A$204,C24)=0,"SOD-ID not defined",IF(AND(F24&lt;&gt;"",F24&lt;TODAY()),"Expired mitigation",IF(H24="N","Mitigating control failed testing",IF(H24="Pending","OK (test pending)","OK"))))))</f>
        <v/>
      </c>
    </row>
    <row r="25" customFormat="false" ht="15" hidden="false" customHeight="false" outlineLevel="0" collapsed="false">
      <c r="A25" s="15"/>
      <c r="B25" s="15"/>
      <c r="C25" s="15"/>
      <c r="D25" s="15"/>
      <c r="E25" s="18"/>
      <c r="F25" s="18"/>
      <c r="G25" s="15"/>
      <c r="H25" s="15"/>
      <c r="I25" s="16" t="str">
        <f aca="true">IF(A25="","",IF(COUNTIF(Ref_CTRL!$A$2:$A$201,B25)=0,"CTRL not in W05",IF(COUNTIF(SoD_Rules!$A$5:$A$204,C25)=0,"SOD-ID not defined",IF(AND(F25&lt;&gt;"",F25&lt;TODAY()),"Expired mitigation",IF(H25="N","Mitigating control failed testing",IF(H25="Pending","OK (test pending)","OK"))))))</f>
        <v/>
      </c>
    </row>
    <row r="26" customFormat="false" ht="15" hidden="false" customHeight="false" outlineLevel="0" collapsed="false">
      <c r="A26" s="15"/>
      <c r="B26" s="15"/>
      <c r="C26" s="15"/>
      <c r="D26" s="15"/>
      <c r="E26" s="18"/>
      <c r="F26" s="18"/>
      <c r="G26" s="15"/>
      <c r="H26" s="15"/>
      <c r="I26" s="16" t="str">
        <f aca="true">IF(A26="","",IF(COUNTIF(Ref_CTRL!$A$2:$A$201,B26)=0,"CTRL not in W05",IF(COUNTIF(SoD_Rules!$A$5:$A$204,C26)=0,"SOD-ID not defined",IF(AND(F26&lt;&gt;"",F26&lt;TODAY()),"Expired mitigation",IF(H26="N","Mitigating control failed testing",IF(H26="Pending","OK (test pending)","OK"))))))</f>
        <v/>
      </c>
    </row>
    <row r="27" customFormat="false" ht="15" hidden="false" customHeight="false" outlineLevel="0" collapsed="false">
      <c r="A27" s="15"/>
      <c r="B27" s="15"/>
      <c r="C27" s="15"/>
      <c r="D27" s="15"/>
      <c r="E27" s="18"/>
      <c r="F27" s="18"/>
      <c r="G27" s="15"/>
      <c r="H27" s="15"/>
      <c r="I27" s="16" t="str">
        <f aca="true">IF(A27="","",IF(COUNTIF(Ref_CTRL!$A$2:$A$201,B27)=0,"CTRL not in W05",IF(COUNTIF(SoD_Rules!$A$5:$A$204,C27)=0,"SOD-ID not defined",IF(AND(F27&lt;&gt;"",F27&lt;TODAY()),"Expired mitigation",IF(H27="N","Mitigating control failed testing",IF(H27="Pending","OK (test pending)","OK"))))))</f>
        <v/>
      </c>
    </row>
    <row r="28" customFormat="false" ht="15" hidden="false" customHeight="false" outlineLevel="0" collapsed="false">
      <c r="A28" s="15"/>
      <c r="B28" s="15"/>
      <c r="C28" s="15"/>
      <c r="D28" s="15"/>
      <c r="E28" s="18"/>
      <c r="F28" s="18"/>
      <c r="G28" s="15"/>
      <c r="H28" s="15"/>
      <c r="I28" s="16" t="str">
        <f aca="true">IF(A28="","",IF(COUNTIF(Ref_CTRL!$A$2:$A$201,B28)=0,"CTRL not in W05",IF(COUNTIF(SoD_Rules!$A$5:$A$204,C28)=0,"SOD-ID not defined",IF(AND(F28&lt;&gt;"",F28&lt;TODAY()),"Expired mitigation",IF(H28="N","Mitigating control failed testing",IF(H28="Pending","OK (test pending)","OK"))))))</f>
        <v/>
      </c>
    </row>
    <row r="29" customFormat="false" ht="15" hidden="false" customHeight="false" outlineLevel="0" collapsed="false">
      <c r="A29" s="15"/>
      <c r="B29" s="15"/>
      <c r="C29" s="15"/>
      <c r="D29" s="15"/>
      <c r="E29" s="18"/>
      <c r="F29" s="18"/>
      <c r="G29" s="15"/>
      <c r="H29" s="15"/>
      <c r="I29" s="16" t="str">
        <f aca="true">IF(A29="","",IF(COUNTIF(Ref_CTRL!$A$2:$A$201,B29)=0,"CTRL not in W05",IF(COUNTIF(SoD_Rules!$A$5:$A$204,C29)=0,"SOD-ID not defined",IF(AND(F29&lt;&gt;"",F29&lt;TODAY()),"Expired mitigation",IF(H29="N","Mitigating control failed testing",IF(H29="Pending","OK (test pending)","OK"))))))</f>
        <v/>
      </c>
    </row>
    <row r="30" customFormat="false" ht="15" hidden="false" customHeight="false" outlineLevel="0" collapsed="false">
      <c r="A30" s="15"/>
      <c r="B30" s="15"/>
      <c r="C30" s="15"/>
      <c r="D30" s="15"/>
      <c r="E30" s="18"/>
      <c r="F30" s="18"/>
      <c r="G30" s="15"/>
      <c r="H30" s="15"/>
      <c r="I30" s="16" t="str">
        <f aca="true">IF(A30="","",IF(COUNTIF(Ref_CTRL!$A$2:$A$201,B30)=0,"CTRL not in W05",IF(COUNTIF(SoD_Rules!$A$5:$A$204,C30)=0,"SOD-ID not defined",IF(AND(F30&lt;&gt;"",F30&lt;TODAY()),"Expired mitigation",IF(H30="N","Mitigating control failed testing",IF(H30="Pending","OK (test pending)","OK"))))))</f>
        <v/>
      </c>
    </row>
    <row r="31" customFormat="false" ht="15" hidden="false" customHeight="false" outlineLevel="0" collapsed="false">
      <c r="A31" s="15"/>
      <c r="B31" s="15"/>
      <c r="C31" s="15"/>
      <c r="D31" s="15"/>
      <c r="E31" s="18"/>
      <c r="F31" s="18"/>
      <c r="G31" s="15"/>
      <c r="H31" s="15"/>
      <c r="I31" s="16" t="str">
        <f aca="true">IF(A31="","",IF(COUNTIF(Ref_CTRL!$A$2:$A$201,B31)=0,"CTRL not in W05",IF(COUNTIF(SoD_Rules!$A$5:$A$204,C31)=0,"SOD-ID not defined",IF(AND(F31&lt;&gt;"",F31&lt;TODAY()),"Expired mitigation",IF(H31="N","Mitigating control failed testing",IF(H31="Pending","OK (test pending)","OK"))))))</f>
        <v/>
      </c>
    </row>
    <row r="32" customFormat="false" ht="15" hidden="false" customHeight="false" outlineLevel="0" collapsed="false">
      <c r="A32" s="15"/>
      <c r="B32" s="15"/>
      <c r="C32" s="15"/>
      <c r="D32" s="15"/>
      <c r="E32" s="18"/>
      <c r="F32" s="18"/>
      <c r="G32" s="15"/>
      <c r="H32" s="15"/>
      <c r="I32" s="16" t="str">
        <f aca="true">IF(A32="","",IF(COUNTIF(Ref_CTRL!$A$2:$A$201,B32)=0,"CTRL not in W05",IF(COUNTIF(SoD_Rules!$A$5:$A$204,C32)=0,"SOD-ID not defined",IF(AND(F32&lt;&gt;"",F32&lt;TODAY()),"Expired mitigation",IF(H32="N","Mitigating control failed testing",IF(H32="Pending","OK (test pending)","OK"))))))</f>
        <v/>
      </c>
    </row>
    <row r="33" customFormat="false" ht="15" hidden="false" customHeight="false" outlineLevel="0" collapsed="false">
      <c r="A33" s="15"/>
      <c r="B33" s="15"/>
      <c r="C33" s="15"/>
      <c r="D33" s="15"/>
      <c r="E33" s="18"/>
      <c r="F33" s="18"/>
      <c r="G33" s="15"/>
      <c r="H33" s="15"/>
      <c r="I33" s="16" t="str">
        <f aca="true">IF(A33="","",IF(COUNTIF(Ref_CTRL!$A$2:$A$201,B33)=0,"CTRL not in W05",IF(COUNTIF(SoD_Rules!$A$5:$A$204,C33)=0,"SOD-ID not defined",IF(AND(F33&lt;&gt;"",F33&lt;TODAY()),"Expired mitigation",IF(H33="N","Mitigating control failed testing",IF(H33="Pending","OK (test pending)","OK"))))))</f>
        <v/>
      </c>
    </row>
    <row r="34" customFormat="false" ht="15" hidden="false" customHeight="false" outlineLevel="0" collapsed="false">
      <c r="A34" s="15"/>
      <c r="B34" s="15"/>
      <c r="C34" s="15"/>
      <c r="D34" s="15"/>
      <c r="E34" s="18"/>
      <c r="F34" s="18"/>
      <c r="G34" s="15"/>
      <c r="H34" s="15"/>
      <c r="I34" s="16" t="str">
        <f aca="true">IF(A34="","",IF(COUNTIF(Ref_CTRL!$A$2:$A$201,B34)=0,"CTRL not in W05",IF(COUNTIF(SoD_Rules!$A$5:$A$204,C34)=0,"SOD-ID not defined",IF(AND(F34&lt;&gt;"",F34&lt;TODAY()),"Expired mitigation",IF(H34="N","Mitigating control failed testing",IF(H34="Pending","OK (test pending)","OK"))))))</f>
        <v/>
      </c>
    </row>
    <row r="35" customFormat="false" ht="15" hidden="false" customHeight="false" outlineLevel="0" collapsed="false">
      <c r="A35" s="15"/>
      <c r="B35" s="15"/>
      <c r="C35" s="15"/>
      <c r="D35" s="15"/>
      <c r="E35" s="18"/>
      <c r="F35" s="18"/>
      <c r="G35" s="15"/>
      <c r="H35" s="15"/>
      <c r="I35" s="16" t="str">
        <f aca="true">IF(A35="","",IF(COUNTIF(Ref_CTRL!$A$2:$A$201,B35)=0,"CTRL not in W05",IF(COUNTIF(SoD_Rules!$A$5:$A$204,C35)=0,"SOD-ID not defined",IF(AND(F35&lt;&gt;"",F35&lt;TODAY()),"Expired mitigation",IF(H35="N","Mitigating control failed testing",IF(H35="Pending","OK (test pending)","OK"))))))</f>
        <v/>
      </c>
    </row>
    <row r="36" customFormat="false" ht="15" hidden="false" customHeight="false" outlineLevel="0" collapsed="false">
      <c r="A36" s="15"/>
      <c r="B36" s="15"/>
      <c r="C36" s="15"/>
      <c r="D36" s="15"/>
      <c r="E36" s="18"/>
      <c r="F36" s="18"/>
      <c r="G36" s="15"/>
      <c r="H36" s="15"/>
      <c r="I36" s="16" t="str">
        <f aca="true">IF(A36="","",IF(COUNTIF(Ref_CTRL!$A$2:$A$201,B36)=0,"CTRL not in W05",IF(COUNTIF(SoD_Rules!$A$5:$A$204,C36)=0,"SOD-ID not defined",IF(AND(F36&lt;&gt;"",F36&lt;TODAY()),"Expired mitigation",IF(H36="N","Mitigating control failed testing",IF(H36="Pending","OK (test pending)","OK"))))))</f>
        <v/>
      </c>
    </row>
    <row r="37" customFormat="false" ht="15" hidden="false" customHeight="false" outlineLevel="0" collapsed="false">
      <c r="A37" s="15"/>
      <c r="B37" s="15"/>
      <c r="C37" s="15"/>
      <c r="D37" s="15"/>
      <c r="E37" s="18"/>
      <c r="F37" s="18"/>
      <c r="G37" s="15"/>
      <c r="H37" s="15"/>
      <c r="I37" s="16" t="str">
        <f aca="true">IF(A37="","",IF(COUNTIF(Ref_CTRL!$A$2:$A$201,B37)=0,"CTRL not in W05",IF(COUNTIF(SoD_Rules!$A$5:$A$204,C37)=0,"SOD-ID not defined",IF(AND(F37&lt;&gt;"",F37&lt;TODAY()),"Expired mitigation",IF(H37="N","Mitigating control failed testing",IF(H37="Pending","OK (test pending)","OK"))))))</f>
        <v/>
      </c>
    </row>
    <row r="38" customFormat="false" ht="15" hidden="false" customHeight="false" outlineLevel="0" collapsed="false">
      <c r="A38" s="15"/>
      <c r="B38" s="15"/>
      <c r="C38" s="15"/>
      <c r="D38" s="15"/>
      <c r="E38" s="18"/>
      <c r="F38" s="18"/>
      <c r="G38" s="15"/>
      <c r="H38" s="15"/>
      <c r="I38" s="16" t="str">
        <f aca="true">IF(A38="","",IF(COUNTIF(Ref_CTRL!$A$2:$A$201,B38)=0,"CTRL not in W05",IF(COUNTIF(SoD_Rules!$A$5:$A$204,C38)=0,"SOD-ID not defined",IF(AND(F38&lt;&gt;"",F38&lt;TODAY()),"Expired mitigation",IF(H38="N","Mitigating control failed testing",IF(H38="Pending","OK (test pending)","OK"))))))</f>
        <v/>
      </c>
    </row>
    <row r="39" customFormat="false" ht="15" hidden="false" customHeight="false" outlineLevel="0" collapsed="false">
      <c r="A39" s="15"/>
      <c r="B39" s="15"/>
      <c r="C39" s="15"/>
      <c r="D39" s="15"/>
      <c r="E39" s="18"/>
      <c r="F39" s="18"/>
      <c r="G39" s="15"/>
      <c r="H39" s="15"/>
      <c r="I39" s="16" t="str">
        <f aca="true">IF(A39="","",IF(COUNTIF(Ref_CTRL!$A$2:$A$201,B39)=0,"CTRL not in W05",IF(COUNTIF(SoD_Rules!$A$5:$A$204,C39)=0,"SOD-ID not defined",IF(AND(F39&lt;&gt;"",F39&lt;TODAY()),"Expired mitigation",IF(H39="N","Mitigating control failed testing",IF(H39="Pending","OK (test pending)","OK"))))))</f>
        <v/>
      </c>
    </row>
    <row r="40" customFormat="false" ht="15" hidden="false" customHeight="false" outlineLevel="0" collapsed="false">
      <c r="A40" s="15"/>
      <c r="B40" s="15"/>
      <c r="C40" s="15"/>
      <c r="D40" s="15"/>
      <c r="E40" s="18"/>
      <c r="F40" s="18"/>
      <c r="G40" s="15"/>
      <c r="H40" s="15"/>
      <c r="I40" s="16" t="str">
        <f aca="true">IF(A40="","",IF(COUNTIF(Ref_CTRL!$A$2:$A$201,B40)=0,"CTRL not in W05",IF(COUNTIF(SoD_Rules!$A$5:$A$204,C40)=0,"SOD-ID not defined",IF(AND(F40&lt;&gt;"",F40&lt;TODAY()),"Expired mitigation",IF(H40="N","Mitigating control failed testing",IF(H40="Pending","OK (test pending)","OK"))))))</f>
        <v/>
      </c>
    </row>
    <row r="41" customFormat="false" ht="15" hidden="false" customHeight="false" outlineLevel="0" collapsed="false">
      <c r="A41" s="15"/>
      <c r="B41" s="15"/>
      <c r="C41" s="15"/>
      <c r="D41" s="15"/>
      <c r="E41" s="18"/>
      <c r="F41" s="18"/>
      <c r="G41" s="15"/>
      <c r="H41" s="15"/>
      <c r="I41" s="16" t="str">
        <f aca="true">IF(A41="","",IF(COUNTIF(Ref_CTRL!$A$2:$A$201,B41)=0,"CTRL not in W05",IF(COUNTIF(SoD_Rules!$A$5:$A$204,C41)=0,"SOD-ID not defined",IF(AND(F41&lt;&gt;"",F41&lt;TODAY()),"Expired mitigation",IF(H41="N","Mitigating control failed testing",IF(H41="Pending","OK (test pending)","OK"))))))</f>
        <v/>
      </c>
    </row>
    <row r="42" customFormat="false" ht="15" hidden="false" customHeight="false" outlineLevel="0" collapsed="false">
      <c r="A42" s="15"/>
      <c r="B42" s="15"/>
      <c r="C42" s="15"/>
      <c r="D42" s="15"/>
      <c r="E42" s="18"/>
      <c r="F42" s="18"/>
      <c r="G42" s="15"/>
      <c r="H42" s="15"/>
      <c r="I42" s="16" t="str">
        <f aca="true">IF(A42="","",IF(COUNTIF(Ref_CTRL!$A$2:$A$201,B42)=0,"CTRL not in W05",IF(COUNTIF(SoD_Rules!$A$5:$A$204,C42)=0,"SOD-ID not defined",IF(AND(F42&lt;&gt;"",F42&lt;TODAY()),"Expired mitigation",IF(H42="N","Mitigating control failed testing",IF(H42="Pending","OK (test pending)","OK"))))))</f>
        <v/>
      </c>
    </row>
    <row r="43" customFormat="false" ht="15" hidden="false" customHeight="false" outlineLevel="0" collapsed="false">
      <c r="A43" s="15"/>
      <c r="B43" s="15"/>
      <c r="C43" s="15"/>
      <c r="D43" s="15"/>
      <c r="E43" s="18"/>
      <c r="F43" s="18"/>
      <c r="G43" s="15"/>
      <c r="H43" s="15"/>
      <c r="I43" s="16" t="str">
        <f aca="true">IF(A43="","",IF(COUNTIF(Ref_CTRL!$A$2:$A$201,B43)=0,"CTRL not in W05",IF(COUNTIF(SoD_Rules!$A$5:$A$204,C43)=0,"SOD-ID not defined",IF(AND(F43&lt;&gt;"",F43&lt;TODAY()),"Expired mitigation",IF(H43="N","Mitigating control failed testing",IF(H43="Pending","OK (test pending)","OK"))))))</f>
        <v/>
      </c>
    </row>
    <row r="44" customFormat="false" ht="15" hidden="false" customHeight="false" outlineLevel="0" collapsed="false">
      <c r="A44" s="15"/>
      <c r="B44" s="15"/>
      <c r="C44" s="15"/>
      <c r="D44" s="15"/>
      <c r="E44" s="18"/>
      <c r="F44" s="18"/>
      <c r="G44" s="15"/>
      <c r="H44" s="15"/>
      <c r="I44" s="16" t="str">
        <f aca="true">IF(A44="","",IF(COUNTIF(Ref_CTRL!$A$2:$A$201,B44)=0,"CTRL not in W05",IF(COUNTIF(SoD_Rules!$A$5:$A$204,C44)=0,"SOD-ID not defined",IF(AND(F44&lt;&gt;"",F44&lt;TODAY()),"Expired mitigation",IF(H44="N","Mitigating control failed testing",IF(H44="Pending","OK (test pending)","OK"))))))</f>
        <v/>
      </c>
    </row>
    <row r="45" customFormat="false" ht="15" hidden="false" customHeight="false" outlineLevel="0" collapsed="false">
      <c r="A45" s="15"/>
      <c r="B45" s="15"/>
      <c r="C45" s="15"/>
      <c r="D45" s="15"/>
      <c r="E45" s="18"/>
      <c r="F45" s="18"/>
      <c r="G45" s="15"/>
      <c r="H45" s="15"/>
      <c r="I45" s="16" t="str">
        <f aca="true">IF(A45="","",IF(COUNTIF(Ref_CTRL!$A$2:$A$201,B45)=0,"CTRL not in W05",IF(COUNTIF(SoD_Rules!$A$5:$A$204,C45)=0,"SOD-ID not defined",IF(AND(F45&lt;&gt;"",F45&lt;TODAY()),"Expired mitigation",IF(H45="N","Mitigating control failed testing",IF(H45="Pending","OK (test pending)","OK"))))))</f>
        <v/>
      </c>
    </row>
    <row r="46" customFormat="false" ht="15" hidden="false" customHeight="false" outlineLevel="0" collapsed="false">
      <c r="A46" s="15"/>
      <c r="B46" s="15"/>
      <c r="C46" s="15"/>
      <c r="D46" s="15"/>
      <c r="E46" s="18"/>
      <c r="F46" s="18"/>
      <c r="G46" s="15"/>
      <c r="H46" s="15"/>
      <c r="I46" s="16" t="str">
        <f aca="true">IF(A46="","",IF(COUNTIF(Ref_CTRL!$A$2:$A$201,B46)=0,"CTRL not in W05",IF(COUNTIF(SoD_Rules!$A$5:$A$204,C46)=0,"SOD-ID not defined",IF(AND(F46&lt;&gt;"",F46&lt;TODAY()),"Expired mitigation",IF(H46="N","Mitigating control failed testing",IF(H46="Pending","OK (test pending)","OK"))))))</f>
        <v/>
      </c>
    </row>
    <row r="47" customFormat="false" ht="15" hidden="false" customHeight="false" outlineLevel="0" collapsed="false">
      <c r="A47" s="15"/>
      <c r="B47" s="15"/>
      <c r="C47" s="15"/>
      <c r="D47" s="15"/>
      <c r="E47" s="18"/>
      <c r="F47" s="18"/>
      <c r="G47" s="15"/>
      <c r="H47" s="15"/>
      <c r="I47" s="16" t="str">
        <f aca="true">IF(A47="","",IF(COUNTIF(Ref_CTRL!$A$2:$A$201,B47)=0,"CTRL not in W05",IF(COUNTIF(SoD_Rules!$A$5:$A$204,C47)=0,"SOD-ID not defined",IF(AND(F47&lt;&gt;"",F47&lt;TODAY()),"Expired mitigation",IF(H47="N","Mitigating control failed testing",IF(H47="Pending","OK (test pending)","OK"))))))</f>
        <v/>
      </c>
    </row>
    <row r="48" customFormat="false" ht="15" hidden="false" customHeight="false" outlineLevel="0" collapsed="false">
      <c r="A48" s="15"/>
      <c r="B48" s="15"/>
      <c r="C48" s="15"/>
      <c r="D48" s="15"/>
      <c r="E48" s="18"/>
      <c r="F48" s="18"/>
      <c r="G48" s="15"/>
      <c r="H48" s="15"/>
      <c r="I48" s="16" t="str">
        <f aca="true">IF(A48="","",IF(COUNTIF(Ref_CTRL!$A$2:$A$201,B48)=0,"CTRL not in W05",IF(COUNTIF(SoD_Rules!$A$5:$A$204,C48)=0,"SOD-ID not defined",IF(AND(F48&lt;&gt;"",F48&lt;TODAY()),"Expired mitigation",IF(H48="N","Mitigating control failed testing",IF(H48="Pending","OK (test pending)","OK"))))))</f>
        <v/>
      </c>
    </row>
    <row r="49" customFormat="false" ht="15" hidden="false" customHeight="false" outlineLevel="0" collapsed="false">
      <c r="A49" s="15"/>
      <c r="B49" s="15"/>
      <c r="C49" s="15"/>
      <c r="D49" s="15"/>
      <c r="E49" s="18"/>
      <c r="F49" s="18"/>
      <c r="G49" s="15"/>
      <c r="H49" s="15"/>
      <c r="I49" s="16" t="str">
        <f aca="true">IF(A49="","",IF(COUNTIF(Ref_CTRL!$A$2:$A$201,B49)=0,"CTRL not in W05",IF(COUNTIF(SoD_Rules!$A$5:$A$204,C49)=0,"SOD-ID not defined",IF(AND(F49&lt;&gt;"",F49&lt;TODAY()),"Expired mitigation",IF(H49="N","Mitigating control failed testing",IF(H49="Pending","OK (test pending)","OK"))))))</f>
        <v/>
      </c>
    </row>
    <row r="50" customFormat="false" ht="15" hidden="false" customHeight="false" outlineLevel="0" collapsed="false">
      <c r="A50" s="15"/>
      <c r="B50" s="15"/>
      <c r="C50" s="15"/>
      <c r="D50" s="15"/>
      <c r="E50" s="18"/>
      <c r="F50" s="18"/>
      <c r="G50" s="15"/>
      <c r="H50" s="15"/>
      <c r="I50" s="16" t="str">
        <f aca="true">IF(A50="","",IF(COUNTIF(Ref_CTRL!$A$2:$A$201,B50)=0,"CTRL not in W05",IF(COUNTIF(SoD_Rules!$A$5:$A$204,C50)=0,"SOD-ID not defined",IF(AND(F50&lt;&gt;"",F50&lt;TODAY()),"Expired mitigation",IF(H50="N","Mitigating control failed testing",IF(H50="Pending","OK (test pending)","OK"))))))</f>
        <v/>
      </c>
    </row>
    <row r="51" customFormat="false" ht="15" hidden="false" customHeight="false" outlineLevel="0" collapsed="false">
      <c r="A51" s="15"/>
      <c r="B51" s="15"/>
      <c r="C51" s="15"/>
      <c r="D51" s="15"/>
      <c r="E51" s="18"/>
      <c r="F51" s="18"/>
      <c r="G51" s="15"/>
      <c r="H51" s="15"/>
      <c r="I51" s="16" t="str">
        <f aca="true">IF(A51="","",IF(COUNTIF(Ref_CTRL!$A$2:$A$201,B51)=0,"CTRL not in W05",IF(COUNTIF(SoD_Rules!$A$5:$A$204,C51)=0,"SOD-ID not defined",IF(AND(F51&lt;&gt;"",F51&lt;TODAY()),"Expired mitigation",IF(H51="N","Mitigating control failed testing",IF(H51="Pending","OK (test pending)","OK"))))))</f>
        <v/>
      </c>
    </row>
    <row r="52" customFormat="false" ht="15" hidden="false" customHeight="false" outlineLevel="0" collapsed="false">
      <c r="A52" s="15"/>
      <c r="B52" s="15"/>
      <c r="C52" s="15"/>
      <c r="D52" s="15"/>
      <c r="E52" s="18"/>
      <c r="F52" s="18"/>
      <c r="G52" s="15"/>
      <c r="H52" s="15"/>
      <c r="I52" s="16" t="str">
        <f aca="true">IF(A52="","",IF(COUNTIF(Ref_CTRL!$A$2:$A$201,B52)=0,"CTRL not in W05",IF(COUNTIF(SoD_Rules!$A$5:$A$204,C52)=0,"SOD-ID not defined",IF(AND(F52&lt;&gt;"",F52&lt;TODAY()),"Expired mitigation",IF(H52="N","Mitigating control failed testing",IF(H52="Pending","OK (test pending)","OK"))))))</f>
        <v/>
      </c>
    </row>
    <row r="53" customFormat="false" ht="15" hidden="false" customHeight="false" outlineLevel="0" collapsed="false">
      <c r="A53" s="15"/>
      <c r="B53" s="15"/>
      <c r="C53" s="15"/>
      <c r="D53" s="15"/>
      <c r="E53" s="18"/>
      <c r="F53" s="18"/>
      <c r="G53" s="15"/>
      <c r="H53" s="15"/>
      <c r="I53" s="16" t="str">
        <f aca="true">IF(A53="","",IF(COUNTIF(Ref_CTRL!$A$2:$A$201,B53)=0,"CTRL not in W05",IF(COUNTIF(SoD_Rules!$A$5:$A$204,C53)=0,"SOD-ID not defined",IF(AND(F53&lt;&gt;"",F53&lt;TODAY()),"Expired mitigation",IF(H53="N","Mitigating control failed testing",IF(H53="Pending","OK (test pending)","OK"))))))</f>
        <v/>
      </c>
    </row>
    <row r="54" customFormat="false" ht="15" hidden="false" customHeight="false" outlineLevel="0" collapsed="false">
      <c r="A54" s="15"/>
      <c r="B54" s="15"/>
      <c r="C54" s="15"/>
      <c r="D54" s="15"/>
      <c r="E54" s="18"/>
      <c r="F54" s="18"/>
      <c r="G54" s="15"/>
      <c r="H54" s="15"/>
      <c r="I54" s="16" t="str">
        <f aca="true">IF(A54="","",IF(COUNTIF(Ref_CTRL!$A$2:$A$201,B54)=0,"CTRL not in W05",IF(COUNTIF(SoD_Rules!$A$5:$A$204,C54)=0,"SOD-ID not defined",IF(AND(F54&lt;&gt;"",F54&lt;TODAY()),"Expired mitigation",IF(H54="N","Mitigating control failed testing",IF(H54="Pending","OK (test pending)","OK"))))))</f>
        <v/>
      </c>
    </row>
    <row r="55" customFormat="false" ht="15" hidden="false" customHeight="false" outlineLevel="0" collapsed="false">
      <c r="A55" s="15"/>
      <c r="B55" s="15"/>
      <c r="C55" s="15"/>
      <c r="D55" s="15"/>
      <c r="E55" s="18"/>
      <c r="F55" s="18"/>
      <c r="G55" s="15"/>
      <c r="H55" s="15"/>
      <c r="I55" s="16" t="str">
        <f aca="true">IF(A55="","",IF(COUNTIF(Ref_CTRL!$A$2:$A$201,B55)=0,"CTRL not in W05",IF(COUNTIF(SoD_Rules!$A$5:$A$204,C55)=0,"SOD-ID not defined",IF(AND(F55&lt;&gt;"",F55&lt;TODAY()),"Expired mitigation",IF(H55="N","Mitigating control failed testing",IF(H55="Pending","OK (test pending)","OK"))))))</f>
        <v/>
      </c>
    </row>
    <row r="56" customFormat="false" ht="15" hidden="false" customHeight="false" outlineLevel="0" collapsed="false">
      <c r="A56" s="15"/>
      <c r="B56" s="15"/>
      <c r="C56" s="15"/>
      <c r="D56" s="15"/>
      <c r="E56" s="18"/>
      <c r="F56" s="18"/>
      <c r="G56" s="15"/>
      <c r="H56" s="15"/>
      <c r="I56" s="16" t="str">
        <f aca="true">IF(A56="","",IF(COUNTIF(Ref_CTRL!$A$2:$A$201,B56)=0,"CTRL not in W05",IF(COUNTIF(SoD_Rules!$A$5:$A$204,C56)=0,"SOD-ID not defined",IF(AND(F56&lt;&gt;"",F56&lt;TODAY()),"Expired mitigation",IF(H56="N","Mitigating control failed testing",IF(H56="Pending","OK (test pending)","OK"))))))</f>
        <v/>
      </c>
    </row>
    <row r="57" customFormat="false" ht="15" hidden="false" customHeight="false" outlineLevel="0" collapsed="false">
      <c r="A57" s="15"/>
      <c r="B57" s="15"/>
      <c r="C57" s="15"/>
      <c r="D57" s="15"/>
      <c r="E57" s="18"/>
      <c r="F57" s="18"/>
      <c r="G57" s="15"/>
      <c r="H57" s="15"/>
      <c r="I57" s="16" t="str">
        <f aca="true">IF(A57="","",IF(COUNTIF(Ref_CTRL!$A$2:$A$201,B57)=0,"CTRL not in W05",IF(COUNTIF(SoD_Rules!$A$5:$A$204,C57)=0,"SOD-ID not defined",IF(AND(F57&lt;&gt;"",F57&lt;TODAY()),"Expired mitigation",IF(H57="N","Mitigating control failed testing",IF(H57="Pending","OK (test pending)","OK"))))))</f>
        <v/>
      </c>
    </row>
    <row r="58" customFormat="false" ht="15" hidden="false" customHeight="false" outlineLevel="0" collapsed="false">
      <c r="A58" s="15"/>
      <c r="B58" s="15"/>
      <c r="C58" s="15"/>
      <c r="D58" s="15"/>
      <c r="E58" s="18"/>
      <c r="F58" s="18"/>
      <c r="G58" s="15"/>
      <c r="H58" s="15"/>
      <c r="I58" s="16" t="str">
        <f aca="true">IF(A58="","",IF(COUNTIF(Ref_CTRL!$A$2:$A$201,B58)=0,"CTRL not in W05",IF(COUNTIF(SoD_Rules!$A$5:$A$204,C58)=0,"SOD-ID not defined",IF(AND(F58&lt;&gt;"",F58&lt;TODAY()),"Expired mitigation",IF(H58="N","Mitigating control failed testing",IF(H58="Pending","OK (test pending)","OK"))))))</f>
        <v/>
      </c>
    </row>
    <row r="59" customFormat="false" ht="15" hidden="false" customHeight="false" outlineLevel="0" collapsed="false">
      <c r="A59" s="15"/>
      <c r="B59" s="15"/>
      <c r="C59" s="15"/>
      <c r="D59" s="15"/>
      <c r="E59" s="18"/>
      <c r="F59" s="18"/>
      <c r="G59" s="15"/>
      <c r="H59" s="15"/>
      <c r="I59" s="16" t="str">
        <f aca="true">IF(A59="","",IF(COUNTIF(Ref_CTRL!$A$2:$A$201,B59)=0,"CTRL not in W05",IF(COUNTIF(SoD_Rules!$A$5:$A$204,C59)=0,"SOD-ID not defined",IF(AND(F59&lt;&gt;"",F59&lt;TODAY()),"Expired mitigation",IF(H59="N","Mitigating control failed testing",IF(H59="Pending","OK (test pending)","OK"))))))</f>
        <v/>
      </c>
    </row>
    <row r="60" customFormat="false" ht="15" hidden="false" customHeight="false" outlineLevel="0" collapsed="false">
      <c r="A60" s="15"/>
      <c r="B60" s="15"/>
      <c r="C60" s="15"/>
      <c r="D60" s="15"/>
      <c r="E60" s="18"/>
      <c r="F60" s="18"/>
      <c r="G60" s="15"/>
      <c r="H60" s="15"/>
      <c r="I60" s="16" t="str">
        <f aca="true">IF(A60="","",IF(COUNTIF(Ref_CTRL!$A$2:$A$201,B60)=0,"CTRL not in W05",IF(COUNTIF(SoD_Rules!$A$5:$A$204,C60)=0,"SOD-ID not defined",IF(AND(F60&lt;&gt;"",F60&lt;TODAY()),"Expired mitigation",IF(H60="N","Mitigating control failed testing",IF(H60="Pending","OK (test pending)","OK"))))))</f>
        <v/>
      </c>
    </row>
    <row r="61" customFormat="false" ht="15" hidden="false" customHeight="false" outlineLevel="0" collapsed="false">
      <c r="A61" s="15"/>
      <c r="B61" s="15"/>
      <c r="C61" s="15"/>
      <c r="D61" s="15"/>
      <c r="E61" s="18"/>
      <c r="F61" s="18"/>
      <c r="G61" s="15"/>
      <c r="H61" s="15"/>
      <c r="I61" s="16" t="str">
        <f aca="true">IF(A61="","",IF(COUNTIF(Ref_CTRL!$A$2:$A$201,B61)=0,"CTRL not in W05",IF(COUNTIF(SoD_Rules!$A$5:$A$204,C61)=0,"SOD-ID not defined",IF(AND(F61&lt;&gt;"",F61&lt;TODAY()),"Expired mitigation",IF(H61="N","Mitigating control failed testing",IF(H61="Pending","OK (test pending)","OK"))))))</f>
        <v/>
      </c>
    </row>
    <row r="62" customFormat="false" ht="15" hidden="false" customHeight="false" outlineLevel="0" collapsed="false">
      <c r="A62" s="15"/>
      <c r="B62" s="15"/>
      <c r="C62" s="15"/>
      <c r="D62" s="15"/>
      <c r="E62" s="18"/>
      <c r="F62" s="18"/>
      <c r="G62" s="15"/>
      <c r="H62" s="15"/>
      <c r="I62" s="16" t="str">
        <f aca="true">IF(A62="","",IF(COUNTIF(Ref_CTRL!$A$2:$A$201,B62)=0,"CTRL not in W05",IF(COUNTIF(SoD_Rules!$A$5:$A$204,C62)=0,"SOD-ID not defined",IF(AND(F62&lt;&gt;"",F62&lt;TODAY()),"Expired mitigation",IF(H62="N","Mitigating control failed testing",IF(H62="Pending","OK (test pending)","OK"))))))</f>
        <v/>
      </c>
    </row>
    <row r="63" customFormat="false" ht="15" hidden="false" customHeight="false" outlineLevel="0" collapsed="false">
      <c r="A63" s="15"/>
      <c r="B63" s="15"/>
      <c r="C63" s="15"/>
      <c r="D63" s="15"/>
      <c r="E63" s="18"/>
      <c r="F63" s="18"/>
      <c r="G63" s="15"/>
      <c r="H63" s="15"/>
      <c r="I63" s="16" t="str">
        <f aca="true">IF(A63="","",IF(COUNTIF(Ref_CTRL!$A$2:$A$201,B63)=0,"CTRL not in W05",IF(COUNTIF(SoD_Rules!$A$5:$A$204,C63)=0,"SOD-ID not defined",IF(AND(F63&lt;&gt;"",F63&lt;TODAY()),"Expired mitigation",IF(H63="N","Mitigating control failed testing",IF(H63="Pending","OK (test pending)","OK"))))))</f>
        <v/>
      </c>
    </row>
    <row r="64" customFormat="false" ht="15" hidden="false" customHeight="false" outlineLevel="0" collapsed="false">
      <c r="A64" s="15"/>
      <c r="B64" s="15"/>
      <c r="C64" s="15"/>
      <c r="D64" s="15"/>
      <c r="E64" s="18"/>
      <c r="F64" s="18"/>
      <c r="G64" s="15"/>
      <c r="H64" s="15"/>
      <c r="I64" s="16" t="str">
        <f aca="true">IF(A64="","",IF(COUNTIF(Ref_CTRL!$A$2:$A$201,B64)=0,"CTRL not in W05",IF(COUNTIF(SoD_Rules!$A$5:$A$204,C64)=0,"SOD-ID not defined",IF(AND(F64&lt;&gt;"",F64&lt;TODAY()),"Expired mitigation",IF(H64="N","Mitigating control failed testing",IF(H64="Pending","OK (test pending)","OK"))))))</f>
        <v/>
      </c>
    </row>
    <row r="65" customFormat="false" ht="15" hidden="false" customHeight="false" outlineLevel="0" collapsed="false">
      <c r="A65" s="15"/>
      <c r="B65" s="15"/>
      <c r="C65" s="15"/>
      <c r="D65" s="15"/>
      <c r="E65" s="18"/>
      <c r="F65" s="18"/>
      <c r="G65" s="15"/>
      <c r="H65" s="15"/>
      <c r="I65" s="16" t="str">
        <f aca="true">IF(A65="","",IF(COUNTIF(Ref_CTRL!$A$2:$A$201,B65)=0,"CTRL not in W05",IF(COUNTIF(SoD_Rules!$A$5:$A$204,C65)=0,"SOD-ID not defined",IF(AND(F65&lt;&gt;"",F65&lt;TODAY()),"Expired mitigation",IF(H65="N","Mitigating control failed testing",IF(H65="Pending","OK (test pending)","OK"))))))</f>
        <v/>
      </c>
    </row>
    <row r="66" customFormat="false" ht="15" hidden="false" customHeight="false" outlineLevel="0" collapsed="false">
      <c r="A66" s="15"/>
      <c r="B66" s="15"/>
      <c r="C66" s="15"/>
      <c r="D66" s="15"/>
      <c r="E66" s="18"/>
      <c r="F66" s="18"/>
      <c r="G66" s="15"/>
      <c r="H66" s="15"/>
      <c r="I66" s="16" t="str">
        <f aca="true">IF(A66="","",IF(COUNTIF(Ref_CTRL!$A$2:$A$201,B66)=0,"CTRL not in W05",IF(COUNTIF(SoD_Rules!$A$5:$A$204,C66)=0,"SOD-ID not defined",IF(AND(F66&lt;&gt;"",F66&lt;TODAY()),"Expired mitigation",IF(H66="N","Mitigating control failed testing",IF(H66="Pending","OK (test pending)","OK"))))))</f>
        <v/>
      </c>
    </row>
    <row r="67" customFormat="false" ht="15" hidden="false" customHeight="false" outlineLevel="0" collapsed="false">
      <c r="A67" s="15"/>
      <c r="B67" s="15"/>
      <c r="C67" s="15"/>
      <c r="D67" s="15"/>
      <c r="E67" s="18"/>
      <c r="F67" s="18"/>
      <c r="G67" s="15"/>
      <c r="H67" s="15"/>
      <c r="I67" s="16" t="str">
        <f aca="true">IF(A67="","",IF(COUNTIF(Ref_CTRL!$A$2:$A$201,B67)=0,"CTRL not in W05",IF(COUNTIF(SoD_Rules!$A$5:$A$204,C67)=0,"SOD-ID not defined",IF(AND(F67&lt;&gt;"",F67&lt;TODAY()),"Expired mitigation",IF(H67="N","Mitigating control failed testing",IF(H67="Pending","OK (test pending)","OK"))))))</f>
        <v/>
      </c>
    </row>
    <row r="68" customFormat="false" ht="15" hidden="false" customHeight="false" outlineLevel="0" collapsed="false">
      <c r="A68" s="15"/>
      <c r="B68" s="15"/>
      <c r="C68" s="15"/>
      <c r="D68" s="15"/>
      <c r="E68" s="18"/>
      <c r="F68" s="18"/>
      <c r="G68" s="15"/>
      <c r="H68" s="15"/>
      <c r="I68" s="16" t="str">
        <f aca="true">IF(A68="","",IF(COUNTIF(Ref_CTRL!$A$2:$A$201,B68)=0,"CTRL not in W05",IF(COUNTIF(SoD_Rules!$A$5:$A$204,C68)=0,"SOD-ID not defined",IF(AND(F68&lt;&gt;"",F68&lt;TODAY()),"Expired mitigation",IF(H68="N","Mitigating control failed testing",IF(H68="Pending","OK (test pending)","OK"))))))</f>
        <v/>
      </c>
    </row>
    <row r="69" customFormat="false" ht="15" hidden="false" customHeight="false" outlineLevel="0" collapsed="false">
      <c r="A69" s="15"/>
      <c r="B69" s="15"/>
      <c r="C69" s="15"/>
      <c r="D69" s="15"/>
      <c r="E69" s="18"/>
      <c r="F69" s="18"/>
      <c r="G69" s="15"/>
      <c r="H69" s="15"/>
      <c r="I69" s="16" t="str">
        <f aca="true">IF(A69="","",IF(COUNTIF(Ref_CTRL!$A$2:$A$201,B69)=0,"CTRL not in W05",IF(COUNTIF(SoD_Rules!$A$5:$A$204,C69)=0,"SOD-ID not defined",IF(AND(F69&lt;&gt;"",F69&lt;TODAY()),"Expired mitigation",IF(H69="N","Mitigating control failed testing",IF(H69="Pending","OK (test pending)","OK"))))))</f>
        <v/>
      </c>
    </row>
    <row r="70" customFormat="false" ht="15" hidden="false" customHeight="false" outlineLevel="0" collapsed="false">
      <c r="A70" s="15"/>
      <c r="B70" s="15"/>
      <c r="C70" s="15"/>
      <c r="D70" s="15"/>
      <c r="E70" s="18"/>
      <c r="F70" s="18"/>
      <c r="G70" s="15"/>
      <c r="H70" s="15"/>
      <c r="I70" s="16" t="str">
        <f aca="true">IF(A70="","",IF(COUNTIF(Ref_CTRL!$A$2:$A$201,B70)=0,"CTRL not in W05",IF(COUNTIF(SoD_Rules!$A$5:$A$204,C70)=0,"SOD-ID not defined",IF(AND(F70&lt;&gt;"",F70&lt;TODAY()),"Expired mitigation",IF(H70="N","Mitigating control failed testing",IF(H70="Pending","OK (test pending)","OK"))))))</f>
        <v/>
      </c>
    </row>
    <row r="71" customFormat="false" ht="15" hidden="false" customHeight="false" outlineLevel="0" collapsed="false">
      <c r="A71" s="15"/>
      <c r="B71" s="15"/>
      <c r="C71" s="15"/>
      <c r="D71" s="15"/>
      <c r="E71" s="18"/>
      <c r="F71" s="18"/>
      <c r="G71" s="15"/>
      <c r="H71" s="15"/>
      <c r="I71" s="16" t="str">
        <f aca="true">IF(A71="","",IF(COUNTIF(Ref_CTRL!$A$2:$A$201,B71)=0,"CTRL not in W05",IF(COUNTIF(SoD_Rules!$A$5:$A$204,C71)=0,"SOD-ID not defined",IF(AND(F71&lt;&gt;"",F71&lt;TODAY()),"Expired mitigation",IF(H71="N","Mitigating control failed testing",IF(H71="Pending","OK (test pending)","OK"))))))</f>
        <v/>
      </c>
    </row>
    <row r="72" customFormat="false" ht="15" hidden="false" customHeight="false" outlineLevel="0" collapsed="false">
      <c r="A72" s="15"/>
      <c r="B72" s="15"/>
      <c r="C72" s="15"/>
      <c r="D72" s="15"/>
      <c r="E72" s="18"/>
      <c r="F72" s="18"/>
      <c r="G72" s="15"/>
      <c r="H72" s="15"/>
      <c r="I72" s="16" t="str">
        <f aca="true">IF(A72="","",IF(COUNTIF(Ref_CTRL!$A$2:$A$201,B72)=0,"CTRL not in W05",IF(COUNTIF(SoD_Rules!$A$5:$A$204,C72)=0,"SOD-ID not defined",IF(AND(F72&lt;&gt;"",F72&lt;TODAY()),"Expired mitigation",IF(H72="N","Mitigating control failed testing",IF(H72="Pending","OK (test pending)","OK"))))))</f>
        <v/>
      </c>
    </row>
    <row r="73" customFormat="false" ht="15" hidden="false" customHeight="false" outlineLevel="0" collapsed="false">
      <c r="A73" s="15"/>
      <c r="B73" s="15"/>
      <c r="C73" s="15"/>
      <c r="D73" s="15"/>
      <c r="E73" s="18"/>
      <c r="F73" s="18"/>
      <c r="G73" s="15"/>
      <c r="H73" s="15"/>
      <c r="I73" s="16" t="str">
        <f aca="true">IF(A73="","",IF(COUNTIF(Ref_CTRL!$A$2:$A$201,B73)=0,"CTRL not in W05",IF(COUNTIF(SoD_Rules!$A$5:$A$204,C73)=0,"SOD-ID not defined",IF(AND(F73&lt;&gt;"",F73&lt;TODAY()),"Expired mitigation",IF(H73="N","Mitigating control failed testing",IF(H73="Pending","OK (test pending)","OK"))))))</f>
        <v/>
      </c>
    </row>
    <row r="74" customFormat="false" ht="15" hidden="false" customHeight="false" outlineLevel="0" collapsed="false">
      <c r="A74" s="15"/>
      <c r="B74" s="15"/>
      <c r="C74" s="15"/>
      <c r="D74" s="15"/>
      <c r="E74" s="18"/>
      <c r="F74" s="18"/>
      <c r="G74" s="15"/>
      <c r="H74" s="15"/>
      <c r="I74" s="16" t="str">
        <f aca="true">IF(A74="","",IF(COUNTIF(Ref_CTRL!$A$2:$A$201,B74)=0,"CTRL not in W05",IF(COUNTIF(SoD_Rules!$A$5:$A$204,C74)=0,"SOD-ID not defined",IF(AND(F74&lt;&gt;"",F74&lt;TODAY()),"Expired mitigation",IF(H74="N","Mitigating control failed testing",IF(H74="Pending","OK (test pending)","OK"))))))</f>
        <v/>
      </c>
    </row>
    <row r="75" customFormat="false" ht="15" hidden="false" customHeight="false" outlineLevel="0" collapsed="false">
      <c r="A75" s="15"/>
      <c r="B75" s="15"/>
      <c r="C75" s="15"/>
      <c r="D75" s="15"/>
      <c r="E75" s="18"/>
      <c r="F75" s="18"/>
      <c r="G75" s="15"/>
      <c r="H75" s="15"/>
      <c r="I75" s="16" t="str">
        <f aca="true">IF(A75="","",IF(COUNTIF(Ref_CTRL!$A$2:$A$201,B75)=0,"CTRL not in W05",IF(COUNTIF(SoD_Rules!$A$5:$A$204,C75)=0,"SOD-ID not defined",IF(AND(F75&lt;&gt;"",F75&lt;TODAY()),"Expired mitigation",IF(H75="N","Mitigating control failed testing",IF(H75="Pending","OK (test pending)","OK"))))))</f>
        <v/>
      </c>
    </row>
    <row r="76" customFormat="false" ht="15" hidden="false" customHeight="false" outlineLevel="0" collapsed="false">
      <c r="A76" s="15"/>
      <c r="B76" s="15"/>
      <c r="C76" s="15"/>
      <c r="D76" s="15"/>
      <c r="E76" s="18"/>
      <c r="F76" s="18"/>
      <c r="G76" s="15"/>
      <c r="H76" s="15"/>
      <c r="I76" s="16" t="str">
        <f aca="true">IF(A76="","",IF(COUNTIF(Ref_CTRL!$A$2:$A$201,B76)=0,"CTRL not in W05",IF(COUNTIF(SoD_Rules!$A$5:$A$204,C76)=0,"SOD-ID not defined",IF(AND(F76&lt;&gt;"",F76&lt;TODAY()),"Expired mitigation",IF(H76="N","Mitigating control failed testing",IF(H76="Pending","OK (test pending)","OK"))))))</f>
        <v/>
      </c>
    </row>
    <row r="77" customFormat="false" ht="15" hidden="false" customHeight="false" outlineLevel="0" collapsed="false">
      <c r="A77" s="15"/>
      <c r="B77" s="15"/>
      <c r="C77" s="15"/>
      <c r="D77" s="15"/>
      <c r="E77" s="18"/>
      <c r="F77" s="18"/>
      <c r="G77" s="15"/>
      <c r="H77" s="15"/>
      <c r="I77" s="16" t="str">
        <f aca="true">IF(A77="","",IF(COUNTIF(Ref_CTRL!$A$2:$A$201,B77)=0,"CTRL not in W05",IF(COUNTIF(SoD_Rules!$A$5:$A$204,C77)=0,"SOD-ID not defined",IF(AND(F77&lt;&gt;"",F77&lt;TODAY()),"Expired mitigation",IF(H77="N","Mitigating control failed testing",IF(H77="Pending","OK (test pending)","OK"))))))</f>
        <v/>
      </c>
    </row>
    <row r="78" customFormat="false" ht="15" hidden="false" customHeight="false" outlineLevel="0" collapsed="false">
      <c r="A78" s="15"/>
      <c r="B78" s="15"/>
      <c r="C78" s="15"/>
      <c r="D78" s="15"/>
      <c r="E78" s="18"/>
      <c r="F78" s="18"/>
      <c r="G78" s="15"/>
      <c r="H78" s="15"/>
      <c r="I78" s="16" t="str">
        <f aca="true">IF(A78="","",IF(COUNTIF(Ref_CTRL!$A$2:$A$201,B78)=0,"CTRL not in W05",IF(COUNTIF(SoD_Rules!$A$5:$A$204,C78)=0,"SOD-ID not defined",IF(AND(F78&lt;&gt;"",F78&lt;TODAY()),"Expired mitigation",IF(H78="N","Mitigating control failed testing",IF(H78="Pending","OK (test pending)","OK"))))))</f>
        <v/>
      </c>
    </row>
    <row r="79" customFormat="false" ht="15" hidden="false" customHeight="false" outlineLevel="0" collapsed="false">
      <c r="A79" s="15"/>
      <c r="B79" s="15"/>
      <c r="C79" s="15"/>
      <c r="D79" s="15"/>
      <c r="E79" s="18"/>
      <c r="F79" s="18"/>
      <c r="G79" s="15"/>
      <c r="H79" s="15"/>
      <c r="I79" s="16" t="str">
        <f aca="true">IF(A79="","",IF(COUNTIF(Ref_CTRL!$A$2:$A$201,B79)=0,"CTRL not in W05",IF(COUNTIF(SoD_Rules!$A$5:$A$204,C79)=0,"SOD-ID not defined",IF(AND(F79&lt;&gt;"",F79&lt;TODAY()),"Expired mitigation",IF(H79="N","Mitigating control failed testing",IF(H79="Pending","OK (test pending)","OK"))))))</f>
        <v/>
      </c>
    </row>
    <row r="80" customFormat="false" ht="15" hidden="false" customHeight="false" outlineLevel="0" collapsed="false">
      <c r="A80" s="15"/>
      <c r="B80" s="15"/>
      <c r="C80" s="15"/>
      <c r="D80" s="15"/>
      <c r="E80" s="18"/>
      <c r="F80" s="18"/>
      <c r="G80" s="15"/>
      <c r="H80" s="15"/>
      <c r="I80" s="16" t="str">
        <f aca="true">IF(A80="","",IF(COUNTIF(Ref_CTRL!$A$2:$A$201,B80)=0,"CTRL not in W05",IF(COUNTIF(SoD_Rules!$A$5:$A$204,C80)=0,"SOD-ID not defined",IF(AND(F80&lt;&gt;"",F80&lt;TODAY()),"Expired mitigation",IF(H80="N","Mitigating control failed testing",IF(H80="Pending","OK (test pending)","OK"))))))</f>
        <v/>
      </c>
    </row>
    <row r="81" customFormat="false" ht="15" hidden="false" customHeight="false" outlineLevel="0" collapsed="false">
      <c r="A81" s="15"/>
      <c r="B81" s="15"/>
      <c r="C81" s="15"/>
      <c r="D81" s="15"/>
      <c r="E81" s="18"/>
      <c r="F81" s="18"/>
      <c r="G81" s="15"/>
      <c r="H81" s="15"/>
      <c r="I81" s="16" t="str">
        <f aca="true">IF(A81="","",IF(COUNTIF(Ref_CTRL!$A$2:$A$201,B81)=0,"CTRL not in W05",IF(COUNTIF(SoD_Rules!$A$5:$A$204,C81)=0,"SOD-ID not defined",IF(AND(F81&lt;&gt;"",F81&lt;TODAY()),"Expired mitigation",IF(H81="N","Mitigating control failed testing",IF(H81="Pending","OK (test pending)","OK"))))))</f>
        <v/>
      </c>
    </row>
    <row r="82" customFormat="false" ht="15" hidden="false" customHeight="false" outlineLevel="0" collapsed="false">
      <c r="A82" s="15"/>
      <c r="B82" s="15"/>
      <c r="C82" s="15"/>
      <c r="D82" s="15"/>
      <c r="E82" s="18"/>
      <c r="F82" s="18"/>
      <c r="G82" s="15"/>
      <c r="H82" s="15"/>
      <c r="I82" s="16" t="str">
        <f aca="true">IF(A82="","",IF(COUNTIF(Ref_CTRL!$A$2:$A$201,B82)=0,"CTRL not in W05",IF(COUNTIF(SoD_Rules!$A$5:$A$204,C82)=0,"SOD-ID not defined",IF(AND(F82&lt;&gt;"",F82&lt;TODAY()),"Expired mitigation",IF(H82="N","Mitigating control failed testing",IF(H82="Pending","OK (test pending)","OK"))))))</f>
        <v/>
      </c>
    </row>
    <row r="83" customFormat="false" ht="15" hidden="false" customHeight="false" outlineLevel="0" collapsed="false">
      <c r="A83" s="15"/>
      <c r="B83" s="15"/>
      <c r="C83" s="15"/>
      <c r="D83" s="15"/>
      <c r="E83" s="18"/>
      <c r="F83" s="18"/>
      <c r="G83" s="15"/>
      <c r="H83" s="15"/>
      <c r="I83" s="16" t="str">
        <f aca="true">IF(A83="","",IF(COUNTIF(Ref_CTRL!$A$2:$A$201,B83)=0,"CTRL not in W05",IF(COUNTIF(SoD_Rules!$A$5:$A$204,C83)=0,"SOD-ID not defined",IF(AND(F83&lt;&gt;"",F83&lt;TODAY()),"Expired mitigation",IF(H83="N","Mitigating control failed testing",IF(H83="Pending","OK (test pending)","OK"))))))</f>
        <v/>
      </c>
    </row>
    <row r="84" customFormat="false" ht="15" hidden="false" customHeight="false" outlineLevel="0" collapsed="false">
      <c r="A84" s="15"/>
      <c r="B84" s="15"/>
      <c r="C84" s="15"/>
      <c r="D84" s="15"/>
      <c r="E84" s="18"/>
      <c r="F84" s="18"/>
      <c r="G84" s="15"/>
      <c r="H84" s="15"/>
      <c r="I84" s="16" t="str">
        <f aca="true">IF(A84="","",IF(COUNTIF(Ref_CTRL!$A$2:$A$201,B84)=0,"CTRL not in W05",IF(COUNTIF(SoD_Rules!$A$5:$A$204,C84)=0,"SOD-ID not defined",IF(AND(F84&lt;&gt;"",F84&lt;TODAY()),"Expired mitigation",IF(H84="N","Mitigating control failed testing",IF(H84="Pending","OK (test pending)","OK"))))))</f>
        <v/>
      </c>
    </row>
    <row r="85" customFormat="false" ht="15" hidden="false" customHeight="false" outlineLevel="0" collapsed="false">
      <c r="A85" s="15"/>
      <c r="B85" s="15"/>
      <c r="C85" s="15"/>
      <c r="D85" s="15"/>
      <c r="E85" s="18"/>
      <c r="F85" s="18"/>
      <c r="G85" s="15"/>
      <c r="H85" s="15"/>
      <c r="I85" s="16" t="str">
        <f aca="true">IF(A85="","",IF(COUNTIF(Ref_CTRL!$A$2:$A$201,B85)=0,"CTRL not in W05",IF(COUNTIF(SoD_Rules!$A$5:$A$204,C85)=0,"SOD-ID not defined",IF(AND(F85&lt;&gt;"",F85&lt;TODAY()),"Expired mitigation",IF(H85="N","Mitigating control failed testing",IF(H85="Pending","OK (test pending)","OK"))))))</f>
        <v/>
      </c>
    </row>
    <row r="86" customFormat="false" ht="15" hidden="false" customHeight="false" outlineLevel="0" collapsed="false">
      <c r="A86" s="15"/>
      <c r="B86" s="15"/>
      <c r="C86" s="15"/>
      <c r="D86" s="15"/>
      <c r="E86" s="18"/>
      <c r="F86" s="18"/>
      <c r="G86" s="15"/>
      <c r="H86" s="15"/>
      <c r="I86" s="16" t="str">
        <f aca="true">IF(A86="","",IF(COUNTIF(Ref_CTRL!$A$2:$A$201,B86)=0,"CTRL not in W05",IF(COUNTIF(SoD_Rules!$A$5:$A$204,C86)=0,"SOD-ID not defined",IF(AND(F86&lt;&gt;"",F86&lt;TODAY()),"Expired mitigation",IF(H86="N","Mitigating control failed testing",IF(H86="Pending","OK (test pending)","OK"))))))</f>
        <v/>
      </c>
    </row>
    <row r="87" customFormat="false" ht="15" hidden="false" customHeight="false" outlineLevel="0" collapsed="false">
      <c r="A87" s="15"/>
      <c r="B87" s="15"/>
      <c r="C87" s="15"/>
      <c r="D87" s="15"/>
      <c r="E87" s="18"/>
      <c r="F87" s="18"/>
      <c r="G87" s="15"/>
      <c r="H87" s="15"/>
      <c r="I87" s="16" t="str">
        <f aca="true">IF(A87="","",IF(COUNTIF(Ref_CTRL!$A$2:$A$201,B87)=0,"CTRL not in W05",IF(COUNTIF(SoD_Rules!$A$5:$A$204,C87)=0,"SOD-ID not defined",IF(AND(F87&lt;&gt;"",F87&lt;TODAY()),"Expired mitigation",IF(H87="N","Mitigating control failed testing",IF(H87="Pending","OK (test pending)","OK"))))))</f>
        <v/>
      </c>
    </row>
    <row r="88" customFormat="false" ht="15" hidden="false" customHeight="false" outlineLevel="0" collapsed="false">
      <c r="A88" s="15"/>
      <c r="B88" s="15"/>
      <c r="C88" s="15"/>
      <c r="D88" s="15"/>
      <c r="E88" s="18"/>
      <c r="F88" s="18"/>
      <c r="G88" s="15"/>
      <c r="H88" s="15"/>
      <c r="I88" s="16" t="str">
        <f aca="true">IF(A88="","",IF(COUNTIF(Ref_CTRL!$A$2:$A$201,B88)=0,"CTRL not in W05",IF(COUNTIF(SoD_Rules!$A$5:$A$204,C88)=0,"SOD-ID not defined",IF(AND(F88&lt;&gt;"",F88&lt;TODAY()),"Expired mitigation",IF(H88="N","Mitigating control failed testing",IF(H88="Pending","OK (test pending)","OK"))))))</f>
        <v/>
      </c>
    </row>
    <row r="89" customFormat="false" ht="15" hidden="false" customHeight="false" outlineLevel="0" collapsed="false">
      <c r="A89" s="15"/>
      <c r="B89" s="15"/>
      <c r="C89" s="15"/>
      <c r="D89" s="15"/>
      <c r="E89" s="18"/>
      <c r="F89" s="18"/>
      <c r="G89" s="15"/>
      <c r="H89" s="15"/>
      <c r="I89" s="16" t="str">
        <f aca="true">IF(A89="","",IF(COUNTIF(Ref_CTRL!$A$2:$A$201,B89)=0,"CTRL not in W05",IF(COUNTIF(SoD_Rules!$A$5:$A$204,C89)=0,"SOD-ID not defined",IF(AND(F89&lt;&gt;"",F89&lt;TODAY()),"Expired mitigation",IF(H89="N","Mitigating control failed testing",IF(H89="Pending","OK (test pending)","OK"))))))</f>
        <v/>
      </c>
    </row>
    <row r="90" customFormat="false" ht="15" hidden="false" customHeight="false" outlineLevel="0" collapsed="false">
      <c r="A90" s="15"/>
      <c r="B90" s="15"/>
      <c r="C90" s="15"/>
      <c r="D90" s="15"/>
      <c r="E90" s="18"/>
      <c r="F90" s="18"/>
      <c r="G90" s="15"/>
      <c r="H90" s="15"/>
      <c r="I90" s="16" t="str">
        <f aca="true">IF(A90="","",IF(COUNTIF(Ref_CTRL!$A$2:$A$201,B90)=0,"CTRL not in W05",IF(COUNTIF(SoD_Rules!$A$5:$A$204,C90)=0,"SOD-ID not defined",IF(AND(F90&lt;&gt;"",F90&lt;TODAY()),"Expired mitigation",IF(H90="N","Mitigating control failed testing",IF(H90="Pending","OK (test pending)","OK"))))))</f>
        <v/>
      </c>
    </row>
    <row r="91" customFormat="false" ht="15" hidden="false" customHeight="false" outlineLevel="0" collapsed="false">
      <c r="A91" s="15"/>
      <c r="B91" s="15"/>
      <c r="C91" s="15"/>
      <c r="D91" s="15"/>
      <c r="E91" s="18"/>
      <c r="F91" s="18"/>
      <c r="G91" s="15"/>
      <c r="H91" s="15"/>
      <c r="I91" s="16" t="str">
        <f aca="true">IF(A91="","",IF(COUNTIF(Ref_CTRL!$A$2:$A$201,B91)=0,"CTRL not in W05",IF(COUNTIF(SoD_Rules!$A$5:$A$204,C91)=0,"SOD-ID not defined",IF(AND(F91&lt;&gt;"",F91&lt;TODAY()),"Expired mitigation",IF(H91="N","Mitigating control failed testing",IF(H91="Pending","OK (test pending)","OK"))))))</f>
        <v/>
      </c>
    </row>
    <row r="92" customFormat="false" ht="15" hidden="false" customHeight="false" outlineLevel="0" collapsed="false">
      <c r="A92" s="15"/>
      <c r="B92" s="15"/>
      <c r="C92" s="15"/>
      <c r="D92" s="15"/>
      <c r="E92" s="18"/>
      <c r="F92" s="18"/>
      <c r="G92" s="15"/>
      <c r="H92" s="15"/>
      <c r="I92" s="16" t="str">
        <f aca="true">IF(A92="","",IF(COUNTIF(Ref_CTRL!$A$2:$A$201,B92)=0,"CTRL not in W05",IF(COUNTIF(SoD_Rules!$A$5:$A$204,C92)=0,"SOD-ID not defined",IF(AND(F92&lt;&gt;"",F92&lt;TODAY()),"Expired mitigation",IF(H92="N","Mitigating control failed testing",IF(H92="Pending","OK (test pending)","OK"))))))</f>
        <v/>
      </c>
    </row>
    <row r="93" customFormat="false" ht="15" hidden="false" customHeight="false" outlineLevel="0" collapsed="false">
      <c r="A93" s="15"/>
      <c r="B93" s="15"/>
      <c r="C93" s="15"/>
      <c r="D93" s="15"/>
      <c r="E93" s="18"/>
      <c r="F93" s="18"/>
      <c r="G93" s="15"/>
      <c r="H93" s="15"/>
      <c r="I93" s="16" t="str">
        <f aca="true">IF(A93="","",IF(COUNTIF(Ref_CTRL!$A$2:$A$201,B93)=0,"CTRL not in W05",IF(COUNTIF(SoD_Rules!$A$5:$A$204,C93)=0,"SOD-ID not defined",IF(AND(F93&lt;&gt;"",F93&lt;TODAY()),"Expired mitigation",IF(H93="N","Mitigating control failed testing",IF(H93="Pending","OK (test pending)","OK"))))))</f>
        <v/>
      </c>
    </row>
    <row r="94" customFormat="false" ht="15" hidden="false" customHeight="false" outlineLevel="0" collapsed="false">
      <c r="A94" s="15"/>
      <c r="B94" s="15"/>
      <c r="C94" s="15"/>
      <c r="D94" s="15"/>
      <c r="E94" s="18"/>
      <c r="F94" s="18"/>
      <c r="G94" s="15"/>
      <c r="H94" s="15"/>
      <c r="I94" s="16" t="str">
        <f aca="true">IF(A94="","",IF(COUNTIF(Ref_CTRL!$A$2:$A$201,B94)=0,"CTRL not in W05",IF(COUNTIF(SoD_Rules!$A$5:$A$204,C94)=0,"SOD-ID not defined",IF(AND(F94&lt;&gt;"",F94&lt;TODAY()),"Expired mitigation",IF(H94="N","Mitigating control failed testing",IF(H94="Pending","OK (test pending)","OK"))))))</f>
        <v/>
      </c>
    </row>
    <row r="95" customFormat="false" ht="15" hidden="false" customHeight="false" outlineLevel="0" collapsed="false">
      <c r="A95" s="15"/>
      <c r="B95" s="15"/>
      <c r="C95" s="15"/>
      <c r="D95" s="15"/>
      <c r="E95" s="18"/>
      <c r="F95" s="18"/>
      <c r="G95" s="15"/>
      <c r="H95" s="15"/>
      <c r="I95" s="16" t="str">
        <f aca="true">IF(A95="","",IF(COUNTIF(Ref_CTRL!$A$2:$A$201,B95)=0,"CTRL not in W05",IF(COUNTIF(SoD_Rules!$A$5:$A$204,C95)=0,"SOD-ID not defined",IF(AND(F95&lt;&gt;"",F95&lt;TODAY()),"Expired mitigation",IF(H95="N","Mitigating control failed testing",IF(H95="Pending","OK (test pending)","OK"))))))</f>
        <v/>
      </c>
    </row>
    <row r="96" customFormat="false" ht="15" hidden="false" customHeight="false" outlineLevel="0" collapsed="false">
      <c r="A96" s="15"/>
      <c r="B96" s="15"/>
      <c r="C96" s="15"/>
      <c r="D96" s="15"/>
      <c r="E96" s="18"/>
      <c r="F96" s="18"/>
      <c r="G96" s="15"/>
      <c r="H96" s="15"/>
      <c r="I96" s="16" t="str">
        <f aca="true">IF(A96="","",IF(COUNTIF(Ref_CTRL!$A$2:$A$201,B96)=0,"CTRL not in W05",IF(COUNTIF(SoD_Rules!$A$5:$A$204,C96)=0,"SOD-ID not defined",IF(AND(F96&lt;&gt;"",F96&lt;TODAY()),"Expired mitigation",IF(H96="N","Mitigating control failed testing",IF(H96="Pending","OK (test pending)","OK"))))))</f>
        <v/>
      </c>
    </row>
    <row r="97" customFormat="false" ht="15" hidden="false" customHeight="false" outlineLevel="0" collapsed="false">
      <c r="A97" s="15"/>
      <c r="B97" s="15"/>
      <c r="C97" s="15"/>
      <c r="D97" s="15"/>
      <c r="E97" s="18"/>
      <c r="F97" s="18"/>
      <c r="G97" s="15"/>
      <c r="H97" s="15"/>
      <c r="I97" s="16" t="str">
        <f aca="true">IF(A97="","",IF(COUNTIF(Ref_CTRL!$A$2:$A$201,B97)=0,"CTRL not in W05",IF(COUNTIF(SoD_Rules!$A$5:$A$204,C97)=0,"SOD-ID not defined",IF(AND(F97&lt;&gt;"",F97&lt;TODAY()),"Expired mitigation",IF(H97="N","Mitigating control failed testing",IF(H97="Pending","OK (test pending)","OK"))))))</f>
        <v/>
      </c>
    </row>
    <row r="98" customFormat="false" ht="15" hidden="false" customHeight="false" outlineLevel="0" collapsed="false">
      <c r="A98" s="15"/>
      <c r="B98" s="15"/>
      <c r="C98" s="15"/>
      <c r="D98" s="15"/>
      <c r="E98" s="18"/>
      <c r="F98" s="18"/>
      <c r="G98" s="15"/>
      <c r="H98" s="15"/>
      <c r="I98" s="16" t="str">
        <f aca="true">IF(A98="","",IF(COUNTIF(Ref_CTRL!$A$2:$A$201,B98)=0,"CTRL not in W05",IF(COUNTIF(SoD_Rules!$A$5:$A$204,C98)=0,"SOD-ID not defined",IF(AND(F98&lt;&gt;"",F98&lt;TODAY()),"Expired mitigation",IF(H98="N","Mitigating control failed testing",IF(H98="Pending","OK (test pending)","OK"))))))</f>
        <v/>
      </c>
    </row>
    <row r="99" customFormat="false" ht="15" hidden="false" customHeight="false" outlineLevel="0" collapsed="false">
      <c r="A99" s="15"/>
      <c r="B99" s="15"/>
      <c r="C99" s="15"/>
      <c r="D99" s="15"/>
      <c r="E99" s="18"/>
      <c r="F99" s="18"/>
      <c r="G99" s="15"/>
      <c r="H99" s="15"/>
      <c r="I99" s="16" t="str">
        <f aca="true">IF(A99="","",IF(COUNTIF(Ref_CTRL!$A$2:$A$201,B99)=0,"CTRL not in W05",IF(COUNTIF(SoD_Rules!$A$5:$A$204,C99)=0,"SOD-ID not defined",IF(AND(F99&lt;&gt;"",F99&lt;TODAY()),"Expired mitigation",IF(H99="N","Mitigating control failed testing",IF(H99="Pending","OK (test pending)","OK"))))))</f>
        <v/>
      </c>
    </row>
    <row r="100" customFormat="false" ht="15" hidden="false" customHeight="false" outlineLevel="0" collapsed="false">
      <c r="A100" s="15"/>
      <c r="B100" s="15"/>
      <c r="C100" s="15"/>
      <c r="D100" s="15"/>
      <c r="E100" s="18"/>
      <c r="F100" s="18"/>
      <c r="G100" s="15"/>
      <c r="H100" s="15"/>
      <c r="I100" s="16" t="str">
        <f aca="true">IF(A100="","",IF(COUNTIF(Ref_CTRL!$A$2:$A$201,B100)=0,"CTRL not in W05",IF(COUNTIF(SoD_Rules!$A$5:$A$204,C100)=0,"SOD-ID not defined",IF(AND(F100&lt;&gt;"",F100&lt;TODAY()),"Expired mitigation",IF(H100="N","Mitigating control failed testing",IF(H100="Pending","OK (test pending)","OK"))))))</f>
        <v/>
      </c>
    </row>
    <row r="101" customFormat="false" ht="15" hidden="false" customHeight="false" outlineLevel="0" collapsed="false">
      <c r="A101" s="15"/>
      <c r="B101" s="15"/>
      <c r="C101" s="15"/>
      <c r="D101" s="15"/>
      <c r="E101" s="18"/>
      <c r="F101" s="18"/>
      <c r="G101" s="15"/>
      <c r="H101" s="15"/>
      <c r="I101" s="16" t="str">
        <f aca="true">IF(A101="","",IF(COUNTIF(Ref_CTRL!$A$2:$A$201,B101)=0,"CTRL not in W05",IF(COUNTIF(SoD_Rules!$A$5:$A$204,C101)=0,"SOD-ID not defined",IF(AND(F101&lt;&gt;"",F101&lt;TODAY()),"Expired mitigation",IF(H101="N","Mitigating control failed testing",IF(H101="Pending","OK (test pending)","OK"))))))</f>
        <v/>
      </c>
    </row>
    <row r="102" customFormat="false" ht="15" hidden="false" customHeight="false" outlineLevel="0" collapsed="false">
      <c r="A102" s="15"/>
      <c r="B102" s="15"/>
      <c r="C102" s="15"/>
      <c r="D102" s="15"/>
      <c r="E102" s="18"/>
      <c r="F102" s="18"/>
      <c r="G102" s="15"/>
      <c r="H102" s="15"/>
      <c r="I102" s="16" t="str">
        <f aca="true">IF(A102="","",IF(COUNTIF(Ref_CTRL!$A$2:$A$201,B102)=0,"CTRL not in W05",IF(COUNTIF(SoD_Rules!$A$5:$A$204,C102)=0,"SOD-ID not defined",IF(AND(F102&lt;&gt;"",F102&lt;TODAY()),"Expired mitigation",IF(H102="N","Mitigating control failed testing",IF(H102="Pending","OK (test pending)","OK"))))))</f>
        <v/>
      </c>
    </row>
    <row r="103" customFormat="false" ht="15" hidden="false" customHeight="false" outlineLevel="0" collapsed="false">
      <c r="A103" s="15"/>
      <c r="B103" s="15"/>
      <c r="C103" s="15"/>
      <c r="D103" s="15"/>
      <c r="E103" s="18"/>
      <c r="F103" s="18"/>
      <c r="G103" s="15"/>
      <c r="H103" s="15"/>
      <c r="I103" s="16" t="str">
        <f aca="true">IF(A103="","",IF(COUNTIF(Ref_CTRL!$A$2:$A$201,B103)=0,"CTRL not in W05",IF(COUNTIF(SoD_Rules!$A$5:$A$204,C103)=0,"SOD-ID not defined",IF(AND(F103&lt;&gt;"",F103&lt;TODAY()),"Expired mitigation",IF(H103="N","Mitigating control failed testing",IF(H103="Pending","OK (test pending)","OK"))))))</f>
        <v/>
      </c>
    </row>
    <row r="104" customFormat="false" ht="15" hidden="false" customHeight="false" outlineLevel="0" collapsed="false">
      <c r="A104" s="15"/>
      <c r="B104" s="15"/>
      <c r="C104" s="15"/>
      <c r="D104" s="15"/>
      <c r="E104" s="18"/>
      <c r="F104" s="18"/>
      <c r="G104" s="15"/>
      <c r="H104" s="15"/>
      <c r="I104" s="16" t="str">
        <f aca="true">IF(A104="","",IF(COUNTIF(Ref_CTRL!$A$2:$A$201,B104)=0,"CTRL not in W05",IF(COUNTIF(SoD_Rules!$A$5:$A$204,C104)=0,"SOD-ID not defined",IF(AND(F104&lt;&gt;"",F104&lt;TODAY()),"Expired mitigation",IF(H104="N","Mitigating control failed testing",IF(H104="Pending","OK (test pending)","OK"))))))</f>
        <v/>
      </c>
    </row>
    <row r="105" customFormat="false" ht="15" hidden="false" customHeight="false" outlineLevel="0" collapsed="false">
      <c r="A105" s="15"/>
      <c r="B105" s="15"/>
      <c r="C105" s="15"/>
      <c r="D105" s="15"/>
      <c r="E105" s="18"/>
      <c r="F105" s="18"/>
      <c r="G105" s="15"/>
      <c r="H105" s="15"/>
      <c r="I105" s="16" t="str">
        <f aca="true">IF(A105="","",IF(COUNTIF(Ref_CTRL!$A$2:$A$201,B105)=0,"CTRL not in W05",IF(COUNTIF(SoD_Rules!$A$5:$A$204,C105)=0,"SOD-ID not defined",IF(AND(F105&lt;&gt;"",F105&lt;TODAY()),"Expired mitigation",IF(H105="N","Mitigating control failed testing",IF(H105="Pending","OK (test pending)","OK"))))))</f>
        <v/>
      </c>
    </row>
    <row r="106" customFormat="false" ht="15" hidden="false" customHeight="false" outlineLevel="0" collapsed="false">
      <c r="A106" s="15"/>
      <c r="B106" s="15"/>
      <c r="C106" s="15"/>
      <c r="D106" s="15"/>
      <c r="E106" s="18"/>
      <c r="F106" s="18"/>
      <c r="G106" s="15"/>
      <c r="H106" s="15"/>
      <c r="I106" s="16" t="str">
        <f aca="true">IF(A106="","",IF(COUNTIF(Ref_CTRL!$A$2:$A$201,B106)=0,"CTRL not in W05",IF(COUNTIF(SoD_Rules!$A$5:$A$204,C106)=0,"SOD-ID not defined",IF(AND(F106&lt;&gt;"",F106&lt;TODAY()),"Expired mitigation",IF(H106="N","Mitigating control failed testing",IF(H106="Pending","OK (test pending)","OK"))))))</f>
        <v/>
      </c>
    </row>
    <row r="107" customFormat="false" ht="15" hidden="false" customHeight="false" outlineLevel="0" collapsed="false">
      <c r="A107" s="15"/>
      <c r="B107" s="15"/>
      <c r="C107" s="15"/>
      <c r="D107" s="15"/>
      <c r="E107" s="18"/>
      <c r="F107" s="18"/>
      <c r="G107" s="15"/>
      <c r="H107" s="15"/>
      <c r="I107" s="16" t="str">
        <f aca="true">IF(A107="","",IF(COUNTIF(Ref_CTRL!$A$2:$A$201,B107)=0,"CTRL not in W05",IF(COUNTIF(SoD_Rules!$A$5:$A$204,C107)=0,"SOD-ID not defined",IF(AND(F107&lt;&gt;"",F107&lt;TODAY()),"Expired mitigation",IF(H107="N","Mitigating control failed testing",IF(H107="Pending","OK (test pending)","OK"))))))</f>
        <v/>
      </c>
    </row>
    <row r="108" customFormat="false" ht="15" hidden="false" customHeight="false" outlineLevel="0" collapsed="false">
      <c r="A108" s="15"/>
      <c r="B108" s="15"/>
      <c r="C108" s="15"/>
      <c r="D108" s="15"/>
      <c r="E108" s="18"/>
      <c r="F108" s="18"/>
      <c r="G108" s="15"/>
      <c r="H108" s="15"/>
      <c r="I108" s="16" t="str">
        <f aca="true">IF(A108="","",IF(COUNTIF(Ref_CTRL!$A$2:$A$201,B108)=0,"CTRL not in W05",IF(COUNTIF(SoD_Rules!$A$5:$A$204,C108)=0,"SOD-ID not defined",IF(AND(F108&lt;&gt;"",F108&lt;TODAY()),"Expired mitigation",IF(H108="N","Mitigating control failed testing",IF(H108="Pending","OK (test pending)","OK"))))))</f>
        <v/>
      </c>
    </row>
    <row r="109" customFormat="false" ht="15" hidden="false" customHeight="false" outlineLevel="0" collapsed="false">
      <c r="A109" s="15"/>
      <c r="B109" s="15"/>
      <c r="C109" s="15"/>
      <c r="D109" s="15"/>
      <c r="E109" s="18"/>
      <c r="F109" s="18"/>
      <c r="G109" s="15"/>
      <c r="H109" s="15"/>
      <c r="I109" s="16" t="str">
        <f aca="true">IF(A109="","",IF(COUNTIF(Ref_CTRL!$A$2:$A$201,B109)=0,"CTRL not in W05",IF(COUNTIF(SoD_Rules!$A$5:$A$204,C109)=0,"SOD-ID not defined",IF(AND(F109&lt;&gt;"",F109&lt;TODAY()),"Expired mitigation",IF(H109="N","Mitigating control failed testing",IF(H109="Pending","OK (test pending)","OK"))))))</f>
        <v/>
      </c>
    </row>
    <row r="110" customFormat="false" ht="15" hidden="false" customHeight="false" outlineLevel="0" collapsed="false">
      <c r="A110" s="15"/>
      <c r="B110" s="15"/>
      <c r="C110" s="15"/>
      <c r="D110" s="15"/>
      <c r="E110" s="18"/>
      <c r="F110" s="18"/>
      <c r="G110" s="15"/>
      <c r="H110" s="15"/>
      <c r="I110" s="16" t="str">
        <f aca="true">IF(A110="","",IF(COUNTIF(Ref_CTRL!$A$2:$A$201,B110)=0,"CTRL not in W05",IF(COUNTIF(SoD_Rules!$A$5:$A$204,C110)=0,"SOD-ID not defined",IF(AND(F110&lt;&gt;"",F110&lt;TODAY()),"Expired mitigation",IF(H110="N","Mitigating control failed testing",IF(H110="Pending","OK (test pending)","OK"))))))</f>
        <v/>
      </c>
    </row>
    <row r="111" customFormat="false" ht="15" hidden="false" customHeight="false" outlineLevel="0" collapsed="false">
      <c r="A111" s="15"/>
      <c r="B111" s="15"/>
      <c r="C111" s="15"/>
      <c r="D111" s="15"/>
      <c r="E111" s="18"/>
      <c r="F111" s="18"/>
      <c r="G111" s="15"/>
      <c r="H111" s="15"/>
      <c r="I111" s="16" t="str">
        <f aca="true">IF(A111="","",IF(COUNTIF(Ref_CTRL!$A$2:$A$201,B111)=0,"CTRL not in W05",IF(COUNTIF(SoD_Rules!$A$5:$A$204,C111)=0,"SOD-ID not defined",IF(AND(F111&lt;&gt;"",F111&lt;TODAY()),"Expired mitigation",IF(H111="N","Mitigating control failed testing",IF(H111="Pending","OK (test pending)","OK"))))))</f>
        <v/>
      </c>
    </row>
    <row r="112" customFormat="false" ht="15" hidden="false" customHeight="false" outlineLevel="0" collapsed="false">
      <c r="A112" s="15"/>
      <c r="B112" s="15"/>
      <c r="C112" s="15"/>
      <c r="D112" s="15"/>
      <c r="E112" s="18"/>
      <c r="F112" s="18"/>
      <c r="G112" s="15"/>
      <c r="H112" s="15"/>
      <c r="I112" s="16" t="str">
        <f aca="true">IF(A112="","",IF(COUNTIF(Ref_CTRL!$A$2:$A$201,B112)=0,"CTRL not in W05",IF(COUNTIF(SoD_Rules!$A$5:$A$204,C112)=0,"SOD-ID not defined",IF(AND(F112&lt;&gt;"",F112&lt;TODAY()),"Expired mitigation",IF(H112="N","Mitigating control failed testing",IF(H112="Pending","OK (test pending)","OK"))))))</f>
        <v/>
      </c>
    </row>
    <row r="113" customFormat="false" ht="15" hidden="false" customHeight="false" outlineLevel="0" collapsed="false">
      <c r="A113" s="15"/>
      <c r="B113" s="15"/>
      <c r="C113" s="15"/>
      <c r="D113" s="15"/>
      <c r="E113" s="18"/>
      <c r="F113" s="18"/>
      <c r="G113" s="15"/>
      <c r="H113" s="15"/>
      <c r="I113" s="16" t="str">
        <f aca="true">IF(A113="","",IF(COUNTIF(Ref_CTRL!$A$2:$A$201,B113)=0,"CTRL not in W05",IF(COUNTIF(SoD_Rules!$A$5:$A$204,C113)=0,"SOD-ID not defined",IF(AND(F113&lt;&gt;"",F113&lt;TODAY()),"Expired mitigation",IF(H113="N","Mitigating control failed testing",IF(H113="Pending","OK (test pending)","OK"))))))</f>
        <v/>
      </c>
    </row>
    <row r="114" customFormat="false" ht="15" hidden="false" customHeight="false" outlineLevel="0" collapsed="false">
      <c r="A114" s="15"/>
      <c r="B114" s="15"/>
      <c r="C114" s="15"/>
      <c r="D114" s="15"/>
      <c r="E114" s="18"/>
      <c r="F114" s="18"/>
      <c r="G114" s="15"/>
      <c r="H114" s="15"/>
      <c r="I114" s="16" t="str">
        <f aca="true">IF(A114="","",IF(COUNTIF(Ref_CTRL!$A$2:$A$201,B114)=0,"CTRL not in W05",IF(COUNTIF(SoD_Rules!$A$5:$A$204,C114)=0,"SOD-ID not defined",IF(AND(F114&lt;&gt;"",F114&lt;TODAY()),"Expired mitigation",IF(H114="N","Mitigating control failed testing",IF(H114="Pending","OK (test pending)","OK"))))))</f>
        <v/>
      </c>
    </row>
    <row r="115" customFormat="false" ht="15" hidden="false" customHeight="false" outlineLevel="0" collapsed="false">
      <c r="A115" s="15"/>
      <c r="B115" s="15"/>
      <c r="C115" s="15"/>
      <c r="D115" s="15"/>
      <c r="E115" s="18"/>
      <c r="F115" s="18"/>
      <c r="G115" s="15"/>
      <c r="H115" s="15"/>
      <c r="I115" s="16" t="str">
        <f aca="true">IF(A115="","",IF(COUNTIF(Ref_CTRL!$A$2:$A$201,B115)=0,"CTRL not in W05",IF(COUNTIF(SoD_Rules!$A$5:$A$204,C115)=0,"SOD-ID not defined",IF(AND(F115&lt;&gt;"",F115&lt;TODAY()),"Expired mitigation",IF(H115="N","Mitigating control failed testing",IF(H115="Pending","OK (test pending)","OK"))))))</f>
        <v/>
      </c>
    </row>
    <row r="116" customFormat="false" ht="15" hidden="false" customHeight="false" outlineLevel="0" collapsed="false">
      <c r="A116" s="15"/>
      <c r="B116" s="15"/>
      <c r="C116" s="15"/>
      <c r="D116" s="15"/>
      <c r="E116" s="18"/>
      <c r="F116" s="18"/>
      <c r="G116" s="15"/>
      <c r="H116" s="15"/>
      <c r="I116" s="16" t="str">
        <f aca="true">IF(A116="","",IF(COUNTIF(Ref_CTRL!$A$2:$A$201,B116)=0,"CTRL not in W05",IF(COUNTIF(SoD_Rules!$A$5:$A$204,C116)=0,"SOD-ID not defined",IF(AND(F116&lt;&gt;"",F116&lt;TODAY()),"Expired mitigation",IF(H116="N","Mitigating control failed testing",IF(H116="Pending","OK (test pending)","OK"))))))</f>
        <v/>
      </c>
    </row>
    <row r="117" customFormat="false" ht="15" hidden="false" customHeight="false" outlineLevel="0" collapsed="false">
      <c r="A117" s="15"/>
      <c r="B117" s="15"/>
      <c r="C117" s="15"/>
      <c r="D117" s="15"/>
      <c r="E117" s="18"/>
      <c r="F117" s="18"/>
      <c r="G117" s="15"/>
      <c r="H117" s="15"/>
      <c r="I117" s="16" t="str">
        <f aca="true">IF(A117="","",IF(COUNTIF(Ref_CTRL!$A$2:$A$201,B117)=0,"CTRL not in W05",IF(COUNTIF(SoD_Rules!$A$5:$A$204,C117)=0,"SOD-ID not defined",IF(AND(F117&lt;&gt;"",F117&lt;TODAY()),"Expired mitigation",IF(H117="N","Mitigating control failed testing",IF(H117="Pending","OK (test pending)","OK"))))))</f>
        <v/>
      </c>
    </row>
    <row r="118" customFormat="false" ht="15" hidden="false" customHeight="false" outlineLevel="0" collapsed="false">
      <c r="A118" s="15"/>
      <c r="B118" s="15"/>
      <c r="C118" s="15"/>
      <c r="D118" s="15"/>
      <c r="E118" s="18"/>
      <c r="F118" s="18"/>
      <c r="G118" s="15"/>
      <c r="H118" s="15"/>
      <c r="I118" s="16" t="str">
        <f aca="true">IF(A118="","",IF(COUNTIF(Ref_CTRL!$A$2:$A$201,B118)=0,"CTRL not in W05",IF(COUNTIF(SoD_Rules!$A$5:$A$204,C118)=0,"SOD-ID not defined",IF(AND(F118&lt;&gt;"",F118&lt;TODAY()),"Expired mitigation",IF(H118="N","Mitigating control failed testing",IF(H118="Pending","OK (test pending)","OK"))))))</f>
        <v/>
      </c>
    </row>
    <row r="119" customFormat="false" ht="15" hidden="false" customHeight="false" outlineLevel="0" collapsed="false">
      <c r="A119" s="15"/>
      <c r="B119" s="15"/>
      <c r="C119" s="15"/>
      <c r="D119" s="15"/>
      <c r="E119" s="18"/>
      <c r="F119" s="18"/>
      <c r="G119" s="15"/>
      <c r="H119" s="15"/>
      <c r="I119" s="16" t="str">
        <f aca="true">IF(A119="","",IF(COUNTIF(Ref_CTRL!$A$2:$A$201,B119)=0,"CTRL not in W05",IF(COUNTIF(SoD_Rules!$A$5:$A$204,C119)=0,"SOD-ID not defined",IF(AND(F119&lt;&gt;"",F119&lt;TODAY()),"Expired mitigation",IF(H119="N","Mitigating control failed testing",IF(H119="Pending","OK (test pending)","OK"))))))</f>
        <v/>
      </c>
    </row>
    <row r="120" customFormat="false" ht="15" hidden="false" customHeight="false" outlineLevel="0" collapsed="false">
      <c r="A120" s="15"/>
      <c r="B120" s="15"/>
      <c r="C120" s="15"/>
      <c r="D120" s="15"/>
      <c r="E120" s="18"/>
      <c r="F120" s="18"/>
      <c r="G120" s="15"/>
      <c r="H120" s="15"/>
      <c r="I120" s="16" t="str">
        <f aca="true">IF(A120="","",IF(COUNTIF(Ref_CTRL!$A$2:$A$201,B120)=0,"CTRL not in W05",IF(COUNTIF(SoD_Rules!$A$5:$A$204,C120)=0,"SOD-ID not defined",IF(AND(F120&lt;&gt;"",F120&lt;TODAY()),"Expired mitigation",IF(H120="N","Mitigating control failed testing",IF(H120="Pending","OK (test pending)","OK"))))))</f>
        <v/>
      </c>
    </row>
    <row r="121" customFormat="false" ht="15" hidden="false" customHeight="false" outlineLevel="0" collapsed="false">
      <c r="A121" s="15"/>
      <c r="B121" s="15"/>
      <c r="C121" s="15"/>
      <c r="D121" s="15"/>
      <c r="E121" s="18"/>
      <c r="F121" s="18"/>
      <c r="G121" s="15"/>
      <c r="H121" s="15"/>
      <c r="I121" s="16" t="str">
        <f aca="true">IF(A121="","",IF(COUNTIF(Ref_CTRL!$A$2:$A$201,B121)=0,"CTRL not in W05",IF(COUNTIF(SoD_Rules!$A$5:$A$204,C121)=0,"SOD-ID not defined",IF(AND(F121&lt;&gt;"",F121&lt;TODAY()),"Expired mitigation",IF(H121="N","Mitigating control failed testing",IF(H121="Pending","OK (test pending)","OK"))))))</f>
        <v/>
      </c>
    </row>
    <row r="122" customFormat="false" ht="15" hidden="false" customHeight="false" outlineLevel="0" collapsed="false">
      <c r="A122" s="15"/>
      <c r="B122" s="15"/>
      <c r="C122" s="15"/>
      <c r="D122" s="15"/>
      <c r="E122" s="18"/>
      <c r="F122" s="18"/>
      <c r="G122" s="15"/>
      <c r="H122" s="15"/>
      <c r="I122" s="16" t="str">
        <f aca="true">IF(A122="","",IF(COUNTIF(Ref_CTRL!$A$2:$A$201,B122)=0,"CTRL not in W05",IF(COUNTIF(SoD_Rules!$A$5:$A$204,C122)=0,"SOD-ID not defined",IF(AND(F122&lt;&gt;"",F122&lt;TODAY()),"Expired mitigation",IF(H122="N","Mitigating control failed testing",IF(H122="Pending","OK (test pending)","OK"))))))</f>
        <v/>
      </c>
    </row>
    <row r="123" customFormat="false" ht="15" hidden="false" customHeight="false" outlineLevel="0" collapsed="false">
      <c r="A123" s="15"/>
      <c r="B123" s="15"/>
      <c r="C123" s="15"/>
      <c r="D123" s="15"/>
      <c r="E123" s="18"/>
      <c r="F123" s="18"/>
      <c r="G123" s="15"/>
      <c r="H123" s="15"/>
      <c r="I123" s="16" t="str">
        <f aca="true">IF(A123="","",IF(COUNTIF(Ref_CTRL!$A$2:$A$201,B123)=0,"CTRL not in W05",IF(COUNTIF(SoD_Rules!$A$5:$A$204,C123)=0,"SOD-ID not defined",IF(AND(F123&lt;&gt;"",F123&lt;TODAY()),"Expired mitigation",IF(H123="N","Mitigating control failed testing",IF(H123="Pending","OK (test pending)","OK"))))))</f>
        <v/>
      </c>
    </row>
    <row r="124" customFormat="false" ht="15" hidden="false" customHeight="false" outlineLevel="0" collapsed="false">
      <c r="A124" s="15"/>
      <c r="B124" s="15"/>
      <c r="C124" s="15"/>
      <c r="D124" s="15"/>
      <c r="E124" s="18"/>
      <c r="F124" s="18"/>
      <c r="G124" s="15"/>
      <c r="H124" s="15"/>
      <c r="I124" s="16" t="str">
        <f aca="true">IF(A124="","",IF(COUNTIF(Ref_CTRL!$A$2:$A$201,B124)=0,"CTRL not in W05",IF(COUNTIF(SoD_Rules!$A$5:$A$204,C124)=0,"SOD-ID not defined",IF(AND(F124&lt;&gt;"",F124&lt;TODAY()),"Expired mitigation",IF(H124="N","Mitigating control failed testing",IF(H124="Pending","OK (test pending)","OK"))))))</f>
        <v/>
      </c>
    </row>
    <row r="125" customFormat="false" ht="15" hidden="false" customHeight="false" outlineLevel="0" collapsed="false">
      <c r="A125" s="15"/>
      <c r="B125" s="15"/>
      <c r="C125" s="15"/>
      <c r="D125" s="15"/>
      <c r="E125" s="18"/>
      <c r="F125" s="18"/>
      <c r="G125" s="15"/>
      <c r="H125" s="15"/>
      <c r="I125" s="16" t="str">
        <f aca="true">IF(A125="","",IF(COUNTIF(Ref_CTRL!$A$2:$A$201,B125)=0,"CTRL not in W05",IF(COUNTIF(SoD_Rules!$A$5:$A$204,C125)=0,"SOD-ID not defined",IF(AND(F125&lt;&gt;"",F125&lt;TODAY()),"Expired mitigation",IF(H125="N","Mitigating control failed testing",IF(H125="Pending","OK (test pending)","OK"))))))</f>
        <v/>
      </c>
    </row>
    <row r="126" customFormat="false" ht="15" hidden="false" customHeight="false" outlineLevel="0" collapsed="false">
      <c r="A126" s="15"/>
      <c r="B126" s="15"/>
      <c r="C126" s="15"/>
      <c r="D126" s="15"/>
      <c r="E126" s="18"/>
      <c r="F126" s="18"/>
      <c r="G126" s="15"/>
      <c r="H126" s="15"/>
      <c r="I126" s="16" t="str">
        <f aca="true">IF(A126="","",IF(COUNTIF(Ref_CTRL!$A$2:$A$201,B126)=0,"CTRL not in W05",IF(COUNTIF(SoD_Rules!$A$5:$A$204,C126)=0,"SOD-ID not defined",IF(AND(F126&lt;&gt;"",F126&lt;TODAY()),"Expired mitigation",IF(H126="N","Mitigating control failed testing",IF(H126="Pending","OK (test pending)","OK"))))))</f>
        <v/>
      </c>
    </row>
    <row r="127" customFormat="false" ht="15" hidden="false" customHeight="false" outlineLevel="0" collapsed="false">
      <c r="A127" s="15"/>
      <c r="B127" s="15"/>
      <c r="C127" s="15"/>
      <c r="D127" s="15"/>
      <c r="E127" s="18"/>
      <c r="F127" s="18"/>
      <c r="G127" s="15"/>
      <c r="H127" s="15"/>
      <c r="I127" s="16" t="str">
        <f aca="true">IF(A127="","",IF(COUNTIF(Ref_CTRL!$A$2:$A$201,B127)=0,"CTRL not in W05",IF(COUNTIF(SoD_Rules!$A$5:$A$204,C127)=0,"SOD-ID not defined",IF(AND(F127&lt;&gt;"",F127&lt;TODAY()),"Expired mitigation",IF(H127="N","Mitigating control failed testing",IF(H127="Pending","OK (test pending)","OK"))))))</f>
        <v/>
      </c>
    </row>
    <row r="128" customFormat="false" ht="15" hidden="false" customHeight="false" outlineLevel="0" collapsed="false">
      <c r="A128" s="15"/>
      <c r="B128" s="15"/>
      <c r="C128" s="15"/>
      <c r="D128" s="15"/>
      <c r="E128" s="18"/>
      <c r="F128" s="18"/>
      <c r="G128" s="15"/>
      <c r="H128" s="15"/>
      <c r="I128" s="16" t="str">
        <f aca="true">IF(A128="","",IF(COUNTIF(Ref_CTRL!$A$2:$A$201,B128)=0,"CTRL not in W05",IF(COUNTIF(SoD_Rules!$A$5:$A$204,C128)=0,"SOD-ID not defined",IF(AND(F128&lt;&gt;"",F128&lt;TODAY()),"Expired mitigation",IF(H128="N","Mitigating control failed testing",IF(H128="Pending","OK (test pending)","OK"))))))</f>
        <v/>
      </c>
    </row>
    <row r="129" customFormat="false" ht="15" hidden="false" customHeight="false" outlineLevel="0" collapsed="false">
      <c r="A129" s="15"/>
      <c r="B129" s="15"/>
      <c r="C129" s="15"/>
      <c r="D129" s="15"/>
      <c r="E129" s="18"/>
      <c r="F129" s="18"/>
      <c r="G129" s="15"/>
      <c r="H129" s="15"/>
      <c r="I129" s="16" t="str">
        <f aca="true">IF(A129="","",IF(COUNTIF(Ref_CTRL!$A$2:$A$201,B129)=0,"CTRL not in W05",IF(COUNTIF(SoD_Rules!$A$5:$A$204,C129)=0,"SOD-ID not defined",IF(AND(F129&lt;&gt;"",F129&lt;TODAY()),"Expired mitigation",IF(H129="N","Mitigating control failed testing",IF(H129="Pending","OK (test pending)","OK"))))))</f>
        <v/>
      </c>
    </row>
    <row r="130" customFormat="false" ht="15" hidden="false" customHeight="false" outlineLevel="0" collapsed="false">
      <c r="A130" s="15"/>
      <c r="B130" s="15"/>
      <c r="C130" s="15"/>
      <c r="D130" s="15"/>
      <c r="E130" s="18"/>
      <c r="F130" s="18"/>
      <c r="G130" s="15"/>
      <c r="H130" s="15"/>
      <c r="I130" s="16" t="str">
        <f aca="true">IF(A130="","",IF(COUNTIF(Ref_CTRL!$A$2:$A$201,B130)=0,"CTRL not in W05",IF(COUNTIF(SoD_Rules!$A$5:$A$204,C130)=0,"SOD-ID not defined",IF(AND(F130&lt;&gt;"",F130&lt;TODAY()),"Expired mitigation",IF(H130="N","Mitigating control failed testing",IF(H130="Pending","OK (test pending)","OK"))))))</f>
        <v/>
      </c>
    </row>
    <row r="131" customFormat="false" ht="15" hidden="false" customHeight="false" outlineLevel="0" collapsed="false">
      <c r="A131" s="15"/>
      <c r="B131" s="15"/>
      <c r="C131" s="15"/>
      <c r="D131" s="15"/>
      <c r="E131" s="18"/>
      <c r="F131" s="18"/>
      <c r="G131" s="15"/>
      <c r="H131" s="15"/>
      <c r="I131" s="16" t="str">
        <f aca="true">IF(A131="","",IF(COUNTIF(Ref_CTRL!$A$2:$A$201,B131)=0,"CTRL not in W05",IF(COUNTIF(SoD_Rules!$A$5:$A$204,C131)=0,"SOD-ID not defined",IF(AND(F131&lt;&gt;"",F131&lt;TODAY()),"Expired mitigation",IF(H131="N","Mitigating control failed testing",IF(H131="Pending","OK (test pending)","OK"))))))</f>
        <v/>
      </c>
    </row>
    <row r="132" customFormat="false" ht="15" hidden="false" customHeight="false" outlineLevel="0" collapsed="false">
      <c r="A132" s="15"/>
      <c r="B132" s="15"/>
      <c r="C132" s="15"/>
      <c r="D132" s="15"/>
      <c r="E132" s="18"/>
      <c r="F132" s="18"/>
      <c r="G132" s="15"/>
      <c r="H132" s="15"/>
      <c r="I132" s="16" t="str">
        <f aca="true">IF(A132="","",IF(COUNTIF(Ref_CTRL!$A$2:$A$201,B132)=0,"CTRL not in W05",IF(COUNTIF(SoD_Rules!$A$5:$A$204,C132)=0,"SOD-ID not defined",IF(AND(F132&lt;&gt;"",F132&lt;TODAY()),"Expired mitigation",IF(H132="N","Mitigating control failed testing",IF(H132="Pending","OK (test pending)","OK"))))))</f>
        <v/>
      </c>
    </row>
    <row r="133" customFormat="false" ht="15" hidden="false" customHeight="false" outlineLevel="0" collapsed="false">
      <c r="A133" s="15"/>
      <c r="B133" s="15"/>
      <c r="C133" s="15"/>
      <c r="D133" s="15"/>
      <c r="E133" s="18"/>
      <c r="F133" s="18"/>
      <c r="G133" s="15"/>
      <c r="H133" s="15"/>
      <c r="I133" s="16" t="str">
        <f aca="true">IF(A133="","",IF(COUNTIF(Ref_CTRL!$A$2:$A$201,B133)=0,"CTRL not in W05",IF(COUNTIF(SoD_Rules!$A$5:$A$204,C133)=0,"SOD-ID not defined",IF(AND(F133&lt;&gt;"",F133&lt;TODAY()),"Expired mitigation",IF(H133="N","Mitigating control failed testing",IF(H133="Pending","OK (test pending)","OK"))))))</f>
        <v/>
      </c>
    </row>
    <row r="134" customFormat="false" ht="15" hidden="false" customHeight="false" outlineLevel="0" collapsed="false">
      <c r="A134" s="15"/>
      <c r="B134" s="15"/>
      <c r="C134" s="15"/>
      <c r="D134" s="15"/>
      <c r="E134" s="18"/>
      <c r="F134" s="18"/>
      <c r="G134" s="15"/>
      <c r="H134" s="15"/>
      <c r="I134" s="16" t="str">
        <f aca="true">IF(A134="","",IF(COUNTIF(Ref_CTRL!$A$2:$A$201,B134)=0,"CTRL not in W05",IF(COUNTIF(SoD_Rules!$A$5:$A$204,C134)=0,"SOD-ID not defined",IF(AND(F134&lt;&gt;"",F134&lt;TODAY()),"Expired mitigation",IF(H134="N","Mitigating control failed testing",IF(H134="Pending","OK (test pending)","OK"))))))</f>
        <v/>
      </c>
    </row>
    <row r="135" customFormat="false" ht="15" hidden="false" customHeight="false" outlineLevel="0" collapsed="false">
      <c r="A135" s="15"/>
      <c r="B135" s="15"/>
      <c r="C135" s="15"/>
      <c r="D135" s="15"/>
      <c r="E135" s="18"/>
      <c r="F135" s="18"/>
      <c r="G135" s="15"/>
      <c r="H135" s="15"/>
      <c r="I135" s="16" t="str">
        <f aca="true">IF(A135="","",IF(COUNTIF(Ref_CTRL!$A$2:$A$201,B135)=0,"CTRL not in W05",IF(COUNTIF(SoD_Rules!$A$5:$A$204,C135)=0,"SOD-ID not defined",IF(AND(F135&lt;&gt;"",F135&lt;TODAY()),"Expired mitigation",IF(H135="N","Mitigating control failed testing",IF(H135="Pending","OK (test pending)","OK"))))))</f>
        <v/>
      </c>
    </row>
    <row r="136" customFormat="false" ht="15" hidden="false" customHeight="false" outlineLevel="0" collapsed="false">
      <c r="A136" s="15"/>
      <c r="B136" s="15"/>
      <c r="C136" s="15"/>
      <c r="D136" s="15"/>
      <c r="E136" s="18"/>
      <c r="F136" s="18"/>
      <c r="G136" s="15"/>
      <c r="H136" s="15"/>
      <c r="I136" s="16" t="str">
        <f aca="true">IF(A136="","",IF(COUNTIF(Ref_CTRL!$A$2:$A$201,B136)=0,"CTRL not in W05",IF(COUNTIF(SoD_Rules!$A$5:$A$204,C136)=0,"SOD-ID not defined",IF(AND(F136&lt;&gt;"",F136&lt;TODAY()),"Expired mitigation",IF(H136="N","Mitigating control failed testing",IF(H136="Pending","OK (test pending)","OK"))))))</f>
        <v/>
      </c>
    </row>
    <row r="137" customFormat="false" ht="15" hidden="false" customHeight="false" outlineLevel="0" collapsed="false">
      <c r="A137" s="15"/>
      <c r="B137" s="15"/>
      <c r="C137" s="15"/>
      <c r="D137" s="15"/>
      <c r="E137" s="18"/>
      <c r="F137" s="18"/>
      <c r="G137" s="15"/>
      <c r="H137" s="15"/>
      <c r="I137" s="16" t="str">
        <f aca="true">IF(A137="","",IF(COUNTIF(Ref_CTRL!$A$2:$A$201,B137)=0,"CTRL not in W05",IF(COUNTIF(SoD_Rules!$A$5:$A$204,C137)=0,"SOD-ID not defined",IF(AND(F137&lt;&gt;"",F137&lt;TODAY()),"Expired mitigation",IF(H137="N","Mitigating control failed testing",IF(H137="Pending","OK (test pending)","OK"))))))</f>
        <v/>
      </c>
    </row>
    <row r="138" customFormat="false" ht="15" hidden="false" customHeight="false" outlineLevel="0" collapsed="false">
      <c r="A138" s="15"/>
      <c r="B138" s="15"/>
      <c r="C138" s="15"/>
      <c r="D138" s="15"/>
      <c r="E138" s="18"/>
      <c r="F138" s="18"/>
      <c r="G138" s="15"/>
      <c r="H138" s="15"/>
      <c r="I138" s="16" t="str">
        <f aca="true">IF(A138="","",IF(COUNTIF(Ref_CTRL!$A$2:$A$201,B138)=0,"CTRL not in W05",IF(COUNTIF(SoD_Rules!$A$5:$A$204,C138)=0,"SOD-ID not defined",IF(AND(F138&lt;&gt;"",F138&lt;TODAY()),"Expired mitigation",IF(H138="N","Mitigating control failed testing",IF(H138="Pending","OK (test pending)","OK"))))))</f>
        <v/>
      </c>
    </row>
    <row r="139" customFormat="false" ht="15" hidden="false" customHeight="false" outlineLevel="0" collapsed="false">
      <c r="A139" s="15"/>
      <c r="B139" s="15"/>
      <c r="C139" s="15"/>
      <c r="D139" s="15"/>
      <c r="E139" s="18"/>
      <c r="F139" s="18"/>
      <c r="G139" s="15"/>
      <c r="H139" s="15"/>
      <c r="I139" s="16" t="str">
        <f aca="true">IF(A139="","",IF(COUNTIF(Ref_CTRL!$A$2:$A$201,B139)=0,"CTRL not in W05",IF(COUNTIF(SoD_Rules!$A$5:$A$204,C139)=0,"SOD-ID not defined",IF(AND(F139&lt;&gt;"",F139&lt;TODAY()),"Expired mitigation",IF(H139="N","Mitigating control failed testing",IF(H139="Pending","OK (test pending)","OK"))))))</f>
        <v/>
      </c>
    </row>
    <row r="140" customFormat="false" ht="15" hidden="false" customHeight="false" outlineLevel="0" collapsed="false">
      <c r="A140" s="15"/>
      <c r="B140" s="15"/>
      <c r="C140" s="15"/>
      <c r="D140" s="15"/>
      <c r="E140" s="18"/>
      <c r="F140" s="18"/>
      <c r="G140" s="15"/>
      <c r="H140" s="15"/>
      <c r="I140" s="16" t="str">
        <f aca="true">IF(A140="","",IF(COUNTIF(Ref_CTRL!$A$2:$A$201,B140)=0,"CTRL not in W05",IF(COUNTIF(SoD_Rules!$A$5:$A$204,C140)=0,"SOD-ID not defined",IF(AND(F140&lt;&gt;"",F140&lt;TODAY()),"Expired mitigation",IF(H140="N","Mitigating control failed testing",IF(H140="Pending","OK (test pending)","OK"))))))</f>
        <v/>
      </c>
    </row>
    <row r="141" customFormat="false" ht="15" hidden="false" customHeight="false" outlineLevel="0" collapsed="false">
      <c r="A141" s="15"/>
      <c r="B141" s="15"/>
      <c r="C141" s="15"/>
      <c r="D141" s="15"/>
      <c r="E141" s="18"/>
      <c r="F141" s="18"/>
      <c r="G141" s="15"/>
      <c r="H141" s="15"/>
      <c r="I141" s="16" t="str">
        <f aca="true">IF(A141="","",IF(COUNTIF(Ref_CTRL!$A$2:$A$201,B141)=0,"CTRL not in W05",IF(COUNTIF(SoD_Rules!$A$5:$A$204,C141)=0,"SOD-ID not defined",IF(AND(F141&lt;&gt;"",F141&lt;TODAY()),"Expired mitigation",IF(H141="N","Mitigating control failed testing",IF(H141="Pending","OK (test pending)","OK"))))))</f>
        <v/>
      </c>
    </row>
    <row r="142" customFormat="false" ht="15" hidden="false" customHeight="false" outlineLevel="0" collapsed="false">
      <c r="A142" s="15"/>
      <c r="B142" s="15"/>
      <c r="C142" s="15"/>
      <c r="D142" s="15"/>
      <c r="E142" s="18"/>
      <c r="F142" s="18"/>
      <c r="G142" s="15"/>
      <c r="H142" s="15"/>
      <c r="I142" s="16" t="str">
        <f aca="true">IF(A142="","",IF(COUNTIF(Ref_CTRL!$A$2:$A$201,B142)=0,"CTRL not in W05",IF(COUNTIF(SoD_Rules!$A$5:$A$204,C142)=0,"SOD-ID not defined",IF(AND(F142&lt;&gt;"",F142&lt;TODAY()),"Expired mitigation",IF(H142="N","Mitigating control failed testing",IF(H142="Pending","OK (test pending)","OK"))))))</f>
        <v/>
      </c>
    </row>
    <row r="143" customFormat="false" ht="15" hidden="false" customHeight="false" outlineLevel="0" collapsed="false">
      <c r="A143" s="15"/>
      <c r="B143" s="15"/>
      <c r="C143" s="15"/>
      <c r="D143" s="15"/>
      <c r="E143" s="18"/>
      <c r="F143" s="18"/>
      <c r="G143" s="15"/>
      <c r="H143" s="15"/>
      <c r="I143" s="16" t="str">
        <f aca="true">IF(A143="","",IF(COUNTIF(Ref_CTRL!$A$2:$A$201,B143)=0,"CTRL not in W05",IF(COUNTIF(SoD_Rules!$A$5:$A$204,C143)=0,"SOD-ID not defined",IF(AND(F143&lt;&gt;"",F143&lt;TODAY()),"Expired mitigation",IF(H143="N","Mitigating control failed testing",IF(H143="Pending","OK (test pending)","OK"))))))</f>
        <v/>
      </c>
    </row>
    <row r="144" customFormat="false" ht="15" hidden="false" customHeight="false" outlineLevel="0" collapsed="false">
      <c r="A144" s="15"/>
      <c r="B144" s="15"/>
      <c r="C144" s="15"/>
      <c r="D144" s="15"/>
      <c r="E144" s="18"/>
      <c r="F144" s="18"/>
      <c r="G144" s="15"/>
      <c r="H144" s="15"/>
      <c r="I144" s="16" t="str">
        <f aca="true">IF(A144="","",IF(COUNTIF(Ref_CTRL!$A$2:$A$201,B144)=0,"CTRL not in W05",IF(COUNTIF(SoD_Rules!$A$5:$A$204,C144)=0,"SOD-ID not defined",IF(AND(F144&lt;&gt;"",F144&lt;TODAY()),"Expired mitigation",IF(H144="N","Mitigating control failed testing",IF(H144="Pending","OK (test pending)","OK"))))))</f>
        <v/>
      </c>
    </row>
    <row r="145" customFormat="false" ht="15" hidden="false" customHeight="false" outlineLevel="0" collapsed="false">
      <c r="A145" s="15"/>
      <c r="B145" s="15"/>
      <c r="C145" s="15"/>
      <c r="D145" s="15"/>
      <c r="E145" s="18"/>
      <c r="F145" s="18"/>
      <c r="G145" s="15"/>
      <c r="H145" s="15"/>
      <c r="I145" s="16" t="str">
        <f aca="true">IF(A145="","",IF(COUNTIF(Ref_CTRL!$A$2:$A$201,B145)=0,"CTRL not in W05",IF(COUNTIF(SoD_Rules!$A$5:$A$204,C145)=0,"SOD-ID not defined",IF(AND(F145&lt;&gt;"",F145&lt;TODAY()),"Expired mitigation",IF(H145="N","Mitigating control failed testing",IF(H145="Pending","OK (test pending)","OK"))))))</f>
        <v/>
      </c>
    </row>
    <row r="146" customFormat="false" ht="15" hidden="false" customHeight="false" outlineLevel="0" collapsed="false">
      <c r="A146" s="15"/>
      <c r="B146" s="15"/>
      <c r="C146" s="15"/>
      <c r="D146" s="15"/>
      <c r="E146" s="18"/>
      <c r="F146" s="18"/>
      <c r="G146" s="15"/>
      <c r="H146" s="15"/>
      <c r="I146" s="16" t="str">
        <f aca="true">IF(A146="","",IF(COUNTIF(Ref_CTRL!$A$2:$A$201,B146)=0,"CTRL not in W05",IF(COUNTIF(SoD_Rules!$A$5:$A$204,C146)=0,"SOD-ID not defined",IF(AND(F146&lt;&gt;"",F146&lt;TODAY()),"Expired mitigation",IF(H146="N","Mitigating control failed testing",IF(H146="Pending","OK (test pending)","OK"))))))</f>
        <v/>
      </c>
    </row>
    <row r="147" customFormat="false" ht="15" hidden="false" customHeight="false" outlineLevel="0" collapsed="false">
      <c r="A147" s="15"/>
      <c r="B147" s="15"/>
      <c r="C147" s="15"/>
      <c r="D147" s="15"/>
      <c r="E147" s="18"/>
      <c r="F147" s="18"/>
      <c r="G147" s="15"/>
      <c r="H147" s="15"/>
      <c r="I147" s="16" t="str">
        <f aca="true">IF(A147="","",IF(COUNTIF(Ref_CTRL!$A$2:$A$201,B147)=0,"CTRL not in W05",IF(COUNTIF(SoD_Rules!$A$5:$A$204,C147)=0,"SOD-ID not defined",IF(AND(F147&lt;&gt;"",F147&lt;TODAY()),"Expired mitigation",IF(H147="N","Mitigating control failed testing",IF(H147="Pending","OK (test pending)","OK"))))))</f>
        <v/>
      </c>
    </row>
    <row r="148" customFormat="false" ht="15" hidden="false" customHeight="false" outlineLevel="0" collapsed="false">
      <c r="A148" s="15"/>
      <c r="B148" s="15"/>
      <c r="C148" s="15"/>
      <c r="D148" s="15"/>
      <c r="E148" s="18"/>
      <c r="F148" s="18"/>
      <c r="G148" s="15"/>
      <c r="H148" s="15"/>
      <c r="I148" s="16" t="str">
        <f aca="true">IF(A148="","",IF(COUNTIF(Ref_CTRL!$A$2:$A$201,B148)=0,"CTRL not in W05",IF(COUNTIF(SoD_Rules!$A$5:$A$204,C148)=0,"SOD-ID not defined",IF(AND(F148&lt;&gt;"",F148&lt;TODAY()),"Expired mitigation",IF(H148="N","Mitigating control failed testing",IF(H148="Pending","OK (test pending)","OK"))))))</f>
        <v/>
      </c>
    </row>
    <row r="149" customFormat="false" ht="15" hidden="false" customHeight="false" outlineLevel="0" collapsed="false">
      <c r="A149" s="15"/>
      <c r="B149" s="15"/>
      <c r="C149" s="15"/>
      <c r="D149" s="15"/>
      <c r="E149" s="18"/>
      <c r="F149" s="18"/>
      <c r="G149" s="15"/>
      <c r="H149" s="15"/>
      <c r="I149" s="16" t="str">
        <f aca="true">IF(A149="","",IF(COUNTIF(Ref_CTRL!$A$2:$A$201,B149)=0,"CTRL not in W05",IF(COUNTIF(SoD_Rules!$A$5:$A$204,C149)=0,"SOD-ID not defined",IF(AND(F149&lt;&gt;"",F149&lt;TODAY()),"Expired mitigation",IF(H149="N","Mitigating control failed testing",IF(H149="Pending","OK (test pending)","OK"))))))</f>
        <v/>
      </c>
    </row>
    <row r="150" customFormat="false" ht="15" hidden="false" customHeight="false" outlineLevel="0" collapsed="false">
      <c r="A150" s="15"/>
      <c r="B150" s="15"/>
      <c r="C150" s="15"/>
      <c r="D150" s="15"/>
      <c r="E150" s="18"/>
      <c r="F150" s="18"/>
      <c r="G150" s="15"/>
      <c r="H150" s="15"/>
      <c r="I150" s="16" t="str">
        <f aca="true">IF(A150="","",IF(COUNTIF(Ref_CTRL!$A$2:$A$201,B150)=0,"CTRL not in W05",IF(COUNTIF(SoD_Rules!$A$5:$A$204,C150)=0,"SOD-ID not defined",IF(AND(F150&lt;&gt;"",F150&lt;TODAY()),"Expired mitigation",IF(H150="N","Mitigating control failed testing",IF(H150="Pending","OK (test pending)","OK"))))))</f>
        <v/>
      </c>
    </row>
    <row r="151" customFormat="false" ht="15" hidden="false" customHeight="false" outlineLevel="0" collapsed="false">
      <c r="A151" s="15"/>
      <c r="B151" s="15"/>
      <c r="C151" s="15"/>
      <c r="D151" s="15"/>
      <c r="E151" s="18"/>
      <c r="F151" s="18"/>
      <c r="G151" s="15"/>
      <c r="H151" s="15"/>
      <c r="I151" s="16" t="str">
        <f aca="true">IF(A151="","",IF(COUNTIF(Ref_CTRL!$A$2:$A$201,B151)=0,"CTRL not in W05",IF(COUNTIF(SoD_Rules!$A$5:$A$204,C151)=0,"SOD-ID not defined",IF(AND(F151&lt;&gt;"",F151&lt;TODAY()),"Expired mitigation",IF(H151="N","Mitigating control failed testing",IF(H151="Pending","OK (test pending)","OK"))))))</f>
        <v/>
      </c>
    </row>
    <row r="152" customFormat="false" ht="15" hidden="false" customHeight="false" outlineLevel="0" collapsed="false">
      <c r="A152" s="15"/>
      <c r="B152" s="15"/>
      <c r="C152" s="15"/>
      <c r="D152" s="15"/>
      <c r="E152" s="18"/>
      <c r="F152" s="18"/>
      <c r="G152" s="15"/>
      <c r="H152" s="15"/>
      <c r="I152" s="16" t="str">
        <f aca="true">IF(A152="","",IF(COUNTIF(Ref_CTRL!$A$2:$A$201,B152)=0,"CTRL not in W05",IF(COUNTIF(SoD_Rules!$A$5:$A$204,C152)=0,"SOD-ID not defined",IF(AND(F152&lt;&gt;"",F152&lt;TODAY()),"Expired mitigation",IF(H152="N","Mitigating control failed testing",IF(H152="Pending","OK (test pending)","OK"))))))</f>
        <v/>
      </c>
    </row>
    <row r="153" customFormat="false" ht="15" hidden="false" customHeight="false" outlineLevel="0" collapsed="false">
      <c r="A153" s="15"/>
      <c r="B153" s="15"/>
      <c r="C153" s="15"/>
      <c r="D153" s="15"/>
      <c r="E153" s="18"/>
      <c r="F153" s="18"/>
      <c r="G153" s="15"/>
      <c r="H153" s="15"/>
      <c r="I153" s="16" t="str">
        <f aca="true">IF(A153="","",IF(COUNTIF(Ref_CTRL!$A$2:$A$201,B153)=0,"CTRL not in W05",IF(COUNTIF(SoD_Rules!$A$5:$A$204,C153)=0,"SOD-ID not defined",IF(AND(F153&lt;&gt;"",F153&lt;TODAY()),"Expired mitigation",IF(H153="N","Mitigating control failed testing",IF(H153="Pending","OK (test pending)","OK"))))))</f>
        <v/>
      </c>
    </row>
    <row r="154" customFormat="false" ht="15" hidden="false" customHeight="false" outlineLevel="0" collapsed="false">
      <c r="A154" s="15"/>
      <c r="B154" s="15"/>
      <c r="C154" s="15"/>
      <c r="D154" s="15"/>
      <c r="E154" s="18"/>
      <c r="F154" s="18"/>
      <c r="G154" s="15"/>
      <c r="H154" s="15"/>
      <c r="I154" s="16" t="str">
        <f aca="true">IF(A154="","",IF(COUNTIF(Ref_CTRL!$A$2:$A$201,B154)=0,"CTRL not in W05",IF(COUNTIF(SoD_Rules!$A$5:$A$204,C154)=0,"SOD-ID not defined",IF(AND(F154&lt;&gt;"",F154&lt;TODAY()),"Expired mitigation",IF(H154="N","Mitigating control failed testing",IF(H154="Pending","OK (test pending)","OK"))))))</f>
        <v/>
      </c>
    </row>
    <row r="155" customFormat="false" ht="15" hidden="false" customHeight="false" outlineLevel="0" collapsed="false">
      <c r="A155" s="15"/>
      <c r="B155" s="15"/>
      <c r="C155" s="15"/>
      <c r="D155" s="15"/>
      <c r="E155" s="18"/>
      <c r="F155" s="18"/>
      <c r="G155" s="15"/>
      <c r="H155" s="15"/>
      <c r="I155" s="16" t="str">
        <f aca="true">IF(A155="","",IF(COUNTIF(Ref_CTRL!$A$2:$A$201,B155)=0,"CTRL not in W05",IF(COUNTIF(SoD_Rules!$A$5:$A$204,C155)=0,"SOD-ID not defined",IF(AND(F155&lt;&gt;"",F155&lt;TODAY()),"Expired mitigation",IF(H155="N","Mitigating control failed testing",IF(H155="Pending","OK (test pending)","OK"))))))</f>
        <v/>
      </c>
    </row>
    <row r="156" customFormat="false" ht="15" hidden="false" customHeight="false" outlineLevel="0" collapsed="false">
      <c r="A156" s="15"/>
      <c r="B156" s="15"/>
      <c r="C156" s="15"/>
      <c r="D156" s="15"/>
      <c r="E156" s="18"/>
      <c r="F156" s="18"/>
      <c r="G156" s="15"/>
      <c r="H156" s="15"/>
      <c r="I156" s="16" t="str">
        <f aca="true">IF(A156="","",IF(COUNTIF(Ref_CTRL!$A$2:$A$201,B156)=0,"CTRL not in W05",IF(COUNTIF(SoD_Rules!$A$5:$A$204,C156)=0,"SOD-ID not defined",IF(AND(F156&lt;&gt;"",F156&lt;TODAY()),"Expired mitigation",IF(H156="N","Mitigating control failed testing",IF(H156="Pending","OK (test pending)","OK"))))))</f>
        <v/>
      </c>
    </row>
    <row r="157" customFormat="false" ht="15" hidden="false" customHeight="false" outlineLevel="0" collapsed="false">
      <c r="A157" s="15"/>
      <c r="B157" s="15"/>
      <c r="C157" s="15"/>
      <c r="D157" s="15"/>
      <c r="E157" s="18"/>
      <c r="F157" s="18"/>
      <c r="G157" s="15"/>
      <c r="H157" s="15"/>
      <c r="I157" s="16" t="str">
        <f aca="true">IF(A157="","",IF(COUNTIF(Ref_CTRL!$A$2:$A$201,B157)=0,"CTRL not in W05",IF(COUNTIF(SoD_Rules!$A$5:$A$204,C157)=0,"SOD-ID not defined",IF(AND(F157&lt;&gt;"",F157&lt;TODAY()),"Expired mitigation",IF(H157="N","Mitigating control failed testing",IF(H157="Pending","OK (test pending)","OK"))))))</f>
        <v/>
      </c>
    </row>
    <row r="158" customFormat="false" ht="15" hidden="false" customHeight="false" outlineLevel="0" collapsed="false">
      <c r="A158" s="15"/>
      <c r="B158" s="15"/>
      <c r="C158" s="15"/>
      <c r="D158" s="15"/>
      <c r="E158" s="18"/>
      <c r="F158" s="18"/>
      <c r="G158" s="15"/>
      <c r="H158" s="15"/>
      <c r="I158" s="16" t="str">
        <f aca="true">IF(A158="","",IF(COUNTIF(Ref_CTRL!$A$2:$A$201,B158)=0,"CTRL not in W05",IF(COUNTIF(SoD_Rules!$A$5:$A$204,C158)=0,"SOD-ID not defined",IF(AND(F158&lt;&gt;"",F158&lt;TODAY()),"Expired mitigation",IF(H158="N","Mitigating control failed testing",IF(H158="Pending","OK (test pending)","OK"))))))</f>
        <v/>
      </c>
    </row>
    <row r="159" customFormat="false" ht="15" hidden="false" customHeight="false" outlineLevel="0" collapsed="false">
      <c r="A159" s="15"/>
      <c r="B159" s="15"/>
      <c r="C159" s="15"/>
      <c r="D159" s="15"/>
      <c r="E159" s="18"/>
      <c r="F159" s="18"/>
      <c r="G159" s="15"/>
      <c r="H159" s="15"/>
      <c r="I159" s="16" t="str">
        <f aca="true">IF(A159="","",IF(COUNTIF(Ref_CTRL!$A$2:$A$201,B159)=0,"CTRL not in W05",IF(COUNTIF(SoD_Rules!$A$5:$A$204,C159)=0,"SOD-ID not defined",IF(AND(F159&lt;&gt;"",F159&lt;TODAY()),"Expired mitigation",IF(H159="N","Mitigating control failed testing",IF(H159="Pending","OK (test pending)","OK"))))))</f>
        <v/>
      </c>
    </row>
    <row r="160" customFormat="false" ht="15" hidden="false" customHeight="false" outlineLevel="0" collapsed="false">
      <c r="A160" s="15"/>
      <c r="B160" s="15"/>
      <c r="C160" s="15"/>
      <c r="D160" s="15"/>
      <c r="E160" s="18"/>
      <c r="F160" s="18"/>
      <c r="G160" s="15"/>
      <c r="H160" s="15"/>
      <c r="I160" s="16" t="str">
        <f aca="true">IF(A160="","",IF(COUNTIF(Ref_CTRL!$A$2:$A$201,B160)=0,"CTRL not in W05",IF(COUNTIF(SoD_Rules!$A$5:$A$204,C160)=0,"SOD-ID not defined",IF(AND(F160&lt;&gt;"",F160&lt;TODAY()),"Expired mitigation",IF(H160="N","Mitigating control failed testing",IF(H160="Pending","OK (test pending)","OK"))))))</f>
        <v/>
      </c>
    </row>
    <row r="161" customFormat="false" ht="15" hidden="false" customHeight="false" outlineLevel="0" collapsed="false">
      <c r="A161" s="15"/>
      <c r="B161" s="15"/>
      <c r="C161" s="15"/>
      <c r="D161" s="15"/>
      <c r="E161" s="18"/>
      <c r="F161" s="18"/>
      <c r="G161" s="15"/>
      <c r="H161" s="15"/>
      <c r="I161" s="16" t="str">
        <f aca="true">IF(A161="","",IF(COUNTIF(Ref_CTRL!$A$2:$A$201,B161)=0,"CTRL not in W05",IF(COUNTIF(SoD_Rules!$A$5:$A$204,C161)=0,"SOD-ID not defined",IF(AND(F161&lt;&gt;"",F161&lt;TODAY()),"Expired mitigation",IF(H161="N","Mitigating control failed testing",IF(H161="Pending","OK (test pending)","OK"))))))</f>
        <v/>
      </c>
    </row>
    <row r="162" customFormat="false" ht="15" hidden="false" customHeight="false" outlineLevel="0" collapsed="false">
      <c r="A162" s="15"/>
      <c r="B162" s="15"/>
      <c r="C162" s="15"/>
      <c r="D162" s="15"/>
      <c r="E162" s="18"/>
      <c r="F162" s="18"/>
      <c r="G162" s="15"/>
      <c r="H162" s="15"/>
      <c r="I162" s="16" t="str">
        <f aca="true">IF(A162="","",IF(COUNTIF(Ref_CTRL!$A$2:$A$201,B162)=0,"CTRL not in W05",IF(COUNTIF(SoD_Rules!$A$5:$A$204,C162)=0,"SOD-ID not defined",IF(AND(F162&lt;&gt;"",F162&lt;TODAY()),"Expired mitigation",IF(H162="N","Mitigating control failed testing",IF(H162="Pending","OK (test pending)","OK"))))))</f>
        <v/>
      </c>
    </row>
    <row r="163" customFormat="false" ht="15" hidden="false" customHeight="false" outlineLevel="0" collapsed="false">
      <c r="A163" s="15"/>
      <c r="B163" s="15"/>
      <c r="C163" s="15"/>
      <c r="D163" s="15"/>
      <c r="E163" s="18"/>
      <c r="F163" s="18"/>
      <c r="G163" s="15"/>
      <c r="H163" s="15"/>
      <c r="I163" s="16" t="str">
        <f aca="true">IF(A163="","",IF(COUNTIF(Ref_CTRL!$A$2:$A$201,B163)=0,"CTRL not in W05",IF(COUNTIF(SoD_Rules!$A$5:$A$204,C163)=0,"SOD-ID not defined",IF(AND(F163&lt;&gt;"",F163&lt;TODAY()),"Expired mitigation",IF(H163="N","Mitigating control failed testing",IF(H163="Pending","OK (test pending)","OK"))))))</f>
        <v/>
      </c>
    </row>
    <row r="164" customFormat="false" ht="15" hidden="false" customHeight="false" outlineLevel="0" collapsed="false">
      <c r="A164" s="15"/>
      <c r="B164" s="15"/>
      <c r="C164" s="15"/>
      <c r="D164" s="15"/>
      <c r="E164" s="18"/>
      <c r="F164" s="18"/>
      <c r="G164" s="15"/>
      <c r="H164" s="15"/>
      <c r="I164" s="16" t="str">
        <f aca="true">IF(A164="","",IF(COUNTIF(Ref_CTRL!$A$2:$A$201,B164)=0,"CTRL not in W05",IF(COUNTIF(SoD_Rules!$A$5:$A$204,C164)=0,"SOD-ID not defined",IF(AND(F164&lt;&gt;"",F164&lt;TODAY()),"Expired mitigation",IF(H164="N","Mitigating control failed testing",IF(H164="Pending","OK (test pending)","OK"))))))</f>
        <v/>
      </c>
    </row>
    <row r="165" customFormat="false" ht="15" hidden="false" customHeight="false" outlineLevel="0" collapsed="false">
      <c r="A165" s="15"/>
      <c r="B165" s="15"/>
      <c r="C165" s="15"/>
      <c r="D165" s="15"/>
      <c r="E165" s="18"/>
      <c r="F165" s="18"/>
      <c r="G165" s="15"/>
      <c r="H165" s="15"/>
      <c r="I165" s="16" t="str">
        <f aca="true">IF(A165="","",IF(COUNTIF(Ref_CTRL!$A$2:$A$201,B165)=0,"CTRL not in W05",IF(COUNTIF(SoD_Rules!$A$5:$A$204,C165)=0,"SOD-ID not defined",IF(AND(F165&lt;&gt;"",F165&lt;TODAY()),"Expired mitigation",IF(H165="N","Mitigating control failed testing",IF(H165="Pending","OK (test pending)","OK"))))))</f>
        <v/>
      </c>
    </row>
    <row r="166" customFormat="false" ht="15" hidden="false" customHeight="false" outlineLevel="0" collapsed="false">
      <c r="A166" s="15"/>
      <c r="B166" s="15"/>
      <c r="C166" s="15"/>
      <c r="D166" s="15"/>
      <c r="E166" s="18"/>
      <c r="F166" s="18"/>
      <c r="G166" s="15"/>
      <c r="H166" s="15"/>
      <c r="I166" s="16" t="str">
        <f aca="true">IF(A166="","",IF(COUNTIF(Ref_CTRL!$A$2:$A$201,B166)=0,"CTRL not in W05",IF(COUNTIF(SoD_Rules!$A$5:$A$204,C166)=0,"SOD-ID not defined",IF(AND(F166&lt;&gt;"",F166&lt;TODAY()),"Expired mitigation",IF(H166="N","Mitigating control failed testing",IF(H166="Pending","OK (test pending)","OK"))))))</f>
        <v/>
      </c>
    </row>
    <row r="167" customFormat="false" ht="15" hidden="false" customHeight="false" outlineLevel="0" collapsed="false">
      <c r="A167" s="15"/>
      <c r="B167" s="15"/>
      <c r="C167" s="15"/>
      <c r="D167" s="15"/>
      <c r="E167" s="18"/>
      <c r="F167" s="18"/>
      <c r="G167" s="15"/>
      <c r="H167" s="15"/>
      <c r="I167" s="16" t="str">
        <f aca="true">IF(A167="","",IF(COUNTIF(Ref_CTRL!$A$2:$A$201,B167)=0,"CTRL not in W05",IF(COUNTIF(SoD_Rules!$A$5:$A$204,C167)=0,"SOD-ID not defined",IF(AND(F167&lt;&gt;"",F167&lt;TODAY()),"Expired mitigation",IF(H167="N","Mitigating control failed testing",IF(H167="Pending","OK (test pending)","OK"))))))</f>
        <v/>
      </c>
    </row>
    <row r="168" customFormat="false" ht="15" hidden="false" customHeight="false" outlineLevel="0" collapsed="false">
      <c r="A168" s="15"/>
      <c r="B168" s="15"/>
      <c r="C168" s="15"/>
      <c r="D168" s="15"/>
      <c r="E168" s="18"/>
      <c r="F168" s="18"/>
      <c r="G168" s="15"/>
      <c r="H168" s="15"/>
      <c r="I168" s="16" t="str">
        <f aca="true">IF(A168="","",IF(COUNTIF(Ref_CTRL!$A$2:$A$201,B168)=0,"CTRL not in W05",IF(COUNTIF(SoD_Rules!$A$5:$A$204,C168)=0,"SOD-ID not defined",IF(AND(F168&lt;&gt;"",F168&lt;TODAY()),"Expired mitigation",IF(H168="N","Mitigating control failed testing",IF(H168="Pending","OK (test pending)","OK"))))))</f>
        <v/>
      </c>
    </row>
    <row r="169" customFormat="false" ht="15" hidden="false" customHeight="false" outlineLevel="0" collapsed="false">
      <c r="A169" s="15"/>
      <c r="B169" s="15"/>
      <c r="C169" s="15"/>
      <c r="D169" s="15"/>
      <c r="E169" s="18"/>
      <c r="F169" s="18"/>
      <c r="G169" s="15"/>
      <c r="H169" s="15"/>
      <c r="I169" s="16" t="str">
        <f aca="true">IF(A169="","",IF(COUNTIF(Ref_CTRL!$A$2:$A$201,B169)=0,"CTRL not in W05",IF(COUNTIF(SoD_Rules!$A$5:$A$204,C169)=0,"SOD-ID not defined",IF(AND(F169&lt;&gt;"",F169&lt;TODAY()),"Expired mitigation",IF(H169="N","Mitigating control failed testing",IF(H169="Pending","OK (test pending)","OK"))))))</f>
        <v/>
      </c>
    </row>
    <row r="170" customFormat="false" ht="15" hidden="false" customHeight="false" outlineLevel="0" collapsed="false">
      <c r="A170" s="15"/>
      <c r="B170" s="15"/>
      <c r="C170" s="15"/>
      <c r="D170" s="15"/>
      <c r="E170" s="18"/>
      <c r="F170" s="18"/>
      <c r="G170" s="15"/>
      <c r="H170" s="15"/>
      <c r="I170" s="16" t="str">
        <f aca="true">IF(A170="","",IF(COUNTIF(Ref_CTRL!$A$2:$A$201,B170)=0,"CTRL not in W05",IF(COUNTIF(SoD_Rules!$A$5:$A$204,C170)=0,"SOD-ID not defined",IF(AND(F170&lt;&gt;"",F170&lt;TODAY()),"Expired mitigation",IF(H170="N","Mitigating control failed testing",IF(H170="Pending","OK (test pending)","OK"))))))</f>
        <v/>
      </c>
    </row>
    <row r="171" customFormat="false" ht="15" hidden="false" customHeight="false" outlineLevel="0" collapsed="false">
      <c r="A171" s="15"/>
      <c r="B171" s="15"/>
      <c r="C171" s="15"/>
      <c r="D171" s="15"/>
      <c r="E171" s="18"/>
      <c r="F171" s="18"/>
      <c r="G171" s="15"/>
      <c r="H171" s="15"/>
      <c r="I171" s="16" t="str">
        <f aca="true">IF(A171="","",IF(COUNTIF(Ref_CTRL!$A$2:$A$201,B171)=0,"CTRL not in W05",IF(COUNTIF(SoD_Rules!$A$5:$A$204,C171)=0,"SOD-ID not defined",IF(AND(F171&lt;&gt;"",F171&lt;TODAY()),"Expired mitigation",IF(H171="N","Mitigating control failed testing",IF(H171="Pending","OK (test pending)","OK"))))))</f>
        <v/>
      </c>
    </row>
    <row r="172" customFormat="false" ht="15" hidden="false" customHeight="false" outlineLevel="0" collapsed="false">
      <c r="A172" s="15"/>
      <c r="B172" s="15"/>
      <c r="C172" s="15"/>
      <c r="D172" s="15"/>
      <c r="E172" s="18"/>
      <c r="F172" s="18"/>
      <c r="G172" s="15"/>
      <c r="H172" s="15"/>
      <c r="I172" s="16" t="str">
        <f aca="true">IF(A172="","",IF(COUNTIF(Ref_CTRL!$A$2:$A$201,B172)=0,"CTRL not in W05",IF(COUNTIF(SoD_Rules!$A$5:$A$204,C172)=0,"SOD-ID not defined",IF(AND(F172&lt;&gt;"",F172&lt;TODAY()),"Expired mitigation",IF(H172="N","Mitigating control failed testing",IF(H172="Pending","OK (test pending)","OK"))))))</f>
        <v/>
      </c>
    </row>
    <row r="173" customFormat="false" ht="15" hidden="false" customHeight="false" outlineLevel="0" collapsed="false">
      <c r="A173" s="15"/>
      <c r="B173" s="15"/>
      <c r="C173" s="15"/>
      <c r="D173" s="15"/>
      <c r="E173" s="18"/>
      <c r="F173" s="18"/>
      <c r="G173" s="15"/>
      <c r="H173" s="15"/>
      <c r="I173" s="16" t="str">
        <f aca="true">IF(A173="","",IF(COUNTIF(Ref_CTRL!$A$2:$A$201,B173)=0,"CTRL not in W05",IF(COUNTIF(SoD_Rules!$A$5:$A$204,C173)=0,"SOD-ID not defined",IF(AND(F173&lt;&gt;"",F173&lt;TODAY()),"Expired mitigation",IF(H173="N","Mitigating control failed testing",IF(H173="Pending","OK (test pending)","OK"))))))</f>
        <v/>
      </c>
    </row>
    <row r="174" customFormat="false" ht="15" hidden="false" customHeight="false" outlineLevel="0" collapsed="false">
      <c r="A174" s="15"/>
      <c r="B174" s="15"/>
      <c r="C174" s="15"/>
      <c r="D174" s="15"/>
      <c r="E174" s="18"/>
      <c r="F174" s="18"/>
      <c r="G174" s="15"/>
      <c r="H174" s="15"/>
      <c r="I174" s="16" t="str">
        <f aca="true">IF(A174="","",IF(COUNTIF(Ref_CTRL!$A$2:$A$201,B174)=0,"CTRL not in W05",IF(COUNTIF(SoD_Rules!$A$5:$A$204,C174)=0,"SOD-ID not defined",IF(AND(F174&lt;&gt;"",F174&lt;TODAY()),"Expired mitigation",IF(H174="N","Mitigating control failed testing",IF(H174="Pending","OK (test pending)","OK"))))))</f>
        <v/>
      </c>
    </row>
    <row r="175" customFormat="false" ht="15" hidden="false" customHeight="false" outlineLevel="0" collapsed="false">
      <c r="A175" s="15"/>
      <c r="B175" s="15"/>
      <c r="C175" s="15"/>
      <c r="D175" s="15"/>
      <c r="E175" s="18"/>
      <c r="F175" s="18"/>
      <c r="G175" s="15"/>
      <c r="H175" s="15"/>
      <c r="I175" s="16" t="str">
        <f aca="true">IF(A175="","",IF(COUNTIF(Ref_CTRL!$A$2:$A$201,B175)=0,"CTRL not in W05",IF(COUNTIF(SoD_Rules!$A$5:$A$204,C175)=0,"SOD-ID not defined",IF(AND(F175&lt;&gt;"",F175&lt;TODAY()),"Expired mitigation",IF(H175="N","Mitigating control failed testing",IF(H175="Pending","OK (test pending)","OK"))))))</f>
        <v/>
      </c>
    </row>
    <row r="176" customFormat="false" ht="15" hidden="false" customHeight="false" outlineLevel="0" collapsed="false">
      <c r="A176" s="15"/>
      <c r="B176" s="15"/>
      <c r="C176" s="15"/>
      <c r="D176" s="15"/>
      <c r="E176" s="18"/>
      <c r="F176" s="18"/>
      <c r="G176" s="15"/>
      <c r="H176" s="15"/>
      <c r="I176" s="16" t="str">
        <f aca="true">IF(A176="","",IF(COUNTIF(Ref_CTRL!$A$2:$A$201,B176)=0,"CTRL not in W05",IF(COUNTIF(SoD_Rules!$A$5:$A$204,C176)=0,"SOD-ID not defined",IF(AND(F176&lt;&gt;"",F176&lt;TODAY()),"Expired mitigation",IF(H176="N","Mitigating control failed testing",IF(H176="Pending","OK (test pending)","OK"))))))</f>
        <v/>
      </c>
    </row>
    <row r="177" customFormat="false" ht="15" hidden="false" customHeight="false" outlineLevel="0" collapsed="false">
      <c r="A177" s="15"/>
      <c r="B177" s="15"/>
      <c r="C177" s="15"/>
      <c r="D177" s="15"/>
      <c r="E177" s="18"/>
      <c r="F177" s="18"/>
      <c r="G177" s="15"/>
      <c r="H177" s="15"/>
      <c r="I177" s="16" t="str">
        <f aca="true">IF(A177="","",IF(COUNTIF(Ref_CTRL!$A$2:$A$201,B177)=0,"CTRL not in W05",IF(COUNTIF(SoD_Rules!$A$5:$A$204,C177)=0,"SOD-ID not defined",IF(AND(F177&lt;&gt;"",F177&lt;TODAY()),"Expired mitigation",IF(H177="N","Mitigating control failed testing",IF(H177="Pending","OK (test pending)","OK"))))))</f>
        <v/>
      </c>
    </row>
    <row r="178" customFormat="false" ht="15" hidden="false" customHeight="false" outlineLevel="0" collapsed="false">
      <c r="A178" s="15"/>
      <c r="B178" s="15"/>
      <c r="C178" s="15"/>
      <c r="D178" s="15"/>
      <c r="E178" s="18"/>
      <c r="F178" s="18"/>
      <c r="G178" s="15"/>
      <c r="H178" s="15"/>
      <c r="I178" s="16" t="str">
        <f aca="true">IF(A178="","",IF(COUNTIF(Ref_CTRL!$A$2:$A$201,B178)=0,"CTRL not in W05",IF(COUNTIF(SoD_Rules!$A$5:$A$204,C178)=0,"SOD-ID not defined",IF(AND(F178&lt;&gt;"",F178&lt;TODAY()),"Expired mitigation",IF(H178="N","Mitigating control failed testing",IF(H178="Pending","OK (test pending)","OK"))))))</f>
        <v/>
      </c>
    </row>
    <row r="179" customFormat="false" ht="15" hidden="false" customHeight="false" outlineLevel="0" collapsed="false">
      <c r="A179" s="15"/>
      <c r="B179" s="15"/>
      <c r="C179" s="15"/>
      <c r="D179" s="15"/>
      <c r="E179" s="18"/>
      <c r="F179" s="18"/>
      <c r="G179" s="15"/>
      <c r="H179" s="15"/>
      <c r="I179" s="16" t="str">
        <f aca="true">IF(A179="","",IF(COUNTIF(Ref_CTRL!$A$2:$A$201,B179)=0,"CTRL not in W05",IF(COUNTIF(SoD_Rules!$A$5:$A$204,C179)=0,"SOD-ID not defined",IF(AND(F179&lt;&gt;"",F179&lt;TODAY()),"Expired mitigation",IF(H179="N","Mitigating control failed testing",IF(H179="Pending","OK (test pending)","OK"))))))</f>
        <v/>
      </c>
    </row>
    <row r="180" customFormat="false" ht="15" hidden="false" customHeight="false" outlineLevel="0" collapsed="false">
      <c r="A180" s="15"/>
      <c r="B180" s="15"/>
      <c r="C180" s="15"/>
      <c r="D180" s="15"/>
      <c r="E180" s="18"/>
      <c r="F180" s="18"/>
      <c r="G180" s="15"/>
      <c r="H180" s="15"/>
      <c r="I180" s="16" t="str">
        <f aca="true">IF(A180="","",IF(COUNTIF(Ref_CTRL!$A$2:$A$201,B180)=0,"CTRL not in W05",IF(COUNTIF(SoD_Rules!$A$5:$A$204,C180)=0,"SOD-ID not defined",IF(AND(F180&lt;&gt;"",F180&lt;TODAY()),"Expired mitigation",IF(H180="N","Mitigating control failed testing",IF(H180="Pending","OK (test pending)","OK"))))))</f>
        <v/>
      </c>
    </row>
    <row r="181" customFormat="false" ht="15" hidden="false" customHeight="false" outlineLevel="0" collapsed="false">
      <c r="A181" s="15"/>
      <c r="B181" s="15"/>
      <c r="C181" s="15"/>
      <c r="D181" s="15"/>
      <c r="E181" s="18"/>
      <c r="F181" s="18"/>
      <c r="G181" s="15"/>
      <c r="H181" s="15"/>
      <c r="I181" s="16" t="str">
        <f aca="true">IF(A181="","",IF(COUNTIF(Ref_CTRL!$A$2:$A$201,B181)=0,"CTRL not in W05",IF(COUNTIF(SoD_Rules!$A$5:$A$204,C181)=0,"SOD-ID not defined",IF(AND(F181&lt;&gt;"",F181&lt;TODAY()),"Expired mitigation",IF(H181="N","Mitigating control failed testing",IF(H181="Pending","OK (test pending)","OK"))))))</f>
        <v/>
      </c>
    </row>
    <row r="182" customFormat="false" ht="15" hidden="false" customHeight="false" outlineLevel="0" collapsed="false">
      <c r="A182" s="15"/>
      <c r="B182" s="15"/>
      <c r="C182" s="15"/>
      <c r="D182" s="15"/>
      <c r="E182" s="18"/>
      <c r="F182" s="18"/>
      <c r="G182" s="15"/>
      <c r="H182" s="15"/>
      <c r="I182" s="16" t="str">
        <f aca="true">IF(A182="","",IF(COUNTIF(Ref_CTRL!$A$2:$A$201,B182)=0,"CTRL not in W05",IF(COUNTIF(SoD_Rules!$A$5:$A$204,C182)=0,"SOD-ID not defined",IF(AND(F182&lt;&gt;"",F182&lt;TODAY()),"Expired mitigation",IF(H182="N","Mitigating control failed testing",IF(H182="Pending","OK (test pending)","OK"))))))</f>
        <v/>
      </c>
    </row>
    <row r="183" customFormat="false" ht="15" hidden="false" customHeight="false" outlineLevel="0" collapsed="false">
      <c r="A183" s="15"/>
      <c r="B183" s="15"/>
      <c r="C183" s="15"/>
      <c r="D183" s="15"/>
      <c r="E183" s="18"/>
      <c r="F183" s="18"/>
      <c r="G183" s="15"/>
      <c r="H183" s="15"/>
      <c r="I183" s="16" t="str">
        <f aca="true">IF(A183="","",IF(COUNTIF(Ref_CTRL!$A$2:$A$201,B183)=0,"CTRL not in W05",IF(COUNTIF(SoD_Rules!$A$5:$A$204,C183)=0,"SOD-ID not defined",IF(AND(F183&lt;&gt;"",F183&lt;TODAY()),"Expired mitigation",IF(H183="N","Mitigating control failed testing",IF(H183="Pending","OK (test pending)","OK"))))))</f>
        <v/>
      </c>
    </row>
    <row r="184" customFormat="false" ht="15" hidden="false" customHeight="false" outlineLevel="0" collapsed="false">
      <c r="A184" s="15"/>
      <c r="B184" s="15"/>
      <c r="C184" s="15"/>
      <c r="D184" s="15"/>
      <c r="E184" s="18"/>
      <c r="F184" s="18"/>
      <c r="G184" s="15"/>
      <c r="H184" s="15"/>
      <c r="I184" s="16" t="str">
        <f aca="true">IF(A184="","",IF(COUNTIF(Ref_CTRL!$A$2:$A$201,B184)=0,"CTRL not in W05",IF(COUNTIF(SoD_Rules!$A$5:$A$204,C184)=0,"SOD-ID not defined",IF(AND(F184&lt;&gt;"",F184&lt;TODAY()),"Expired mitigation",IF(H184="N","Mitigating control failed testing",IF(H184="Pending","OK (test pending)","OK"))))))</f>
        <v/>
      </c>
    </row>
    <row r="185" customFormat="false" ht="15" hidden="false" customHeight="false" outlineLevel="0" collapsed="false">
      <c r="A185" s="15"/>
      <c r="B185" s="15"/>
      <c r="C185" s="15"/>
      <c r="D185" s="15"/>
      <c r="E185" s="18"/>
      <c r="F185" s="18"/>
      <c r="G185" s="15"/>
      <c r="H185" s="15"/>
      <c r="I185" s="16" t="str">
        <f aca="true">IF(A185="","",IF(COUNTIF(Ref_CTRL!$A$2:$A$201,B185)=0,"CTRL not in W05",IF(COUNTIF(SoD_Rules!$A$5:$A$204,C185)=0,"SOD-ID not defined",IF(AND(F185&lt;&gt;"",F185&lt;TODAY()),"Expired mitigation",IF(H185="N","Mitigating control failed testing",IF(H185="Pending","OK (test pending)","OK"))))))</f>
        <v/>
      </c>
    </row>
    <row r="186" customFormat="false" ht="15" hidden="false" customHeight="false" outlineLevel="0" collapsed="false">
      <c r="A186" s="15"/>
      <c r="B186" s="15"/>
      <c r="C186" s="15"/>
      <c r="D186" s="15"/>
      <c r="E186" s="18"/>
      <c r="F186" s="18"/>
      <c r="G186" s="15"/>
      <c r="H186" s="15"/>
      <c r="I186" s="16" t="str">
        <f aca="true">IF(A186="","",IF(COUNTIF(Ref_CTRL!$A$2:$A$201,B186)=0,"CTRL not in W05",IF(COUNTIF(SoD_Rules!$A$5:$A$204,C186)=0,"SOD-ID not defined",IF(AND(F186&lt;&gt;"",F186&lt;TODAY()),"Expired mitigation",IF(H186="N","Mitigating control failed testing",IF(H186="Pending","OK (test pending)","OK"))))))</f>
        <v/>
      </c>
    </row>
    <row r="187" customFormat="false" ht="15" hidden="false" customHeight="false" outlineLevel="0" collapsed="false">
      <c r="A187" s="15"/>
      <c r="B187" s="15"/>
      <c r="C187" s="15"/>
      <c r="D187" s="15"/>
      <c r="E187" s="18"/>
      <c r="F187" s="18"/>
      <c r="G187" s="15"/>
      <c r="H187" s="15"/>
      <c r="I187" s="16" t="str">
        <f aca="true">IF(A187="","",IF(COUNTIF(Ref_CTRL!$A$2:$A$201,B187)=0,"CTRL not in W05",IF(COUNTIF(SoD_Rules!$A$5:$A$204,C187)=0,"SOD-ID not defined",IF(AND(F187&lt;&gt;"",F187&lt;TODAY()),"Expired mitigation",IF(H187="N","Mitigating control failed testing",IF(H187="Pending","OK (test pending)","OK"))))))</f>
        <v/>
      </c>
    </row>
    <row r="188" customFormat="false" ht="15" hidden="false" customHeight="false" outlineLevel="0" collapsed="false">
      <c r="A188" s="15"/>
      <c r="B188" s="15"/>
      <c r="C188" s="15"/>
      <c r="D188" s="15"/>
      <c r="E188" s="18"/>
      <c r="F188" s="18"/>
      <c r="G188" s="15"/>
      <c r="H188" s="15"/>
      <c r="I188" s="16" t="str">
        <f aca="true">IF(A188="","",IF(COUNTIF(Ref_CTRL!$A$2:$A$201,B188)=0,"CTRL not in W05",IF(COUNTIF(SoD_Rules!$A$5:$A$204,C188)=0,"SOD-ID not defined",IF(AND(F188&lt;&gt;"",F188&lt;TODAY()),"Expired mitigation",IF(H188="N","Mitigating control failed testing",IF(H188="Pending","OK (test pending)","OK"))))))</f>
        <v/>
      </c>
    </row>
    <row r="189" customFormat="false" ht="15" hidden="false" customHeight="false" outlineLevel="0" collapsed="false">
      <c r="A189" s="15"/>
      <c r="B189" s="15"/>
      <c r="C189" s="15"/>
      <c r="D189" s="15"/>
      <c r="E189" s="18"/>
      <c r="F189" s="18"/>
      <c r="G189" s="15"/>
      <c r="H189" s="15"/>
      <c r="I189" s="16" t="str">
        <f aca="true">IF(A189="","",IF(COUNTIF(Ref_CTRL!$A$2:$A$201,B189)=0,"CTRL not in W05",IF(COUNTIF(SoD_Rules!$A$5:$A$204,C189)=0,"SOD-ID not defined",IF(AND(F189&lt;&gt;"",F189&lt;TODAY()),"Expired mitigation",IF(H189="N","Mitigating control failed testing",IF(H189="Pending","OK (test pending)","OK"))))))</f>
        <v/>
      </c>
    </row>
    <row r="190" customFormat="false" ht="15" hidden="false" customHeight="false" outlineLevel="0" collapsed="false">
      <c r="A190" s="15"/>
      <c r="B190" s="15"/>
      <c r="C190" s="15"/>
      <c r="D190" s="15"/>
      <c r="E190" s="18"/>
      <c r="F190" s="18"/>
      <c r="G190" s="15"/>
      <c r="H190" s="15"/>
      <c r="I190" s="16" t="str">
        <f aca="true">IF(A190="","",IF(COUNTIF(Ref_CTRL!$A$2:$A$201,B190)=0,"CTRL not in W05",IF(COUNTIF(SoD_Rules!$A$5:$A$204,C190)=0,"SOD-ID not defined",IF(AND(F190&lt;&gt;"",F190&lt;TODAY()),"Expired mitigation",IF(H190="N","Mitigating control failed testing",IF(H190="Pending","OK (test pending)","OK"))))))</f>
        <v/>
      </c>
    </row>
    <row r="191" customFormat="false" ht="15" hidden="false" customHeight="false" outlineLevel="0" collapsed="false">
      <c r="A191" s="15"/>
      <c r="B191" s="15"/>
      <c r="C191" s="15"/>
      <c r="D191" s="15"/>
      <c r="E191" s="18"/>
      <c r="F191" s="18"/>
      <c r="G191" s="15"/>
      <c r="H191" s="15"/>
      <c r="I191" s="16" t="str">
        <f aca="true">IF(A191="","",IF(COUNTIF(Ref_CTRL!$A$2:$A$201,B191)=0,"CTRL not in W05",IF(COUNTIF(SoD_Rules!$A$5:$A$204,C191)=0,"SOD-ID not defined",IF(AND(F191&lt;&gt;"",F191&lt;TODAY()),"Expired mitigation",IF(H191="N","Mitigating control failed testing",IF(H191="Pending","OK (test pending)","OK"))))))</f>
        <v/>
      </c>
    </row>
    <row r="192" customFormat="false" ht="15" hidden="false" customHeight="false" outlineLevel="0" collapsed="false">
      <c r="A192" s="15"/>
      <c r="B192" s="15"/>
      <c r="C192" s="15"/>
      <c r="D192" s="15"/>
      <c r="E192" s="18"/>
      <c r="F192" s="18"/>
      <c r="G192" s="15"/>
      <c r="H192" s="15"/>
      <c r="I192" s="16" t="str">
        <f aca="true">IF(A192="","",IF(COUNTIF(Ref_CTRL!$A$2:$A$201,B192)=0,"CTRL not in W05",IF(COUNTIF(SoD_Rules!$A$5:$A$204,C192)=0,"SOD-ID not defined",IF(AND(F192&lt;&gt;"",F192&lt;TODAY()),"Expired mitigation",IF(H192="N","Mitigating control failed testing",IF(H192="Pending","OK (test pending)","OK"))))))</f>
        <v/>
      </c>
    </row>
    <row r="193" customFormat="false" ht="15" hidden="false" customHeight="false" outlineLevel="0" collapsed="false">
      <c r="A193" s="15"/>
      <c r="B193" s="15"/>
      <c r="C193" s="15"/>
      <c r="D193" s="15"/>
      <c r="E193" s="18"/>
      <c r="F193" s="18"/>
      <c r="G193" s="15"/>
      <c r="H193" s="15"/>
      <c r="I193" s="16" t="str">
        <f aca="true">IF(A193="","",IF(COUNTIF(Ref_CTRL!$A$2:$A$201,B193)=0,"CTRL not in W05",IF(COUNTIF(SoD_Rules!$A$5:$A$204,C193)=0,"SOD-ID not defined",IF(AND(F193&lt;&gt;"",F193&lt;TODAY()),"Expired mitigation",IF(H193="N","Mitigating control failed testing",IF(H193="Pending","OK (test pending)","OK"))))))</f>
        <v/>
      </c>
    </row>
    <row r="194" customFormat="false" ht="15" hidden="false" customHeight="false" outlineLevel="0" collapsed="false">
      <c r="A194" s="15"/>
      <c r="B194" s="15"/>
      <c r="C194" s="15"/>
      <c r="D194" s="15"/>
      <c r="E194" s="18"/>
      <c r="F194" s="18"/>
      <c r="G194" s="15"/>
      <c r="H194" s="15"/>
      <c r="I194" s="16" t="str">
        <f aca="true">IF(A194="","",IF(COUNTIF(Ref_CTRL!$A$2:$A$201,B194)=0,"CTRL not in W05",IF(COUNTIF(SoD_Rules!$A$5:$A$204,C194)=0,"SOD-ID not defined",IF(AND(F194&lt;&gt;"",F194&lt;TODAY()),"Expired mitigation",IF(H194="N","Mitigating control failed testing",IF(H194="Pending","OK (test pending)","OK"))))))</f>
        <v/>
      </c>
    </row>
    <row r="195" customFormat="false" ht="15" hidden="false" customHeight="false" outlineLevel="0" collapsed="false">
      <c r="A195" s="15"/>
      <c r="B195" s="15"/>
      <c r="C195" s="15"/>
      <c r="D195" s="15"/>
      <c r="E195" s="18"/>
      <c r="F195" s="18"/>
      <c r="G195" s="15"/>
      <c r="H195" s="15"/>
      <c r="I195" s="16" t="str">
        <f aca="true">IF(A195="","",IF(COUNTIF(Ref_CTRL!$A$2:$A$201,B195)=0,"CTRL not in W05",IF(COUNTIF(SoD_Rules!$A$5:$A$204,C195)=0,"SOD-ID not defined",IF(AND(F195&lt;&gt;"",F195&lt;TODAY()),"Expired mitigation",IF(H195="N","Mitigating control failed testing",IF(H195="Pending","OK (test pending)","OK"))))))</f>
        <v/>
      </c>
    </row>
    <row r="196" customFormat="false" ht="15" hidden="false" customHeight="false" outlineLevel="0" collapsed="false">
      <c r="A196" s="15"/>
      <c r="B196" s="15"/>
      <c r="C196" s="15"/>
      <c r="D196" s="15"/>
      <c r="E196" s="18"/>
      <c r="F196" s="18"/>
      <c r="G196" s="15"/>
      <c r="H196" s="15"/>
      <c r="I196" s="16" t="str">
        <f aca="true">IF(A196="","",IF(COUNTIF(Ref_CTRL!$A$2:$A$201,B196)=0,"CTRL not in W05",IF(COUNTIF(SoD_Rules!$A$5:$A$204,C196)=0,"SOD-ID not defined",IF(AND(F196&lt;&gt;"",F196&lt;TODAY()),"Expired mitigation",IF(H196="N","Mitigating control failed testing",IF(H196="Pending","OK (test pending)","OK"))))))</f>
        <v/>
      </c>
    </row>
    <row r="197" customFormat="false" ht="15" hidden="false" customHeight="false" outlineLevel="0" collapsed="false">
      <c r="A197" s="15"/>
      <c r="B197" s="15"/>
      <c r="C197" s="15"/>
      <c r="D197" s="15"/>
      <c r="E197" s="18"/>
      <c r="F197" s="18"/>
      <c r="G197" s="15"/>
      <c r="H197" s="15"/>
      <c r="I197" s="16" t="str">
        <f aca="true">IF(A197="","",IF(COUNTIF(Ref_CTRL!$A$2:$A$201,B197)=0,"CTRL not in W05",IF(COUNTIF(SoD_Rules!$A$5:$A$204,C197)=0,"SOD-ID not defined",IF(AND(F197&lt;&gt;"",F197&lt;TODAY()),"Expired mitigation",IF(H197="N","Mitigating control failed testing",IF(H197="Pending","OK (test pending)","OK"))))))</f>
        <v/>
      </c>
    </row>
    <row r="198" customFormat="false" ht="15" hidden="false" customHeight="false" outlineLevel="0" collapsed="false">
      <c r="A198" s="15"/>
      <c r="B198" s="15"/>
      <c r="C198" s="15"/>
      <c r="D198" s="15"/>
      <c r="E198" s="18"/>
      <c r="F198" s="18"/>
      <c r="G198" s="15"/>
      <c r="H198" s="15"/>
      <c r="I198" s="16" t="str">
        <f aca="true">IF(A198="","",IF(COUNTIF(Ref_CTRL!$A$2:$A$201,B198)=0,"CTRL not in W05",IF(COUNTIF(SoD_Rules!$A$5:$A$204,C198)=0,"SOD-ID not defined",IF(AND(F198&lt;&gt;"",F198&lt;TODAY()),"Expired mitigation",IF(H198="N","Mitigating control failed testing",IF(H198="Pending","OK (test pending)","OK"))))))</f>
        <v/>
      </c>
    </row>
    <row r="199" customFormat="false" ht="15" hidden="false" customHeight="false" outlineLevel="0" collapsed="false">
      <c r="A199" s="15"/>
      <c r="B199" s="15"/>
      <c r="C199" s="15"/>
      <c r="D199" s="15"/>
      <c r="E199" s="18"/>
      <c r="F199" s="18"/>
      <c r="G199" s="15"/>
      <c r="H199" s="15"/>
      <c r="I199" s="16" t="str">
        <f aca="true">IF(A199="","",IF(COUNTIF(Ref_CTRL!$A$2:$A$201,B199)=0,"CTRL not in W05",IF(COUNTIF(SoD_Rules!$A$5:$A$204,C199)=0,"SOD-ID not defined",IF(AND(F199&lt;&gt;"",F199&lt;TODAY()),"Expired mitigation",IF(H199="N","Mitigating control failed testing",IF(H199="Pending","OK (test pending)","OK"))))))</f>
        <v/>
      </c>
    </row>
    <row r="200" customFormat="false" ht="15" hidden="false" customHeight="false" outlineLevel="0" collapsed="false">
      <c r="A200" s="15"/>
      <c r="B200" s="15"/>
      <c r="C200" s="15"/>
      <c r="D200" s="15"/>
      <c r="E200" s="18"/>
      <c r="F200" s="18"/>
      <c r="G200" s="15"/>
      <c r="H200" s="15"/>
      <c r="I200" s="16" t="str">
        <f aca="true">IF(A200="","",IF(COUNTIF(Ref_CTRL!$A$2:$A$201,B200)=0,"CTRL not in W05",IF(COUNTIF(SoD_Rules!$A$5:$A$204,C200)=0,"SOD-ID not defined",IF(AND(F200&lt;&gt;"",F200&lt;TODAY()),"Expired mitigation",IF(H200="N","Mitigating control failed testing",IF(H200="Pending","OK (test pending)","OK"))))))</f>
        <v/>
      </c>
    </row>
    <row r="201" customFormat="false" ht="15" hidden="false" customHeight="false" outlineLevel="0" collapsed="false">
      <c r="A201" s="15"/>
      <c r="B201" s="15"/>
      <c r="C201" s="15"/>
      <c r="D201" s="15"/>
      <c r="E201" s="18"/>
      <c r="F201" s="18"/>
      <c r="G201" s="15"/>
      <c r="H201" s="15"/>
      <c r="I201" s="16" t="str">
        <f aca="true">IF(A201="","",IF(COUNTIF(Ref_CTRL!$A$2:$A$201,B201)=0,"CTRL not in W05",IF(COUNTIF(SoD_Rules!$A$5:$A$204,C201)=0,"SOD-ID not defined",IF(AND(F201&lt;&gt;"",F201&lt;TODAY()),"Expired mitigation",IF(H201="N","Mitigating control failed testing",IF(H201="Pending","OK (test pending)","OK"))))))</f>
        <v/>
      </c>
    </row>
    <row r="202" customFormat="false" ht="15" hidden="false" customHeight="false" outlineLevel="0" collapsed="false">
      <c r="A202" s="15"/>
      <c r="B202" s="15"/>
      <c r="C202" s="15"/>
      <c r="D202" s="15"/>
      <c r="E202" s="18"/>
      <c r="F202" s="18"/>
      <c r="G202" s="15"/>
      <c r="H202" s="15"/>
      <c r="I202" s="16" t="str">
        <f aca="true">IF(A202="","",IF(COUNTIF(Ref_CTRL!$A$2:$A$201,B202)=0,"CTRL not in W05",IF(COUNTIF(SoD_Rules!$A$5:$A$204,C202)=0,"SOD-ID not defined",IF(AND(F202&lt;&gt;"",F202&lt;TODAY()),"Expired mitigation",IF(H202="N","Mitigating control failed testing",IF(H202="Pending","OK (test pending)","OK"))))))</f>
        <v/>
      </c>
    </row>
    <row r="203" customFormat="false" ht="15" hidden="false" customHeight="false" outlineLevel="0" collapsed="false">
      <c r="A203" s="15"/>
      <c r="B203" s="15"/>
      <c r="C203" s="15"/>
      <c r="D203" s="15"/>
      <c r="E203" s="18"/>
      <c r="F203" s="18"/>
      <c r="G203" s="15"/>
      <c r="H203" s="15"/>
      <c r="I203" s="16" t="str">
        <f aca="true">IF(A203="","",IF(COUNTIF(Ref_CTRL!$A$2:$A$201,B203)=0,"CTRL not in W05",IF(COUNTIF(SoD_Rules!$A$5:$A$204,C203)=0,"SOD-ID not defined",IF(AND(F203&lt;&gt;"",F203&lt;TODAY()),"Expired mitigation",IF(H203="N","Mitigating control failed testing",IF(H203="Pending","OK (test pending)","OK"))))))</f>
        <v/>
      </c>
    </row>
    <row r="204" customFormat="false" ht="15" hidden="false" customHeight="false" outlineLevel="0" collapsed="false">
      <c r="A204" s="15"/>
      <c r="B204" s="15"/>
      <c r="C204" s="15"/>
      <c r="D204" s="15"/>
      <c r="E204" s="18"/>
      <c r="F204" s="18"/>
      <c r="G204" s="15"/>
      <c r="H204" s="15"/>
      <c r="I204" s="16" t="str">
        <f aca="true">IF(A204="","",IF(COUNTIF(Ref_CTRL!$A$2:$A$201,B204)=0,"CTRL not in W05",IF(COUNTIF(SoD_Rules!$A$5:$A$204,C204)=0,"SOD-ID not defined",IF(AND(F204&lt;&gt;"",F204&lt;TODAY()),"Expired mitigation",IF(H204="N","Mitigating control failed testing",IF(H204="Pending","OK (test pending)","OK"))))))</f>
        <v/>
      </c>
    </row>
  </sheetData>
  <autoFilter ref="A4:I204"/>
  <dataValidations count="3">
    <dataValidation allowBlank="true" error="Pick a value from the list." errorStyle="warning" operator="between" showDropDown="false" showErrorMessage="true" showInputMessage="false" sqref="B5:B204" type="list">
      <formula1>Ref_CTRL!$A$2:$A$201</formula1>
      <formula2>0</formula2>
    </dataValidation>
    <dataValidation allowBlank="true" error="Pick a value from the list." errorStyle="warning" operator="between" showDropDown="false" showErrorMessage="true" showInputMessage="false" sqref="C5:C204" type="list">
      <formula1>SoD_Rules!$A$5:$A$204</formula1>
      <formula2>0</formula2>
    </dataValidation>
    <dataValidation allowBlank="true" error="Pick a value from the list." errorStyle="stop" operator="between" showDropDown="false" showErrorMessage="true" showInputMessage="false" sqref="H5:H204" type="list">
      <formula1>Lists!$B$2:$B$4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34"/>
  </cols>
  <sheetData>
    <row r="1" customFormat="false" ht="17.35" hidden="false" customHeight="false" outlineLevel="0" collapsed="false">
      <c r="A1" s="9" t="s">
        <v>198</v>
      </c>
    </row>
    <row r="2" customFormat="false" ht="15" hidden="false" customHeight="false" outlineLevel="0" collapsed="false">
      <c r="A2" s="10" t="s">
        <v>199</v>
      </c>
    </row>
    <row r="4" customFormat="false" ht="31.5" hidden="false" customHeight="true" outlineLevel="0" collapsed="false">
      <c r="A4" s="11" t="s">
        <v>137</v>
      </c>
      <c r="B4" s="11" t="s">
        <v>140</v>
      </c>
      <c r="C4" s="11" t="s">
        <v>143</v>
      </c>
      <c r="D4" s="11" t="s">
        <v>145</v>
      </c>
      <c r="E4" s="11" t="s">
        <v>147</v>
      </c>
      <c r="F4" s="11" t="s">
        <v>149</v>
      </c>
    </row>
    <row r="5" customFormat="false" ht="15" hidden="false" customHeight="false" outlineLevel="0" collapsed="false">
      <c r="A5" s="13" t="s">
        <v>200</v>
      </c>
      <c r="B5" s="13" t="s">
        <v>201</v>
      </c>
      <c r="C5" s="13" t="s">
        <v>182</v>
      </c>
      <c r="D5" s="17" t="n">
        <v>46296</v>
      </c>
      <c r="E5" s="13" t="s">
        <v>183</v>
      </c>
      <c r="F5" s="13" t="s">
        <v>202</v>
      </c>
    </row>
    <row r="6" customFormat="false" ht="15" hidden="false" customHeight="false" outlineLevel="0" collapsed="false">
      <c r="A6" s="15"/>
      <c r="B6" s="15"/>
      <c r="C6" s="15"/>
      <c r="D6" s="18"/>
      <c r="E6" s="15"/>
      <c r="F6" s="15"/>
    </row>
    <row r="7" customFormat="false" ht="15" hidden="false" customHeight="false" outlineLevel="0" collapsed="false">
      <c r="A7" s="15"/>
      <c r="B7" s="15"/>
      <c r="C7" s="15"/>
      <c r="D7" s="18"/>
      <c r="E7" s="15"/>
      <c r="F7" s="15"/>
    </row>
    <row r="8" customFormat="false" ht="15" hidden="false" customHeight="false" outlineLevel="0" collapsed="false">
      <c r="A8" s="15"/>
      <c r="B8" s="15"/>
      <c r="C8" s="15"/>
      <c r="D8" s="18"/>
      <c r="E8" s="15"/>
      <c r="F8" s="15"/>
    </row>
    <row r="9" customFormat="false" ht="15" hidden="false" customHeight="false" outlineLevel="0" collapsed="false">
      <c r="A9" s="15"/>
      <c r="B9" s="15"/>
      <c r="C9" s="15"/>
      <c r="D9" s="18"/>
      <c r="E9" s="15"/>
      <c r="F9" s="15"/>
    </row>
    <row r="10" customFormat="false" ht="15" hidden="false" customHeight="false" outlineLevel="0" collapsed="false">
      <c r="A10" s="15"/>
      <c r="B10" s="15"/>
      <c r="C10" s="15"/>
      <c r="D10" s="18"/>
      <c r="E10" s="15"/>
      <c r="F10" s="15"/>
    </row>
    <row r="11" customFormat="false" ht="15" hidden="false" customHeight="false" outlineLevel="0" collapsed="false">
      <c r="A11" s="15"/>
      <c r="B11" s="15"/>
      <c r="C11" s="15"/>
      <c r="D11" s="18"/>
      <c r="E11" s="15"/>
      <c r="F11" s="15"/>
    </row>
    <row r="12" customFormat="false" ht="15" hidden="false" customHeight="false" outlineLevel="0" collapsed="false">
      <c r="A12" s="15"/>
      <c r="B12" s="15"/>
      <c r="C12" s="15"/>
      <c r="D12" s="18"/>
      <c r="E12" s="15"/>
      <c r="F12" s="15"/>
    </row>
    <row r="13" customFormat="false" ht="15" hidden="false" customHeight="false" outlineLevel="0" collapsed="false">
      <c r="A13" s="15"/>
      <c r="B13" s="15"/>
      <c r="C13" s="15"/>
      <c r="D13" s="18"/>
      <c r="E13" s="15"/>
      <c r="F13" s="15"/>
    </row>
    <row r="14" customFormat="false" ht="15" hidden="false" customHeight="false" outlineLevel="0" collapsed="false">
      <c r="A14" s="15"/>
      <c r="B14" s="15"/>
      <c r="C14" s="15"/>
      <c r="D14" s="18"/>
      <c r="E14" s="15"/>
      <c r="F14" s="15"/>
    </row>
    <row r="15" customFormat="false" ht="15" hidden="false" customHeight="false" outlineLevel="0" collapsed="false">
      <c r="A15" s="15"/>
      <c r="B15" s="15"/>
      <c r="C15" s="15"/>
      <c r="D15" s="18"/>
      <c r="E15" s="15"/>
      <c r="F15" s="15"/>
    </row>
    <row r="16" customFormat="false" ht="15" hidden="false" customHeight="false" outlineLevel="0" collapsed="false">
      <c r="A16" s="15"/>
      <c r="B16" s="15"/>
      <c r="C16" s="15"/>
      <c r="D16" s="18"/>
      <c r="E16" s="15"/>
      <c r="F16" s="15"/>
    </row>
    <row r="17" customFormat="false" ht="15" hidden="false" customHeight="false" outlineLevel="0" collapsed="false">
      <c r="A17" s="15"/>
      <c r="B17" s="15"/>
      <c r="C17" s="15"/>
      <c r="D17" s="18"/>
      <c r="E17" s="15"/>
      <c r="F17" s="15"/>
    </row>
    <row r="18" customFormat="false" ht="15" hidden="false" customHeight="false" outlineLevel="0" collapsed="false">
      <c r="A18" s="15"/>
      <c r="B18" s="15"/>
      <c r="C18" s="15"/>
      <c r="D18" s="18"/>
      <c r="E18" s="15"/>
      <c r="F18" s="15"/>
    </row>
    <row r="19" customFormat="false" ht="15" hidden="false" customHeight="false" outlineLevel="0" collapsed="false">
      <c r="A19" s="15"/>
      <c r="B19" s="15"/>
      <c r="C19" s="15"/>
      <c r="D19" s="18"/>
      <c r="E19" s="15"/>
      <c r="F19" s="15"/>
    </row>
    <row r="20" customFormat="false" ht="15" hidden="false" customHeight="false" outlineLevel="0" collapsed="false">
      <c r="A20" s="15"/>
      <c r="B20" s="15"/>
      <c r="C20" s="15"/>
      <c r="D20" s="18"/>
      <c r="E20" s="15"/>
      <c r="F20" s="15"/>
    </row>
    <row r="21" customFormat="false" ht="15" hidden="false" customHeight="false" outlineLevel="0" collapsed="false">
      <c r="A21" s="15"/>
      <c r="B21" s="15"/>
      <c r="C21" s="15"/>
      <c r="D21" s="18"/>
      <c r="E21" s="15"/>
      <c r="F21" s="15"/>
    </row>
    <row r="22" customFormat="false" ht="15" hidden="false" customHeight="false" outlineLevel="0" collapsed="false">
      <c r="A22" s="15"/>
      <c r="B22" s="15"/>
      <c r="C22" s="15"/>
      <c r="D22" s="18"/>
      <c r="E22" s="15"/>
      <c r="F22" s="15"/>
    </row>
    <row r="23" customFormat="false" ht="15" hidden="false" customHeight="false" outlineLevel="0" collapsed="false">
      <c r="A23" s="15"/>
      <c r="B23" s="15"/>
      <c r="C23" s="15"/>
      <c r="D23" s="18"/>
      <c r="E23" s="15"/>
      <c r="F23" s="15"/>
    </row>
    <row r="24" customFormat="false" ht="15" hidden="false" customHeight="false" outlineLevel="0" collapsed="false">
      <c r="A24" s="15"/>
      <c r="B24" s="15"/>
      <c r="C24" s="15"/>
      <c r="D24" s="18"/>
      <c r="E24" s="15"/>
      <c r="F24" s="15"/>
    </row>
    <row r="25" customFormat="false" ht="15" hidden="false" customHeight="false" outlineLevel="0" collapsed="false">
      <c r="A25" s="15"/>
      <c r="B25" s="15"/>
      <c r="C25" s="15"/>
      <c r="D25" s="18"/>
      <c r="E25" s="15"/>
      <c r="F25" s="15"/>
    </row>
    <row r="26" customFormat="false" ht="15" hidden="false" customHeight="false" outlineLevel="0" collapsed="false">
      <c r="A26" s="15"/>
      <c r="B26" s="15"/>
      <c r="C26" s="15"/>
      <c r="D26" s="18"/>
      <c r="E26" s="15"/>
      <c r="F26" s="15"/>
    </row>
    <row r="27" customFormat="false" ht="15" hidden="false" customHeight="false" outlineLevel="0" collapsed="false">
      <c r="A27" s="15"/>
      <c r="B27" s="15"/>
      <c r="C27" s="15"/>
      <c r="D27" s="18"/>
      <c r="E27" s="15"/>
      <c r="F27" s="15"/>
    </row>
    <row r="28" customFormat="false" ht="15" hidden="false" customHeight="false" outlineLevel="0" collapsed="false">
      <c r="A28" s="15"/>
      <c r="B28" s="15"/>
      <c r="C28" s="15"/>
      <c r="D28" s="18"/>
      <c r="E28" s="15"/>
      <c r="F28" s="15"/>
    </row>
    <row r="29" customFormat="false" ht="15" hidden="false" customHeight="false" outlineLevel="0" collapsed="false">
      <c r="A29" s="15"/>
      <c r="B29" s="15"/>
      <c r="C29" s="15"/>
      <c r="D29" s="18"/>
      <c r="E29" s="15"/>
      <c r="F29" s="15"/>
    </row>
    <row r="30" customFormat="false" ht="15" hidden="false" customHeight="false" outlineLevel="0" collapsed="false">
      <c r="A30" s="15"/>
      <c r="B30" s="15"/>
      <c r="C30" s="15"/>
      <c r="D30" s="18"/>
      <c r="E30" s="15"/>
      <c r="F30" s="15"/>
    </row>
    <row r="31" customFormat="false" ht="15" hidden="false" customHeight="false" outlineLevel="0" collapsed="false">
      <c r="A31" s="15"/>
      <c r="B31" s="15"/>
      <c r="C31" s="15"/>
      <c r="D31" s="18"/>
      <c r="E31" s="15"/>
      <c r="F31" s="15"/>
    </row>
    <row r="32" customFormat="false" ht="15" hidden="false" customHeight="false" outlineLevel="0" collapsed="false">
      <c r="A32" s="15"/>
      <c r="B32" s="15"/>
      <c r="C32" s="15"/>
      <c r="D32" s="18"/>
      <c r="E32" s="15"/>
      <c r="F32" s="15"/>
    </row>
    <row r="33" customFormat="false" ht="15" hidden="false" customHeight="false" outlineLevel="0" collapsed="false">
      <c r="A33" s="15"/>
      <c r="B33" s="15"/>
      <c r="C33" s="15"/>
      <c r="D33" s="18"/>
      <c r="E33" s="15"/>
      <c r="F33" s="15"/>
    </row>
    <row r="34" customFormat="false" ht="15" hidden="false" customHeight="false" outlineLevel="0" collapsed="false">
      <c r="A34" s="15"/>
      <c r="B34" s="15"/>
      <c r="C34" s="15"/>
      <c r="D34" s="18"/>
      <c r="E34" s="15"/>
      <c r="F34" s="15"/>
    </row>
    <row r="35" customFormat="false" ht="15" hidden="false" customHeight="false" outlineLevel="0" collapsed="false">
      <c r="A35" s="15"/>
      <c r="B35" s="15"/>
      <c r="C35" s="15"/>
      <c r="D35" s="18"/>
      <c r="E35" s="15"/>
      <c r="F35" s="15"/>
    </row>
    <row r="36" customFormat="false" ht="15" hidden="false" customHeight="false" outlineLevel="0" collapsed="false">
      <c r="A36" s="15"/>
      <c r="B36" s="15"/>
      <c r="C36" s="15"/>
      <c r="D36" s="18"/>
      <c r="E36" s="15"/>
      <c r="F36" s="15"/>
    </row>
    <row r="37" customFormat="false" ht="15" hidden="false" customHeight="false" outlineLevel="0" collapsed="false">
      <c r="A37" s="15"/>
      <c r="B37" s="15"/>
      <c r="C37" s="15"/>
      <c r="D37" s="18"/>
      <c r="E37" s="15"/>
      <c r="F37" s="15"/>
    </row>
    <row r="38" customFormat="false" ht="15" hidden="false" customHeight="false" outlineLevel="0" collapsed="false">
      <c r="A38" s="15"/>
      <c r="B38" s="15"/>
      <c r="C38" s="15"/>
      <c r="D38" s="18"/>
      <c r="E38" s="15"/>
      <c r="F38" s="15"/>
    </row>
    <row r="39" customFormat="false" ht="15" hidden="false" customHeight="false" outlineLevel="0" collapsed="false">
      <c r="A39" s="15"/>
      <c r="B39" s="15"/>
      <c r="C39" s="15"/>
      <c r="D39" s="18"/>
      <c r="E39" s="15"/>
      <c r="F39" s="15"/>
    </row>
    <row r="40" customFormat="false" ht="15" hidden="false" customHeight="false" outlineLevel="0" collapsed="false">
      <c r="A40" s="15"/>
      <c r="B40" s="15"/>
      <c r="C40" s="15"/>
      <c r="D40" s="18"/>
      <c r="E40" s="15"/>
      <c r="F40" s="15"/>
    </row>
    <row r="41" customFormat="false" ht="15" hidden="false" customHeight="false" outlineLevel="0" collapsed="false">
      <c r="A41" s="15"/>
      <c r="B41" s="15"/>
      <c r="C41" s="15"/>
      <c r="D41" s="18"/>
      <c r="E41" s="15"/>
      <c r="F41" s="15"/>
    </row>
    <row r="42" customFormat="false" ht="15" hidden="false" customHeight="false" outlineLevel="0" collapsed="false">
      <c r="A42" s="15"/>
      <c r="B42" s="15"/>
      <c r="C42" s="15"/>
      <c r="D42" s="18"/>
      <c r="E42" s="15"/>
      <c r="F42" s="15"/>
    </row>
    <row r="43" customFormat="false" ht="15" hidden="false" customHeight="false" outlineLevel="0" collapsed="false">
      <c r="A43" s="15"/>
      <c r="B43" s="15"/>
      <c r="C43" s="15"/>
      <c r="D43" s="18"/>
      <c r="E43" s="15"/>
      <c r="F43" s="15"/>
    </row>
    <row r="44" customFormat="false" ht="15" hidden="false" customHeight="false" outlineLevel="0" collapsed="false">
      <c r="A44" s="15"/>
      <c r="B44" s="15"/>
      <c r="C44" s="15"/>
      <c r="D44" s="18"/>
      <c r="E44" s="15"/>
      <c r="F44" s="15"/>
    </row>
    <row r="45" customFormat="false" ht="15" hidden="false" customHeight="false" outlineLevel="0" collapsed="false">
      <c r="A45" s="15"/>
      <c r="B45" s="15"/>
      <c r="C45" s="15"/>
      <c r="D45" s="18"/>
      <c r="E45" s="15"/>
      <c r="F45" s="15"/>
    </row>
    <row r="46" customFormat="false" ht="15" hidden="false" customHeight="false" outlineLevel="0" collapsed="false">
      <c r="A46" s="15"/>
      <c r="B46" s="15"/>
      <c r="C46" s="15"/>
      <c r="D46" s="18"/>
      <c r="E46" s="15"/>
      <c r="F46" s="15"/>
    </row>
    <row r="47" customFormat="false" ht="15" hidden="false" customHeight="false" outlineLevel="0" collapsed="false">
      <c r="A47" s="15"/>
      <c r="B47" s="15"/>
      <c r="C47" s="15"/>
      <c r="D47" s="18"/>
      <c r="E47" s="15"/>
      <c r="F47" s="15"/>
    </row>
    <row r="48" customFormat="false" ht="15" hidden="false" customHeight="false" outlineLevel="0" collapsed="false">
      <c r="A48" s="15"/>
      <c r="B48" s="15"/>
      <c r="C48" s="15"/>
      <c r="D48" s="18"/>
      <c r="E48" s="15"/>
      <c r="F48" s="15"/>
    </row>
    <row r="49" customFormat="false" ht="15" hidden="false" customHeight="false" outlineLevel="0" collapsed="false">
      <c r="A49" s="15"/>
      <c r="B49" s="15"/>
      <c r="C49" s="15"/>
      <c r="D49" s="18"/>
      <c r="E49" s="15"/>
      <c r="F49" s="15"/>
    </row>
    <row r="50" customFormat="false" ht="15" hidden="false" customHeight="false" outlineLevel="0" collapsed="false">
      <c r="A50" s="15"/>
      <c r="B50" s="15"/>
      <c r="C50" s="15"/>
      <c r="D50" s="18"/>
      <c r="E50" s="15"/>
      <c r="F50" s="15"/>
    </row>
    <row r="51" customFormat="false" ht="15" hidden="false" customHeight="false" outlineLevel="0" collapsed="false">
      <c r="A51" s="15"/>
      <c r="B51" s="15"/>
      <c r="C51" s="15"/>
      <c r="D51" s="18"/>
      <c r="E51" s="15"/>
      <c r="F51" s="15"/>
    </row>
    <row r="52" customFormat="false" ht="15" hidden="false" customHeight="false" outlineLevel="0" collapsed="false">
      <c r="A52" s="15"/>
      <c r="B52" s="15"/>
      <c r="C52" s="15"/>
      <c r="D52" s="18"/>
      <c r="E52" s="15"/>
      <c r="F52" s="15"/>
    </row>
    <row r="53" customFormat="false" ht="15" hidden="false" customHeight="false" outlineLevel="0" collapsed="false">
      <c r="A53" s="15"/>
      <c r="B53" s="15"/>
      <c r="C53" s="15"/>
      <c r="D53" s="18"/>
      <c r="E53" s="15"/>
      <c r="F53" s="15"/>
    </row>
    <row r="54" customFormat="false" ht="15" hidden="false" customHeight="false" outlineLevel="0" collapsed="false">
      <c r="A54" s="15"/>
      <c r="B54" s="15"/>
      <c r="C54" s="15"/>
      <c r="D54" s="18"/>
      <c r="E54" s="15"/>
      <c r="F54" s="15"/>
    </row>
    <row r="55" customFormat="false" ht="15" hidden="false" customHeight="false" outlineLevel="0" collapsed="false">
      <c r="A55" s="15"/>
      <c r="B55" s="15"/>
      <c r="C55" s="15"/>
      <c r="D55" s="18"/>
      <c r="E55" s="15"/>
      <c r="F55" s="15"/>
    </row>
    <row r="56" customFormat="false" ht="15" hidden="false" customHeight="false" outlineLevel="0" collapsed="false">
      <c r="A56" s="15"/>
      <c r="B56" s="15"/>
      <c r="C56" s="15"/>
      <c r="D56" s="18"/>
      <c r="E56" s="15"/>
      <c r="F56" s="15"/>
    </row>
    <row r="57" customFormat="false" ht="15" hidden="false" customHeight="false" outlineLevel="0" collapsed="false">
      <c r="A57" s="15"/>
      <c r="B57" s="15"/>
      <c r="C57" s="15"/>
      <c r="D57" s="18"/>
      <c r="E57" s="15"/>
      <c r="F57" s="15"/>
    </row>
    <row r="58" customFormat="false" ht="15" hidden="false" customHeight="false" outlineLevel="0" collapsed="false">
      <c r="A58" s="15"/>
      <c r="B58" s="15"/>
      <c r="C58" s="15"/>
      <c r="D58" s="18"/>
      <c r="E58" s="15"/>
      <c r="F58" s="15"/>
    </row>
    <row r="59" customFormat="false" ht="15" hidden="false" customHeight="false" outlineLevel="0" collapsed="false">
      <c r="A59" s="15"/>
      <c r="B59" s="15"/>
      <c r="C59" s="15"/>
      <c r="D59" s="18"/>
      <c r="E59" s="15"/>
      <c r="F59" s="15"/>
    </row>
    <row r="60" customFormat="false" ht="15" hidden="false" customHeight="false" outlineLevel="0" collapsed="false">
      <c r="A60" s="15"/>
      <c r="B60" s="15"/>
      <c r="C60" s="15"/>
      <c r="D60" s="18"/>
      <c r="E60" s="15"/>
      <c r="F60" s="15"/>
    </row>
    <row r="61" customFormat="false" ht="15" hidden="false" customHeight="false" outlineLevel="0" collapsed="false">
      <c r="A61" s="15"/>
      <c r="B61" s="15"/>
      <c r="C61" s="15"/>
      <c r="D61" s="18"/>
      <c r="E61" s="15"/>
      <c r="F61" s="15"/>
    </row>
    <row r="62" customFormat="false" ht="15" hidden="false" customHeight="false" outlineLevel="0" collapsed="false">
      <c r="A62" s="15"/>
      <c r="B62" s="15"/>
      <c r="C62" s="15"/>
      <c r="D62" s="18"/>
      <c r="E62" s="15"/>
      <c r="F62" s="15"/>
    </row>
    <row r="63" customFormat="false" ht="15" hidden="false" customHeight="false" outlineLevel="0" collapsed="false">
      <c r="A63" s="15"/>
      <c r="B63" s="15"/>
      <c r="C63" s="15"/>
      <c r="D63" s="18"/>
      <c r="E63" s="15"/>
      <c r="F63" s="15"/>
    </row>
    <row r="64" customFormat="false" ht="15" hidden="false" customHeight="false" outlineLevel="0" collapsed="false">
      <c r="A64" s="15"/>
      <c r="B64" s="15"/>
      <c r="C64" s="15"/>
      <c r="D64" s="18"/>
      <c r="E64" s="15"/>
      <c r="F64" s="15"/>
    </row>
    <row r="65" customFormat="false" ht="15" hidden="false" customHeight="false" outlineLevel="0" collapsed="false">
      <c r="A65" s="15"/>
      <c r="B65" s="15"/>
      <c r="C65" s="15"/>
      <c r="D65" s="18"/>
      <c r="E65" s="15"/>
      <c r="F65" s="15"/>
    </row>
    <row r="66" customFormat="false" ht="15" hidden="false" customHeight="false" outlineLevel="0" collapsed="false">
      <c r="A66" s="15"/>
      <c r="B66" s="15"/>
      <c r="C66" s="15"/>
      <c r="D66" s="18"/>
      <c r="E66" s="15"/>
      <c r="F66" s="15"/>
    </row>
    <row r="67" customFormat="false" ht="15" hidden="false" customHeight="false" outlineLevel="0" collapsed="false">
      <c r="A67" s="15"/>
      <c r="B67" s="15"/>
      <c r="C67" s="15"/>
      <c r="D67" s="18"/>
      <c r="E67" s="15"/>
      <c r="F67" s="15"/>
    </row>
    <row r="68" customFormat="false" ht="15" hidden="false" customHeight="false" outlineLevel="0" collapsed="false">
      <c r="A68" s="15"/>
      <c r="B68" s="15"/>
      <c r="C68" s="15"/>
      <c r="D68" s="18"/>
      <c r="E68" s="15"/>
      <c r="F68" s="15"/>
    </row>
    <row r="69" customFormat="false" ht="15" hidden="false" customHeight="false" outlineLevel="0" collapsed="false">
      <c r="A69" s="15"/>
      <c r="B69" s="15"/>
      <c r="C69" s="15"/>
      <c r="D69" s="18"/>
      <c r="E69" s="15"/>
      <c r="F69" s="15"/>
    </row>
    <row r="70" customFormat="false" ht="15" hidden="false" customHeight="false" outlineLevel="0" collapsed="false">
      <c r="A70" s="15"/>
      <c r="B70" s="15"/>
      <c r="C70" s="15"/>
      <c r="D70" s="18"/>
      <c r="E70" s="15"/>
      <c r="F70" s="15"/>
    </row>
    <row r="71" customFormat="false" ht="15" hidden="false" customHeight="false" outlineLevel="0" collapsed="false">
      <c r="A71" s="15"/>
      <c r="B71" s="15"/>
      <c r="C71" s="15"/>
      <c r="D71" s="18"/>
      <c r="E71" s="15"/>
      <c r="F71" s="15"/>
    </row>
    <row r="72" customFormat="false" ht="15" hidden="false" customHeight="false" outlineLevel="0" collapsed="false">
      <c r="A72" s="15"/>
      <c r="B72" s="15"/>
      <c r="C72" s="15"/>
      <c r="D72" s="18"/>
      <c r="E72" s="15"/>
      <c r="F72" s="15"/>
    </row>
    <row r="73" customFormat="false" ht="15" hidden="false" customHeight="false" outlineLevel="0" collapsed="false">
      <c r="A73" s="15"/>
      <c r="B73" s="15"/>
      <c r="C73" s="15"/>
      <c r="D73" s="18"/>
      <c r="E73" s="15"/>
      <c r="F73" s="15"/>
    </row>
    <row r="74" customFormat="false" ht="15" hidden="false" customHeight="false" outlineLevel="0" collapsed="false">
      <c r="A74" s="15"/>
      <c r="B74" s="15"/>
      <c r="C74" s="15"/>
      <c r="D74" s="18"/>
      <c r="E74" s="15"/>
      <c r="F74" s="15"/>
    </row>
    <row r="75" customFormat="false" ht="15" hidden="false" customHeight="false" outlineLevel="0" collapsed="false">
      <c r="A75" s="15"/>
      <c r="B75" s="15"/>
      <c r="C75" s="15"/>
      <c r="D75" s="18"/>
      <c r="E75" s="15"/>
      <c r="F75" s="15"/>
    </row>
    <row r="76" customFormat="false" ht="15" hidden="false" customHeight="false" outlineLevel="0" collapsed="false">
      <c r="A76" s="15"/>
      <c r="B76" s="15"/>
      <c r="C76" s="15"/>
      <c r="D76" s="18"/>
      <c r="E76" s="15"/>
      <c r="F76" s="15"/>
    </row>
    <row r="77" customFormat="false" ht="15" hidden="false" customHeight="false" outlineLevel="0" collapsed="false">
      <c r="A77" s="15"/>
      <c r="B77" s="15"/>
      <c r="C77" s="15"/>
      <c r="D77" s="18"/>
      <c r="E77" s="15"/>
      <c r="F77" s="15"/>
    </row>
    <row r="78" customFormat="false" ht="15" hidden="false" customHeight="false" outlineLevel="0" collapsed="false">
      <c r="A78" s="15"/>
      <c r="B78" s="15"/>
      <c r="C78" s="15"/>
      <c r="D78" s="18"/>
      <c r="E78" s="15"/>
      <c r="F78" s="15"/>
    </row>
    <row r="79" customFormat="false" ht="15" hidden="false" customHeight="false" outlineLevel="0" collapsed="false">
      <c r="A79" s="15"/>
      <c r="B79" s="15"/>
      <c r="C79" s="15"/>
      <c r="D79" s="18"/>
      <c r="E79" s="15"/>
      <c r="F79" s="15"/>
    </row>
    <row r="80" customFormat="false" ht="15" hidden="false" customHeight="false" outlineLevel="0" collapsed="false">
      <c r="A80" s="15"/>
      <c r="B80" s="15"/>
      <c r="C80" s="15"/>
      <c r="D80" s="18"/>
      <c r="E80" s="15"/>
      <c r="F80" s="15"/>
    </row>
    <row r="81" customFormat="false" ht="15" hidden="false" customHeight="false" outlineLevel="0" collapsed="false">
      <c r="A81" s="15"/>
      <c r="B81" s="15"/>
      <c r="C81" s="15"/>
      <c r="D81" s="18"/>
      <c r="E81" s="15"/>
      <c r="F81" s="15"/>
    </row>
    <row r="82" customFormat="false" ht="15" hidden="false" customHeight="false" outlineLevel="0" collapsed="false">
      <c r="A82" s="15"/>
      <c r="B82" s="15"/>
      <c r="C82" s="15"/>
      <c r="D82" s="18"/>
      <c r="E82" s="15"/>
      <c r="F82" s="15"/>
    </row>
    <row r="83" customFormat="false" ht="15" hidden="false" customHeight="false" outlineLevel="0" collapsed="false">
      <c r="A83" s="15"/>
      <c r="B83" s="15"/>
      <c r="C83" s="15"/>
      <c r="D83" s="18"/>
      <c r="E83" s="15"/>
      <c r="F83" s="15"/>
    </row>
    <row r="84" customFormat="false" ht="15" hidden="false" customHeight="false" outlineLevel="0" collapsed="false">
      <c r="A84" s="15"/>
      <c r="B84" s="15"/>
      <c r="C84" s="15"/>
      <c r="D84" s="18"/>
      <c r="E84" s="15"/>
      <c r="F84" s="15"/>
    </row>
    <row r="85" customFormat="false" ht="15" hidden="false" customHeight="false" outlineLevel="0" collapsed="false">
      <c r="A85" s="15"/>
      <c r="B85" s="15"/>
      <c r="C85" s="15"/>
      <c r="D85" s="18"/>
      <c r="E85" s="15"/>
      <c r="F85" s="15"/>
    </row>
    <row r="86" customFormat="false" ht="15" hidden="false" customHeight="false" outlineLevel="0" collapsed="false">
      <c r="A86" s="15"/>
      <c r="B86" s="15"/>
      <c r="C86" s="15"/>
      <c r="D86" s="18"/>
      <c r="E86" s="15"/>
      <c r="F86" s="15"/>
    </row>
    <row r="87" customFormat="false" ht="15" hidden="false" customHeight="false" outlineLevel="0" collapsed="false">
      <c r="A87" s="15"/>
      <c r="B87" s="15"/>
      <c r="C87" s="15"/>
      <c r="D87" s="18"/>
      <c r="E87" s="15"/>
      <c r="F87" s="15"/>
    </row>
    <row r="88" customFormat="false" ht="15" hidden="false" customHeight="false" outlineLevel="0" collapsed="false">
      <c r="A88" s="15"/>
      <c r="B88" s="15"/>
      <c r="C88" s="15"/>
      <c r="D88" s="18"/>
      <c r="E88" s="15"/>
      <c r="F88" s="15"/>
    </row>
    <row r="89" customFormat="false" ht="15" hidden="false" customHeight="false" outlineLevel="0" collapsed="false">
      <c r="A89" s="15"/>
      <c r="B89" s="15"/>
      <c r="C89" s="15"/>
      <c r="D89" s="18"/>
      <c r="E89" s="15"/>
      <c r="F89" s="15"/>
    </row>
    <row r="90" customFormat="false" ht="15" hidden="false" customHeight="false" outlineLevel="0" collapsed="false">
      <c r="A90" s="15"/>
      <c r="B90" s="15"/>
      <c r="C90" s="15"/>
      <c r="D90" s="18"/>
      <c r="E90" s="15"/>
      <c r="F90" s="15"/>
    </row>
    <row r="91" customFormat="false" ht="15" hidden="false" customHeight="false" outlineLevel="0" collapsed="false">
      <c r="A91" s="15"/>
      <c r="B91" s="15"/>
      <c r="C91" s="15"/>
      <c r="D91" s="18"/>
      <c r="E91" s="15"/>
      <c r="F91" s="15"/>
    </row>
    <row r="92" customFormat="false" ht="15" hidden="false" customHeight="false" outlineLevel="0" collapsed="false">
      <c r="A92" s="15"/>
      <c r="B92" s="15"/>
      <c r="C92" s="15"/>
      <c r="D92" s="18"/>
      <c r="E92" s="15"/>
      <c r="F92" s="15"/>
    </row>
    <row r="93" customFormat="false" ht="15" hidden="false" customHeight="false" outlineLevel="0" collapsed="false">
      <c r="A93" s="15"/>
      <c r="B93" s="15"/>
      <c r="C93" s="15"/>
      <c r="D93" s="18"/>
      <c r="E93" s="15"/>
      <c r="F93" s="15"/>
    </row>
    <row r="94" customFormat="false" ht="15" hidden="false" customHeight="false" outlineLevel="0" collapsed="false">
      <c r="A94" s="15"/>
      <c r="B94" s="15"/>
      <c r="C94" s="15"/>
      <c r="D94" s="18"/>
      <c r="E94" s="15"/>
      <c r="F94" s="15"/>
    </row>
    <row r="95" customFormat="false" ht="15" hidden="false" customHeight="false" outlineLevel="0" collapsed="false">
      <c r="A95" s="15"/>
      <c r="B95" s="15"/>
      <c r="C95" s="15"/>
      <c r="D95" s="18"/>
      <c r="E95" s="15"/>
      <c r="F95" s="15"/>
    </row>
    <row r="96" customFormat="false" ht="15" hidden="false" customHeight="false" outlineLevel="0" collapsed="false">
      <c r="A96" s="15"/>
      <c r="B96" s="15"/>
      <c r="C96" s="15"/>
      <c r="D96" s="18"/>
      <c r="E96" s="15"/>
      <c r="F96" s="15"/>
    </row>
    <row r="97" customFormat="false" ht="15" hidden="false" customHeight="false" outlineLevel="0" collapsed="false">
      <c r="A97" s="15"/>
      <c r="B97" s="15"/>
      <c r="C97" s="15"/>
      <c r="D97" s="18"/>
      <c r="E97" s="15"/>
      <c r="F97" s="15"/>
    </row>
    <row r="98" customFormat="false" ht="15" hidden="false" customHeight="false" outlineLevel="0" collapsed="false">
      <c r="A98" s="15"/>
      <c r="B98" s="15"/>
      <c r="C98" s="15"/>
      <c r="D98" s="18"/>
      <c r="E98" s="15"/>
      <c r="F98" s="15"/>
    </row>
    <row r="99" customFormat="false" ht="15" hidden="false" customHeight="false" outlineLevel="0" collapsed="false">
      <c r="A99" s="15"/>
      <c r="B99" s="15"/>
      <c r="C99" s="15"/>
      <c r="D99" s="18"/>
      <c r="E99" s="15"/>
      <c r="F99" s="15"/>
    </row>
    <row r="100" customFormat="false" ht="15" hidden="false" customHeight="false" outlineLevel="0" collapsed="false">
      <c r="A100" s="15"/>
      <c r="B100" s="15"/>
      <c r="C100" s="15"/>
      <c r="D100" s="18"/>
      <c r="E100" s="15"/>
      <c r="F100" s="15"/>
    </row>
    <row r="101" customFormat="false" ht="15" hidden="false" customHeight="false" outlineLevel="0" collapsed="false">
      <c r="A101" s="15"/>
      <c r="B101" s="15"/>
      <c r="C101" s="15"/>
      <c r="D101" s="18"/>
      <c r="E101" s="15"/>
      <c r="F101" s="15"/>
    </row>
    <row r="102" customFormat="false" ht="15" hidden="false" customHeight="false" outlineLevel="0" collapsed="false">
      <c r="A102" s="15"/>
      <c r="B102" s="15"/>
      <c r="C102" s="15"/>
      <c r="D102" s="18"/>
      <c r="E102" s="15"/>
      <c r="F102" s="15"/>
    </row>
    <row r="103" customFormat="false" ht="15" hidden="false" customHeight="false" outlineLevel="0" collapsed="false">
      <c r="A103" s="15"/>
      <c r="B103" s="15"/>
      <c r="C103" s="15"/>
      <c r="D103" s="18"/>
      <c r="E103" s="15"/>
      <c r="F103" s="15"/>
    </row>
    <row r="104" customFormat="false" ht="15" hidden="false" customHeight="false" outlineLevel="0" collapsed="false">
      <c r="A104" s="15"/>
      <c r="B104" s="15"/>
      <c r="C104" s="15"/>
      <c r="D104" s="18"/>
      <c r="E104" s="15"/>
      <c r="F104" s="15"/>
    </row>
    <row r="105" customFormat="false" ht="15" hidden="false" customHeight="false" outlineLevel="0" collapsed="false">
      <c r="A105" s="15"/>
      <c r="B105" s="15"/>
      <c r="C105" s="15"/>
      <c r="D105" s="18"/>
      <c r="E105" s="15"/>
      <c r="F105" s="15"/>
    </row>
    <row r="106" customFormat="false" ht="15" hidden="false" customHeight="false" outlineLevel="0" collapsed="false">
      <c r="A106" s="15"/>
      <c r="B106" s="15"/>
      <c r="C106" s="15"/>
      <c r="D106" s="18"/>
      <c r="E106" s="15"/>
      <c r="F106" s="15"/>
    </row>
    <row r="107" customFormat="false" ht="15" hidden="false" customHeight="false" outlineLevel="0" collapsed="false">
      <c r="A107" s="15"/>
      <c r="B107" s="15"/>
      <c r="C107" s="15"/>
      <c r="D107" s="18"/>
      <c r="E107" s="15"/>
      <c r="F107" s="15"/>
    </row>
    <row r="108" customFormat="false" ht="15" hidden="false" customHeight="false" outlineLevel="0" collapsed="false">
      <c r="A108" s="15"/>
      <c r="B108" s="15"/>
      <c r="C108" s="15"/>
      <c r="D108" s="18"/>
      <c r="E108" s="15"/>
      <c r="F108" s="15"/>
    </row>
    <row r="109" customFormat="false" ht="15" hidden="false" customHeight="false" outlineLevel="0" collapsed="false">
      <c r="A109" s="15"/>
      <c r="B109" s="15"/>
      <c r="C109" s="15"/>
      <c r="D109" s="18"/>
      <c r="E109" s="15"/>
      <c r="F109" s="15"/>
    </row>
    <row r="110" customFormat="false" ht="15" hidden="false" customHeight="false" outlineLevel="0" collapsed="false">
      <c r="A110" s="15"/>
      <c r="B110" s="15"/>
      <c r="C110" s="15"/>
      <c r="D110" s="18"/>
      <c r="E110" s="15"/>
      <c r="F110" s="15"/>
    </row>
    <row r="111" customFormat="false" ht="15" hidden="false" customHeight="false" outlineLevel="0" collapsed="false">
      <c r="A111" s="15"/>
      <c r="B111" s="15"/>
      <c r="C111" s="15"/>
      <c r="D111" s="18"/>
      <c r="E111" s="15"/>
      <c r="F111" s="15"/>
    </row>
    <row r="112" customFormat="false" ht="15" hidden="false" customHeight="false" outlineLevel="0" collapsed="false">
      <c r="A112" s="15"/>
      <c r="B112" s="15"/>
      <c r="C112" s="15"/>
      <c r="D112" s="18"/>
      <c r="E112" s="15"/>
      <c r="F112" s="15"/>
    </row>
    <row r="113" customFormat="false" ht="15" hidden="false" customHeight="false" outlineLevel="0" collapsed="false">
      <c r="A113" s="15"/>
      <c r="B113" s="15"/>
      <c r="C113" s="15"/>
      <c r="D113" s="18"/>
      <c r="E113" s="15"/>
      <c r="F113" s="15"/>
    </row>
    <row r="114" customFormat="false" ht="15" hidden="false" customHeight="false" outlineLevel="0" collapsed="false">
      <c r="A114" s="15"/>
      <c r="B114" s="15"/>
      <c r="C114" s="15"/>
      <c r="D114" s="18"/>
      <c r="E114" s="15"/>
      <c r="F114" s="15"/>
    </row>
    <row r="115" customFormat="false" ht="15" hidden="false" customHeight="false" outlineLevel="0" collapsed="false">
      <c r="A115" s="15"/>
      <c r="B115" s="15"/>
      <c r="C115" s="15"/>
      <c r="D115" s="18"/>
      <c r="E115" s="15"/>
      <c r="F115" s="15"/>
    </row>
    <row r="116" customFormat="false" ht="15" hidden="false" customHeight="false" outlineLevel="0" collapsed="false">
      <c r="A116" s="15"/>
      <c r="B116" s="15"/>
      <c r="C116" s="15"/>
      <c r="D116" s="18"/>
      <c r="E116" s="15"/>
      <c r="F116" s="15"/>
    </row>
    <row r="117" customFormat="false" ht="15" hidden="false" customHeight="false" outlineLevel="0" collapsed="false">
      <c r="A117" s="15"/>
      <c r="B117" s="15"/>
      <c r="C117" s="15"/>
      <c r="D117" s="18"/>
      <c r="E117" s="15"/>
      <c r="F117" s="15"/>
    </row>
    <row r="118" customFormat="false" ht="15" hidden="false" customHeight="false" outlineLevel="0" collapsed="false">
      <c r="A118" s="15"/>
      <c r="B118" s="15"/>
      <c r="C118" s="15"/>
      <c r="D118" s="18"/>
      <c r="E118" s="15"/>
      <c r="F118" s="15"/>
    </row>
    <row r="119" customFormat="false" ht="15" hidden="false" customHeight="false" outlineLevel="0" collapsed="false">
      <c r="A119" s="15"/>
      <c r="B119" s="15"/>
      <c r="C119" s="15"/>
      <c r="D119" s="18"/>
      <c r="E119" s="15"/>
      <c r="F119" s="15"/>
    </row>
    <row r="120" customFormat="false" ht="15" hidden="false" customHeight="false" outlineLevel="0" collapsed="false">
      <c r="A120" s="15"/>
      <c r="B120" s="15"/>
      <c r="C120" s="15"/>
      <c r="D120" s="18"/>
      <c r="E120" s="15"/>
      <c r="F120" s="15"/>
    </row>
    <row r="121" customFormat="false" ht="15" hidden="false" customHeight="false" outlineLevel="0" collapsed="false">
      <c r="A121" s="15"/>
      <c r="B121" s="15"/>
      <c r="C121" s="15"/>
      <c r="D121" s="18"/>
      <c r="E121" s="15"/>
      <c r="F121" s="15"/>
    </row>
    <row r="122" customFormat="false" ht="15" hidden="false" customHeight="false" outlineLevel="0" collapsed="false">
      <c r="A122" s="15"/>
      <c r="B122" s="15"/>
      <c r="C122" s="15"/>
      <c r="D122" s="18"/>
      <c r="E122" s="15"/>
      <c r="F122" s="15"/>
    </row>
    <row r="123" customFormat="false" ht="15" hidden="false" customHeight="false" outlineLevel="0" collapsed="false">
      <c r="A123" s="15"/>
      <c r="B123" s="15"/>
      <c r="C123" s="15"/>
      <c r="D123" s="18"/>
      <c r="E123" s="15"/>
      <c r="F123" s="15"/>
    </row>
    <row r="124" customFormat="false" ht="15" hidden="false" customHeight="false" outlineLevel="0" collapsed="false">
      <c r="A124" s="15"/>
      <c r="B124" s="15"/>
      <c r="C124" s="15"/>
      <c r="D124" s="18"/>
      <c r="E124" s="15"/>
      <c r="F124" s="15"/>
    </row>
    <row r="125" customFormat="false" ht="15" hidden="false" customHeight="false" outlineLevel="0" collapsed="false">
      <c r="A125" s="15"/>
      <c r="B125" s="15"/>
      <c r="C125" s="15"/>
      <c r="D125" s="18"/>
      <c r="E125" s="15"/>
      <c r="F125" s="15"/>
    </row>
    <row r="126" customFormat="false" ht="15" hidden="false" customHeight="false" outlineLevel="0" collapsed="false">
      <c r="A126" s="15"/>
      <c r="B126" s="15"/>
      <c r="C126" s="15"/>
      <c r="D126" s="18"/>
      <c r="E126" s="15"/>
      <c r="F126" s="15"/>
    </row>
    <row r="127" customFormat="false" ht="15" hidden="false" customHeight="false" outlineLevel="0" collapsed="false">
      <c r="A127" s="15"/>
      <c r="B127" s="15"/>
      <c r="C127" s="15"/>
      <c r="D127" s="18"/>
      <c r="E127" s="15"/>
      <c r="F127" s="15"/>
    </row>
    <row r="128" customFormat="false" ht="15" hidden="false" customHeight="false" outlineLevel="0" collapsed="false">
      <c r="A128" s="15"/>
      <c r="B128" s="15"/>
      <c r="C128" s="15"/>
      <c r="D128" s="18"/>
      <c r="E128" s="15"/>
      <c r="F128" s="15"/>
    </row>
    <row r="129" customFormat="false" ht="15" hidden="false" customHeight="false" outlineLevel="0" collapsed="false">
      <c r="A129" s="15"/>
      <c r="B129" s="15"/>
      <c r="C129" s="15"/>
      <c r="D129" s="18"/>
      <c r="E129" s="15"/>
      <c r="F129" s="15"/>
    </row>
    <row r="130" customFormat="false" ht="15" hidden="false" customHeight="false" outlineLevel="0" collapsed="false">
      <c r="A130" s="15"/>
      <c r="B130" s="15"/>
      <c r="C130" s="15"/>
      <c r="D130" s="18"/>
      <c r="E130" s="15"/>
      <c r="F130" s="15"/>
    </row>
    <row r="131" customFormat="false" ht="15" hidden="false" customHeight="false" outlineLevel="0" collapsed="false">
      <c r="A131" s="15"/>
      <c r="B131" s="15"/>
      <c r="C131" s="15"/>
      <c r="D131" s="18"/>
      <c r="E131" s="15"/>
      <c r="F131" s="15"/>
    </row>
    <row r="132" customFormat="false" ht="15" hidden="false" customHeight="false" outlineLevel="0" collapsed="false">
      <c r="A132" s="15"/>
      <c r="B132" s="15"/>
      <c r="C132" s="15"/>
      <c r="D132" s="18"/>
      <c r="E132" s="15"/>
      <c r="F132" s="15"/>
    </row>
    <row r="133" customFormat="false" ht="15" hidden="false" customHeight="false" outlineLevel="0" collapsed="false">
      <c r="A133" s="15"/>
      <c r="B133" s="15"/>
      <c r="C133" s="15"/>
      <c r="D133" s="18"/>
      <c r="E133" s="15"/>
      <c r="F133" s="15"/>
    </row>
    <row r="134" customFormat="false" ht="15" hidden="false" customHeight="false" outlineLevel="0" collapsed="false">
      <c r="A134" s="15"/>
      <c r="B134" s="15"/>
      <c r="C134" s="15"/>
      <c r="D134" s="18"/>
      <c r="E134" s="15"/>
      <c r="F134" s="15"/>
    </row>
    <row r="135" customFormat="false" ht="15" hidden="false" customHeight="false" outlineLevel="0" collapsed="false">
      <c r="A135" s="15"/>
      <c r="B135" s="15"/>
      <c r="C135" s="15"/>
      <c r="D135" s="18"/>
      <c r="E135" s="15"/>
      <c r="F135" s="15"/>
    </row>
    <row r="136" customFormat="false" ht="15" hidden="false" customHeight="false" outlineLevel="0" collapsed="false">
      <c r="A136" s="15"/>
      <c r="B136" s="15"/>
      <c r="C136" s="15"/>
      <c r="D136" s="18"/>
      <c r="E136" s="15"/>
      <c r="F136" s="15"/>
    </row>
    <row r="137" customFormat="false" ht="15" hidden="false" customHeight="false" outlineLevel="0" collapsed="false">
      <c r="A137" s="15"/>
      <c r="B137" s="15"/>
      <c r="C137" s="15"/>
      <c r="D137" s="18"/>
      <c r="E137" s="15"/>
      <c r="F137" s="15"/>
    </row>
    <row r="138" customFormat="false" ht="15" hidden="false" customHeight="false" outlineLevel="0" collapsed="false">
      <c r="A138" s="15"/>
      <c r="B138" s="15"/>
      <c r="C138" s="15"/>
      <c r="D138" s="18"/>
      <c r="E138" s="15"/>
      <c r="F138" s="15"/>
    </row>
    <row r="139" customFormat="false" ht="15" hidden="false" customHeight="false" outlineLevel="0" collapsed="false">
      <c r="A139" s="15"/>
      <c r="B139" s="15"/>
      <c r="C139" s="15"/>
      <c r="D139" s="18"/>
      <c r="E139" s="15"/>
      <c r="F139" s="15"/>
    </row>
    <row r="140" customFormat="false" ht="15" hidden="false" customHeight="false" outlineLevel="0" collapsed="false">
      <c r="A140" s="15"/>
      <c r="B140" s="15"/>
      <c r="C140" s="15"/>
      <c r="D140" s="18"/>
      <c r="E140" s="15"/>
      <c r="F140" s="15"/>
    </row>
    <row r="141" customFormat="false" ht="15" hidden="false" customHeight="false" outlineLevel="0" collapsed="false">
      <c r="A141" s="15"/>
      <c r="B141" s="15"/>
      <c r="C141" s="15"/>
      <c r="D141" s="18"/>
      <c r="E141" s="15"/>
      <c r="F141" s="15"/>
    </row>
    <row r="142" customFormat="false" ht="15" hidden="false" customHeight="false" outlineLevel="0" collapsed="false">
      <c r="A142" s="15"/>
      <c r="B142" s="15"/>
      <c r="C142" s="15"/>
      <c r="D142" s="18"/>
      <c r="E142" s="15"/>
      <c r="F142" s="15"/>
    </row>
    <row r="143" customFormat="false" ht="15" hidden="false" customHeight="false" outlineLevel="0" collapsed="false">
      <c r="A143" s="15"/>
      <c r="B143" s="15"/>
      <c r="C143" s="15"/>
      <c r="D143" s="18"/>
      <c r="E143" s="15"/>
      <c r="F143" s="15"/>
    </row>
    <row r="144" customFormat="false" ht="15" hidden="false" customHeight="false" outlineLevel="0" collapsed="false">
      <c r="A144" s="15"/>
      <c r="B144" s="15"/>
      <c r="C144" s="15"/>
      <c r="D144" s="18"/>
      <c r="E144" s="15"/>
      <c r="F144" s="15"/>
    </row>
    <row r="145" customFormat="false" ht="15" hidden="false" customHeight="false" outlineLevel="0" collapsed="false">
      <c r="A145" s="15"/>
      <c r="B145" s="15"/>
      <c r="C145" s="15"/>
      <c r="D145" s="18"/>
      <c r="E145" s="15"/>
      <c r="F145" s="15"/>
    </row>
    <row r="146" customFormat="false" ht="15" hidden="false" customHeight="false" outlineLevel="0" collapsed="false">
      <c r="A146" s="15"/>
      <c r="B146" s="15"/>
      <c r="C146" s="15"/>
      <c r="D146" s="18"/>
      <c r="E146" s="15"/>
      <c r="F146" s="15"/>
    </row>
    <row r="147" customFormat="false" ht="15" hidden="false" customHeight="false" outlineLevel="0" collapsed="false">
      <c r="A147" s="15"/>
      <c r="B147" s="15"/>
      <c r="C147" s="15"/>
      <c r="D147" s="18"/>
      <c r="E147" s="15"/>
      <c r="F147" s="15"/>
    </row>
    <row r="148" customFormat="false" ht="15" hidden="false" customHeight="false" outlineLevel="0" collapsed="false">
      <c r="A148" s="15"/>
      <c r="B148" s="15"/>
      <c r="C148" s="15"/>
      <c r="D148" s="18"/>
      <c r="E148" s="15"/>
      <c r="F148" s="15"/>
    </row>
    <row r="149" customFormat="false" ht="15" hidden="false" customHeight="false" outlineLevel="0" collapsed="false">
      <c r="A149" s="15"/>
      <c r="B149" s="15"/>
      <c r="C149" s="15"/>
      <c r="D149" s="18"/>
      <c r="E149" s="15"/>
      <c r="F149" s="15"/>
    </row>
    <row r="150" customFormat="false" ht="15" hidden="false" customHeight="false" outlineLevel="0" collapsed="false">
      <c r="A150" s="15"/>
      <c r="B150" s="15"/>
      <c r="C150" s="15"/>
      <c r="D150" s="18"/>
      <c r="E150" s="15"/>
      <c r="F150" s="15"/>
    </row>
    <row r="151" customFormat="false" ht="15" hidden="false" customHeight="false" outlineLevel="0" collapsed="false">
      <c r="A151" s="15"/>
      <c r="B151" s="15"/>
      <c r="C151" s="15"/>
      <c r="D151" s="18"/>
      <c r="E151" s="15"/>
      <c r="F151" s="15"/>
    </row>
    <row r="152" customFormat="false" ht="15" hidden="false" customHeight="false" outlineLevel="0" collapsed="false">
      <c r="A152" s="15"/>
      <c r="B152" s="15"/>
      <c r="C152" s="15"/>
      <c r="D152" s="18"/>
      <c r="E152" s="15"/>
      <c r="F152" s="15"/>
    </row>
    <row r="153" customFormat="false" ht="15" hidden="false" customHeight="false" outlineLevel="0" collapsed="false">
      <c r="A153" s="15"/>
      <c r="B153" s="15"/>
      <c r="C153" s="15"/>
      <c r="D153" s="18"/>
      <c r="E153" s="15"/>
      <c r="F153" s="15"/>
    </row>
    <row r="154" customFormat="false" ht="15" hidden="false" customHeight="false" outlineLevel="0" collapsed="false">
      <c r="A154" s="15"/>
      <c r="B154" s="15"/>
      <c r="C154" s="15"/>
      <c r="D154" s="18"/>
      <c r="E154" s="15"/>
      <c r="F154" s="15"/>
    </row>
    <row r="155" customFormat="false" ht="15" hidden="false" customHeight="false" outlineLevel="0" collapsed="false">
      <c r="A155" s="15"/>
      <c r="B155" s="15"/>
      <c r="C155" s="15"/>
      <c r="D155" s="18"/>
      <c r="E155" s="15"/>
      <c r="F155" s="15"/>
    </row>
    <row r="156" customFormat="false" ht="15" hidden="false" customHeight="false" outlineLevel="0" collapsed="false">
      <c r="A156" s="15"/>
      <c r="B156" s="15"/>
      <c r="C156" s="15"/>
      <c r="D156" s="18"/>
      <c r="E156" s="15"/>
      <c r="F156" s="15"/>
    </row>
    <row r="157" customFormat="false" ht="15" hidden="false" customHeight="false" outlineLevel="0" collapsed="false">
      <c r="A157" s="15"/>
      <c r="B157" s="15"/>
      <c r="C157" s="15"/>
      <c r="D157" s="18"/>
      <c r="E157" s="15"/>
      <c r="F157" s="15"/>
    </row>
    <row r="158" customFormat="false" ht="15" hidden="false" customHeight="false" outlineLevel="0" collapsed="false">
      <c r="A158" s="15"/>
      <c r="B158" s="15"/>
      <c r="C158" s="15"/>
      <c r="D158" s="18"/>
      <c r="E158" s="15"/>
      <c r="F158" s="15"/>
    </row>
    <row r="159" customFormat="false" ht="15" hidden="false" customHeight="false" outlineLevel="0" collapsed="false">
      <c r="A159" s="15"/>
      <c r="B159" s="15"/>
      <c r="C159" s="15"/>
      <c r="D159" s="18"/>
      <c r="E159" s="15"/>
      <c r="F159" s="15"/>
    </row>
    <row r="160" customFormat="false" ht="15" hidden="false" customHeight="false" outlineLevel="0" collapsed="false">
      <c r="A160" s="15"/>
      <c r="B160" s="15"/>
      <c r="C160" s="15"/>
      <c r="D160" s="18"/>
      <c r="E160" s="15"/>
      <c r="F160" s="15"/>
    </row>
    <row r="161" customFormat="false" ht="15" hidden="false" customHeight="false" outlineLevel="0" collapsed="false">
      <c r="A161" s="15"/>
      <c r="B161" s="15"/>
      <c r="C161" s="15"/>
      <c r="D161" s="18"/>
      <c r="E161" s="15"/>
      <c r="F161" s="15"/>
    </row>
    <row r="162" customFormat="false" ht="15" hidden="false" customHeight="false" outlineLevel="0" collapsed="false">
      <c r="A162" s="15"/>
      <c r="B162" s="15"/>
      <c r="C162" s="15"/>
      <c r="D162" s="18"/>
      <c r="E162" s="15"/>
      <c r="F162" s="15"/>
    </row>
    <row r="163" customFormat="false" ht="15" hidden="false" customHeight="false" outlineLevel="0" collapsed="false">
      <c r="A163" s="15"/>
      <c r="B163" s="15"/>
      <c r="C163" s="15"/>
      <c r="D163" s="18"/>
      <c r="E163" s="15"/>
      <c r="F163" s="15"/>
    </row>
    <row r="164" customFormat="false" ht="15" hidden="false" customHeight="false" outlineLevel="0" collapsed="false">
      <c r="A164" s="15"/>
      <c r="B164" s="15"/>
      <c r="C164" s="15"/>
      <c r="D164" s="18"/>
      <c r="E164" s="15"/>
      <c r="F164" s="15"/>
    </row>
    <row r="165" customFormat="false" ht="15" hidden="false" customHeight="false" outlineLevel="0" collapsed="false">
      <c r="A165" s="15"/>
      <c r="B165" s="15"/>
      <c r="C165" s="15"/>
      <c r="D165" s="18"/>
      <c r="E165" s="15"/>
      <c r="F165" s="15"/>
    </row>
    <row r="166" customFormat="false" ht="15" hidden="false" customHeight="false" outlineLevel="0" collapsed="false">
      <c r="A166" s="15"/>
      <c r="B166" s="15"/>
      <c r="C166" s="15"/>
      <c r="D166" s="18"/>
      <c r="E166" s="15"/>
      <c r="F166" s="15"/>
    </row>
    <row r="167" customFormat="false" ht="15" hidden="false" customHeight="false" outlineLevel="0" collapsed="false">
      <c r="A167" s="15"/>
      <c r="B167" s="15"/>
      <c r="C167" s="15"/>
      <c r="D167" s="18"/>
      <c r="E167" s="15"/>
      <c r="F167" s="15"/>
    </row>
    <row r="168" customFormat="false" ht="15" hidden="false" customHeight="false" outlineLevel="0" collapsed="false">
      <c r="A168" s="15"/>
      <c r="B168" s="15"/>
      <c r="C168" s="15"/>
      <c r="D168" s="18"/>
      <c r="E168" s="15"/>
      <c r="F168" s="15"/>
    </row>
    <row r="169" customFormat="false" ht="15" hidden="false" customHeight="false" outlineLevel="0" collapsed="false">
      <c r="A169" s="15"/>
      <c r="B169" s="15"/>
      <c r="C169" s="15"/>
      <c r="D169" s="18"/>
      <c r="E169" s="15"/>
      <c r="F169" s="15"/>
    </row>
    <row r="170" customFormat="false" ht="15" hidden="false" customHeight="false" outlineLevel="0" collapsed="false">
      <c r="A170" s="15"/>
      <c r="B170" s="15"/>
      <c r="C170" s="15"/>
      <c r="D170" s="18"/>
      <c r="E170" s="15"/>
      <c r="F170" s="15"/>
    </row>
    <row r="171" customFormat="false" ht="15" hidden="false" customHeight="false" outlineLevel="0" collapsed="false">
      <c r="A171" s="15"/>
      <c r="B171" s="15"/>
      <c r="C171" s="15"/>
      <c r="D171" s="18"/>
      <c r="E171" s="15"/>
      <c r="F171" s="15"/>
    </row>
    <row r="172" customFormat="false" ht="15" hidden="false" customHeight="false" outlineLevel="0" collapsed="false">
      <c r="A172" s="15"/>
      <c r="B172" s="15"/>
      <c r="C172" s="15"/>
      <c r="D172" s="18"/>
      <c r="E172" s="15"/>
      <c r="F172" s="15"/>
    </row>
    <row r="173" customFormat="false" ht="15" hidden="false" customHeight="false" outlineLevel="0" collapsed="false">
      <c r="A173" s="15"/>
      <c r="B173" s="15"/>
      <c r="C173" s="15"/>
      <c r="D173" s="18"/>
      <c r="E173" s="15"/>
      <c r="F173" s="15"/>
    </row>
    <row r="174" customFormat="false" ht="15" hidden="false" customHeight="false" outlineLevel="0" collapsed="false">
      <c r="A174" s="15"/>
      <c r="B174" s="15"/>
      <c r="C174" s="15"/>
      <c r="D174" s="18"/>
      <c r="E174" s="15"/>
      <c r="F174" s="15"/>
    </row>
    <row r="175" customFormat="false" ht="15" hidden="false" customHeight="false" outlineLevel="0" collapsed="false">
      <c r="A175" s="15"/>
      <c r="B175" s="15"/>
      <c r="C175" s="15"/>
      <c r="D175" s="18"/>
      <c r="E175" s="15"/>
      <c r="F175" s="15"/>
    </row>
    <row r="176" customFormat="false" ht="15" hidden="false" customHeight="false" outlineLevel="0" collapsed="false">
      <c r="A176" s="15"/>
      <c r="B176" s="15"/>
      <c r="C176" s="15"/>
      <c r="D176" s="18"/>
      <c r="E176" s="15"/>
      <c r="F176" s="15"/>
    </row>
    <row r="177" customFormat="false" ht="15" hidden="false" customHeight="false" outlineLevel="0" collapsed="false">
      <c r="A177" s="15"/>
      <c r="B177" s="15"/>
      <c r="C177" s="15"/>
      <c r="D177" s="18"/>
      <c r="E177" s="15"/>
      <c r="F177" s="15"/>
    </row>
    <row r="178" customFormat="false" ht="15" hidden="false" customHeight="false" outlineLevel="0" collapsed="false">
      <c r="A178" s="15"/>
      <c r="B178" s="15"/>
      <c r="C178" s="15"/>
      <c r="D178" s="18"/>
      <c r="E178" s="15"/>
      <c r="F178" s="15"/>
    </row>
    <row r="179" customFormat="false" ht="15" hidden="false" customHeight="false" outlineLevel="0" collapsed="false">
      <c r="A179" s="15"/>
      <c r="B179" s="15"/>
      <c r="C179" s="15"/>
      <c r="D179" s="18"/>
      <c r="E179" s="15"/>
      <c r="F179" s="15"/>
    </row>
    <row r="180" customFormat="false" ht="15" hidden="false" customHeight="false" outlineLevel="0" collapsed="false">
      <c r="A180" s="15"/>
      <c r="B180" s="15"/>
      <c r="C180" s="15"/>
      <c r="D180" s="18"/>
      <c r="E180" s="15"/>
      <c r="F180" s="15"/>
    </row>
    <row r="181" customFormat="false" ht="15" hidden="false" customHeight="false" outlineLevel="0" collapsed="false">
      <c r="A181" s="15"/>
      <c r="B181" s="15"/>
      <c r="C181" s="15"/>
      <c r="D181" s="18"/>
      <c r="E181" s="15"/>
      <c r="F181" s="15"/>
    </row>
    <row r="182" customFormat="false" ht="15" hidden="false" customHeight="false" outlineLevel="0" collapsed="false">
      <c r="A182" s="15"/>
      <c r="B182" s="15"/>
      <c r="C182" s="15"/>
      <c r="D182" s="18"/>
      <c r="E182" s="15"/>
      <c r="F182" s="15"/>
    </row>
    <row r="183" customFormat="false" ht="15" hidden="false" customHeight="false" outlineLevel="0" collapsed="false">
      <c r="A183" s="15"/>
      <c r="B183" s="15"/>
      <c r="C183" s="15"/>
      <c r="D183" s="18"/>
      <c r="E183" s="15"/>
      <c r="F183" s="15"/>
    </row>
    <row r="184" customFormat="false" ht="15" hidden="false" customHeight="false" outlineLevel="0" collapsed="false">
      <c r="A184" s="15"/>
      <c r="B184" s="15"/>
      <c r="C184" s="15"/>
      <c r="D184" s="18"/>
      <c r="E184" s="15"/>
      <c r="F184" s="15"/>
    </row>
    <row r="185" customFormat="false" ht="15" hidden="false" customHeight="false" outlineLevel="0" collapsed="false">
      <c r="A185" s="15"/>
      <c r="B185" s="15"/>
      <c r="C185" s="15"/>
      <c r="D185" s="18"/>
      <c r="E185" s="15"/>
      <c r="F185" s="15"/>
    </row>
    <row r="186" customFormat="false" ht="15" hidden="false" customHeight="false" outlineLevel="0" collapsed="false">
      <c r="A186" s="15"/>
      <c r="B186" s="15"/>
      <c r="C186" s="15"/>
      <c r="D186" s="18"/>
      <c r="E186" s="15"/>
      <c r="F186" s="15"/>
    </row>
    <row r="187" customFormat="false" ht="15" hidden="false" customHeight="false" outlineLevel="0" collapsed="false">
      <c r="A187" s="15"/>
      <c r="B187" s="15"/>
      <c r="C187" s="15"/>
      <c r="D187" s="18"/>
      <c r="E187" s="15"/>
      <c r="F187" s="15"/>
    </row>
    <row r="188" customFormat="false" ht="15" hidden="false" customHeight="false" outlineLevel="0" collapsed="false">
      <c r="A188" s="15"/>
      <c r="B188" s="15"/>
      <c r="C188" s="15"/>
      <c r="D188" s="18"/>
      <c r="E188" s="15"/>
      <c r="F188" s="15"/>
    </row>
    <row r="189" customFormat="false" ht="15" hidden="false" customHeight="false" outlineLevel="0" collapsed="false">
      <c r="A189" s="15"/>
      <c r="B189" s="15"/>
      <c r="C189" s="15"/>
      <c r="D189" s="18"/>
      <c r="E189" s="15"/>
      <c r="F189" s="15"/>
    </row>
    <row r="190" customFormat="false" ht="15" hidden="false" customHeight="false" outlineLevel="0" collapsed="false">
      <c r="A190" s="15"/>
      <c r="B190" s="15"/>
      <c r="C190" s="15"/>
      <c r="D190" s="18"/>
      <c r="E190" s="15"/>
      <c r="F190" s="15"/>
    </row>
    <row r="191" customFormat="false" ht="15" hidden="false" customHeight="false" outlineLevel="0" collapsed="false">
      <c r="A191" s="15"/>
      <c r="B191" s="15"/>
      <c r="C191" s="15"/>
      <c r="D191" s="18"/>
      <c r="E191" s="15"/>
      <c r="F191" s="15"/>
    </row>
    <row r="192" customFormat="false" ht="15" hidden="false" customHeight="false" outlineLevel="0" collapsed="false">
      <c r="A192" s="15"/>
      <c r="B192" s="15"/>
      <c r="C192" s="15"/>
      <c r="D192" s="18"/>
      <c r="E192" s="15"/>
      <c r="F192" s="15"/>
    </row>
    <row r="193" customFormat="false" ht="15" hidden="false" customHeight="false" outlineLevel="0" collapsed="false">
      <c r="A193" s="15"/>
      <c r="B193" s="15"/>
      <c r="C193" s="15"/>
      <c r="D193" s="18"/>
      <c r="E193" s="15"/>
      <c r="F193" s="15"/>
    </row>
    <row r="194" customFormat="false" ht="15" hidden="false" customHeight="false" outlineLevel="0" collapsed="false">
      <c r="A194" s="15"/>
      <c r="B194" s="15"/>
      <c r="C194" s="15"/>
      <c r="D194" s="18"/>
      <c r="E194" s="15"/>
      <c r="F194" s="15"/>
    </row>
    <row r="195" customFormat="false" ht="15" hidden="false" customHeight="false" outlineLevel="0" collapsed="false">
      <c r="A195" s="15"/>
      <c r="B195" s="15"/>
      <c r="C195" s="15"/>
      <c r="D195" s="18"/>
      <c r="E195" s="15"/>
      <c r="F195" s="15"/>
    </row>
    <row r="196" customFormat="false" ht="15" hidden="false" customHeight="false" outlineLevel="0" collapsed="false">
      <c r="A196" s="15"/>
      <c r="B196" s="15"/>
      <c r="C196" s="15"/>
      <c r="D196" s="18"/>
      <c r="E196" s="15"/>
      <c r="F196" s="15"/>
    </row>
    <row r="197" customFormat="false" ht="15" hidden="false" customHeight="false" outlineLevel="0" collapsed="false">
      <c r="A197" s="15"/>
      <c r="B197" s="15"/>
      <c r="C197" s="15"/>
      <c r="D197" s="18"/>
      <c r="E197" s="15"/>
      <c r="F197" s="15"/>
    </row>
    <row r="198" customFormat="false" ht="15" hidden="false" customHeight="false" outlineLevel="0" collapsed="false">
      <c r="A198" s="15"/>
      <c r="B198" s="15"/>
      <c r="C198" s="15"/>
      <c r="D198" s="18"/>
      <c r="E198" s="15"/>
      <c r="F198" s="15"/>
    </row>
    <row r="199" customFormat="false" ht="15" hidden="false" customHeight="false" outlineLevel="0" collapsed="false">
      <c r="A199" s="15"/>
      <c r="B199" s="15"/>
      <c r="C199" s="15"/>
      <c r="D199" s="18"/>
      <c r="E199" s="15"/>
      <c r="F199" s="15"/>
    </row>
    <row r="200" customFormat="false" ht="15" hidden="false" customHeight="false" outlineLevel="0" collapsed="false">
      <c r="A200" s="15"/>
      <c r="B200" s="15"/>
      <c r="C200" s="15"/>
      <c r="D200" s="18"/>
      <c r="E200" s="15"/>
      <c r="F200" s="15"/>
    </row>
    <row r="201" customFormat="false" ht="15" hidden="false" customHeight="false" outlineLevel="0" collapsed="false">
      <c r="A201" s="15"/>
      <c r="B201" s="15"/>
      <c r="C201" s="15"/>
      <c r="D201" s="18"/>
      <c r="E201" s="15"/>
      <c r="F201" s="15"/>
    </row>
    <row r="202" customFormat="false" ht="15" hidden="false" customHeight="false" outlineLevel="0" collapsed="false">
      <c r="A202" s="15"/>
      <c r="B202" s="15"/>
      <c r="C202" s="15"/>
      <c r="D202" s="18"/>
      <c r="E202" s="15"/>
      <c r="F202" s="15"/>
    </row>
    <row r="203" customFormat="false" ht="15" hidden="false" customHeight="false" outlineLevel="0" collapsed="false">
      <c r="A203" s="15"/>
      <c r="B203" s="15"/>
      <c r="C203" s="15"/>
      <c r="D203" s="18"/>
      <c r="E203" s="15"/>
      <c r="F203" s="15"/>
    </row>
    <row r="204" customFormat="false" ht="15" hidden="false" customHeight="false" outlineLevel="0" collapsed="false">
      <c r="A204" s="15"/>
      <c r="B204" s="15"/>
      <c r="C204" s="15"/>
      <c r="D204" s="18"/>
      <c r="E204" s="15"/>
      <c r="F204" s="15"/>
    </row>
  </sheetData>
  <autoFilter ref="A4:F204"/>
  <dataValidations count="2">
    <dataValidation allowBlank="true" error="Pick a value from the list." errorStyle="stop" operator="between" showDropDown="false" showErrorMessage="true" showInputMessage="false" sqref="B5:B204" type="list">
      <formula1>Lists!$F$2:$F$4</formula1>
      <formula2>0</formula2>
    </dataValidation>
    <dataValidation allowBlank="true" error="Pick a value from the list." errorStyle="stop" operator="between" showDropDown="false" showErrorMessage="true" showInputMessage="false" sqref="E5:E204" type="list">
      <formula1>Lists!$A$2:$A$3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4"/>
  </cols>
  <sheetData>
    <row r="1" customFormat="false" ht="31.5" hidden="false" customHeight="true" outlineLevel="0" collapsed="false">
      <c r="A1" s="19" t="s">
        <v>203</v>
      </c>
      <c r="B1" s="19" t="s">
        <v>204</v>
      </c>
    </row>
    <row r="2" customFormat="false" ht="15" hidden="false" customHeight="false" outlineLevel="0" collapsed="false">
      <c r="A2" s="20" t="s">
        <v>177</v>
      </c>
      <c r="B2" s="20" t="s">
        <v>205</v>
      </c>
    </row>
    <row r="3" customFormat="false" ht="15" hidden="false" customHeight="false" outlineLevel="0" collapsed="false">
      <c r="A3" s="20" t="s">
        <v>206</v>
      </c>
      <c r="B3" s="20" t="s">
        <v>207</v>
      </c>
    </row>
    <row r="4" customFormat="false" ht="15" hidden="false" customHeight="false" outlineLevel="0" collapsed="false">
      <c r="A4" s="20" t="s">
        <v>208</v>
      </c>
      <c r="B4" s="20" t="s">
        <v>207</v>
      </c>
    </row>
    <row r="5" customFormat="false" ht="15" hidden="false" customHeight="false" outlineLevel="0" collapsed="false">
      <c r="A5" s="20" t="s">
        <v>209</v>
      </c>
      <c r="B5" s="20" t="s">
        <v>205</v>
      </c>
    </row>
    <row r="6" customFormat="false" ht="15" hidden="false" customHeight="false" outlineLevel="0" collapsed="false">
      <c r="A6" s="20" t="s">
        <v>189</v>
      </c>
      <c r="B6" s="20" t="s">
        <v>210</v>
      </c>
    </row>
    <row r="7" customFormat="false" ht="15" hidden="false" customHeight="false" outlineLevel="0" collapsed="false">
      <c r="A7" s="20" t="s">
        <v>211</v>
      </c>
      <c r="B7" s="20" t="s">
        <v>212</v>
      </c>
    </row>
    <row r="8" customFormat="false" ht="15" hidden="false" customHeight="false" outlineLevel="0" collapsed="false">
      <c r="A8" s="20"/>
      <c r="B8" s="20"/>
    </row>
    <row r="9" customFormat="false" ht="15" hidden="false" customHeight="false" outlineLevel="0" collapsed="false">
      <c r="A9" s="20"/>
      <c r="B9" s="20"/>
    </row>
    <row r="10" customFormat="false" ht="15" hidden="false" customHeight="false" outlineLevel="0" collapsed="false">
      <c r="A10" s="20"/>
      <c r="B10" s="20"/>
    </row>
    <row r="11" customFormat="false" ht="15" hidden="false" customHeight="false" outlineLevel="0" collapsed="false">
      <c r="A11" s="20"/>
      <c r="B11" s="20"/>
    </row>
    <row r="12" customFormat="false" ht="15" hidden="false" customHeight="false" outlineLevel="0" collapsed="false">
      <c r="A12" s="20"/>
      <c r="B12" s="20"/>
    </row>
    <row r="13" customFormat="false" ht="15" hidden="false" customHeight="false" outlineLevel="0" collapsed="false">
      <c r="A13" s="20"/>
      <c r="B13" s="20"/>
    </row>
    <row r="14" customFormat="false" ht="15" hidden="false" customHeight="false" outlineLevel="0" collapsed="false">
      <c r="A14" s="20"/>
      <c r="B14" s="20"/>
    </row>
    <row r="15" customFormat="false" ht="15" hidden="false" customHeight="false" outlineLevel="0" collapsed="false">
      <c r="A15" s="20"/>
      <c r="B15" s="20"/>
    </row>
    <row r="16" customFormat="false" ht="15" hidden="false" customHeight="false" outlineLevel="0" collapsed="false">
      <c r="A16" s="20"/>
      <c r="B16" s="20"/>
    </row>
    <row r="17" customFormat="false" ht="15" hidden="false" customHeight="false" outlineLevel="0" collapsed="false">
      <c r="A17" s="20"/>
      <c r="B17" s="20"/>
    </row>
    <row r="18" customFormat="false" ht="15" hidden="false" customHeight="false" outlineLevel="0" collapsed="false">
      <c r="A18" s="20"/>
      <c r="B18" s="20"/>
    </row>
    <row r="19" customFormat="false" ht="15" hidden="false" customHeight="false" outlineLevel="0" collapsed="false">
      <c r="A19" s="20"/>
      <c r="B19" s="20"/>
    </row>
    <row r="20" customFormat="false" ht="15" hidden="false" customHeight="false" outlineLevel="0" collapsed="false">
      <c r="A20" s="20"/>
      <c r="B20" s="20"/>
    </row>
    <row r="21" customFormat="false" ht="15" hidden="false" customHeight="false" outlineLevel="0" collapsed="false">
      <c r="A21" s="20"/>
      <c r="B21" s="20"/>
    </row>
    <row r="22" customFormat="false" ht="15" hidden="false" customHeight="false" outlineLevel="0" collapsed="false">
      <c r="A22" s="20"/>
      <c r="B22" s="20"/>
    </row>
    <row r="23" customFormat="false" ht="15" hidden="false" customHeight="false" outlineLevel="0" collapsed="false">
      <c r="A23" s="20"/>
      <c r="B23" s="20"/>
    </row>
    <row r="24" customFormat="false" ht="15" hidden="false" customHeight="false" outlineLevel="0" collapsed="false">
      <c r="A24" s="20"/>
      <c r="B24" s="20"/>
    </row>
    <row r="25" customFormat="false" ht="15" hidden="false" customHeight="false" outlineLevel="0" collapsed="false">
      <c r="A25" s="20"/>
      <c r="B25" s="20"/>
    </row>
    <row r="26" customFormat="false" ht="15" hidden="false" customHeight="false" outlineLevel="0" collapsed="false">
      <c r="A26" s="20"/>
      <c r="B26" s="20"/>
    </row>
    <row r="27" customFormat="false" ht="15" hidden="false" customHeight="false" outlineLevel="0" collapsed="false">
      <c r="A27" s="20"/>
      <c r="B27" s="20"/>
    </row>
    <row r="28" customFormat="false" ht="15" hidden="false" customHeight="false" outlineLevel="0" collapsed="false">
      <c r="A28" s="20"/>
      <c r="B28" s="20"/>
    </row>
    <row r="29" customFormat="false" ht="15" hidden="false" customHeight="false" outlineLevel="0" collapsed="false">
      <c r="A29" s="20"/>
      <c r="B29" s="20"/>
    </row>
    <row r="30" customFormat="false" ht="15" hidden="false" customHeight="false" outlineLevel="0" collapsed="false">
      <c r="A30" s="20"/>
      <c r="B30" s="20"/>
    </row>
    <row r="31" customFormat="false" ht="15" hidden="false" customHeight="false" outlineLevel="0" collapsed="false">
      <c r="A31" s="20"/>
      <c r="B31" s="20"/>
    </row>
    <row r="32" customFormat="false" ht="15" hidden="false" customHeight="false" outlineLevel="0" collapsed="false">
      <c r="A32" s="20"/>
      <c r="B32" s="20"/>
    </row>
    <row r="33" customFormat="false" ht="15" hidden="false" customHeight="false" outlineLevel="0" collapsed="false">
      <c r="A33" s="20"/>
      <c r="B33" s="20"/>
    </row>
    <row r="34" customFormat="false" ht="15" hidden="false" customHeight="false" outlineLevel="0" collapsed="false">
      <c r="A34" s="20"/>
      <c r="B34" s="20"/>
    </row>
    <row r="35" customFormat="false" ht="15" hidden="false" customHeight="false" outlineLevel="0" collapsed="false">
      <c r="A35" s="20"/>
      <c r="B35" s="20"/>
    </row>
    <row r="36" customFormat="false" ht="15" hidden="false" customHeight="false" outlineLevel="0" collapsed="false">
      <c r="A36" s="20"/>
      <c r="B36" s="20"/>
    </row>
    <row r="37" customFormat="false" ht="15" hidden="false" customHeight="false" outlineLevel="0" collapsed="false">
      <c r="A37" s="20"/>
      <c r="B37" s="20"/>
    </row>
    <row r="38" customFormat="false" ht="15" hidden="false" customHeight="false" outlineLevel="0" collapsed="false">
      <c r="A38" s="20"/>
      <c r="B38" s="20"/>
    </row>
    <row r="39" customFormat="false" ht="15" hidden="false" customHeight="false" outlineLevel="0" collapsed="false">
      <c r="A39" s="20"/>
      <c r="B39" s="20"/>
    </row>
    <row r="40" customFormat="false" ht="15" hidden="false" customHeight="false" outlineLevel="0" collapsed="false">
      <c r="A40" s="20"/>
      <c r="B40" s="20"/>
    </row>
    <row r="41" customFormat="false" ht="15" hidden="false" customHeight="false" outlineLevel="0" collapsed="false">
      <c r="A41" s="20"/>
      <c r="B41" s="20"/>
    </row>
    <row r="42" customFormat="false" ht="15" hidden="false" customHeight="false" outlineLevel="0" collapsed="false">
      <c r="A42" s="20"/>
      <c r="B42" s="20"/>
    </row>
    <row r="43" customFormat="false" ht="15" hidden="false" customHeight="false" outlineLevel="0" collapsed="false">
      <c r="A43" s="20"/>
      <c r="B43" s="20"/>
    </row>
    <row r="44" customFormat="false" ht="15" hidden="false" customHeight="false" outlineLevel="0" collapsed="false">
      <c r="A44" s="20"/>
      <c r="B44" s="20"/>
    </row>
    <row r="45" customFormat="false" ht="15" hidden="false" customHeight="false" outlineLevel="0" collapsed="false">
      <c r="A45" s="20"/>
      <c r="B45" s="20"/>
    </row>
    <row r="46" customFormat="false" ht="15" hidden="false" customHeight="false" outlineLevel="0" collapsed="false">
      <c r="A46" s="20"/>
      <c r="B46" s="20"/>
    </row>
    <row r="47" customFormat="false" ht="15" hidden="false" customHeight="false" outlineLevel="0" collapsed="false">
      <c r="A47" s="20"/>
      <c r="B47" s="20"/>
    </row>
    <row r="48" customFormat="false" ht="15" hidden="false" customHeight="false" outlineLevel="0" collapsed="false">
      <c r="A48" s="20"/>
      <c r="B48" s="20"/>
    </row>
    <row r="49" customFormat="false" ht="15" hidden="false" customHeight="false" outlineLevel="0" collapsed="false">
      <c r="A49" s="20"/>
      <c r="B49" s="20"/>
    </row>
    <row r="50" customFormat="false" ht="15" hidden="false" customHeight="false" outlineLevel="0" collapsed="false">
      <c r="A50" s="20"/>
      <c r="B50" s="20"/>
    </row>
    <row r="51" customFormat="false" ht="15" hidden="false" customHeight="false" outlineLevel="0" collapsed="false">
      <c r="A51" s="20"/>
      <c r="B51" s="20"/>
    </row>
    <row r="52" customFormat="false" ht="15" hidden="false" customHeight="false" outlineLevel="0" collapsed="false">
      <c r="A52" s="20"/>
      <c r="B52" s="20"/>
    </row>
    <row r="53" customFormat="false" ht="15" hidden="false" customHeight="false" outlineLevel="0" collapsed="false">
      <c r="A53" s="20"/>
      <c r="B53" s="20"/>
    </row>
    <row r="54" customFormat="false" ht="15" hidden="false" customHeight="false" outlineLevel="0" collapsed="false">
      <c r="A54" s="20"/>
      <c r="B54" s="20"/>
    </row>
    <row r="55" customFormat="false" ht="15" hidden="false" customHeight="false" outlineLevel="0" collapsed="false">
      <c r="A55" s="20"/>
      <c r="B55" s="20"/>
    </row>
    <row r="56" customFormat="false" ht="15" hidden="false" customHeight="false" outlineLevel="0" collapsed="false">
      <c r="A56" s="20"/>
      <c r="B56" s="20"/>
    </row>
    <row r="57" customFormat="false" ht="15" hidden="false" customHeight="false" outlineLevel="0" collapsed="false">
      <c r="A57" s="20"/>
      <c r="B57" s="20"/>
    </row>
    <row r="58" customFormat="false" ht="15" hidden="false" customHeight="false" outlineLevel="0" collapsed="false">
      <c r="A58" s="20"/>
      <c r="B58" s="20"/>
    </row>
    <row r="59" customFormat="false" ht="15" hidden="false" customHeight="false" outlineLevel="0" collapsed="false">
      <c r="A59" s="20"/>
      <c r="B59" s="20"/>
    </row>
    <row r="60" customFormat="false" ht="15" hidden="false" customHeight="false" outlineLevel="0" collapsed="false">
      <c r="A60" s="20"/>
      <c r="B60" s="20"/>
    </row>
    <row r="61" customFormat="false" ht="15" hidden="false" customHeight="false" outlineLevel="0" collapsed="false">
      <c r="A61" s="20"/>
      <c r="B61" s="20"/>
    </row>
    <row r="62" customFormat="false" ht="15" hidden="false" customHeight="false" outlineLevel="0" collapsed="false">
      <c r="A62" s="20"/>
      <c r="B62" s="20"/>
    </row>
    <row r="63" customFormat="false" ht="15" hidden="false" customHeight="false" outlineLevel="0" collapsed="false">
      <c r="A63" s="20"/>
      <c r="B63" s="20"/>
    </row>
    <row r="64" customFormat="false" ht="15" hidden="false" customHeight="false" outlineLevel="0" collapsed="false">
      <c r="A64" s="20"/>
      <c r="B64" s="20"/>
    </row>
    <row r="65" customFormat="false" ht="15" hidden="false" customHeight="false" outlineLevel="0" collapsed="false">
      <c r="A65" s="20"/>
      <c r="B65" s="20"/>
    </row>
    <row r="66" customFormat="false" ht="15" hidden="false" customHeight="false" outlineLevel="0" collapsed="false">
      <c r="A66" s="20"/>
      <c r="B66" s="20"/>
    </row>
    <row r="67" customFormat="false" ht="15" hidden="false" customHeight="false" outlineLevel="0" collapsed="false">
      <c r="A67" s="20"/>
      <c r="B67" s="20"/>
    </row>
    <row r="68" customFormat="false" ht="15" hidden="false" customHeight="false" outlineLevel="0" collapsed="false">
      <c r="A68" s="20"/>
      <c r="B68" s="20"/>
    </row>
    <row r="69" customFormat="false" ht="15" hidden="false" customHeight="false" outlineLevel="0" collapsed="false">
      <c r="A69" s="20"/>
      <c r="B69" s="20"/>
    </row>
    <row r="70" customFormat="false" ht="15" hidden="false" customHeight="false" outlineLevel="0" collapsed="false">
      <c r="A70" s="20"/>
      <c r="B70" s="20"/>
    </row>
    <row r="71" customFormat="false" ht="15" hidden="false" customHeight="false" outlineLevel="0" collapsed="false">
      <c r="A71" s="20"/>
      <c r="B71" s="20"/>
    </row>
    <row r="72" customFormat="false" ht="15" hidden="false" customHeight="false" outlineLevel="0" collapsed="false">
      <c r="A72" s="20"/>
      <c r="B72" s="20"/>
    </row>
    <row r="73" customFormat="false" ht="15" hidden="false" customHeight="false" outlineLevel="0" collapsed="false">
      <c r="A73" s="20"/>
      <c r="B73" s="20"/>
    </row>
    <row r="74" customFormat="false" ht="15" hidden="false" customHeight="false" outlineLevel="0" collapsed="false">
      <c r="A74" s="20"/>
      <c r="B74" s="20"/>
    </row>
    <row r="75" customFormat="false" ht="15" hidden="false" customHeight="false" outlineLevel="0" collapsed="false">
      <c r="A75" s="20"/>
      <c r="B75" s="20"/>
    </row>
    <row r="76" customFormat="false" ht="15" hidden="false" customHeight="false" outlineLevel="0" collapsed="false">
      <c r="A76" s="20"/>
      <c r="B76" s="20"/>
    </row>
    <row r="77" customFormat="false" ht="15" hidden="false" customHeight="false" outlineLevel="0" collapsed="false">
      <c r="A77" s="20"/>
      <c r="B77" s="20"/>
    </row>
    <row r="78" customFormat="false" ht="15" hidden="false" customHeight="false" outlineLevel="0" collapsed="false">
      <c r="A78" s="20"/>
      <c r="B78" s="20"/>
    </row>
    <row r="79" customFormat="false" ht="15" hidden="false" customHeight="false" outlineLevel="0" collapsed="false">
      <c r="A79" s="20"/>
      <c r="B79" s="20"/>
    </row>
    <row r="80" customFormat="false" ht="15" hidden="false" customHeight="false" outlineLevel="0" collapsed="false">
      <c r="A80" s="20"/>
      <c r="B80" s="20"/>
    </row>
    <row r="81" customFormat="false" ht="15" hidden="false" customHeight="false" outlineLevel="0" collapsed="false">
      <c r="A81" s="20"/>
      <c r="B81" s="20"/>
    </row>
    <row r="82" customFormat="false" ht="15" hidden="false" customHeight="false" outlineLevel="0" collapsed="false">
      <c r="A82" s="20"/>
      <c r="B82" s="20"/>
    </row>
    <row r="83" customFormat="false" ht="15" hidden="false" customHeight="false" outlineLevel="0" collapsed="false">
      <c r="A83" s="20"/>
      <c r="B83" s="20"/>
    </row>
    <row r="84" customFormat="false" ht="15" hidden="false" customHeight="false" outlineLevel="0" collapsed="false">
      <c r="A84" s="20"/>
      <c r="B84" s="20"/>
    </row>
    <row r="85" customFormat="false" ht="15" hidden="false" customHeight="false" outlineLevel="0" collapsed="false">
      <c r="A85" s="20"/>
      <c r="B85" s="20"/>
    </row>
    <row r="86" customFormat="false" ht="15" hidden="false" customHeight="false" outlineLevel="0" collapsed="false">
      <c r="A86" s="20"/>
      <c r="B86" s="20"/>
    </row>
    <row r="87" customFormat="false" ht="15" hidden="false" customHeight="false" outlineLevel="0" collapsed="false">
      <c r="A87" s="20"/>
      <c r="B87" s="20"/>
    </row>
    <row r="88" customFormat="false" ht="15" hidden="false" customHeight="false" outlineLevel="0" collapsed="false">
      <c r="A88" s="20"/>
      <c r="B88" s="20"/>
    </row>
    <row r="89" customFormat="false" ht="15" hidden="false" customHeight="false" outlineLevel="0" collapsed="false">
      <c r="A89" s="20"/>
      <c r="B89" s="20"/>
    </row>
    <row r="90" customFormat="false" ht="15" hidden="false" customHeight="false" outlineLevel="0" collapsed="false">
      <c r="A90" s="20"/>
      <c r="B90" s="20"/>
    </row>
    <row r="91" customFormat="false" ht="15" hidden="false" customHeight="false" outlineLevel="0" collapsed="false">
      <c r="A91" s="20"/>
      <c r="B91" s="20"/>
    </row>
    <row r="92" customFormat="false" ht="15" hidden="false" customHeight="false" outlineLevel="0" collapsed="false">
      <c r="A92" s="20"/>
      <c r="B92" s="20"/>
    </row>
    <row r="93" customFormat="false" ht="15" hidden="false" customHeight="false" outlineLevel="0" collapsed="false">
      <c r="A93" s="20"/>
      <c r="B93" s="20"/>
    </row>
    <row r="94" customFormat="false" ht="15" hidden="false" customHeight="false" outlineLevel="0" collapsed="false">
      <c r="A94" s="20"/>
      <c r="B94" s="20"/>
    </row>
    <row r="95" customFormat="false" ht="15" hidden="false" customHeight="false" outlineLevel="0" collapsed="false">
      <c r="A95" s="20"/>
      <c r="B95" s="20"/>
    </row>
    <row r="96" customFormat="false" ht="15" hidden="false" customHeight="false" outlineLevel="0" collapsed="false">
      <c r="A96" s="20"/>
      <c r="B96" s="20"/>
    </row>
    <row r="97" customFormat="false" ht="15" hidden="false" customHeight="false" outlineLevel="0" collapsed="false">
      <c r="A97" s="20"/>
      <c r="B97" s="20"/>
    </row>
    <row r="98" customFormat="false" ht="15" hidden="false" customHeight="false" outlineLevel="0" collapsed="false">
      <c r="A98" s="20"/>
      <c r="B98" s="20"/>
    </row>
    <row r="99" customFormat="false" ht="15" hidden="false" customHeight="false" outlineLevel="0" collapsed="false">
      <c r="A99" s="20"/>
      <c r="B99" s="20"/>
    </row>
    <row r="100" customFormat="false" ht="15" hidden="false" customHeight="false" outlineLevel="0" collapsed="false">
      <c r="A100" s="20"/>
      <c r="B100" s="20"/>
    </row>
    <row r="101" customFormat="false" ht="15" hidden="false" customHeight="false" outlineLevel="0" collapsed="false">
      <c r="A101" s="20"/>
      <c r="B101" s="20"/>
    </row>
    <row r="102" customFormat="false" ht="15" hidden="false" customHeight="false" outlineLevel="0" collapsed="false">
      <c r="A102" s="20"/>
      <c r="B102" s="20"/>
    </row>
    <row r="103" customFormat="false" ht="15" hidden="false" customHeight="false" outlineLevel="0" collapsed="false">
      <c r="A103" s="20"/>
      <c r="B103" s="20"/>
    </row>
    <row r="104" customFormat="false" ht="15" hidden="false" customHeight="false" outlineLevel="0" collapsed="false">
      <c r="A104" s="20"/>
      <c r="B104" s="20"/>
    </row>
    <row r="105" customFormat="false" ht="15" hidden="false" customHeight="false" outlineLevel="0" collapsed="false">
      <c r="A105" s="20"/>
      <c r="B105" s="20"/>
    </row>
    <row r="106" customFormat="false" ht="15" hidden="false" customHeight="false" outlineLevel="0" collapsed="false">
      <c r="A106" s="20"/>
      <c r="B106" s="20"/>
    </row>
    <row r="107" customFormat="false" ht="15" hidden="false" customHeight="false" outlineLevel="0" collapsed="false">
      <c r="A107" s="20"/>
      <c r="B107" s="20"/>
    </row>
    <row r="108" customFormat="false" ht="15" hidden="false" customHeight="false" outlineLevel="0" collapsed="false">
      <c r="A108" s="20"/>
      <c r="B108" s="20"/>
    </row>
    <row r="109" customFormat="false" ht="15" hidden="false" customHeight="false" outlineLevel="0" collapsed="false">
      <c r="A109" s="20"/>
      <c r="B109" s="20"/>
    </row>
    <row r="110" customFormat="false" ht="15" hidden="false" customHeight="false" outlineLevel="0" collapsed="false">
      <c r="A110" s="20"/>
      <c r="B110" s="20"/>
    </row>
    <row r="111" customFormat="false" ht="15" hidden="false" customHeight="false" outlineLevel="0" collapsed="false">
      <c r="A111" s="20"/>
      <c r="B111" s="20"/>
    </row>
    <row r="112" customFormat="false" ht="15" hidden="false" customHeight="false" outlineLevel="0" collapsed="false">
      <c r="A112" s="20"/>
      <c r="B112" s="20"/>
    </row>
    <row r="113" customFormat="false" ht="15" hidden="false" customHeight="false" outlineLevel="0" collapsed="false">
      <c r="A113" s="20"/>
      <c r="B113" s="20"/>
    </row>
    <row r="114" customFormat="false" ht="15" hidden="false" customHeight="false" outlineLevel="0" collapsed="false">
      <c r="A114" s="20"/>
      <c r="B114" s="20"/>
    </row>
    <row r="115" customFormat="false" ht="15" hidden="false" customHeight="false" outlineLevel="0" collapsed="false">
      <c r="A115" s="20"/>
      <c r="B115" s="20"/>
    </row>
    <row r="116" customFormat="false" ht="15" hidden="false" customHeight="false" outlineLevel="0" collapsed="false">
      <c r="A116" s="20"/>
      <c r="B116" s="20"/>
    </row>
    <row r="117" customFormat="false" ht="15" hidden="false" customHeight="false" outlineLevel="0" collapsed="false">
      <c r="A117" s="20"/>
      <c r="B117" s="20"/>
    </row>
    <row r="118" customFormat="false" ht="15" hidden="false" customHeight="false" outlineLevel="0" collapsed="false">
      <c r="A118" s="20"/>
      <c r="B118" s="20"/>
    </row>
    <row r="119" customFormat="false" ht="15" hidden="false" customHeight="false" outlineLevel="0" collapsed="false">
      <c r="A119" s="20"/>
      <c r="B119" s="20"/>
    </row>
    <row r="120" customFormat="false" ht="15" hidden="false" customHeight="false" outlineLevel="0" collapsed="false">
      <c r="A120" s="20"/>
      <c r="B120" s="20"/>
    </row>
    <row r="121" customFormat="false" ht="15" hidden="false" customHeight="false" outlineLevel="0" collapsed="false">
      <c r="A121" s="20"/>
      <c r="B121" s="20"/>
    </row>
    <row r="122" customFormat="false" ht="15" hidden="false" customHeight="false" outlineLevel="0" collapsed="false">
      <c r="A122" s="20"/>
      <c r="B122" s="20"/>
    </row>
    <row r="123" customFormat="false" ht="15" hidden="false" customHeight="false" outlineLevel="0" collapsed="false">
      <c r="A123" s="20"/>
      <c r="B123" s="20"/>
    </row>
    <row r="124" customFormat="false" ht="15" hidden="false" customHeight="false" outlineLevel="0" collapsed="false">
      <c r="A124" s="20"/>
      <c r="B124" s="20"/>
    </row>
    <row r="125" customFormat="false" ht="15" hidden="false" customHeight="false" outlineLevel="0" collapsed="false">
      <c r="A125" s="20"/>
      <c r="B125" s="20"/>
    </row>
    <row r="126" customFormat="false" ht="15" hidden="false" customHeight="false" outlineLevel="0" collapsed="false">
      <c r="A126" s="20"/>
      <c r="B126" s="20"/>
    </row>
    <row r="127" customFormat="false" ht="15" hidden="false" customHeight="false" outlineLevel="0" collapsed="false">
      <c r="A127" s="20"/>
      <c r="B127" s="20"/>
    </row>
    <row r="128" customFormat="false" ht="15" hidden="false" customHeight="false" outlineLevel="0" collapsed="false">
      <c r="A128" s="20"/>
      <c r="B128" s="20"/>
    </row>
    <row r="129" customFormat="false" ht="15" hidden="false" customHeight="false" outlineLevel="0" collapsed="false">
      <c r="A129" s="20"/>
      <c r="B129" s="20"/>
    </row>
    <row r="130" customFormat="false" ht="15" hidden="false" customHeight="false" outlineLevel="0" collapsed="false">
      <c r="A130" s="20"/>
      <c r="B130" s="20"/>
    </row>
    <row r="131" customFormat="false" ht="15" hidden="false" customHeight="false" outlineLevel="0" collapsed="false">
      <c r="A131" s="20"/>
      <c r="B131" s="20"/>
    </row>
    <row r="132" customFormat="false" ht="15" hidden="false" customHeight="false" outlineLevel="0" collapsed="false">
      <c r="A132" s="20"/>
      <c r="B132" s="20"/>
    </row>
    <row r="133" customFormat="false" ht="15" hidden="false" customHeight="false" outlineLevel="0" collapsed="false">
      <c r="A133" s="20"/>
      <c r="B133" s="20"/>
    </row>
    <row r="134" customFormat="false" ht="15" hidden="false" customHeight="false" outlineLevel="0" collapsed="false">
      <c r="A134" s="20"/>
      <c r="B134" s="20"/>
    </row>
    <row r="135" customFormat="false" ht="15" hidden="false" customHeight="false" outlineLevel="0" collapsed="false">
      <c r="A135" s="20"/>
      <c r="B135" s="20"/>
    </row>
    <row r="136" customFormat="false" ht="15" hidden="false" customHeight="false" outlineLevel="0" collapsed="false">
      <c r="A136" s="20"/>
      <c r="B136" s="20"/>
    </row>
    <row r="137" customFormat="false" ht="15" hidden="false" customHeight="false" outlineLevel="0" collapsed="false">
      <c r="A137" s="20"/>
      <c r="B137" s="20"/>
    </row>
    <row r="138" customFormat="false" ht="15" hidden="false" customHeight="false" outlineLevel="0" collapsed="false">
      <c r="A138" s="20"/>
      <c r="B138" s="20"/>
    </row>
    <row r="139" customFormat="false" ht="15" hidden="false" customHeight="false" outlineLevel="0" collapsed="false">
      <c r="A139" s="20"/>
      <c r="B139" s="20"/>
    </row>
    <row r="140" customFormat="false" ht="15" hidden="false" customHeight="false" outlineLevel="0" collapsed="false">
      <c r="A140" s="20"/>
      <c r="B140" s="20"/>
    </row>
    <row r="141" customFormat="false" ht="15" hidden="false" customHeight="false" outlineLevel="0" collapsed="false">
      <c r="A141" s="20"/>
      <c r="B141" s="20"/>
    </row>
    <row r="142" customFormat="false" ht="15" hidden="false" customHeight="false" outlineLevel="0" collapsed="false">
      <c r="A142" s="20"/>
      <c r="B142" s="20"/>
    </row>
    <row r="143" customFormat="false" ht="15" hidden="false" customHeight="false" outlineLevel="0" collapsed="false">
      <c r="A143" s="20"/>
      <c r="B143" s="20"/>
    </row>
    <row r="144" customFormat="false" ht="15" hidden="false" customHeight="false" outlineLevel="0" collapsed="false">
      <c r="A144" s="20"/>
      <c r="B144" s="20"/>
    </row>
    <row r="145" customFormat="false" ht="15" hidden="false" customHeight="false" outlineLevel="0" collapsed="false">
      <c r="A145" s="20"/>
      <c r="B145" s="20"/>
    </row>
    <row r="146" customFormat="false" ht="15" hidden="false" customHeight="false" outlineLevel="0" collapsed="false">
      <c r="A146" s="20"/>
      <c r="B146" s="20"/>
    </row>
    <row r="147" customFormat="false" ht="15" hidden="false" customHeight="false" outlineLevel="0" collapsed="false">
      <c r="A147" s="20"/>
      <c r="B147" s="20"/>
    </row>
    <row r="148" customFormat="false" ht="15" hidden="false" customHeight="false" outlineLevel="0" collapsed="false">
      <c r="A148" s="20"/>
      <c r="B148" s="20"/>
    </row>
    <row r="149" customFormat="false" ht="15" hidden="false" customHeight="false" outlineLevel="0" collapsed="false">
      <c r="A149" s="20"/>
      <c r="B149" s="20"/>
    </row>
    <row r="150" customFormat="false" ht="15" hidden="false" customHeight="false" outlineLevel="0" collapsed="false">
      <c r="A150" s="20"/>
      <c r="B150" s="20"/>
    </row>
    <row r="151" customFormat="false" ht="15" hidden="false" customHeight="false" outlineLevel="0" collapsed="false">
      <c r="A151" s="20"/>
      <c r="B151" s="20"/>
    </row>
    <row r="152" customFormat="false" ht="15" hidden="false" customHeight="false" outlineLevel="0" collapsed="false">
      <c r="A152" s="20"/>
      <c r="B152" s="20"/>
    </row>
    <row r="153" customFormat="false" ht="15" hidden="false" customHeight="false" outlineLevel="0" collapsed="false">
      <c r="A153" s="20"/>
      <c r="B153" s="20"/>
    </row>
    <row r="154" customFormat="false" ht="15" hidden="false" customHeight="false" outlineLevel="0" collapsed="false">
      <c r="A154" s="20"/>
      <c r="B154" s="20"/>
    </row>
    <row r="155" customFormat="false" ht="15" hidden="false" customHeight="false" outlineLevel="0" collapsed="false">
      <c r="A155" s="20"/>
      <c r="B155" s="20"/>
    </row>
    <row r="156" customFormat="false" ht="15" hidden="false" customHeight="false" outlineLevel="0" collapsed="false">
      <c r="A156" s="20"/>
      <c r="B156" s="20"/>
    </row>
    <row r="157" customFormat="false" ht="15" hidden="false" customHeight="false" outlineLevel="0" collapsed="false">
      <c r="A157" s="20"/>
      <c r="B157" s="20"/>
    </row>
    <row r="158" customFormat="false" ht="15" hidden="false" customHeight="false" outlineLevel="0" collapsed="false">
      <c r="A158" s="20"/>
      <c r="B158" s="20"/>
    </row>
    <row r="159" customFormat="false" ht="15" hidden="false" customHeight="false" outlineLevel="0" collapsed="false">
      <c r="A159" s="20"/>
      <c r="B159" s="20"/>
    </row>
    <row r="160" customFormat="false" ht="15" hidden="false" customHeight="false" outlineLevel="0" collapsed="false">
      <c r="A160" s="20"/>
      <c r="B160" s="20"/>
    </row>
    <row r="161" customFormat="false" ht="15" hidden="false" customHeight="false" outlineLevel="0" collapsed="false">
      <c r="A161" s="20"/>
      <c r="B161" s="20"/>
    </row>
    <row r="162" customFormat="false" ht="15" hidden="false" customHeight="false" outlineLevel="0" collapsed="false">
      <c r="A162" s="20"/>
      <c r="B162" s="20"/>
    </row>
    <row r="163" customFormat="false" ht="15" hidden="false" customHeight="false" outlineLevel="0" collapsed="false">
      <c r="A163" s="20"/>
      <c r="B163" s="20"/>
    </row>
    <row r="164" customFormat="false" ht="15" hidden="false" customHeight="false" outlineLevel="0" collapsed="false">
      <c r="A164" s="20"/>
      <c r="B164" s="20"/>
    </row>
    <row r="165" customFormat="false" ht="15" hidden="false" customHeight="false" outlineLevel="0" collapsed="false">
      <c r="A165" s="20"/>
      <c r="B165" s="20"/>
    </row>
    <row r="166" customFormat="false" ht="15" hidden="false" customHeight="false" outlineLevel="0" collapsed="false">
      <c r="A166" s="20"/>
      <c r="B166" s="20"/>
    </row>
    <row r="167" customFormat="false" ht="15" hidden="false" customHeight="false" outlineLevel="0" collapsed="false">
      <c r="A167" s="20"/>
      <c r="B167" s="20"/>
    </row>
    <row r="168" customFormat="false" ht="15" hidden="false" customHeight="false" outlineLevel="0" collapsed="false">
      <c r="A168" s="20"/>
      <c r="B168" s="20"/>
    </row>
    <row r="169" customFormat="false" ht="15" hidden="false" customHeight="false" outlineLevel="0" collapsed="false">
      <c r="A169" s="20"/>
      <c r="B169" s="20"/>
    </row>
    <row r="170" customFormat="false" ht="15" hidden="false" customHeight="false" outlineLevel="0" collapsed="false">
      <c r="A170" s="20"/>
      <c r="B170" s="20"/>
    </row>
    <row r="171" customFormat="false" ht="15" hidden="false" customHeight="false" outlineLevel="0" collapsed="false">
      <c r="A171" s="20"/>
      <c r="B171" s="20"/>
    </row>
    <row r="172" customFormat="false" ht="15" hidden="false" customHeight="false" outlineLevel="0" collapsed="false">
      <c r="A172" s="20"/>
      <c r="B172" s="20"/>
    </row>
    <row r="173" customFormat="false" ht="15" hidden="false" customHeight="false" outlineLevel="0" collapsed="false">
      <c r="A173" s="20"/>
      <c r="B173" s="20"/>
    </row>
    <row r="174" customFormat="false" ht="15" hidden="false" customHeight="false" outlineLevel="0" collapsed="false">
      <c r="A174" s="20"/>
      <c r="B174" s="20"/>
    </row>
    <row r="175" customFormat="false" ht="15" hidden="false" customHeight="false" outlineLevel="0" collapsed="false">
      <c r="A175" s="20"/>
      <c r="B175" s="20"/>
    </row>
    <row r="176" customFormat="false" ht="15" hidden="false" customHeight="false" outlineLevel="0" collapsed="false">
      <c r="A176" s="20"/>
      <c r="B176" s="20"/>
    </row>
    <row r="177" customFormat="false" ht="15" hidden="false" customHeight="false" outlineLevel="0" collapsed="false">
      <c r="A177" s="20"/>
      <c r="B177" s="20"/>
    </row>
    <row r="178" customFormat="false" ht="15" hidden="false" customHeight="false" outlineLevel="0" collapsed="false">
      <c r="A178" s="20"/>
      <c r="B178" s="20"/>
    </row>
    <row r="179" customFormat="false" ht="15" hidden="false" customHeight="false" outlineLevel="0" collapsed="false">
      <c r="A179" s="20"/>
      <c r="B179" s="20"/>
    </row>
    <row r="180" customFormat="false" ht="15" hidden="false" customHeight="false" outlineLevel="0" collapsed="false">
      <c r="A180" s="20"/>
      <c r="B180" s="20"/>
    </row>
    <row r="181" customFormat="false" ht="15" hidden="false" customHeight="false" outlineLevel="0" collapsed="false">
      <c r="A181" s="20"/>
      <c r="B181" s="20"/>
    </row>
    <row r="182" customFormat="false" ht="15" hidden="false" customHeight="false" outlineLevel="0" collapsed="false">
      <c r="A182" s="20"/>
      <c r="B182" s="20"/>
    </row>
    <row r="183" customFormat="false" ht="15" hidden="false" customHeight="false" outlineLevel="0" collapsed="false">
      <c r="A183" s="20"/>
      <c r="B183" s="20"/>
    </row>
    <row r="184" customFormat="false" ht="15" hidden="false" customHeight="false" outlineLevel="0" collapsed="false">
      <c r="A184" s="20"/>
      <c r="B184" s="20"/>
    </row>
    <row r="185" customFormat="false" ht="15" hidden="false" customHeight="false" outlineLevel="0" collapsed="false">
      <c r="A185" s="20"/>
      <c r="B185" s="20"/>
    </row>
    <row r="186" customFormat="false" ht="15" hidden="false" customHeight="false" outlineLevel="0" collapsed="false">
      <c r="A186" s="20"/>
      <c r="B186" s="20"/>
    </row>
    <row r="187" customFormat="false" ht="15" hidden="false" customHeight="false" outlineLevel="0" collapsed="false">
      <c r="A187" s="20"/>
      <c r="B187" s="20"/>
    </row>
    <row r="188" customFormat="false" ht="15" hidden="false" customHeight="false" outlineLevel="0" collapsed="false">
      <c r="A188" s="20"/>
      <c r="B188" s="20"/>
    </row>
    <row r="189" customFormat="false" ht="15" hidden="false" customHeight="false" outlineLevel="0" collapsed="false">
      <c r="A189" s="20"/>
      <c r="B189" s="20"/>
    </row>
    <row r="190" customFormat="false" ht="15" hidden="false" customHeight="false" outlineLevel="0" collapsed="false">
      <c r="A190" s="20"/>
      <c r="B190" s="20"/>
    </row>
    <row r="191" customFormat="false" ht="15" hidden="false" customHeight="false" outlineLevel="0" collapsed="false">
      <c r="A191" s="20"/>
      <c r="B191" s="20"/>
    </row>
    <row r="192" customFormat="false" ht="15" hidden="false" customHeight="false" outlineLevel="0" collapsed="false">
      <c r="A192" s="20"/>
      <c r="B192" s="20"/>
    </row>
    <row r="193" customFormat="false" ht="15" hidden="false" customHeight="false" outlineLevel="0" collapsed="false">
      <c r="A193" s="20"/>
      <c r="B193" s="20"/>
    </row>
    <row r="194" customFormat="false" ht="15" hidden="false" customHeight="false" outlineLevel="0" collapsed="false">
      <c r="A194" s="20"/>
      <c r="B194" s="20"/>
    </row>
    <row r="195" customFormat="false" ht="15" hidden="false" customHeight="false" outlineLevel="0" collapsed="false">
      <c r="A195" s="20"/>
      <c r="B195" s="20"/>
    </row>
    <row r="196" customFormat="false" ht="15" hidden="false" customHeight="false" outlineLevel="0" collapsed="false">
      <c r="A196" s="20"/>
      <c r="B196" s="20"/>
    </row>
    <row r="197" customFormat="false" ht="15" hidden="false" customHeight="false" outlineLevel="0" collapsed="false">
      <c r="A197" s="20"/>
      <c r="B197" s="20"/>
    </row>
    <row r="198" customFormat="false" ht="15" hidden="false" customHeight="false" outlineLevel="0" collapsed="false">
      <c r="A198" s="20"/>
      <c r="B198" s="20"/>
    </row>
    <row r="199" customFormat="false" ht="15" hidden="false" customHeight="false" outlineLevel="0" collapsed="false">
      <c r="A199" s="20"/>
      <c r="B199" s="20"/>
    </row>
    <row r="200" customFormat="false" ht="15" hidden="false" customHeight="false" outlineLevel="0" collapsed="false">
      <c r="A200" s="20"/>
      <c r="B200" s="20"/>
    </row>
    <row r="201" customFormat="false" ht="15" hidden="false" customHeight="false" outlineLevel="0" collapsed="false">
      <c r="A201" s="20"/>
      <c r="B201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</cols>
  <sheetData>
    <row r="1" customFormat="false" ht="31.5" hidden="false" customHeight="true" outlineLevel="0" collapsed="false">
      <c r="A1" s="19" t="s">
        <v>213</v>
      </c>
    </row>
    <row r="2" customFormat="false" ht="15" hidden="false" customHeight="false" outlineLevel="0" collapsed="false">
      <c r="A2" s="20" t="s">
        <v>214</v>
      </c>
    </row>
    <row r="3" customFormat="false" ht="15" hidden="false" customHeight="false" outlineLevel="0" collapsed="false">
      <c r="A3" s="20" t="s">
        <v>191</v>
      </c>
    </row>
    <row r="4" customFormat="false" ht="15" hidden="false" customHeight="false" outlineLevel="0" collapsed="false">
      <c r="A4" s="20" t="s">
        <v>195</v>
      </c>
    </row>
    <row r="5" customFormat="false" ht="15" hidden="false" customHeight="false" outlineLevel="0" collapsed="false">
      <c r="A5" s="20" t="s">
        <v>215</v>
      </c>
    </row>
    <row r="6" customFormat="false" ht="15" hidden="false" customHeight="false" outlineLevel="0" collapsed="false">
      <c r="A6" s="20"/>
    </row>
    <row r="7" customFormat="false" ht="15" hidden="false" customHeight="false" outlineLevel="0" collapsed="false">
      <c r="A7" s="20"/>
    </row>
    <row r="8" customFormat="false" ht="15" hidden="false" customHeight="false" outlineLevel="0" collapsed="false">
      <c r="A8" s="20"/>
    </row>
    <row r="9" customFormat="false" ht="15" hidden="false" customHeight="false" outlineLevel="0" collapsed="false">
      <c r="A9" s="20"/>
    </row>
    <row r="10" customFormat="false" ht="15" hidden="false" customHeight="false" outlineLevel="0" collapsed="false">
      <c r="A10" s="20"/>
    </row>
    <row r="11" customFormat="false" ht="15" hidden="false" customHeight="false" outlineLevel="0" collapsed="false">
      <c r="A11" s="20"/>
    </row>
    <row r="12" customFormat="false" ht="15" hidden="false" customHeight="false" outlineLevel="0" collapsed="false">
      <c r="A12" s="20"/>
    </row>
    <row r="13" customFormat="false" ht="15" hidden="false" customHeight="false" outlineLevel="0" collapsed="false">
      <c r="A13" s="20"/>
    </row>
    <row r="14" customFormat="false" ht="15" hidden="false" customHeight="false" outlineLevel="0" collapsed="false">
      <c r="A14" s="20"/>
    </row>
    <row r="15" customFormat="false" ht="15" hidden="false" customHeight="false" outlineLevel="0" collapsed="false">
      <c r="A15" s="20"/>
    </row>
    <row r="16" customFormat="false" ht="15" hidden="false" customHeight="false" outlineLevel="0" collapsed="false">
      <c r="A16" s="20"/>
    </row>
    <row r="17" customFormat="false" ht="15" hidden="false" customHeight="false" outlineLevel="0" collapsed="false">
      <c r="A17" s="20"/>
    </row>
    <row r="18" customFormat="false" ht="15" hidden="false" customHeight="false" outlineLevel="0" collapsed="false">
      <c r="A18" s="20"/>
    </row>
    <row r="19" customFormat="false" ht="15" hidden="false" customHeight="false" outlineLevel="0" collapsed="false">
      <c r="A19" s="20"/>
    </row>
    <row r="20" customFormat="false" ht="15" hidden="false" customHeight="false" outlineLevel="0" collapsed="false">
      <c r="A20" s="20"/>
    </row>
    <row r="21" customFormat="false" ht="15" hidden="false" customHeight="false" outlineLevel="0" collapsed="false">
      <c r="A21" s="20"/>
    </row>
    <row r="22" customFormat="false" ht="15" hidden="false" customHeight="false" outlineLevel="0" collapsed="false">
      <c r="A22" s="20"/>
    </row>
    <row r="23" customFormat="false" ht="15" hidden="false" customHeight="false" outlineLevel="0" collapsed="false">
      <c r="A23" s="20"/>
    </row>
    <row r="24" customFormat="false" ht="15" hidden="false" customHeight="false" outlineLevel="0" collapsed="false">
      <c r="A24" s="20"/>
    </row>
    <row r="25" customFormat="false" ht="15" hidden="false" customHeight="false" outlineLevel="0" collapsed="false">
      <c r="A25" s="20"/>
    </row>
    <row r="26" customFormat="false" ht="15" hidden="false" customHeight="false" outlineLevel="0" collapsed="false">
      <c r="A26" s="20"/>
    </row>
    <row r="27" customFormat="false" ht="15" hidden="false" customHeight="false" outlineLevel="0" collapsed="false">
      <c r="A27" s="20"/>
    </row>
    <row r="28" customFormat="false" ht="15" hidden="false" customHeight="false" outlineLevel="0" collapsed="false">
      <c r="A28" s="20"/>
    </row>
    <row r="29" customFormat="false" ht="15" hidden="false" customHeight="false" outlineLevel="0" collapsed="false">
      <c r="A29" s="20"/>
    </row>
    <row r="30" customFormat="false" ht="15" hidden="false" customHeight="false" outlineLevel="0" collapsed="false">
      <c r="A30" s="20"/>
    </row>
    <row r="31" customFormat="false" ht="15" hidden="false" customHeight="false" outlineLevel="0" collapsed="false">
      <c r="A31" s="20"/>
    </row>
    <row r="32" customFormat="false" ht="15" hidden="false" customHeight="false" outlineLevel="0" collapsed="false">
      <c r="A32" s="20"/>
    </row>
    <row r="33" customFormat="false" ht="15" hidden="false" customHeight="false" outlineLevel="0" collapsed="false">
      <c r="A33" s="20"/>
    </row>
    <row r="34" customFormat="false" ht="15" hidden="false" customHeight="false" outlineLevel="0" collapsed="false">
      <c r="A34" s="20"/>
    </row>
    <row r="35" customFormat="false" ht="15" hidden="false" customHeight="false" outlineLevel="0" collapsed="false">
      <c r="A35" s="20"/>
    </row>
    <row r="36" customFormat="false" ht="15" hidden="false" customHeight="false" outlineLevel="0" collapsed="false">
      <c r="A36" s="20"/>
    </row>
    <row r="37" customFormat="false" ht="15" hidden="false" customHeight="false" outlineLevel="0" collapsed="false">
      <c r="A37" s="20"/>
    </row>
    <row r="38" customFormat="false" ht="15" hidden="false" customHeight="false" outlineLevel="0" collapsed="false">
      <c r="A38" s="20"/>
    </row>
    <row r="39" customFormat="false" ht="15" hidden="false" customHeight="false" outlineLevel="0" collapsed="false">
      <c r="A39" s="20"/>
    </row>
    <row r="40" customFormat="false" ht="15" hidden="false" customHeight="false" outlineLevel="0" collapsed="false">
      <c r="A40" s="20"/>
    </row>
    <row r="41" customFormat="false" ht="15" hidden="false" customHeight="false" outlineLevel="0" collapsed="false">
      <c r="A41" s="20"/>
    </row>
    <row r="42" customFormat="false" ht="15" hidden="false" customHeight="false" outlineLevel="0" collapsed="false">
      <c r="A42" s="20"/>
    </row>
    <row r="43" customFormat="false" ht="15" hidden="false" customHeight="false" outlineLevel="0" collapsed="false">
      <c r="A43" s="20"/>
    </row>
    <row r="44" customFormat="false" ht="15" hidden="false" customHeight="false" outlineLevel="0" collapsed="false">
      <c r="A44" s="20"/>
    </row>
    <row r="45" customFormat="false" ht="15" hidden="false" customHeight="false" outlineLevel="0" collapsed="false">
      <c r="A45" s="20"/>
    </row>
    <row r="46" customFormat="false" ht="15" hidden="false" customHeight="false" outlineLevel="0" collapsed="false">
      <c r="A46" s="20"/>
    </row>
    <row r="47" customFormat="false" ht="15" hidden="false" customHeight="false" outlineLevel="0" collapsed="false">
      <c r="A47" s="20"/>
    </row>
    <row r="48" customFormat="false" ht="15" hidden="false" customHeight="false" outlineLevel="0" collapsed="false">
      <c r="A48" s="20"/>
    </row>
    <row r="49" customFormat="false" ht="15" hidden="false" customHeight="false" outlineLevel="0" collapsed="false">
      <c r="A49" s="20"/>
    </row>
    <row r="50" customFormat="false" ht="15" hidden="false" customHeight="false" outlineLevel="0" collapsed="false">
      <c r="A50" s="20"/>
    </row>
    <row r="51" customFormat="false" ht="15" hidden="false" customHeight="false" outlineLevel="0" collapsed="false">
      <c r="A51" s="20"/>
    </row>
    <row r="52" customFormat="false" ht="15" hidden="false" customHeight="false" outlineLevel="0" collapsed="false">
      <c r="A52" s="20"/>
    </row>
    <row r="53" customFormat="false" ht="15" hidden="false" customHeight="false" outlineLevel="0" collapsed="false">
      <c r="A53" s="20"/>
    </row>
    <row r="54" customFormat="false" ht="15" hidden="false" customHeight="false" outlineLevel="0" collapsed="false">
      <c r="A54" s="20"/>
    </row>
    <row r="55" customFormat="false" ht="15" hidden="false" customHeight="false" outlineLevel="0" collapsed="false">
      <c r="A55" s="20"/>
    </row>
    <row r="56" customFormat="false" ht="15" hidden="false" customHeight="false" outlineLevel="0" collapsed="false">
      <c r="A56" s="20"/>
    </row>
    <row r="57" customFormat="false" ht="15" hidden="false" customHeight="false" outlineLevel="0" collapsed="false">
      <c r="A57" s="20"/>
    </row>
    <row r="58" customFormat="false" ht="15" hidden="false" customHeight="false" outlineLevel="0" collapsed="false">
      <c r="A58" s="20"/>
    </row>
    <row r="59" customFormat="false" ht="15" hidden="false" customHeight="false" outlineLevel="0" collapsed="false">
      <c r="A59" s="20"/>
    </row>
    <row r="60" customFormat="false" ht="15" hidden="false" customHeight="false" outlineLevel="0" collapsed="false">
      <c r="A60" s="20"/>
    </row>
    <row r="61" customFormat="false" ht="15" hidden="false" customHeight="false" outlineLevel="0" collapsed="false">
      <c r="A61" s="20"/>
    </row>
    <row r="62" customFormat="false" ht="15" hidden="false" customHeight="false" outlineLevel="0" collapsed="false">
      <c r="A62" s="20"/>
    </row>
    <row r="63" customFormat="false" ht="15" hidden="false" customHeight="false" outlineLevel="0" collapsed="false">
      <c r="A63" s="20"/>
    </row>
    <row r="64" customFormat="false" ht="15" hidden="false" customHeight="false" outlineLevel="0" collapsed="false">
      <c r="A64" s="20"/>
    </row>
    <row r="65" customFormat="false" ht="15" hidden="false" customHeight="false" outlineLevel="0" collapsed="false">
      <c r="A65" s="20"/>
    </row>
    <row r="66" customFormat="false" ht="15" hidden="false" customHeight="false" outlineLevel="0" collapsed="false">
      <c r="A66" s="20"/>
    </row>
    <row r="67" customFormat="false" ht="15" hidden="false" customHeight="false" outlineLevel="0" collapsed="false">
      <c r="A67" s="20"/>
    </row>
    <row r="68" customFormat="false" ht="15" hidden="false" customHeight="false" outlineLevel="0" collapsed="false">
      <c r="A68" s="20"/>
    </row>
    <row r="69" customFormat="false" ht="15" hidden="false" customHeight="false" outlineLevel="0" collapsed="false">
      <c r="A69" s="20"/>
    </row>
    <row r="70" customFormat="false" ht="15" hidden="false" customHeight="false" outlineLevel="0" collapsed="false">
      <c r="A70" s="20"/>
    </row>
    <row r="71" customFormat="false" ht="15" hidden="false" customHeight="false" outlineLevel="0" collapsed="false">
      <c r="A71" s="20"/>
    </row>
    <row r="72" customFormat="false" ht="15" hidden="false" customHeight="false" outlineLevel="0" collapsed="false">
      <c r="A72" s="20"/>
    </row>
    <row r="73" customFormat="false" ht="15" hidden="false" customHeight="false" outlineLevel="0" collapsed="false">
      <c r="A73" s="20"/>
    </row>
    <row r="74" customFormat="false" ht="15" hidden="false" customHeight="false" outlineLevel="0" collapsed="false">
      <c r="A74" s="20"/>
    </row>
    <row r="75" customFormat="false" ht="15" hidden="false" customHeight="false" outlineLevel="0" collapsed="false">
      <c r="A75" s="20"/>
    </row>
    <row r="76" customFormat="false" ht="15" hidden="false" customHeight="false" outlineLevel="0" collapsed="false">
      <c r="A76" s="20"/>
    </row>
    <row r="77" customFormat="false" ht="15" hidden="false" customHeight="false" outlineLevel="0" collapsed="false">
      <c r="A77" s="20"/>
    </row>
    <row r="78" customFormat="false" ht="15" hidden="false" customHeight="false" outlineLevel="0" collapsed="false">
      <c r="A78" s="20"/>
    </row>
    <row r="79" customFormat="false" ht="15" hidden="false" customHeight="false" outlineLevel="0" collapsed="false">
      <c r="A79" s="20"/>
    </row>
    <row r="80" customFormat="false" ht="15" hidden="false" customHeight="false" outlineLevel="0" collapsed="false">
      <c r="A80" s="20"/>
    </row>
    <row r="81" customFormat="false" ht="15" hidden="false" customHeight="false" outlineLevel="0" collapsed="false">
      <c r="A81" s="20"/>
    </row>
    <row r="82" customFormat="false" ht="15" hidden="false" customHeight="false" outlineLevel="0" collapsed="false">
      <c r="A82" s="20"/>
    </row>
    <row r="83" customFormat="false" ht="15" hidden="false" customHeight="false" outlineLevel="0" collapsed="false">
      <c r="A83" s="20"/>
    </row>
    <row r="84" customFormat="false" ht="15" hidden="false" customHeight="false" outlineLevel="0" collapsed="false">
      <c r="A84" s="20"/>
    </row>
    <row r="85" customFormat="false" ht="15" hidden="false" customHeight="false" outlineLevel="0" collapsed="false">
      <c r="A85" s="20"/>
    </row>
    <row r="86" customFormat="false" ht="15" hidden="false" customHeight="false" outlineLevel="0" collapsed="false">
      <c r="A86" s="20"/>
    </row>
    <row r="87" customFormat="false" ht="15" hidden="false" customHeight="false" outlineLevel="0" collapsed="false">
      <c r="A87" s="20"/>
    </row>
    <row r="88" customFormat="false" ht="15" hidden="false" customHeight="false" outlineLevel="0" collapsed="false">
      <c r="A88" s="20"/>
    </row>
    <row r="89" customFormat="false" ht="15" hidden="false" customHeight="false" outlineLevel="0" collapsed="false">
      <c r="A89" s="20"/>
    </row>
    <row r="90" customFormat="false" ht="15" hidden="false" customHeight="false" outlineLevel="0" collapsed="false">
      <c r="A90" s="20"/>
    </row>
    <row r="91" customFormat="false" ht="15" hidden="false" customHeight="false" outlineLevel="0" collapsed="false">
      <c r="A91" s="20"/>
    </row>
    <row r="92" customFormat="false" ht="15" hidden="false" customHeight="false" outlineLevel="0" collapsed="false">
      <c r="A92" s="20"/>
    </row>
    <row r="93" customFormat="false" ht="15" hidden="false" customHeight="false" outlineLevel="0" collapsed="false">
      <c r="A93" s="20"/>
    </row>
    <row r="94" customFormat="false" ht="15" hidden="false" customHeight="false" outlineLevel="0" collapsed="false">
      <c r="A94" s="20"/>
    </row>
    <row r="95" customFormat="false" ht="15" hidden="false" customHeight="false" outlineLevel="0" collapsed="false">
      <c r="A95" s="20"/>
    </row>
    <row r="96" customFormat="false" ht="15" hidden="false" customHeight="false" outlineLevel="0" collapsed="false">
      <c r="A96" s="20"/>
    </row>
    <row r="97" customFormat="false" ht="15" hidden="false" customHeight="false" outlineLevel="0" collapsed="false">
      <c r="A97" s="20"/>
    </row>
    <row r="98" customFormat="false" ht="15" hidden="false" customHeight="false" outlineLevel="0" collapsed="false">
      <c r="A98" s="20"/>
    </row>
    <row r="99" customFormat="false" ht="15" hidden="false" customHeight="false" outlineLevel="0" collapsed="false">
      <c r="A99" s="20"/>
    </row>
    <row r="100" customFormat="false" ht="15" hidden="false" customHeight="false" outlineLevel="0" collapsed="false">
      <c r="A100" s="20"/>
    </row>
    <row r="101" customFormat="false" ht="15" hidden="false" customHeight="false" outlineLevel="0" collapsed="false">
      <c r="A101" s="20"/>
    </row>
    <row r="102" customFormat="false" ht="15" hidden="false" customHeight="false" outlineLevel="0" collapsed="false">
      <c r="A102" s="20"/>
    </row>
    <row r="103" customFormat="false" ht="15" hidden="false" customHeight="false" outlineLevel="0" collapsed="false">
      <c r="A103" s="20"/>
    </row>
    <row r="104" customFormat="false" ht="15" hidden="false" customHeight="false" outlineLevel="0" collapsed="false">
      <c r="A104" s="20"/>
    </row>
    <row r="105" customFormat="false" ht="15" hidden="false" customHeight="false" outlineLevel="0" collapsed="false">
      <c r="A105" s="20"/>
    </row>
    <row r="106" customFormat="false" ht="15" hidden="false" customHeight="false" outlineLevel="0" collapsed="false">
      <c r="A106" s="20"/>
    </row>
    <row r="107" customFormat="false" ht="15" hidden="false" customHeight="false" outlineLevel="0" collapsed="false">
      <c r="A107" s="20"/>
    </row>
    <row r="108" customFormat="false" ht="15" hidden="false" customHeight="false" outlineLevel="0" collapsed="false">
      <c r="A108" s="20"/>
    </row>
    <row r="109" customFormat="false" ht="15" hidden="false" customHeight="false" outlineLevel="0" collapsed="false">
      <c r="A109" s="20"/>
    </row>
    <row r="110" customFormat="false" ht="15" hidden="false" customHeight="false" outlineLevel="0" collapsed="false">
      <c r="A110" s="20"/>
    </row>
    <row r="111" customFormat="false" ht="15" hidden="false" customHeight="false" outlineLevel="0" collapsed="false">
      <c r="A111" s="20"/>
    </row>
    <row r="112" customFormat="false" ht="15" hidden="false" customHeight="false" outlineLevel="0" collapsed="false">
      <c r="A112" s="20"/>
    </row>
    <row r="113" customFormat="false" ht="15" hidden="false" customHeight="false" outlineLevel="0" collapsed="false">
      <c r="A113" s="20"/>
    </row>
    <row r="114" customFormat="false" ht="15" hidden="false" customHeight="false" outlineLevel="0" collapsed="false">
      <c r="A114" s="20"/>
    </row>
    <row r="115" customFormat="false" ht="15" hidden="false" customHeight="false" outlineLevel="0" collapsed="false">
      <c r="A115" s="20"/>
    </row>
    <row r="116" customFormat="false" ht="15" hidden="false" customHeight="false" outlineLevel="0" collapsed="false">
      <c r="A116" s="20"/>
    </row>
    <row r="117" customFormat="false" ht="15" hidden="false" customHeight="false" outlineLevel="0" collapsed="false">
      <c r="A117" s="20"/>
    </row>
    <row r="118" customFormat="false" ht="15" hidden="false" customHeight="false" outlineLevel="0" collapsed="false">
      <c r="A118" s="20"/>
    </row>
    <row r="119" customFormat="false" ht="15" hidden="false" customHeight="false" outlineLevel="0" collapsed="false">
      <c r="A119" s="20"/>
    </row>
    <row r="120" customFormat="false" ht="15" hidden="false" customHeight="false" outlineLevel="0" collapsed="false">
      <c r="A120" s="20"/>
    </row>
    <row r="121" customFormat="false" ht="15" hidden="false" customHeight="false" outlineLevel="0" collapsed="false">
      <c r="A121" s="20"/>
    </row>
    <row r="122" customFormat="false" ht="15" hidden="false" customHeight="false" outlineLevel="0" collapsed="false">
      <c r="A122" s="20"/>
    </row>
    <row r="123" customFormat="false" ht="15" hidden="false" customHeight="false" outlineLevel="0" collapsed="false">
      <c r="A123" s="20"/>
    </row>
    <row r="124" customFormat="false" ht="15" hidden="false" customHeight="false" outlineLevel="0" collapsed="false">
      <c r="A124" s="20"/>
    </row>
    <row r="125" customFormat="false" ht="15" hidden="false" customHeight="false" outlineLevel="0" collapsed="false">
      <c r="A125" s="20"/>
    </row>
    <row r="126" customFormat="false" ht="15" hidden="false" customHeight="false" outlineLevel="0" collapsed="false">
      <c r="A126" s="20"/>
    </row>
    <row r="127" customFormat="false" ht="15" hidden="false" customHeight="false" outlineLevel="0" collapsed="false">
      <c r="A127" s="20"/>
    </row>
    <row r="128" customFormat="false" ht="15" hidden="false" customHeight="false" outlineLevel="0" collapsed="false">
      <c r="A128" s="20"/>
    </row>
    <row r="129" customFormat="false" ht="15" hidden="false" customHeight="false" outlineLevel="0" collapsed="false">
      <c r="A129" s="20"/>
    </row>
    <row r="130" customFormat="false" ht="15" hidden="false" customHeight="false" outlineLevel="0" collapsed="false">
      <c r="A130" s="20"/>
    </row>
    <row r="131" customFormat="false" ht="15" hidden="false" customHeight="false" outlineLevel="0" collapsed="false">
      <c r="A131" s="20"/>
    </row>
    <row r="132" customFormat="false" ht="15" hidden="false" customHeight="false" outlineLevel="0" collapsed="false">
      <c r="A132" s="20"/>
    </row>
    <row r="133" customFormat="false" ht="15" hidden="false" customHeight="false" outlineLevel="0" collapsed="false">
      <c r="A133" s="20"/>
    </row>
    <row r="134" customFormat="false" ht="15" hidden="false" customHeight="false" outlineLevel="0" collapsed="false">
      <c r="A134" s="20"/>
    </row>
    <row r="135" customFormat="false" ht="15" hidden="false" customHeight="false" outlineLevel="0" collapsed="false">
      <c r="A135" s="20"/>
    </row>
    <row r="136" customFormat="false" ht="15" hidden="false" customHeight="false" outlineLevel="0" collapsed="false">
      <c r="A136" s="20"/>
    </row>
    <row r="137" customFormat="false" ht="15" hidden="false" customHeight="false" outlineLevel="0" collapsed="false">
      <c r="A137" s="20"/>
    </row>
    <row r="138" customFormat="false" ht="15" hidden="false" customHeight="false" outlineLevel="0" collapsed="false">
      <c r="A138" s="20"/>
    </row>
    <row r="139" customFormat="false" ht="15" hidden="false" customHeight="false" outlineLevel="0" collapsed="false">
      <c r="A139" s="20"/>
    </row>
    <row r="140" customFormat="false" ht="15" hidden="false" customHeight="false" outlineLevel="0" collapsed="false">
      <c r="A140" s="20"/>
    </row>
    <row r="141" customFormat="false" ht="15" hidden="false" customHeight="false" outlineLevel="0" collapsed="false">
      <c r="A141" s="20"/>
    </row>
    <row r="142" customFormat="false" ht="15" hidden="false" customHeight="false" outlineLevel="0" collapsed="false">
      <c r="A142" s="20"/>
    </row>
    <row r="143" customFormat="false" ht="15" hidden="false" customHeight="false" outlineLevel="0" collapsed="false">
      <c r="A143" s="20"/>
    </row>
    <row r="144" customFormat="false" ht="15" hidden="false" customHeight="false" outlineLevel="0" collapsed="false">
      <c r="A144" s="20"/>
    </row>
    <row r="145" customFormat="false" ht="15" hidden="false" customHeight="false" outlineLevel="0" collapsed="false">
      <c r="A145" s="20"/>
    </row>
    <row r="146" customFormat="false" ht="15" hidden="false" customHeight="false" outlineLevel="0" collapsed="false">
      <c r="A146" s="20"/>
    </row>
    <row r="147" customFormat="false" ht="15" hidden="false" customHeight="false" outlineLevel="0" collapsed="false">
      <c r="A147" s="20"/>
    </row>
    <row r="148" customFormat="false" ht="15" hidden="false" customHeight="false" outlineLevel="0" collapsed="false">
      <c r="A148" s="20"/>
    </row>
    <row r="149" customFormat="false" ht="15" hidden="false" customHeight="false" outlineLevel="0" collapsed="false">
      <c r="A149" s="20"/>
    </row>
    <row r="150" customFormat="false" ht="15" hidden="false" customHeight="false" outlineLevel="0" collapsed="false">
      <c r="A150" s="20"/>
    </row>
    <row r="151" customFormat="false" ht="15" hidden="false" customHeight="false" outlineLevel="0" collapsed="false">
      <c r="A151" s="20"/>
    </row>
    <row r="152" customFormat="false" ht="15" hidden="false" customHeight="false" outlineLevel="0" collapsed="false">
      <c r="A152" s="20"/>
    </row>
    <row r="153" customFormat="false" ht="15" hidden="false" customHeight="false" outlineLevel="0" collapsed="false">
      <c r="A153" s="20"/>
    </row>
    <row r="154" customFormat="false" ht="15" hidden="false" customHeight="false" outlineLevel="0" collapsed="false">
      <c r="A154" s="20"/>
    </row>
    <row r="155" customFormat="false" ht="15" hidden="false" customHeight="false" outlineLevel="0" collapsed="false">
      <c r="A155" s="20"/>
    </row>
    <row r="156" customFormat="false" ht="15" hidden="false" customHeight="false" outlineLevel="0" collapsed="false">
      <c r="A156" s="20"/>
    </row>
    <row r="157" customFormat="false" ht="15" hidden="false" customHeight="false" outlineLevel="0" collapsed="false">
      <c r="A157" s="20"/>
    </row>
    <row r="158" customFormat="false" ht="15" hidden="false" customHeight="false" outlineLevel="0" collapsed="false">
      <c r="A158" s="20"/>
    </row>
    <row r="159" customFormat="false" ht="15" hidden="false" customHeight="false" outlineLevel="0" collapsed="false">
      <c r="A159" s="20"/>
    </row>
    <row r="160" customFormat="false" ht="15" hidden="false" customHeight="false" outlineLevel="0" collapsed="false">
      <c r="A160" s="20"/>
    </row>
    <row r="161" customFormat="false" ht="15" hidden="false" customHeight="false" outlineLevel="0" collapsed="false">
      <c r="A161" s="20"/>
    </row>
    <row r="162" customFormat="false" ht="15" hidden="false" customHeight="false" outlineLevel="0" collapsed="false">
      <c r="A162" s="20"/>
    </row>
    <row r="163" customFormat="false" ht="15" hidden="false" customHeight="false" outlineLevel="0" collapsed="false">
      <c r="A163" s="20"/>
    </row>
    <row r="164" customFormat="false" ht="15" hidden="false" customHeight="false" outlineLevel="0" collapsed="false">
      <c r="A164" s="20"/>
    </row>
    <row r="165" customFormat="false" ht="15" hidden="false" customHeight="false" outlineLevel="0" collapsed="false">
      <c r="A165" s="20"/>
    </row>
    <row r="166" customFormat="false" ht="15" hidden="false" customHeight="false" outlineLevel="0" collapsed="false">
      <c r="A166" s="20"/>
    </row>
    <row r="167" customFormat="false" ht="15" hidden="false" customHeight="false" outlineLevel="0" collapsed="false">
      <c r="A167" s="20"/>
    </row>
    <row r="168" customFormat="false" ht="15" hidden="false" customHeight="false" outlineLevel="0" collapsed="false">
      <c r="A168" s="20"/>
    </row>
    <row r="169" customFormat="false" ht="15" hidden="false" customHeight="false" outlineLevel="0" collapsed="false">
      <c r="A169" s="20"/>
    </row>
    <row r="170" customFormat="false" ht="15" hidden="false" customHeight="false" outlineLevel="0" collapsed="false">
      <c r="A170" s="20"/>
    </row>
    <row r="171" customFormat="false" ht="15" hidden="false" customHeight="false" outlineLevel="0" collapsed="false">
      <c r="A171" s="20"/>
    </row>
    <row r="172" customFormat="false" ht="15" hidden="false" customHeight="false" outlineLevel="0" collapsed="false">
      <c r="A172" s="20"/>
    </row>
    <row r="173" customFormat="false" ht="15" hidden="false" customHeight="false" outlineLevel="0" collapsed="false">
      <c r="A173" s="20"/>
    </row>
    <row r="174" customFormat="false" ht="15" hidden="false" customHeight="false" outlineLevel="0" collapsed="false">
      <c r="A174" s="20"/>
    </row>
    <row r="175" customFormat="false" ht="15" hidden="false" customHeight="false" outlineLevel="0" collapsed="false">
      <c r="A175" s="20"/>
    </row>
    <row r="176" customFormat="false" ht="15" hidden="false" customHeight="false" outlineLevel="0" collapsed="false">
      <c r="A176" s="20"/>
    </row>
    <row r="177" customFormat="false" ht="15" hidden="false" customHeight="false" outlineLevel="0" collapsed="false">
      <c r="A177" s="20"/>
    </row>
    <row r="178" customFormat="false" ht="15" hidden="false" customHeight="false" outlineLevel="0" collapsed="false">
      <c r="A178" s="20"/>
    </row>
    <row r="179" customFormat="false" ht="15" hidden="false" customHeight="false" outlineLevel="0" collapsed="false">
      <c r="A179" s="20"/>
    </row>
    <row r="180" customFormat="false" ht="15" hidden="false" customHeight="false" outlineLevel="0" collapsed="false">
      <c r="A180" s="20"/>
    </row>
    <row r="181" customFormat="false" ht="15" hidden="false" customHeight="false" outlineLevel="0" collapsed="false">
      <c r="A181" s="20"/>
    </row>
    <row r="182" customFormat="false" ht="15" hidden="false" customHeight="false" outlineLevel="0" collapsed="false">
      <c r="A182" s="20"/>
    </row>
    <row r="183" customFormat="false" ht="15" hidden="false" customHeight="false" outlineLevel="0" collapsed="false">
      <c r="A183" s="20"/>
    </row>
    <row r="184" customFormat="false" ht="15" hidden="false" customHeight="false" outlineLevel="0" collapsed="false">
      <c r="A184" s="20"/>
    </row>
    <row r="185" customFormat="false" ht="15" hidden="false" customHeight="false" outlineLevel="0" collapsed="false">
      <c r="A185" s="20"/>
    </row>
    <row r="186" customFormat="false" ht="15" hidden="false" customHeight="false" outlineLevel="0" collapsed="false">
      <c r="A186" s="20"/>
    </row>
    <row r="187" customFormat="false" ht="15" hidden="false" customHeight="false" outlineLevel="0" collapsed="false">
      <c r="A187" s="20"/>
    </row>
    <row r="188" customFormat="false" ht="15" hidden="false" customHeight="false" outlineLevel="0" collapsed="false">
      <c r="A188" s="20"/>
    </row>
    <row r="189" customFormat="false" ht="15" hidden="false" customHeight="false" outlineLevel="0" collapsed="false">
      <c r="A189" s="20"/>
    </row>
    <row r="190" customFormat="false" ht="15" hidden="false" customHeight="false" outlineLevel="0" collapsed="false">
      <c r="A190" s="20"/>
    </row>
    <row r="191" customFormat="false" ht="15" hidden="false" customHeight="false" outlineLevel="0" collapsed="false">
      <c r="A191" s="20"/>
    </row>
    <row r="192" customFormat="false" ht="15" hidden="false" customHeight="false" outlineLevel="0" collapsed="false">
      <c r="A192" s="20"/>
    </row>
    <row r="193" customFormat="false" ht="15" hidden="false" customHeight="false" outlineLevel="0" collapsed="false">
      <c r="A193" s="20"/>
    </row>
    <row r="194" customFormat="false" ht="15" hidden="false" customHeight="false" outlineLevel="0" collapsed="false">
      <c r="A194" s="20"/>
    </row>
    <row r="195" customFormat="false" ht="15" hidden="false" customHeight="false" outlineLevel="0" collapsed="false">
      <c r="A195" s="20"/>
    </row>
    <row r="196" customFormat="false" ht="15" hidden="false" customHeight="false" outlineLevel="0" collapsed="false">
      <c r="A196" s="20"/>
    </row>
    <row r="197" customFormat="false" ht="15" hidden="false" customHeight="false" outlineLevel="0" collapsed="false">
      <c r="A197" s="20"/>
    </row>
    <row r="198" customFormat="false" ht="15" hidden="false" customHeight="false" outlineLevel="0" collapsed="false">
      <c r="A198" s="20"/>
    </row>
    <row r="199" customFormat="false" ht="15" hidden="false" customHeight="false" outlineLevel="0" collapsed="false">
      <c r="A199" s="20"/>
    </row>
    <row r="200" customFormat="false" ht="15" hidden="false" customHeight="false" outlineLevel="0" collapsed="false">
      <c r="A200" s="20"/>
    </row>
    <row r="201" customFormat="false" ht="15" hidden="false" customHeight="false" outlineLevel="0" collapsed="false">
      <c r="A201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6"/>
  </cols>
  <sheetData>
    <row r="1" customFormat="false" ht="15" hidden="false" customHeight="false" outlineLevel="0" collapsed="false">
      <c r="A1" s="21" t="s">
        <v>216</v>
      </c>
      <c r="B1" s="21" t="s">
        <v>217</v>
      </c>
      <c r="C1" s="21" t="s">
        <v>218</v>
      </c>
      <c r="D1" s="21" t="s">
        <v>219</v>
      </c>
      <c r="E1" s="21" t="s">
        <v>220</v>
      </c>
      <c r="F1" s="21" t="s">
        <v>221</v>
      </c>
    </row>
    <row r="2" customFormat="false" ht="15" hidden="false" customHeight="false" outlineLevel="0" collapsed="false">
      <c r="A2" s="22" t="s">
        <v>183</v>
      </c>
      <c r="B2" s="22" t="s">
        <v>183</v>
      </c>
      <c r="C2" s="22" t="s">
        <v>178</v>
      </c>
      <c r="D2" s="22" t="s">
        <v>222</v>
      </c>
      <c r="E2" s="22" t="s">
        <v>180</v>
      </c>
      <c r="F2" s="22" t="s">
        <v>223</v>
      </c>
    </row>
    <row r="3" customFormat="false" ht="15" hidden="false" customHeight="false" outlineLevel="0" collapsed="false">
      <c r="A3" s="22" t="s">
        <v>224</v>
      </c>
      <c r="B3" s="22" t="s">
        <v>224</v>
      </c>
      <c r="C3" s="22" t="s">
        <v>225</v>
      </c>
      <c r="D3" s="22" t="s">
        <v>179</v>
      </c>
      <c r="E3" s="22" t="s">
        <v>226</v>
      </c>
      <c r="F3" s="22" t="s">
        <v>227</v>
      </c>
    </row>
    <row r="4" customFormat="false" ht="15" hidden="false" customHeight="false" outlineLevel="0" collapsed="false">
      <c r="B4" s="22" t="s">
        <v>197</v>
      </c>
      <c r="C4" s="22" t="s">
        <v>228</v>
      </c>
      <c r="F4" s="22" t="s">
        <v>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9" t="s">
        <v>229</v>
      </c>
    </row>
    <row r="2" customFormat="false" ht="15" hidden="false" customHeight="false" outlineLevel="0" collapsed="false">
      <c r="A2" s="10" t="s">
        <v>230</v>
      </c>
    </row>
    <row r="3" customFormat="false" ht="15" hidden="false" customHeight="false" outlineLevel="0" collapsed="false">
      <c r="A3" s="21" t="s">
        <v>231</v>
      </c>
      <c r="B3" s="23" t="str">
        <f aca="false">IF(COUNTIF(C6:C18,"REVIEW")=0,"ALL CHECKS PASS","REVIEW ITEMS: "&amp;COUNTIF(C6:C18,"REVIEW"))</f>
        <v>REVIEW ITEMS: 1</v>
      </c>
    </row>
    <row r="5" customFormat="false" ht="15" hidden="false" customHeight="false" outlineLevel="0" collapsed="false">
      <c r="A5" s="5" t="s">
        <v>232</v>
      </c>
      <c r="B5" s="5" t="s">
        <v>233</v>
      </c>
      <c r="C5" s="5" t="s">
        <v>234</v>
      </c>
      <c r="D5" s="5" t="s">
        <v>235</v>
      </c>
    </row>
    <row r="6" customFormat="false" ht="15" hidden="false" customHeight="false" outlineLevel="0" collapsed="false">
      <c r="A6" s="24" t="s">
        <v>236</v>
      </c>
      <c r="B6" s="24" t="n">
        <f aca="false">COUNTA(Functions!A5:A204)</f>
        <v>2</v>
      </c>
      <c r="C6" s="24" t="str">
        <f aca="false">IF(B6&gt;0,"PASS","REVIEW")</f>
        <v>PASS</v>
      </c>
      <c r="D6" s="24" t="s">
        <v>237</v>
      </c>
    </row>
    <row r="7" customFormat="false" ht="15" hidden="false" customHeight="false" outlineLevel="0" collapsed="false">
      <c r="A7" s="24" t="s">
        <v>238</v>
      </c>
      <c r="B7" s="24" t="n">
        <f aca="false">SUMPRODUCT((SoD_Rules!A5:A204&lt;&gt;"")*(COUNTIF(SoD_Rules!A5:A204,SoD_Rules!A5:A204)&gt;1))</f>
        <v>0</v>
      </c>
      <c r="C7" s="24" t="str">
        <f aca="false">IF(B7=0,"PASS","REVIEW")</f>
        <v>PASS</v>
      </c>
      <c r="D7" s="24" t="s">
        <v>239</v>
      </c>
    </row>
    <row r="8" customFormat="false" ht="15" hidden="false" customHeight="false" outlineLevel="0" collapsed="false">
      <c r="A8" s="24" t="s">
        <v>240</v>
      </c>
      <c r="B8" s="24" t="n">
        <f aca="false">SUMPRODUCT((Functions!A5:A204&lt;&gt;"")*(COUNTIF(Functions!A5:A204,Functions!A5:A204)&gt;1))</f>
        <v>0</v>
      </c>
      <c r="C8" s="24" t="str">
        <f aca="false">IF(B8=0,"PASS","REVIEW")</f>
        <v>PASS</v>
      </c>
      <c r="D8" s="24" t="s">
        <v>239</v>
      </c>
    </row>
    <row r="9" customFormat="false" ht="15" hidden="false" customHeight="false" outlineLevel="0" collapsed="false">
      <c r="A9" s="24" t="s">
        <v>241</v>
      </c>
      <c r="B9" s="24" t="n">
        <f aca="false">SUMPRODUCT((Functions!G5:G204&lt;&gt;"")*(Functions!G5:G204&lt;&gt;"OK")*(LEFT(Functions!G5:G204,2)&lt;&gt;"OK"))</f>
        <v>0</v>
      </c>
      <c r="C9" s="24" t="str">
        <f aca="false">IF(B9=0,"PASS","REVIEW")</f>
        <v>PASS</v>
      </c>
      <c r="D9" s="24" t="s">
        <v>242</v>
      </c>
    </row>
    <row r="10" customFormat="false" ht="15" hidden="false" customHeight="false" outlineLevel="0" collapsed="false">
      <c r="A10" s="24" t="s">
        <v>243</v>
      </c>
      <c r="B10" s="24" t="n">
        <f aca="false">SUMPRODUCT((Function_Auth!H5:H204&lt;&gt;"")*(Function_Auth!H5:H204&lt;&gt;"OK")*(LEFT(Function_Auth!H5:H204,2)&lt;&gt;"OK"))</f>
        <v>0</v>
      </c>
      <c r="C10" s="24" t="str">
        <f aca="false">IF(B10=0,"PASS","REVIEW")</f>
        <v>PASS</v>
      </c>
      <c r="D10" s="24" t="s">
        <v>242</v>
      </c>
    </row>
    <row r="11" customFormat="false" ht="15" hidden="false" customHeight="false" outlineLevel="0" collapsed="false">
      <c r="A11" s="24" t="s">
        <v>244</v>
      </c>
      <c r="B11" s="24" t="n">
        <f aca="false">SUMPRODUCT((SoD_Rules!P5:P204&lt;&gt;"")*(SoD_Rules!P5:P204&lt;&gt;"OK")*(LEFT(SoD_Rules!P5:P204,2)&lt;&gt;"OK"))</f>
        <v>0</v>
      </c>
      <c r="C11" s="24" t="str">
        <f aca="false">IF(B11=0,"PASS","REVIEW")</f>
        <v>PASS</v>
      </c>
      <c r="D11" s="24" t="s">
        <v>242</v>
      </c>
    </row>
    <row r="12" customFormat="false" ht="15" hidden="false" customHeight="false" outlineLevel="0" collapsed="false">
      <c r="A12" s="24" t="s">
        <v>245</v>
      </c>
      <c r="B12" s="24" t="n">
        <f aca="false">SUMPRODUCT((Sensitive_Access!G5:G204&lt;&gt;"")*(Sensitive_Access!G5:G204&lt;&gt;"OK")*(LEFT(Sensitive_Access!G5:G204,2)&lt;&gt;"OK"))</f>
        <v>0</v>
      </c>
      <c r="C12" s="24" t="str">
        <f aca="false">IF(B12=0,"PASS","REVIEW")</f>
        <v>PASS</v>
      </c>
      <c r="D12" s="24" t="s">
        <v>242</v>
      </c>
    </row>
    <row r="13" customFormat="false" ht="15" hidden="false" customHeight="false" outlineLevel="0" collapsed="false">
      <c r="A13" s="24" t="s">
        <v>246</v>
      </c>
      <c r="B13" s="24" t="n">
        <f aca="false">SUMPRODUCT((Mitigations!I5:I204&lt;&gt;"")*(Mitigations!I5:I204&lt;&gt;"OK")*(LEFT(Mitigations!I5:I204,2)&lt;&gt;"OK"))</f>
        <v>0</v>
      </c>
      <c r="C13" s="24" t="str">
        <f aca="false">IF(B13=0,"PASS","REVIEW")</f>
        <v>PASS</v>
      </c>
      <c r="D13" s="24" t="s">
        <v>242</v>
      </c>
    </row>
    <row r="14" customFormat="false" ht="15" hidden="false" customHeight="false" outlineLevel="0" collapsed="false">
      <c r="A14" s="24" t="s">
        <v>247</v>
      </c>
      <c r="B14" s="24" t="n">
        <f aca="false">SUMPRODUCT((Ref_RISK!B2:B201="SoD")*(COUNTIF(SoD_Rules!G5:G204,Ref_RISK!A2:A201)=0))</f>
        <v>1</v>
      </c>
      <c r="C14" s="24" t="str">
        <f aca="false">IF(B14=0,"PASS","REVIEW")</f>
        <v>REVIEW</v>
      </c>
      <c r="D14" s="24" t="s">
        <v>248</v>
      </c>
    </row>
    <row r="15" customFormat="false" ht="23.85" hidden="false" customHeight="false" outlineLevel="0" collapsed="false">
      <c r="A15" s="24" t="s">
        <v>249</v>
      </c>
      <c r="B15" s="24" t="n">
        <f aca="false">COUNTIFS(SoD_Rules!I5:I204,"Critical",SoD_Rules!L5:L204,"None")</f>
        <v>1</v>
      </c>
      <c r="C15" s="24" t="s">
        <v>250</v>
      </c>
      <c r="D15" s="24" t="s">
        <v>251</v>
      </c>
    </row>
    <row r="16" customFormat="false" ht="15" hidden="false" customHeight="false" outlineLevel="0" collapsed="false">
      <c r="A16" s="24" t="s">
        <v>252</v>
      </c>
      <c r="B16" s="24" t="n">
        <f aca="false">COUNTIF(SoD_Rules!J5:J204,"Permission level")</f>
        <v>1</v>
      </c>
      <c r="C16" s="24" t="s">
        <v>250</v>
      </c>
      <c r="D16" s="24" t="s">
        <v>253</v>
      </c>
    </row>
    <row r="17" customFormat="false" ht="15" hidden="false" customHeight="false" outlineLevel="0" collapsed="false">
      <c r="A17" s="24" t="s">
        <v>254</v>
      </c>
      <c r="B17" s="24" t="n">
        <f aca="false">COUNTIF(Ruleset_Version!D5:D204,"&gt;0")</f>
        <v>1</v>
      </c>
      <c r="C17" s="24" t="str">
        <f aca="false">IF(B17&gt;0,"PASS","REVIEW")</f>
        <v>PASS</v>
      </c>
      <c r="D17" s="24" t="s">
        <v>255</v>
      </c>
    </row>
    <row r="18" customFormat="false" ht="15" hidden="false" customHeight="false" outlineLevel="0" collapsed="false">
      <c r="A18" s="24" t="s">
        <v>256</v>
      </c>
      <c r="B18" s="24" t="n">
        <f aca="false">COUNTIF(Ruleset_Version!E5:E204,"Y")</f>
        <v>1</v>
      </c>
      <c r="C18" s="24" t="str">
        <f aca="false">IF(B18&gt;0,"PASS","REVIEW")</f>
        <v>PASS</v>
      </c>
      <c r="D18" s="24" t="s">
        <v>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2026-10-03T01:39:10Z</dcterms:created>
  <dc:creator>openpyxl</dc:creator>
  <dc:description/>
  <dc:language>en-US</dc:language>
  <cp:lastModifiedBy/>
  <dcterms:modified xsi:type="dcterms:W3CDTF">2026-10-03T01:39:11Z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