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vidence_Index" sheetId="2" state="visible" r:id="rId4"/>
    <sheet name="IPE_Log" sheetId="3" state="visible" r:id="rId5"/>
    <sheet name="Ref_PBC" sheetId="4" state="visible" r:id="rId6"/>
    <sheet name="Lists" sheetId="5" state="hidden" r:id="rId7"/>
    <sheet name="Checks" sheetId="6" state="visible" r:id="rId8"/>
  </sheets>
  <definedNames>
    <definedName function="false" hidden="true" localSheetId="1" name="_xlnm._FilterDatabase" vbProcedure="false">Evidence_Index!$A$4:$S$204</definedName>
    <definedName function="false" hidden="true" localSheetId="2" name="_xlnm._FilterDatabase" vbProcedure="false">IPE_Log!$A$4:$O$204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<sst xmlns="http://schemas.openxmlformats.org/spreadsheetml/2006/main" count="314" uniqueCount="183">
  <si>
    <t xml:space="preserve">TIB SYSTEMS LLC  |  SAP Controls Project Foundation Workbook Set</t>
  </si>
  <si>
    <t xml:space="preserve">W09 — Evidence Index &amp; IPE Log</t>
  </si>
  <si>
    <t xml:space="preserve">Purpose</t>
  </si>
  <si>
    <t xml:space="preserve">The filing system. Every item received gets an EV-ID, its source and extraction details are recorded, the original is preserved, and population evidence is checked for completeness and accuracy before any sample is drawn.</t>
  </si>
  <si>
    <t xml:space="preserve">How to use this workbook</t>
  </si>
  <si>
    <t xml:space="preserve">1. Paste PBC-ID, period from, period to and evidence type from W08 into Ref_PBC.</t>
  </si>
  <si>
    <t xml:space="preserve">2. Log every item received in Evidence_Index using the filename convention EV-ID_SYS_description_date.ext. Keep the raw original untouched.</t>
  </si>
  <si>
    <t xml:space="preserve">3. For each population, record the completeness and accuracy work in IPE_Log.</t>
  </si>
  <si>
    <t xml:space="preserve">4. Set the IPE result. No sample may be drawn until the result is Pass.</t>
  </si>
  <si>
    <t xml:space="preserve">5. Back-fill TEST-IDs once W10 exists. Update W08 status with EV-IDs.</t>
  </si>
  <si>
    <t xml:space="preserve">Colour legend</t>
  </si>
  <si>
    <t xml:space="preserve">Yellow cells with blue text = you enter data here.   Grey cells = formulas (do not overwrite).   Row 5 of each register is a worked ABC Manufacturing example: overwrite it with your first record.</t>
  </si>
  <si>
    <t xml:space="preserve">Completion gate</t>
  </si>
  <si>
    <t xml:space="preserve">Every received item has an EV-ID, standard filename and preserved original.</t>
  </si>
  <si>
    <t xml:space="preserve">Every population has an IPE check recorded.</t>
  </si>
  <si>
    <t xml:space="preserve">No sample is drawn from a population with an IPE result other than Pass.</t>
  </si>
  <si>
    <t xml:space="preserve">W08 status is updated with EV-IDs.</t>
  </si>
  <si>
    <t xml:space="preserve">Manual reference</t>
  </si>
  <si>
    <t xml:space="preserve">Part 2, Session 10 (W09).</t>
  </si>
  <si>
    <t xml:space="preserve">Column dictionary</t>
  </si>
  <si>
    <t xml:space="preserve">Tab</t>
  </si>
  <si>
    <t xml:space="preserve">Field</t>
  </si>
  <si>
    <t xml:space="preserve">Definition</t>
  </si>
  <si>
    <t xml:space="preserve">Allowed values / rule</t>
  </si>
  <si>
    <t xml:space="preserve">Type</t>
  </si>
  <si>
    <t xml:space="preserve">Evidence_Index</t>
  </si>
  <si>
    <t xml:space="preserve">EV-ID</t>
  </si>
  <si>
    <t xml:space="preserve">Unique key</t>
  </si>
  <si>
    <t xml:space="preserve">EV-nnn</t>
  </si>
  <si>
    <t xml:space="preserve">Input</t>
  </si>
  <si>
    <t xml:space="preserve">PBC-ID</t>
  </si>
  <si>
    <t xml:space="preserve">Request it answers</t>
  </si>
  <si>
    <t xml:space="preserve">Must exist in W08 (Ref_PBC)</t>
  </si>
  <si>
    <t xml:space="preserve">PBC period from</t>
  </si>
  <si>
    <t xml:space="preserve">Requested period start (lookup)</t>
  </si>
  <si>
    <t xml:space="preserve">Formula</t>
  </si>
  <si>
    <t xml:space="preserve">PBC period to</t>
  </si>
  <si>
    <t xml:space="preserve">Requested period end (lookup)</t>
  </si>
  <si>
    <t xml:space="preserve">Filename</t>
  </si>
  <si>
    <t xml:space="preserve">Stored file name</t>
  </si>
  <si>
    <t xml:space="preserve">&lt;EV-ID&gt;_&lt;SYS&gt;_&lt;description&gt;_&lt;date&gt;.ext</t>
  </si>
  <si>
    <t xml:space="preserve">Description</t>
  </si>
  <si>
    <t xml:space="preserve">What the file contains</t>
  </si>
  <si>
    <t xml:space="preserve">Free text</t>
  </si>
  <si>
    <t xml:space="preserve">Source SYS-ID</t>
  </si>
  <si>
    <t xml:space="preserve">System it was extracted from</t>
  </si>
  <si>
    <t xml:space="preserve">From W01</t>
  </si>
  <si>
    <t xml:space="preserve">Extraction method</t>
  </si>
  <si>
    <t xml:space="preserve">How it was produced</t>
  </si>
  <si>
    <t xml:space="preserve">t-code / report / table / GRC report / ITSM export / document</t>
  </si>
  <si>
    <t xml:space="preserve">Extracted by</t>
  </si>
  <si>
    <t xml:space="preserve">Who ran it</t>
  </si>
  <si>
    <t xml:space="preserve">Name</t>
  </si>
  <si>
    <t xml:space="preserve">Extraction date</t>
  </si>
  <si>
    <t xml:space="preserve">When it was run</t>
  </si>
  <si>
    <t xml:space="preserve">Date</t>
  </si>
  <si>
    <t xml:space="preserve">Period covered from</t>
  </si>
  <si>
    <t xml:space="preserve">Start date in the file</t>
  </si>
  <si>
    <t xml:space="preserve">Date; must cover PBC period</t>
  </si>
  <si>
    <t xml:space="preserve">Period covered to</t>
  </si>
  <si>
    <t xml:space="preserve">End date in the file</t>
  </si>
  <si>
    <t xml:space="preserve">Record count</t>
  </si>
  <si>
    <t xml:space="preserve">Rows in the population</t>
  </si>
  <si>
    <t xml:space="preserve">Number; used for completeness check</t>
  </si>
  <si>
    <t xml:space="preserve">Received date</t>
  </si>
  <si>
    <t xml:space="preserve">Date logged</t>
  </si>
  <si>
    <t xml:space="preserve">Original preserved?</t>
  </si>
  <si>
    <t xml:space="preserve">Raw copy stored read-only</t>
  </si>
  <si>
    <t xml:space="preserve">Must be Y</t>
  </si>
  <si>
    <t xml:space="preserve">IPE required?</t>
  </si>
  <si>
    <t xml:space="preserve">Population requests need IPE checks</t>
  </si>
  <si>
    <t xml:space="preserve">Formula from W08 evidence type</t>
  </si>
  <si>
    <t xml:space="preserve">IPE result</t>
  </si>
  <si>
    <t xml:space="preserve">Outcome of completeness &amp; accuracy check</t>
  </si>
  <si>
    <t xml:space="preserve">Pass required before sampling</t>
  </si>
  <si>
    <t xml:space="preserve">Used by TEST-ID(s)</t>
  </si>
  <si>
    <t xml:space="preserve">Tests relying on the file</t>
  </si>
  <si>
    <t xml:space="preserve">Back-filled from W10</t>
  </si>
  <si>
    <t xml:space="preserve">Row check</t>
  </si>
  <si>
    <t xml:space="preserve">Automatic completeness test</t>
  </si>
  <si>
    <t xml:space="preserve">IPE_Log</t>
  </si>
  <si>
    <t xml:space="preserve">IPE-ID</t>
  </si>
  <si>
    <t xml:space="preserve">IPE-nnn</t>
  </si>
  <si>
    <t xml:space="preserve">Population being tested</t>
  </si>
  <si>
    <t xml:space="preserve">Must exist in Evidence_Index</t>
  </si>
  <si>
    <t xml:space="preserve">Population (lookup)</t>
  </si>
  <si>
    <t xml:space="preserve">Description from Evidence_Index</t>
  </si>
  <si>
    <t xml:space="preserve">Record count (lookup)</t>
  </si>
  <si>
    <t xml:space="preserve">Rows in the file</t>
  </si>
  <si>
    <t xml:space="preserve">Completeness procedure</t>
  </si>
  <si>
    <t xml:space="preserve">How completeness was established</t>
  </si>
  <si>
    <t xml:space="preserve">Observed extraction, parameter screenshot, no filters</t>
  </si>
  <si>
    <t xml:space="preserve">Reconciled to</t>
  </si>
  <si>
    <t xml:space="preserve">Independent source used</t>
  </si>
  <si>
    <t xml:space="preserve">e.g. SUIM total, STMS queue, HR headcount report</t>
  </si>
  <si>
    <t xml:space="preserve">Source count</t>
  </si>
  <si>
    <t xml:space="preserve">Count in the independent source</t>
  </si>
  <si>
    <t xml:space="preserve">Number</t>
  </si>
  <si>
    <t xml:space="preserve">Count difference</t>
  </si>
  <si>
    <t xml:space="preserve">File count minus source count</t>
  </si>
  <si>
    <t xml:space="preserve">Accuracy procedure</t>
  </si>
  <si>
    <t xml:space="preserve">How accuracy was tested</t>
  </si>
  <si>
    <t xml:space="preserve">Records traced both ways</t>
  </si>
  <si>
    <t xml:space="preserve">Records traced</t>
  </si>
  <si>
    <t xml:space="preserve">Number of records traced</t>
  </si>
  <si>
    <t xml:space="preserve">Parameters evidenced?</t>
  </si>
  <si>
    <t xml:space="preserve">Selection parameters captured</t>
  </si>
  <si>
    <t xml:space="preserve">Y / N</t>
  </si>
  <si>
    <t xml:space="preserve">Tester</t>
  </si>
  <si>
    <t xml:space="preserve">Who performed it</t>
  </si>
  <si>
    <t xml:space="preserve">Test date</t>
  </si>
  <si>
    <t xml:space="preserve">Result</t>
  </si>
  <si>
    <t xml:space="preserve">Outcome</t>
  </si>
  <si>
    <t xml:space="preserve">Pass / Fail / Pending</t>
  </si>
  <si>
    <t xml:space="preserve">Check</t>
  </si>
  <si>
    <t xml:space="preserve">Automatic test</t>
  </si>
  <si>
    <t xml:space="preserve">Version history</t>
  </si>
  <si>
    <t xml:space="preserve">0.1 — October 2026 — initial template (TIB Systems LLC)</t>
  </si>
  <si>
    <t xml:space="preserve">Cross-workbook links: keys from other workbooks are pasted as values into the Ref_ tabs, so this file works on its own and never breaks when files are moved.</t>
  </si>
  <si>
    <t xml:space="preserve">W09 — Evidence Index</t>
  </si>
  <si>
    <t xml:space="preserve">One row per item received. Rows 5–6 are worked examples. Overwrite them.</t>
  </si>
  <si>
    <t xml:space="preserve">EV-012</t>
  </si>
  <si>
    <t xml:space="preserve">PBC-010</t>
  </si>
  <si>
    <t xml:space="preserve">EV-012_ECP_USR02_users_2026-10-01.csv</t>
  </si>
  <si>
    <t xml:space="preserve">All SAP users in ECP/300 (USR02 extract)</t>
  </si>
  <si>
    <t xml:space="preserve">SYS-03</t>
  </si>
  <si>
    <t xml:space="preserve">SE16N / RSUSR002</t>
  </si>
  <si>
    <t xml:space="preserve">Basis Lead</t>
  </si>
  <si>
    <t xml:space="preserve">Y</t>
  </si>
  <si>
    <t xml:space="preserve">Pass</t>
  </si>
  <si>
    <t xml:space="preserve">C-ITGC-AC-001-TOE; C-ITGC-AC-003-TOE</t>
  </si>
  <si>
    <t xml:space="preserve">EV-019</t>
  </si>
  <si>
    <t xml:space="preserve">PBC-018</t>
  </si>
  <si>
    <t xml:space="preserve">EV-019_ECP_STMS_import_history_2026-10-01.csv</t>
  </si>
  <si>
    <t xml:space="preserve">PRD transport imports</t>
  </si>
  <si>
    <t xml:space="preserve">STMS import history / TPALOG</t>
  </si>
  <si>
    <t xml:space="preserve">C-ITGC-PC-001-TOE</t>
  </si>
  <si>
    <t xml:space="preserve">W09 — IPE Log</t>
  </si>
  <si>
    <t xml:space="preserve">Completeness and accuracy work for each population.</t>
  </si>
  <si>
    <t xml:space="preserve">IPE-001</t>
  </si>
  <si>
    <t xml:space="preserve">Parameters screenshot shows client 300, full date range, no user filter</t>
  </si>
  <si>
    <t xml:space="preserve">SUIM RSUSR002 total</t>
  </si>
  <si>
    <t xml:space="preserve">5 users traced file to SU01 and back</t>
  </si>
  <si>
    <t xml:space="preserve">Tester 1</t>
  </si>
  <si>
    <t xml:space="preserve">IPE-002</t>
  </si>
  <si>
    <t xml:space="preserve">Count agreed to STMS import queue history; date range verified</t>
  </si>
  <si>
    <t xml:space="preserve">STMS import history</t>
  </si>
  <si>
    <t xml:space="preserve">5 requests traced to SE01</t>
  </si>
  <si>
    <t xml:space="preserve">PBC-ID (from W08)</t>
  </si>
  <si>
    <t xml:space="preserve">Period from (W08)</t>
  </si>
  <si>
    <t xml:space="preserve">Period to (W08)</t>
  </si>
  <si>
    <t xml:space="preserve">Evidence type (W08)</t>
  </si>
  <si>
    <t xml:space="preserve">Population</t>
  </si>
  <si>
    <t xml:space="preserve">PBC-024</t>
  </si>
  <si>
    <t xml:space="preserve">Configuration</t>
  </si>
  <si>
    <t xml:space="preserve">YN</t>
  </si>
  <si>
    <t xml:space="preserve">IPEres</t>
  </si>
  <si>
    <t xml:space="preserve">N</t>
  </si>
  <si>
    <t xml:space="preserve">Fail</t>
  </si>
  <si>
    <t xml:space="preserve">Pending</t>
  </si>
  <si>
    <t xml:space="preserve">W09 — Completion checks</t>
  </si>
  <si>
    <t xml:space="preserve">All checks are formulas. A workbook passes its gate when every status reads PASS (INFO rows are counts for your information).</t>
  </si>
  <si>
    <t xml:space="preserve">Overall</t>
  </si>
  <si>
    <t xml:space="preserve">Count</t>
  </si>
  <si>
    <t xml:space="preserve">Status</t>
  </si>
  <si>
    <t xml:space="preserve">What to do if REVIEW</t>
  </si>
  <si>
    <t xml:space="preserve">Evidence items indexed</t>
  </si>
  <si>
    <t xml:space="preserve">INFO</t>
  </si>
  <si>
    <t xml:space="preserve">—</t>
  </si>
  <si>
    <t xml:space="preserve">Duplicate EV-IDs</t>
  </si>
  <si>
    <t xml:space="preserve">Keys must be unique.</t>
  </si>
  <si>
    <t xml:space="preserve">Evidence rows needing attention (incl. IPE HOLD)</t>
  </si>
  <si>
    <t xml:space="preserve">Read the Row check column. HOLD means do not sample yet.</t>
  </si>
  <si>
    <t xml:space="preserve">Populations whose IPE result is not Pass</t>
  </si>
  <si>
    <t xml:space="preserve">No sample may be drawn until Pass.</t>
  </si>
  <si>
    <t xml:space="preserve">Populations with no IPE_Log row</t>
  </si>
  <si>
    <t xml:space="preserve">Record the completeness and accuracy work.</t>
  </si>
  <si>
    <t xml:space="preserve">IPE log rows needing attention</t>
  </si>
  <si>
    <t xml:space="preserve">Read the Check column.</t>
  </si>
  <si>
    <t xml:space="preserve">Originals not preserved</t>
  </si>
  <si>
    <t xml:space="preserve">Store the raw file read-only; work on copies.</t>
  </si>
  <si>
    <t xml:space="preserve">W08 requests with no evidence yet</t>
  </si>
  <si>
    <t xml:space="preserve">Chase the evidence owner (W08).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</si>
</sst>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yyyy\-mm\-dd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E7C86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1"/>
      <color rgb="FF0E7C8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E7C8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5B6B82"/>
        <bgColor rgb="FF555555"/>
      </patternFill>
    </fill>
    <fill>
      <patternFill patternType="solid">
        <fgColor rgb="FFFFF2CC"/>
        <bgColor rgb="FFEDEFF3"/>
      </patternFill>
    </fill>
    <fill>
      <patternFill patternType="solid">
        <fgColor rgb="FFEDEFF3"/>
        <bgColor rgb="FFFFFFFF"/>
      </patternFill>
    </fill>
    <fill>
      <patternFill patternType="solid">
        <fgColor rgb="FF0E7C8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B6B82"/>
          <bgColor rgb="FF000000"/>
        </patternFill>
      </fill>
    </dxf>
    <dxf>
      <fill>
        <patternFill patternType="solid">
          <fgColor rgb="FFEDEFF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BFC7D5"/>
      <rgbColor rgb="FF808080"/>
      <rgbColor rgb="FF9999FF"/>
      <rgbColor rgb="FF993366"/>
      <rgbColor rgb="FFFFF2CC"/>
      <rgbColor rgb="FFEDEF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8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4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0</v>
      </c>
    </row>
    <row r="2" customFormat="false" ht="19.7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/>
      <c r="C5" s="4"/>
      <c r="D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4" t="s">
        <v>5</v>
      </c>
      <c r="B8" s="4"/>
      <c r="C8" s="4"/>
      <c r="D8" s="4"/>
    </row>
    <row r="9" customFormat="false" ht="30" hidden="false" customHeight="true" outlineLevel="0" collapsed="false">
      <c r="A9" s="4" t="s">
        <v>6</v>
      </c>
      <c r="B9" s="4"/>
      <c r="C9" s="4"/>
      <c r="D9" s="4"/>
    </row>
    <row r="10" customFormat="false" ht="15" hidden="false" customHeight="true" outlineLevel="0" collapsed="false">
      <c r="A10" s="4" t="s">
        <v>7</v>
      </c>
      <c r="B10" s="4"/>
      <c r="C10" s="4"/>
      <c r="D10" s="4"/>
    </row>
    <row r="11" customFormat="false" ht="15" hidden="false" customHeight="true" outlineLevel="0" collapsed="false">
      <c r="A11" s="4" t="s">
        <v>8</v>
      </c>
      <c r="B11" s="4"/>
      <c r="C11" s="4"/>
      <c r="D11" s="4"/>
    </row>
    <row r="12" customFormat="false" ht="15" hidden="false" customHeight="true" outlineLevel="0" collapsed="false">
      <c r="A12" s="4" t="s">
        <v>9</v>
      </c>
      <c r="B12" s="4"/>
      <c r="C12" s="4"/>
      <c r="D12" s="4"/>
    </row>
    <row r="14" customFormat="false" ht="15" hidden="false" customHeight="false" outlineLevel="0" collapsed="false">
      <c r="A14" s="3" t="s">
        <v>10</v>
      </c>
    </row>
    <row r="15" customFormat="false" ht="30" hidden="false" customHeight="true" outlineLevel="0" collapsed="false">
      <c r="A15" s="4" t="s">
        <v>11</v>
      </c>
      <c r="B15" s="4"/>
      <c r="C15" s="4"/>
      <c r="D15" s="4"/>
    </row>
    <row r="17" customFormat="false" ht="15" hidden="false" customHeight="false" outlineLevel="0" collapsed="false">
      <c r="A17" s="3" t="s">
        <v>12</v>
      </c>
    </row>
    <row r="18" customFormat="false" ht="15" hidden="false" customHeight="true" outlineLevel="0" collapsed="false">
      <c r="A18" s="4" t="s">
        <v>13</v>
      </c>
      <c r="B18" s="4"/>
      <c r="C18" s="4"/>
      <c r="D18" s="4"/>
    </row>
    <row r="19" customFormat="false" ht="15" hidden="false" customHeight="true" outlineLevel="0" collapsed="false">
      <c r="A19" s="4" t="s">
        <v>14</v>
      </c>
      <c r="B19" s="4"/>
      <c r="C19" s="4"/>
      <c r="D19" s="4"/>
    </row>
    <row r="20" customFormat="false" ht="15" hidden="false" customHeight="true" outlineLevel="0" collapsed="false">
      <c r="A20" s="4" t="s">
        <v>15</v>
      </c>
      <c r="B20" s="4"/>
      <c r="C20" s="4"/>
      <c r="D20" s="4"/>
    </row>
    <row r="21" customFormat="false" ht="15" hidden="false" customHeight="true" outlineLevel="0" collapsed="false">
      <c r="A21" s="4" t="s">
        <v>16</v>
      </c>
      <c r="B21" s="4"/>
      <c r="C21" s="4"/>
      <c r="D21" s="4"/>
    </row>
    <row r="23" customFormat="false" ht="15" hidden="false" customHeight="false" outlineLevel="0" collapsed="false">
      <c r="A23" s="3" t="s">
        <v>17</v>
      </c>
    </row>
    <row r="24" customFormat="false" ht="15" hidden="false" customHeight="true" outlineLevel="0" collapsed="false">
      <c r="A24" s="4" t="s">
        <v>18</v>
      </c>
      <c r="B24" s="4"/>
      <c r="C24" s="4"/>
      <c r="D24" s="4"/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5" t="s">
        <v>20</v>
      </c>
      <c r="B27" s="5" t="s">
        <v>21</v>
      </c>
      <c r="C27" s="5" t="s">
        <v>22</v>
      </c>
      <c r="D27" s="5" t="s">
        <v>23</v>
      </c>
      <c r="E27" s="5" t="s">
        <v>24</v>
      </c>
    </row>
    <row r="28" customFormat="false" ht="15" hidden="false" customHeight="false" outlineLevel="0" collapsed="false">
      <c r="A28" s="6" t="s">
        <v>25</v>
      </c>
      <c r="B28" s="6" t="s">
        <v>26</v>
      </c>
      <c r="C28" s="6" t="s">
        <v>27</v>
      </c>
      <c r="D28" s="6" t="s">
        <v>28</v>
      </c>
      <c r="E28" s="6" t="s">
        <v>29</v>
      </c>
    </row>
    <row r="29" customFormat="false" ht="15" hidden="false" customHeight="false" outlineLevel="0" collapsed="false">
      <c r="A29" s="6" t="s">
        <v>25</v>
      </c>
      <c r="B29" s="6" t="s">
        <v>30</v>
      </c>
      <c r="C29" s="6" t="s">
        <v>31</v>
      </c>
      <c r="D29" s="6" t="s">
        <v>32</v>
      </c>
      <c r="E29" s="6" t="s">
        <v>29</v>
      </c>
    </row>
    <row r="30" customFormat="false" ht="15" hidden="false" customHeight="false" outlineLevel="0" collapsed="false">
      <c r="A30" s="6" t="s">
        <v>25</v>
      </c>
      <c r="B30" s="6" t="s">
        <v>33</v>
      </c>
      <c r="C30" s="6" t="s">
        <v>34</v>
      </c>
      <c r="D30" s="6" t="s">
        <v>35</v>
      </c>
      <c r="E30" s="6" t="s">
        <v>35</v>
      </c>
    </row>
    <row r="31" customFormat="false" ht="15" hidden="false" customHeight="false" outlineLevel="0" collapsed="false">
      <c r="A31" s="6" t="s">
        <v>25</v>
      </c>
      <c r="B31" s="6" t="s">
        <v>36</v>
      </c>
      <c r="C31" s="6" t="s">
        <v>37</v>
      </c>
      <c r="D31" s="6" t="s">
        <v>35</v>
      </c>
      <c r="E31" s="6" t="s">
        <v>35</v>
      </c>
    </row>
    <row r="32" customFormat="false" ht="15" hidden="false" customHeight="false" outlineLevel="0" collapsed="false">
      <c r="A32" s="6" t="s">
        <v>25</v>
      </c>
      <c r="B32" s="6" t="s">
        <v>38</v>
      </c>
      <c r="C32" s="6" t="s">
        <v>39</v>
      </c>
      <c r="D32" s="6" t="s">
        <v>40</v>
      </c>
      <c r="E32" s="6" t="s">
        <v>29</v>
      </c>
    </row>
    <row r="33" customFormat="false" ht="15" hidden="false" customHeight="false" outlineLevel="0" collapsed="false">
      <c r="A33" s="6" t="s">
        <v>25</v>
      </c>
      <c r="B33" s="6" t="s">
        <v>41</v>
      </c>
      <c r="C33" s="6" t="s">
        <v>42</v>
      </c>
      <c r="D33" s="6" t="s">
        <v>43</v>
      </c>
      <c r="E33" s="6" t="s">
        <v>29</v>
      </c>
    </row>
    <row r="34" customFormat="false" ht="15" hidden="false" customHeight="false" outlineLevel="0" collapsed="false">
      <c r="A34" s="6" t="s">
        <v>25</v>
      </c>
      <c r="B34" s="6" t="s">
        <v>44</v>
      </c>
      <c r="C34" s="6" t="s">
        <v>45</v>
      </c>
      <c r="D34" s="6" t="s">
        <v>46</v>
      </c>
      <c r="E34" s="6" t="s">
        <v>29</v>
      </c>
    </row>
    <row r="35" customFormat="false" ht="22.35" hidden="false" customHeight="false" outlineLevel="0" collapsed="false">
      <c r="A35" s="6" t="s">
        <v>25</v>
      </c>
      <c r="B35" s="6" t="s">
        <v>47</v>
      </c>
      <c r="C35" s="6" t="s">
        <v>48</v>
      </c>
      <c r="D35" s="6" t="s">
        <v>49</v>
      </c>
      <c r="E35" s="6" t="s">
        <v>29</v>
      </c>
    </row>
    <row r="36" customFormat="false" ht="15" hidden="false" customHeight="false" outlineLevel="0" collapsed="false">
      <c r="A36" s="6" t="s">
        <v>25</v>
      </c>
      <c r="B36" s="6" t="s">
        <v>50</v>
      </c>
      <c r="C36" s="6" t="s">
        <v>51</v>
      </c>
      <c r="D36" s="6" t="s">
        <v>52</v>
      </c>
      <c r="E36" s="6" t="s">
        <v>29</v>
      </c>
    </row>
    <row r="37" customFormat="false" ht="15" hidden="false" customHeight="false" outlineLevel="0" collapsed="false">
      <c r="A37" s="6" t="s">
        <v>25</v>
      </c>
      <c r="B37" s="6" t="s">
        <v>53</v>
      </c>
      <c r="C37" s="6" t="s">
        <v>54</v>
      </c>
      <c r="D37" s="6" t="s">
        <v>55</v>
      </c>
      <c r="E37" s="6" t="s">
        <v>29</v>
      </c>
    </row>
    <row r="38" customFormat="false" ht="15" hidden="false" customHeight="false" outlineLevel="0" collapsed="false">
      <c r="A38" s="6" t="s">
        <v>25</v>
      </c>
      <c r="B38" s="6" t="s">
        <v>56</v>
      </c>
      <c r="C38" s="6" t="s">
        <v>57</v>
      </c>
      <c r="D38" s="6" t="s">
        <v>58</v>
      </c>
      <c r="E38" s="6" t="s">
        <v>29</v>
      </c>
    </row>
    <row r="39" customFormat="false" ht="15" hidden="false" customHeight="false" outlineLevel="0" collapsed="false">
      <c r="A39" s="6" t="s">
        <v>25</v>
      </c>
      <c r="B39" s="6" t="s">
        <v>59</v>
      </c>
      <c r="C39" s="6" t="s">
        <v>60</v>
      </c>
      <c r="D39" s="6" t="s">
        <v>58</v>
      </c>
      <c r="E39" s="6" t="s">
        <v>29</v>
      </c>
    </row>
    <row r="40" customFormat="false" ht="15" hidden="false" customHeight="false" outlineLevel="0" collapsed="false">
      <c r="A40" s="6" t="s">
        <v>25</v>
      </c>
      <c r="B40" s="6" t="s">
        <v>61</v>
      </c>
      <c r="C40" s="6" t="s">
        <v>62</v>
      </c>
      <c r="D40" s="6" t="s">
        <v>63</v>
      </c>
      <c r="E40" s="6" t="s">
        <v>29</v>
      </c>
    </row>
    <row r="41" customFormat="false" ht="15" hidden="false" customHeight="false" outlineLevel="0" collapsed="false">
      <c r="A41" s="6" t="s">
        <v>25</v>
      </c>
      <c r="B41" s="6" t="s">
        <v>64</v>
      </c>
      <c r="C41" s="6" t="s">
        <v>65</v>
      </c>
      <c r="D41" s="6" t="s">
        <v>55</v>
      </c>
      <c r="E41" s="6" t="s">
        <v>29</v>
      </c>
    </row>
    <row r="42" customFormat="false" ht="15" hidden="false" customHeight="false" outlineLevel="0" collapsed="false">
      <c r="A42" s="6" t="s">
        <v>25</v>
      </c>
      <c r="B42" s="6" t="s">
        <v>66</v>
      </c>
      <c r="C42" s="6" t="s">
        <v>67</v>
      </c>
      <c r="D42" s="6" t="s">
        <v>68</v>
      </c>
      <c r="E42" s="6" t="s">
        <v>29</v>
      </c>
    </row>
    <row r="43" customFormat="false" ht="15" hidden="false" customHeight="false" outlineLevel="0" collapsed="false">
      <c r="A43" s="6" t="s">
        <v>25</v>
      </c>
      <c r="B43" s="6" t="s">
        <v>69</v>
      </c>
      <c r="C43" s="6" t="s">
        <v>70</v>
      </c>
      <c r="D43" s="6" t="s">
        <v>71</v>
      </c>
      <c r="E43" s="6" t="s">
        <v>35</v>
      </c>
    </row>
    <row r="44" customFormat="false" ht="15" hidden="false" customHeight="false" outlineLevel="0" collapsed="false">
      <c r="A44" s="6" t="s">
        <v>25</v>
      </c>
      <c r="B44" s="6" t="s">
        <v>72</v>
      </c>
      <c r="C44" s="6" t="s">
        <v>73</v>
      </c>
      <c r="D44" s="6" t="s">
        <v>74</v>
      </c>
      <c r="E44" s="6" t="s">
        <v>29</v>
      </c>
    </row>
    <row r="45" customFormat="false" ht="15" hidden="false" customHeight="false" outlineLevel="0" collapsed="false">
      <c r="A45" s="6" t="s">
        <v>25</v>
      </c>
      <c r="B45" s="6" t="s">
        <v>75</v>
      </c>
      <c r="C45" s="6" t="s">
        <v>76</v>
      </c>
      <c r="D45" s="6" t="s">
        <v>77</v>
      </c>
      <c r="E45" s="6" t="s">
        <v>29</v>
      </c>
    </row>
    <row r="46" customFormat="false" ht="15" hidden="false" customHeight="false" outlineLevel="0" collapsed="false">
      <c r="A46" s="6" t="s">
        <v>25</v>
      </c>
      <c r="B46" s="6" t="s">
        <v>78</v>
      </c>
      <c r="C46" s="6" t="s">
        <v>79</v>
      </c>
      <c r="D46" s="6" t="s">
        <v>35</v>
      </c>
      <c r="E46" s="6" t="s">
        <v>35</v>
      </c>
    </row>
    <row r="47" customFormat="false" ht="15" hidden="false" customHeight="false" outlineLevel="0" collapsed="false">
      <c r="A47" s="6" t="s">
        <v>80</v>
      </c>
      <c r="B47" s="6" t="s">
        <v>81</v>
      </c>
      <c r="C47" s="6" t="s">
        <v>27</v>
      </c>
      <c r="D47" s="6" t="s">
        <v>82</v>
      </c>
      <c r="E47" s="6" t="s">
        <v>29</v>
      </c>
    </row>
    <row r="48" customFormat="false" ht="15" hidden="false" customHeight="false" outlineLevel="0" collapsed="false">
      <c r="A48" s="6" t="s">
        <v>80</v>
      </c>
      <c r="B48" s="6" t="s">
        <v>26</v>
      </c>
      <c r="C48" s="6" t="s">
        <v>83</v>
      </c>
      <c r="D48" s="6" t="s">
        <v>84</v>
      </c>
      <c r="E48" s="6" t="s">
        <v>29</v>
      </c>
    </row>
    <row r="49" customFormat="false" ht="15" hidden="false" customHeight="false" outlineLevel="0" collapsed="false">
      <c r="A49" s="6" t="s">
        <v>80</v>
      </c>
      <c r="B49" s="6" t="s">
        <v>85</v>
      </c>
      <c r="C49" s="6" t="s">
        <v>86</v>
      </c>
      <c r="D49" s="6" t="s">
        <v>35</v>
      </c>
      <c r="E49" s="6" t="s">
        <v>35</v>
      </c>
    </row>
    <row r="50" customFormat="false" ht="15" hidden="false" customHeight="false" outlineLevel="0" collapsed="false">
      <c r="A50" s="6" t="s">
        <v>80</v>
      </c>
      <c r="B50" s="6" t="s">
        <v>87</v>
      </c>
      <c r="C50" s="6" t="s">
        <v>88</v>
      </c>
      <c r="D50" s="6" t="s">
        <v>35</v>
      </c>
      <c r="E50" s="6" t="s">
        <v>35</v>
      </c>
    </row>
    <row r="51" customFormat="false" ht="15" hidden="false" customHeight="false" outlineLevel="0" collapsed="false">
      <c r="A51" s="6" t="s">
        <v>80</v>
      </c>
      <c r="B51" s="6" t="s">
        <v>89</v>
      </c>
      <c r="C51" s="6" t="s">
        <v>90</v>
      </c>
      <c r="D51" s="6" t="s">
        <v>91</v>
      </c>
      <c r="E51" s="6" t="s">
        <v>29</v>
      </c>
    </row>
    <row r="52" customFormat="false" ht="15" hidden="false" customHeight="false" outlineLevel="0" collapsed="false">
      <c r="A52" s="6" t="s">
        <v>80</v>
      </c>
      <c r="B52" s="6" t="s">
        <v>92</v>
      </c>
      <c r="C52" s="6" t="s">
        <v>93</v>
      </c>
      <c r="D52" s="6" t="s">
        <v>94</v>
      </c>
      <c r="E52" s="6" t="s">
        <v>29</v>
      </c>
    </row>
    <row r="53" customFormat="false" ht="15" hidden="false" customHeight="false" outlineLevel="0" collapsed="false">
      <c r="A53" s="6" t="s">
        <v>80</v>
      </c>
      <c r="B53" s="6" t="s">
        <v>95</v>
      </c>
      <c r="C53" s="6" t="s">
        <v>96</v>
      </c>
      <c r="D53" s="6" t="s">
        <v>97</v>
      </c>
      <c r="E53" s="6" t="s">
        <v>29</v>
      </c>
    </row>
    <row r="54" customFormat="false" ht="15" hidden="false" customHeight="false" outlineLevel="0" collapsed="false">
      <c r="A54" s="6" t="s">
        <v>80</v>
      </c>
      <c r="B54" s="6" t="s">
        <v>98</v>
      </c>
      <c r="C54" s="6" t="s">
        <v>99</v>
      </c>
      <c r="D54" s="6" t="s">
        <v>35</v>
      </c>
      <c r="E54" s="6" t="s">
        <v>35</v>
      </c>
    </row>
    <row r="55" customFormat="false" ht="15" hidden="false" customHeight="false" outlineLevel="0" collapsed="false">
      <c r="A55" s="6" t="s">
        <v>80</v>
      </c>
      <c r="B55" s="6" t="s">
        <v>100</v>
      </c>
      <c r="C55" s="6" t="s">
        <v>101</v>
      </c>
      <c r="D55" s="6" t="s">
        <v>102</v>
      </c>
      <c r="E55" s="6" t="s">
        <v>29</v>
      </c>
    </row>
    <row r="56" customFormat="false" ht="15" hidden="false" customHeight="false" outlineLevel="0" collapsed="false">
      <c r="A56" s="6" t="s">
        <v>80</v>
      </c>
      <c r="B56" s="6" t="s">
        <v>103</v>
      </c>
      <c r="C56" s="6" t="s">
        <v>104</v>
      </c>
      <c r="D56" s="6" t="s">
        <v>97</v>
      </c>
      <c r="E56" s="6" t="s">
        <v>29</v>
      </c>
    </row>
    <row r="57" customFormat="false" ht="15" hidden="false" customHeight="false" outlineLevel="0" collapsed="false">
      <c r="A57" s="6" t="s">
        <v>80</v>
      </c>
      <c r="B57" s="6" t="s">
        <v>105</v>
      </c>
      <c r="C57" s="6" t="s">
        <v>106</v>
      </c>
      <c r="D57" s="6" t="s">
        <v>107</v>
      </c>
      <c r="E57" s="6" t="s">
        <v>29</v>
      </c>
    </row>
    <row r="58" customFormat="false" ht="15" hidden="false" customHeight="false" outlineLevel="0" collapsed="false">
      <c r="A58" s="6" t="s">
        <v>80</v>
      </c>
      <c r="B58" s="6" t="s">
        <v>108</v>
      </c>
      <c r="C58" s="6" t="s">
        <v>109</v>
      </c>
      <c r="D58" s="6" t="s">
        <v>52</v>
      </c>
      <c r="E58" s="6" t="s">
        <v>29</v>
      </c>
    </row>
    <row r="59" customFormat="false" ht="15" hidden="false" customHeight="false" outlineLevel="0" collapsed="false">
      <c r="A59" s="6" t="s">
        <v>80</v>
      </c>
      <c r="B59" s="6" t="s">
        <v>110</v>
      </c>
      <c r="C59" s="6" t="s">
        <v>55</v>
      </c>
      <c r="D59" s="6" t="s">
        <v>55</v>
      </c>
      <c r="E59" s="6" t="s">
        <v>29</v>
      </c>
    </row>
    <row r="60" customFormat="false" ht="15" hidden="false" customHeight="false" outlineLevel="0" collapsed="false">
      <c r="A60" s="6" t="s">
        <v>80</v>
      </c>
      <c r="B60" s="6" t="s">
        <v>111</v>
      </c>
      <c r="C60" s="6" t="s">
        <v>112</v>
      </c>
      <c r="D60" s="6" t="s">
        <v>113</v>
      </c>
      <c r="E60" s="6" t="s">
        <v>29</v>
      </c>
    </row>
    <row r="61" customFormat="false" ht="15" hidden="false" customHeight="false" outlineLevel="0" collapsed="false">
      <c r="A61" s="6" t="s">
        <v>80</v>
      </c>
      <c r="B61" s="6" t="s">
        <v>114</v>
      </c>
      <c r="C61" s="6" t="s">
        <v>115</v>
      </c>
      <c r="D61" s="6" t="s">
        <v>35</v>
      </c>
      <c r="E61" s="6" t="s">
        <v>35</v>
      </c>
    </row>
    <row r="63" customFormat="false" ht="15" hidden="false" customHeight="false" outlineLevel="0" collapsed="false">
      <c r="A63" s="3" t="s">
        <v>116</v>
      </c>
    </row>
    <row r="64" customFormat="false" ht="15" hidden="false" customHeight="false" outlineLevel="0" collapsed="false">
      <c r="A64" s="7" t="s">
        <v>117</v>
      </c>
    </row>
    <row r="65" customFormat="false" ht="15" hidden="false" customHeight="false" outlineLevel="0" collapsed="false">
      <c r="A65" s="8" t="s">
        <v>118</v>
      </c>
    </row>
  </sheetData>
  <mergeCells count="12">
    <mergeCell ref="A5:D5"/>
    <mergeCell ref="A8:D8"/>
    <mergeCell ref="A9:D9"/>
    <mergeCell ref="A10:D10"/>
    <mergeCell ref="A11:D11"/>
    <mergeCell ref="A12:D12"/>
    <mergeCell ref="A15:D15"/>
    <mergeCell ref="A18:D18"/>
    <mergeCell ref="A19:D19"/>
    <mergeCell ref="A20:D20"/>
    <mergeCell ref="A21:D21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2" min="10" style="0" width="12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22"/>
    <col collapsed="false" customWidth="true" hidden="false" outlineLevel="0" max="19" min="19" style="0" width="34"/>
  </cols>
  <sheetData>
    <row r="1" customFormat="false" ht="17.35" hidden="false" customHeight="false" outlineLevel="0" collapsed="false">
      <c r="A1" s="9" t="s">
        <v>119</v>
      </c>
    </row>
    <row r="2" customFormat="false" ht="15" hidden="false" customHeight="false" outlineLevel="0" collapsed="false">
      <c r="A2" s="10" t="s">
        <v>120</v>
      </c>
    </row>
    <row r="4" customFormat="false" ht="31.5" hidden="false" customHeight="true" outlineLevel="0" collapsed="false">
      <c r="A4" s="11" t="s">
        <v>26</v>
      </c>
      <c r="B4" s="11" t="s">
        <v>30</v>
      </c>
      <c r="C4" s="12" t="s">
        <v>33</v>
      </c>
      <c r="D4" s="12" t="s">
        <v>36</v>
      </c>
      <c r="E4" s="11" t="s">
        <v>38</v>
      </c>
      <c r="F4" s="11" t="s">
        <v>41</v>
      </c>
      <c r="G4" s="11" t="s">
        <v>44</v>
      </c>
      <c r="H4" s="11" t="s">
        <v>47</v>
      </c>
      <c r="I4" s="11" t="s">
        <v>50</v>
      </c>
      <c r="J4" s="11" t="s">
        <v>53</v>
      </c>
      <c r="K4" s="11" t="s">
        <v>56</v>
      </c>
      <c r="L4" s="11" t="s">
        <v>59</v>
      </c>
      <c r="M4" s="11" t="s">
        <v>61</v>
      </c>
      <c r="N4" s="11" t="s">
        <v>64</v>
      </c>
      <c r="O4" s="11" t="s">
        <v>66</v>
      </c>
      <c r="P4" s="12" t="s">
        <v>69</v>
      </c>
      <c r="Q4" s="11" t="s">
        <v>72</v>
      </c>
      <c r="R4" s="11" t="s">
        <v>75</v>
      </c>
      <c r="S4" s="12" t="s">
        <v>78</v>
      </c>
    </row>
    <row r="5" customFormat="false" ht="23.85" hidden="false" customHeight="false" outlineLevel="0" collapsed="false">
      <c r="A5" s="13" t="s">
        <v>121</v>
      </c>
      <c r="B5" s="13" t="s">
        <v>122</v>
      </c>
      <c r="C5" s="14" t="n">
        <f aca="false">IFERROR(INDEX(Ref_PBC!$B$2:$B$201,MATCH(B5,Ref_PBC!$A$2:$A$201,0)),"")</f>
        <v>46023</v>
      </c>
      <c r="D5" s="14" t="n">
        <f aca="false">IFERROR(INDEX(Ref_PBC!$C$2:$C$201,MATCH(B5,Ref_PBC!$A$2:$A$201,0)),"")</f>
        <v>46295</v>
      </c>
      <c r="E5" s="13" t="s">
        <v>123</v>
      </c>
      <c r="F5" s="13" t="s">
        <v>124</v>
      </c>
      <c r="G5" s="13" t="s">
        <v>125</v>
      </c>
      <c r="H5" s="13" t="s">
        <v>126</v>
      </c>
      <c r="I5" s="13" t="s">
        <v>127</v>
      </c>
      <c r="J5" s="15" t="n">
        <v>46296</v>
      </c>
      <c r="K5" s="15" t="n">
        <v>46023</v>
      </c>
      <c r="L5" s="15" t="n">
        <v>46295</v>
      </c>
      <c r="M5" s="13" t="n">
        <v>1284</v>
      </c>
      <c r="N5" s="15" t="n">
        <v>46296</v>
      </c>
      <c r="O5" s="13" t="s">
        <v>128</v>
      </c>
      <c r="P5" s="16" t="str">
        <f aca="false">IF(A5="","",IF(IFERROR(INDEX(Ref_PBC!$D$2:$D$201,MATCH(B5,Ref_PBC!$A$2:$A$201,0)),"")="Population","Y","N"))</f>
        <v>Y</v>
      </c>
      <c r="Q5" s="13" t="s">
        <v>129</v>
      </c>
      <c r="R5" s="13" t="s">
        <v>130</v>
      </c>
      <c r="S5" s="16" t="str">
        <f aca="false">IF(A5="","",IF(OR(B5="",E5="",G5="",M5=""),"PBC-ID, filename, source system, record count needed",IF(COUNTIF(Ref_PBC!$A$2:$A$201,B5)=0,"PBC-ID not in W08",IF(LEFT(E5,LEN(A5)+1)&lt;&gt;A5&amp;"_","Filename must start with EV-ID_",IF(O5&lt;&gt;"Y","Original must be preserved (Y)",IF(OR(K5="",L5=""),"Period covered needed",IF(OR(K5&gt;C5,L5&lt;D5),"Period does not cover the PBC period",IF(AND(P5="Y",Q5=""),"IPE result needed",IF(AND(P5="Y",Q5&lt;&gt;"Pass"),"HOLD: IPE not Pass - do not sample","OK")))))))))</f>
        <v>OK</v>
      </c>
    </row>
    <row r="6" customFormat="false" ht="23.85" hidden="false" customHeight="false" outlineLevel="0" collapsed="false">
      <c r="A6" s="13" t="s">
        <v>131</v>
      </c>
      <c r="B6" s="13" t="s">
        <v>132</v>
      </c>
      <c r="C6" s="14" t="n">
        <f aca="false">IFERROR(INDEX(Ref_PBC!$B$2:$B$201,MATCH(B6,Ref_PBC!$A$2:$A$201,0)),"")</f>
        <v>46023</v>
      </c>
      <c r="D6" s="14" t="n">
        <f aca="false">IFERROR(INDEX(Ref_PBC!$C$2:$C$201,MATCH(B6,Ref_PBC!$A$2:$A$201,0)),"")</f>
        <v>46295</v>
      </c>
      <c r="E6" s="13" t="s">
        <v>133</v>
      </c>
      <c r="F6" s="13" t="s">
        <v>134</v>
      </c>
      <c r="G6" s="13" t="s">
        <v>125</v>
      </c>
      <c r="H6" s="13" t="s">
        <v>135</v>
      </c>
      <c r="I6" s="13" t="s">
        <v>127</v>
      </c>
      <c r="J6" s="15" t="n">
        <v>46296</v>
      </c>
      <c r="K6" s="15" t="n">
        <v>46023</v>
      </c>
      <c r="L6" s="15" t="n">
        <v>46295</v>
      </c>
      <c r="M6" s="13" t="n">
        <v>312</v>
      </c>
      <c r="N6" s="15" t="n">
        <v>46296</v>
      </c>
      <c r="O6" s="13" t="s">
        <v>128</v>
      </c>
      <c r="P6" s="16" t="str">
        <f aca="false">IF(A6="","",IF(IFERROR(INDEX(Ref_PBC!$D$2:$D$201,MATCH(B6,Ref_PBC!$A$2:$A$201,0)),"")="Population","Y","N"))</f>
        <v>Y</v>
      </c>
      <c r="Q6" s="13" t="s">
        <v>129</v>
      </c>
      <c r="R6" s="13" t="s">
        <v>136</v>
      </c>
      <c r="S6" s="16" t="str">
        <f aca="false">IF(A6="","",IF(OR(B6="",E6="",G6="",M6=""),"PBC-ID, filename, source system, record count needed",IF(COUNTIF(Ref_PBC!$A$2:$A$201,B6)=0,"PBC-ID not in W08",IF(LEFT(E6,LEN(A6)+1)&lt;&gt;A6&amp;"_","Filename must start with EV-ID_",IF(O6&lt;&gt;"Y","Original must be preserved (Y)",IF(OR(K6="",L6=""),"Period covered needed",IF(OR(K6&gt;C6,L6&lt;D6),"Period does not cover the PBC period",IF(AND(P6="Y",Q6=""),"IPE result needed",IF(AND(P6="Y",Q6&lt;&gt;"Pass"),"HOLD: IPE not Pass - do not sample","OK")))))))))</f>
        <v>OK</v>
      </c>
    </row>
    <row r="7" customFormat="false" ht="15" hidden="false" customHeight="false" outlineLevel="0" collapsed="false">
      <c r="A7" s="17"/>
      <c r="B7" s="17"/>
      <c r="C7" s="18" t="str">
        <f aca="false">IFERROR(INDEX(Ref_PBC!$B$2:$B$201,MATCH(B7,Ref_PBC!$A$2:$A$201,0)),"")</f>
        <v/>
      </c>
      <c r="D7" s="18" t="str">
        <f aca="false">IFERROR(INDEX(Ref_PBC!$C$2:$C$201,MATCH(B7,Ref_PBC!$A$2:$A$201,0)),"")</f>
        <v/>
      </c>
      <c r="E7" s="17"/>
      <c r="F7" s="17"/>
      <c r="G7" s="17"/>
      <c r="H7" s="17"/>
      <c r="I7" s="17"/>
      <c r="J7" s="19"/>
      <c r="K7" s="19"/>
      <c r="L7" s="19"/>
      <c r="M7" s="17"/>
      <c r="N7" s="19"/>
      <c r="O7" s="17"/>
      <c r="P7" s="20" t="str">
        <f aca="false">IF(A7="","",IF(IFERROR(INDEX(Ref_PBC!$D$2:$D$201,MATCH(B7,Ref_PBC!$A$2:$A$201,0)),"")="Population","Y","N"))</f>
        <v/>
      </c>
      <c r="Q7" s="17"/>
      <c r="R7" s="17"/>
      <c r="S7" s="20" t="str">
        <f aca="false">IF(A7="","",IF(OR(B7="",E7="",G7="",M7=""),"PBC-ID, filename, source system, record count needed",IF(COUNTIF(Ref_PBC!$A$2:$A$201,B7)=0,"PBC-ID not in W08",IF(LEFT(E7,LEN(A7)+1)&lt;&gt;A7&amp;"_","Filename must start with EV-ID_",IF(O7&lt;&gt;"Y","Original must be preserved (Y)",IF(OR(K7="",L7=""),"Period covered needed",IF(OR(K7&gt;C7,L7&lt;D7),"Period does not cover the PBC period",IF(AND(P7="Y",Q7=""),"IPE result needed",IF(AND(P7="Y",Q7&lt;&gt;"Pass"),"HOLD: IPE not Pass - do not sample","OK")))))))))</f>
        <v/>
      </c>
    </row>
    <row r="8" customFormat="false" ht="15" hidden="false" customHeight="false" outlineLevel="0" collapsed="false">
      <c r="A8" s="17"/>
      <c r="B8" s="17"/>
      <c r="C8" s="18" t="str">
        <f aca="false">IFERROR(INDEX(Ref_PBC!$B$2:$B$201,MATCH(B8,Ref_PBC!$A$2:$A$201,0)),"")</f>
        <v/>
      </c>
      <c r="D8" s="18" t="str">
        <f aca="false">IFERROR(INDEX(Ref_PBC!$C$2:$C$201,MATCH(B8,Ref_PBC!$A$2:$A$201,0)),"")</f>
        <v/>
      </c>
      <c r="E8" s="17"/>
      <c r="F8" s="17"/>
      <c r="G8" s="17"/>
      <c r="H8" s="17"/>
      <c r="I8" s="17"/>
      <c r="J8" s="19"/>
      <c r="K8" s="19"/>
      <c r="L8" s="19"/>
      <c r="M8" s="17"/>
      <c r="N8" s="19"/>
      <c r="O8" s="17"/>
      <c r="P8" s="20" t="str">
        <f aca="false">IF(A8="","",IF(IFERROR(INDEX(Ref_PBC!$D$2:$D$201,MATCH(B8,Ref_PBC!$A$2:$A$201,0)),"")="Population","Y","N"))</f>
        <v/>
      </c>
      <c r="Q8" s="17"/>
      <c r="R8" s="17"/>
      <c r="S8" s="20" t="str">
        <f aca="false">IF(A8="","",IF(OR(B8="",E8="",G8="",M8=""),"PBC-ID, filename, source system, record count needed",IF(COUNTIF(Ref_PBC!$A$2:$A$201,B8)=0,"PBC-ID not in W08",IF(LEFT(E8,LEN(A8)+1)&lt;&gt;A8&amp;"_","Filename must start with EV-ID_",IF(O8&lt;&gt;"Y","Original must be preserved (Y)",IF(OR(K8="",L8=""),"Period covered needed",IF(OR(K8&gt;C8,L8&lt;D8),"Period does not cover the PBC period",IF(AND(P8="Y",Q8=""),"IPE result needed",IF(AND(P8="Y",Q8&lt;&gt;"Pass"),"HOLD: IPE not Pass - do not sample","OK")))))))))</f>
        <v/>
      </c>
    </row>
    <row r="9" customFormat="false" ht="15" hidden="false" customHeight="false" outlineLevel="0" collapsed="false">
      <c r="A9" s="17"/>
      <c r="B9" s="17"/>
      <c r="C9" s="18" t="str">
        <f aca="false">IFERROR(INDEX(Ref_PBC!$B$2:$B$201,MATCH(B9,Ref_PBC!$A$2:$A$201,0)),"")</f>
        <v/>
      </c>
      <c r="D9" s="18" t="str">
        <f aca="false">IFERROR(INDEX(Ref_PBC!$C$2:$C$201,MATCH(B9,Ref_PBC!$A$2:$A$201,0)),"")</f>
        <v/>
      </c>
      <c r="E9" s="17"/>
      <c r="F9" s="17"/>
      <c r="G9" s="17"/>
      <c r="H9" s="17"/>
      <c r="I9" s="17"/>
      <c r="J9" s="19"/>
      <c r="K9" s="19"/>
      <c r="L9" s="19"/>
      <c r="M9" s="17"/>
      <c r="N9" s="19"/>
      <c r="O9" s="17"/>
      <c r="P9" s="20" t="str">
        <f aca="false">IF(A9="","",IF(IFERROR(INDEX(Ref_PBC!$D$2:$D$201,MATCH(B9,Ref_PBC!$A$2:$A$201,0)),"")="Population","Y","N"))</f>
        <v/>
      </c>
      <c r="Q9" s="17"/>
      <c r="R9" s="17"/>
      <c r="S9" s="20" t="str">
        <f aca="false">IF(A9="","",IF(OR(B9="",E9="",G9="",M9=""),"PBC-ID, filename, source system, record count needed",IF(COUNTIF(Ref_PBC!$A$2:$A$201,B9)=0,"PBC-ID not in W08",IF(LEFT(E9,LEN(A9)+1)&lt;&gt;A9&amp;"_","Filename must start with EV-ID_",IF(O9&lt;&gt;"Y","Original must be preserved (Y)",IF(OR(K9="",L9=""),"Period covered needed",IF(OR(K9&gt;C9,L9&lt;D9),"Period does not cover the PBC period",IF(AND(P9="Y",Q9=""),"IPE result needed",IF(AND(P9="Y",Q9&lt;&gt;"Pass"),"HOLD: IPE not Pass - do not sample","OK")))))))))</f>
        <v/>
      </c>
    </row>
    <row r="10" customFormat="false" ht="15" hidden="false" customHeight="false" outlineLevel="0" collapsed="false">
      <c r="A10" s="17"/>
      <c r="B10" s="17"/>
      <c r="C10" s="18" t="str">
        <f aca="false">IFERROR(INDEX(Ref_PBC!$B$2:$B$201,MATCH(B10,Ref_PBC!$A$2:$A$201,0)),"")</f>
        <v/>
      </c>
      <c r="D10" s="18" t="str">
        <f aca="false">IFERROR(INDEX(Ref_PBC!$C$2:$C$201,MATCH(B10,Ref_PBC!$A$2:$A$201,0)),"")</f>
        <v/>
      </c>
      <c r="E10" s="17"/>
      <c r="F10" s="17"/>
      <c r="G10" s="17"/>
      <c r="H10" s="17"/>
      <c r="I10" s="17"/>
      <c r="J10" s="19"/>
      <c r="K10" s="19"/>
      <c r="L10" s="19"/>
      <c r="M10" s="17"/>
      <c r="N10" s="19"/>
      <c r="O10" s="17"/>
      <c r="P10" s="20" t="str">
        <f aca="false">IF(A10="","",IF(IFERROR(INDEX(Ref_PBC!$D$2:$D$201,MATCH(B10,Ref_PBC!$A$2:$A$201,0)),"")="Population","Y","N"))</f>
        <v/>
      </c>
      <c r="Q10" s="17"/>
      <c r="R10" s="17"/>
      <c r="S10" s="20" t="str">
        <f aca="false">IF(A10="","",IF(OR(B10="",E10="",G10="",M10=""),"PBC-ID, filename, source system, record count needed",IF(COUNTIF(Ref_PBC!$A$2:$A$201,B10)=0,"PBC-ID not in W08",IF(LEFT(E10,LEN(A10)+1)&lt;&gt;A10&amp;"_","Filename must start with EV-ID_",IF(O10&lt;&gt;"Y","Original must be preserved (Y)",IF(OR(K10="",L10=""),"Period covered needed",IF(OR(K10&gt;C10,L10&lt;D10),"Period does not cover the PBC period",IF(AND(P10="Y",Q10=""),"IPE result needed",IF(AND(P10="Y",Q10&lt;&gt;"Pass"),"HOLD: IPE not Pass - do not sample","OK")))))))))</f>
        <v/>
      </c>
    </row>
    <row r="11" customFormat="false" ht="15" hidden="false" customHeight="false" outlineLevel="0" collapsed="false">
      <c r="A11" s="17"/>
      <c r="B11" s="17"/>
      <c r="C11" s="18" t="str">
        <f aca="false">IFERROR(INDEX(Ref_PBC!$B$2:$B$201,MATCH(B11,Ref_PBC!$A$2:$A$201,0)),"")</f>
        <v/>
      </c>
      <c r="D11" s="18" t="str">
        <f aca="false">IFERROR(INDEX(Ref_PBC!$C$2:$C$201,MATCH(B11,Ref_PBC!$A$2:$A$201,0)),"")</f>
        <v/>
      </c>
      <c r="E11" s="17"/>
      <c r="F11" s="17"/>
      <c r="G11" s="17"/>
      <c r="H11" s="17"/>
      <c r="I11" s="17"/>
      <c r="J11" s="19"/>
      <c r="K11" s="19"/>
      <c r="L11" s="19"/>
      <c r="M11" s="17"/>
      <c r="N11" s="19"/>
      <c r="O11" s="17"/>
      <c r="P11" s="20" t="str">
        <f aca="false">IF(A11="","",IF(IFERROR(INDEX(Ref_PBC!$D$2:$D$201,MATCH(B11,Ref_PBC!$A$2:$A$201,0)),"")="Population","Y","N"))</f>
        <v/>
      </c>
      <c r="Q11" s="17"/>
      <c r="R11" s="17"/>
      <c r="S11" s="20" t="str">
        <f aca="false">IF(A11="","",IF(OR(B11="",E11="",G11="",M11=""),"PBC-ID, filename, source system, record count needed",IF(COUNTIF(Ref_PBC!$A$2:$A$201,B11)=0,"PBC-ID not in W08",IF(LEFT(E11,LEN(A11)+1)&lt;&gt;A11&amp;"_","Filename must start with EV-ID_",IF(O11&lt;&gt;"Y","Original must be preserved (Y)",IF(OR(K11="",L11=""),"Period covered needed",IF(OR(K11&gt;C11,L11&lt;D11),"Period does not cover the PBC period",IF(AND(P11="Y",Q11=""),"IPE result needed",IF(AND(P11="Y",Q11&lt;&gt;"Pass"),"HOLD: IPE not Pass - do not sample","OK")))))))))</f>
        <v/>
      </c>
    </row>
    <row r="12" customFormat="false" ht="15" hidden="false" customHeight="false" outlineLevel="0" collapsed="false">
      <c r="A12" s="17"/>
      <c r="B12" s="17"/>
      <c r="C12" s="18" t="str">
        <f aca="false">IFERROR(INDEX(Ref_PBC!$B$2:$B$201,MATCH(B12,Ref_PBC!$A$2:$A$201,0)),"")</f>
        <v/>
      </c>
      <c r="D12" s="18" t="str">
        <f aca="false">IFERROR(INDEX(Ref_PBC!$C$2:$C$201,MATCH(B12,Ref_PBC!$A$2:$A$201,0)),"")</f>
        <v/>
      </c>
      <c r="E12" s="17"/>
      <c r="F12" s="17"/>
      <c r="G12" s="17"/>
      <c r="H12" s="17"/>
      <c r="I12" s="17"/>
      <c r="J12" s="19"/>
      <c r="K12" s="19"/>
      <c r="L12" s="19"/>
      <c r="M12" s="17"/>
      <c r="N12" s="19"/>
      <c r="O12" s="17"/>
      <c r="P12" s="20" t="str">
        <f aca="false">IF(A12="","",IF(IFERROR(INDEX(Ref_PBC!$D$2:$D$201,MATCH(B12,Ref_PBC!$A$2:$A$201,0)),"")="Population","Y","N"))</f>
        <v/>
      </c>
      <c r="Q12" s="17"/>
      <c r="R12" s="17"/>
      <c r="S12" s="20" t="str">
        <f aca="false">IF(A12="","",IF(OR(B12="",E12="",G12="",M12=""),"PBC-ID, filename, source system, record count needed",IF(COUNTIF(Ref_PBC!$A$2:$A$201,B12)=0,"PBC-ID not in W08",IF(LEFT(E12,LEN(A12)+1)&lt;&gt;A12&amp;"_","Filename must start with EV-ID_",IF(O12&lt;&gt;"Y","Original must be preserved (Y)",IF(OR(K12="",L12=""),"Period covered needed",IF(OR(K12&gt;C12,L12&lt;D12),"Period does not cover the PBC period",IF(AND(P12="Y",Q12=""),"IPE result needed",IF(AND(P12="Y",Q12&lt;&gt;"Pass"),"HOLD: IPE not Pass - do not sample","OK")))))))))</f>
        <v/>
      </c>
    </row>
    <row r="13" customFormat="false" ht="15" hidden="false" customHeight="false" outlineLevel="0" collapsed="false">
      <c r="A13" s="17"/>
      <c r="B13" s="17"/>
      <c r="C13" s="18" t="str">
        <f aca="false">IFERROR(INDEX(Ref_PBC!$B$2:$B$201,MATCH(B13,Ref_PBC!$A$2:$A$201,0)),"")</f>
        <v/>
      </c>
      <c r="D13" s="18" t="str">
        <f aca="false">IFERROR(INDEX(Ref_PBC!$C$2:$C$201,MATCH(B13,Ref_PBC!$A$2:$A$201,0)),"")</f>
        <v/>
      </c>
      <c r="E13" s="17"/>
      <c r="F13" s="17"/>
      <c r="G13" s="17"/>
      <c r="H13" s="17"/>
      <c r="I13" s="17"/>
      <c r="J13" s="19"/>
      <c r="K13" s="19"/>
      <c r="L13" s="19"/>
      <c r="M13" s="17"/>
      <c r="N13" s="19"/>
      <c r="O13" s="17"/>
      <c r="P13" s="20" t="str">
        <f aca="false">IF(A13="","",IF(IFERROR(INDEX(Ref_PBC!$D$2:$D$201,MATCH(B13,Ref_PBC!$A$2:$A$201,0)),"")="Population","Y","N"))</f>
        <v/>
      </c>
      <c r="Q13" s="17"/>
      <c r="R13" s="17"/>
      <c r="S13" s="20" t="str">
        <f aca="false">IF(A13="","",IF(OR(B13="",E13="",G13="",M13=""),"PBC-ID, filename, source system, record count needed",IF(COUNTIF(Ref_PBC!$A$2:$A$201,B13)=0,"PBC-ID not in W08",IF(LEFT(E13,LEN(A13)+1)&lt;&gt;A13&amp;"_","Filename must start with EV-ID_",IF(O13&lt;&gt;"Y","Original must be preserved (Y)",IF(OR(K13="",L13=""),"Period covered needed",IF(OR(K13&gt;C13,L13&lt;D13),"Period does not cover the PBC period",IF(AND(P13="Y",Q13=""),"IPE result needed",IF(AND(P13="Y",Q13&lt;&gt;"Pass"),"HOLD: IPE not Pass - do not sample","OK")))))))))</f>
        <v/>
      </c>
    </row>
    <row r="14" customFormat="false" ht="15" hidden="false" customHeight="false" outlineLevel="0" collapsed="false">
      <c r="A14" s="17"/>
      <c r="B14" s="17"/>
      <c r="C14" s="18" t="str">
        <f aca="false">IFERROR(INDEX(Ref_PBC!$B$2:$B$201,MATCH(B14,Ref_PBC!$A$2:$A$201,0)),"")</f>
        <v/>
      </c>
      <c r="D14" s="18" t="str">
        <f aca="false">IFERROR(INDEX(Ref_PBC!$C$2:$C$201,MATCH(B14,Ref_PBC!$A$2:$A$201,0)),"")</f>
        <v/>
      </c>
      <c r="E14" s="17"/>
      <c r="F14" s="17"/>
      <c r="G14" s="17"/>
      <c r="H14" s="17"/>
      <c r="I14" s="17"/>
      <c r="J14" s="19"/>
      <c r="K14" s="19"/>
      <c r="L14" s="19"/>
      <c r="M14" s="17"/>
      <c r="N14" s="19"/>
      <c r="O14" s="17"/>
      <c r="P14" s="20" t="str">
        <f aca="false">IF(A14="","",IF(IFERROR(INDEX(Ref_PBC!$D$2:$D$201,MATCH(B14,Ref_PBC!$A$2:$A$201,0)),"")="Population","Y","N"))</f>
        <v/>
      </c>
      <c r="Q14" s="17"/>
      <c r="R14" s="17"/>
      <c r="S14" s="20" t="str">
        <f aca="false">IF(A14="","",IF(OR(B14="",E14="",G14="",M14=""),"PBC-ID, filename, source system, record count needed",IF(COUNTIF(Ref_PBC!$A$2:$A$201,B14)=0,"PBC-ID not in W08",IF(LEFT(E14,LEN(A14)+1)&lt;&gt;A14&amp;"_","Filename must start with EV-ID_",IF(O14&lt;&gt;"Y","Original must be preserved (Y)",IF(OR(K14="",L14=""),"Period covered needed",IF(OR(K14&gt;C14,L14&lt;D14),"Period does not cover the PBC period",IF(AND(P14="Y",Q14=""),"IPE result needed",IF(AND(P14="Y",Q14&lt;&gt;"Pass"),"HOLD: IPE not Pass - do not sample","OK")))))))))</f>
        <v/>
      </c>
    </row>
    <row r="15" customFormat="false" ht="15" hidden="false" customHeight="false" outlineLevel="0" collapsed="false">
      <c r="A15" s="17"/>
      <c r="B15" s="17"/>
      <c r="C15" s="18" t="str">
        <f aca="false">IFERROR(INDEX(Ref_PBC!$B$2:$B$201,MATCH(B15,Ref_PBC!$A$2:$A$201,0)),"")</f>
        <v/>
      </c>
      <c r="D15" s="18" t="str">
        <f aca="false">IFERROR(INDEX(Ref_PBC!$C$2:$C$201,MATCH(B15,Ref_PBC!$A$2:$A$201,0)),"")</f>
        <v/>
      </c>
      <c r="E15" s="17"/>
      <c r="F15" s="17"/>
      <c r="G15" s="17"/>
      <c r="H15" s="17"/>
      <c r="I15" s="17"/>
      <c r="J15" s="19"/>
      <c r="K15" s="19"/>
      <c r="L15" s="19"/>
      <c r="M15" s="17"/>
      <c r="N15" s="19"/>
      <c r="O15" s="17"/>
      <c r="P15" s="20" t="str">
        <f aca="false">IF(A15="","",IF(IFERROR(INDEX(Ref_PBC!$D$2:$D$201,MATCH(B15,Ref_PBC!$A$2:$A$201,0)),"")="Population","Y","N"))</f>
        <v/>
      </c>
      <c r="Q15" s="17"/>
      <c r="R15" s="17"/>
      <c r="S15" s="20" t="str">
        <f aca="false">IF(A15="","",IF(OR(B15="",E15="",G15="",M15=""),"PBC-ID, filename, source system, record count needed",IF(COUNTIF(Ref_PBC!$A$2:$A$201,B15)=0,"PBC-ID not in W08",IF(LEFT(E15,LEN(A15)+1)&lt;&gt;A15&amp;"_","Filename must start with EV-ID_",IF(O15&lt;&gt;"Y","Original must be preserved (Y)",IF(OR(K15="",L15=""),"Period covered needed",IF(OR(K15&gt;C15,L15&lt;D15),"Period does not cover the PBC period",IF(AND(P15="Y",Q15=""),"IPE result needed",IF(AND(P15="Y",Q15&lt;&gt;"Pass"),"HOLD: IPE not Pass - do not sample","OK")))))))))</f>
        <v/>
      </c>
    </row>
    <row r="16" customFormat="false" ht="15" hidden="false" customHeight="false" outlineLevel="0" collapsed="false">
      <c r="A16" s="17"/>
      <c r="B16" s="17"/>
      <c r="C16" s="18" t="str">
        <f aca="false">IFERROR(INDEX(Ref_PBC!$B$2:$B$201,MATCH(B16,Ref_PBC!$A$2:$A$201,0)),"")</f>
        <v/>
      </c>
      <c r="D16" s="18" t="str">
        <f aca="false">IFERROR(INDEX(Ref_PBC!$C$2:$C$201,MATCH(B16,Ref_PBC!$A$2:$A$201,0)),"")</f>
        <v/>
      </c>
      <c r="E16" s="17"/>
      <c r="F16" s="17"/>
      <c r="G16" s="17"/>
      <c r="H16" s="17"/>
      <c r="I16" s="17"/>
      <c r="J16" s="19"/>
      <c r="K16" s="19"/>
      <c r="L16" s="19"/>
      <c r="M16" s="17"/>
      <c r="N16" s="19"/>
      <c r="O16" s="17"/>
      <c r="P16" s="20" t="str">
        <f aca="false">IF(A16="","",IF(IFERROR(INDEX(Ref_PBC!$D$2:$D$201,MATCH(B16,Ref_PBC!$A$2:$A$201,0)),"")="Population","Y","N"))</f>
        <v/>
      </c>
      <c r="Q16" s="17"/>
      <c r="R16" s="17"/>
      <c r="S16" s="20" t="str">
        <f aca="false">IF(A16="","",IF(OR(B16="",E16="",G16="",M16=""),"PBC-ID, filename, source system, record count needed",IF(COUNTIF(Ref_PBC!$A$2:$A$201,B16)=0,"PBC-ID not in W08",IF(LEFT(E16,LEN(A16)+1)&lt;&gt;A16&amp;"_","Filename must start with EV-ID_",IF(O16&lt;&gt;"Y","Original must be preserved (Y)",IF(OR(K16="",L16=""),"Period covered needed",IF(OR(K16&gt;C16,L16&lt;D16),"Period does not cover the PBC period",IF(AND(P16="Y",Q16=""),"IPE result needed",IF(AND(P16="Y",Q16&lt;&gt;"Pass"),"HOLD: IPE not Pass - do not sample","OK")))))))))</f>
        <v/>
      </c>
    </row>
    <row r="17" customFormat="false" ht="15" hidden="false" customHeight="false" outlineLevel="0" collapsed="false">
      <c r="A17" s="17"/>
      <c r="B17" s="17"/>
      <c r="C17" s="18" t="str">
        <f aca="false">IFERROR(INDEX(Ref_PBC!$B$2:$B$201,MATCH(B17,Ref_PBC!$A$2:$A$201,0)),"")</f>
        <v/>
      </c>
      <c r="D17" s="18" t="str">
        <f aca="false">IFERROR(INDEX(Ref_PBC!$C$2:$C$201,MATCH(B17,Ref_PBC!$A$2:$A$201,0)),"")</f>
        <v/>
      </c>
      <c r="E17" s="17"/>
      <c r="F17" s="17"/>
      <c r="G17" s="17"/>
      <c r="H17" s="17"/>
      <c r="I17" s="17"/>
      <c r="J17" s="19"/>
      <c r="K17" s="19"/>
      <c r="L17" s="19"/>
      <c r="M17" s="17"/>
      <c r="N17" s="19"/>
      <c r="O17" s="17"/>
      <c r="P17" s="20" t="str">
        <f aca="false">IF(A17="","",IF(IFERROR(INDEX(Ref_PBC!$D$2:$D$201,MATCH(B17,Ref_PBC!$A$2:$A$201,0)),"")="Population","Y","N"))</f>
        <v/>
      </c>
      <c r="Q17" s="17"/>
      <c r="R17" s="17"/>
      <c r="S17" s="20" t="str">
        <f aca="false">IF(A17="","",IF(OR(B17="",E17="",G17="",M17=""),"PBC-ID, filename, source system, record count needed",IF(COUNTIF(Ref_PBC!$A$2:$A$201,B17)=0,"PBC-ID not in W08",IF(LEFT(E17,LEN(A17)+1)&lt;&gt;A17&amp;"_","Filename must start with EV-ID_",IF(O17&lt;&gt;"Y","Original must be preserved (Y)",IF(OR(K17="",L17=""),"Period covered needed",IF(OR(K17&gt;C17,L17&lt;D17),"Period does not cover the PBC period",IF(AND(P17="Y",Q17=""),"IPE result needed",IF(AND(P17="Y",Q17&lt;&gt;"Pass"),"HOLD: IPE not Pass - do not sample","OK")))))))))</f>
        <v/>
      </c>
    </row>
    <row r="18" customFormat="false" ht="15" hidden="false" customHeight="false" outlineLevel="0" collapsed="false">
      <c r="A18" s="17"/>
      <c r="B18" s="17"/>
      <c r="C18" s="18" t="str">
        <f aca="false">IFERROR(INDEX(Ref_PBC!$B$2:$B$201,MATCH(B18,Ref_PBC!$A$2:$A$201,0)),"")</f>
        <v/>
      </c>
      <c r="D18" s="18" t="str">
        <f aca="false">IFERROR(INDEX(Ref_PBC!$C$2:$C$201,MATCH(B18,Ref_PBC!$A$2:$A$201,0)),"")</f>
        <v/>
      </c>
      <c r="E18" s="17"/>
      <c r="F18" s="17"/>
      <c r="G18" s="17"/>
      <c r="H18" s="17"/>
      <c r="I18" s="17"/>
      <c r="J18" s="19"/>
      <c r="K18" s="19"/>
      <c r="L18" s="19"/>
      <c r="M18" s="17"/>
      <c r="N18" s="19"/>
      <c r="O18" s="17"/>
      <c r="P18" s="20" t="str">
        <f aca="false">IF(A18="","",IF(IFERROR(INDEX(Ref_PBC!$D$2:$D$201,MATCH(B18,Ref_PBC!$A$2:$A$201,0)),"")="Population","Y","N"))</f>
        <v/>
      </c>
      <c r="Q18" s="17"/>
      <c r="R18" s="17"/>
      <c r="S18" s="20" t="str">
        <f aca="false">IF(A18="","",IF(OR(B18="",E18="",G18="",M18=""),"PBC-ID, filename, source system, record count needed",IF(COUNTIF(Ref_PBC!$A$2:$A$201,B18)=0,"PBC-ID not in W08",IF(LEFT(E18,LEN(A18)+1)&lt;&gt;A18&amp;"_","Filename must start with EV-ID_",IF(O18&lt;&gt;"Y","Original must be preserved (Y)",IF(OR(K18="",L18=""),"Period covered needed",IF(OR(K18&gt;C18,L18&lt;D18),"Period does not cover the PBC period",IF(AND(P18="Y",Q18=""),"IPE result needed",IF(AND(P18="Y",Q18&lt;&gt;"Pass"),"HOLD: IPE not Pass - do not sample","OK")))))))))</f>
        <v/>
      </c>
    </row>
    <row r="19" customFormat="false" ht="15" hidden="false" customHeight="false" outlineLevel="0" collapsed="false">
      <c r="A19" s="17"/>
      <c r="B19" s="17"/>
      <c r="C19" s="18" t="str">
        <f aca="false">IFERROR(INDEX(Ref_PBC!$B$2:$B$201,MATCH(B19,Ref_PBC!$A$2:$A$201,0)),"")</f>
        <v/>
      </c>
      <c r="D19" s="18" t="str">
        <f aca="false">IFERROR(INDEX(Ref_PBC!$C$2:$C$201,MATCH(B19,Ref_PBC!$A$2:$A$201,0)),"")</f>
        <v/>
      </c>
      <c r="E19" s="17"/>
      <c r="F19" s="17"/>
      <c r="G19" s="17"/>
      <c r="H19" s="17"/>
      <c r="I19" s="17"/>
      <c r="J19" s="19"/>
      <c r="K19" s="19"/>
      <c r="L19" s="19"/>
      <c r="M19" s="17"/>
      <c r="N19" s="19"/>
      <c r="O19" s="17"/>
      <c r="P19" s="20" t="str">
        <f aca="false">IF(A19="","",IF(IFERROR(INDEX(Ref_PBC!$D$2:$D$201,MATCH(B19,Ref_PBC!$A$2:$A$201,0)),"")="Population","Y","N"))</f>
        <v/>
      </c>
      <c r="Q19" s="17"/>
      <c r="R19" s="17"/>
      <c r="S19" s="20" t="str">
        <f aca="false">IF(A19="","",IF(OR(B19="",E19="",G19="",M19=""),"PBC-ID, filename, source system, record count needed",IF(COUNTIF(Ref_PBC!$A$2:$A$201,B19)=0,"PBC-ID not in W08",IF(LEFT(E19,LEN(A19)+1)&lt;&gt;A19&amp;"_","Filename must start with EV-ID_",IF(O19&lt;&gt;"Y","Original must be preserved (Y)",IF(OR(K19="",L19=""),"Period covered needed",IF(OR(K19&gt;C19,L19&lt;D19),"Period does not cover the PBC period",IF(AND(P19="Y",Q19=""),"IPE result needed",IF(AND(P19="Y",Q19&lt;&gt;"Pass"),"HOLD: IPE not Pass - do not sample","OK")))))))))</f>
        <v/>
      </c>
    </row>
    <row r="20" customFormat="false" ht="15" hidden="false" customHeight="false" outlineLevel="0" collapsed="false">
      <c r="A20" s="17"/>
      <c r="B20" s="17"/>
      <c r="C20" s="18" t="str">
        <f aca="false">IFERROR(INDEX(Ref_PBC!$B$2:$B$201,MATCH(B20,Ref_PBC!$A$2:$A$201,0)),"")</f>
        <v/>
      </c>
      <c r="D20" s="18" t="str">
        <f aca="false">IFERROR(INDEX(Ref_PBC!$C$2:$C$201,MATCH(B20,Ref_PBC!$A$2:$A$201,0)),"")</f>
        <v/>
      </c>
      <c r="E20" s="17"/>
      <c r="F20" s="17"/>
      <c r="G20" s="17"/>
      <c r="H20" s="17"/>
      <c r="I20" s="17"/>
      <c r="J20" s="19"/>
      <c r="K20" s="19"/>
      <c r="L20" s="19"/>
      <c r="M20" s="17"/>
      <c r="N20" s="19"/>
      <c r="O20" s="17"/>
      <c r="P20" s="20" t="str">
        <f aca="false">IF(A20="","",IF(IFERROR(INDEX(Ref_PBC!$D$2:$D$201,MATCH(B20,Ref_PBC!$A$2:$A$201,0)),"")="Population","Y","N"))</f>
        <v/>
      </c>
      <c r="Q20" s="17"/>
      <c r="R20" s="17"/>
      <c r="S20" s="20" t="str">
        <f aca="false">IF(A20="","",IF(OR(B20="",E20="",G20="",M20=""),"PBC-ID, filename, source system, record count needed",IF(COUNTIF(Ref_PBC!$A$2:$A$201,B20)=0,"PBC-ID not in W08",IF(LEFT(E20,LEN(A20)+1)&lt;&gt;A20&amp;"_","Filename must start with EV-ID_",IF(O20&lt;&gt;"Y","Original must be preserved (Y)",IF(OR(K20="",L20=""),"Period covered needed",IF(OR(K20&gt;C20,L20&lt;D20),"Period does not cover the PBC period",IF(AND(P20="Y",Q20=""),"IPE result needed",IF(AND(P20="Y",Q20&lt;&gt;"Pass"),"HOLD: IPE not Pass - do not sample","OK")))))))))</f>
        <v/>
      </c>
    </row>
    <row r="21" customFormat="false" ht="15" hidden="false" customHeight="false" outlineLevel="0" collapsed="false">
      <c r="A21" s="17"/>
      <c r="B21" s="17"/>
      <c r="C21" s="18" t="str">
        <f aca="false">IFERROR(INDEX(Ref_PBC!$B$2:$B$201,MATCH(B21,Ref_PBC!$A$2:$A$201,0)),"")</f>
        <v/>
      </c>
      <c r="D21" s="18" t="str">
        <f aca="false">IFERROR(INDEX(Ref_PBC!$C$2:$C$201,MATCH(B21,Ref_PBC!$A$2:$A$201,0)),"")</f>
        <v/>
      </c>
      <c r="E21" s="17"/>
      <c r="F21" s="17"/>
      <c r="G21" s="17"/>
      <c r="H21" s="17"/>
      <c r="I21" s="17"/>
      <c r="J21" s="19"/>
      <c r="K21" s="19"/>
      <c r="L21" s="19"/>
      <c r="M21" s="17"/>
      <c r="N21" s="19"/>
      <c r="O21" s="17"/>
      <c r="P21" s="20" t="str">
        <f aca="false">IF(A21="","",IF(IFERROR(INDEX(Ref_PBC!$D$2:$D$201,MATCH(B21,Ref_PBC!$A$2:$A$201,0)),"")="Population","Y","N"))</f>
        <v/>
      </c>
      <c r="Q21" s="17"/>
      <c r="R21" s="17"/>
      <c r="S21" s="20" t="str">
        <f aca="false">IF(A21="","",IF(OR(B21="",E21="",G21="",M21=""),"PBC-ID, filename, source system, record count needed",IF(COUNTIF(Ref_PBC!$A$2:$A$201,B21)=0,"PBC-ID not in W08",IF(LEFT(E21,LEN(A21)+1)&lt;&gt;A21&amp;"_","Filename must start with EV-ID_",IF(O21&lt;&gt;"Y","Original must be preserved (Y)",IF(OR(K21="",L21=""),"Period covered needed",IF(OR(K21&gt;C21,L21&lt;D21),"Period does not cover the PBC period",IF(AND(P21="Y",Q21=""),"IPE result needed",IF(AND(P21="Y",Q21&lt;&gt;"Pass"),"HOLD: IPE not Pass - do not sample","OK")))))))))</f>
        <v/>
      </c>
    </row>
    <row r="22" customFormat="false" ht="15" hidden="false" customHeight="false" outlineLevel="0" collapsed="false">
      <c r="A22" s="17"/>
      <c r="B22" s="17"/>
      <c r="C22" s="18" t="str">
        <f aca="false">IFERROR(INDEX(Ref_PBC!$B$2:$B$201,MATCH(B22,Ref_PBC!$A$2:$A$201,0)),"")</f>
        <v/>
      </c>
      <c r="D22" s="18" t="str">
        <f aca="false">IFERROR(INDEX(Ref_PBC!$C$2:$C$201,MATCH(B22,Ref_PBC!$A$2:$A$201,0)),"")</f>
        <v/>
      </c>
      <c r="E22" s="17"/>
      <c r="F22" s="17"/>
      <c r="G22" s="17"/>
      <c r="H22" s="17"/>
      <c r="I22" s="17"/>
      <c r="J22" s="19"/>
      <c r="K22" s="19"/>
      <c r="L22" s="19"/>
      <c r="M22" s="17"/>
      <c r="N22" s="19"/>
      <c r="O22" s="17"/>
      <c r="P22" s="20" t="str">
        <f aca="false">IF(A22="","",IF(IFERROR(INDEX(Ref_PBC!$D$2:$D$201,MATCH(B22,Ref_PBC!$A$2:$A$201,0)),"")="Population","Y","N"))</f>
        <v/>
      </c>
      <c r="Q22" s="17"/>
      <c r="R22" s="17"/>
      <c r="S22" s="20" t="str">
        <f aca="false">IF(A22="","",IF(OR(B22="",E22="",G22="",M22=""),"PBC-ID, filename, source system, record count needed",IF(COUNTIF(Ref_PBC!$A$2:$A$201,B22)=0,"PBC-ID not in W08",IF(LEFT(E22,LEN(A22)+1)&lt;&gt;A22&amp;"_","Filename must start with EV-ID_",IF(O22&lt;&gt;"Y","Original must be preserved (Y)",IF(OR(K22="",L22=""),"Period covered needed",IF(OR(K22&gt;C22,L22&lt;D22),"Period does not cover the PBC period",IF(AND(P22="Y",Q22=""),"IPE result needed",IF(AND(P22="Y",Q22&lt;&gt;"Pass"),"HOLD: IPE not Pass - do not sample","OK")))))))))</f>
        <v/>
      </c>
    </row>
    <row r="23" customFormat="false" ht="15" hidden="false" customHeight="false" outlineLevel="0" collapsed="false">
      <c r="A23" s="17"/>
      <c r="B23" s="17"/>
      <c r="C23" s="18" t="str">
        <f aca="false">IFERROR(INDEX(Ref_PBC!$B$2:$B$201,MATCH(B23,Ref_PBC!$A$2:$A$201,0)),"")</f>
        <v/>
      </c>
      <c r="D23" s="18" t="str">
        <f aca="false">IFERROR(INDEX(Ref_PBC!$C$2:$C$201,MATCH(B23,Ref_PBC!$A$2:$A$201,0)),"")</f>
        <v/>
      </c>
      <c r="E23" s="17"/>
      <c r="F23" s="17"/>
      <c r="G23" s="17"/>
      <c r="H23" s="17"/>
      <c r="I23" s="17"/>
      <c r="J23" s="19"/>
      <c r="K23" s="19"/>
      <c r="L23" s="19"/>
      <c r="M23" s="17"/>
      <c r="N23" s="19"/>
      <c r="O23" s="17"/>
      <c r="P23" s="20" t="str">
        <f aca="false">IF(A23="","",IF(IFERROR(INDEX(Ref_PBC!$D$2:$D$201,MATCH(B23,Ref_PBC!$A$2:$A$201,0)),"")="Population","Y","N"))</f>
        <v/>
      </c>
      <c r="Q23" s="17"/>
      <c r="R23" s="17"/>
      <c r="S23" s="20" t="str">
        <f aca="false">IF(A23="","",IF(OR(B23="",E23="",G23="",M23=""),"PBC-ID, filename, source system, record count needed",IF(COUNTIF(Ref_PBC!$A$2:$A$201,B23)=0,"PBC-ID not in W08",IF(LEFT(E23,LEN(A23)+1)&lt;&gt;A23&amp;"_","Filename must start with EV-ID_",IF(O23&lt;&gt;"Y","Original must be preserved (Y)",IF(OR(K23="",L23=""),"Period covered needed",IF(OR(K23&gt;C23,L23&lt;D23),"Period does not cover the PBC period",IF(AND(P23="Y",Q23=""),"IPE result needed",IF(AND(P23="Y",Q23&lt;&gt;"Pass"),"HOLD: IPE not Pass - do not sample","OK")))))))))</f>
        <v/>
      </c>
    </row>
    <row r="24" customFormat="false" ht="15" hidden="false" customHeight="false" outlineLevel="0" collapsed="false">
      <c r="A24" s="17"/>
      <c r="B24" s="17"/>
      <c r="C24" s="18" t="str">
        <f aca="false">IFERROR(INDEX(Ref_PBC!$B$2:$B$201,MATCH(B24,Ref_PBC!$A$2:$A$201,0)),"")</f>
        <v/>
      </c>
      <c r="D24" s="18" t="str">
        <f aca="false">IFERROR(INDEX(Ref_PBC!$C$2:$C$201,MATCH(B24,Ref_PBC!$A$2:$A$201,0)),"")</f>
        <v/>
      </c>
      <c r="E24" s="17"/>
      <c r="F24" s="17"/>
      <c r="G24" s="17"/>
      <c r="H24" s="17"/>
      <c r="I24" s="17"/>
      <c r="J24" s="19"/>
      <c r="K24" s="19"/>
      <c r="L24" s="19"/>
      <c r="M24" s="17"/>
      <c r="N24" s="19"/>
      <c r="O24" s="17"/>
      <c r="P24" s="20" t="str">
        <f aca="false">IF(A24="","",IF(IFERROR(INDEX(Ref_PBC!$D$2:$D$201,MATCH(B24,Ref_PBC!$A$2:$A$201,0)),"")="Population","Y","N"))</f>
        <v/>
      </c>
      <c r="Q24" s="17"/>
      <c r="R24" s="17"/>
      <c r="S24" s="20" t="str">
        <f aca="false">IF(A24="","",IF(OR(B24="",E24="",G24="",M24=""),"PBC-ID, filename, source system, record count needed",IF(COUNTIF(Ref_PBC!$A$2:$A$201,B24)=0,"PBC-ID not in W08",IF(LEFT(E24,LEN(A24)+1)&lt;&gt;A24&amp;"_","Filename must start with EV-ID_",IF(O24&lt;&gt;"Y","Original must be preserved (Y)",IF(OR(K24="",L24=""),"Period covered needed",IF(OR(K24&gt;C24,L24&lt;D24),"Period does not cover the PBC period",IF(AND(P24="Y",Q24=""),"IPE result needed",IF(AND(P24="Y",Q24&lt;&gt;"Pass"),"HOLD: IPE not Pass - do not sample","OK")))))))))</f>
        <v/>
      </c>
    </row>
    <row r="25" customFormat="false" ht="15" hidden="false" customHeight="false" outlineLevel="0" collapsed="false">
      <c r="A25" s="17"/>
      <c r="B25" s="17"/>
      <c r="C25" s="18" t="str">
        <f aca="false">IFERROR(INDEX(Ref_PBC!$B$2:$B$201,MATCH(B25,Ref_PBC!$A$2:$A$201,0)),"")</f>
        <v/>
      </c>
      <c r="D25" s="18" t="str">
        <f aca="false">IFERROR(INDEX(Ref_PBC!$C$2:$C$201,MATCH(B25,Ref_PBC!$A$2:$A$201,0)),"")</f>
        <v/>
      </c>
      <c r="E25" s="17"/>
      <c r="F25" s="17"/>
      <c r="G25" s="17"/>
      <c r="H25" s="17"/>
      <c r="I25" s="17"/>
      <c r="J25" s="19"/>
      <c r="K25" s="19"/>
      <c r="L25" s="19"/>
      <c r="M25" s="17"/>
      <c r="N25" s="19"/>
      <c r="O25" s="17"/>
      <c r="P25" s="20" t="str">
        <f aca="false">IF(A25="","",IF(IFERROR(INDEX(Ref_PBC!$D$2:$D$201,MATCH(B25,Ref_PBC!$A$2:$A$201,0)),"")="Population","Y","N"))</f>
        <v/>
      </c>
      <c r="Q25" s="17"/>
      <c r="R25" s="17"/>
      <c r="S25" s="20" t="str">
        <f aca="false">IF(A25="","",IF(OR(B25="",E25="",G25="",M25=""),"PBC-ID, filename, source system, record count needed",IF(COUNTIF(Ref_PBC!$A$2:$A$201,B25)=0,"PBC-ID not in W08",IF(LEFT(E25,LEN(A25)+1)&lt;&gt;A25&amp;"_","Filename must start with EV-ID_",IF(O25&lt;&gt;"Y","Original must be preserved (Y)",IF(OR(K25="",L25=""),"Period covered needed",IF(OR(K25&gt;C25,L25&lt;D25),"Period does not cover the PBC period",IF(AND(P25="Y",Q25=""),"IPE result needed",IF(AND(P25="Y",Q25&lt;&gt;"Pass"),"HOLD: IPE not Pass - do not sample","OK")))))))))</f>
        <v/>
      </c>
    </row>
    <row r="26" customFormat="false" ht="15" hidden="false" customHeight="false" outlineLevel="0" collapsed="false">
      <c r="A26" s="17"/>
      <c r="B26" s="17"/>
      <c r="C26" s="18" t="str">
        <f aca="false">IFERROR(INDEX(Ref_PBC!$B$2:$B$201,MATCH(B26,Ref_PBC!$A$2:$A$201,0)),"")</f>
        <v/>
      </c>
      <c r="D26" s="18" t="str">
        <f aca="false">IFERROR(INDEX(Ref_PBC!$C$2:$C$201,MATCH(B26,Ref_PBC!$A$2:$A$201,0)),"")</f>
        <v/>
      </c>
      <c r="E26" s="17"/>
      <c r="F26" s="17"/>
      <c r="G26" s="17"/>
      <c r="H26" s="17"/>
      <c r="I26" s="17"/>
      <c r="J26" s="19"/>
      <c r="K26" s="19"/>
      <c r="L26" s="19"/>
      <c r="M26" s="17"/>
      <c r="N26" s="19"/>
      <c r="O26" s="17"/>
      <c r="P26" s="20" t="str">
        <f aca="false">IF(A26="","",IF(IFERROR(INDEX(Ref_PBC!$D$2:$D$201,MATCH(B26,Ref_PBC!$A$2:$A$201,0)),"")="Population","Y","N"))</f>
        <v/>
      </c>
      <c r="Q26" s="17"/>
      <c r="R26" s="17"/>
      <c r="S26" s="20" t="str">
        <f aca="false">IF(A26="","",IF(OR(B26="",E26="",G26="",M26=""),"PBC-ID, filename, source system, record count needed",IF(COUNTIF(Ref_PBC!$A$2:$A$201,B26)=0,"PBC-ID not in W08",IF(LEFT(E26,LEN(A26)+1)&lt;&gt;A26&amp;"_","Filename must start with EV-ID_",IF(O26&lt;&gt;"Y","Original must be preserved (Y)",IF(OR(K26="",L26=""),"Period covered needed",IF(OR(K26&gt;C26,L26&lt;D26),"Period does not cover the PBC period",IF(AND(P26="Y",Q26=""),"IPE result needed",IF(AND(P26="Y",Q26&lt;&gt;"Pass"),"HOLD: IPE not Pass - do not sample","OK")))))))))</f>
        <v/>
      </c>
    </row>
    <row r="27" customFormat="false" ht="15" hidden="false" customHeight="false" outlineLevel="0" collapsed="false">
      <c r="A27" s="17"/>
      <c r="B27" s="17"/>
      <c r="C27" s="18" t="str">
        <f aca="false">IFERROR(INDEX(Ref_PBC!$B$2:$B$201,MATCH(B27,Ref_PBC!$A$2:$A$201,0)),"")</f>
        <v/>
      </c>
      <c r="D27" s="18" t="str">
        <f aca="false">IFERROR(INDEX(Ref_PBC!$C$2:$C$201,MATCH(B27,Ref_PBC!$A$2:$A$201,0)),"")</f>
        <v/>
      </c>
      <c r="E27" s="17"/>
      <c r="F27" s="17"/>
      <c r="G27" s="17"/>
      <c r="H27" s="17"/>
      <c r="I27" s="17"/>
      <c r="J27" s="19"/>
      <c r="K27" s="19"/>
      <c r="L27" s="19"/>
      <c r="M27" s="17"/>
      <c r="N27" s="19"/>
      <c r="O27" s="17"/>
      <c r="P27" s="20" t="str">
        <f aca="false">IF(A27="","",IF(IFERROR(INDEX(Ref_PBC!$D$2:$D$201,MATCH(B27,Ref_PBC!$A$2:$A$201,0)),"")="Population","Y","N"))</f>
        <v/>
      </c>
      <c r="Q27" s="17"/>
      <c r="R27" s="17"/>
      <c r="S27" s="20" t="str">
        <f aca="false">IF(A27="","",IF(OR(B27="",E27="",G27="",M27=""),"PBC-ID, filename, source system, record count needed",IF(COUNTIF(Ref_PBC!$A$2:$A$201,B27)=0,"PBC-ID not in W08",IF(LEFT(E27,LEN(A27)+1)&lt;&gt;A27&amp;"_","Filename must start with EV-ID_",IF(O27&lt;&gt;"Y","Original must be preserved (Y)",IF(OR(K27="",L27=""),"Period covered needed",IF(OR(K27&gt;C27,L27&lt;D27),"Period does not cover the PBC period",IF(AND(P27="Y",Q27=""),"IPE result needed",IF(AND(P27="Y",Q27&lt;&gt;"Pass"),"HOLD: IPE not Pass - do not sample","OK")))))))))</f>
        <v/>
      </c>
    </row>
    <row r="28" customFormat="false" ht="15" hidden="false" customHeight="false" outlineLevel="0" collapsed="false">
      <c r="A28" s="17"/>
      <c r="B28" s="17"/>
      <c r="C28" s="18" t="str">
        <f aca="false">IFERROR(INDEX(Ref_PBC!$B$2:$B$201,MATCH(B28,Ref_PBC!$A$2:$A$201,0)),"")</f>
        <v/>
      </c>
      <c r="D28" s="18" t="str">
        <f aca="false">IFERROR(INDEX(Ref_PBC!$C$2:$C$201,MATCH(B28,Ref_PBC!$A$2:$A$201,0)),"")</f>
        <v/>
      </c>
      <c r="E28" s="17"/>
      <c r="F28" s="17"/>
      <c r="G28" s="17"/>
      <c r="H28" s="17"/>
      <c r="I28" s="17"/>
      <c r="J28" s="19"/>
      <c r="K28" s="19"/>
      <c r="L28" s="19"/>
      <c r="M28" s="17"/>
      <c r="N28" s="19"/>
      <c r="O28" s="17"/>
      <c r="P28" s="20" t="str">
        <f aca="false">IF(A28="","",IF(IFERROR(INDEX(Ref_PBC!$D$2:$D$201,MATCH(B28,Ref_PBC!$A$2:$A$201,0)),"")="Population","Y","N"))</f>
        <v/>
      </c>
      <c r="Q28" s="17"/>
      <c r="R28" s="17"/>
      <c r="S28" s="20" t="str">
        <f aca="false">IF(A28="","",IF(OR(B28="",E28="",G28="",M28=""),"PBC-ID, filename, source system, record count needed",IF(COUNTIF(Ref_PBC!$A$2:$A$201,B28)=0,"PBC-ID not in W08",IF(LEFT(E28,LEN(A28)+1)&lt;&gt;A28&amp;"_","Filename must start with EV-ID_",IF(O28&lt;&gt;"Y","Original must be preserved (Y)",IF(OR(K28="",L28=""),"Period covered needed",IF(OR(K28&gt;C28,L28&lt;D28),"Period does not cover the PBC period",IF(AND(P28="Y",Q28=""),"IPE result needed",IF(AND(P28="Y",Q28&lt;&gt;"Pass"),"HOLD: IPE not Pass - do not sample","OK")))))))))</f>
        <v/>
      </c>
    </row>
    <row r="29" customFormat="false" ht="15" hidden="false" customHeight="false" outlineLevel="0" collapsed="false">
      <c r="A29" s="17"/>
      <c r="B29" s="17"/>
      <c r="C29" s="18" t="str">
        <f aca="false">IFERROR(INDEX(Ref_PBC!$B$2:$B$201,MATCH(B29,Ref_PBC!$A$2:$A$201,0)),"")</f>
        <v/>
      </c>
      <c r="D29" s="18" t="str">
        <f aca="false">IFERROR(INDEX(Ref_PBC!$C$2:$C$201,MATCH(B29,Ref_PBC!$A$2:$A$201,0)),"")</f>
        <v/>
      </c>
      <c r="E29" s="17"/>
      <c r="F29" s="17"/>
      <c r="G29" s="17"/>
      <c r="H29" s="17"/>
      <c r="I29" s="17"/>
      <c r="J29" s="19"/>
      <c r="K29" s="19"/>
      <c r="L29" s="19"/>
      <c r="M29" s="17"/>
      <c r="N29" s="19"/>
      <c r="O29" s="17"/>
      <c r="P29" s="20" t="str">
        <f aca="false">IF(A29="","",IF(IFERROR(INDEX(Ref_PBC!$D$2:$D$201,MATCH(B29,Ref_PBC!$A$2:$A$201,0)),"")="Population","Y","N"))</f>
        <v/>
      </c>
      <c r="Q29" s="17"/>
      <c r="R29" s="17"/>
      <c r="S29" s="20" t="str">
        <f aca="false">IF(A29="","",IF(OR(B29="",E29="",G29="",M29=""),"PBC-ID, filename, source system, record count needed",IF(COUNTIF(Ref_PBC!$A$2:$A$201,B29)=0,"PBC-ID not in W08",IF(LEFT(E29,LEN(A29)+1)&lt;&gt;A29&amp;"_","Filename must start with EV-ID_",IF(O29&lt;&gt;"Y","Original must be preserved (Y)",IF(OR(K29="",L29=""),"Period covered needed",IF(OR(K29&gt;C29,L29&lt;D29),"Period does not cover the PBC period",IF(AND(P29="Y",Q29=""),"IPE result needed",IF(AND(P29="Y",Q29&lt;&gt;"Pass"),"HOLD: IPE not Pass - do not sample","OK")))))))))</f>
        <v/>
      </c>
    </row>
    <row r="30" customFormat="false" ht="15" hidden="false" customHeight="false" outlineLevel="0" collapsed="false">
      <c r="A30" s="17"/>
      <c r="B30" s="17"/>
      <c r="C30" s="18" t="str">
        <f aca="false">IFERROR(INDEX(Ref_PBC!$B$2:$B$201,MATCH(B30,Ref_PBC!$A$2:$A$201,0)),"")</f>
        <v/>
      </c>
      <c r="D30" s="18" t="str">
        <f aca="false">IFERROR(INDEX(Ref_PBC!$C$2:$C$201,MATCH(B30,Ref_PBC!$A$2:$A$201,0)),"")</f>
        <v/>
      </c>
      <c r="E30" s="17"/>
      <c r="F30" s="17"/>
      <c r="G30" s="17"/>
      <c r="H30" s="17"/>
      <c r="I30" s="17"/>
      <c r="J30" s="19"/>
      <c r="K30" s="19"/>
      <c r="L30" s="19"/>
      <c r="M30" s="17"/>
      <c r="N30" s="19"/>
      <c r="O30" s="17"/>
      <c r="P30" s="20" t="str">
        <f aca="false">IF(A30="","",IF(IFERROR(INDEX(Ref_PBC!$D$2:$D$201,MATCH(B30,Ref_PBC!$A$2:$A$201,0)),"")="Population","Y","N"))</f>
        <v/>
      </c>
      <c r="Q30" s="17"/>
      <c r="R30" s="17"/>
      <c r="S30" s="20" t="str">
        <f aca="false">IF(A30="","",IF(OR(B30="",E30="",G30="",M30=""),"PBC-ID, filename, source system, record count needed",IF(COUNTIF(Ref_PBC!$A$2:$A$201,B30)=0,"PBC-ID not in W08",IF(LEFT(E30,LEN(A30)+1)&lt;&gt;A30&amp;"_","Filename must start with EV-ID_",IF(O30&lt;&gt;"Y","Original must be preserved (Y)",IF(OR(K30="",L30=""),"Period covered needed",IF(OR(K30&gt;C30,L30&lt;D30),"Period does not cover the PBC period",IF(AND(P30="Y",Q30=""),"IPE result needed",IF(AND(P30="Y",Q30&lt;&gt;"Pass"),"HOLD: IPE not Pass - do not sample","OK")))))))))</f>
        <v/>
      </c>
    </row>
    <row r="31" customFormat="false" ht="15" hidden="false" customHeight="false" outlineLevel="0" collapsed="false">
      <c r="A31" s="17"/>
      <c r="B31" s="17"/>
      <c r="C31" s="18" t="str">
        <f aca="false">IFERROR(INDEX(Ref_PBC!$B$2:$B$201,MATCH(B31,Ref_PBC!$A$2:$A$201,0)),"")</f>
        <v/>
      </c>
      <c r="D31" s="18" t="str">
        <f aca="false">IFERROR(INDEX(Ref_PBC!$C$2:$C$201,MATCH(B31,Ref_PBC!$A$2:$A$201,0)),"")</f>
        <v/>
      </c>
      <c r="E31" s="17"/>
      <c r="F31" s="17"/>
      <c r="G31" s="17"/>
      <c r="H31" s="17"/>
      <c r="I31" s="17"/>
      <c r="J31" s="19"/>
      <c r="K31" s="19"/>
      <c r="L31" s="19"/>
      <c r="M31" s="17"/>
      <c r="N31" s="19"/>
      <c r="O31" s="17"/>
      <c r="P31" s="20" t="str">
        <f aca="false">IF(A31="","",IF(IFERROR(INDEX(Ref_PBC!$D$2:$D$201,MATCH(B31,Ref_PBC!$A$2:$A$201,0)),"")="Population","Y","N"))</f>
        <v/>
      </c>
      <c r="Q31" s="17"/>
      <c r="R31" s="17"/>
      <c r="S31" s="20" t="str">
        <f aca="false">IF(A31="","",IF(OR(B31="",E31="",G31="",M31=""),"PBC-ID, filename, source system, record count needed",IF(COUNTIF(Ref_PBC!$A$2:$A$201,B31)=0,"PBC-ID not in W08",IF(LEFT(E31,LEN(A31)+1)&lt;&gt;A31&amp;"_","Filename must start with EV-ID_",IF(O31&lt;&gt;"Y","Original must be preserved (Y)",IF(OR(K31="",L31=""),"Period covered needed",IF(OR(K31&gt;C31,L31&lt;D31),"Period does not cover the PBC period",IF(AND(P31="Y",Q31=""),"IPE result needed",IF(AND(P31="Y",Q31&lt;&gt;"Pass"),"HOLD: IPE not Pass - do not sample","OK")))))))))</f>
        <v/>
      </c>
    </row>
    <row r="32" customFormat="false" ht="15" hidden="false" customHeight="false" outlineLevel="0" collapsed="false">
      <c r="A32" s="17"/>
      <c r="B32" s="17"/>
      <c r="C32" s="18" t="str">
        <f aca="false">IFERROR(INDEX(Ref_PBC!$B$2:$B$201,MATCH(B32,Ref_PBC!$A$2:$A$201,0)),"")</f>
        <v/>
      </c>
      <c r="D32" s="18" t="str">
        <f aca="false">IFERROR(INDEX(Ref_PBC!$C$2:$C$201,MATCH(B32,Ref_PBC!$A$2:$A$201,0)),"")</f>
        <v/>
      </c>
      <c r="E32" s="17"/>
      <c r="F32" s="17"/>
      <c r="G32" s="17"/>
      <c r="H32" s="17"/>
      <c r="I32" s="17"/>
      <c r="J32" s="19"/>
      <c r="K32" s="19"/>
      <c r="L32" s="19"/>
      <c r="M32" s="17"/>
      <c r="N32" s="19"/>
      <c r="O32" s="17"/>
      <c r="P32" s="20" t="str">
        <f aca="false">IF(A32="","",IF(IFERROR(INDEX(Ref_PBC!$D$2:$D$201,MATCH(B32,Ref_PBC!$A$2:$A$201,0)),"")="Population","Y","N"))</f>
        <v/>
      </c>
      <c r="Q32" s="17"/>
      <c r="R32" s="17"/>
      <c r="S32" s="20" t="str">
        <f aca="false">IF(A32="","",IF(OR(B32="",E32="",G32="",M32=""),"PBC-ID, filename, source system, record count needed",IF(COUNTIF(Ref_PBC!$A$2:$A$201,B32)=0,"PBC-ID not in W08",IF(LEFT(E32,LEN(A32)+1)&lt;&gt;A32&amp;"_","Filename must start with EV-ID_",IF(O32&lt;&gt;"Y","Original must be preserved (Y)",IF(OR(K32="",L32=""),"Period covered needed",IF(OR(K32&gt;C32,L32&lt;D32),"Period does not cover the PBC period",IF(AND(P32="Y",Q32=""),"IPE result needed",IF(AND(P32="Y",Q32&lt;&gt;"Pass"),"HOLD: IPE not Pass - do not sample","OK")))))))))</f>
        <v/>
      </c>
    </row>
    <row r="33" customFormat="false" ht="15" hidden="false" customHeight="false" outlineLevel="0" collapsed="false">
      <c r="A33" s="17"/>
      <c r="B33" s="17"/>
      <c r="C33" s="18" t="str">
        <f aca="false">IFERROR(INDEX(Ref_PBC!$B$2:$B$201,MATCH(B33,Ref_PBC!$A$2:$A$201,0)),"")</f>
        <v/>
      </c>
      <c r="D33" s="18" t="str">
        <f aca="false">IFERROR(INDEX(Ref_PBC!$C$2:$C$201,MATCH(B33,Ref_PBC!$A$2:$A$201,0)),"")</f>
        <v/>
      </c>
      <c r="E33" s="17"/>
      <c r="F33" s="17"/>
      <c r="G33" s="17"/>
      <c r="H33" s="17"/>
      <c r="I33" s="17"/>
      <c r="J33" s="19"/>
      <c r="K33" s="19"/>
      <c r="L33" s="19"/>
      <c r="M33" s="17"/>
      <c r="N33" s="19"/>
      <c r="O33" s="17"/>
      <c r="P33" s="20" t="str">
        <f aca="false">IF(A33="","",IF(IFERROR(INDEX(Ref_PBC!$D$2:$D$201,MATCH(B33,Ref_PBC!$A$2:$A$201,0)),"")="Population","Y","N"))</f>
        <v/>
      </c>
      <c r="Q33" s="17"/>
      <c r="R33" s="17"/>
      <c r="S33" s="20" t="str">
        <f aca="false">IF(A33="","",IF(OR(B33="",E33="",G33="",M33=""),"PBC-ID, filename, source system, record count needed",IF(COUNTIF(Ref_PBC!$A$2:$A$201,B33)=0,"PBC-ID not in W08",IF(LEFT(E33,LEN(A33)+1)&lt;&gt;A33&amp;"_","Filename must start with EV-ID_",IF(O33&lt;&gt;"Y","Original must be preserved (Y)",IF(OR(K33="",L33=""),"Period covered needed",IF(OR(K33&gt;C33,L33&lt;D33),"Period does not cover the PBC period",IF(AND(P33="Y",Q33=""),"IPE result needed",IF(AND(P33="Y",Q33&lt;&gt;"Pass"),"HOLD: IPE not Pass - do not sample","OK")))))))))</f>
        <v/>
      </c>
    </row>
    <row r="34" customFormat="false" ht="15" hidden="false" customHeight="false" outlineLevel="0" collapsed="false">
      <c r="A34" s="17"/>
      <c r="B34" s="17"/>
      <c r="C34" s="18" t="str">
        <f aca="false">IFERROR(INDEX(Ref_PBC!$B$2:$B$201,MATCH(B34,Ref_PBC!$A$2:$A$201,0)),"")</f>
        <v/>
      </c>
      <c r="D34" s="18" t="str">
        <f aca="false">IFERROR(INDEX(Ref_PBC!$C$2:$C$201,MATCH(B34,Ref_PBC!$A$2:$A$201,0)),"")</f>
        <v/>
      </c>
      <c r="E34" s="17"/>
      <c r="F34" s="17"/>
      <c r="G34" s="17"/>
      <c r="H34" s="17"/>
      <c r="I34" s="17"/>
      <c r="J34" s="19"/>
      <c r="K34" s="19"/>
      <c r="L34" s="19"/>
      <c r="M34" s="17"/>
      <c r="N34" s="19"/>
      <c r="O34" s="17"/>
      <c r="P34" s="20" t="str">
        <f aca="false">IF(A34="","",IF(IFERROR(INDEX(Ref_PBC!$D$2:$D$201,MATCH(B34,Ref_PBC!$A$2:$A$201,0)),"")="Population","Y","N"))</f>
        <v/>
      </c>
      <c r="Q34" s="17"/>
      <c r="R34" s="17"/>
      <c r="S34" s="20" t="str">
        <f aca="false">IF(A34="","",IF(OR(B34="",E34="",G34="",M34=""),"PBC-ID, filename, source system, record count needed",IF(COUNTIF(Ref_PBC!$A$2:$A$201,B34)=0,"PBC-ID not in W08",IF(LEFT(E34,LEN(A34)+1)&lt;&gt;A34&amp;"_","Filename must start with EV-ID_",IF(O34&lt;&gt;"Y","Original must be preserved (Y)",IF(OR(K34="",L34=""),"Period covered needed",IF(OR(K34&gt;C34,L34&lt;D34),"Period does not cover the PBC period",IF(AND(P34="Y",Q34=""),"IPE result needed",IF(AND(P34="Y",Q34&lt;&gt;"Pass"),"HOLD: IPE not Pass - do not sample","OK")))))))))</f>
        <v/>
      </c>
    </row>
    <row r="35" customFormat="false" ht="15" hidden="false" customHeight="false" outlineLevel="0" collapsed="false">
      <c r="A35" s="17"/>
      <c r="B35" s="17"/>
      <c r="C35" s="18" t="str">
        <f aca="false">IFERROR(INDEX(Ref_PBC!$B$2:$B$201,MATCH(B35,Ref_PBC!$A$2:$A$201,0)),"")</f>
        <v/>
      </c>
      <c r="D35" s="18" t="str">
        <f aca="false">IFERROR(INDEX(Ref_PBC!$C$2:$C$201,MATCH(B35,Ref_PBC!$A$2:$A$201,0)),"")</f>
        <v/>
      </c>
      <c r="E35" s="17"/>
      <c r="F35" s="17"/>
      <c r="G35" s="17"/>
      <c r="H35" s="17"/>
      <c r="I35" s="17"/>
      <c r="J35" s="19"/>
      <c r="K35" s="19"/>
      <c r="L35" s="19"/>
      <c r="M35" s="17"/>
      <c r="N35" s="19"/>
      <c r="O35" s="17"/>
      <c r="P35" s="20" t="str">
        <f aca="false">IF(A35="","",IF(IFERROR(INDEX(Ref_PBC!$D$2:$D$201,MATCH(B35,Ref_PBC!$A$2:$A$201,0)),"")="Population","Y","N"))</f>
        <v/>
      </c>
      <c r="Q35" s="17"/>
      <c r="R35" s="17"/>
      <c r="S35" s="20" t="str">
        <f aca="false">IF(A35="","",IF(OR(B35="",E35="",G35="",M35=""),"PBC-ID, filename, source system, record count needed",IF(COUNTIF(Ref_PBC!$A$2:$A$201,B35)=0,"PBC-ID not in W08",IF(LEFT(E35,LEN(A35)+1)&lt;&gt;A35&amp;"_","Filename must start with EV-ID_",IF(O35&lt;&gt;"Y","Original must be preserved (Y)",IF(OR(K35="",L35=""),"Period covered needed",IF(OR(K35&gt;C35,L35&lt;D35),"Period does not cover the PBC period",IF(AND(P35="Y",Q35=""),"IPE result needed",IF(AND(P35="Y",Q35&lt;&gt;"Pass"),"HOLD: IPE not Pass - do not sample","OK")))))))))</f>
        <v/>
      </c>
    </row>
    <row r="36" customFormat="false" ht="15" hidden="false" customHeight="false" outlineLevel="0" collapsed="false">
      <c r="A36" s="17"/>
      <c r="B36" s="17"/>
      <c r="C36" s="18" t="str">
        <f aca="false">IFERROR(INDEX(Ref_PBC!$B$2:$B$201,MATCH(B36,Ref_PBC!$A$2:$A$201,0)),"")</f>
        <v/>
      </c>
      <c r="D36" s="18" t="str">
        <f aca="false">IFERROR(INDEX(Ref_PBC!$C$2:$C$201,MATCH(B36,Ref_PBC!$A$2:$A$201,0)),"")</f>
        <v/>
      </c>
      <c r="E36" s="17"/>
      <c r="F36" s="17"/>
      <c r="G36" s="17"/>
      <c r="H36" s="17"/>
      <c r="I36" s="17"/>
      <c r="J36" s="19"/>
      <c r="K36" s="19"/>
      <c r="L36" s="19"/>
      <c r="M36" s="17"/>
      <c r="N36" s="19"/>
      <c r="O36" s="17"/>
      <c r="P36" s="20" t="str">
        <f aca="false">IF(A36="","",IF(IFERROR(INDEX(Ref_PBC!$D$2:$D$201,MATCH(B36,Ref_PBC!$A$2:$A$201,0)),"")="Population","Y","N"))</f>
        <v/>
      </c>
      <c r="Q36" s="17"/>
      <c r="R36" s="17"/>
      <c r="S36" s="20" t="str">
        <f aca="false">IF(A36="","",IF(OR(B36="",E36="",G36="",M36=""),"PBC-ID, filename, source system, record count needed",IF(COUNTIF(Ref_PBC!$A$2:$A$201,B36)=0,"PBC-ID not in W08",IF(LEFT(E36,LEN(A36)+1)&lt;&gt;A36&amp;"_","Filename must start with EV-ID_",IF(O36&lt;&gt;"Y","Original must be preserved (Y)",IF(OR(K36="",L36=""),"Period covered needed",IF(OR(K36&gt;C36,L36&lt;D36),"Period does not cover the PBC period",IF(AND(P36="Y",Q36=""),"IPE result needed",IF(AND(P36="Y",Q36&lt;&gt;"Pass"),"HOLD: IPE not Pass - do not sample","OK")))))))))</f>
        <v/>
      </c>
    </row>
    <row r="37" customFormat="false" ht="15" hidden="false" customHeight="false" outlineLevel="0" collapsed="false">
      <c r="A37" s="17"/>
      <c r="B37" s="17"/>
      <c r="C37" s="18" t="str">
        <f aca="false">IFERROR(INDEX(Ref_PBC!$B$2:$B$201,MATCH(B37,Ref_PBC!$A$2:$A$201,0)),"")</f>
        <v/>
      </c>
      <c r="D37" s="18" t="str">
        <f aca="false">IFERROR(INDEX(Ref_PBC!$C$2:$C$201,MATCH(B37,Ref_PBC!$A$2:$A$201,0)),"")</f>
        <v/>
      </c>
      <c r="E37" s="17"/>
      <c r="F37" s="17"/>
      <c r="G37" s="17"/>
      <c r="H37" s="17"/>
      <c r="I37" s="17"/>
      <c r="J37" s="19"/>
      <c r="K37" s="19"/>
      <c r="L37" s="19"/>
      <c r="M37" s="17"/>
      <c r="N37" s="19"/>
      <c r="O37" s="17"/>
      <c r="P37" s="20" t="str">
        <f aca="false">IF(A37="","",IF(IFERROR(INDEX(Ref_PBC!$D$2:$D$201,MATCH(B37,Ref_PBC!$A$2:$A$201,0)),"")="Population","Y","N"))</f>
        <v/>
      </c>
      <c r="Q37" s="17"/>
      <c r="R37" s="17"/>
      <c r="S37" s="20" t="str">
        <f aca="false">IF(A37="","",IF(OR(B37="",E37="",G37="",M37=""),"PBC-ID, filename, source system, record count needed",IF(COUNTIF(Ref_PBC!$A$2:$A$201,B37)=0,"PBC-ID not in W08",IF(LEFT(E37,LEN(A37)+1)&lt;&gt;A37&amp;"_","Filename must start with EV-ID_",IF(O37&lt;&gt;"Y","Original must be preserved (Y)",IF(OR(K37="",L37=""),"Period covered needed",IF(OR(K37&gt;C37,L37&lt;D37),"Period does not cover the PBC period",IF(AND(P37="Y",Q37=""),"IPE result needed",IF(AND(P37="Y",Q37&lt;&gt;"Pass"),"HOLD: IPE not Pass - do not sample","OK")))))))))</f>
        <v/>
      </c>
    </row>
    <row r="38" customFormat="false" ht="15" hidden="false" customHeight="false" outlineLevel="0" collapsed="false">
      <c r="A38" s="17"/>
      <c r="B38" s="17"/>
      <c r="C38" s="18" t="str">
        <f aca="false">IFERROR(INDEX(Ref_PBC!$B$2:$B$201,MATCH(B38,Ref_PBC!$A$2:$A$201,0)),"")</f>
        <v/>
      </c>
      <c r="D38" s="18" t="str">
        <f aca="false">IFERROR(INDEX(Ref_PBC!$C$2:$C$201,MATCH(B38,Ref_PBC!$A$2:$A$201,0)),"")</f>
        <v/>
      </c>
      <c r="E38" s="17"/>
      <c r="F38" s="17"/>
      <c r="G38" s="17"/>
      <c r="H38" s="17"/>
      <c r="I38" s="17"/>
      <c r="J38" s="19"/>
      <c r="K38" s="19"/>
      <c r="L38" s="19"/>
      <c r="M38" s="17"/>
      <c r="N38" s="19"/>
      <c r="O38" s="17"/>
      <c r="P38" s="20" t="str">
        <f aca="false">IF(A38="","",IF(IFERROR(INDEX(Ref_PBC!$D$2:$D$201,MATCH(B38,Ref_PBC!$A$2:$A$201,0)),"")="Population","Y","N"))</f>
        <v/>
      </c>
      <c r="Q38" s="17"/>
      <c r="R38" s="17"/>
      <c r="S38" s="20" t="str">
        <f aca="false">IF(A38="","",IF(OR(B38="",E38="",G38="",M38=""),"PBC-ID, filename, source system, record count needed",IF(COUNTIF(Ref_PBC!$A$2:$A$201,B38)=0,"PBC-ID not in W08",IF(LEFT(E38,LEN(A38)+1)&lt;&gt;A38&amp;"_","Filename must start with EV-ID_",IF(O38&lt;&gt;"Y","Original must be preserved (Y)",IF(OR(K38="",L38=""),"Period covered needed",IF(OR(K38&gt;C38,L38&lt;D38),"Period does not cover the PBC period",IF(AND(P38="Y",Q38=""),"IPE result needed",IF(AND(P38="Y",Q38&lt;&gt;"Pass"),"HOLD: IPE not Pass - do not sample","OK")))))))))</f>
        <v/>
      </c>
    </row>
    <row r="39" customFormat="false" ht="15" hidden="false" customHeight="false" outlineLevel="0" collapsed="false">
      <c r="A39" s="17"/>
      <c r="B39" s="17"/>
      <c r="C39" s="18" t="str">
        <f aca="false">IFERROR(INDEX(Ref_PBC!$B$2:$B$201,MATCH(B39,Ref_PBC!$A$2:$A$201,0)),"")</f>
        <v/>
      </c>
      <c r="D39" s="18" t="str">
        <f aca="false">IFERROR(INDEX(Ref_PBC!$C$2:$C$201,MATCH(B39,Ref_PBC!$A$2:$A$201,0)),"")</f>
        <v/>
      </c>
      <c r="E39" s="17"/>
      <c r="F39" s="17"/>
      <c r="G39" s="17"/>
      <c r="H39" s="17"/>
      <c r="I39" s="17"/>
      <c r="J39" s="19"/>
      <c r="K39" s="19"/>
      <c r="L39" s="19"/>
      <c r="M39" s="17"/>
      <c r="N39" s="19"/>
      <c r="O39" s="17"/>
      <c r="P39" s="20" t="str">
        <f aca="false">IF(A39="","",IF(IFERROR(INDEX(Ref_PBC!$D$2:$D$201,MATCH(B39,Ref_PBC!$A$2:$A$201,0)),"")="Population","Y","N"))</f>
        <v/>
      </c>
      <c r="Q39" s="17"/>
      <c r="R39" s="17"/>
      <c r="S39" s="20" t="str">
        <f aca="false">IF(A39="","",IF(OR(B39="",E39="",G39="",M39=""),"PBC-ID, filename, source system, record count needed",IF(COUNTIF(Ref_PBC!$A$2:$A$201,B39)=0,"PBC-ID not in W08",IF(LEFT(E39,LEN(A39)+1)&lt;&gt;A39&amp;"_","Filename must start with EV-ID_",IF(O39&lt;&gt;"Y","Original must be preserved (Y)",IF(OR(K39="",L39=""),"Period covered needed",IF(OR(K39&gt;C39,L39&lt;D39),"Period does not cover the PBC period",IF(AND(P39="Y",Q39=""),"IPE result needed",IF(AND(P39="Y",Q39&lt;&gt;"Pass"),"HOLD: IPE not Pass - do not sample","OK")))))))))</f>
        <v/>
      </c>
    </row>
    <row r="40" customFormat="false" ht="15" hidden="false" customHeight="false" outlineLevel="0" collapsed="false">
      <c r="A40" s="17"/>
      <c r="B40" s="17"/>
      <c r="C40" s="18" t="str">
        <f aca="false">IFERROR(INDEX(Ref_PBC!$B$2:$B$201,MATCH(B40,Ref_PBC!$A$2:$A$201,0)),"")</f>
        <v/>
      </c>
      <c r="D40" s="18" t="str">
        <f aca="false">IFERROR(INDEX(Ref_PBC!$C$2:$C$201,MATCH(B40,Ref_PBC!$A$2:$A$201,0)),"")</f>
        <v/>
      </c>
      <c r="E40" s="17"/>
      <c r="F40" s="17"/>
      <c r="G40" s="17"/>
      <c r="H40" s="17"/>
      <c r="I40" s="17"/>
      <c r="J40" s="19"/>
      <c r="K40" s="19"/>
      <c r="L40" s="19"/>
      <c r="M40" s="17"/>
      <c r="N40" s="19"/>
      <c r="O40" s="17"/>
      <c r="P40" s="20" t="str">
        <f aca="false">IF(A40="","",IF(IFERROR(INDEX(Ref_PBC!$D$2:$D$201,MATCH(B40,Ref_PBC!$A$2:$A$201,0)),"")="Population","Y","N"))</f>
        <v/>
      </c>
      <c r="Q40" s="17"/>
      <c r="R40" s="17"/>
      <c r="S40" s="20" t="str">
        <f aca="false">IF(A40="","",IF(OR(B40="",E40="",G40="",M40=""),"PBC-ID, filename, source system, record count needed",IF(COUNTIF(Ref_PBC!$A$2:$A$201,B40)=0,"PBC-ID not in W08",IF(LEFT(E40,LEN(A40)+1)&lt;&gt;A40&amp;"_","Filename must start with EV-ID_",IF(O40&lt;&gt;"Y","Original must be preserved (Y)",IF(OR(K40="",L40=""),"Period covered needed",IF(OR(K40&gt;C40,L40&lt;D40),"Period does not cover the PBC period",IF(AND(P40="Y",Q40=""),"IPE result needed",IF(AND(P40="Y",Q40&lt;&gt;"Pass"),"HOLD: IPE not Pass - do not sample","OK")))))))))</f>
        <v/>
      </c>
    </row>
    <row r="41" customFormat="false" ht="15" hidden="false" customHeight="false" outlineLevel="0" collapsed="false">
      <c r="A41" s="17"/>
      <c r="B41" s="17"/>
      <c r="C41" s="18" t="str">
        <f aca="false">IFERROR(INDEX(Ref_PBC!$B$2:$B$201,MATCH(B41,Ref_PBC!$A$2:$A$201,0)),"")</f>
        <v/>
      </c>
      <c r="D41" s="18" t="str">
        <f aca="false">IFERROR(INDEX(Ref_PBC!$C$2:$C$201,MATCH(B41,Ref_PBC!$A$2:$A$201,0)),"")</f>
        <v/>
      </c>
      <c r="E41" s="17"/>
      <c r="F41" s="17"/>
      <c r="G41" s="17"/>
      <c r="H41" s="17"/>
      <c r="I41" s="17"/>
      <c r="J41" s="19"/>
      <c r="K41" s="19"/>
      <c r="L41" s="19"/>
      <c r="M41" s="17"/>
      <c r="N41" s="19"/>
      <c r="O41" s="17"/>
      <c r="P41" s="20" t="str">
        <f aca="false">IF(A41="","",IF(IFERROR(INDEX(Ref_PBC!$D$2:$D$201,MATCH(B41,Ref_PBC!$A$2:$A$201,0)),"")="Population","Y","N"))</f>
        <v/>
      </c>
      <c r="Q41" s="17"/>
      <c r="R41" s="17"/>
      <c r="S41" s="20" t="str">
        <f aca="false">IF(A41="","",IF(OR(B41="",E41="",G41="",M41=""),"PBC-ID, filename, source system, record count needed",IF(COUNTIF(Ref_PBC!$A$2:$A$201,B41)=0,"PBC-ID not in W08",IF(LEFT(E41,LEN(A41)+1)&lt;&gt;A41&amp;"_","Filename must start with EV-ID_",IF(O41&lt;&gt;"Y","Original must be preserved (Y)",IF(OR(K41="",L41=""),"Period covered needed",IF(OR(K41&gt;C41,L41&lt;D41),"Period does not cover the PBC period",IF(AND(P41="Y",Q41=""),"IPE result needed",IF(AND(P41="Y",Q41&lt;&gt;"Pass"),"HOLD: IPE not Pass - do not sample","OK")))))))))</f>
        <v/>
      </c>
    </row>
    <row r="42" customFormat="false" ht="15" hidden="false" customHeight="false" outlineLevel="0" collapsed="false">
      <c r="A42" s="17"/>
      <c r="B42" s="17"/>
      <c r="C42" s="18" t="str">
        <f aca="false">IFERROR(INDEX(Ref_PBC!$B$2:$B$201,MATCH(B42,Ref_PBC!$A$2:$A$201,0)),"")</f>
        <v/>
      </c>
      <c r="D42" s="18" t="str">
        <f aca="false">IFERROR(INDEX(Ref_PBC!$C$2:$C$201,MATCH(B42,Ref_PBC!$A$2:$A$201,0)),"")</f>
        <v/>
      </c>
      <c r="E42" s="17"/>
      <c r="F42" s="17"/>
      <c r="G42" s="17"/>
      <c r="H42" s="17"/>
      <c r="I42" s="17"/>
      <c r="J42" s="19"/>
      <c r="K42" s="19"/>
      <c r="L42" s="19"/>
      <c r="M42" s="17"/>
      <c r="N42" s="19"/>
      <c r="O42" s="17"/>
      <c r="P42" s="20" t="str">
        <f aca="false">IF(A42="","",IF(IFERROR(INDEX(Ref_PBC!$D$2:$D$201,MATCH(B42,Ref_PBC!$A$2:$A$201,0)),"")="Population","Y","N"))</f>
        <v/>
      </c>
      <c r="Q42" s="17"/>
      <c r="R42" s="17"/>
      <c r="S42" s="20" t="str">
        <f aca="false">IF(A42="","",IF(OR(B42="",E42="",G42="",M42=""),"PBC-ID, filename, source system, record count needed",IF(COUNTIF(Ref_PBC!$A$2:$A$201,B42)=0,"PBC-ID not in W08",IF(LEFT(E42,LEN(A42)+1)&lt;&gt;A42&amp;"_","Filename must start with EV-ID_",IF(O42&lt;&gt;"Y","Original must be preserved (Y)",IF(OR(K42="",L42=""),"Period covered needed",IF(OR(K42&gt;C42,L42&lt;D42),"Period does not cover the PBC period",IF(AND(P42="Y",Q42=""),"IPE result needed",IF(AND(P42="Y",Q42&lt;&gt;"Pass"),"HOLD: IPE not Pass - do not sample","OK")))))))))</f>
        <v/>
      </c>
    </row>
    <row r="43" customFormat="false" ht="15" hidden="false" customHeight="false" outlineLevel="0" collapsed="false">
      <c r="A43" s="17"/>
      <c r="B43" s="17"/>
      <c r="C43" s="18" t="str">
        <f aca="false">IFERROR(INDEX(Ref_PBC!$B$2:$B$201,MATCH(B43,Ref_PBC!$A$2:$A$201,0)),"")</f>
        <v/>
      </c>
      <c r="D43" s="18" t="str">
        <f aca="false">IFERROR(INDEX(Ref_PBC!$C$2:$C$201,MATCH(B43,Ref_PBC!$A$2:$A$201,0)),"")</f>
        <v/>
      </c>
      <c r="E43" s="17"/>
      <c r="F43" s="17"/>
      <c r="G43" s="17"/>
      <c r="H43" s="17"/>
      <c r="I43" s="17"/>
      <c r="J43" s="19"/>
      <c r="K43" s="19"/>
      <c r="L43" s="19"/>
      <c r="M43" s="17"/>
      <c r="N43" s="19"/>
      <c r="O43" s="17"/>
      <c r="P43" s="20" t="str">
        <f aca="false">IF(A43="","",IF(IFERROR(INDEX(Ref_PBC!$D$2:$D$201,MATCH(B43,Ref_PBC!$A$2:$A$201,0)),"")="Population","Y","N"))</f>
        <v/>
      </c>
      <c r="Q43" s="17"/>
      <c r="R43" s="17"/>
      <c r="S43" s="20" t="str">
        <f aca="false">IF(A43="","",IF(OR(B43="",E43="",G43="",M43=""),"PBC-ID, filename, source system, record count needed",IF(COUNTIF(Ref_PBC!$A$2:$A$201,B43)=0,"PBC-ID not in W08",IF(LEFT(E43,LEN(A43)+1)&lt;&gt;A43&amp;"_","Filename must start with EV-ID_",IF(O43&lt;&gt;"Y","Original must be preserved (Y)",IF(OR(K43="",L43=""),"Period covered needed",IF(OR(K43&gt;C43,L43&lt;D43),"Period does not cover the PBC period",IF(AND(P43="Y",Q43=""),"IPE result needed",IF(AND(P43="Y",Q43&lt;&gt;"Pass"),"HOLD: IPE not Pass - do not sample","OK")))))))))</f>
        <v/>
      </c>
    </row>
    <row r="44" customFormat="false" ht="15" hidden="false" customHeight="false" outlineLevel="0" collapsed="false">
      <c r="A44" s="17"/>
      <c r="B44" s="17"/>
      <c r="C44" s="18" t="str">
        <f aca="false">IFERROR(INDEX(Ref_PBC!$B$2:$B$201,MATCH(B44,Ref_PBC!$A$2:$A$201,0)),"")</f>
        <v/>
      </c>
      <c r="D44" s="18" t="str">
        <f aca="false">IFERROR(INDEX(Ref_PBC!$C$2:$C$201,MATCH(B44,Ref_PBC!$A$2:$A$201,0)),"")</f>
        <v/>
      </c>
      <c r="E44" s="17"/>
      <c r="F44" s="17"/>
      <c r="G44" s="17"/>
      <c r="H44" s="17"/>
      <c r="I44" s="17"/>
      <c r="J44" s="19"/>
      <c r="K44" s="19"/>
      <c r="L44" s="19"/>
      <c r="M44" s="17"/>
      <c r="N44" s="19"/>
      <c r="O44" s="17"/>
      <c r="P44" s="20" t="str">
        <f aca="false">IF(A44="","",IF(IFERROR(INDEX(Ref_PBC!$D$2:$D$201,MATCH(B44,Ref_PBC!$A$2:$A$201,0)),"")="Population","Y","N"))</f>
        <v/>
      </c>
      <c r="Q44" s="17"/>
      <c r="R44" s="17"/>
      <c r="S44" s="20" t="str">
        <f aca="false">IF(A44="","",IF(OR(B44="",E44="",G44="",M44=""),"PBC-ID, filename, source system, record count needed",IF(COUNTIF(Ref_PBC!$A$2:$A$201,B44)=0,"PBC-ID not in W08",IF(LEFT(E44,LEN(A44)+1)&lt;&gt;A44&amp;"_","Filename must start with EV-ID_",IF(O44&lt;&gt;"Y","Original must be preserved (Y)",IF(OR(K44="",L44=""),"Period covered needed",IF(OR(K44&gt;C44,L44&lt;D44),"Period does not cover the PBC period",IF(AND(P44="Y",Q44=""),"IPE result needed",IF(AND(P44="Y",Q44&lt;&gt;"Pass"),"HOLD: IPE not Pass - do not sample","OK")))))))))</f>
        <v/>
      </c>
    </row>
    <row r="45" customFormat="false" ht="15" hidden="false" customHeight="false" outlineLevel="0" collapsed="false">
      <c r="A45" s="17"/>
      <c r="B45" s="17"/>
      <c r="C45" s="18" t="str">
        <f aca="false">IFERROR(INDEX(Ref_PBC!$B$2:$B$201,MATCH(B45,Ref_PBC!$A$2:$A$201,0)),"")</f>
        <v/>
      </c>
      <c r="D45" s="18" t="str">
        <f aca="false">IFERROR(INDEX(Ref_PBC!$C$2:$C$201,MATCH(B45,Ref_PBC!$A$2:$A$201,0)),"")</f>
        <v/>
      </c>
      <c r="E45" s="17"/>
      <c r="F45" s="17"/>
      <c r="G45" s="17"/>
      <c r="H45" s="17"/>
      <c r="I45" s="17"/>
      <c r="J45" s="19"/>
      <c r="K45" s="19"/>
      <c r="L45" s="19"/>
      <c r="M45" s="17"/>
      <c r="N45" s="19"/>
      <c r="O45" s="17"/>
      <c r="P45" s="20" t="str">
        <f aca="false">IF(A45="","",IF(IFERROR(INDEX(Ref_PBC!$D$2:$D$201,MATCH(B45,Ref_PBC!$A$2:$A$201,0)),"")="Population","Y","N"))</f>
        <v/>
      </c>
      <c r="Q45" s="17"/>
      <c r="R45" s="17"/>
      <c r="S45" s="20" t="str">
        <f aca="false">IF(A45="","",IF(OR(B45="",E45="",G45="",M45=""),"PBC-ID, filename, source system, record count needed",IF(COUNTIF(Ref_PBC!$A$2:$A$201,B45)=0,"PBC-ID not in W08",IF(LEFT(E45,LEN(A45)+1)&lt;&gt;A45&amp;"_","Filename must start with EV-ID_",IF(O45&lt;&gt;"Y","Original must be preserved (Y)",IF(OR(K45="",L45=""),"Period covered needed",IF(OR(K45&gt;C45,L45&lt;D45),"Period does not cover the PBC period",IF(AND(P45="Y",Q45=""),"IPE result needed",IF(AND(P45="Y",Q45&lt;&gt;"Pass"),"HOLD: IPE not Pass - do not sample","OK")))))))))</f>
        <v/>
      </c>
    </row>
    <row r="46" customFormat="false" ht="15" hidden="false" customHeight="false" outlineLevel="0" collapsed="false">
      <c r="A46" s="17"/>
      <c r="B46" s="17"/>
      <c r="C46" s="18" t="str">
        <f aca="false">IFERROR(INDEX(Ref_PBC!$B$2:$B$201,MATCH(B46,Ref_PBC!$A$2:$A$201,0)),"")</f>
        <v/>
      </c>
      <c r="D46" s="18" t="str">
        <f aca="false">IFERROR(INDEX(Ref_PBC!$C$2:$C$201,MATCH(B46,Ref_PBC!$A$2:$A$201,0)),"")</f>
        <v/>
      </c>
      <c r="E46" s="17"/>
      <c r="F46" s="17"/>
      <c r="G46" s="17"/>
      <c r="H46" s="17"/>
      <c r="I46" s="17"/>
      <c r="J46" s="19"/>
      <c r="K46" s="19"/>
      <c r="L46" s="19"/>
      <c r="M46" s="17"/>
      <c r="N46" s="19"/>
      <c r="O46" s="17"/>
      <c r="P46" s="20" t="str">
        <f aca="false">IF(A46="","",IF(IFERROR(INDEX(Ref_PBC!$D$2:$D$201,MATCH(B46,Ref_PBC!$A$2:$A$201,0)),"")="Population","Y","N"))</f>
        <v/>
      </c>
      <c r="Q46" s="17"/>
      <c r="R46" s="17"/>
      <c r="S46" s="20" t="str">
        <f aca="false">IF(A46="","",IF(OR(B46="",E46="",G46="",M46=""),"PBC-ID, filename, source system, record count needed",IF(COUNTIF(Ref_PBC!$A$2:$A$201,B46)=0,"PBC-ID not in W08",IF(LEFT(E46,LEN(A46)+1)&lt;&gt;A46&amp;"_","Filename must start with EV-ID_",IF(O46&lt;&gt;"Y","Original must be preserved (Y)",IF(OR(K46="",L46=""),"Period covered needed",IF(OR(K46&gt;C46,L46&lt;D46),"Period does not cover the PBC period",IF(AND(P46="Y",Q46=""),"IPE result needed",IF(AND(P46="Y",Q46&lt;&gt;"Pass"),"HOLD: IPE not Pass - do not sample","OK")))))))))</f>
        <v/>
      </c>
    </row>
    <row r="47" customFormat="false" ht="15" hidden="false" customHeight="false" outlineLevel="0" collapsed="false">
      <c r="A47" s="17"/>
      <c r="B47" s="17"/>
      <c r="C47" s="18" t="str">
        <f aca="false">IFERROR(INDEX(Ref_PBC!$B$2:$B$201,MATCH(B47,Ref_PBC!$A$2:$A$201,0)),"")</f>
        <v/>
      </c>
      <c r="D47" s="18" t="str">
        <f aca="false">IFERROR(INDEX(Ref_PBC!$C$2:$C$201,MATCH(B47,Ref_PBC!$A$2:$A$201,0)),"")</f>
        <v/>
      </c>
      <c r="E47" s="17"/>
      <c r="F47" s="17"/>
      <c r="G47" s="17"/>
      <c r="H47" s="17"/>
      <c r="I47" s="17"/>
      <c r="J47" s="19"/>
      <c r="K47" s="19"/>
      <c r="L47" s="19"/>
      <c r="M47" s="17"/>
      <c r="N47" s="19"/>
      <c r="O47" s="17"/>
      <c r="P47" s="20" t="str">
        <f aca="false">IF(A47="","",IF(IFERROR(INDEX(Ref_PBC!$D$2:$D$201,MATCH(B47,Ref_PBC!$A$2:$A$201,0)),"")="Population","Y","N"))</f>
        <v/>
      </c>
      <c r="Q47" s="17"/>
      <c r="R47" s="17"/>
      <c r="S47" s="20" t="str">
        <f aca="false">IF(A47="","",IF(OR(B47="",E47="",G47="",M47=""),"PBC-ID, filename, source system, record count needed",IF(COUNTIF(Ref_PBC!$A$2:$A$201,B47)=0,"PBC-ID not in W08",IF(LEFT(E47,LEN(A47)+1)&lt;&gt;A47&amp;"_","Filename must start with EV-ID_",IF(O47&lt;&gt;"Y","Original must be preserved (Y)",IF(OR(K47="",L47=""),"Period covered needed",IF(OR(K47&gt;C47,L47&lt;D47),"Period does not cover the PBC period",IF(AND(P47="Y",Q47=""),"IPE result needed",IF(AND(P47="Y",Q47&lt;&gt;"Pass"),"HOLD: IPE not Pass - do not sample","OK")))))))))</f>
        <v/>
      </c>
    </row>
    <row r="48" customFormat="false" ht="15" hidden="false" customHeight="false" outlineLevel="0" collapsed="false">
      <c r="A48" s="17"/>
      <c r="B48" s="17"/>
      <c r="C48" s="18" t="str">
        <f aca="false">IFERROR(INDEX(Ref_PBC!$B$2:$B$201,MATCH(B48,Ref_PBC!$A$2:$A$201,0)),"")</f>
        <v/>
      </c>
      <c r="D48" s="18" t="str">
        <f aca="false">IFERROR(INDEX(Ref_PBC!$C$2:$C$201,MATCH(B48,Ref_PBC!$A$2:$A$201,0)),"")</f>
        <v/>
      </c>
      <c r="E48" s="17"/>
      <c r="F48" s="17"/>
      <c r="G48" s="17"/>
      <c r="H48" s="17"/>
      <c r="I48" s="17"/>
      <c r="J48" s="19"/>
      <c r="K48" s="19"/>
      <c r="L48" s="19"/>
      <c r="M48" s="17"/>
      <c r="N48" s="19"/>
      <c r="O48" s="17"/>
      <c r="P48" s="20" t="str">
        <f aca="false">IF(A48="","",IF(IFERROR(INDEX(Ref_PBC!$D$2:$D$201,MATCH(B48,Ref_PBC!$A$2:$A$201,0)),"")="Population","Y","N"))</f>
        <v/>
      </c>
      <c r="Q48" s="17"/>
      <c r="R48" s="17"/>
      <c r="S48" s="20" t="str">
        <f aca="false">IF(A48="","",IF(OR(B48="",E48="",G48="",M48=""),"PBC-ID, filename, source system, record count needed",IF(COUNTIF(Ref_PBC!$A$2:$A$201,B48)=0,"PBC-ID not in W08",IF(LEFT(E48,LEN(A48)+1)&lt;&gt;A48&amp;"_","Filename must start with EV-ID_",IF(O48&lt;&gt;"Y","Original must be preserved (Y)",IF(OR(K48="",L48=""),"Period covered needed",IF(OR(K48&gt;C48,L48&lt;D48),"Period does not cover the PBC period",IF(AND(P48="Y",Q48=""),"IPE result needed",IF(AND(P48="Y",Q48&lt;&gt;"Pass"),"HOLD: IPE not Pass - do not sample","OK")))))))))</f>
        <v/>
      </c>
    </row>
    <row r="49" customFormat="false" ht="15" hidden="false" customHeight="false" outlineLevel="0" collapsed="false">
      <c r="A49" s="17"/>
      <c r="B49" s="17"/>
      <c r="C49" s="18" t="str">
        <f aca="false">IFERROR(INDEX(Ref_PBC!$B$2:$B$201,MATCH(B49,Ref_PBC!$A$2:$A$201,0)),"")</f>
        <v/>
      </c>
      <c r="D49" s="18" t="str">
        <f aca="false">IFERROR(INDEX(Ref_PBC!$C$2:$C$201,MATCH(B49,Ref_PBC!$A$2:$A$201,0)),"")</f>
        <v/>
      </c>
      <c r="E49" s="17"/>
      <c r="F49" s="17"/>
      <c r="G49" s="17"/>
      <c r="H49" s="17"/>
      <c r="I49" s="17"/>
      <c r="J49" s="19"/>
      <c r="K49" s="19"/>
      <c r="L49" s="19"/>
      <c r="M49" s="17"/>
      <c r="N49" s="19"/>
      <c r="O49" s="17"/>
      <c r="P49" s="20" t="str">
        <f aca="false">IF(A49="","",IF(IFERROR(INDEX(Ref_PBC!$D$2:$D$201,MATCH(B49,Ref_PBC!$A$2:$A$201,0)),"")="Population","Y","N"))</f>
        <v/>
      </c>
      <c r="Q49" s="17"/>
      <c r="R49" s="17"/>
      <c r="S49" s="20" t="str">
        <f aca="false">IF(A49="","",IF(OR(B49="",E49="",G49="",M49=""),"PBC-ID, filename, source system, record count needed",IF(COUNTIF(Ref_PBC!$A$2:$A$201,B49)=0,"PBC-ID not in W08",IF(LEFT(E49,LEN(A49)+1)&lt;&gt;A49&amp;"_","Filename must start with EV-ID_",IF(O49&lt;&gt;"Y","Original must be preserved (Y)",IF(OR(K49="",L49=""),"Period covered needed",IF(OR(K49&gt;C49,L49&lt;D49),"Period does not cover the PBC period",IF(AND(P49="Y",Q49=""),"IPE result needed",IF(AND(P49="Y",Q49&lt;&gt;"Pass"),"HOLD: IPE not Pass - do not sample","OK")))))))))</f>
        <v/>
      </c>
    </row>
    <row r="50" customFormat="false" ht="15" hidden="false" customHeight="false" outlineLevel="0" collapsed="false">
      <c r="A50" s="17"/>
      <c r="B50" s="17"/>
      <c r="C50" s="18" t="str">
        <f aca="false">IFERROR(INDEX(Ref_PBC!$B$2:$B$201,MATCH(B50,Ref_PBC!$A$2:$A$201,0)),"")</f>
        <v/>
      </c>
      <c r="D50" s="18" t="str">
        <f aca="false">IFERROR(INDEX(Ref_PBC!$C$2:$C$201,MATCH(B50,Ref_PBC!$A$2:$A$201,0)),"")</f>
        <v/>
      </c>
      <c r="E50" s="17"/>
      <c r="F50" s="17"/>
      <c r="G50" s="17"/>
      <c r="H50" s="17"/>
      <c r="I50" s="17"/>
      <c r="J50" s="19"/>
      <c r="K50" s="19"/>
      <c r="L50" s="19"/>
      <c r="M50" s="17"/>
      <c r="N50" s="19"/>
      <c r="O50" s="17"/>
      <c r="P50" s="20" t="str">
        <f aca="false">IF(A50="","",IF(IFERROR(INDEX(Ref_PBC!$D$2:$D$201,MATCH(B50,Ref_PBC!$A$2:$A$201,0)),"")="Population","Y","N"))</f>
        <v/>
      </c>
      <c r="Q50" s="17"/>
      <c r="R50" s="17"/>
      <c r="S50" s="20" t="str">
        <f aca="false">IF(A50="","",IF(OR(B50="",E50="",G50="",M50=""),"PBC-ID, filename, source system, record count needed",IF(COUNTIF(Ref_PBC!$A$2:$A$201,B50)=0,"PBC-ID not in W08",IF(LEFT(E50,LEN(A50)+1)&lt;&gt;A50&amp;"_","Filename must start with EV-ID_",IF(O50&lt;&gt;"Y","Original must be preserved (Y)",IF(OR(K50="",L50=""),"Period covered needed",IF(OR(K50&gt;C50,L50&lt;D50),"Period does not cover the PBC period",IF(AND(P50="Y",Q50=""),"IPE result needed",IF(AND(P50="Y",Q50&lt;&gt;"Pass"),"HOLD: IPE not Pass - do not sample","OK")))))))))</f>
        <v/>
      </c>
    </row>
    <row r="51" customFormat="false" ht="15" hidden="false" customHeight="false" outlineLevel="0" collapsed="false">
      <c r="A51" s="17"/>
      <c r="B51" s="17"/>
      <c r="C51" s="18" t="str">
        <f aca="false">IFERROR(INDEX(Ref_PBC!$B$2:$B$201,MATCH(B51,Ref_PBC!$A$2:$A$201,0)),"")</f>
        <v/>
      </c>
      <c r="D51" s="18" t="str">
        <f aca="false">IFERROR(INDEX(Ref_PBC!$C$2:$C$201,MATCH(B51,Ref_PBC!$A$2:$A$201,0)),"")</f>
        <v/>
      </c>
      <c r="E51" s="17"/>
      <c r="F51" s="17"/>
      <c r="G51" s="17"/>
      <c r="H51" s="17"/>
      <c r="I51" s="17"/>
      <c r="J51" s="19"/>
      <c r="K51" s="19"/>
      <c r="L51" s="19"/>
      <c r="M51" s="17"/>
      <c r="N51" s="19"/>
      <c r="O51" s="17"/>
      <c r="P51" s="20" t="str">
        <f aca="false">IF(A51="","",IF(IFERROR(INDEX(Ref_PBC!$D$2:$D$201,MATCH(B51,Ref_PBC!$A$2:$A$201,0)),"")="Population","Y","N"))</f>
        <v/>
      </c>
      <c r="Q51" s="17"/>
      <c r="R51" s="17"/>
      <c r="S51" s="20" t="str">
        <f aca="false">IF(A51="","",IF(OR(B51="",E51="",G51="",M51=""),"PBC-ID, filename, source system, record count needed",IF(COUNTIF(Ref_PBC!$A$2:$A$201,B51)=0,"PBC-ID not in W08",IF(LEFT(E51,LEN(A51)+1)&lt;&gt;A51&amp;"_","Filename must start with EV-ID_",IF(O51&lt;&gt;"Y","Original must be preserved (Y)",IF(OR(K51="",L51=""),"Period covered needed",IF(OR(K51&gt;C51,L51&lt;D51),"Period does not cover the PBC period",IF(AND(P51="Y",Q51=""),"IPE result needed",IF(AND(P51="Y",Q51&lt;&gt;"Pass"),"HOLD: IPE not Pass - do not sample","OK")))))))))</f>
        <v/>
      </c>
    </row>
    <row r="52" customFormat="false" ht="15" hidden="false" customHeight="false" outlineLevel="0" collapsed="false">
      <c r="A52" s="17"/>
      <c r="B52" s="17"/>
      <c r="C52" s="18" t="str">
        <f aca="false">IFERROR(INDEX(Ref_PBC!$B$2:$B$201,MATCH(B52,Ref_PBC!$A$2:$A$201,0)),"")</f>
        <v/>
      </c>
      <c r="D52" s="18" t="str">
        <f aca="false">IFERROR(INDEX(Ref_PBC!$C$2:$C$201,MATCH(B52,Ref_PBC!$A$2:$A$201,0)),"")</f>
        <v/>
      </c>
      <c r="E52" s="17"/>
      <c r="F52" s="17"/>
      <c r="G52" s="17"/>
      <c r="H52" s="17"/>
      <c r="I52" s="17"/>
      <c r="J52" s="19"/>
      <c r="K52" s="19"/>
      <c r="L52" s="19"/>
      <c r="M52" s="17"/>
      <c r="N52" s="19"/>
      <c r="O52" s="17"/>
      <c r="P52" s="20" t="str">
        <f aca="false">IF(A52="","",IF(IFERROR(INDEX(Ref_PBC!$D$2:$D$201,MATCH(B52,Ref_PBC!$A$2:$A$201,0)),"")="Population","Y","N"))</f>
        <v/>
      </c>
      <c r="Q52" s="17"/>
      <c r="R52" s="17"/>
      <c r="S52" s="20" t="str">
        <f aca="false">IF(A52="","",IF(OR(B52="",E52="",G52="",M52=""),"PBC-ID, filename, source system, record count needed",IF(COUNTIF(Ref_PBC!$A$2:$A$201,B52)=0,"PBC-ID not in W08",IF(LEFT(E52,LEN(A52)+1)&lt;&gt;A52&amp;"_","Filename must start with EV-ID_",IF(O52&lt;&gt;"Y","Original must be preserved (Y)",IF(OR(K52="",L52=""),"Period covered needed",IF(OR(K52&gt;C52,L52&lt;D52),"Period does not cover the PBC period",IF(AND(P52="Y",Q52=""),"IPE result needed",IF(AND(P52="Y",Q52&lt;&gt;"Pass"),"HOLD: IPE not Pass - do not sample","OK")))))))))</f>
        <v/>
      </c>
    </row>
    <row r="53" customFormat="false" ht="15" hidden="false" customHeight="false" outlineLevel="0" collapsed="false">
      <c r="A53" s="17"/>
      <c r="B53" s="17"/>
      <c r="C53" s="18" t="str">
        <f aca="false">IFERROR(INDEX(Ref_PBC!$B$2:$B$201,MATCH(B53,Ref_PBC!$A$2:$A$201,0)),"")</f>
        <v/>
      </c>
      <c r="D53" s="18" t="str">
        <f aca="false">IFERROR(INDEX(Ref_PBC!$C$2:$C$201,MATCH(B53,Ref_PBC!$A$2:$A$201,0)),"")</f>
        <v/>
      </c>
      <c r="E53" s="17"/>
      <c r="F53" s="17"/>
      <c r="G53" s="17"/>
      <c r="H53" s="17"/>
      <c r="I53" s="17"/>
      <c r="J53" s="19"/>
      <c r="K53" s="19"/>
      <c r="L53" s="19"/>
      <c r="M53" s="17"/>
      <c r="N53" s="19"/>
      <c r="O53" s="17"/>
      <c r="P53" s="20" t="str">
        <f aca="false">IF(A53="","",IF(IFERROR(INDEX(Ref_PBC!$D$2:$D$201,MATCH(B53,Ref_PBC!$A$2:$A$201,0)),"")="Population","Y","N"))</f>
        <v/>
      </c>
      <c r="Q53" s="17"/>
      <c r="R53" s="17"/>
      <c r="S53" s="20" t="str">
        <f aca="false">IF(A53="","",IF(OR(B53="",E53="",G53="",M53=""),"PBC-ID, filename, source system, record count needed",IF(COUNTIF(Ref_PBC!$A$2:$A$201,B53)=0,"PBC-ID not in W08",IF(LEFT(E53,LEN(A53)+1)&lt;&gt;A53&amp;"_","Filename must start with EV-ID_",IF(O53&lt;&gt;"Y","Original must be preserved (Y)",IF(OR(K53="",L53=""),"Period covered needed",IF(OR(K53&gt;C53,L53&lt;D53),"Period does not cover the PBC period",IF(AND(P53="Y",Q53=""),"IPE result needed",IF(AND(P53="Y",Q53&lt;&gt;"Pass"),"HOLD: IPE not Pass - do not sample","OK")))))))))</f>
        <v/>
      </c>
    </row>
    <row r="54" customFormat="false" ht="15" hidden="false" customHeight="false" outlineLevel="0" collapsed="false">
      <c r="A54" s="17"/>
      <c r="B54" s="17"/>
      <c r="C54" s="18" t="str">
        <f aca="false">IFERROR(INDEX(Ref_PBC!$B$2:$B$201,MATCH(B54,Ref_PBC!$A$2:$A$201,0)),"")</f>
        <v/>
      </c>
      <c r="D54" s="18" t="str">
        <f aca="false">IFERROR(INDEX(Ref_PBC!$C$2:$C$201,MATCH(B54,Ref_PBC!$A$2:$A$201,0)),"")</f>
        <v/>
      </c>
      <c r="E54" s="17"/>
      <c r="F54" s="17"/>
      <c r="G54" s="17"/>
      <c r="H54" s="17"/>
      <c r="I54" s="17"/>
      <c r="J54" s="19"/>
      <c r="K54" s="19"/>
      <c r="L54" s="19"/>
      <c r="M54" s="17"/>
      <c r="N54" s="19"/>
      <c r="O54" s="17"/>
      <c r="P54" s="20" t="str">
        <f aca="false">IF(A54="","",IF(IFERROR(INDEX(Ref_PBC!$D$2:$D$201,MATCH(B54,Ref_PBC!$A$2:$A$201,0)),"")="Population","Y","N"))</f>
        <v/>
      </c>
      <c r="Q54" s="17"/>
      <c r="R54" s="17"/>
      <c r="S54" s="20" t="str">
        <f aca="false">IF(A54="","",IF(OR(B54="",E54="",G54="",M54=""),"PBC-ID, filename, source system, record count needed",IF(COUNTIF(Ref_PBC!$A$2:$A$201,B54)=0,"PBC-ID not in W08",IF(LEFT(E54,LEN(A54)+1)&lt;&gt;A54&amp;"_","Filename must start with EV-ID_",IF(O54&lt;&gt;"Y","Original must be preserved (Y)",IF(OR(K54="",L54=""),"Period covered needed",IF(OR(K54&gt;C54,L54&lt;D54),"Period does not cover the PBC period",IF(AND(P54="Y",Q54=""),"IPE result needed",IF(AND(P54="Y",Q54&lt;&gt;"Pass"),"HOLD: IPE not Pass - do not sample","OK")))))))))</f>
        <v/>
      </c>
    </row>
    <row r="55" customFormat="false" ht="15" hidden="false" customHeight="false" outlineLevel="0" collapsed="false">
      <c r="A55" s="17"/>
      <c r="B55" s="17"/>
      <c r="C55" s="18" t="str">
        <f aca="false">IFERROR(INDEX(Ref_PBC!$B$2:$B$201,MATCH(B55,Ref_PBC!$A$2:$A$201,0)),"")</f>
        <v/>
      </c>
      <c r="D55" s="18" t="str">
        <f aca="false">IFERROR(INDEX(Ref_PBC!$C$2:$C$201,MATCH(B55,Ref_PBC!$A$2:$A$201,0)),"")</f>
        <v/>
      </c>
      <c r="E55" s="17"/>
      <c r="F55" s="17"/>
      <c r="G55" s="17"/>
      <c r="H55" s="17"/>
      <c r="I55" s="17"/>
      <c r="J55" s="19"/>
      <c r="K55" s="19"/>
      <c r="L55" s="19"/>
      <c r="M55" s="17"/>
      <c r="N55" s="19"/>
      <c r="O55" s="17"/>
      <c r="P55" s="20" t="str">
        <f aca="false">IF(A55="","",IF(IFERROR(INDEX(Ref_PBC!$D$2:$D$201,MATCH(B55,Ref_PBC!$A$2:$A$201,0)),"")="Population","Y","N"))</f>
        <v/>
      </c>
      <c r="Q55" s="17"/>
      <c r="R55" s="17"/>
      <c r="S55" s="20" t="str">
        <f aca="false">IF(A55="","",IF(OR(B55="",E55="",G55="",M55=""),"PBC-ID, filename, source system, record count needed",IF(COUNTIF(Ref_PBC!$A$2:$A$201,B55)=0,"PBC-ID not in W08",IF(LEFT(E55,LEN(A55)+1)&lt;&gt;A55&amp;"_","Filename must start with EV-ID_",IF(O55&lt;&gt;"Y","Original must be preserved (Y)",IF(OR(K55="",L55=""),"Period covered needed",IF(OR(K55&gt;C55,L55&lt;D55),"Period does not cover the PBC period",IF(AND(P55="Y",Q55=""),"IPE result needed",IF(AND(P55="Y",Q55&lt;&gt;"Pass"),"HOLD: IPE not Pass - do not sample","OK")))))))))</f>
        <v/>
      </c>
    </row>
    <row r="56" customFormat="false" ht="15" hidden="false" customHeight="false" outlineLevel="0" collapsed="false">
      <c r="A56" s="17"/>
      <c r="B56" s="17"/>
      <c r="C56" s="18" t="str">
        <f aca="false">IFERROR(INDEX(Ref_PBC!$B$2:$B$201,MATCH(B56,Ref_PBC!$A$2:$A$201,0)),"")</f>
        <v/>
      </c>
      <c r="D56" s="18" t="str">
        <f aca="false">IFERROR(INDEX(Ref_PBC!$C$2:$C$201,MATCH(B56,Ref_PBC!$A$2:$A$201,0)),"")</f>
        <v/>
      </c>
      <c r="E56" s="17"/>
      <c r="F56" s="17"/>
      <c r="G56" s="17"/>
      <c r="H56" s="17"/>
      <c r="I56" s="17"/>
      <c r="J56" s="19"/>
      <c r="K56" s="19"/>
      <c r="L56" s="19"/>
      <c r="M56" s="17"/>
      <c r="N56" s="19"/>
      <c r="O56" s="17"/>
      <c r="P56" s="20" t="str">
        <f aca="false">IF(A56="","",IF(IFERROR(INDEX(Ref_PBC!$D$2:$D$201,MATCH(B56,Ref_PBC!$A$2:$A$201,0)),"")="Population","Y","N"))</f>
        <v/>
      </c>
      <c r="Q56" s="17"/>
      <c r="R56" s="17"/>
      <c r="S56" s="20" t="str">
        <f aca="false">IF(A56="","",IF(OR(B56="",E56="",G56="",M56=""),"PBC-ID, filename, source system, record count needed",IF(COUNTIF(Ref_PBC!$A$2:$A$201,B56)=0,"PBC-ID not in W08",IF(LEFT(E56,LEN(A56)+1)&lt;&gt;A56&amp;"_","Filename must start with EV-ID_",IF(O56&lt;&gt;"Y","Original must be preserved (Y)",IF(OR(K56="",L56=""),"Period covered needed",IF(OR(K56&gt;C56,L56&lt;D56),"Period does not cover the PBC period",IF(AND(P56="Y",Q56=""),"IPE result needed",IF(AND(P56="Y",Q56&lt;&gt;"Pass"),"HOLD: IPE not Pass - do not sample","OK")))))))))</f>
        <v/>
      </c>
    </row>
    <row r="57" customFormat="false" ht="15" hidden="false" customHeight="false" outlineLevel="0" collapsed="false">
      <c r="A57" s="17"/>
      <c r="B57" s="17"/>
      <c r="C57" s="18" t="str">
        <f aca="false">IFERROR(INDEX(Ref_PBC!$B$2:$B$201,MATCH(B57,Ref_PBC!$A$2:$A$201,0)),"")</f>
        <v/>
      </c>
      <c r="D57" s="18" t="str">
        <f aca="false">IFERROR(INDEX(Ref_PBC!$C$2:$C$201,MATCH(B57,Ref_PBC!$A$2:$A$201,0)),"")</f>
        <v/>
      </c>
      <c r="E57" s="17"/>
      <c r="F57" s="17"/>
      <c r="G57" s="17"/>
      <c r="H57" s="17"/>
      <c r="I57" s="17"/>
      <c r="J57" s="19"/>
      <c r="K57" s="19"/>
      <c r="L57" s="19"/>
      <c r="M57" s="17"/>
      <c r="N57" s="19"/>
      <c r="O57" s="17"/>
      <c r="P57" s="20" t="str">
        <f aca="false">IF(A57="","",IF(IFERROR(INDEX(Ref_PBC!$D$2:$D$201,MATCH(B57,Ref_PBC!$A$2:$A$201,0)),"")="Population","Y","N"))</f>
        <v/>
      </c>
      <c r="Q57" s="17"/>
      <c r="R57" s="17"/>
      <c r="S57" s="20" t="str">
        <f aca="false">IF(A57="","",IF(OR(B57="",E57="",G57="",M57=""),"PBC-ID, filename, source system, record count needed",IF(COUNTIF(Ref_PBC!$A$2:$A$201,B57)=0,"PBC-ID not in W08",IF(LEFT(E57,LEN(A57)+1)&lt;&gt;A57&amp;"_","Filename must start with EV-ID_",IF(O57&lt;&gt;"Y","Original must be preserved (Y)",IF(OR(K57="",L57=""),"Period covered needed",IF(OR(K57&gt;C57,L57&lt;D57),"Period does not cover the PBC period",IF(AND(P57="Y",Q57=""),"IPE result needed",IF(AND(P57="Y",Q57&lt;&gt;"Pass"),"HOLD: IPE not Pass - do not sample","OK")))))))))</f>
        <v/>
      </c>
    </row>
    <row r="58" customFormat="false" ht="15" hidden="false" customHeight="false" outlineLevel="0" collapsed="false">
      <c r="A58" s="17"/>
      <c r="B58" s="17"/>
      <c r="C58" s="18" t="str">
        <f aca="false">IFERROR(INDEX(Ref_PBC!$B$2:$B$201,MATCH(B58,Ref_PBC!$A$2:$A$201,0)),"")</f>
        <v/>
      </c>
      <c r="D58" s="18" t="str">
        <f aca="false">IFERROR(INDEX(Ref_PBC!$C$2:$C$201,MATCH(B58,Ref_PBC!$A$2:$A$201,0)),"")</f>
        <v/>
      </c>
      <c r="E58" s="17"/>
      <c r="F58" s="17"/>
      <c r="G58" s="17"/>
      <c r="H58" s="17"/>
      <c r="I58" s="17"/>
      <c r="J58" s="19"/>
      <c r="K58" s="19"/>
      <c r="L58" s="19"/>
      <c r="M58" s="17"/>
      <c r="N58" s="19"/>
      <c r="O58" s="17"/>
      <c r="P58" s="20" t="str">
        <f aca="false">IF(A58="","",IF(IFERROR(INDEX(Ref_PBC!$D$2:$D$201,MATCH(B58,Ref_PBC!$A$2:$A$201,0)),"")="Population","Y","N"))</f>
        <v/>
      </c>
      <c r="Q58" s="17"/>
      <c r="R58" s="17"/>
      <c r="S58" s="20" t="str">
        <f aca="false">IF(A58="","",IF(OR(B58="",E58="",G58="",M58=""),"PBC-ID, filename, source system, record count needed",IF(COUNTIF(Ref_PBC!$A$2:$A$201,B58)=0,"PBC-ID not in W08",IF(LEFT(E58,LEN(A58)+1)&lt;&gt;A58&amp;"_","Filename must start with EV-ID_",IF(O58&lt;&gt;"Y","Original must be preserved (Y)",IF(OR(K58="",L58=""),"Period covered needed",IF(OR(K58&gt;C58,L58&lt;D58),"Period does not cover the PBC period",IF(AND(P58="Y",Q58=""),"IPE result needed",IF(AND(P58="Y",Q58&lt;&gt;"Pass"),"HOLD: IPE not Pass - do not sample","OK")))))))))</f>
        <v/>
      </c>
    </row>
    <row r="59" customFormat="false" ht="15" hidden="false" customHeight="false" outlineLevel="0" collapsed="false">
      <c r="A59" s="17"/>
      <c r="B59" s="17"/>
      <c r="C59" s="18" t="str">
        <f aca="false">IFERROR(INDEX(Ref_PBC!$B$2:$B$201,MATCH(B59,Ref_PBC!$A$2:$A$201,0)),"")</f>
        <v/>
      </c>
      <c r="D59" s="18" t="str">
        <f aca="false">IFERROR(INDEX(Ref_PBC!$C$2:$C$201,MATCH(B59,Ref_PBC!$A$2:$A$201,0)),"")</f>
        <v/>
      </c>
      <c r="E59" s="17"/>
      <c r="F59" s="17"/>
      <c r="G59" s="17"/>
      <c r="H59" s="17"/>
      <c r="I59" s="17"/>
      <c r="J59" s="19"/>
      <c r="K59" s="19"/>
      <c r="L59" s="19"/>
      <c r="M59" s="17"/>
      <c r="N59" s="19"/>
      <c r="O59" s="17"/>
      <c r="P59" s="20" t="str">
        <f aca="false">IF(A59="","",IF(IFERROR(INDEX(Ref_PBC!$D$2:$D$201,MATCH(B59,Ref_PBC!$A$2:$A$201,0)),"")="Population","Y","N"))</f>
        <v/>
      </c>
      <c r="Q59" s="17"/>
      <c r="R59" s="17"/>
      <c r="S59" s="20" t="str">
        <f aca="false">IF(A59="","",IF(OR(B59="",E59="",G59="",M59=""),"PBC-ID, filename, source system, record count needed",IF(COUNTIF(Ref_PBC!$A$2:$A$201,B59)=0,"PBC-ID not in W08",IF(LEFT(E59,LEN(A59)+1)&lt;&gt;A59&amp;"_","Filename must start with EV-ID_",IF(O59&lt;&gt;"Y","Original must be preserved (Y)",IF(OR(K59="",L59=""),"Period covered needed",IF(OR(K59&gt;C59,L59&lt;D59),"Period does not cover the PBC period",IF(AND(P59="Y",Q59=""),"IPE result needed",IF(AND(P59="Y",Q59&lt;&gt;"Pass"),"HOLD: IPE not Pass - do not sample","OK")))))))))</f>
        <v/>
      </c>
    </row>
    <row r="60" customFormat="false" ht="15" hidden="false" customHeight="false" outlineLevel="0" collapsed="false">
      <c r="A60" s="17"/>
      <c r="B60" s="17"/>
      <c r="C60" s="18" t="str">
        <f aca="false">IFERROR(INDEX(Ref_PBC!$B$2:$B$201,MATCH(B60,Ref_PBC!$A$2:$A$201,0)),"")</f>
        <v/>
      </c>
      <c r="D60" s="18" t="str">
        <f aca="false">IFERROR(INDEX(Ref_PBC!$C$2:$C$201,MATCH(B60,Ref_PBC!$A$2:$A$201,0)),"")</f>
        <v/>
      </c>
      <c r="E60" s="17"/>
      <c r="F60" s="17"/>
      <c r="G60" s="17"/>
      <c r="H60" s="17"/>
      <c r="I60" s="17"/>
      <c r="J60" s="19"/>
      <c r="K60" s="19"/>
      <c r="L60" s="19"/>
      <c r="M60" s="17"/>
      <c r="N60" s="19"/>
      <c r="O60" s="17"/>
      <c r="P60" s="20" t="str">
        <f aca="false">IF(A60="","",IF(IFERROR(INDEX(Ref_PBC!$D$2:$D$201,MATCH(B60,Ref_PBC!$A$2:$A$201,0)),"")="Population","Y","N"))</f>
        <v/>
      </c>
      <c r="Q60" s="17"/>
      <c r="R60" s="17"/>
      <c r="S60" s="20" t="str">
        <f aca="false">IF(A60="","",IF(OR(B60="",E60="",G60="",M60=""),"PBC-ID, filename, source system, record count needed",IF(COUNTIF(Ref_PBC!$A$2:$A$201,B60)=0,"PBC-ID not in W08",IF(LEFT(E60,LEN(A60)+1)&lt;&gt;A60&amp;"_","Filename must start with EV-ID_",IF(O60&lt;&gt;"Y","Original must be preserved (Y)",IF(OR(K60="",L60=""),"Period covered needed",IF(OR(K60&gt;C60,L60&lt;D60),"Period does not cover the PBC period",IF(AND(P60="Y",Q60=""),"IPE result needed",IF(AND(P60="Y",Q60&lt;&gt;"Pass"),"HOLD: IPE not Pass - do not sample","OK")))))))))</f>
        <v/>
      </c>
    </row>
    <row r="61" customFormat="false" ht="15" hidden="false" customHeight="false" outlineLevel="0" collapsed="false">
      <c r="A61" s="17"/>
      <c r="B61" s="17"/>
      <c r="C61" s="18" t="str">
        <f aca="false">IFERROR(INDEX(Ref_PBC!$B$2:$B$201,MATCH(B61,Ref_PBC!$A$2:$A$201,0)),"")</f>
        <v/>
      </c>
      <c r="D61" s="18" t="str">
        <f aca="false">IFERROR(INDEX(Ref_PBC!$C$2:$C$201,MATCH(B61,Ref_PBC!$A$2:$A$201,0)),"")</f>
        <v/>
      </c>
      <c r="E61" s="17"/>
      <c r="F61" s="17"/>
      <c r="G61" s="17"/>
      <c r="H61" s="17"/>
      <c r="I61" s="17"/>
      <c r="J61" s="19"/>
      <c r="K61" s="19"/>
      <c r="L61" s="19"/>
      <c r="M61" s="17"/>
      <c r="N61" s="19"/>
      <c r="O61" s="17"/>
      <c r="P61" s="20" t="str">
        <f aca="false">IF(A61="","",IF(IFERROR(INDEX(Ref_PBC!$D$2:$D$201,MATCH(B61,Ref_PBC!$A$2:$A$201,0)),"")="Population","Y","N"))</f>
        <v/>
      </c>
      <c r="Q61" s="17"/>
      <c r="R61" s="17"/>
      <c r="S61" s="20" t="str">
        <f aca="false">IF(A61="","",IF(OR(B61="",E61="",G61="",M61=""),"PBC-ID, filename, source system, record count needed",IF(COUNTIF(Ref_PBC!$A$2:$A$201,B61)=0,"PBC-ID not in W08",IF(LEFT(E61,LEN(A61)+1)&lt;&gt;A61&amp;"_","Filename must start with EV-ID_",IF(O61&lt;&gt;"Y","Original must be preserved (Y)",IF(OR(K61="",L61=""),"Period covered needed",IF(OR(K61&gt;C61,L61&lt;D61),"Period does not cover the PBC period",IF(AND(P61="Y",Q61=""),"IPE result needed",IF(AND(P61="Y",Q61&lt;&gt;"Pass"),"HOLD: IPE not Pass - do not sample","OK")))))))))</f>
        <v/>
      </c>
    </row>
    <row r="62" customFormat="false" ht="15" hidden="false" customHeight="false" outlineLevel="0" collapsed="false">
      <c r="A62" s="17"/>
      <c r="B62" s="17"/>
      <c r="C62" s="18" t="str">
        <f aca="false">IFERROR(INDEX(Ref_PBC!$B$2:$B$201,MATCH(B62,Ref_PBC!$A$2:$A$201,0)),"")</f>
        <v/>
      </c>
      <c r="D62" s="18" t="str">
        <f aca="false">IFERROR(INDEX(Ref_PBC!$C$2:$C$201,MATCH(B62,Ref_PBC!$A$2:$A$201,0)),"")</f>
        <v/>
      </c>
      <c r="E62" s="17"/>
      <c r="F62" s="17"/>
      <c r="G62" s="17"/>
      <c r="H62" s="17"/>
      <c r="I62" s="17"/>
      <c r="J62" s="19"/>
      <c r="K62" s="19"/>
      <c r="L62" s="19"/>
      <c r="M62" s="17"/>
      <c r="N62" s="19"/>
      <c r="O62" s="17"/>
      <c r="P62" s="20" t="str">
        <f aca="false">IF(A62="","",IF(IFERROR(INDEX(Ref_PBC!$D$2:$D$201,MATCH(B62,Ref_PBC!$A$2:$A$201,0)),"")="Population","Y","N"))</f>
        <v/>
      </c>
      <c r="Q62" s="17"/>
      <c r="R62" s="17"/>
      <c r="S62" s="20" t="str">
        <f aca="false">IF(A62="","",IF(OR(B62="",E62="",G62="",M62=""),"PBC-ID, filename, source system, record count needed",IF(COUNTIF(Ref_PBC!$A$2:$A$201,B62)=0,"PBC-ID not in W08",IF(LEFT(E62,LEN(A62)+1)&lt;&gt;A62&amp;"_","Filename must start with EV-ID_",IF(O62&lt;&gt;"Y","Original must be preserved (Y)",IF(OR(K62="",L62=""),"Period covered needed",IF(OR(K62&gt;C62,L62&lt;D62),"Period does not cover the PBC period",IF(AND(P62="Y",Q62=""),"IPE result needed",IF(AND(P62="Y",Q62&lt;&gt;"Pass"),"HOLD: IPE not Pass - do not sample","OK")))))))))</f>
        <v/>
      </c>
    </row>
    <row r="63" customFormat="false" ht="15" hidden="false" customHeight="false" outlineLevel="0" collapsed="false">
      <c r="A63" s="17"/>
      <c r="B63" s="17"/>
      <c r="C63" s="18" t="str">
        <f aca="false">IFERROR(INDEX(Ref_PBC!$B$2:$B$201,MATCH(B63,Ref_PBC!$A$2:$A$201,0)),"")</f>
        <v/>
      </c>
      <c r="D63" s="18" t="str">
        <f aca="false">IFERROR(INDEX(Ref_PBC!$C$2:$C$201,MATCH(B63,Ref_PBC!$A$2:$A$201,0)),"")</f>
        <v/>
      </c>
      <c r="E63" s="17"/>
      <c r="F63" s="17"/>
      <c r="G63" s="17"/>
      <c r="H63" s="17"/>
      <c r="I63" s="17"/>
      <c r="J63" s="19"/>
      <c r="K63" s="19"/>
      <c r="L63" s="19"/>
      <c r="M63" s="17"/>
      <c r="N63" s="19"/>
      <c r="O63" s="17"/>
      <c r="P63" s="20" t="str">
        <f aca="false">IF(A63="","",IF(IFERROR(INDEX(Ref_PBC!$D$2:$D$201,MATCH(B63,Ref_PBC!$A$2:$A$201,0)),"")="Population","Y","N"))</f>
        <v/>
      </c>
      <c r="Q63" s="17"/>
      <c r="R63" s="17"/>
      <c r="S63" s="20" t="str">
        <f aca="false">IF(A63="","",IF(OR(B63="",E63="",G63="",M63=""),"PBC-ID, filename, source system, record count needed",IF(COUNTIF(Ref_PBC!$A$2:$A$201,B63)=0,"PBC-ID not in W08",IF(LEFT(E63,LEN(A63)+1)&lt;&gt;A63&amp;"_","Filename must start with EV-ID_",IF(O63&lt;&gt;"Y","Original must be preserved (Y)",IF(OR(K63="",L63=""),"Period covered needed",IF(OR(K63&gt;C63,L63&lt;D63),"Period does not cover the PBC period",IF(AND(P63="Y",Q63=""),"IPE result needed",IF(AND(P63="Y",Q63&lt;&gt;"Pass"),"HOLD: IPE not Pass - do not sample","OK")))))))))</f>
        <v/>
      </c>
    </row>
    <row r="64" customFormat="false" ht="15" hidden="false" customHeight="false" outlineLevel="0" collapsed="false">
      <c r="A64" s="17"/>
      <c r="B64" s="17"/>
      <c r="C64" s="18" t="str">
        <f aca="false">IFERROR(INDEX(Ref_PBC!$B$2:$B$201,MATCH(B64,Ref_PBC!$A$2:$A$201,0)),"")</f>
        <v/>
      </c>
      <c r="D64" s="18" t="str">
        <f aca="false">IFERROR(INDEX(Ref_PBC!$C$2:$C$201,MATCH(B64,Ref_PBC!$A$2:$A$201,0)),"")</f>
        <v/>
      </c>
      <c r="E64" s="17"/>
      <c r="F64" s="17"/>
      <c r="G64" s="17"/>
      <c r="H64" s="17"/>
      <c r="I64" s="17"/>
      <c r="J64" s="19"/>
      <c r="K64" s="19"/>
      <c r="L64" s="19"/>
      <c r="M64" s="17"/>
      <c r="N64" s="19"/>
      <c r="O64" s="17"/>
      <c r="P64" s="20" t="str">
        <f aca="false">IF(A64="","",IF(IFERROR(INDEX(Ref_PBC!$D$2:$D$201,MATCH(B64,Ref_PBC!$A$2:$A$201,0)),"")="Population","Y","N"))</f>
        <v/>
      </c>
      <c r="Q64" s="17"/>
      <c r="R64" s="17"/>
      <c r="S64" s="20" t="str">
        <f aca="false">IF(A64="","",IF(OR(B64="",E64="",G64="",M64=""),"PBC-ID, filename, source system, record count needed",IF(COUNTIF(Ref_PBC!$A$2:$A$201,B64)=0,"PBC-ID not in W08",IF(LEFT(E64,LEN(A64)+1)&lt;&gt;A64&amp;"_","Filename must start with EV-ID_",IF(O64&lt;&gt;"Y","Original must be preserved (Y)",IF(OR(K64="",L64=""),"Period covered needed",IF(OR(K64&gt;C64,L64&lt;D64),"Period does not cover the PBC period",IF(AND(P64="Y",Q64=""),"IPE result needed",IF(AND(P64="Y",Q64&lt;&gt;"Pass"),"HOLD: IPE not Pass - do not sample","OK")))))))))</f>
        <v/>
      </c>
    </row>
    <row r="65" customFormat="false" ht="15" hidden="false" customHeight="false" outlineLevel="0" collapsed="false">
      <c r="A65" s="17"/>
      <c r="B65" s="17"/>
      <c r="C65" s="18" t="str">
        <f aca="false">IFERROR(INDEX(Ref_PBC!$B$2:$B$201,MATCH(B65,Ref_PBC!$A$2:$A$201,0)),"")</f>
        <v/>
      </c>
      <c r="D65" s="18" t="str">
        <f aca="false">IFERROR(INDEX(Ref_PBC!$C$2:$C$201,MATCH(B65,Ref_PBC!$A$2:$A$201,0)),"")</f>
        <v/>
      </c>
      <c r="E65" s="17"/>
      <c r="F65" s="17"/>
      <c r="G65" s="17"/>
      <c r="H65" s="17"/>
      <c r="I65" s="17"/>
      <c r="J65" s="19"/>
      <c r="K65" s="19"/>
      <c r="L65" s="19"/>
      <c r="M65" s="17"/>
      <c r="N65" s="19"/>
      <c r="O65" s="17"/>
      <c r="P65" s="20" t="str">
        <f aca="false">IF(A65="","",IF(IFERROR(INDEX(Ref_PBC!$D$2:$D$201,MATCH(B65,Ref_PBC!$A$2:$A$201,0)),"")="Population","Y","N"))</f>
        <v/>
      </c>
      <c r="Q65" s="17"/>
      <c r="R65" s="17"/>
      <c r="S65" s="20" t="str">
        <f aca="false">IF(A65="","",IF(OR(B65="",E65="",G65="",M65=""),"PBC-ID, filename, source system, record count needed",IF(COUNTIF(Ref_PBC!$A$2:$A$201,B65)=0,"PBC-ID not in W08",IF(LEFT(E65,LEN(A65)+1)&lt;&gt;A65&amp;"_","Filename must start with EV-ID_",IF(O65&lt;&gt;"Y","Original must be preserved (Y)",IF(OR(K65="",L65=""),"Period covered needed",IF(OR(K65&gt;C65,L65&lt;D65),"Period does not cover the PBC period",IF(AND(P65="Y",Q65=""),"IPE result needed",IF(AND(P65="Y",Q65&lt;&gt;"Pass"),"HOLD: IPE not Pass - do not sample","OK")))))))))</f>
        <v/>
      </c>
    </row>
    <row r="66" customFormat="false" ht="15" hidden="false" customHeight="false" outlineLevel="0" collapsed="false">
      <c r="A66" s="17"/>
      <c r="B66" s="17"/>
      <c r="C66" s="18" t="str">
        <f aca="false">IFERROR(INDEX(Ref_PBC!$B$2:$B$201,MATCH(B66,Ref_PBC!$A$2:$A$201,0)),"")</f>
        <v/>
      </c>
      <c r="D66" s="18" t="str">
        <f aca="false">IFERROR(INDEX(Ref_PBC!$C$2:$C$201,MATCH(B66,Ref_PBC!$A$2:$A$201,0)),"")</f>
        <v/>
      </c>
      <c r="E66" s="17"/>
      <c r="F66" s="17"/>
      <c r="G66" s="17"/>
      <c r="H66" s="17"/>
      <c r="I66" s="17"/>
      <c r="J66" s="19"/>
      <c r="K66" s="19"/>
      <c r="L66" s="19"/>
      <c r="M66" s="17"/>
      <c r="N66" s="19"/>
      <c r="O66" s="17"/>
      <c r="P66" s="20" t="str">
        <f aca="false">IF(A66="","",IF(IFERROR(INDEX(Ref_PBC!$D$2:$D$201,MATCH(B66,Ref_PBC!$A$2:$A$201,0)),"")="Population","Y","N"))</f>
        <v/>
      </c>
      <c r="Q66" s="17"/>
      <c r="R66" s="17"/>
      <c r="S66" s="20" t="str">
        <f aca="false">IF(A66="","",IF(OR(B66="",E66="",G66="",M66=""),"PBC-ID, filename, source system, record count needed",IF(COUNTIF(Ref_PBC!$A$2:$A$201,B66)=0,"PBC-ID not in W08",IF(LEFT(E66,LEN(A66)+1)&lt;&gt;A66&amp;"_","Filename must start with EV-ID_",IF(O66&lt;&gt;"Y","Original must be preserved (Y)",IF(OR(K66="",L66=""),"Period covered needed",IF(OR(K66&gt;C66,L66&lt;D66),"Period does not cover the PBC period",IF(AND(P66="Y",Q66=""),"IPE result needed",IF(AND(P66="Y",Q66&lt;&gt;"Pass"),"HOLD: IPE not Pass - do not sample","OK")))))))))</f>
        <v/>
      </c>
    </row>
    <row r="67" customFormat="false" ht="15" hidden="false" customHeight="false" outlineLevel="0" collapsed="false">
      <c r="A67" s="17"/>
      <c r="B67" s="17"/>
      <c r="C67" s="18" t="str">
        <f aca="false">IFERROR(INDEX(Ref_PBC!$B$2:$B$201,MATCH(B67,Ref_PBC!$A$2:$A$201,0)),"")</f>
        <v/>
      </c>
      <c r="D67" s="18" t="str">
        <f aca="false">IFERROR(INDEX(Ref_PBC!$C$2:$C$201,MATCH(B67,Ref_PBC!$A$2:$A$201,0)),"")</f>
        <v/>
      </c>
      <c r="E67" s="17"/>
      <c r="F67" s="17"/>
      <c r="G67" s="17"/>
      <c r="H67" s="17"/>
      <c r="I67" s="17"/>
      <c r="J67" s="19"/>
      <c r="K67" s="19"/>
      <c r="L67" s="19"/>
      <c r="M67" s="17"/>
      <c r="N67" s="19"/>
      <c r="O67" s="17"/>
      <c r="P67" s="20" t="str">
        <f aca="false">IF(A67="","",IF(IFERROR(INDEX(Ref_PBC!$D$2:$D$201,MATCH(B67,Ref_PBC!$A$2:$A$201,0)),"")="Population","Y","N"))</f>
        <v/>
      </c>
      <c r="Q67" s="17"/>
      <c r="R67" s="17"/>
      <c r="S67" s="20" t="str">
        <f aca="false">IF(A67="","",IF(OR(B67="",E67="",G67="",M67=""),"PBC-ID, filename, source system, record count needed",IF(COUNTIF(Ref_PBC!$A$2:$A$201,B67)=0,"PBC-ID not in W08",IF(LEFT(E67,LEN(A67)+1)&lt;&gt;A67&amp;"_","Filename must start with EV-ID_",IF(O67&lt;&gt;"Y","Original must be preserved (Y)",IF(OR(K67="",L67=""),"Period covered needed",IF(OR(K67&gt;C67,L67&lt;D67),"Period does not cover the PBC period",IF(AND(P67="Y",Q67=""),"IPE result needed",IF(AND(P67="Y",Q67&lt;&gt;"Pass"),"HOLD: IPE not Pass - do not sample","OK")))))))))</f>
        <v/>
      </c>
    </row>
    <row r="68" customFormat="false" ht="15" hidden="false" customHeight="false" outlineLevel="0" collapsed="false">
      <c r="A68" s="17"/>
      <c r="B68" s="17"/>
      <c r="C68" s="18" t="str">
        <f aca="false">IFERROR(INDEX(Ref_PBC!$B$2:$B$201,MATCH(B68,Ref_PBC!$A$2:$A$201,0)),"")</f>
        <v/>
      </c>
      <c r="D68" s="18" t="str">
        <f aca="false">IFERROR(INDEX(Ref_PBC!$C$2:$C$201,MATCH(B68,Ref_PBC!$A$2:$A$201,0)),"")</f>
        <v/>
      </c>
      <c r="E68" s="17"/>
      <c r="F68" s="17"/>
      <c r="G68" s="17"/>
      <c r="H68" s="17"/>
      <c r="I68" s="17"/>
      <c r="J68" s="19"/>
      <c r="K68" s="19"/>
      <c r="L68" s="19"/>
      <c r="M68" s="17"/>
      <c r="N68" s="19"/>
      <c r="O68" s="17"/>
      <c r="P68" s="20" t="str">
        <f aca="false">IF(A68="","",IF(IFERROR(INDEX(Ref_PBC!$D$2:$D$201,MATCH(B68,Ref_PBC!$A$2:$A$201,0)),"")="Population","Y","N"))</f>
        <v/>
      </c>
      <c r="Q68" s="17"/>
      <c r="R68" s="17"/>
      <c r="S68" s="20" t="str">
        <f aca="false">IF(A68="","",IF(OR(B68="",E68="",G68="",M68=""),"PBC-ID, filename, source system, record count needed",IF(COUNTIF(Ref_PBC!$A$2:$A$201,B68)=0,"PBC-ID not in W08",IF(LEFT(E68,LEN(A68)+1)&lt;&gt;A68&amp;"_","Filename must start with EV-ID_",IF(O68&lt;&gt;"Y","Original must be preserved (Y)",IF(OR(K68="",L68=""),"Period covered needed",IF(OR(K68&gt;C68,L68&lt;D68),"Period does not cover the PBC period",IF(AND(P68="Y",Q68=""),"IPE result needed",IF(AND(P68="Y",Q68&lt;&gt;"Pass"),"HOLD: IPE not Pass - do not sample","OK")))))))))</f>
        <v/>
      </c>
    </row>
    <row r="69" customFormat="false" ht="15" hidden="false" customHeight="false" outlineLevel="0" collapsed="false">
      <c r="A69" s="17"/>
      <c r="B69" s="17"/>
      <c r="C69" s="18" t="str">
        <f aca="false">IFERROR(INDEX(Ref_PBC!$B$2:$B$201,MATCH(B69,Ref_PBC!$A$2:$A$201,0)),"")</f>
        <v/>
      </c>
      <c r="D69" s="18" t="str">
        <f aca="false">IFERROR(INDEX(Ref_PBC!$C$2:$C$201,MATCH(B69,Ref_PBC!$A$2:$A$201,0)),"")</f>
        <v/>
      </c>
      <c r="E69" s="17"/>
      <c r="F69" s="17"/>
      <c r="G69" s="17"/>
      <c r="H69" s="17"/>
      <c r="I69" s="17"/>
      <c r="J69" s="19"/>
      <c r="K69" s="19"/>
      <c r="L69" s="19"/>
      <c r="M69" s="17"/>
      <c r="N69" s="19"/>
      <c r="O69" s="17"/>
      <c r="P69" s="20" t="str">
        <f aca="false">IF(A69="","",IF(IFERROR(INDEX(Ref_PBC!$D$2:$D$201,MATCH(B69,Ref_PBC!$A$2:$A$201,0)),"")="Population","Y","N"))</f>
        <v/>
      </c>
      <c r="Q69" s="17"/>
      <c r="R69" s="17"/>
      <c r="S69" s="20" t="str">
        <f aca="false">IF(A69="","",IF(OR(B69="",E69="",G69="",M69=""),"PBC-ID, filename, source system, record count needed",IF(COUNTIF(Ref_PBC!$A$2:$A$201,B69)=0,"PBC-ID not in W08",IF(LEFT(E69,LEN(A69)+1)&lt;&gt;A69&amp;"_","Filename must start with EV-ID_",IF(O69&lt;&gt;"Y","Original must be preserved (Y)",IF(OR(K69="",L69=""),"Period covered needed",IF(OR(K69&gt;C69,L69&lt;D69),"Period does not cover the PBC period",IF(AND(P69="Y",Q69=""),"IPE result needed",IF(AND(P69="Y",Q69&lt;&gt;"Pass"),"HOLD: IPE not Pass - do not sample","OK")))))))))</f>
        <v/>
      </c>
    </row>
    <row r="70" customFormat="false" ht="15" hidden="false" customHeight="false" outlineLevel="0" collapsed="false">
      <c r="A70" s="17"/>
      <c r="B70" s="17"/>
      <c r="C70" s="18" t="str">
        <f aca="false">IFERROR(INDEX(Ref_PBC!$B$2:$B$201,MATCH(B70,Ref_PBC!$A$2:$A$201,0)),"")</f>
        <v/>
      </c>
      <c r="D70" s="18" t="str">
        <f aca="false">IFERROR(INDEX(Ref_PBC!$C$2:$C$201,MATCH(B70,Ref_PBC!$A$2:$A$201,0)),"")</f>
        <v/>
      </c>
      <c r="E70" s="17"/>
      <c r="F70" s="17"/>
      <c r="G70" s="17"/>
      <c r="H70" s="17"/>
      <c r="I70" s="17"/>
      <c r="J70" s="19"/>
      <c r="K70" s="19"/>
      <c r="L70" s="19"/>
      <c r="M70" s="17"/>
      <c r="N70" s="19"/>
      <c r="O70" s="17"/>
      <c r="P70" s="20" t="str">
        <f aca="false">IF(A70="","",IF(IFERROR(INDEX(Ref_PBC!$D$2:$D$201,MATCH(B70,Ref_PBC!$A$2:$A$201,0)),"")="Population","Y","N"))</f>
        <v/>
      </c>
      <c r="Q70" s="17"/>
      <c r="R70" s="17"/>
      <c r="S70" s="20" t="str">
        <f aca="false">IF(A70="","",IF(OR(B70="",E70="",G70="",M70=""),"PBC-ID, filename, source system, record count needed",IF(COUNTIF(Ref_PBC!$A$2:$A$201,B70)=0,"PBC-ID not in W08",IF(LEFT(E70,LEN(A70)+1)&lt;&gt;A70&amp;"_","Filename must start with EV-ID_",IF(O70&lt;&gt;"Y","Original must be preserved (Y)",IF(OR(K70="",L70=""),"Period covered needed",IF(OR(K70&gt;C70,L70&lt;D70),"Period does not cover the PBC period",IF(AND(P70="Y",Q70=""),"IPE result needed",IF(AND(P70="Y",Q70&lt;&gt;"Pass"),"HOLD: IPE not Pass - do not sample","OK")))))))))</f>
        <v/>
      </c>
    </row>
    <row r="71" customFormat="false" ht="15" hidden="false" customHeight="false" outlineLevel="0" collapsed="false">
      <c r="A71" s="17"/>
      <c r="B71" s="17"/>
      <c r="C71" s="18" t="str">
        <f aca="false">IFERROR(INDEX(Ref_PBC!$B$2:$B$201,MATCH(B71,Ref_PBC!$A$2:$A$201,0)),"")</f>
        <v/>
      </c>
      <c r="D71" s="18" t="str">
        <f aca="false">IFERROR(INDEX(Ref_PBC!$C$2:$C$201,MATCH(B71,Ref_PBC!$A$2:$A$201,0)),"")</f>
        <v/>
      </c>
      <c r="E71" s="17"/>
      <c r="F71" s="17"/>
      <c r="G71" s="17"/>
      <c r="H71" s="17"/>
      <c r="I71" s="17"/>
      <c r="J71" s="19"/>
      <c r="K71" s="19"/>
      <c r="L71" s="19"/>
      <c r="M71" s="17"/>
      <c r="N71" s="19"/>
      <c r="O71" s="17"/>
      <c r="P71" s="20" t="str">
        <f aca="false">IF(A71="","",IF(IFERROR(INDEX(Ref_PBC!$D$2:$D$201,MATCH(B71,Ref_PBC!$A$2:$A$201,0)),"")="Population","Y","N"))</f>
        <v/>
      </c>
      <c r="Q71" s="17"/>
      <c r="R71" s="17"/>
      <c r="S71" s="20" t="str">
        <f aca="false">IF(A71="","",IF(OR(B71="",E71="",G71="",M71=""),"PBC-ID, filename, source system, record count needed",IF(COUNTIF(Ref_PBC!$A$2:$A$201,B71)=0,"PBC-ID not in W08",IF(LEFT(E71,LEN(A71)+1)&lt;&gt;A71&amp;"_","Filename must start with EV-ID_",IF(O71&lt;&gt;"Y","Original must be preserved (Y)",IF(OR(K71="",L71=""),"Period covered needed",IF(OR(K71&gt;C71,L71&lt;D71),"Period does not cover the PBC period",IF(AND(P71="Y",Q71=""),"IPE result needed",IF(AND(P71="Y",Q71&lt;&gt;"Pass"),"HOLD: IPE not Pass - do not sample","OK")))))))))</f>
        <v/>
      </c>
    </row>
    <row r="72" customFormat="false" ht="15" hidden="false" customHeight="false" outlineLevel="0" collapsed="false">
      <c r="A72" s="17"/>
      <c r="B72" s="17"/>
      <c r="C72" s="18" t="str">
        <f aca="false">IFERROR(INDEX(Ref_PBC!$B$2:$B$201,MATCH(B72,Ref_PBC!$A$2:$A$201,0)),"")</f>
        <v/>
      </c>
      <c r="D72" s="18" t="str">
        <f aca="false">IFERROR(INDEX(Ref_PBC!$C$2:$C$201,MATCH(B72,Ref_PBC!$A$2:$A$201,0)),"")</f>
        <v/>
      </c>
      <c r="E72" s="17"/>
      <c r="F72" s="17"/>
      <c r="G72" s="17"/>
      <c r="H72" s="17"/>
      <c r="I72" s="17"/>
      <c r="J72" s="19"/>
      <c r="K72" s="19"/>
      <c r="L72" s="19"/>
      <c r="M72" s="17"/>
      <c r="N72" s="19"/>
      <c r="O72" s="17"/>
      <c r="P72" s="20" t="str">
        <f aca="false">IF(A72="","",IF(IFERROR(INDEX(Ref_PBC!$D$2:$D$201,MATCH(B72,Ref_PBC!$A$2:$A$201,0)),"")="Population","Y","N"))</f>
        <v/>
      </c>
      <c r="Q72" s="17"/>
      <c r="R72" s="17"/>
      <c r="S72" s="20" t="str">
        <f aca="false">IF(A72="","",IF(OR(B72="",E72="",G72="",M72=""),"PBC-ID, filename, source system, record count needed",IF(COUNTIF(Ref_PBC!$A$2:$A$201,B72)=0,"PBC-ID not in W08",IF(LEFT(E72,LEN(A72)+1)&lt;&gt;A72&amp;"_","Filename must start with EV-ID_",IF(O72&lt;&gt;"Y","Original must be preserved (Y)",IF(OR(K72="",L72=""),"Period covered needed",IF(OR(K72&gt;C72,L72&lt;D72),"Period does not cover the PBC period",IF(AND(P72="Y",Q72=""),"IPE result needed",IF(AND(P72="Y",Q72&lt;&gt;"Pass"),"HOLD: IPE not Pass - do not sample","OK")))))))))</f>
        <v/>
      </c>
    </row>
    <row r="73" customFormat="false" ht="15" hidden="false" customHeight="false" outlineLevel="0" collapsed="false">
      <c r="A73" s="17"/>
      <c r="B73" s="17"/>
      <c r="C73" s="18" t="str">
        <f aca="false">IFERROR(INDEX(Ref_PBC!$B$2:$B$201,MATCH(B73,Ref_PBC!$A$2:$A$201,0)),"")</f>
        <v/>
      </c>
      <c r="D73" s="18" t="str">
        <f aca="false">IFERROR(INDEX(Ref_PBC!$C$2:$C$201,MATCH(B73,Ref_PBC!$A$2:$A$201,0)),"")</f>
        <v/>
      </c>
      <c r="E73" s="17"/>
      <c r="F73" s="17"/>
      <c r="G73" s="17"/>
      <c r="H73" s="17"/>
      <c r="I73" s="17"/>
      <c r="J73" s="19"/>
      <c r="K73" s="19"/>
      <c r="L73" s="19"/>
      <c r="M73" s="17"/>
      <c r="N73" s="19"/>
      <c r="O73" s="17"/>
      <c r="P73" s="20" t="str">
        <f aca="false">IF(A73="","",IF(IFERROR(INDEX(Ref_PBC!$D$2:$D$201,MATCH(B73,Ref_PBC!$A$2:$A$201,0)),"")="Population","Y","N"))</f>
        <v/>
      </c>
      <c r="Q73" s="17"/>
      <c r="R73" s="17"/>
      <c r="S73" s="20" t="str">
        <f aca="false">IF(A73="","",IF(OR(B73="",E73="",G73="",M73=""),"PBC-ID, filename, source system, record count needed",IF(COUNTIF(Ref_PBC!$A$2:$A$201,B73)=0,"PBC-ID not in W08",IF(LEFT(E73,LEN(A73)+1)&lt;&gt;A73&amp;"_","Filename must start with EV-ID_",IF(O73&lt;&gt;"Y","Original must be preserved (Y)",IF(OR(K73="",L73=""),"Period covered needed",IF(OR(K73&gt;C73,L73&lt;D73),"Period does not cover the PBC period",IF(AND(P73="Y",Q73=""),"IPE result needed",IF(AND(P73="Y",Q73&lt;&gt;"Pass"),"HOLD: IPE not Pass - do not sample","OK")))))))))</f>
        <v/>
      </c>
    </row>
    <row r="74" customFormat="false" ht="15" hidden="false" customHeight="false" outlineLevel="0" collapsed="false">
      <c r="A74" s="17"/>
      <c r="B74" s="17"/>
      <c r="C74" s="18" t="str">
        <f aca="false">IFERROR(INDEX(Ref_PBC!$B$2:$B$201,MATCH(B74,Ref_PBC!$A$2:$A$201,0)),"")</f>
        <v/>
      </c>
      <c r="D74" s="18" t="str">
        <f aca="false">IFERROR(INDEX(Ref_PBC!$C$2:$C$201,MATCH(B74,Ref_PBC!$A$2:$A$201,0)),"")</f>
        <v/>
      </c>
      <c r="E74" s="17"/>
      <c r="F74" s="17"/>
      <c r="G74" s="17"/>
      <c r="H74" s="17"/>
      <c r="I74" s="17"/>
      <c r="J74" s="19"/>
      <c r="K74" s="19"/>
      <c r="L74" s="19"/>
      <c r="M74" s="17"/>
      <c r="N74" s="19"/>
      <c r="O74" s="17"/>
      <c r="P74" s="20" t="str">
        <f aca="false">IF(A74="","",IF(IFERROR(INDEX(Ref_PBC!$D$2:$D$201,MATCH(B74,Ref_PBC!$A$2:$A$201,0)),"")="Population","Y","N"))</f>
        <v/>
      </c>
      <c r="Q74" s="17"/>
      <c r="R74" s="17"/>
      <c r="S74" s="20" t="str">
        <f aca="false">IF(A74="","",IF(OR(B74="",E74="",G74="",M74=""),"PBC-ID, filename, source system, record count needed",IF(COUNTIF(Ref_PBC!$A$2:$A$201,B74)=0,"PBC-ID not in W08",IF(LEFT(E74,LEN(A74)+1)&lt;&gt;A74&amp;"_","Filename must start with EV-ID_",IF(O74&lt;&gt;"Y","Original must be preserved (Y)",IF(OR(K74="",L74=""),"Period covered needed",IF(OR(K74&gt;C74,L74&lt;D74),"Period does not cover the PBC period",IF(AND(P74="Y",Q74=""),"IPE result needed",IF(AND(P74="Y",Q74&lt;&gt;"Pass"),"HOLD: IPE not Pass - do not sample","OK")))))))))</f>
        <v/>
      </c>
    </row>
    <row r="75" customFormat="false" ht="15" hidden="false" customHeight="false" outlineLevel="0" collapsed="false">
      <c r="A75" s="17"/>
      <c r="B75" s="17"/>
      <c r="C75" s="18" t="str">
        <f aca="false">IFERROR(INDEX(Ref_PBC!$B$2:$B$201,MATCH(B75,Ref_PBC!$A$2:$A$201,0)),"")</f>
        <v/>
      </c>
      <c r="D75" s="18" t="str">
        <f aca="false">IFERROR(INDEX(Ref_PBC!$C$2:$C$201,MATCH(B75,Ref_PBC!$A$2:$A$201,0)),"")</f>
        <v/>
      </c>
      <c r="E75" s="17"/>
      <c r="F75" s="17"/>
      <c r="G75" s="17"/>
      <c r="H75" s="17"/>
      <c r="I75" s="17"/>
      <c r="J75" s="19"/>
      <c r="K75" s="19"/>
      <c r="L75" s="19"/>
      <c r="M75" s="17"/>
      <c r="N75" s="19"/>
      <c r="O75" s="17"/>
      <c r="P75" s="20" t="str">
        <f aca="false">IF(A75="","",IF(IFERROR(INDEX(Ref_PBC!$D$2:$D$201,MATCH(B75,Ref_PBC!$A$2:$A$201,0)),"")="Population","Y","N"))</f>
        <v/>
      </c>
      <c r="Q75" s="17"/>
      <c r="R75" s="17"/>
      <c r="S75" s="20" t="str">
        <f aca="false">IF(A75="","",IF(OR(B75="",E75="",G75="",M75=""),"PBC-ID, filename, source system, record count needed",IF(COUNTIF(Ref_PBC!$A$2:$A$201,B75)=0,"PBC-ID not in W08",IF(LEFT(E75,LEN(A75)+1)&lt;&gt;A75&amp;"_","Filename must start with EV-ID_",IF(O75&lt;&gt;"Y","Original must be preserved (Y)",IF(OR(K75="",L75=""),"Period covered needed",IF(OR(K75&gt;C75,L75&lt;D75),"Period does not cover the PBC period",IF(AND(P75="Y",Q75=""),"IPE result needed",IF(AND(P75="Y",Q75&lt;&gt;"Pass"),"HOLD: IPE not Pass - do not sample","OK")))))))))</f>
        <v/>
      </c>
    </row>
    <row r="76" customFormat="false" ht="15" hidden="false" customHeight="false" outlineLevel="0" collapsed="false">
      <c r="A76" s="17"/>
      <c r="B76" s="17"/>
      <c r="C76" s="18" t="str">
        <f aca="false">IFERROR(INDEX(Ref_PBC!$B$2:$B$201,MATCH(B76,Ref_PBC!$A$2:$A$201,0)),"")</f>
        <v/>
      </c>
      <c r="D76" s="18" t="str">
        <f aca="false">IFERROR(INDEX(Ref_PBC!$C$2:$C$201,MATCH(B76,Ref_PBC!$A$2:$A$201,0)),"")</f>
        <v/>
      </c>
      <c r="E76" s="17"/>
      <c r="F76" s="17"/>
      <c r="G76" s="17"/>
      <c r="H76" s="17"/>
      <c r="I76" s="17"/>
      <c r="J76" s="19"/>
      <c r="K76" s="19"/>
      <c r="L76" s="19"/>
      <c r="M76" s="17"/>
      <c r="N76" s="19"/>
      <c r="O76" s="17"/>
      <c r="P76" s="20" t="str">
        <f aca="false">IF(A76="","",IF(IFERROR(INDEX(Ref_PBC!$D$2:$D$201,MATCH(B76,Ref_PBC!$A$2:$A$201,0)),"")="Population","Y","N"))</f>
        <v/>
      </c>
      <c r="Q76" s="17"/>
      <c r="R76" s="17"/>
      <c r="S76" s="20" t="str">
        <f aca="false">IF(A76="","",IF(OR(B76="",E76="",G76="",M76=""),"PBC-ID, filename, source system, record count needed",IF(COUNTIF(Ref_PBC!$A$2:$A$201,B76)=0,"PBC-ID not in W08",IF(LEFT(E76,LEN(A76)+1)&lt;&gt;A76&amp;"_","Filename must start with EV-ID_",IF(O76&lt;&gt;"Y","Original must be preserved (Y)",IF(OR(K76="",L76=""),"Period covered needed",IF(OR(K76&gt;C76,L76&lt;D76),"Period does not cover the PBC period",IF(AND(P76="Y",Q76=""),"IPE result needed",IF(AND(P76="Y",Q76&lt;&gt;"Pass"),"HOLD: IPE not Pass - do not sample","OK")))))))))</f>
        <v/>
      </c>
    </row>
    <row r="77" customFormat="false" ht="15" hidden="false" customHeight="false" outlineLevel="0" collapsed="false">
      <c r="A77" s="17"/>
      <c r="B77" s="17"/>
      <c r="C77" s="18" t="str">
        <f aca="false">IFERROR(INDEX(Ref_PBC!$B$2:$B$201,MATCH(B77,Ref_PBC!$A$2:$A$201,0)),"")</f>
        <v/>
      </c>
      <c r="D77" s="18" t="str">
        <f aca="false">IFERROR(INDEX(Ref_PBC!$C$2:$C$201,MATCH(B77,Ref_PBC!$A$2:$A$201,0)),"")</f>
        <v/>
      </c>
      <c r="E77" s="17"/>
      <c r="F77" s="17"/>
      <c r="G77" s="17"/>
      <c r="H77" s="17"/>
      <c r="I77" s="17"/>
      <c r="J77" s="19"/>
      <c r="K77" s="19"/>
      <c r="L77" s="19"/>
      <c r="M77" s="17"/>
      <c r="N77" s="19"/>
      <c r="O77" s="17"/>
      <c r="P77" s="20" t="str">
        <f aca="false">IF(A77="","",IF(IFERROR(INDEX(Ref_PBC!$D$2:$D$201,MATCH(B77,Ref_PBC!$A$2:$A$201,0)),"")="Population","Y","N"))</f>
        <v/>
      </c>
      <c r="Q77" s="17"/>
      <c r="R77" s="17"/>
      <c r="S77" s="20" t="str">
        <f aca="false">IF(A77="","",IF(OR(B77="",E77="",G77="",M77=""),"PBC-ID, filename, source system, record count needed",IF(COUNTIF(Ref_PBC!$A$2:$A$201,B77)=0,"PBC-ID not in W08",IF(LEFT(E77,LEN(A77)+1)&lt;&gt;A77&amp;"_","Filename must start with EV-ID_",IF(O77&lt;&gt;"Y","Original must be preserved (Y)",IF(OR(K77="",L77=""),"Period covered needed",IF(OR(K77&gt;C77,L77&lt;D77),"Period does not cover the PBC period",IF(AND(P77="Y",Q77=""),"IPE result needed",IF(AND(P77="Y",Q77&lt;&gt;"Pass"),"HOLD: IPE not Pass - do not sample","OK")))))))))</f>
        <v/>
      </c>
    </row>
    <row r="78" customFormat="false" ht="15" hidden="false" customHeight="false" outlineLevel="0" collapsed="false">
      <c r="A78" s="17"/>
      <c r="B78" s="17"/>
      <c r="C78" s="18" t="str">
        <f aca="false">IFERROR(INDEX(Ref_PBC!$B$2:$B$201,MATCH(B78,Ref_PBC!$A$2:$A$201,0)),"")</f>
        <v/>
      </c>
      <c r="D78" s="18" t="str">
        <f aca="false">IFERROR(INDEX(Ref_PBC!$C$2:$C$201,MATCH(B78,Ref_PBC!$A$2:$A$201,0)),"")</f>
        <v/>
      </c>
      <c r="E78" s="17"/>
      <c r="F78" s="17"/>
      <c r="G78" s="17"/>
      <c r="H78" s="17"/>
      <c r="I78" s="17"/>
      <c r="J78" s="19"/>
      <c r="K78" s="19"/>
      <c r="L78" s="19"/>
      <c r="M78" s="17"/>
      <c r="N78" s="19"/>
      <c r="O78" s="17"/>
      <c r="P78" s="20" t="str">
        <f aca="false">IF(A78="","",IF(IFERROR(INDEX(Ref_PBC!$D$2:$D$201,MATCH(B78,Ref_PBC!$A$2:$A$201,0)),"")="Population","Y","N"))</f>
        <v/>
      </c>
      <c r="Q78" s="17"/>
      <c r="R78" s="17"/>
      <c r="S78" s="20" t="str">
        <f aca="false">IF(A78="","",IF(OR(B78="",E78="",G78="",M78=""),"PBC-ID, filename, source system, record count needed",IF(COUNTIF(Ref_PBC!$A$2:$A$201,B78)=0,"PBC-ID not in W08",IF(LEFT(E78,LEN(A78)+1)&lt;&gt;A78&amp;"_","Filename must start with EV-ID_",IF(O78&lt;&gt;"Y","Original must be preserved (Y)",IF(OR(K78="",L78=""),"Period covered needed",IF(OR(K78&gt;C78,L78&lt;D78),"Period does not cover the PBC period",IF(AND(P78="Y",Q78=""),"IPE result needed",IF(AND(P78="Y",Q78&lt;&gt;"Pass"),"HOLD: IPE not Pass - do not sample","OK")))))))))</f>
        <v/>
      </c>
    </row>
    <row r="79" customFormat="false" ht="15" hidden="false" customHeight="false" outlineLevel="0" collapsed="false">
      <c r="A79" s="17"/>
      <c r="B79" s="17"/>
      <c r="C79" s="18" t="str">
        <f aca="false">IFERROR(INDEX(Ref_PBC!$B$2:$B$201,MATCH(B79,Ref_PBC!$A$2:$A$201,0)),"")</f>
        <v/>
      </c>
      <c r="D79" s="18" t="str">
        <f aca="false">IFERROR(INDEX(Ref_PBC!$C$2:$C$201,MATCH(B79,Ref_PBC!$A$2:$A$201,0)),"")</f>
        <v/>
      </c>
      <c r="E79" s="17"/>
      <c r="F79" s="17"/>
      <c r="G79" s="17"/>
      <c r="H79" s="17"/>
      <c r="I79" s="17"/>
      <c r="J79" s="19"/>
      <c r="K79" s="19"/>
      <c r="L79" s="19"/>
      <c r="M79" s="17"/>
      <c r="N79" s="19"/>
      <c r="O79" s="17"/>
      <c r="P79" s="20" t="str">
        <f aca="false">IF(A79="","",IF(IFERROR(INDEX(Ref_PBC!$D$2:$D$201,MATCH(B79,Ref_PBC!$A$2:$A$201,0)),"")="Population","Y","N"))</f>
        <v/>
      </c>
      <c r="Q79" s="17"/>
      <c r="R79" s="17"/>
      <c r="S79" s="20" t="str">
        <f aca="false">IF(A79="","",IF(OR(B79="",E79="",G79="",M79=""),"PBC-ID, filename, source system, record count needed",IF(COUNTIF(Ref_PBC!$A$2:$A$201,B79)=0,"PBC-ID not in W08",IF(LEFT(E79,LEN(A79)+1)&lt;&gt;A79&amp;"_","Filename must start with EV-ID_",IF(O79&lt;&gt;"Y","Original must be preserved (Y)",IF(OR(K79="",L79=""),"Period covered needed",IF(OR(K79&gt;C79,L79&lt;D79),"Period does not cover the PBC period",IF(AND(P79="Y",Q79=""),"IPE result needed",IF(AND(P79="Y",Q79&lt;&gt;"Pass"),"HOLD: IPE not Pass - do not sample","OK")))))))))</f>
        <v/>
      </c>
    </row>
    <row r="80" customFormat="false" ht="15" hidden="false" customHeight="false" outlineLevel="0" collapsed="false">
      <c r="A80" s="17"/>
      <c r="B80" s="17"/>
      <c r="C80" s="18" t="str">
        <f aca="false">IFERROR(INDEX(Ref_PBC!$B$2:$B$201,MATCH(B80,Ref_PBC!$A$2:$A$201,0)),"")</f>
        <v/>
      </c>
      <c r="D80" s="18" t="str">
        <f aca="false">IFERROR(INDEX(Ref_PBC!$C$2:$C$201,MATCH(B80,Ref_PBC!$A$2:$A$201,0)),"")</f>
        <v/>
      </c>
      <c r="E80" s="17"/>
      <c r="F80" s="17"/>
      <c r="G80" s="17"/>
      <c r="H80" s="17"/>
      <c r="I80" s="17"/>
      <c r="J80" s="19"/>
      <c r="K80" s="19"/>
      <c r="L80" s="19"/>
      <c r="M80" s="17"/>
      <c r="N80" s="19"/>
      <c r="O80" s="17"/>
      <c r="P80" s="20" t="str">
        <f aca="false">IF(A80="","",IF(IFERROR(INDEX(Ref_PBC!$D$2:$D$201,MATCH(B80,Ref_PBC!$A$2:$A$201,0)),"")="Population","Y","N"))</f>
        <v/>
      </c>
      <c r="Q80" s="17"/>
      <c r="R80" s="17"/>
      <c r="S80" s="20" t="str">
        <f aca="false">IF(A80="","",IF(OR(B80="",E80="",G80="",M80=""),"PBC-ID, filename, source system, record count needed",IF(COUNTIF(Ref_PBC!$A$2:$A$201,B80)=0,"PBC-ID not in W08",IF(LEFT(E80,LEN(A80)+1)&lt;&gt;A80&amp;"_","Filename must start with EV-ID_",IF(O80&lt;&gt;"Y","Original must be preserved (Y)",IF(OR(K80="",L80=""),"Period covered needed",IF(OR(K80&gt;C80,L80&lt;D80),"Period does not cover the PBC period",IF(AND(P80="Y",Q80=""),"IPE result needed",IF(AND(P80="Y",Q80&lt;&gt;"Pass"),"HOLD: IPE not Pass - do not sample","OK")))))))))</f>
        <v/>
      </c>
    </row>
    <row r="81" customFormat="false" ht="15" hidden="false" customHeight="false" outlineLevel="0" collapsed="false">
      <c r="A81" s="17"/>
      <c r="B81" s="17"/>
      <c r="C81" s="18" t="str">
        <f aca="false">IFERROR(INDEX(Ref_PBC!$B$2:$B$201,MATCH(B81,Ref_PBC!$A$2:$A$201,0)),"")</f>
        <v/>
      </c>
      <c r="D81" s="18" t="str">
        <f aca="false">IFERROR(INDEX(Ref_PBC!$C$2:$C$201,MATCH(B81,Ref_PBC!$A$2:$A$201,0)),"")</f>
        <v/>
      </c>
      <c r="E81" s="17"/>
      <c r="F81" s="17"/>
      <c r="G81" s="17"/>
      <c r="H81" s="17"/>
      <c r="I81" s="17"/>
      <c r="J81" s="19"/>
      <c r="K81" s="19"/>
      <c r="L81" s="19"/>
      <c r="M81" s="17"/>
      <c r="N81" s="19"/>
      <c r="O81" s="17"/>
      <c r="P81" s="20" t="str">
        <f aca="false">IF(A81="","",IF(IFERROR(INDEX(Ref_PBC!$D$2:$D$201,MATCH(B81,Ref_PBC!$A$2:$A$201,0)),"")="Population","Y","N"))</f>
        <v/>
      </c>
      <c r="Q81" s="17"/>
      <c r="R81" s="17"/>
      <c r="S81" s="20" t="str">
        <f aca="false">IF(A81="","",IF(OR(B81="",E81="",G81="",M81=""),"PBC-ID, filename, source system, record count needed",IF(COUNTIF(Ref_PBC!$A$2:$A$201,B81)=0,"PBC-ID not in W08",IF(LEFT(E81,LEN(A81)+1)&lt;&gt;A81&amp;"_","Filename must start with EV-ID_",IF(O81&lt;&gt;"Y","Original must be preserved (Y)",IF(OR(K81="",L81=""),"Period covered needed",IF(OR(K81&gt;C81,L81&lt;D81),"Period does not cover the PBC period",IF(AND(P81="Y",Q81=""),"IPE result needed",IF(AND(P81="Y",Q81&lt;&gt;"Pass"),"HOLD: IPE not Pass - do not sample","OK")))))))))</f>
        <v/>
      </c>
    </row>
    <row r="82" customFormat="false" ht="15" hidden="false" customHeight="false" outlineLevel="0" collapsed="false">
      <c r="A82" s="17"/>
      <c r="B82" s="17"/>
      <c r="C82" s="18" t="str">
        <f aca="false">IFERROR(INDEX(Ref_PBC!$B$2:$B$201,MATCH(B82,Ref_PBC!$A$2:$A$201,0)),"")</f>
        <v/>
      </c>
      <c r="D82" s="18" t="str">
        <f aca="false">IFERROR(INDEX(Ref_PBC!$C$2:$C$201,MATCH(B82,Ref_PBC!$A$2:$A$201,0)),"")</f>
        <v/>
      </c>
      <c r="E82" s="17"/>
      <c r="F82" s="17"/>
      <c r="G82" s="17"/>
      <c r="H82" s="17"/>
      <c r="I82" s="17"/>
      <c r="J82" s="19"/>
      <c r="K82" s="19"/>
      <c r="L82" s="19"/>
      <c r="M82" s="17"/>
      <c r="N82" s="19"/>
      <c r="O82" s="17"/>
      <c r="P82" s="20" t="str">
        <f aca="false">IF(A82="","",IF(IFERROR(INDEX(Ref_PBC!$D$2:$D$201,MATCH(B82,Ref_PBC!$A$2:$A$201,0)),"")="Population","Y","N"))</f>
        <v/>
      </c>
      <c r="Q82" s="17"/>
      <c r="R82" s="17"/>
      <c r="S82" s="20" t="str">
        <f aca="false">IF(A82="","",IF(OR(B82="",E82="",G82="",M82=""),"PBC-ID, filename, source system, record count needed",IF(COUNTIF(Ref_PBC!$A$2:$A$201,B82)=0,"PBC-ID not in W08",IF(LEFT(E82,LEN(A82)+1)&lt;&gt;A82&amp;"_","Filename must start with EV-ID_",IF(O82&lt;&gt;"Y","Original must be preserved (Y)",IF(OR(K82="",L82=""),"Period covered needed",IF(OR(K82&gt;C82,L82&lt;D82),"Period does not cover the PBC period",IF(AND(P82="Y",Q82=""),"IPE result needed",IF(AND(P82="Y",Q82&lt;&gt;"Pass"),"HOLD: IPE not Pass - do not sample","OK")))))))))</f>
        <v/>
      </c>
    </row>
    <row r="83" customFormat="false" ht="15" hidden="false" customHeight="false" outlineLevel="0" collapsed="false">
      <c r="A83" s="17"/>
      <c r="B83" s="17"/>
      <c r="C83" s="18" t="str">
        <f aca="false">IFERROR(INDEX(Ref_PBC!$B$2:$B$201,MATCH(B83,Ref_PBC!$A$2:$A$201,0)),"")</f>
        <v/>
      </c>
      <c r="D83" s="18" t="str">
        <f aca="false">IFERROR(INDEX(Ref_PBC!$C$2:$C$201,MATCH(B83,Ref_PBC!$A$2:$A$201,0)),"")</f>
        <v/>
      </c>
      <c r="E83" s="17"/>
      <c r="F83" s="17"/>
      <c r="G83" s="17"/>
      <c r="H83" s="17"/>
      <c r="I83" s="17"/>
      <c r="J83" s="19"/>
      <c r="K83" s="19"/>
      <c r="L83" s="19"/>
      <c r="M83" s="17"/>
      <c r="N83" s="19"/>
      <c r="O83" s="17"/>
      <c r="P83" s="20" t="str">
        <f aca="false">IF(A83="","",IF(IFERROR(INDEX(Ref_PBC!$D$2:$D$201,MATCH(B83,Ref_PBC!$A$2:$A$201,0)),"")="Population","Y","N"))</f>
        <v/>
      </c>
      <c r="Q83" s="17"/>
      <c r="R83" s="17"/>
      <c r="S83" s="20" t="str">
        <f aca="false">IF(A83="","",IF(OR(B83="",E83="",G83="",M83=""),"PBC-ID, filename, source system, record count needed",IF(COUNTIF(Ref_PBC!$A$2:$A$201,B83)=0,"PBC-ID not in W08",IF(LEFT(E83,LEN(A83)+1)&lt;&gt;A83&amp;"_","Filename must start with EV-ID_",IF(O83&lt;&gt;"Y","Original must be preserved (Y)",IF(OR(K83="",L83=""),"Period covered needed",IF(OR(K83&gt;C83,L83&lt;D83),"Period does not cover the PBC period",IF(AND(P83="Y",Q83=""),"IPE result needed",IF(AND(P83="Y",Q83&lt;&gt;"Pass"),"HOLD: IPE not Pass - do not sample","OK")))))))))</f>
        <v/>
      </c>
    </row>
    <row r="84" customFormat="false" ht="15" hidden="false" customHeight="false" outlineLevel="0" collapsed="false">
      <c r="A84" s="17"/>
      <c r="B84" s="17"/>
      <c r="C84" s="18" t="str">
        <f aca="false">IFERROR(INDEX(Ref_PBC!$B$2:$B$201,MATCH(B84,Ref_PBC!$A$2:$A$201,0)),"")</f>
        <v/>
      </c>
      <c r="D84" s="18" t="str">
        <f aca="false">IFERROR(INDEX(Ref_PBC!$C$2:$C$201,MATCH(B84,Ref_PBC!$A$2:$A$201,0)),"")</f>
        <v/>
      </c>
      <c r="E84" s="17"/>
      <c r="F84" s="17"/>
      <c r="G84" s="17"/>
      <c r="H84" s="17"/>
      <c r="I84" s="17"/>
      <c r="J84" s="19"/>
      <c r="K84" s="19"/>
      <c r="L84" s="19"/>
      <c r="M84" s="17"/>
      <c r="N84" s="19"/>
      <c r="O84" s="17"/>
      <c r="P84" s="20" t="str">
        <f aca="false">IF(A84="","",IF(IFERROR(INDEX(Ref_PBC!$D$2:$D$201,MATCH(B84,Ref_PBC!$A$2:$A$201,0)),"")="Population","Y","N"))</f>
        <v/>
      </c>
      <c r="Q84" s="17"/>
      <c r="R84" s="17"/>
      <c r="S84" s="20" t="str">
        <f aca="false">IF(A84="","",IF(OR(B84="",E84="",G84="",M84=""),"PBC-ID, filename, source system, record count needed",IF(COUNTIF(Ref_PBC!$A$2:$A$201,B84)=0,"PBC-ID not in W08",IF(LEFT(E84,LEN(A84)+1)&lt;&gt;A84&amp;"_","Filename must start with EV-ID_",IF(O84&lt;&gt;"Y","Original must be preserved (Y)",IF(OR(K84="",L84=""),"Period covered needed",IF(OR(K84&gt;C84,L84&lt;D84),"Period does not cover the PBC period",IF(AND(P84="Y",Q84=""),"IPE result needed",IF(AND(P84="Y",Q84&lt;&gt;"Pass"),"HOLD: IPE not Pass - do not sample","OK")))))))))</f>
        <v/>
      </c>
    </row>
    <row r="85" customFormat="false" ht="15" hidden="false" customHeight="false" outlineLevel="0" collapsed="false">
      <c r="A85" s="17"/>
      <c r="B85" s="17"/>
      <c r="C85" s="18" t="str">
        <f aca="false">IFERROR(INDEX(Ref_PBC!$B$2:$B$201,MATCH(B85,Ref_PBC!$A$2:$A$201,0)),"")</f>
        <v/>
      </c>
      <c r="D85" s="18" t="str">
        <f aca="false">IFERROR(INDEX(Ref_PBC!$C$2:$C$201,MATCH(B85,Ref_PBC!$A$2:$A$201,0)),"")</f>
        <v/>
      </c>
      <c r="E85" s="17"/>
      <c r="F85" s="17"/>
      <c r="G85" s="17"/>
      <c r="H85" s="17"/>
      <c r="I85" s="17"/>
      <c r="J85" s="19"/>
      <c r="K85" s="19"/>
      <c r="L85" s="19"/>
      <c r="M85" s="17"/>
      <c r="N85" s="19"/>
      <c r="O85" s="17"/>
      <c r="P85" s="20" t="str">
        <f aca="false">IF(A85="","",IF(IFERROR(INDEX(Ref_PBC!$D$2:$D$201,MATCH(B85,Ref_PBC!$A$2:$A$201,0)),"")="Population","Y","N"))</f>
        <v/>
      </c>
      <c r="Q85" s="17"/>
      <c r="R85" s="17"/>
      <c r="S85" s="20" t="str">
        <f aca="false">IF(A85="","",IF(OR(B85="",E85="",G85="",M85=""),"PBC-ID, filename, source system, record count needed",IF(COUNTIF(Ref_PBC!$A$2:$A$201,B85)=0,"PBC-ID not in W08",IF(LEFT(E85,LEN(A85)+1)&lt;&gt;A85&amp;"_","Filename must start with EV-ID_",IF(O85&lt;&gt;"Y","Original must be preserved (Y)",IF(OR(K85="",L85=""),"Period covered needed",IF(OR(K85&gt;C85,L85&lt;D85),"Period does not cover the PBC period",IF(AND(P85="Y",Q85=""),"IPE result needed",IF(AND(P85="Y",Q85&lt;&gt;"Pass"),"HOLD: IPE not Pass - do not sample","OK")))))))))</f>
        <v/>
      </c>
    </row>
    <row r="86" customFormat="false" ht="15" hidden="false" customHeight="false" outlineLevel="0" collapsed="false">
      <c r="A86" s="17"/>
      <c r="B86" s="17"/>
      <c r="C86" s="18" t="str">
        <f aca="false">IFERROR(INDEX(Ref_PBC!$B$2:$B$201,MATCH(B86,Ref_PBC!$A$2:$A$201,0)),"")</f>
        <v/>
      </c>
      <c r="D86" s="18" t="str">
        <f aca="false">IFERROR(INDEX(Ref_PBC!$C$2:$C$201,MATCH(B86,Ref_PBC!$A$2:$A$201,0)),"")</f>
        <v/>
      </c>
      <c r="E86" s="17"/>
      <c r="F86" s="17"/>
      <c r="G86" s="17"/>
      <c r="H86" s="17"/>
      <c r="I86" s="17"/>
      <c r="J86" s="19"/>
      <c r="K86" s="19"/>
      <c r="L86" s="19"/>
      <c r="M86" s="17"/>
      <c r="N86" s="19"/>
      <c r="O86" s="17"/>
      <c r="P86" s="20" t="str">
        <f aca="false">IF(A86="","",IF(IFERROR(INDEX(Ref_PBC!$D$2:$D$201,MATCH(B86,Ref_PBC!$A$2:$A$201,0)),"")="Population","Y","N"))</f>
        <v/>
      </c>
      <c r="Q86" s="17"/>
      <c r="R86" s="17"/>
      <c r="S86" s="20" t="str">
        <f aca="false">IF(A86="","",IF(OR(B86="",E86="",G86="",M86=""),"PBC-ID, filename, source system, record count needed",IF(COUNTIF(Ref_PBC!$A$2:$A$201,B86)=0,"PBC-ID not in W08",IF(LEFT(E86,LEN(A86)+1)&lt;&gt;A86&amp;"_","Filename must start with EV-ID_",IF(O86&lt;&gt;"Y","Original must be preserved (Y)",IF(OR(K86="",L86=""),"Period covered needed",IF(OR(K86&gt;C86,L86&lt;D86),"Period does not cover the PBC period",IF(AND(P86="Y",Q86=""),"IPE result needed",IF(AND(P86="Y",Q86&lt;&gt;"Pass"),"HOLD: IPE not Pass - do not sample","OK")))))))))</f>
        <v/>
      </c>
    </row>
    <row r="87" customFormat="false" ht="15" hidden="false" customHeight="false" outlineLevel="0" collapsed="false">
      <c r="A87" s="17"/>
      <c r="B87" s="17"/>
      <c r="C87" s="18" t="str">
        <f aca="false">IFERROR(INDEX(Ref_PBC!$B$2:$B$201,MATCH(B87,Ref_PBC!$A$2:$A$201,0)),"")</f>
        <v/>
      </c>
      <c r="D87" s="18" t="str">
        <f aca="false">IFERROR(INDEX(Ref_PBC!$C$2:$C$201,MATCH(B87,Ref_PBC!$A$2:$A$201,0)),"")</f>
        <v/>
      </c>
      <c r="E87" s="17"/>
      <c r="F87" s="17"/>
      <c r="G87" s="17"/>
      <c r="H87" s="17"/>
      <c r="I87" s="17"/>
      <c r="J87" s="19"/>
      <c r="K87" s="19"/>
      <c r="L87" s="19"/>
      <c r="M87" s="17"/>
      <c r="N87" s="19"/>
      <c r="O87" s="17"/>
      <c r="P87" s="20" t="str">
        <f aca="false">IF(A87="","",IF(IFERROR(INDEX(Ref_PBC!$D$2:$D$201,MATCH(B87,Ref_PBC!$A$2:$A$201,0)),"")="Population","Y","N"))</f>
        <v/>
      </c>
      <c r="Q87" s="17"/>
      <c r="R87" s="17"/>
      <c r="S87" s="20" t="str">
        <f aca="false">IF(A87="","",IF(OR(B87="",E87="",G87="",M87=""),"PBC-ID, filename, source system, record count needed",IF(COUNTIF(Ref_PBC!$A$2:$A$201,B87)=0,"PBC-ID not in W08",IF(LEFT(E87,LEN(A87)+1)&lt;&gt;A87&amp;"_","Filename must start with EV-ID_",IF(O87&lt;&gt;"Y","Original must be preserved (Y)",IF(OR(K87="",L87=""),"Period covered needed",IF(OR(K87&gt;C87,L87&lt;D87),"Period does not cover the PBC period",IF(AND(P87="Y",Q87=""),"IPE result needed",IF(AND(P87="Y",Q87&lt;&gt;"Pass"),"HOLD: IPE not Pass - do not sample","OK")))))))))</f>
        <v/>
      </c>
    </row>
    <row r="88" customFormat="false" ht="15" hidden="false" customHeight="false" outlineLevel="0" collapsed="false">
      <c r="A88" s="17"/>
      <c r="B88" s="17"/>
      <c r="C88" s="18" t="str">
        <f aca="false">IFERROR(INDEX(Ref_PBC!$B$2:$B$201,MATCH(B88,Ref_PBC!$A$2:$A$201,0)),"")</f>
        <v/>
      </c>
      <c r="D88" s="18" t="str">
        <f aca="false">IFERROR(INDEX(Ref_PBC!$C$2:$C$201,MATCH(B88,Ref_PBC!$A$2:$A$201,0)),"")</f>
        <v/>
      </c>
      <c r="E88" s="17"/>
      <c r="F88" s="17"/>
      <c r="G88" s="17"/>
      <c r="H88" s="17"/>
      <c r="I88" s="17"/>
      <c r="J88" s="19"/>
      <c r="K88" s="19"/>
      <c r="L88" s="19"/>
      <c r="M88" s="17"/>
      <c r="N88" s="19"/>
      <c r="O88" s="17"/>
      <c r="P88" s="20" t="str">
        <f aca="false">IF(A88="","",IF(IFERROR(INDEX(Ref_PBC!$D$2:$D$201,MATCH(B88,Ref_PBC!$A$2:$A$201,0)),"")="Population","Y","N"))</f>
        <v/>
      </c>
      <c r="Q88" s="17"/>
      <c r="R88" s="17"/>
      <c r="S88" s="20" t="str">
        <f aca="false">IF(A88="","",IF(OR(B88="",E88="",G88="",M88=""),"PBC-ID, filename, source system, record count needed",IF(COUNTIF(Ref_PBC!$A$2:$A$201,B88)=0,"PBC-ID not in W08",IF(LEFT(E88,LEN(A88)+1)&lt;&gt;A88&amp;"_","Filename must start with EV-ID_",IF(O88&lt;&gt;"Y","Original must be preserved (Y)",IF(OR(K88="",L88=""),"Period covered needed",IF(OR(K88&gt;C88,L88&lt;D88),"Period does not cover the PBC period",IF(AND(P88="Y",Q88=""),"IPE result needed",IF(AND(P88="Y",Q88&lt;&gt;"Pass"),"HOLD: IPE not Pass - do not sample","OK")))))))))</f>
        <v/>
      </c>
    </row>
    <row r="89" customFormat="false" ht="15" hidden="false" customHeight="false" outlineLevel="0" collapsed="false">
      <c r="A89" s="17"/>
      <c r="B89" s="17"/>
      <c r="C89" s="18" t="str">
        <f aca="false">IFERROR(INDEX(Ref_PBC!$B$2:$B$201,MATCH(B89,Ref_PBC!$A$2:$A$201,0)),"")</f>
        <v/>
      </c>
      <c r="D89" s="18" t="str">
        <f aca="false">IFERROR(INDEX(Ref_PBC!$C$2:$C$201,MATCH(B89,Ref_PBC!$A$2:$A$201,0)),"")</f>
        <v/>
      </c>
      <c r="E89" s="17"/>
      <c r="F89" s="17"/>
      <c r="G89" s="17"/>
      <c r="H89" s="17"/>
      <c r="I89" s="17"/>
      <c r="J89" s="19"/>
      <c r="K89" s="19"/>
      <c r="L89" s="19"/>
      <c r="M89" s="17"/>
      <c r="N89" s="19"/>
      <c r="O89" s="17"/>
      <c r="P89" s="20" t="str">
        <f aca="false">IF(A89="","",IF(IFERROR(INDEX(Ref_PBC!$D$2:$D$201,MATCH(B89,Ref_PBC!$A$2:$A$201,0)),"")="Population","Y","N"))</f>
        <v/>
      </c>
      <c r="Q89" s="17"/>
      <c r="R89" s="17"/>
      <c r="S89" s="20" t="str">
        <f aca="false">IF(A89="","",IF(OR(B89="",E89="",G89="",M89=""),"PBC-ID, filename, source system, record count needed",IF(COUNTIF(Ref_PBC!$A$2:$A$201,B89)=0,"PBC-ID not in W08",IF(LEFT(E89,LEN(A89)+1)&lt;&gt;A89&amp;"_","Filename must start with EV-ID_",IF(O89&lt;&gt;"Y","Original must be preserved (Y)",IF(OR(K89="",L89=""),"Period covered needed",IF(OR(K89&gt;C89,L89&lt;D89),"Period does not cover the PBC period",IF(AND(P89="Y",Q89=""),"IPE result needed",IF(AND(P89="Y",Q89&lt;&gt;"Pass"),"HOLD: IPE not Pass - do not sample","OK")))))))))</f>
        <v/>
      </c>
    </row>
    <row r="90" customFormat="false" ht="15" hidden="false" customHeight="false" outlineLevel="0" collapsed="false">
      <c r="A90" s="17"/>
      <c r="B90" s="17"/>
      <c r="C90" s="18" t="str">
        <f aca="false">IFERROR(INDEX(Ref_PBC!$B$2:$B$201,MATCH(B90,Ref_PBC!$A$2:$A$201,0)),"")</f>
        <v/>
      </c>
      <c r="D90" s="18" t="str">
        <f aca="false">IFERROR(INDEX(Ref_PBC!$C$2:$C$201,MATCH(B90,Ref_PBC!$A$2:$A$201,0)),"")</f>
        <v/>
      </c>
      <c r="E90" s="17"/>
      <c r="F90" s="17"/>
      <c r="G90" s="17"/>
      <c r="H90" s="17"/>
      <c r="I90" s="17"/>
      <c r="J90" s="19"/>
      <c r="K90" s="19"/>
      <c r="L90" s="19"/>
      <c r="M90" s="17"/>
      <c r="N90" s="19"/>
      <c r="O90" s="17"/>
      <c r="P90" s="20" t="str">
        <f aca="false">IF(A90="","",IF(IFERROR(INDEX(Ref_PBC!$D$2:$D$201,MATCH(B90,Ref_PBC!$A$2:$A$201,0)),"")="Population","Y","N"))</f>
        <v/>
      </c>
      <c r="Q90" s="17"/>
      <c r="R90" s="17"/>
      <c r="S90" s="20" t="str">
        <f aca="false">IF(A90="","",IF(OR(B90="",E90="",G90="",M90=""),"PBC-ID, filename, source system, record count needed",IF(COUNTIF(Ref_PBC!$A$2:$A$201,B90)=0,"PBC-ID not in W08",IF(LEFT(E90,LEN(A90)+1)&lt;&gt;A90&amp;"_","Filename must start with EV-ID_",IF(O90&lt;&gt;"Y","Original must be preserved (Y)",IF(OR(K90="",L90=""),"Period covered needed",IF(OR(K90&gt;C90,L90&lt;D90),"Period does not cover the PBC period",IF(AND(P90="Y",Q90=""),"IPE result needed",IF(AND(P90="Y",Q90&lt;&gt;"Pass"),"HOLD: IPE not Pass - do not sample","OK")))))))))</f>
        <v/>
      </c>
    </row>
    <row r="91" customFormat="false" ht="15" hidden="false" customHeight="false" outlineLevel="0" collapsed="false">
      <c r="A91" s="17"/>
      <c r="B91" s="17"/>
      <c r="C91" s="18" t="str">
        <f aca="false">IFERROR(INDEX(Ref_PBC!$B$2:$B$201,MATCH(B91,Ref_PBC!$A$2:$A$201,0)),"")</f>
        <v/>
      </c>
      <c r="D91" s="18" t="str">
        <f aca="false">IFERROR(INDEX(Ref_PBC!$C$2:$C$201,MATCH(B91,Ref_PBC!$A$2:$A$201,0)),"")</f>
        <v/>
      </c>
      <c r="E91" s="17"/>
      <c r="F91" s="17"/>
      <c r="G91" s="17"/>
      <c r="H91" s="17"/>
      <c r="I91" s="17"/>
      <c r="J91" s="19"/>
      <c r="K91" s="19"/>
      <c r="L91" s="19"/>
      <c r="M91" s="17"/>
      <c r="N91" s="19"/>
      <c r="O91" s="17"/>
      <c r="P91" s="20" t="str">
        <f aca="false">IF(A91="","",IF(IFERROR(INDEX(Ref_PBC!$D$2:$D$201,MATCH(B91,Ref_PBC!$A$2:$A$201,0)),"")="Population","Y","N"))</f>
        <v/>
      </c>
      <c r="Q91" s="17"/>
      <c r="R91" s="17"/>
      <c r="S91" s="20" t="str">
        <f aca="false">IF(A91="","",IF(OR(B91="",E91="",G91="",M91=""),"PBC-ID, filename, source system, record count needed",IF(COUNTIF(Ref_PBC!$A$2:$A$201,B91)=0,"PBC-ID not in W08",IF(LEFT(E91,LEN(A91)+1)&lt;&gt;A91&amp;"_","Filename must start with EV-ID_",IF(O91&lt;&gt;"Y","Original must be preserved (Y)",IF(OR(K91="",L91=""),"Period covered needed",IF(OR(K91&gt;C91,L91&lt;D91),"Period does not cover the PBC period",IF(AND(P91="Y",Q91=""),"IPE result needed",IF(AND(P91="Y",Q91&lt;&gt;"Pass"),"HOLD: IPE not Pass - do not sample","OK")))))))))</f>
        <v/>
      </c>
    </row>
    <row r="92" customFormat="false" ht="15" hidden="false" customHeight="false" outlineLevel="0" collapsed="false">
      <c r="A92" s="17"/>
      <c r="B92" s="17"/>
      <c r="C92" s="18" t="str">
        <f aca="false">IFERROR(INDEX(Ref_PBC!$B$2:$B$201,MATCH(B92,Ref_PBC!$A$2:$A$201,0)),"")</f>
        <v/>
      </c>
      <c r="D92" s="18" t="str">
        <f aca="false">IFERROR(INDEX(Ref_PBC!$C$2:$C$201,MATCH(B92,Ref_PBC!$A$2:$A$201,0)),"")</f>
        <v/>
      </c>
      <c r="E92" s="17"/>
      <c r="F92" s="17"/>
      <c r="G92" s="17"/>
      <c r="H92" s="17"/>
      <c r="I92" s="17"/>
      <c r="J92" s="19"/>
      <c r="K92" s="19"/>
      <c r="L92" s="19"/>
      <c r="M92" s="17"/>
      <c r="N92" s="19"/>
      <c r="O92" s="17"/>
      <c r="P92" s="20" t="str">
        <f aca="false">IF(A92="","",IF(IFERROR(INDEX(Ref_PBC!$D$2:$D$201,MATCH(B92,Ref_PBC!$A$2:$A$201,0)),"")="Population","Y","N"))</f>
        <v/>
      </c>
      <c r="Q92" s="17"/>
      <c r="R92" s="17"/>
      <c r="S92" s="20" t="str">
        <f aca="false">IF(A92="","",IF(OR(B92="",E92="",G92="",M92=""),"PBC-ID, filename, source system, record count needed",IF(COUNTIF(Ref_PBC!$A$2:$A$201,B92)=0,"PBC-ID not in W08",IF(LEFT(E92,LEN(A92)+1)&lt;&gt;A92&amp;"_","Filename must start with EV-ID_",IF(O92&lt;&gt;"Y","Original must be preserved (Y)",IF(OR(K92="",L92=""),"Period covered needed",IF(OR(K92&gt;C92,L92&lt;D92),"Period does not cover the PBC period",IF(AND(P92="Y",Q92=""),"IPE result needed",IF(AND(P92="Y",Q92&lt;&gt;"Pass"),"HOLD: IPE not Pass - do not sample","OK")))))))))</f>
        <v/>
      </c>
    </row>
    <row r="93" customFormat="false" ht="15" hidden="false" customHeight="false" outlineLevel="0" collapsed="false">
      <c r="A93" s="17"/>
      <c r="B93" s="17"/>
      <c r="C93" s="18" t="str">
        <f aca="false">IFERROR(INDEX(Ref_PBC!$B$2:$B$201,MATCH(B93,Ref_PBC!$A$2:$A$201,0)),"")</f>
        <v/>
      </c>
      <c r="D93" s="18" t="str">
        <f aca="false">IFERROR(INDEX(Ref_PBC!$C$2:$C$201,MATCH(B93,Ref_PBC!$A$2:$A$201,0)),"")</f>
        <v/>
      </c>
      <c r="E93" s="17"/>
      <c r="F93" s="17"/>
      <c r="G93" s="17"/>
      <c r="H93" s="17"/>
      <c r="I93" s="17"/>
      <c r="J93" s="19"/>
      <c r="K93" s="19"/>
      <c r="L93" s="19"/>
      <c r="M93" s="17"/>
      <c r="N93" s="19"/>
      <c r="O93" s="17"/>
      <c r="P93" s="20" t="str">
        <f aca="false">IF(A93="","",IF(IFERROR(INDEX(Ref_PBC!$D$2:$D$201,MATCH(B93,Ref_PBC!$A$2:$A$201,0)),"")="Population","Y","N"))</f>
        <v/>
      </c>
      <c r="Q93" s="17"/>
      <c r="R93" s="17"/>
      <c r="S93" s="20" t="str">
        <f aca="false">IF(A93="","",IF(OR(B93="",E93="",G93="",M93=""),"PBC-ID, filename, source system, record count needed",IF(COUNTIF(Ref_PBC!$A$2:$A$201,B93)=0,"PBC-ID not in W08",IF(LEFT(E93,LEN(A93)+1)&lt;&gt;A93&amp;"_","Filename must start with EV-ID_",IF(O93&lt;&gt;"Y","Original must be preserved (Y)",IF(OR(K93="",L93=""),"Period covered needed",IF(OR(K93&gt;C93,L93&lt;D93),"Period does not cover the PBC period",IF(AND(P93="Y",Q93=""),"IPE result needed",IF(AND(P93="Y",Q93&lt;&gt;"Pass"),"HOLD: IPE not Pass - do not sample","OK")))))))))</f>
        <v/>
      </c>
    </row>
    <row r="94" customFormat="false" ht="15" hidden="false" customHeight="false" outlineLevel="0" collapsed="false">
      <c r="A94" s="17"/>
      <c r="B94" s="17"/>
      <c r="C94" s="18" t="str">
        <f aca="false">IFERROR(INDEX(Ref_PBC!$B$2:$B$201,MATCH(B94,Ref_PBC!$A$2:$A$201,0)),"")</f>
        <v/>
      </c>
      <c r="D94" s="18" t="str">
        <f aca="false">IFERROR(INDEX(Ref_PBC!$C$2:$C$201,MATCH(B94,Ref_PBC!$A$2:$A$201,0)),"")</f>
        <v/>
      </c>
      <c r="E94" s="17"/>
      <c r="F94" s="17"/>
      <c r="G94" s="17"/>
      <c r="H94" s="17"/>
      <c r="I94" s="17"/>
      <c r="J94" s="19"/>
      <c r="K94" s="19"/>
      <c r="L94" s="19"/>
      <c r="M94" s="17"/>
      <c r="N94" s="19"/>
      <c r="O94" s="17"/>
      <c r="P94" s="20" t="str">
        <f aca="false">IF(A94="","",IF(IFERROR(INDEX(Ref_PBC!$D$2:$D$201,MATCH(B94,Ref_PBC!$A$2:$A$201,0)),"")="Population","Y","N"))</f>
        <v/>
      </c>
      <c r="Q94" s="17"/>
      <c r="R94" s="17"/>
      <c r="S94" s="20" t="str">
        <f aca="false">IF(A94="","",IF(OR(B94="",E94="",G94="",M94=""),"PBC-ID, filename, source system, record count needed",IF(COUNTIF(Ref_PBC!$A$2:$A$201,B94)=0,"PBC-ID not in W08",IF(LEFT(E94,LEN(A94)+1)&lt;&gt;A94&amp;"_","Filename must start with EV-ID_",IF(O94&lt;&gt;"Y","Original must be preserved (Y)",IF(OR(K94="",L94=""),"Period covered needed",IF(OR(K94&gt;C94,L94&lt;D94),"Period does not cover the PBC period",IF(AND(P94="Y",Q94=""),"IPE result needed",IF(AND(P94="Y",Q94&lt;&gt;"Pass"),"HOLD: IPE not Pass - do not sample","OK")))))))))</f>
        <v/>
      </c>
    </row>
    <row r="95" customFormat="false" ht="15" hidden="false" customHeight="false" outlineLevel="0" collapsed="false">
      <c r="A95" s="17"/>
      <c r="B95" s="17"/>
      <c r="C95" s="18" t="str">
        <f aca="false">IFERROR(INDEX(Ref_PBC!$B$2:$B$201,MATCH(B95,Ref_PBC!$A$2:$A$201,0)),"")</f>
        <v/>
      </c>
      <c r="D95" s="18" t="str">
        <f aca="false">IFERROR(INDEX(Ref_PBC!$C$2:$C$201,MATCH(B95,Ref_PBC!$A$2:$A$201,0)),"")</f>
        <v/>
      </c>
      <c r="E95" s="17"/>
      <c r="F95" s="17"/>
      <c r="G95" s="17"/>
      <c r="H95" s="17"/>
      <c r="I95" s="17"/>
      <c r="J95" s="19"/>
      <c r="K95" s="19"/>
      <c r="L95" s="19"/>
      <c r="M95" s="17"/>
      <c r="N95" s="19"/>
      <c r="O95" s="17"/>
      <c r="P95" s="20" t="str">
        <f aca="false">IF(A95="","",IF(IFERROR(INDEX(Ref_PBC!$D$2:$D$201,MATCH(B95,Ref_PBC!$A$2:$A$201,0)),"")="Population","Y","N"))</f>
        <v/>
      </c>
      <c r="Q95" s="17"/>
      <c r="R95" s="17"/>
      <c r="S95" s="20" t="str">
        <f aca="false">IF(A95="","",IF(OR(B95="",E95="",G95="",M95=""),"PBC-ID, filename, source system, record count needed",IF(COUNTIF(Ref_PBC!$A$2:$A$201,B95)=0,"PBC-ID not in W08",IF(LEFT(E95,LEN(A95)+1)&lt;&gt;A95&amp;"_","Filename must start with EV-ID_",IF(O95&lt;&gt;"Y","Original must be preserved (Y)",IF(OR(K95="",L95=""),"Period covered needed",IF(OR(K95&gt;C95,L95&lt;D95),"Period does not cover the PBC period",IF(AND(P95="Y",Q95=""),"IPE result needed",IF(AND(P95="Y",Q95&lt;&gt;"Pass"),"HOLD: IPE not Pass - do not sample","OK")))))))))</f>
        <v/>
      </c>
    </row>
    <row r="96" customFormat="false" ht="15" hidden="false" customHeight="false" outlineLevel="0" collapsed="false">
      <c r="A96" s="17"/>
      <c r="B96" s="17"/>
      <c r="C96" s="18" t="str">
        <f aca="false">IFERROR(INDEX(Ref_PBC!$B$2:$B$201,MATCH(B96,Ref_PBC!$A$2:$A$201,0)),"")</f>
        <v/>
      </c>
      <c r="D96" s="18" t="str">
        <f aca="false">IFERROR(INDEX(Ref_PBC!$C$2:$C$201,MATCH(B96,Ref_PBC!$A$2:$A$201,0)),"")</f>
        <v/>
      </c>
      <c r="E96" s="17"/>
      <c r="F96" s="17"/>
      <c r="G96" s="17"/>
      <c r="H96" s="17"/>
      <c r="I96" s="17"/>
      <c r="J96" s="19"/>
      <c r="K96" s="19"/>
      <c r="L96" s="19"/>
      <c r="M96" s="17"/>
      <c r="N96" s="19"/>
      <c r="O96" s="17"/>
      <c r="P96" s="20" t="str">
        <f aca="false">IF(A96="","",IF(IFERROR(INDEX(Ref_PBC!$D$2:$D$201,MATCH(B96,Ref_PBC!$A$2:$A$201,0)),"")="Population","Y","N"))</f>
        <v/>
      </c>
      <c r="Q96" s="17"/>
      <c r="R96" s="17"/>
      <c r="S96" s="20" t="str">
        <f aca="false">IF(A96="","",IF(OR(B96="",E96="",G96="",M96=""),"PBC-ID, filename, source system, record count needed",IF(COUNTIF(Ref_PBC!$A$2:$A$201,B96)=0,"PBC-ID not in W08",IF(LEFT(E96,LEN(A96)+1)&lt;&gt;A96&amp;"_","Filename must start with EV-ID_",IF(O96&lt;&gt;"Y","Original must be preserved (Y)",IF(OR(K96="",L96=""),"Period covered needed",IF(OR(K96&gt;C96,L96&lt;D96),"Period does not cover the PBC period",IF(AND(P96="Y",Q96=""),"IPE result needed",IF(AND(P96="Y",Q96&lt;&gt;"Pass"),"HOLD: IPE not Pass - do not sample","OK")))))))))</f>
        <v/>
      </c>
    </row>
    <row r="97" customFormat="false" ht="15" hidden="false" customHeight="false" outlineLevel="0" collapsed="false">
      <c r="A97" s="17"/>
      <c r="B97" s="17"/>
      <c r="C97" s="18" t="str">
        <f aca="false">IFERROR(INDEX(Ref_PBC!$B$2:$B$201,MATCH(B97,Ref_PBC!$A$2:$A$201,0)),"")</f>
        <v/>
      </c>
      <c r="D97" s="18" t="str">
        <f aca="false">IFERROR(INDEX(Ref_PBC!$C$2:$C$201,MATCH(B97,Ref_PBC!$A$2:$A$201,0)),"")</f>
        <v/>
      </c>
      <c r="E97" s="17"/>
      <c r="F97" s="17"/>
      <c r="G97" s="17"/>
      <c r="H97" s="17"/>
      <c r="I97" s="17"/>
      <c r="J97" s="19"/>
      <c r="K97" s="19"/>
      <c r="L97" s="19"/>
      <c r="M97" s="17"/>
      <c r="N97" s="19"/>
      <c r="O97" s="17"/>
      <c r="P97" s="20" t="str">
        <f aca="false">IF(A97="","",IF(IFERROR(INDEX(Ref_PBC!$D$2:$D$201,MATCH(B97,Ref_PBC!$A$2:$A$201,0)),"")="Population","Y","N"))</f>
        <v/>
      </c>
      <c r="Q97" s="17"/>
      <c r="R97" s="17"/>
      <c r="S97" s="20" t="str">
        <f aca="false">IF(A97="","",IF(OR(B97="",E97="",G97="",M97=""),"PBC-ID, filename, source system, record count needed",IF(COUNTIF(Ref_PBC!$A$2:$A$201,B97)=0,"PBC-ID not in W08",IF(LEFT(E97,LEN(A97)+1)&lt;&gt;A97&amp;"_","Filename must start with EV-ID_",IF(O97&lt;&gt;"Y","Original must be preserved (Y)",IF(OR(K97="",L97=""),"Period covered needed",IF(OR(K97&gt;C97,L97&lt;D97),"Period does not cover the PBC period",IF(AND(P97="Y",Q97=""),"IPE result needed",IF(AND(P97="Y",Q97&lt;&gt;"Pass"),"HOLD: IPE not Pass - do not sample","OK")))))))))</f>
        <v/>
      </c>
    </row>
    <row r="98" customFormat="false" ht="15" hidden="false" customHeight="false" outlineLevel="0" collapsed="false">
      <c r="A98" s="17"/>
      <c r="B98" s="17"/>
      <c r="C98" s="18" t="str">
        <f aca="false">IFERROR(INDEX(Ref_PBC!$B$2:$B$201,MATCH(B98,Ref_PBC!$A$2:$A$201,0)),"")</f>
        <v/>
      </c>
      <c r="D98" s="18" t="str">
        <f aca="false">IFERROR(INDEX(Ref_PBC!$C$2:$C$201,MATCH(B98,Ref_PBC!$A$2:$A$201,0)),"")</f>
        <v/>
      </c>
      <c r="E98" s="17"/>
      <c r="F98" s="17"/>
      <c r="G98" s="17"/>
      <c r="H98" s="17"/>
      <c r="I98" s="17"/>
      <c r="J98" s="19"/>
      <c r="K98" s="19"/>
      <c r="L98" s="19"/>
      <c r="M98" s="17"/>
      <c r="N98" s="19"/>
      <c r="O98" s="17"/>
      <c r="P98" s="20" t="str">
        <f aca="false">IF(A98="","",IF(IFERROR(INDEX(Ref_PBC!$D$2:$D$201,MATCH(B98,Ref_PBC!$A$2:$A$201,0)),"")="Population","Y","N"))</f>
        <v/>
      </c>
      <c r="Q98" s="17"/>
      <c r="R98" s="17"/>
      <c r="S98" s="20" t="str">
        <f aca="false">IF(A98="","",IF(OR(B98="",E98="",G98="",M98=""),"PBC-ID, filename, source system, record count needed",IF(COUNTIF(Ref_PBC!$A$2:$A$201,B98)=0,"PBC-ID not in W08",IF(LEFT(E98,LEN(A98)+1)&lt;&gt;A98&amp;"_","Filename must start with EV-ID_",IF(O98&lt;&gt;"Y","Original must be preserved (Y)",IF(OR(K98="",L98=""),"Period covered needed",IF(OR(K98&gt;C98,L98&lt;D98),"Period does not cover the PBC period",IF(AND(P98="Y",Q98=""),"IPE result needed",IF(AND(P98="Y",Q98&lt;&gt;"Pass"),"HOLD: IPE not Pass - do not sample","OK")))))))))</f>
        <v/>
      </c>
    </row>
    <row r="99" customFormat="false" ht="15" hidden="false" customHeight="false" outlineLevel="0" collapsed="false">
      <c r="A99" s="17"/>
      <c r="B99" s="17"/>
      <c r="C99" s="18" t="str">
        <f aca="false">IFERROR(INDEX(Ref_PBC!$B$2:$B$201,MATCH(B99,Ref_PBC!$A$2:$A$201,0)),"")</f>
        <v/>
      </c>
      <c r="D99" s="18" t="str">
        <f aca="false">IFERROR(INDEX(Ref_PBC!$C$2:$C$201,MATCH(B99,Ref_PBC!$A$2:$A$201,0)),"")</f>
        <v/>
      </c>
      <c r="E99" s="17"/>
      <c r="F99" s="17"/>
      <c r="G99" s="17"/>
      <c r="H99" s="17"/>
      <c r="I99" s="17"/>
      <c r="J99" s="19"/>
      <c r="K99" s="19"/>
      <c r="L99" s="19"/>
      <c r="M99" s="17"/>
      <c r="N99" s="19"/>
      <c r="O99" s="17"/>
      <c r="P99" s="20" t="str">
        <f aca="false">IF(A99="","",IF(IFERROR(INDEX(Ref_PBC!$D$2:$D$201,MATCH(B99,Ref_PBC!$A$2:$A$201,0)),"")="Population","Y","N"))</f>
        <v/>
      </c>
      <c r="Q99" s="17"/>
      <c r="R99" s="17"/>
      <c r="S99" s="20" t="str">
        <f aca="false">IF(A99="","",IF(OR(B99="",E99="",G99="",M99=""),"PBC-ID, filename, source system, record count needed",IF(COUNTIF(Ref_PBC!$A$2:$A$201,B99)=0,"PBC-ID not in W08",IF(LEFT(E99,LEN(A99)+1)&lt;&gt;A99&amp;"_","Filename must start with EV-ID_",IF(O99&lt;&gt;"Y","Original must be preserved (Y)",IF(OR(K99="",L99=""),"Period covered needed",IF(OR(K99&gt;C99,L99&lt;D99),"Period does not cover the PBC period",IF(AND(P99="Y",Q99=""),"IPE result needed",IF(AND(P99="Y",Q99&lt;&gt;"Pass"),"HOLD: IPE not Pass - do not sample","OK")))))))))</f>
        <v/>
      </c>
    </row>
    <row r="100" customFormat="false" ht="15" hidden="false" customHeight="false" outlineLevel="0" collapsed="false">
      <c r="A100" s="17"/>
      <c r="B100" s="17"/>
      <c r="C100" s="18" t="str">
        <f aca="false">IFERROR(INDEX(Ref_PBC!$B$2:$B$201,MATCH(B100,Ref_PBC!$A$2:$A$201,0)),"")</f>
        <v/>
      </c>
      <c r="D100" s="18" t="str">
        <f aca="false">IFERROR(INDEX(Ref_PBC!$C$2:$C$201,MATCH(B100,Ref_PBC!$A$2:$A$201,0)),"")</f>
        <v/>
      </c>
      <c r="E100" s="17"/>
      <c r="F100" s="17"/>
      <c r="G100" s="17"/>
      <c r="H100" s="17"/>
      <c r="I100" s="17"/>
      <c r="J100" s="19"/>
      <c r="K100" s="19"/>
      <c r="L100" s="19"/>
      <c r="M100" s="17"/>
      <c r="N100" s="19"/>
      <c r="O100" s="17"/>
      <c r="P100" s="20" t="str">
        <f aca="false">IF(A100="","",IF(IFERROR(INDEX(Ref_PBC!$D$2:$D$201,MATCH(B100,Ref_PBC!$A$2:$A$201,0)),"")="Population","Y","N"))</f>
        <v/>
      </c>
      <c r="Q100" s="17"/>
      <c r="R100" s="17"/>
      <c r="S100" s="20" t="str">
        <f aca="false">IF(A100="","",IF(OR(B100="",E100="",G100="",M100=""),"PBC-ID, filename, source system, record count needed",IF(COUNTIF(Ref_PBC!$A$2:$A$201,B100)=0,"PBC-ID not in W08",IF(LEFT(E100,LEN(A100)+1)&lt;&gt;A100&amp;"_","Filename must start with EV-ID_",IF(O100&lt;&gt;"Y","Original must be preserved (Y)",IF(OR(K100="",L100=""),"Period covered needed",IF(OR(K100&gt;C100,L100&lt;D100),"Period does not cover the PBC period",IF(AND(P100="Y",Q100=""),"IPE result needed",IF(AND(P100="Y",Q100&lt;&gt;"Pass"),"HOLD: IPE not Pass - do not sample","OK")))))))))</f>
        <v/>
      </c>
    </row>
    <row r="101" customFormat="false" ht="15" hidden="false" customHeight="false" outlineLevel="0" collapsed="false">
      <c r="A101" s="17"/>
      <c r="B101" s="17"/>
      <c r="C101" s="18" t="str">
        <f aca="false">IFERROR(INDEX(Ref_PBC!$B$2:$B$201,MATCH(B101,Ref_PBC!$A$2:$A$201,0)),"")</f>
        <v/>
      </c>
      <c r="D101" s="18" t="str">
        <f aca="false">IFERROR(INDEX(Ref_PBC!$C$2:$C$201,MATCH(B101,Ref_PBC!$A$2:$A$201,0)),"")</f>
        <v/>
      </c>
      <c r="E101" s="17"/>
      <c r="F101" s="17"/>
      <c r="G101" s="17"/>
      <c r="H101" s="17"/>
      <c r="I101" s="17"/>
      <c r="J101" s="19"/>
      <c r="K101" s="19"/>
      <c r="L101" s="19"/>
      <c r="M101" s="17"/>
      <c r="N101" s="19"/>
      <c r="O101" s="17"/>
      <c r="P101" s="20" t="str">
        <f aca="false">IF(A101="","",IF(IFERROR(INDEX(Ref_PBC!$D$2:$D$201,MATCH(B101,Ref_PBC!$A$2:$A$201,0)),"")="Population","Y","N"))</f>
        <v/>
      </c>
      <c r="Q101" s="17"/>
      <c r="R101" s="17"/>
      <c r="S101" s="20" t="str">
        <f aca="false">IF(A101="","",IF(OR(B101="",E101="",G101="",M101=""),"PBC-ID, filename, source system, record count needed",IF(COUNTIF(Ref_PBC!$A$2:$A$201,B101)=0,"PBC-ID not in W08",IF(LEFT(E101,LEN(A101)+1)&lt;&gt;A101&amp;"_","Filename must start with EV-ID_",IF(O101&lt;&gt;"Y","Original must be preserved (Y)",IF(OR(K101="",L101=""),"Period covered needed",IF(OR(K101&gt;C101,L101&lt;D101),"Period does not cover the PBC period",IF(AND(P101="Y",Q101=""),"IPE result needed",IF(AND(P101="Y",Q101&lt;&gt;"Pass"),"HOLD: IPE not Pass - do not sample","OK")))))))))</f>
        <v/>
      </c>
    </row>
    <row r="102" customFormat="false" ht="15" hidden="false" customHeight="false" outlineLevel="0" collapsed="false">
      <c r="A102" s="17"/>
      <c r="B102" s="17"/>
      <c r="C102" s="18" t="str">
        <f aca="false">IFERROR(INDEX(Ref_PBC!$B$2:$B$201,MATCH(B102,Ref_PBC!$A$2:$A$201,0)),"")</f>
        <v/>
      </c>
      <c r="D102" s="18" t="str">
        <f aca="false">IFERROR(INDEX(Ref_PBC!$C$2:$C$201,MATCH(B102,Ref_PBC!$A$2:$A$201,0)),"")</f>
        <v/>
      </c>
      <c r="E102" s="17"/>
      <c r="F102" s="17"/>
      <c r="G102" s="17"/>
      <c r="H102" s="17"/>
      <c r="I102" s="17"/>
      <c r="J102" s="19"/>
      <c r="K102" s="19"/>
      <c r="L102" s="19"/>
      <c r="M102" s="17"/>
      <c r="N102" s="19"/>
      <c r="O102" s="17"/>
      <c r="P102" s="20" t="str">
        <f aca="false">IF(A102="","",IF(IFERROR(INDEX(Ref_PBC!$D$2:$D$201,MATCH(B102,Ref_PBC!$A$2:$A$201,0)),"")="Population","Y","N"))</f>
        <v/>
      </c>
      <c r="Q102" s="17"/>
      <c r="R102" s="17"/>
      <c r="S102" s="20" t="str">
        <f aca="false">IF(A102="","",IF(OR(B102="",E102="",G102="",M102=""),"PBC-ID, filename, source system, record count needed",IF(COUNTIF(Ref_PBC!$A$2:$A$201,B102)=0,"PBC-ID not in W08",IF(LEFT(E102,LEN(A102)+1)&lt;&gt;A102&amp;"_","Filename must start with EV-ID_",IF(O102&lt;&gt;"Y","Original must be preserved (Y)",IF(OR(K102="",L102=""),"Period covered needed",IF(OR(K102&gt;C102,L102&lt;D102),"Period does not cover the PBC period",IF(AND(P102="Y",Q102=""),"IPE result needed",IF(AND(P102="Y",Q102&lt;&gt;"Pass"),"HOLD: IPE not Pass - do not sample","OK")))))))))</f>
        <v/>
      </c>
    </row>
    <row r="103" customFormat="false" ht="15" hidden="false" customHeight="false" outlineLevel="0" collapsed="false">
      <c r="A103" s="17"/>
      <c r="B103" s="17"/>
      <c r="C103" s="18" t="str">
        <f aca="false">IFERROR(INDEX(Ref_PBC!$B$2:$B$201,MATCH(B103,Ref_PBC!$A$2:$A$201,0)),"")</f>
        <v/>
      </c>
      <c r="D103" s="18" t="str">
        <f aca="false">IFERROR(INDEX(Ref_PBC!$C$2:$C$201,MATCH(B103,Ref_PBC!$A$2:$A$201,0)),"")</f>
        <v/>
      </c>
      <c r="E103" s="17"/>
      <c r="F103" s="17"/>
      <c r="G103" s="17"/>
      <c r="H103" s="17"/>
      <c r="I103" s="17"/>
      <c r="J103" s="19"/>
      <c r="K103" s="19"/>
      <c r="L103" s="19"/>
      <c r="M103" s="17"/>
      <c r="N103" s="19"/>
      <c r="O103" s="17"/>
      <c r="P103" s="20" t="str">
        <f aca="false">IF(A103="","",IF(IFERROR(INDEX(Ref_PBC!$D$2:$D$201,MATCH(B103,Ref_PBC!$A$2:$A$201,0)),"")="Population","Y","N"))</f>
        <v/>
      </c>
      <c r="Q103" s="17"/>
      <c r="R103" s="17"/>
      <c r="S103" s="20" t="str">
        <f aca="false">IF(A103="","",IF(OR(B103="",E103="",G103="",M103=""),"PBC-ID, filename, source system, record count needed",IF(COUNTIF(Ref_PBC!$A$2:$A$201,B103)=0,"PBC-ID not in W08",IF(LEFT(E103,LEN(A103)+1)&lt;&gt;A103&amp;"_","Filename must start with EV-ID_",IF(O103&lt;&gt;"Y","Original must be preserved (Y)",IF(OR(K103="",L103=""),"Period covered needed",IF(OR(K103&gt;C103,L103&lt;D103),"Period does not cover the PBC period",IF(AND(P103="Y",Q103=""),"IPE result needed",IF(AND(P103="Y",Q103&lt;&gt;"Pass"),"HOLD: IPE not Pass - do not sample","OK")))))))))</f>
        <v/>
      </c>
    </row>
    <row r="104" customFormat="false" ht="15" hidden="false" customHeight="false" outlineLevel="0" collapsed="false">
      <c r="A104" s="17"/>
      <c r="B104" s="17"/>
      <c r="C104" s="18" t="str">
        <f aca="false">IFERROR(INDEX(Ref_PBC!$B$2:$B$201,MATCH(B104,Ref_PBC!$A$2:$A$201,0)),"")</f>
        <v/>
      </c>
      <c r="D104" s="18" t="str">
        <f aca="false">IFERROR(INDEX(Ref_PBC!$C$2:$C$201,MATCH(B104,Ref_PBC!$A$2:$A$201,0)),"")</f>
        <v/>
      </c>
      <c r="E104" s="17"/>
      <c r="F104" s="17"/>
      <c r="G104" s="17"/>
      <c r="H104" s="17"/>
      <c r="I104" s="17"/>
      <c r="J104" s="19"/>
      <c r="K104" s="19"/>
      <c r="L104" s="19"/>
      <c r="M104" s="17"/>
      <c r="N104" s="19"/>
      <c r="O104" s="17"/>
      <c r="P104" s="20" t="str">
        <f aca="false">IF(A104="","",IF(IFERROR(INDEX(Ref_PBC!$D$2:$D$201,MATCH(B104,Ref_PBC!$A$2:$A$201,0)),"")="Population","Y","N"))</f>
        <v/>
      </c>
      <c r="Q104" s="17"/>
      <c r="R104" s="17"/>
      <c r="S104" s="20" t="str">
        <f aca="false">IF(A104="","",IF(OR(B104="",E104="",G104="",M104=""),"PBC-ID, filename, source system, record count needed",IF(COUNTIF(Ref_PBC!$A$2:$A$201,B104)=0,"PBC-ID not in W08",IF(LEFT(E104,LEN(A104)+1)&lt;&gt;A104&amp;"_","Filename must start with EV-ID_",IF(O104&lt;&gt;"Y","Original must be preserved (Y)",IF(OR(K104="",L104=""),"Period covered needed",IF(OR(K104&gt;C104,L104&lt;D104),"Period does not cover the PBC period",IF(AND(P104="Y",Q104=""),"IPE result needed",IF(AND(P104="Y",Q104&lt;&gt;"Pass"),"HOLD: IPE not Pass - do not sample","OK")))))))))</f>
        <v/>
      </c>
    </row>
    <row r="105" customFormat="false" ht="15" hidden="false" customHeight="false" outlineLevel="0" collapsed="false">
      <c r="A105" s="17"/>
      <c r="B105" s="17"/>
      <c r="C105" s="18" t="str">
        <f aca="false">IFERROR(INDEX(Ref_PBC!$B$2:$B$201,MATCH(B105,Ref_PBC!$A$2:$A$201,0)),"")</f>
        <v/>
      </c>
      <c r="D105" s="18" t="str">
        <f aca="false">IFERROR(INDEX(Ref_PBC!$C$2:$C$201,MATCH(B105,Ref_PBC!$A$2:$A$201,0)),"")</f>
        <v/>
      </c>
      <c r="E105" s="17"/>
      <c r="F105" s="17"/>
      <c r="G105" s="17"/>
      <c r="H105" s="17"/>
      <c r="I105" s="17"/>
      <c r="J105" s="19"/>
      <c r="K105" s="19"/>
      <c r="L105" s="19"/>
      <c r="M105" s="17"/>
      <c r="N105" s="19"/>
      <c r="O105" s="17"/>
      <c r="P105" s="20" t="str">
        <f aca="false">IF(A105="","",IF(IFERROR(INDEX(Ref_PBC!$D$2:$D$201,MATCH(B105,Ref_PBC!$A$2:$A$201,0)),"")="Population","Y","N"))</f>
        <v/>
      </c>
      <c r="Q105" s="17"/>
      <c r="R105" s="17"/>
      <c r="S105" s="20" t="str">
        <f aca="false">IF(A105="","",IF(OR(B105="",E105="",G105="",M105=""),"PBC-ID, filename, source system, record count needed",IF(COUNTIF(Ref_PBC!$A$2:$A$201,B105)=0,"PBC-ID not in W08",IF(LEFT(E105,LEN(A105)+1)&lt;&gt;A105&amp;"_","Filename must start with EV-ID_",IF(O105&lt;&gt;"Y","Original must be preserved (Y)",IF(OR(K105="",L105=""),"Period covered needed",IF(OR(K105&gt;C105,L105&lt;D105),"Period does not cover the PBC period",IF(AND(P105="Y",Q105=""),"IPE result needed",IF(AND(P105="Y",Q105&lt;&gt;"Pass"),"HOLD: IPE not Pass - do not sample","OK")))))))))</f>
        <v/>
      </c>
    </row>
    <row r="106" customFormat="false" ht="15" hidden="false" customHeight="false" outlineLevel="0" collapsed="false">
      <c r="A106" s="17"/>
      <c r="B106" s="17"/>
      <c r="C106" s="18" t="str">
        <f aca="false">IFERROR(INDEX(Ref_PBC!$B$2:$B$201,MATCH(B106,Ref_PBC!$A$2:$A$201,0)),"")</f>
        <v/>
      </c>
      <c r="D106" s="18" t="str">
        <f aca="false">IFERROR(INDEX(Ref_PBC!$C$2:$C$201,MATCH(B106,Ref_PBC!$A$2:$A$201,0)),"")</f>
        <v/>
      </c>
      <c r="E106" s="17"/>
      <c r="F106" s="17"/>
      <c r="G106" s="17"/>
      <c r="H106" s="17"/>
      <c r="I106" s="17"/>
      <c r="J106" s="19"/>
      <c r="K106" s="19"/>
      <c r="L106" s="19"/>
      <c r="M106" s="17"/>
      <c r="N106" s="19"/>
      <c r="O106" s="17"/>
      <c r="P106" s="20" t="str">
        <f aca="false">IF(A106="","",IF(IFERROR(INDEX(Ref_PBC!$D$2:$D$201,MATCH(B106,Ref_PBC!$A$2:$A$201,0)),"")="Population","Y","N"))</f>
        <v/>
      </c>
      <c r="Q106" s="17"/>
      <c r="R106" s="17"/>
      <c r="S106" s="20" t="str">
        <f aca="false">IF(A106="","",IF(OR(B106="",E106="",G106="",M106=""),"PBC-ID, filename, source system, record count needed",IF(COUNTIF(Ref_PBC!$A$2:$A$201,B106)=0,"PBC-ID not in W08",IF(LEFT(E106,LEN(A106)+1)&lt;&gt;A106&amp;"_","Filename must start with EV-ID_",IF(O106&lt;&gt;"Y","Original must be preserved (Y)",IF(OR(K106="",L106=""),"Period covered needed",IF(OR(K106&gt;C106,L106&lt;D106),"Period does not cover the PBC period",IF(AND(P106="Y",Q106=""),"IPE result needed",IF(AND(P106="Y",Q106&lt;&gt;"Pass"),"HOLD: IPE not Pass - do not sample","OK")))))))))</f>
        <v/>
      </c>
    </row>
    <row r="107" customFormat="false" ht="15" hidden="false" customHeight="false" outlineLevel="0" collapsed="false">
      <c r="A107" s="17"/>
      <c r="B107" s="17"/>
      <c r="C107" s="18" t="str">
        <f aca="false">IFERROR(INDEX(Ref_PBC!$B$2:$B$201,MATCH(B107,Ref_PBC!$A$2:$A$201,0)),"")</f>
        <v/>
      </c>
      <c r="D107" s="18" t="str">
        <f aca="false">IFERROR(INDEX(Ref_PBC!$C$2:$C$201,MATCH(B107,Ref_PBC!$A$2:$A$201,0)),"")</f>
        <v/>
      </c>
      <c r="E107" s="17"/>
      <c r="F107" s="17"/>
      <c r="G107" s="17"/>
      <c r="H107" s="17"/>
      <c r="I107" s="17"/>
      <c r="J107" s="19"/>
      <c r="K107" s="19"/>
      <c r="L107" s="19"/>
      <c r="M107" s="17"/>
      <c r="N107" s="19"/>
      <c r="O107" s="17"/>
      <c r="P107" s="20" t="str">
        <f aca="false">IF(A107="","",IF(IFERROR(INDEX(Ref_PBC!$D$2:$D$201,MATCH(B107,Ref_PBC!$A$2:$A$201,0)),"")="Population","Y","N"))</f>
        <v/>
      </c>
      <c r="Q107" s="17"/>
      <c r="R107" s="17"/>
      <c r="S107" s="20" t="str">
        <f aca="false">IF(A107="","",IF(OR(B107="",E107="",G107="",M107=""),"PBC-ID, filename, source system, record count needed",IF(COUNTIF(Ref_PBC!$A$2:$A$201,B107)=0,"PBC-ID not in W08",IF(LEFT(E107,LEN(A107)+1)&lt;&gt;A107&amp;"_","Filename must start with EV-ID_",IF(O107&lt;&gt;"Y","Original must be preserved (Y)",IF(OR(K107="",L107=""),"Period covered needed",IF(OR(K107&gt;C107,L107&lt;D107),"Period does not cover the PBC period",IF(AND(P107="Y",Q107=""),"IPE result needed",IF(AND(P107="Y",Q107&lt;&gt;"Pass"),"HOLD: IPE not Pass - do not sample","OK")))))))))</f>
        <v/>
      </c>
    </row>
    <row r="108" customFormat="false" ht="15" hidden="false" customHeight="false" outlineLevel="0" collapsed="false">
      <c r="A108" s="17"/>
      <c r="B108" s="17"/>
      <c r="C108" s="18" t="str">
        <f aca="false">IFERROR(INDEX(Ref_PBC!$B$2:$B$201,MATCH(B108,Ref_PBC!$A$2:$A$201,0)),"")</f>
        <v/>
      </c>
      <c r="D108" s="18" t="str">
        <f aca="false">IFERROR(INDEX(Ref_PBC!$C$2:$C$201,MATCH(B108,Ref_PBC!$A$2:$A$201,0)),"")</f>
        <v/>
      </c>
      <c r="E108" s="17"/>
      <c r="F108" s="17"/>
      <c r="G108" s="17"/>
      <c r="H108" s="17"/>
      <c r="I108" s="17"/>
      <c r="J108" s="19"/>
      <c r="K108" s="19"/>
      <c r="L108" s="19"/>
      <c r="M108" s="17"/>
      <c r="N108" s="19"/>
      <c r="O108" s="17"/>
      <c r="P108" s="20" t="str">
        <f aca="false">IF(A108="","",IF(IFERROR(INDEX(Ref_PBC!$D$2:$D$201,MATCH(B108,Ref_PBC!$A$2:$A$201,0)),"")="Population","Y","N"))</f>
        <v/>
      </c>
      <c r="Q108" s="17"/>
      <c r="R108" s="17"/>
      <c r="S108" s="20" t="str">
        <f aca="false">IF(A108="","",IF(OR(B108="",E108="",G108="",M108=""),"PBC-ID, filename, source system, record count needed",IF(COUNTIF(Ref_PBC!$A$2:$A$201,B108)=0,"PBC-ID not in W08",IF(LEFT(E108,LEN(A108)+1)&lt;&gt;A108&amp;"_","Filename must start with EV-ID_",IF(O108&lt;&gt;"Y","Original must be preserved (Y)",IF(OR(K108="",L108=""),"Period covered needed",IF(OR(K108&gt;C108,L108&lt;D108),"Period does not cover the PBC period",IF(AND(P108="Y",Q108=""),"IPE result needed",IF(AND(P108="Y",Q108&lt;&gt;"Pass"),"HOLD: IPE not Pass - do not sample","OK")))))))))</f>
        <v/>
      </c>
    </row>
    <row r="109" customFormat="false" ht="15" hidden="false" customHeight="false" outlineLevel="0" collapsed="false">
      <c r="A109" s="17"/>
      <c r="B109" s="17"/>
      <c r="C109" s="18" t="str">
        <f aca="false">IFERROR(INDEX(Ref_PBC!$B$2:$B$201,MATCH(B109,Ref_PBC!$A$2:$A$201,0)),"")</f>
        <v/>
      </c>
      <c r="D109" s="18" t="str">
        <f aca="false">IFERROR(INDEX(Ref_PBC!$C$2:$C$201,MATCH(B109,Ref_PBC!$A$2:$A$201,0)),"")</f>
        <v/>
      </c>
      <c r="E109" s="17"/>
      <c r="F109" s="17"/>
      <c r="G109" s="17"/>
      <c r="H109" s="17"/>
      <c r="I109" s="17"/>
      <c r="J109" s="19"/>
      <c r="K109" s="19"/>
      <c r="L109" s="19"/>
      <c r="M109" s="17"/>
      <c r="N109" s="19"/>
      <c r="O109" s="17"/>
      <c r="P109" s="20" t="str">
        <f aca="false">IF(A109="","",IF(IFERROR(INDEX(Ref_PBC!$D$2:$D$201,MATCH(B109,Ref_PBC!$A$2:$A$201,0)),"")="Population","Y","N"))</f>
        <v/>
      </c>
      <c r="Q109" s="17"/>
      <c r="R109" s="17"/>
      <c r="S109" s="20" t="str">
        <f aca="false">IF(A109="","",IF(OR(B109="",E109="",G109="",M109=""),"PBC-ID, filename, source system, record count needed",IF(COUNTIF(Ref_PBC!$A$2:$A$201,B109)=0,"PBC-ID not in W08",IF(LEFT(E109,LEN(A109)+1)&lt;&gt;A109&amp;"_","Filename must start with EV-ID_",IF(O109&lt;&gt;"Y","Original must be preserved (Y)",IF(OR(K109="",L109=""),"Period covered needed",IF(OR(K109&gt;C109,L109&lt;D109),"Period does not cover the PBC period",IF(AND(P109="Y",Q109=""),"IPE result needed",IF(AND(P109="Y",Q109&lt;&gt;"Pass"),"HOLD: IPE not Pass - do not sample","OK")))))))))</f>
        <v/>
      </c>
    </row>
    <row r="110" customFormat="false" ht="15" hidden="false" customHeight="false" outlineLevel="0" collapsed="false">
      <c r="A110" s="17"/>
      <c r="B110" s="17"/>
      <c r="C110" s="18" t="str">
        <f aca="false">IFERROR(INDEX(Ref_PBC!$B$2:$B$201,MATCH(B110,Ref_PBC!$A$2:$A$201,0)),"")</f>
        <v/>
      </c>
      <c r="D110" s="18" t="str">
        <f aca="false">IFERROR(INDEX(Ref_PBC!$C$2:$C$201,MATCH(B110,Ref_PBC!$A$2:$A$201,0)),"")</f>
        <v/>
      </c>
      <c r="E110" s="17"/>
      <c r="F110" s="17"/>
      <c r="G110" s="17"/>
      <c r="H110" s="17"/>
      <c r="I110" s="17"/>
      <c r="J110" s="19"/>
      <c r="K110" s="19"/>
      <c r="L110" s="19"/>
      <c r="M110" s="17"/>
      <c r="N110" s="19"/>
      <c r="O110" s="17"/>
      <c r="P110" s="20" t="str">
        <f aca="false">IF(A110="","",IF(IFERROR(INDEX(Ref_PBC!$D$2:$D$201,MATCH(B110,Ref_PBC!$A$2:$A$201,0)),"")="Population","Y","N"))</f>
        <v/>
      </c>
      <c r="Q110" s="17"/>
      <c r="R110" s="17"/>
      <c r="S110" s="20" t="str">
        <f aca="false">IF(A110="","",IF(OR(B110="",E110="",G110="",M110=""),"PBC-ID, filename, source system, record count needed",IF(COUNTIF(Ref_PBC!$A$2:$A$201,B110)=0,"PBC-ID not in W08",IF(LEFT(E110,LEN(A110)+1)&lt;&gt;A110&amp;"_","Filename must start with EV-ID_",IF(O110&lt;&gt;"Y","Original must be preserved (Y)",IF(OR(K110="",L110=""),"Period covered needed",IF(OR(K110&gt;C110,L110&lt;D110),"Period does not cover the PBC period",IF(AND(P110="Y",Q110=""),"IPE result needed",IF(AND(P110="Y",Q110&lt;&gt;"Pass"),"HOLD: IPE not Pass - do not sample","OK")))))))))</f>
        <v/>
      </c>
    </row>
    <row r="111" customFormat="false" ht="15" hidden="false" customHeight="false" outlineLevel="0" collapsed="false">
      <c r="A111" s="17"/>
      <c r="B111" s="17"/>
      <c r="C111" s="18" t="str">
        <f aca="false">IFERROR(INDEX(Ref_PBC!$B$2:$B$201,MATCH(B111,Ref_PBC!$A$2:$A$201,0)),"")</f>
        <v/>
      </c>
      <c r="D111" s="18" t="str">
        <f aca="false">IFERROR(INDEX(Ref_PBC!$C$2:$C$201,MATCH(B111,Ref_PBC!$A$2:$A$201,0)),"")</f>
        <v/>
      </c>
      <c r="E111" s="17"/>
      <c r="F111" s="17"/>
      <c r="G111" s="17"/>
      <c r="H111" s="17"/>
      <c r="I111" s="17"/>
      <c r="J111" s="19"/>
      <c r="K111" s="19"/>
      <c r="L111" s="19"/>
      <c r="M111" s="17"/>
      <c r="N111" s="19"/>
      <c r="O111" s="17"/>
      <c r="P111" s="20" t="str">
        <f aca="false">IF(A111="","",IF(IFERROR(INDEX(Ref_PBC!$D$2:$D$201,MATCH(B111,Ref_PBC!$A$2:$A$201,0)),"")="Population","Y","N"))</f>
        <v/>
      </c>
      <c r="Q111" s="17"/>
      <c r="R111" s="17"/>
      <c r="S111" s="20" t="str">
        <f aca="false">IF(A111="","",IF(OR(B111="",E111="",G111="",M111=""),"PBC-ID, filename, source system, record count needed",IF(COUNTIF(Ref_PBC!$A$2:$A$201,B111)=0,"PBC-ID not in W08",IF(LEFT(E111,LEN(A111)+1)&lt;&gt;A111&amp;"_","Filename must start with EV-ID_",IF(O111&lt;&gt;"Y","Original must be preserved (Y)",IF(OR(K111="",L111=""),"Period covered needed",IF(OR(K111&gt;C111,L111&lt;D111),"Period does not cover the PBC period",IF(AND(P111="Y",Q111=""),"IPE result needed",IF(AND(P111="Y",Q111&lt;&gt;"Pass"),"HOLD: IPE not Pass - do not sample","OK")))))))))</f>
        <v/>
      </c>
    </row>
    <row r="112" customFormat="false" ht="15" hidden="false" customHeight="false" outlineLevel="0" collapsed="false">
      <c r="A112" s="17"/>
      <c r="B112" s="17"/>
      <c r="C112" s="18" t="str">
        <f aca="false">IFERROR(INDEX(Ref_PBC!$B$2:$B$201,MATCH(B112,Ref_PBC!$A$2:$A$201,0)),"")</f>
        <v/>
      </c>
      <c r="D112" s="18" t="str">
        <f aca="false">IFERROR(INDEX(Ref_PBC!$C$2:$C$201,MATCH(B112,Ref_PBC!$A$2:$A$201,0)),"")</f>
        <v/>
      </c>
      <c r="E112" s="17"/>
      <c r="F112" s="17"/>
      <c r="G112" s="17"/>
      <c r="H112" s="17"/>
      <c r="I112" s="17"/>
      <c r="J112" s="19"/>
      <c r="K112" s="19"/>
      <c r="L112" s="19"/>
      <c r="M112" s="17"/>
      <c r="N112" s="19"/>
      <c r="O112" s="17"/>
      <c r="P112" s="20" t="str">
        <f aca="false">IF(A112="","",IF(IFERROR(INDEX(Ref_PBC!$D$2:$D$201,MATCH(B112,Ref_PBC!$A$2:$A$201,0)),"")="Population","Y","N"))</f>
        <v/>
      </c>
      <c r="Q112" s="17"/>
      <c r="R112" s="17"/>
      <c r="S112" s="20" t="str">
        <f aca="false">IF(A112="","",IF(OR(B112="",E112="",G112="",M112=""),"PBC-ID, filename, source system, record count needed",IF(COUNTIF(Ref_PBC!$A$2:$A$201,B112)=0,"PBC-ID not in W08",IF(LEFT(E112,LEN(A112)+1)&lt;&gt;A112&amp;"_","Filename must start with EV-ID_",IF(O112&lt;&gt;"Y","Original must be preserved (Y)",IF(OR(K112="",L112=""),"Period covered needed",IF(OR(K112&gt;C112,L112&lt;D112),"Period does not cover the PBC period",IF(AND(P112="Y",Q112=""),"IPE result needed",IF(AND(P112="Y",Q112&lt;&gt;"Pass"),"HOLD: IPE not Pass - do not sample","OK")))))))))</f>
        <v/>
      </c>
    </row>
    <row r="113" customFormat="false" ht="15" hidden="false" customHeight="false" outlineLevel="0" collapsed="false">
      <c r="A113" s="17"/>
      <c r="B113" s="17"/>
      <c r="C113" s="18" t="str">
        <f aca="false">IFERROR(INDEX(Ref_PBC!$B$2:$B$201,MATCH(B113,Ref_PBC!$A$2:$A$201,0)),"")</f>
        <v/>
      </c>
      <c r="D113" s="18" t="str">
        <f aca="false">IFERROR(INDEX(Ref_PBC!$C$2:$C$201,MATCH(B113,Ref_PBC!$A$2:$A$201,0)),"")</f>
        <v/>
      </c>
      <c r="E113" s="17"/>
      <c r="F113" s="17"/>
      <c r="G113" s="17"/>
      <c r="H113" s="17"/>
      <c r="I113" s="17"/>
      <c r="J113" s="19"/>
      <c r="K113" s="19"/>
      <c r="L113" s="19"/>
      <c r="M113" s="17"/>
      <c r="N113" s="19"/>
      <c r="O113" s="17"/>
      <c r="P113" s="20" t="str">
        <f aca="false">IF(A113="","",IF(IFERROR(INDEX(Ref_PBC!$D$2:$D$201,MATCH(B113,Ref_PBC!$A$2:$A$201,0)),"")="Population","Y","N"))</f>
        <v/>
      </c>
      <c r="Q113" s="17"/>
      <c r="R113" s="17"/>
      <c r="S113" s="20" t="str">
        <f aca="false">IF(A113="","",IF(OR(B113="",E113="",G113="",M113=""),"PBC-ID, filename, source system, record count needed",IF(COUNTIF(Ref_PBC!$A$2:$A$201,B113)=0,"PBC-ID not in W08",IF(LEFT(E113,LEN(A113)+1)&lt;&gt;A113&amp;"_","Filename must start with EV-ID_",IF(O113&lt;&gt;"Y","Original must be preserved (Y)",IF(OR(K113="",L113=""),"Period covered needed",IF(OR(K113&gt;C113,L113&lt;D113),"Period does not cover the PBC period",IF(AND(P113="Y",Q113=""),"IPE result needed",IF(AND(P113="Y",Q113&lt;&gt;"Pass"),"HOLD: IPE not Pass - do not sample","OK")))))))))</f>
        <v/>
      </c>
    </row>
    <row r="114" customFormat="false" ht="15" hidden="false" customHeight="false" outlineLevel="0" collapsed="false">
      <c r="A114" s="17"/>
      <c r="B114" s="17"/>
      <c r="C114" s="18" t="str">
        <f aca="false">IFERROR(INDEX(Ref_PBC!$B$2:$B$201,MATCH(B114,Ref_PBC!$A$2:$A$201,0)),"")</f>
        <v/>
      </c>
      <c r="D114" s="18" t="str">
        <f aca="false">IFERROR(INDEX(Ref_PBC!$C$2:$C$201,MATCH(B114,Ref_PBC!$A$2:$A$201,0)),"")</f>
        <v/>
      </c>
      <c r="E114" s="17"/>
      <c r="F114" s="17"/>
      <c r="G114" s="17"/>
      <c r="H114" s="17"/>
      <c r="I114" s="17"/>
      <c r="J114" s="19"/>
      <c r="K114" s="19"/>
      <c r="L114" s="19"/>
      <c r="M114" s="17"/>
      <c r="N114" s="19"/>
      <c r="O114" s="17"/>
      <c r="P114" s="20" t="str">
        <f aca="false">IF(A114="","",IF(IFERROR(INDEX(Ref_PBC!$D$2:$D$201,MATCH(B114,Ref_PBC!$A$2:$A$201,0)),"")="Population","Y","N"))</f>
        <v/>
      </c>
      <c r="Q114" s="17"/>
      <c r="R114" s="17"/>
      <c r="S114" s="20" t="str">
        <f aca="false">IF(A114="","",IF(OR(B114="",E114="",G114="",M114=""),"PBC-ID, filename, source system, record count needed",IF(COUNTIF(Ref_PBC!$A$2:$A$201,B114)=0,"PBC-ID not in W08",IF(LEFT(E114,LEN(A114)+1)&lt;&gt;A114&amp;"_","Filename must start with EV-ID_",IF(O114&lt;&gt;"Y","Original must be preserved (Y)",IF(OR(K114="",L114=""),"Period covered needed",IF(OR(K114&gt;C114,L114&lt;D114),"Period does not cover the PBC period",IF(AND(P114="Y",Q114=""),"IPE result needed",IF(AND(P114="Y",Q114&lt;&gt;"Pass"),"HOLD: IPE not Pass - do not sample","OK")))))))))</f>
        <v/>
      </c>
    </row>
    <row r="115" customFormat="false" ht="15" hidden="false" customHeight="false" outlineLevel="0" collapsed="false">
      <c r="A115" s="17"/>
      <c r="B115" s="17"/>
      <c r="C115" s="18" t="str">
        <f aca="false">IFERROR(INDEX(Ref_PBC!$B$2:$B$201,MATCH(B115,Ref_PBC!$A$2:$A$201,0)),"")</f>
        <v/>
      </c>
      <c r="D115" s="18" t="str">
        <f aca="false">IFERROR(INDEX(Ref_PBC!$C$2:$C$201,MATCH(B115,Ref_PBC!$A$2:$A$201,0)),"")</f>
        <v/>
      </c>
      <c r="E115" s="17"/>
      <c r="F115" s="17"/>
      <c r="G115" s="17"/>
      <c r="H115" s="17"/>
      <c r="I115" s="17"/>
      <c r="J115" s="19"/>
      <c r="K115" s="19"/>
      <c r="L115" s="19"/>
      <c r="M115" s="17"/>
      <c r="N115" s="19"/>
      <c r="O115" s="17"/>
      <c r="P115" s="20" t="str">
        <f aca="false">IF(A115="","",IF(IFERROR(INDEX(Ref_PBC!$D$2:$D$201,MATCH(B115,Ref_PBC!$A$2:$A$201,0)),"")="Population","Y","N"))</f>
        <v/>
      </c>
      <c r="Q115" s="17"/>
      <c r="R115" s="17"/>
      <c r="S115" s="20" t="str">
        <f aca="false">IF(A115="","",IF(OR(B115="",E115="",G115="",M115=""),"PBC-ID, filename, source system, record count needed",IF(COUNTIF(Ref_PBC!$A$2:$A$201,B115)=0,"PBC-ID not in W08",IF(LEFT(E115,LEN(A115)+1)&lt;&gt;A115&amp;"_","Filename must start with EV-ID_",IF(O115&lt;&gt;"Y","Original must be preserved (Y)",IF(OR(K115="",L115=""),"Period covered needed",IF(OR(K115&gt;C115,L115&lt;D115),"Period does not cover the PBC period",IF(AND(P115="Y",Q115=""),"IPE result needed",IF(AND(P115="Y",Q115&lt;&gt;"Pass"),"HOLD: IPE not Pass - do not sample","OK")))))))))</f>
        <v/>
      </c>
    </row>
    <row r="116" customFormat="false" ht="15" hidden="false" customHeight="false" outlineLevel="0" collapsed="false">
      <c r="A116" s="17"/>
      <c r="B116" s="17"/>
      <c r="C116" s="18" t="str">
        <f aca="false">IFERROR(INDEX(Ref_PBC!$B$2:$B$201,MATCH(B116,Ref_PBC!$A$2:$A$201,0)),"")</f>
        <v/>
      </c>
      <c r="D116" s="18" t="str">
        <f aca="false">IFERROR(INDEX(Ref_PBC!$C$2:$C$201,MATCH(B116,Ref_PBC!$A$2:$A$201,0)),"")</f>
        <v/>
      </c>
      <c r="E116" s="17"/>
      <c r="F116" s="17"/>
      <c r="G116" s="17"/>
      <c r="H116" s="17"/>
      <c r="I116" s="17"/>
      <c r="J116" s="19"/>
      <c r="K116" s="19"/>
      <c r="L116" s="19"/>
      <c r="M116" s="17"/>
      <c r="N116" s="19"/>
      <c r="O116" s="17"/>
      <c r="P116" s="20" t="str">
        <f aca="false">IF(A116="","",IF(IFERROR(INDEX(Ref_PBC!$D$2:$D$201,MATCH(B116,Ref_PBC!$A$2:$A$201,0)),"")="Population","Y","N"))</f>
        <v/>
      </c>
      <c r="Q116" s="17"/>
      <c r="R116" s="17"/>
      <c r="S116" s="20" t="str">
        <f aca="false">IF(A116="","",IF(OR(B116="",E116="",G116="",M116=""),"PBC-ID, filename, source system, record count needed",IF(COUNTIF(Ref_PBC!$A$2:$A$201,B116)=0,"PBC-ID not in W08",IF(LEFT(E116,LEN(A116)+1)&lt;&gt;A116&amp;"_","Filename must start with EV-ID_",IF(O116&lt;&gt;"Y","Original must be preserved (Y)",IF(OR(K116="",L116=""),"Period covered needed",IF(OR(K116&gt;C116,L116&lt;D116),"Period does not cover the PBC period",IF(AND(P116="Y",Q116=""),"IPE result needed",IF(AND(P116="Y",Q116&lt;&gt;"Pass"),"HOLD: IPE not Pass - do not sample","OK")))))))))</f>
        <v/>
      </c>
    </row>
    <row r="117" customFormat="false" ht="15" hidden="false" customHeight="false" outlineLevel="0" collapsed="false">
      <c r="A117" s="17"/>
      <c r="B117" s="17"/>
      <c r="C117" s="18" t="str">
        <f aca="false">IFERROR(INDEX(Ref_PBC!$B$2:$B$201,MATCH(B117,Ref_PBC!$A$2:$A$201,0)),"")</f>
        <v/>
      </c>
      <c r="D117" s="18" t="str">
        <f aca="false">IFERROR(INDEX(Ref_PBC!$C$2:$C$201,MATCH(B117,Ref_PBC!$A$2:$A$201,0)),"")</f>
        <v/>
      </c>
      <c r="E117" s="17"/>
      <c r="F117" s="17"/>
      <c r="G117" s="17"/>
      <c r="H117" s="17"/>
      <c r="I117" s="17"/>
      <c r="J117" s="19"/>
      <c r="K117" s="19"/>
      <c r="L117" s="19"/>
      <c r="M117" s="17"/>
      <c r="N117" s="19"/>
      <c r="O117" s="17"/>
      <c r="P117" s="20" t="str">
        <f aca="false">IF(A117="","",IF(IFERROR(INDEX(Ref_PBC!$D$2:$D$201,MATCH(B117,Ref_PBC!$A$2:$A$201,0)),"")="Population","Y","N"))</f>
        <v/>
      </c>
      <c r="Q117" s="17"/>
      <c r="R117" s="17"/>
      <c r="S117" s="20" t="str">
        <f aca="false">IF(A117="","",IF(OR(B117="",E117="",G117="",M117=""),"PBC-ID, filename, source system, record count needed",IF(COUNTIF(Ref_PBC!$A$2:$A$201,B117)=0,"PBC-ID not in W08",IF(LEFT(E117,LEN(A117)+1)&lt;&gt;A117&amp;"_","Filename must start with EV-ID_",IF(O117&lt;&gt;"Y","Original must be preserved (Y)",IF(OR(K117="",L117=""),"Period covered needed",IF(OR(K117&gt;C117,L117&lt;D117),"Period does not cover the PBC period",IF(AND(P117="Y",Q117=""),"IPE result needed",IF(AND(P117="Y",Q117&lt;&gt;"Pass"),"HOLD: IPE not Pass - do not sample","OK")))))))))</f>
        <v/>
      </c>
    </row>
    <row r="118" customFormat="false" ht="15" hidden="false" customHeight="false" outlineLevel="0" collapsed="false">
      <c r="A118" s="17"/>
      <c r="B118" s="17"/>
      <c r="C118" s="18" t="str">
        <f aca="false">IFERROR(INDEX(Ref_PBC!$B$2:$B$201,MATCH(B118,Ref_PBC!$A$2:$A$201,0)),"")</f>
        <v/>
      </c>
      <c r="D118" s="18" t="str">
        <f aca="false">IFERROR(INDEX(Ref_PBC!$C$2:$C$201,MATCH(B118,Ref_PBC!$A$2:$A$201,0)),"")</f>
        <v/>
      </c>
      <c r="E118" s="17"/>
      <c r="F118" s="17"/>
      <c r="G118" s="17"/>
      <c r="H118" s="17"/>
      <c r="I118" s="17"/>
      <c r="J118" s="19"/>
      <c r="K118" s="19"/>
      <c r="L118" s="19"/>
      <c r="M118" s="17"/>
      <c r="N118" s="19"/>
      <c r="O118" s="17"/>
      <c r="P118" s="20" t="str">
        <f aca="false">IF(A118="","",IF(IFERROR(INDEX(Ref_PBC!$D$2:$D$201,MATCH(B118,Ref_PBC!$A$2:$A$201,0)),"")="Population","Y","N"))</f>
        <v/>
      </c>
      <c r="Q118" s="17"/>
      <c r="R118" s="17"/>
      <c r="S118" s="20" t="str">
        <f aca="false">IF(A118="","",IF(OR(B118="",E118="",G118="",M118=""),"PBC-ID, filename, source system, record count needed",IF(COUNTIF(Ref_PBC!$A$2:$A$201,B118)=0,"PBC-ID not in W08",IF(LEFT(E118,LEN(A118)+1)&lt;&gt;A118&amp;"_","Filename must start with EV-ID_",IF(O118&lt;&gt;"Y","Original must be preserved (Y)",IF(OR(K118="",L118=""),"Period covered needed",IF(OR(K118&gt;C118,L118&lt;D118),"Period does not cover the PBC period",IF(AND(P118="Y",Q118=""),"IPE result needed",IF(AND(P118="Y",Q118&lt;&gt;"Pass"),"HOLD: IPE not Pass - do not sample","OK")))))))))</f>
        <v/>
      </c>
    </row>
    <row r="119" customFormat="false" ht="15" hidden="false" customHeight="false" outlineLevel="0" collapsed="false">
      <c r="A119" s="17"/>
      <c r="B119" s="17"/>
      <c r="C119" s="18" t="str">
        <f aca="false">IFERROR(INDEX(Ref_PBC!$B$2:$B$201,MATCH(B119,Ref_PBC!$A$2:$A$201,0)),"")</f>
        <v/>
      </c>
      <c r="D119" s="18" t="str">
        <f aca="false">IFERROR(INDEX(Ref_PBC!$C$2:$C$201,MATCH(B119,Ref_PBC!$A$2:$A$201,0)),"")</f>
        <v/>
      </c>
      <c r="E119" s="17"/>
      <c r="F119" s="17"/>
      <c r="G119" s="17"/>
      <c r="H119" s="17"/>
      <c r="I119" s="17"/>
      <c r="J119" s="19"/>
      <c r="K119" s="19"/>
      <c r="L119" s="19"/>
      <c r="M119" s="17"/>
      <c r="N119" s="19"/>
      <c r="O119" s="17"/>
      <c r="P119" s="20" t="str">
        <f aca="false">IF(A119="","",IF(IFERROR(INDEX(Ref_PBC!$D$2:$D$201,MATCH(B119,Ref_PBC!$A$2:$A$201,0)),"")="Population","Y","N"))</f>
        <v/>
      </c>
      <c r="Q119" s="17"/>
      <c r="R119" s="17"/>
      <c r="S119" s="20" t="str">
        <f aca="false">IF(A119="","",IF(OR(B119="",E119="",G119="",M119=""),"PBC-ID, filename, source system, record count needed",IF(COUNTIF(Ref_PBC!$A$2:$A$201,B119)=0,"PBC-ID not in W08",IF(LEFT(E119,LEN(A119)+1)&lt;&gt;A119&amp;"_","Filename must start with EV-ID_",IF(O119&lt;&gt;"Y","Original must be preserved (Y)",IF(OR(K119="",L119=""),"Period covered needed",IF(OR(K119&gt;C119,L119&lt;D119),"Period does not cover the PBC period",IF(AND(P119="Y",Q119=""),"IPE result needed",IF(AND(P119="Y",Q119&lt;&gt;"Pass"),"HOLD: IPE not Pass - do not sample","OK")))))))))</f>
        <v/>
      </c>
    </row>
    <row r="120" customFormat="false" ht="15" hidden="false" customHeight="false" outlineLevel="0" collapsed="false">
      <c r="A120" s="17"/>
      <c r="B120" s="17"/>
      <c r="C120" s="18" t="str">
        <f aca="false">IFERROR(INDEX(Ref_PBC!$B$2:$B$201,MATCH(B120,Ref_PBC!$A$2:$A$201,0)),"")</f>
        <v/>
      </c>
      <c r="D120" s="18" t="str">
        <f aca="false">IFERROR(INDEX(Ref_PBC!$C$2:$C$201,MATCH(B120,Ref_PBC!$A$2:$A$201,0)),"")</f>
        <v/>
      </c>
      <c r="E120" s="17"/>
      <c r="F120" s="17"/>
      <c r="G120" s="17"/>
      <c r="H120" s="17"/>
      <c r="I120" s="17"/>
      <c r="J120" s="19"/>
      <c r="K120" s="19"/>
      <c r="L120" s="19"/>
      <c r="M120" s="17"/>
      <c r="N120" s="19"/>
      <c r="O120" s="17"/>
      <c r="P120" s="20" t="str">
        <f aca="false">IF(A120="","",IF(IFERROR(INDEX(Ref_PBC!$D$2:$D$201,MATCH(B120,Ref_PBC!$A$2:$A$201,0)),"")="Population","Y","N"))</f>
        <v/>
      </c>
      <c r="Q120" s="17"/>
      <c r="R120" s="17"/>
      <c r="S120" s="20" t="str">
        <f aca="false">IF(A120="","",IF(OR(B120="",E120="",G120="",M120=""),"PBC-ID, filename, source system, record count needed",IF(COUNTIF(Ref_PBC!$A$2:$A$201,B120)=0,"PBC-ID not in W08",IF(LEFT(E120,LEN(A120)+1)&lt;&gt;A120&amp;"_","Filename must start with EV-ID_",IF(O120&lt;&gt;"Y","Original must be preserved (Y)",IF(OR(K120="",L120=""),"Period covered needed",IF(OR(K120&gt;C120,L120&lt;D120),"Period does not cover the PBC period",IF(AND(P120="Y",Q120=""),"IPE result needed",IF(AND(P120="Y",Q120&lt;&gt;"Pass"),"HOLD: IPE not Pass - do not sample","OK")))))))))</f>
        <v/>
      </c>
    </row>
    <row r="121" customFormat="false" ht="15" hidden="false" customHeight="false" outlineLevel="0" collapsed="false">
      <c r="A121" s="17"/>
      <c r="B121" s="17"/>
      <c r="C121" s="18" t="str">
        <f aca="false">IFERROR(INDEX(Ref_PBC!$B$2:$B$201,MATCH(B121,Ref_PBC!$A$2:$A$201,0)),"")</f>
        <v/>
      </c>
      <c r="D121" s="18" t="str">
        <f aca="false">IFERROR(INDEX(Ref_PBC!$C$2:$C$201,MATCH(B121,Ref_PBC!$A$2:$A$201,0)),"")</f>
        <v/>
      </c>
      <c r="E121" s="17"/>
      <c r="F121" s="17"/>
      <c r="G121" s="17"/>
      <c r="H121" s="17"/>
      <c r="I121" s="17"/>
      <c r="J121" s="19"/>
      <c r="K121" s="19"/>
      <c r="L121" s="19"/>
      <c r="M121" s="17"/>
      <c r="N121" s="19"/>
      <c r="O121" s="17"/>
      <c r="P121" s="20" t="str">
        <f aca="false">IF(A121="","",IF(IFERROR(INDEX(Ref_PBC!$D$2:$D$201,MATCH(B121,Ref_PBC!$A$2:$A$201,0)),"")="Population","Y","N"))</f>
        <v/>
      </c>
      <c r="Q121" s="17"/>
      <c r="R121" s="17"/>
      <c r="S121" s="20" t="str">
        <f aca="false">IF(A121="","",IF(OR(B121="",E121="",G121="",M121=""),"PBC-ID, filename, source system, record count needed",IF(COUNTIF(Ref_PBC!$A$2:$A$201,B121)=0,"PBC-ID not in W08",IF(LEFT(E121,LEN(A121)+1)&lt;&gt;A121&amp;"_","Filename must start with EV-ID_",IF(O121&lt;&gt;"Y","Original must be preserved (Y)",IF(OR(K121="",L121=""),"Period covered needed",IF(OR(K121&gt;C121,L121&lt;D121),"Period does not cover the PBC period",IF(AND(P121="Y",Q121=""),"IPE result needed",IF(AND(P121="Y",Q121&lt;&gt;"Pass"),"HOLD: IPE not Pass - do not sample","OK")))))))))</f>
        <v/>
      </c>
    </row>
    <row r="122" customFormat="false" ht="15" hidden="false" customHeight="false" outlineLevel="0" collapsed="false">
      <c r="A122" s="17"/>
      <c r="B122" s="17"/>
      <c r="C122" s="18" t="str">
        <f aca="false">IFERROR(INDEX(Ref_PBC!$B$2:$B$201,MATCH(B122,Ref_PBC!$A$2:$A$201,0)),"")</f>
        <v/>
      </c>
      <c r="D122" s="18" t="str">
        <f aca="false">IFERROR(INDEX(Ref_PBC!$C$2:$C$201,MATCH(B122,Ref_PBC!$A$2:$A$201,0)),"")</f>
        <v/>
      </c>
      <c r="E122" s="17"/>
      <c r="F122" s="17"/>
      <c r="G122" s="17"/>
      <c r="H122" s="17"/>
      <c r="I122" s="17"/>
      <c r="J122" s="19"/>
      <c r="K122" s="19"/>
      <c r="L122" s="19"/>
      <c r="M122" s="17"/>
      <c r="N122" s="19"/>
      <c r="O122" s="17"/>
      <c r="P122" s="20" t="str">
        <f aca="false">IF(A122="","",IF(IFERROR(INDEX(Ref_PBC!$D$2:$D$201,MATCH(B122,Ref_PBC!$A$2:$A$201,0)),"")="Population","Y","N"))</f>
        <v/>
      </c>
      <c r="Q122" s="17"/>
      <c r="R122" s="17"/>
      <c r="S122" s="20" t="str">
        <f aca="false">IF(A122="","",IF(OR(B122="",E122="",G122="",M122=""),"PBC-ID, filename, source system, record count needed",IF(COUNTIF(Ref_PBC!$A$2:$A$201,B122)=0,"PBC-ID not in W08",IF(LEFT(E122,LEN(A122)+1)&lt;&gt;A122&amp;"_","Filename must start with EV-ID_",IF(O122&lt;&gt;"Y","Original must be preserved (Y)",IF(OR(K122="",L122=""),"Period covered needed",IF(OR(K122&gt;C122,L122&lt;D122),"Period does not cover the PBC period",IF(AND(P122="Y",Q122=""),"IPE result needed",IF(AND(P122="Y",Q122&lt;&gt;"Pass"),"HOLD: IPE not Pass - do not sample","OK")))))))))</f>
        <v/>
      </c>
    </row>
    <row r="123" customFormat="false" ht="15" hidden="false" customHeight="false" outlineLevel="0" collapsed="false">
      <c r="A123" s="17"/>
      <c r="B123" s="17"/>
      <c r="C123" s="18" t="str">
        <f aca="false">IFERROR(INDEX(Ref_PBC!$B$2:$B$201,MATCH(B123,Ref_PBC!$A$2:$A$201,0)),"")</f>
        <v/>
      </c>
      <c r="D123" s="18" t="str">
        <f aca="false">IFERROR(INDEX(Ref_PBC!$C$2:$C$201,MATCH(B123,Ref_PBC!$A$2:$A$201,0)),"")</f>
        <v/>
      </c>
      <c r="E123" s="17"/>
      <c r="F123" s="17"/>
      <c r="G123" s="17"/>
      <c r="H123" s="17"/>
      <c r="I123" s="17"/>
      <c r="J123" s="19"/>
      <c r="K123" s="19"/>
      <c r="L123" s="19"/>
      <c r="M123" s="17"/>
      <c r="N123" s="19"/>
      <c r="O123" s="17"/>
      <c r="P123" s="20" t="str">
        <f aca="false">IF(A123="","",IF(IFERROR(INDEX(Ref_PBC!$D$2:$D$201,MATCH(B123,Ref_PBC!$A$2:$A$201,0)),"")="Population","Y","N"))</f>
        <v/>
      </c>
      <c r="Q123" s="17"/>
      <c r="R123" s="17"/>
      <c r="S123" s="20" t="str">
        <f aca="false">IF(A123="","",IF(OR(B123="",E123="",G123="",M123=""),"PBC-ID, filename, source system, record count needed",IF(COUNTIF(Ref_PBC!$A$2:$A$201,B123)=0,"PBC-ID not in W08",IF(LEFT(E123,LEN(A123)+1)&lt;&gt;A123&amp;"_","Filename must start with EV-ID_",IF(O123&lt;&gt;"Y","Original must be preserved (Y)",IF(OR(K123="",L123=""),"Period covered needed",IF(OR(K123&gt;C123,L123&lt;D123),"Period does not cover the PBC period",IF(AND(P123="Y",Q123=""),"IPE result needed",IF(AND(P123="Y",Q123&lt;&gt;"Pass"),"HOLD: IPE not Pass - do not sample","OK")))))))))</f>
        <v/>
      </c>
    </row>
    <row r="124" customFormat="false" ht="15" hidden="false" customHeight="false" outlineLevel="0" collapsed="false">
      <c r="A124" s="17"/>
      <c r="B124" s="17"/>
      <c r="C124" s="18" t="str">
        <f aca="false">IFERROR(INDEX(Ref_PBC!$B$2:$B$201,MATCH(B124,Ref_PBC!$A$2:$A$201,0)),"")</f>
        <v/>
      </c>
      <c r="D124" s="18" t="str">
        <f aca="false">IFERROR(INDEX(Ref_PBC!$C$2:$C$201,MATCH(B124,Ref_PBC!$A$2:$A$201,0)),"")</f>
        <v/>
      </c>
      <c r="E124" s="17"/>
      <c r="F124" s="17"/>
      <c r="G124" s="17"/>
      <c r="H124" s="17"/>
      <c r="I124" s="17"/>
      <c r="J124" s="19"/>
      <c r="K124" s="19"/>
      <c r="L124" s="19"/>
      <c r="M124" s="17"/>
      <c r="N124" s="19"/>
      <c r="O124" s="17"/>
      <c r="P124" s="20" t="str">
        <f aca="false">IF(A124="","",IF(IFERROR(INDEX(Ref_PBC!$D$2:$D$201,MATCH(B124,Ref_PBC!$A$2:$A$201,0)),"")="Population","Y","N"))</f>
        <v/>
      </c>
      <c r="Q124" s="17"/>
      <c r="R124" s="17"/>
      <c r="S124" s="20" t="str">
        <f aca="false">IF(A124="","",IF(OR(B124="",E124="",G124="",M124=""),"PBC-ID, filename, source system, record count needed",IF(COUNTIF(Ref_PBC!$A$2:$A$201,B124)=0,"PBC-ID not in W08",IF(LEFT(E124,LEN(A124)+1)&lt;&gt;A124&amp;"_","Filename must start with EV-ID_",IF(O124&lt;&gt;"Y","Original must be preserved (Y)",IF(OR(K124="",L124=""),"Period covered needed",IF(OR(K124&gt;C124,L124&lt;D124),"Period does not cover the PBC period",IF(AND(P124="Y",Q124=""),"IPE result needed",IF(AND(P124="Y",Q124&lt;&gt;"Pass"),"HOLD: IPE not Pass - do not sample","OK")))))))))</f>
        <v/>
      </c>
    </row>
    <row r="125" customFormat="false" ht="15" hidden="false" customHeight="false" outlineLevel="0" collapsed="false">
      <c r="A125" s="17"/>
      <c r="B125" s="17"/>
      <c r="C125" s="18" t="str">
        <f aca="false">IFERROR(INDEX(Ref_PBC!$B$2:$B$201,MATCH(B125,Ref_PBC!$A$2:$A$201,0)),"")</f>
        <v/>
      </c>
      <c r="D125" s="18" t="str">
        <f aca="false">IFERROR(INDEX(Ref_PBC!$C$2:$C$201,MATCH(B125,Ref_PBC!$A$2:$A$201,0)),"")</f>
        <v/>
      </c>
      <c r="E125" s="17"/>
      <c r="F125" s="17"/>
      <c r="G125" s="17"/>
      <c r="H125" s="17"/>
      <c r="I125" s="17"/>
      <c r="J125" s="19"/>
      <c r="K125" s="19"/>
      <c r="L125" s="19"/>
      <c r="M125" s="17"/>
      <c r="N125" s="19"/>
      <c r="O125" s="17"/>
      <c r="P125" s="20" t="str">
        <f aca="false">IF(A125="","",IF(IFERROR(INDEX(Ref_PBC!$D$2:$D$201,MATCH(B125,Ref_PBC!$A$2:$A$201,0)),"")="Population","Y","N"))</f>
        <v/>
      </c>
      <c r="Q125" s="17"/>
      <c r="R125" s="17"/>
      <c r="S125" s="20" t="str">
        <f aca="false">IF(A125="","",IF(OR(B125="",E125="",G125="",M125=""),"PBC-ID, filename, source system, record count needed",IF(COUNTIF(Ref_PBC!$A$2:$A$201,B125)=0,"PBC-ID not in W08",IF(LEFT(E125,LEN(A125)+1)&lt;&gt;A125&amp;"_","Filename must start with EV-ID_",IF(O125&lt;&gt;"Y","Original must be preserved (Y)",IF(OR(K125="",L125=""),"Period covered needed",IF(OR(K125&gt;C125,L125&lt;D125),"Period does not cover the PBC period",IF(AND(P125="Y",Q125=""),"IPE result needed",IF(AND(P125="Y",Q125&lt;&gt;"Pass"),"HOLD: IPE not Pass - do not sample","OK")))))))))</f>
        <v/>
      </c>
    </row>
    <row r="126" customFormat="false" ht="15" hidden="false" customHeight="false" outlineLevel="0" collapsed="false">
      <c r="A126" s="17"/>
      <c r="B126" s="17"/>
      <c r="C126" s="18" t="str">
        <f aca="false">IFERROR(INDEX(Ref_PBC!$B$2:$B$201,MATCH(B126,Ref_PBC!$A$2:$A$201,0)),"")</f>
        <v/>
      </c>
      <c r="D126" s="18" t="str">
        <f aca="false">IFERROR(INDEX(Ref_PBC!$C$2:$C$201,MATCH(B126,Ref_PBC!$A$2:$A$201,0)),"")</f>
        <v/>
      </c>
      <c r="E126" s="17"/>
      <c r="F126" s="17"/>
      <c r="G126" s="17"/>
      <c r="H126" s="17"/>
      <c r="I126" s="17"/>
      <c r="J126" s="19"/>
      <c r="K126" s="19"/>
      <c r="L126" s="19"/>
      <c r="M126" s="17"/>
      <c r="N126" s="19"/>
      <c r="O126" s="17"/>
      <c r="P126" s="20" t="str">
        <f aca="false">IF(A126="","",IF(IFERROR(INDEX(Ref_PBC!$D$2:$D$201,MATCH(B126,Ref_PBC!$A$2:$A$201,0)),"")="Population","Y","N"))</f>
        <v/>
      </c>
      <c r="Q126" s="17"/>
      <c r="R126" s="17"/>
      <c r="S126" s="20" t="str">
        <f aca="false">IF(A126="","",IF(OR(B126="",E126="",G126="",M126=""),"PBC-ID, filename, source system, record count needed",IF(COUNTIF(Ref_PBC!$A$2:$A$201,B126)=0,"PBC-ID not in W08",IF(LEFT(E126,LEN(A126)+1)&lt;&gt;A126&amp;"_","Filename must start with EV-ID_",IF(O126&lt;&gt;"Y","Original must be preserved (Y)",IF(OR(K126="",L126=""),"Period covered needed",IF(OR(K126&gt;C126,L126&lt;D126),"Period does not cover the PBC period",IF(AND(P126="Y",Q126=""),"IPE result needed",IF(AND(P126="Y",Q126&lt;&gt;"Pass"),"HOLD: IPE not Pass - do not sample","OK")))))))))</f>
        <v/>
      </c>
    </row>
    <row r="127" customFormat="false" ht="15" hidden="false" customHeight="false" outlineLevel="0" collapsed="false">
      <c r="A127" s="17"/>
      <c r="B127" s="17"/>
      <c r="C127" s="18" t="str">
        <f aca="false">IFERROR(INDEX(Ref_PBC!$B$2:$B$201,MATCH(B127,Ref_PBC!$A$2:$A$201,0)),"")</f>
        <v/>
      </c>
      <c r="D127" s="18" t="str">
        <f aca="false">IFERROR(INDEX(Ref_PBC!$C$2:$C$201,MATCH(B127,Ref_PBC!$A$2:$A$201,0)),"")</f>
        <v/>
      </c>
      <c r="E127" s="17"/>
      <c r="F127" s="17"/>
      <c r="G127" s="17"/>
      <c r="H127" s="17"/>
      <c r="I127" s="17"/>
      <c r="J127" s="19"/>
      <c r="K127" s="19"/>
      <c r="L127" s="19"/>
      <c r="M127" s="17"/>
      <c r="N127" s="19"/>
      <c r="O127" s="17"/>
      <c r="P127" s="20" t="str">
        <f aca="false">IF(A127="","",IF(IFERROR(INDEX(Ref_PBC!$D$2:$D$201,MATCH(B127,Ref_PBC!$A$2:$A$201,0)),"")="Population","Y","N"))</f>
        <v/>
      </c>
      <c r="Q127" s="17"/>
      <c r="R127" s="17"/>
      <c r="S127" s="20" t="str">
        <f aca="false">IF(A127="","",IF(OR(B127="",E127="",G127="",M127=""),"PBC-ID, filename, source system, record count needed",IF(COUNTIF(Ref_PBC!$A$2:$A$201,B127)=0,"PBC-ID not in W08",IF(LEFT(E127,LEN(A127)+1)&lt;&gt;A127&amp;"_","Filename must start with EV-ID_",IF(O127&lt;&gt;"Y","Original must be preserved (Y)",IF(OR(K127="",L127=""),"Period covered needed",IF(OR(K127&gt;C127,L127&lt;D127),"Period does not cover the PBC period",IF(AND(P127="Y",Q127=""),"IPE result needed",IF(AND(P127="Y",Q127&lt;&gt;"Pass"),"HOLD: IPE not Pass - do not sample","OK")))))))))</f>
        <v/>
      </c>
    </row>
    <row r="128" customFormat="false" ht="15" hidden="false" customHeight="false" outlineLevel="0" collapsed="false">
      <c r="A128" s="17"/>
      <c r="B128" s="17"/>
      <c r="C128" s="18" t="str">
        <f aca="false">IFERROR(INDEX(Ref_PBC!$B$2:$B$201,MATCH(B128,Ref_PBC!$A$2:$A$201,0)),"")</f>
        <v/>
      </c>
      <c r="D128" s="18" t="str">
        <f aca="false">IFERROR(INDEX(Ref_PBC!$C$2:$C$201,MATCH(B128,Ref_PBC!$A$2:$A$201,0)),"")</f>
        <v/>
      </c>
      <c r="E128" s="17"/>
      <c r="F128" s="17"/>
      <c r="G128" s="17"/>
      <c r="H128" s="17"/>
      <c r="I128" s="17"/>
      <c r="J128" s="19"/>
      <c r="K128" s="19"/>
      <c r="L128" s="19"/>
      <c r="M128" s="17"/>
      <c r="N128" s="19"/>
      <c r="O128" s="17"/>
      <c r="P128" s="20" t="str">
        <f aca="false">IF(A128="","",IF(IFERROR(INDEX(Ref_PBC!$D$2:$D$201,MATCH(B128,Ref_PBC!$A$2:$A$201,0)),"")="Population","Y","N"))</f>
        <v/>
      </c>
      <c r="Q128" s="17"/>
      <c r="R128" s="17"/>
      <c r="S128" s="20" t="str">
        <f aca="false">IF(A128="","",IF(OR(B128="",E128="",G128="",M128=""),"PBC-ID, filename, source system, record count needed",IF(COUNTIF(Ref_PBC!$A$2:$A$201,B128)=0,"PBC-ID not in W08",IF(LEFT(E128,LEN(A128)+1)&lt;&gt;A128&amp;"_","Filename must start with EV-ID_",IF(O128&lt;&gt;"Y","Original must be preserved (Y)",IF(OR(K128="",L128=""),"Period covered needed",IF(OR(K128&gt;C128,L128&lt;D128),"Period does not cover the PBC period",IF(AND(P128="Y",Q128=""),"IPE result needed",IF(AND(P128="Y",Q128&lt;&gt;"Pass"),"HOLD: IPE not Pass - do not sample","OK")))))))))</f>
        <v/>
      </c>
    </row>
    <row r="129" customFormat="false" ht="15" hidden="false" customHeight="false" outlineLevel="0" collapsed="false">
      <c r="A129" s="17"/>
      <c r="B129" s="17"/>
      <c r="C129" s="18" t="str">
        <f aca="false">IFERROR(INDEX(Ref_PBC!$B$2:$B$201,MATCH(B129,Ref_PBC!$A$2:$A$201,0)),"")</f>
        <v/>
      </c>
      <c r="D129" s="18" t="str">
        <f aca="false">IFERROR(INDEX(Ref_PBC!$C$2:$C$201,MATCH(B129,Ref_PBC!$A$2:$A$201,0)),"")</f>
        <v/>
      </c>
      <c r="E129" s="17"/>
      <c r="F129" s="17"/>
      <c r="G129" s="17"/>
      <c r="H129" s="17"/>
      <c r="I129" s="17"/>
      <c r="J129" s="19"/>
      <c r="K129" s="19"/>
      <c r="L129" s="19"/>
      <c r="M129" s="17"/>
      <c r="N129" s="19"/>
      <c r="O129" s="17"/>
      <c r="P129" s="20" t="str">
        <f aca="false">IF(A129="","",IF(IFERROR(INDEX(Ref_PBC!$D$2:$D$201,MATCH(B129,Ref_PBC!$A$2:$A$201,0)),"")="Population","Y","N"))</f>
        <v/>
      </c>
      <c r="Q129" s="17"/>
      <c r="R129" s="17"/>
      <c r="S129" s="20" t="str">
        <f aca="false">IF(A129="","",IF(OR(B129="",E129="",G129="",M129=""),"PBC-ID, filename, source system, record count needed",IF(COUNTIF(Ref_PBC!$A$2:$A$201,B129)=0,"PBC-ID not in W08",IF(LEFT(E129,LEN(A129)+1)&lt;&gt;A129&amp;"_","Filename must start with EV-ID_",IF(O129&lt;&gt;"Y","Original must be preserved (Y)",IF(OR(K129="",L129=""),"Period covered needed",IF(OR(K129&gt;C129,L129&lt;D129),"Period does not cover the PBC period",IF(AND(P129="Y",Q129=""),"IPE result needed",IF(AND(P129="Y",Q129&lt;&gt;"Pass"),"HOLD: IPE not Pass - do not sample","OK")))))))))</f>
        <v/>
      </c>
    </row>
    <row r="130" customFormat="false" ht="15" hidden="false" customHeight="false" outlineLevel="0" collapsed="false">
      <c r="A130" s="17"/>
      <c r="B130" s="17"/>
      <c r="C130" s="18" t="str">
        <f aca="false">IFERROR(INDEX(Ref_PBC!$B$2:$B$201,MATCH(B130,Ref_PBC!$A$2:$A$201,0)),"")</f>
        <v/>
      </c>
      <c r="D130" s="18" t="str">
        <f aca="false">IFERROR(INDEX(Ref_PBC!$C$2:$C$201,MATCH(B130,Ref_PBC!$A$2:$A$201,0)),"")</f>
        <v/>
      </c>
      <c r="E130" s="17"/>
      <c r="F130" s="17"/>
      <c r="G130" s="17"/>
      <c r="H130" s="17"/>
      <c r="I130" s="17"/>
      <c r="J130" s="19"/>
      <c r="K130" s="19"/>
      <c r="L130" s="19"/>
      <c r="M130" s="17"/>
      <c r="N130" s="19"/>
      <c r="O130" s="17"/>
      <c r="P130" s="20" t="str">
        <f aca="false">IF(A130="","",IF(IFERROR(INDEX(Ref_PBC!$D$2:$D$201,MATCH(B130,Ref_PBC!$A$2:$A$201,0)),"")="Population","Y","N"))</f>
        <v/>
      </c>
      <c r="Q130" s="17"/>
      <c r="R130" s="17"/>
      <c r="S130" s="20" t="str">
        <f aca="false">IF(A130="","",IF(OR(B130="",E130="",G130="",M130=""),"PBC-ID, filename, source system, record count needed",IF(COUNTIF(Ref_PBC!$A$2:$A$201,B130)=0,"PBC-ID not in W08",IF(LEFT(E130,LEN(A130)+1)&lt;&gt;A130&amp;"_","Filename must start with EV-ID_",IF(O130&lt;&gt;"Y","Original must be preserved (Y)",IF(OR(K130="",L130=""),"Period covered needed",IF(OR(K130&gt;C130,L130&lt;D130),"Period does not cover the PBC period",IF(AND(P130="Y",Q130=""),"IPE result needed",IF(AND(P130="Y",Q130&lt;&gt;"Pass"),"HOLD: IPE not Pass - do not sample","OK")))))))))</f>
        <v/>
      </c>
    </row>
    <row r="131" customFormat="false" ht="15" hidden="false" customHeight="false" outlineLevel="0" collapsed="false">
      <c r="A131" s="17"/>
      <c r="B131" s="17"/>
      <c r="C131" s="18" t="str">
        <f aca="false">IFERROR(INDEX(Ref_PBC!$B$2:$B$201,MATCH(B131,Ref_PBC!$A$2:$A$201,0)),"")</f>
        <v/>
      </c>
      <c r="D131" s="18" t="str">
        <f aca="false">IFERROR(INDEX(Ref_PBC!$C$2:$C$201,MATCH(B131,Ref_PBC!$A$2:$A$201,0)),"")</f>
        <v/>
      </c>
      <c r="E131" s="17"/>
      <c r="F131" s="17"/>
      <c r="G131" s="17"/>
      <c r="H131" s="17"/>
      <c r="I131" s="17"/>
      <c r="J131" s="19"/>
      <c r="K131" s="19"/>
      <c r="L131" s="19"/>
      <c r="M131" s="17"/>
      <c r="N131" s="19"/>
      <c r="O131" s="17"/>
      <c r="P131" s="20" t="str">
        <f aca="false">IF(A131="","",IF(IFERROR(INDEX(Ref_PBC!$D$2:$D$201,MATCH(B131,Ref_PBC!$A$2:$A$201,0)),"")="Population","Y","N"))</f>
        <v/>
      </c>
      <c r="Q131" s="17"/>
      <c r="R131" s="17"/>
      <c r="S131" s="20" t="str">
        <f aca="false">IF(A131="","",IF(OR(B131="",E131="",G131="",M131=""),"PBC-ID, filename, source system, record count needed",IF(COUNTIF(Ref_PBC!$A$2:$A$201,B131)=0,"PBC-ID not in W08",IF(LEFT(E131,LEN(A131)+1)&lt;&gt;A131&amp;"_","Filename must start with EV-ID_",IF(O131&lt;&gt;"Y","Original must be preserved (Y)",IF(OR(K131="",L131=""),"Period covered needed",IF(OR(K131&gt;C131,L131&lt;D131),"Period does not cover the PBC period",IF(AND(P131="Y",Q131=""),"IPE result needed",IF(AND(P131="Y",Q131&lt;&gt;"Pass"),"HOLD: IPE not Pass - do not sample","OK")))))))))</f>
        <v/>
      </c>
    </row>
    <row r="132" customFormat="false" ht="15" hidden="false" customHeight="false" outlineLevel="0" collapsed="false">
      <c r="A132" s="17"/>
      <c r="B132" s="17"/>
      <c r="C132" s="18" t="str">
        <f aca="false">IFERROR(INDEX(Ref_PBC!$B$2:$B$201,MATCH(B132,Ref_PBC!$A$2:$A$201,0)),"")</f>
        <v/>
      </c>
      <c r="D132" s="18" t="str">
        <f aca="false">IFERROR(INDEX(Ref_PBC!$C$2:$C$201,MATCH(B132,Ref_PBC!$A$2:$A$201,0)),"")</f>
        <v/>
      </c>
      <c r="E132" s="17"/>
      <c r="F132" s="17"/>
      <c r="G132" s="17"/>
      <c r="H132" s="17"/>
      <c r="I132" s="17"/>
      <c r="J132" s="19"/>
      <c r="K132" s="19"/>
      <c r="L132" s="19"/>
      <c r="M132" s="17"/>
      <c r="N132" s="19"/>
      <c r="O132" s="17"/>
      <c r="P132" s="20" t="str">
        <f aca="false">IF(A132="","",IF(IFERROR(INDEX(Ref_PBC!$D$2:$D$201,MATCH(B132,Ref_PBC!$A$2:$A$201,0)),"")="Population","Y","N"))</f>
        <v/>
      </c>
      <c r="Q132" s="17"/>
      <c r="R132" s="17"/>
      <c r="S132" s="20" t="str">
        <f aca="false">IF(A132="","",IF(OR(B132="",E132="",G132="",M132=""),"PBC-ID, filename, source system, record count needed",IF(COUNTIF(Ref_PBC!$A$2:$A$201,B132)=0,"PBC-ID not in W08",IF(LEFT(E132,LEN(A132)+1)&lt;&gt;A132&amp;"_","Filename must start with EV-ID_",IF(O132&lt;&gt;"Y","Original must be preserved (Y)",IF(OR(K132="",L132=""),"Period covered needed",IF(OR(K132&gt;C132,L132&lt;D132),"Period does not cover the PBC period",IF(AND(P132="Y",Q132=""),"IPE result needed",IF(AND(P132="Y",Q132&lt;&gt;"Pass"),"HOLD: IPE not Pass - do not sample","OK")))))))))</f>
        <v/>
      </c>
    </row>
    <row r="133" customFormat="false" ht="15" hidden="false" customHeight="false" outlineLevel="0" collapsed="false">
      <c r="A133" s="17"/>
      <c r="B133" s="17"/>
      <c r="C133" s="18" t="str">
        <f aca="false">IFERROR(INDEX(Ref_PBC!$B$2:$B$201,MATCH(B133,Ref_PBC!$A$2:$A$201,0)),"")</f>
        <v/>
      </c>
      <c r="D133" s="18" t="str">
        <f aca="false">IFERROR(INDEX(Ref_PBC!$C$2:$C$201,MATCH(B133,Ref_PBC!$A$2:$A$201,0)),"")</f>
        <v/>
      </c>
      <c r="E133" s="17"/>
      <c r="F133" s="17"/>
      <c r="G133" s="17"/>
      <c r="H133" s="17"/>
      <c r="I133" s="17"/>
      <c r="J133" s="19"/>
      <c r="K133" s="19"/>
      <c r="L133" s="19"/>
      <c r="M133" s="17"/>
      <c r="N133" s="19"/>
      <c r="O133" s="17"/>
      <c r="P133" s="20" t="str">
        <f aca="false">IF(A133="","",IF(IFERROR(INDEX(Ref_PBC!$D$2:$D$201,MATCH(B133,Ref_PBC!$A$2:$A$201,0)),"")="Population","Y","N"))</f>
        <v/>
      </c>
      <c r="Q133" s="17"/>
      <c r="R133" s="17"/>
      <c r="S133" s="20" t="str">
        <f aca="false">IF(A133="","",IF(OR(B133="",E133="",G133="",M133=""),"PBC-ID, filename, source system, record count needed",IF(COUNTIF(Ref_PBC!$A$2:$A$201,B133)=0,"PBC-ID not in W08",IF(LEFT(E133,LEN(A133)+1)&lt;&gt;A133&amp;"_","Filename must start with EV-ID_",IF(O133&lt;&gt;"Y","Original must be preserved (Y)",IF(OR(K133="",L133=""),"Period covered needed",IF(OR(K133&gt;C133,L133&lt;D133),"Period does not cover the PBC period",IF(AND(P133="Y",Q133=""),"IPE result needed",IF(AND(P133="Y",Q133&lt;&gt;"Pass"),"HOLD: IPE not Pass - do not sample","OK")))))))))</f>
        <v/>
      </c>
    </row>
    <row r="134" customFormat="false" ht="15" hidden="false" customHeight="false" outlineLevel="0" collapsed="false">
      <c r="A134" s="17"/>
      <c r="B134" s="17"/>
      <c r="C134" s="18" t="str">
        <f aca="false">IFERROR(INDEX(Ref_PBC!$B$2:$B$201,MATCH(B134,Ref_PBC!$A$2:$A$201,0)),"")</f>
        <v/>
      </c>
      <c r="D134" s="18" t="str">
        <f aca="false">IFERROR(INDEX(Ref_PBC!$C$2:$C$201,MATCH(B134,Ref_PBC!$A$2:$A$201,0)),"")</f>
        <v/>
      </c>
      <c r="E134" s="17"/>
      <c r="F134" s="17"/>
      <c r="G134" s="17"/>
      <c r="H134" s="17"/>
      <c r="I134" s="17"/>
      <c r="J134" s="19"/>
      <c r="K134" s="19"/>
      <c r="L134" s="19"/>
      <c r="M134" s="17"/>
      <c r="N134" s="19"/>
      <c r="O134" s="17"/>
      <c r="P134" s="20" t="str">
        <f aca="false">IF(A134="","",IF(IFERROR(INDEX(Ref_PBC!$D$2:$D$201,MATCH(B134,Ref_PBC!$A$2:$A$201,0)),"")="Population","Y","N"))</f>
        <v/>
      </c>
      <c r="Q134" s="17"/>
      <c r="R134" s="17"/>
      <c r="S134" s="20" t="str">
        <f aca="false">IF(A134="","",IF(OR(B134="",E134="",G134="",M134=""),"PBC-ID, filename, source system, record count needed",IF(COUNTIF(Ref_PBC!$A$2:$A$201,B134)=0,"PBC-ID not in W08",IF(LEFT(E134,LEN(A134)+1)&lt;&gt;A134&amp;"_","Filename must start with EV-ID_",IF(O134&lt;&gt;"Y","Original must be preserved (Y)",IF(OR(K134="",L134=""),"Period covered needed",IF(OR(K134&gt;C134,L134&lt;D134),"Period does not cover the PBC period",IF(AND(P134="Y",Q134=""),"IPE result needed",IF(AND(P134="Y",Q134&lt;&gt;"Pass"),"HOLD: IPE not Pass - do not sample","OK")))))))))</f>
        <v/>
      </c>
    </row>
    <row r="135" customFormat="false" ht="15" hidden="false" customHeight="false" outlineLevel="0" collapsed="false">
      <c r="A135" s="17"/>
      <c r="B135" s="17"/>
      <c r="C135" s="18" t="str">
        <f aca="false">IFERROR(INDEX(Ref_PBC!$B$2:$B$201,MATCH(B135,Ref_PBC!$A$2:$A$201,0)),"")</f>
        <v/>
      </c>
      <c r="D135" s="18" t="str">
        <f aca="false">IFERROR(INDEX(Ref_PBC!$C$2:$C$201,MATCH(B135,Ref_PBC!$A$2:$A$201,0)),"")</f>
        <v/>
      </c>
      <c r="E135" s="17"/>
      <c r="F135" s="17"/>
      <c r="G135" s="17"/>
      <c r="H135" s="17"/>
      <c r="I135" s="17"/>
      <c r="J135" s="19"/>
      <c r="K135" s="19"/>
      <c r="L135" s="19"/>
      <c r="M135" s="17"/>
      <c r="N135" s="19"/>
      <c r="O135" s="17"/>
      <c r="P135" s="20" t="str">
        <f aca="false">IF(A135="","",IF(IFERROR(INDEX(Ref_PBC!$D$2:$D$201,MATCH(B135,Ref_PBC!$A$2:$A$201,0)),"")="Population","Y","N"))</f>
        <v/>
      </c>
      <c r="Q135" s="17"/>
      <c r="R135" s="17"/>
      <c r="S135" s="20" t="str">
        <f aca="false">IF(A135="","",IF(OR(B135="",E135="",G135="",M135=""),"PBC-ID, filename, source system, record count needed",IF(COUNTIF(Ref_PBC!$A$2:$A$201,B135)=0,"PBC-ID not in W08",IF(LEFT(E135,LEN(A135)+1)&lt;&gt;A135&amp;"_","Filename must start with EV-ID_",IF(O135&lt;&gt;"Y","Original must be preserved (Y)",IF(OR(K135="",L135=""),"Period covered needed",IF(OR(K135&gt;C135,L135&lt;D135),"Period does not cover the PBC period",IF(AND(P135="Y",Q135=""),"IPE result needed",IF(AND(P135="Y",Q135&lt;&gt;"Pass"),"HOLD: IPE not Pass - do not sample","OK")))))))))</f>
        <v/>
      </c>
    </row>
    <row r="136" customFormat="false" ht="15" hidden="false" customHeight="false" outlineLevel="0" collapsed="false">
      <c r="A136" s="17"/>
      <c r="B136" s="17"/>
      <c r="C136" s="18" t="str">
        <f aca="false">IFERROR(INDEX(Ref_PBC!$B$2:$B$201,MATCH(B136,Ref_PBC!$A$2:$A$201,0)),"")</f>
        <v/>
      </c>
      <c r="D136" s="18" t="str">
        <f aca="false">IFERROR(INDEX(Ref_PBC!$C$2:$C$201,MATCH(B136,Ref_PBC!$A$2:$A$201,0)),"")</f>
        <v/>
      </c>
      <c r="E136" s="17"/>
      <c r="F136" s="17"/>
      <c r="G136" s="17"/>
      <c r="H136" s="17"/>
      <c r="I136" s="17"/>
      <c r="J136" s="19"/>
      <c r="K136" s="19"/>
      <c r="L136" s="19"/>
      <c r="M136" s="17"/>
      <c r="N136" s="19"/>
      <c r="O136" s="17"/>
      <c r="P136" s="20" t="str">
        <f aca="false">IF(A136="","",IF(IFERROR(INDEX(Ref_PBC!$D$2:$D$201,MATCH(B136,Ref_PBC!$A$2:$A$201,0)),"")="Population","Y","N"))</f>
        <v/>
      </c>
      <c r="Q136" s="17"/>
      <c r="R136" s="17"/>
      <c r="S136" s="20" t="str">
        <f aca="false">IF(A136="","",IF(OR(B136="",E136="",G136="",M136=""),"PBC-ID, filename, source system, record count needed",IF(COUNTIF(Ref_PBC!$A$2:$A$201,B136)=0,"PBC-ID not in W08",IF(LEFT(E136,LEN(A136)+1)&lt;&gt;A136&amp;"_","Filename must start with EV-ID_",IF(O136&lt;&gt;"Y","Original must be preserved (Y)",IF(OR(K136="",L136=""),"Period covered needed",IF(OR(K136&gt;C136,L136&lt;D136),"Period does not cover the PBC period",IF(AND(P136="Y",Q136=""),"IPE result needed",IF(AND(P136="Y",Q136&lt;&gt;"Pass"),"HOLD: IPE not Pass - do not sample","OK")))))))))</f>
        <v/>
      </c>
    </row>
    <row r="137" customFormat="false" ht="15" hidden="false" customHeight="false" outlineLevel="0" collapsed="false">
      <c r="A137" s="17"/>
      <c r="B137" s="17"/>
      <c r="C137" s="18" t="str">
        <f aca="false">IFERROR(INDEX(Ref_PBC!$B$2:$B$201,MATCH(B137,Ref_PBC!$A$2:$A$201,0)),"")</f>
        <v/>
      </c>
      <c r="D137" s="18" t="str">
        <f aca="false">IFERROR(INDEX(Ref_PBC!$C$2:$C$201,MATCH(B137,Ref_PBC!$A$2:$A$201,0)),"")</f>
        <v/>
      </c>
      <c r="E137" s="17"/>
      <c r="F137" s="17"/>
      <c r="G137" s="17"/>
      <c r="H137" s="17"/>
      <c r="I137" s="17"/>
      <c r="J137" s="19"/>
      <c r="K137" s="19"/>
      <c r="L137" s="19"/>
      <c r="M137" s="17"/>
      <c r="N137" s="19"/>
      <c r="O137" s="17"/>
      <c r="P137" s="20" t="str">
        <f aca="false">IF(A137="","",IF(IFERROR(INDEX(Ref_PBC!$D$2:$D$201,MATCH(B137,Ref_PBC!$A$2:$A$201,0)),"")="Population","Y","N"))</f>
        <v/>
      </c>
      <c r="Q137" s="17"/>
      <c r="R137" s="17"/>
      <c r="S137" s="20" t="str">
        <f aca="false">IF(A137="","",IF(OR(B137="",E137="",G137="",M137=""),"PBC-ID, filename, source system, record count needed",IF(COUNTIF(Ref_PBC!$A$2:$A$201,B137)=0,"PBC-ID not in W08",IF(LEFT(E137,LEN(A137)+1)&lt;&gt;A137&amp;"_","Filename must start with EV-ID_",IF(O137&lt;&gt;"Y","Original must be preserved (Y)",IF(OR(K137="",L137=""),"Period covered needed",IF(OR(K137&gt;C137,L137&lt;D137),"Period does not cover the PBC period",IF(AND(P137="Y",Q137=""),"IPE result needed",IF(AND(P137="Y",Q137&lt;&gt;"Pass"),"HOLD: IPE not Pass - do not sample","OK")))))))))</f>
        <v/>
      </c>
    </row>
    <row r="138" customFormat="false" ht="15" hidden="false" customHeight="false" outlineLevel="0" collapsed="false">
      <c r="A138" s="17"/>
      <c r="B138" s="17"/>
      <c r="C138" s="18" t="str">
        <f aca="false">IFERROR(INDEX(Ref_PBC!$B$2:$B$201,MATCH(B138,Ref_PBC!$A$2:$A$201,0)),"")</f>
        <v/>
      </c>
      <c r="D138" s="18" t="str">
        <f aca="false">IFERROR(INDEX(Ref_PBC!$C$2:$C$201,MATCH(B138,Ref_PBC!$A$2:$A$201,0)),"")</f>
        <v/>
      </c>
      <c r="E138" s="17"/>
      <c r="F138" s="17"/>
      <c r="G138" s="17"/>
      <c r="H138" s="17"/>
      <c r="I138" s="17"/>
      <c r="J138" s="19"/>
      <c r="K138" s="19"/>
      <c r="L138" s="19"/>
      <c r="M138" s="17"/>
      <c r="N138" s="19"/>
      <c r="O138" s="17"/>
      <c r="P138" s="20" t="str">
        <f aca="false">IF(A138="","",IF(IFERROR(INDEX(Ref_PBC!$D$2:$D$201,MATCH(B138,Ref_PBC!$A$2:$A$201,0)),"")="Population","Y","N"))</f>
        <v/>
      </c>
      <c r="Q138" s="17"/>
      <c r="R138" s="17"/>
      <c r="S138" s="20" t="str">
        <f aca="false">IF(A138="","",IF(OR(B138="",E138="",G138="",M138=""),"PBC-ID, filename, source system, record count needed",IF(COUNTIF(Ref_PBC!$A$2:$A$201,B138)=0,"PBC-ID not in W08",IF(LEFT(E138,LEN(A138)+1)&lt;&gt;A138&amp;"_","Filename must start with EV-ID_",IF(O138&lt;&gt;"Y","Original must be preserved (Y)",IF(OR(K138="",L138=""),"Period covered needed",IF(OR(K138&gt;C138,L138&lt;D138),"Period does not cover the PBC period",IF(AND(P138="Y",Q138=""),"IPE result needed",IF(AND(P138="Y",Q138&lt;&gt;"Pass"),"HOLD: IPE not Pass - do not sample","OK")))))))))</f>
        <v/>
      </c>
    </row>
    <row r="139" customFormat="false" ht="15" hidden="false" customHeight="false" outlineLevel="0" collapsed="false">
      <c r="A139" s="17"/>
      <c r="B139" s="17"/>
      <c r="C139" s="18" t="str">
        <f aca="false">IFERROR(INDEX(Ref_PBC!$B$2:$B$201,MATCH(B139,Ref_PBC!$A$2:$A$201,0)),"")</f>
        <v/>
      </c>
      <c r="D139" s="18" t="str">
        <f aca="false">IFERROR(INDEX(Ref_PBC!$C$2:$C$201,MATCH(B139,Ref_PBC!$A$2:$A$201,0)),"")</f>
        <v/>
      </c>
      <c r="E139" s="17"/>
      <c r="F139" s="17"/>
      <c r="G139" s="17"/>
      <c r="H139" s="17"/>
      <c r="I139" s="17"/>
      <c r="J139" s="19"/>
      <c r="K139" s="19"/>
      <c r="L139" s="19"/>
      <c r="M139" s="17"/>
      <c r="N139" s="19"/>
      <c r="O139" s="17"/>
      <c r="P139" s="20" t="str">
        <f aca="false">IF(A139="","",IF(IFERROR(INDEX(Ref_PBC!$D$2:$D$201,MATCH(B139,Ref_PBC!$A$2:$A$201,0)),"")="Population","Y","N"))</f>
        <v/>
      </c>
      <c r="Q139" s="17"/>
      <c r="R139" s="17"/>
      <c r="S139" s="20" t="str">
        <f aca="false">IF(A139="","",IF(OR(B139="",E139="",G139="",M139=""),"PBC-ID, filename, source system, record count needed",IF(COUNTIF(Ref_PBC!$A$2:$A$201,B139)=0,"PBC-ID not in W08",IF(LEFT(E139,LEN(A139)+1)&lt;&gt;A139&amp;"_","Filename must start with EV-ID_",IF(O139&lt;&gt;"Y","Original must be preserved (Y)",IF(OR(K139="",L139=""),"Period covered needed",IF(OR(K139&gt;C139,L139&lt;D139),"Period does not cover the PBC period",IF(AND(P139="Y",Q139=""),"IPE result needed",IF(AND(P139="Y",Q139&lt;&gt;"Pass"),"HOLD: IPE not Pass - do not sample","OK")))))))))</f>
        <v/>
      </c>
    </row>
    <row r="140" customFormat="false" ht="15" hidden="false" customHeight="false" outlineLevel="0" collapsed="false">
      <c r="A140" s="17"/>
      <c r="B140" s="17"/>
      <c r="C140" s="18" t="str">
        <f aca="false">IFERROR(INDEX(Ref_PBC!$B$2:$B$201,MATCH(B140,Ref_PBC!$A$2:$A$201,0)),"")</f>
        <v/>
      </c>
      <c r="D140" s="18" t="str">
        <f aca="false">IFERROR(INDEX(Ref_PBC!$C$2:$C$201,MATCH(B140,Ref_PBC!$A$2:$A$201,0)),"")</f>
        <v/>
      </c>
      <c r="E140" s="17"/>
      <c r="F140" s="17"/>
      <c r="G140" s="17"/>
      <c r="H140" s="17"/>
      <c r="I140" s="17"/>
      <c r="J140" s="19"/>
      <c r="K140" s="19"/>
      <c r="L140" s="19"/>
      <c r="M140" s="17"/>
      <c r="N140" s="19"/>
      <c r="O140" s="17"/>
      <c r="P140" s="20" t="str">
        <f aca="false">IF(A140="","",IF(IFERROR(INDEX(Ref_PBC!$D$2:$D$201,MATCH(B140,Ref_PBC!$A$2:$A$201,0)),"")="Population","Y","N"))</f>
        <v/>
      </c>
      <c r="Q140" s="17"/>
      <c r="R140" s="17"/>
      <c r="S140" s="20" t="str">
        <f aca="false">IF(A140="","",IF(OR(B140="",E140="",G140="",M140=""),"PBC-ID, filename, source system, record count needed",IF(COUNTIF(Ref_PBC!$A$2:$A$201,B140)=0,"PBC-ID not in W08",IF(LEFT(E140,LEN(A140)+1)&lt;&gt;A140&amp;"_","Filename must start with EV-ID_",IF(O140&lt;&gt;"Y","Original must be preserved (Y)",IF(OR(K140="",L140=""),"Period covered needed",IF(OR(K140&gt;C140,L140&lt;D140),"Period does not cover the PBC period",IF(AND(P140="Y",Q140=""),"IPE result needed",IF(AND(P140="Y",Q140&lt;&gt;"Pass"),"HOLD: IPE not Pass - do not sample","OK")))))))))</f>
        <v/>
      </c>
    </row>
    <row r="141" customFormat="false" ht="15" hidden="false" customHeight="false" outlineLevel="0" collapsed="false">
      <c r="A141" s="17"/>
      <c r="B141" s="17"/>
      <c r="C141" s="18" t="str">
        <f aca="false">IFERROR(INDEX(Ref_PBC!$B$2:$B$201,MATCH(B141,Ref_PBC!$A$2:$A$201,0)),"")</f>
        <v/>
      </c>
      <c r="D141" s="18" t="str">
        <f aca="false">IFERROR(INDEX(Ref_PBC!$C$2:$C$201,MATCH(B141,Ref_PBC!$A$2:$A$201,0)),"")</f>
        <v/>
      </c>
      <c r="E141" s="17"/>
      <c r="F141" s="17"/>
      <c r="G141" s="17"/>
      <c r="H141" s="17"/>
      <c r="I141" s="17"/>
      <c r="J141" s="19"/>
      <c r="K141" s="19"/>
      <c r="L141" s="19"/>
      <c r="M141" s="17"/>
      <c r="N141" s="19"/>
      <c r="O141" s="17"/>
      <c r="P141" s="20" t="str">
        <f aca="false">IF(A141="","",IF(IFERROR(INDEX(Ref_PBC!$D$2:$D$201,MATCH(B141,Ref_PBC!$A$2:$A$201,0)),"")="Population","Y","N"))</f>
        <v/>
      </c>
      <c r="Q141" s="17"/>
      <c r="R141" s="17"/>
      <c r="S141" s="20" t="str">
        <f aca="false">IF(A141="","",IF(OR(B141="",E141="",G141="",M141=""),"PBC-ID, filename, source system, record count needed",IF(COUNTIF(Ref_PBC!$A$2:$A$201,B141)=0,"PBC-ID not in W08",IF(LEFT(E141,LEN(A141)+1)&lt;&gt;A141&amp;"_","Filename must start with EV-ID_",IF(O141&lt;&gt;"Y","Original must be preserved (Y)",IF(OR(K141="",L141=""),"Period covered needed",IF(OR(K141&gt;C141,L141&lt;D141),"Period does not cover the PBC period",IF(AND(P141="Y",Q141=""),"IPE result needed",IF(AND(P141="Y",Q141&lt;&gt;"Pass"),"HOLD: IPE not Pass - do not sample","OK")))))))))</f>
        <v/>
      </c>
    </row>
    <row r="142" customFormat="false" ht="15" hidden="false" customHeight="false" outlineLevel="0" collapsed="false">
      <c r="A142" s="17"/>
      <c r="B142" s="17"/>
      <c r="C142" s="18" t="str">
        <f aca="false">IFERROR(INDEX(Ref_PBC!$B$2:$B$201,MATCH(B142,Ref_PBC!$A$2:$A$201,0)),"")</f>
        <v/>
      </c>
      <c r="D142" s="18" t="str">
        <f aca="false">IFERROR(INDEX(Ref_PBC!$C$2:$C$201,MATCH(B142,Ref_PBC!$A$2:$A$201,0)),"")</f>
        <v/>
      </c>
      <c r="E142" s="17"/>
      <c r="F142" s="17"/>
      <c r="G142" s="17"/>
      <c r="H142" s="17"/>
      <c r="I142" s="17"/>
      <c r="J142" s="19"/>
      <c r="K142" s="19"/>
      <c r="L142" s="19"/>
      <c r="M142" s="17"/>
      <c r="N142" s="19"/>
      <c r="O142" s="17"/>
      <c r="P142" s="20" t="str">
        <f aca="false">IF(A142="","",IF(IFERROR(INDEX(Ref_PBC!$D$2:$D$201,MATCH(B142,Ref_PBC!$A$2:$A$201,0)),"")="Population","Y","N"))</f>
        <v/>
      </c>
      <c r="Q142" s="17"/>
      <c r="R142" s="17"/>
      <c r="S142" s="20" t="str">
        <f aca="false">IF(A142="","",IF(OR(B142="",E142="",G142="",M142=""),"PBC-ID, filename, source system, record count needed",IF(COUNTIF(Ref_PBC!$A$2:$A$201,B142)=0,"PBC-ID not in W08",IF(LEFT(E142,LEN(A142)+1)&lt;&gt;A142&amp;"_","Filename must start with EV-ID_",IF(O142&lt;&gt;"Y","Original must be preserved (Y)",IF(OR(K142="",L142=""),"Period covered needed",IF(OR(K142&gt;C142,L142&lt;D142),"Period does not cover the PBC period",IF(AND(P142="Y",Q142=""),"IPE result needed",IF(AND(P142="Y",Q142&lt;&gt;"Pass"),"HOLD: IPE not Pass - do not sample","OK")))))))))</f>
        <v/>
      </c>
    </row>
    <row r="143" customFormat="false" ht="15" hidden="false" customHeight="false" outlineLevel="0" collapsed="false">
      <c r="A143" s="17"/>
      <c r="B143" s="17"/>
      <c r="C143" s="18" t="str">
        <f aca="false">IFERROR(INDEX(Ref_PBC!$B$2:$B$201,MATCH(B143,Ref_PBC!$A$2:$A$201,0)),"")</f>
        <v/>
      </c>
      <c r="D143" s="18" t="str">
        <f aca="false">IFERROR(INDEX(Ref_PBC!$C$2:$C$201,MATCH(B143,Ref_PBC!$A$2:$A$201,0)),"")</f>
        <v/>
      </c>
      <c r="E143" s="17"/>
      <c r="F143" s="17"/>
      <c r="G143" s="17"/>
      <c r="H143" s="17"/>
      <c r="I143" s="17"/>
      <c r="J143" s="19"/>
      <c r="K143" s="19"/>
      <c r="L143" s="19"/>
      <c r="M143" s="17"/>
      <c r="N143" s="19"/>
      <c r="O143" s="17"/>
      <c r="P143" s="20" t="str">
        <f aca="false">IF(A143="","",IF(IFERROR(INDEX(Ref_PBC!$D$2:$D$201,MATCH(B143,Ref_PBC!$A$2:$A$201,0)),"")="Population","Y","N"))</f>
        <v/>
      </c>
      <c r="Q143" s="17"/>
      <c r="R143" s="17"/>
      <c r="S143" s="20" t="str">
        <f aca="false">IF(A143="","",IF(OR(B143="",E143="",G143="",M143=""),"PBC-ID, filename, source system, record count needed",IF(COUNTIF(Ref_PBC!$A$2:$A$201,B143)=0,"PBC-ID not in W08",IF(LEFT(E143,LEN(A143)+1)&lt;&gt;A143&amp;"_","Filename must start with EV-ID_",IF(O143&lt;&gt;"Y","Original must be preserved (Y)",IF(OR(K143="",L143=""),"Period covered needed",IF(OR(K143&gt;C143,L143&lt;D143),"Period does not cover the PBC period",IF(AND(P143="Y",Q143=""),"IPE result needed",IF(AND(P143="Y",Q143&lt;&gt;"Pass"),"HOLD: IPE not Pass - do not sample","OK")))))))))</f>
        <v/>
      </c>
    </row>
    <row r="144" customFormat="false" ht="15" hidden="false" customHeight="false" outlineLevel="0" collapsed="false">
      <c r="A144" s="17"/>
      <c r="B144" s="17"/>
      <c r="C144" s="18" t="str">
        <f aca="false">IFERROR(INDEX(Ref_PBC!$B$2:$B$201,MATCH(B144,Ref_PBC!$A$2:$A$201,0)),"")</f>
        <v/>
      </c>
      <c r="D144" s="18" t="str">
        <f aca="false">IFERROR(INDEX(Ref_PBC!$C$2:$C$201,MATCH(B144,Ref_PBC!$A$2:$A$201,0)),"")</f>
        <v/>
      </c>
      <c r="E144" s="17"/>
      <c r="F144" s="17"/>
      <c r="G144" s="17"/>
      <c r="H144" s="17"/>
      <c r="I144" s="17"/>
      <c r="J144" s="19"/>
      <c r="K144" s="19"/>
      <c r="L144" s="19"/>
      <c r="M144" s="17"/>
      <c r="N144" s="19"/>
      <c r="O144" s="17"/>
      <c r="P144" s="20" t="str">
        <f aca="false">IF(A144="","",IF(IFERROR(INDEX(Ref_PBC!$D$2:$D$201,MATCH(B144,Ref_PBC!$A$2:$A$201,0)),"")="Population","Y","N"))</f>
        <v/>
      </c>
      <c r="Q144" s="17"/>
      <c r="R144" s="17"/>
      <c r="S144" s="20" t="str">
        <f aca="false">IF(A144="","",IF(OR(B144="",E144="",G144="",M144=""),"PBC-ID, filename, source system, record count needed",IF(COUNTIF(Ref_PBC!$A$2:$A$201,B144)=0,"PBC-ID not in W08",IF(LEFT(E144,LEN(A144)+1)&lt;&gt;A144&amp;"_","Filename must start with EV-ID_",IF(O144&lt;&gt;"Y","Original must be preserved (Y)",IF(OR(K144="",L144=""),"Period covered needed",IF(OR(K144&gt;C144,L144&lt;D144),"Period does not cover the PBC period",IF(AND(P144="Y",Q144=""),"IPE result needed",IF(AND(P144="Y",Q144&lt;&gt;"Pass"),"HOLD: IPE not Pass - do not sample","OK")))))))))</f>
        <v/>
      </c>
    </row>
    <row r="145" customFormat="false" ht="15" hidden="false" customHeight="false" outlineLevel="0" collapsed="false">
      <c r="A145" s="17"/>
      <c r="B145" s="17"/>
      <c r="C145" s="18" t="str">
        <f aca="false">IFERROR(INDEX(Ref_PBC!$B$2:$B$201,MATCH(B145,Ref_PBC!$A$2:$A$201,0)),"")</f>
        <v/>
      </c>
      <c r="D145" s="18" t="str">
        <f aca="false">IFERROR(INDEX(Ref_PBC!$C$2:$C$201,MATCH(B145,Ref_PBC!$A$2:$A$201,0)),"")</f>
        <v/>
      </c>
      <c r="E145" s="17"/>
      <c r="F145" s="17"/>
      <c r="G145" s="17"/>
      <c r="H145" s="17"/>
      <c r="I145" s="17"/>
      <c r="J145" s="19"/>
      <c r="K145" s="19"/>
      <c r="L145" s="19"/>
      <c r="M145" s="17"/>
      <c r="N145" s="19"/>
      <c r="O145" s="17"/>
      <c r="P145" s="20" t="str">
        <f aca="false">IF(A145="","",IF(IFERROR(INDEX(Ref_PBC!$D$2:$D$201,MATCH(B145,Ref_PBC!$A$2:$A$201,0)),"")="Population","Y","N"))</f>
        <v/>
      </c>
      <c r="Q145" s="17"/>
      <c r="R145" s="17"/>
      <c r="S145" s="20" t="str">
        <f aca="false">IF(A145="","",IF(OR(B145="",E145="",G145="",M145=""),"PBC-ID, filename, source system, record count needed",IF(COUNTIF(Ref_PBC!$A$2:$A$201,B145)=0,"PBC-ID not in W08",IF(LEFT(E145,LEN(A145)+1)&lt;&gt;A145&amp;"_","Filename must start with EV-ID_",IF(O145&lt;&gt;"Y","Original must be preserved (Y)",IF(OR(K145="",L145=""),"Period covered needed",IF(OR(K145&gt;C145,L145&lt;D145),"Period does not cover the PBC period",IF(AND(P145="Y",Q145=""),"IPE result needed",IF(AND(P145="Y",Q145&lt;&gt;"Pass"),"HOLD: IPE not Pass - do not sample","OK")))))))))</f>
        <v/>
      </c>
    </row>
    <row r="146" customFormat="false" ht="15" hidden="false" customHeight="false" outlineLevel="0" collapsed="false">
      <c r="A146" s="17"/>
      <c r="B146" s="17"/>
      <c r="C146" s="18" t="str">
        <f aca="false">IFERROR(INDEX(Ref_PBC!$B$2:$B$201,MATCH(B146,Ref_PBC!$A$2:$A$201,0)),"")</f>
        <v/>
      </c>
      <c r="D146" s="18" t="str">
        <f aca="false">IFERROR(INDEX(Ref_PBC!$C$2:$C$201,MATCH(B146,Ref_PBC!$A$2:$A$201,0)),"")</f>
        <v/>
      </c>
      <c r="E146" s="17"/>
      <c r="F146" s="17"/>
      <c r="G146" s="17"/>
      <c r="H146" s="17"/>
      <c r="I146" s="17"/>
      <c r="J146" s="19"/>
      <c r="K146" s="19"/>
      <c r="L146" s="19"/>
      <c r="M146" s="17"/>
      <c r="N146" s="19"/>
      <c r="O146" s="17"/>
      <c r="P146" s="20" t="str">
        <f aca="false">IF(A146="","",IF(IFERROR(INDEX(Ref_PBC!$D$2:$D$201,MATCH(B146,Ref_PBC!$A$2:$A$201,0)),"")="Population","Y","N"))</f>
        <v/>
      </c>
      <c r="Q146" s="17"/>
      <c r="R146" s="17"/>
      <c r="S146" s="20" t="str">
        <f aca="false">IF(A146="","",IF(OR(B146="",E146="",G146="",M146=""),"PBC-ID, filename, source system, record count needed",IF(COUNTIF(Ref_PBC!$A$2:$A$201,B146)=0,"PBC-ID not in W08",IF(LEFT(E146,LEN(A146)+1)&lt;&gt;A146&amp;"_","Filename must start with EV-ID_",IF(O146&lt;&gt;"Y","Original must be preserved (Y)",IF(OR(K146="",L146=""),"Period covered needed",IF(OR(K146&gt;C146,L146&lt;D146),"Period does not cover the PBC period",IF(AND(P146="Y",Q146=""),"IPE result needed",IF(AND(P146="Y",Q146&lt;&gt;"Pass"),"HOLD: IPE not Pass - do not sample","OK")))))))))</f>
        <v/>
      </c>
    </row>
    <row r="147" customFormat="false" ht="15" hidden="false" customHeight="false" outlineLevel="0" collapsed="false">
      <c r="A147" s="17"/>
      <c r="B147" s="17"/>
      <c r="C147" s="18" t="str">
        <f aca="false">IFERROR(INDEX(Ref_PBC!$B$2:$B$201,MATCH(B147,Ref_PBC!$A$2:$A$201,0)),"")</f>
        <v/>
      </c>
      <c r="D147" s="18" t="str">
        <f aca="false">IFERROR(INDEX(Ref_PBC!$C$2:$C$201,MATCH(B147,Ref_PBC!$A$2:$A$201,0)),"")</f>
        <v/>
      </c>
      <c r="E147" s="17"/>
      <c r="F147" s="17"/>
      <c r="G147" s="17"/>
      <c r="H147" s="17"/>
      <c r="I147" s="17"/>
      <c r="J147" s="19"/>
      <c r="K147" s="19"/>
      <c r="L147" s="19"/>
      <c r="M147" s="17"/>
      <c r="N147" s="19"/>
      <c r="O147" s="17"/>
      <c r="P147" s="20" t="str">
        <f aca="false">IF(A147="","",IF(IFERROR(INDEX(Ref_PBC!$D$2:$D$201,MATCH(B147,Ref_PBC!$A$2:$A$201,0)),"")="Population","Y","N"))</f>
        <v/>
      </c>
      <c r="Q147" s="17"/>
      <c r="R147" s="17"/>
      <c r="S147" s="20" t="str">
        <f aca="false">IF(A147="","",IF(OR(B147="",E147="",G147="",M147=""),"PBC-ID, filename, source system, record count needed",IF(COUNTIF(Ref_PBC!$A$2:$A$201,B147)=0,"PBC-ID not in W08",IF(LEFT(E147,LEN(A147)+1)&lt;&gt;A147&amp;"_","Filename must start with EV-ID_",IF(O147&lt;&gt;"Y","Original must be preserved (Y)",IF(OR(K147="",L147=""),"Period covered needed",IF(OR(K147&gt;C147,L147&lt;D147),"Period does not cover the PBC period",IF(AND(P147="Y",Q147=""),"IPE result needed",IF(AND(P147="Y",Q147&lt;&gt;"Pass"),"HOLD: IPE not Pass - do not sample","OK")))))))))</f>
        <v/>
      </c>
    </row>
    <row r="148" customFormat="false" ht="15" hidden="false" customHeight="false" outlineLevel="0" collapsed="false">
      <c r="A148" s="17"/>
      <c r="B148" s="17"/>
      <c r="C148" s="18" t="str">
        <f aca="false">IFERROR(INDEX(Ref_PBC!$B$2:$B$201,MATCH(B148,Ref_PBC!$A$2:$A$201,0)),"")</f>
        <v/>
      </c>
      <c r="D148" s="18" t="str">
        <f aca="false">IFERROR(INDEX(Ref_PBC!$C$2:$C$201,MATCH(B148,Ref_PBC!$A$2:$A$201,0)),"")</f>
        <v/>
      </c>
      <c r="E148" s="17"/>
      <c r="F148" s="17"/>
      <c r="G148" s="17"/>
      <c r="H148" s="17"/>
      <c r="I148" s="17"/>
      <c r="J148" s="19"/>
      <c r="K148" s="19"/>
      <c r="L148" s="19"/>
      <c r="M148" s="17"/>
      <c r="N148" s="19"/>
      <c r="O148" s="17"/>
      <c r="P148" s="20" t="str">
        <f aca="false">IF(A148="","",IF(IFERROR(INDEX(Ref_PBC!$D$2:$D$201,MATCH(B148,Ref_PBC!$A$2:$A$201,0)),"")="Population","Y","N"))</f>
        <v/>
      </c>
      <c r="Q148" s="17"/>
      <c r="R148" s="17"/>
      <c r="S148" s="20" t="str">
        <f aca="false">IF(A148="","",IF(OR(B148="",E148="",G148="",M148=""),"PBC-ID, filename, source system, record count needed",IF(COUNTIF(Ref_PBC!$A$2:$A$201,B148)=0,"PBC-ID not in W08",IF(LEFT(E148,LEN(A148)+1)&lt;&gt;A148&amp;"_","Filename must start with EV-ID_",IF(O148&lt;&gt;"Y","Original must be preserved (Y)",IF(OR(K148="",L148=""),"Period covered needed",IF(OR(K148&gt;C148,L148&lt;D148),"Period does not cover the PBC period",IF(AND(P148="Y",Q148=""),"IPE result needed",IF(AND(P148="Y",Q148&lt;&gt;"Pass"),"HOLD: IPE not Pass - do not sample","OK")))))))))</f>
        <v/>
      </c>
    </row>
    <row r="149" customFormat="false" ht="15" hidden="false" customHeight="false" outlineLevel="0" collapsed="false">
      <c r="A149" s="17"/>
      <c r="B149" s="17"/>
      <c r="C149" s="18" t="str">
        <f aca="false">IFERROR(INDEX(Ref_PBC!$B$2:$B$201,MATCH(B149,Ref_PBC!$A$2:$A$201,0)),"")</f>
        <v/>
      </c>
      <c r="D149" s="18" t="str">
        <f aca="false">IFERROR(INDEX(Ref_PBC!$C$2:$C$201,MATCH(B149,Ref_PBC!$A$2:$A$201,0)),"")</f>
        <v/>
      </c>
      <c r="E149" s="17"/>
      <c r="F149" s="17"/>
      <c r="G149" s="17"/>
      <c r="H149" s="17"/>
      <c r="I149" s="17"/>
      <c r="J149" s="19"/>
      <c r="K149" s="19"/>
      <c r="L149" s="19"/>
      <c r="M149" s="17"/>
      <c r="N149" s="19"/>
      <c r="O149" s="17"/>
      <c r="P149" s="20" t="str">
        <f aca="false">IF(A149="","",IF(IFERROR(INDEX(Ref_PBC!$D$2:$D$201,MATCH(B149,Ref_PBC!$A$2:$A$201,0)),"")="Population","Y","N"))</f>
        <v/>
      </c>
      <c r="Q149" s="17"/>
      <c r="R149" s="17"/>
      <c r="S149" s="20" t="str">
        <f aca="false">IF(A149="","",IF(OR(B149="",E149="",G149="",M149=""),"PBC-ID, filename, source system, record count needed",IF(COUNTIF(Ref_PBC!$A$2:$A$201,B149)=0,"PBC-ID not in W08",IF(LEFT(E149,LEN(A149)+1)&lt;&gt;A149&amp;"_","Filename must start with EV-ID_",IF(O149&lt;&gt;"Y","Original must be preserved (Y)",IF(OR(K149="",L149=""),"Period covered needed",IF(OR(K149&gt;C149,L149&lt;D149),"Period does not cover the PBC period",IF(AND(P149="Y",Q149=""),"IPE result needed",IF(AND(P149="Y",Q149&lt;&gt;"Pass"),"HOLD: IPE not Pass - do not sample","OK")))))))))</f>
        <v/>
      </c>
    </row>
    <row r="150" customFormat="false" ht="15" hidden="false" customHeight="false" outlineLevel="0" collapsed="false">
      <c r="A150" s="17"/>
      <c r="B150" s="17"/>
      <c r="C150" s="18" t="str">
        <f aca="false">IFERROR(INDEX(Ref_PBC!$B$2:$B$201,MATCH(B150,Ref_PBC!$A$2:$A$201,0)),"")</f>
        <v/>
      </c>
      <c r="D150" s="18" t="str">
        <f aca="false">IFERROR(INDEX(Ref_PBC!$C$2:$C$201,MATCH(B150,Ref_PBC!$A$2:$A$201,0)),"")</f>
        <v/>
      </c>
      <c r="E150" s="17"/>
      <c r="F150" s="17"/>
      <c r="G150" s="17"/>
      <c r="H150" s="17"/>
      <c r="I150" s="17"/>
      <c r="J150" s="19"/>
      <c r="K150" s="19"/>
      <c r="L150" s="19"/>
      <c r="M150" s="17"/>
      <c r="N150" s="19"/>
      <c r="O150" s="17"/>
      <c r="P150" s="20" t="str">
        <f aca="false">IF(A150="","",IF(IFERROR(INDEX(Ref_PBC!$D$2:$D$201,MATCH(B150,Ref_PBC!$A$2:$A$201,0)),"")="Population","Y","N"))</f>
        <v/>
      </c>
      <c r="Q150" s="17"/>
      <c r="R150" s="17"/>
      <c r="S150" s="20" t="str">
        <f aca="false">IF(A150="","",IF(OR(B150="",E150="",G150="",M150=""),"PBC-ID, filename, source system, record count needed",IF(COUNTIF(Ref_PBC!$A$2:$A$201,B150)=0,"PBC-ID not in W08",IF(LEFT(E150,LEN(A150)+1)&lt;&gt;A150&amp;"_","Filename must start with EV-ID_",IF(O150&lt;&gt;"Y","Original must be preserved (Y)",IF(OR(K150="",L150=""),"Period covered needed",IF(OR(K150&gt;C150,L150&lt;D150),"Period does not cover the PBC period",IF(AND(P150="Y",Q150=""),"IPE result needed",IF(AND(P150="Y",Q150&lt;&gt;"Pass"),"HOLD: IPE not Pass - do not sample","OK")))))))))</f>
        <v/>
      </c>
    </row>
    <row r="151" customFormat="false" ht="15" hidden="false" customHeight="false" outlineLevel="0" collapsed="false">
      <c r="A151" s="17"/>
      <c r="B151" s="17"/>
      <c r="C151" s="18" t="str">
        <f aca="false">IFERROR(INDEX(Ref_PBC!$B$2:$B$201,MATCH(B151,Ref_PBC!$A$2:$A$201,0)),"")</f>
        <v/>
      </c>
      <c r="D151" s="18" t="str">
        <f aca="false">IFERROR(INDEX(Ref_PBC!$C$2:$C$201,MATCH(B151,Ref_PBC!$A$2:$A$201,0)),"")</f>
        <v/>
      </c>
      <c r="E151" s="17"/>
      <c r="F151" s="17"/>
      <c r="G151" s="17"/>
      <c r="H151" s="17"/>
      <c r="I151" s="17"/>
      <c r="J151" s="19"/>
      <c r="K151" s="19"/>
      <c r="L151" s="19"/>
      <c r="M151" s="17"/>
      <c r="N151" s="19"/>
      <c r="O151" s="17"/>
      <c r="P151" s="20" t="str">
        <f aca="false">IF(A151="","",IF(IFERROR(INDEX(Ref_PBC!$D$2:$D$201,MATCH(B151,Ref_PBC!$A$2:$A$201,0)),"")="Population","Y","N"))</f>
        <v/>
      </c>
      <c r="Q151" s="17"/>
      <c r="R151" s="17"/>
      <c r="S151" s="20" t="str">
        <f aca="false">IF(A151="","",IF(OR(B151="",E151="",G151="",M151=""),"PBC-ID, filename, source system, record count needed",IF(COUNTIF(Ref_PBC!$A$2:$A$201,B151)=0,"PBC-ID not in W08",IF(LEFT(E151,LEN(A151)+1)&lt;&gt;A151&amp;"_","Filename must start with EV-ID_",IF(O151&lt;&gt;"Y","Original must be preserved (Y)",IF(OR(K151="",L151=""),"Period covered needed",IF(OR(K151&gt;C151,L151&lt;D151),"Period does not cover the PBC period",IF(AND(P151="Y",Q151=""),"IPE result needed",IF(AND(P151="Y",Q151&lt;&gt;"Pass"),"HOLD: IPE not Pass - do not sample","OK")))))))))</f>
        <v/>
      </c>
    </row>
    <row r="152" customFormat="false" ht="15" hidden="false" customHeight="false" outlineLevel="0" collapsed="false">
      <c r="A152" s="17"/>
      <c r="B152" s="17"/>
      <c r="C152" s="18" t="str">
        <f aca="false">IFERROR(INDEX(Ref_PBC!$B$2:$B$201,MATCH(B152,Ref_PBC!$A$2:$A$201,0)),"")</f>
        <v/>
      </c>
      <c r="D152" s="18" t="str">
        <f aca="false">IFERROR(INDEX(Ref_PBC!$C$2:$C$201,MATCH(B152,Ref_PBC!$A$2:$A$201,0)),"")</f>
        <v/>
      </c>
      <c r="E152" s="17"/>
      <c r="F152" s="17"/>
      <c r="G152" s="17"/>
      <c r="H152" s="17"/>
      <c r="I152" s="17"/>
      <c r="J152" s="19"/>
      <c r="K152" s="19"/>
      <c r="L152" s="19"/>
      <c r="M152" s="17"/>
      <c r="N152" s="19"/>
      <c r="O152" s="17"/>
      <c r="P152" s="20" t="str">
        <f aca="false">IF(A152="","",IF(IFERROR(INDEX(Ref_PBC!$D$2:$D$201,MATCH(B152,Ref_PBC!$A$2:$A$201,0)),"")="Population","Y","N"))</f>
        <v/>
      </c>
      <c r="Q152" s="17"/>
      <c r="R152" s="17"/>
      <c r="S152" s="20" t="str">
        <f aca="false">IF(A152="","",IF(OR(B152="",E152="",G152="",M152=""),"PBC-ID, filename, source system, record count needed",IF(COUNTIF(Ref_PBC!$A$2:$A$201,B152)=0,"PBC-ID not in W08",IF(LEFT(E152,LEN(A152)+1)&lt;&gt;A152&amp;"_","Filename must start with EV-ID_",IF(O152&lt;&gt;"Y","Original must be preserved (Y)",IF(OR(K152="",L152=""),"Period covered needed",IF(OR(K152&gt;C152,L152&lt;D152),"Period does not cover the PBC period",IF(AND(P152="Y",Q152=""),"IPE result needed",IF(AND(P152="Y",Q152&lt;&gt;"Pass"),"HOLD: IPE not Pass - do not sample","OK")))))))))</f>
        <v/>
      </c>
    </row>
    <row r="153" customFormat="false" ht="15" hidden="false" customHeight="false" outlineLevel="0" collapsed="false">
      <c r="A153" s="17"/>
      <c r="B153" s="17"/>
      <c r="C153" s="18" t="str">
        <f aca="false">IFERROR(INDEX(Ref_PBC!$B$2:$B$201,MATCH(B153,Ref_PBC!$A$2:$A$201,0)),"")</f>
        <v/>
      </c>
      <c r="D153" s="18" t="str">
        <f aca="false">IFERROR(INDEX(Ref_PBC!$C$2:$C$201,MATCH(B153,Ref_PBC!$A$2:$A$201,0)),"")</f>
        <v/>
      </c>
      <c r="E153" s="17"/>
      <c r="F153" s="17"/>
      <c r="G153" s="17"/>
      <c r="H153" s="17"/>
      <c r="I153" s="17"/>
      <c r="J153" s="19"/>
      <c r="K153" s="19"/>
      <c r="L153" s="19"/>
      <c r="M153" s="17"/>
      <c r="N153" s="19"/>
      <c r="O153" s="17"/>
      <c r="P153" s="20" t="str">
        <f aca="false">IF(A153="","",IF(IFERROR(INDEX(Ref_PBC!$D$2:$D$201,MATCH(B153,Ref_PBC!$A$2:$A$201,0)),"")="Population","Y","N"))</f>
        <v/>
      </c>
      <c r="Q153" s="17"/>
      <c r="R153" s="17"/>
      <c r="S153" s="20" t="str">
        <f aca="false">IF(A153="","",IF(OR(B153="",E153="",G153="",M153=""),"PBC-ID, filename, source system, record count needed",IF(COUNTIF(Ref_PBC!$A$2:$A$201,B153)=0,"PBC-ID not in W08",IF(LEFT(E153,LEN(A153)+1)&lt;&gt;A153&amp;"_","Filename must start with EV-ID_",IF(O153&lt;&gt;"Y","Original must be preserved (Y)",IF(OR(K153="",L153=""),"Period covered needed",IF(OR(K153&gt;C153,L153&lt;D153),"Period does not cover the PBC period",IF(AND(P153="Y",Q153=""),"IPE result needed",IF(AND(P153="Y",Q153&lt;&gt;"Pass"),"HOLD: IPE not Pass - do not sample","OK")))))))))</f>
        <v/>
      </c>
    </row>
    <row r="154" customFormat="false" ht="15" hidden="false" customHeight="false" outlineLevel="0" collapsed="false">
      <c r="A154" s="17"/>
      <c r="B154" s="17"/>
      <c r="C154" s="18" t="str">
        <f aca="false">IFERROR(INDEX(Ref_PBC!$B$2:$B$201,MATCH(B154,Ref_PBC!$A$2:$A$201,0)),"")</f>
        <v/>
      </c>
      <c r="D154" s="18" t="str">
        <f aca="false">IFERROR(INDEX(Ref_PBC!$C$2:$C$201,MATCH(B154,Ref_PBC!$A$2:$A$201,0)),"")</f>
        <v/>
      </c>
      <c r="E154" s="17"/>
      <c r="F154" s="17"/>
      <c r="G154" s="17"/>
      <c r="H154" s="17"/>
      <c r="I154" s="17"/>
      <c r="J154" s="19"/>
      <c r="K154" s="19"/>
      <c r="L154" s="19"/>
      <c r="M154" s="17"/>
      <c r="N154" s="19"/>
      <c r="O154" s="17"/>
      <c r="P154" s="20" t="str">
        <f aca="false">IF(A154="","",IF(IFERROR(INDEX(Ref_PBC!$D$2:$D$201,MATCH(B154,Ref_PBC!$A$2:$A$201,0)),"")="Population","Y","N"))</f>
        <v/>
      </c>
      <c r="Q154" s="17"/>
      <c r="R154" s="17"/>
      <c r="S154" s="20" t="str">
        <f aca="false">IF(A154="","",IF(OR(B154="",E154="",G154="",M154=""),"PBC-ID, filename, source system, record count needed",IF(COUNTIF(Ref_PBC!$A$2:$A$201,B154)=0,"PBC-ID not in W08",IF(LEFT(E154,LEN(A154)+1)&lt;&gt;A154&amp;"_","Filename must start with EV-ID_",IF(O154&lt;&gt;"Y","Original must be preserved (Y)",IF(OR(K154="",L154=""),"Period covered needed",IF(OR(K154&gt;C154,L154&lt;D154),"Period does not cover the PBC period",IF(AND(P154="Y",Q154=""),"IPE result needed",IF(AND(P154="Y",Q154&lt;&gt;"Pass"),"HOLD: IPE not Pass - do not sample","OK")))))))))</f>
        <v/>
      </c>
    </row>
    <row r="155" customFormat="false" ht="15" hidden="false" customHeight="false" outlineLevel="0" collapsed="false">
      <c r="A155" s="17"/>
      <c r="B155" s="17"/>
      <c r="C155" s="18" t="str">
        <f aca="false">IFERROR(INDEX(Ref_PBC!$B$2:$B$201,MATCH(B155,Ref_PBC!$A$2:$A$201,0)),"")</f>
        <v/>
      </c>
      <c r="D155" s="18" t="str">
        <f aca="false">IFERROR(INDEX(Ref_PBC!$C$2:$C$201,MATCH(B155,Ref_PBC!$A$2:$A$201,0)),"")</f>
        <v/>
      </c>
      <c r="E155" s="17"/>
      <c r="F155" s="17"/>
      <c r="G155" s="17"/>
      <c r="H155" s="17"/>
      <c r="I155" s="17"/>
      <c r="J155" s="19"/>
      <c r="K155" s="19"/>
      <c r="L155" s="19"/>
      <c r="M155" s="17"/>
      <c r="N155" s="19"/>
      <c r="O155" s="17"/>
      <c r="P155" s="20" t="str">
        <f aca="false">IF(A155="","",IF(IFERROR(INDEX(Ref_PBC!$D$2:$D$201,MATCH(B155,Ref_PBC!$A$2:$A$201,0)),"")="Population","Y","N"))</f>
        <v/>
      </c>
      <c r="Q155" s="17"/>
      <c r="R155" s="17"/>
      <c r="S155" s="20" t="str">
        <f aca="false">IF(A155="","",IF(OR(B155="",E155="",G155="",M155=""),"PBC-ID, filename, source system, record count needed",IF(COUNTIF(Ref_PBC!$A$2:$A$201,B155)=0,"PBC-ID not in W08",IF(LEFT(E155,LEN(A155)+1)&lt;&gt;A155&amp;"_","Filename must start with EV-ID_",IF(O155&lt;&gt;"Y","Original must be preserved (Y)",IF(OR(K155="",L155=""),"Period covered needed",IF(OR(K155&gt;C155,L155&lt;D155),"Period does not cover the PBC period",IF(AND(P155="Y",Q155=""),"IPE result needed",IF(AND(P155="Y",Q155&lt;&gt;"Pass"),"HOLD: IPE not Pass - do not sample","OK")))))))))</f>
        <v/>
      </c>
    </row>
    <row r="156" customFormat="false" ht="15" hidden="false" customHeight="false" outlineLevel="0" collapsed="false">
      <c r="A156" s="17"/>
      <c r="B156" s="17"/>
      <c r="C156" s="18" t="str">
        <f aca="false">IFERROR(INDEX(Ref_PBC!$B$2:$B$201,MATCH(B156,Ref_PBC!$A$2:$A$201,0)),"")</f>
        <v/>
      </c>
      <c r="D156" s="18" t="str">
        <f aca="false">IFERROR(INDEX(Ref_PBC!$C$2:$C$201,MATCH(B156,Ref_PBC!$A$2:$A$201,0)),"")</f>
        <v/>
      </c>
      <c r="E156" s="17"/>
      <c r="F156" s="17"/>
      <c r="G156" s="17"/>
      <c r="H156" s="17"/>
      <c r="I156" s="17"/>
      <c r="J156" s="19"/>
      <c r="K156" s="19"/>
      <c r="L156" s="19"/>
      <c r="M156" s="17"/>
      <c r="N156" s="19"/>
      <c r="O156" s="17"/>
      <c r="P156" s="20" t="str">
        <f aca="false">IF(A156="","",IF(IFERROR(INDEX(Ref_PBC!$D$2:$D$201,MATCH(B156,Ref_PBC!$A$2:$A$201,0)),"")="Population","Y","N"))</f>
        <v/>
      </c>
      <c r="Q156" s="17"/>
      <c r="R156" s="17"/>
      <c r="S156" s="20" t="str">
        <f aca="false">IF(A156="","",IF(OR(B156="",E156="",G156="",M156=""),"PBC-ID, filename, source system, record count needed",IF(COUNTIF(Ref_PBC!$A$2:$A$201,B156)=0,"PBC-ID not in W08",IF(LEFT(E156,LEN(A156)+1)&lt;&gt;A156&amp;"_","Filename must start with EV-ID_",IF(O156&lt;&gt;"Y","Original must be preserved (Y)",IF(OR(K156="",L156=""),"Period covered needed",IF(OR(K156&gt;C156,L156&lt;D156),"Period does not cover the PBC period",IF(AND(P156="Y",Q156=""),"IPE result needed",IF(AND(P156="Y",Q156&lt;&gt;"Pass"),"HOLD: IPE not Pass - do not sample","OK")))))))))</f>
        <v/>
      </c>
    </row>
    <row r="157" customFormat="false" ht="15" hidden="false" customHeight="false" outlineLevel="0" collapsed="false">
      <c r="A157" s="17"/>
      <c r="B157" s="17"/>
      <c r="C157" s="18" t="str">
        <f aca="false">IFERROR(INDEX(Ref_PBC!$B$2:$B$201,MATCH(B157,Ref_PBC!$A$2:$A$201,0)),"")</f>
        <v/>
      </c>
      <c r="D157" s="18" t="str">
        <f aca="false">IFERROR(INDEX(Ref_PBC!$C$2:$C$201,MATCH(B157,Ref_PBC!$A$2:$A$201,0)),"")</f>
        <v/>
      </c>
      <c r="E157" s="17"/>
      <c r="F157" s="17"/>
      <c r="G157" s="17"/>
      <c r="H157" s="17"/>
      <c r="I157" s="17"/>
      <c r="J157" s="19"/>
      <c r="K157" s="19"/>
      <c r="L157" s="19"/>
      <c r="M157" s="17"/>
      <c r="N157" s="19"/>
      <c r="O157" s="17"/>
      <c r="P157" s="20" t="str">
        <f aca="false">IF(A157="","",IF(IFERROR(INDEX(Ref_PBC!$D$2:$D$201,MATCH(B157,Ref_PBC!$A$2:$A$201,0)),"")="Population","Y","N"))</f>
        <v/>
      </c>
      <c r="Q157" s="17"/>
      <c r="R157" s="17"/>
      <c r="S157" s="20" t="str">
        <f aca="false">IF(A157="","",IF(OR(B157="",E157="",G157="",M157=""),"PBC-ID, filename, source system, record count needed",IF(COUNTIF(Ref_PBC!$A$2:$A$201,B157)=0,"PBC-ID not in W08",IF(LEFT(E157,LEN(A157)+1)&lt;&gt;A157&amp;"_","Filename must start with EV-ID_",IF(O157&lt;&gt;"Y","Original must be preserved (Y)",IF(OR(K157="",L157=""),"Period covered needed",IF(OR(K157&gt;C157,L157&lt;D157),"Period does not cover the PBC period",IF(AND(P157="Y",Q157=""),"IPE result needed",IF(AND(P157="Y",Q157&lt;&gt;"Pass"),"HOLD: IPE not Pass - do not sample","OK")))))))))</f>
        <v/>
      </c>
    </row>
    <row r="158" customFormat="false" ht="15" hidden="false" customHeight="false" outlineLevel="0" collapsed="false">
      <c r="A158" s="17"/>
      <c r="B158" s="17"/>
      <c r="C158" s="18" t="str">
        <f aca="false">IFERROR(INDEX(Ref_PBC!$B$2:$B$201,MATCH(B158,Ref_PBC!$A$2:$A$201,0)),"")</f>
        <v/>
      </c>
      <c r="D158" s="18" t="str">
        <f aca="false">IFERROR(INDEX(Ref_PBC!$C$2:$C$201,MATCH(B158,Ref_PBC!$A$2:$A$201,0)),"")</f>
        <v/>
      </c>
      <c r="E158" s="17"/>
      <c r="F158" s="17"/>
      <c r="G158" s="17"/>
      <c r="H158" s="17"/>
      <c r="I158" s="17"/>
      <c r="J158" s="19"/>
      <c r="K158" s="19"/>
      <c r="L158" s="19"/>
      <c r="M158" s="17"/>
      <c r="N158" s="19"/>
      <c r="O158" s="17"/>
      <c r="P158" s="20" t="str">
        <f aca="false">IF(A158="","",IF(IFERROR(INDEX(Ref_PBC!$D$2:$D$201,MATCH(B158,Ref_PBC!$A$2:$A$201,0)),"")="Population","Y","N"))</f>
        <v/>
      </c>
      <c r="Q158" s="17"/>
      <c r="R158" s="17"/>
      <c r="S158" s="20" t="str">
        <f aca="false">IF(A158="","",IF(OR(B158="",E158="",G158="",M158=""),"PBC-ID, filename, source system, record count needed",IF(COUNTIF(Ref_PBC!$A$2:$A$201,B158)=0,"PBC-ID not in W08",IF(LEFT(E158,LEN(A158)+1)&lt;&gt;A158&amp;"_","Filename must start with EV-ID_",IF(O158&lt;&gt;"Y","Original must be preserved (Y)",IF(OR(K158="",L158=""),"Period covered needed",IF(OR(K158&gt;C158,L158&lt;D158),"Period does not cover the PBC period",IF(AND(P158="Y",Q158=""),"IPE result needed",IF(AND(P158="Y",Q158&lt;&gt;"Pass"),"HOLD: IPE not Pass - do not sample","OK")))))))))</f>
        <v/>
      </c>
    </row>
    <row r="159" customFormat="false" ht="15" hidden="false" customHeight="false" outlineLevel="0" collapsed="false">
      <c r="A159" s="17"/>
      <c r="B159" s="17"/>
      <c r="C159" s="18" t="str">
        <f aca="false">IFERROR(INDEX(Ref_PBC!$B$2:$B$201,MATCH(B159,Ref_PBC!$A$2:$A$201,0)),"")</f>
        <v/>
      </c>
      <c r="D159" s="18" t="str">
        <f aca="false">IFERROR(INDEX(Ref_PBC!$C$2:$C$201,MATCH(B159,Ref_PBC!$A$2:$A$201,0)),"")</f>
        <v/>
      </c>
      <c r="E159" s="17"/>
      <c r="F159" s="17"/>
      <c r="G159" s="17"/>
      <c r="H159" s="17"/>
      <c r="I159" s="17"/>
      <c r="J159" s="19"/>
      <c r="K159" s="19"/>
      <c r="L159" s="19"/>
      <c r="M159" s="17"/>
      <c r="N159" s="19"/>
      <c r="O159" s="17"/>
      <c r="P159" s="20" t="str">
        <f aca="false">IF(A159="","",IF(IFERROR(INDEX(Ref_PBC!$D$2:$D$201,MATCH(B159,Ref_PBC!$A$2:$A$201,0)),"")="Population","Y","N"))</f>
        <v/>
      </c>
      <c r="Q159" s="17"/>
      <c r="R159" s="17"/>
      <c r="S159" s="20" t="str">
        <f aca="false">IF(A159="","",IF(OR(B159="",E159="",G159="",M159=""),"PBC-ID, filename, source system, record count needed",IF(COUNTIF(Ref_PBC!$A$2:$A$201,B159)=0,"PBC-ID not in W08",IF(LEFT(E159,LEN(A159)+1)&lt;&gt;A159&amp;"_","Filename must start with EV-ID_",IF(O159&lt;&gt;"Y","Original must be preserved (Y)",IF(OR(K159="",L159=""),"Period covered needed",IF(OR(K159&gt;C159,L159&lt;D159),"Period does not cover the PBC period",IF(AND(P159="Y",Q159=""),"IPE result needed",IF(AND(P159="Y",Q159&lt;&gt;"Pass"),"HOLD: IPE not Pass - do not sample","OK")))))))))</f>
        <v/>
      </c>
    </row>
    <row r="160" customFormat="false" ht="15" hidden="false" customHeight="false" outlineLevel="0" collapsed="false">
      <c r="A160" s="17"/>
      <c r="B160" s="17"/>
      <c r="C160" s="18" t="str">
        <f aca="false">IFERROR(INDEX(Ref_PBC!$B$2:$B$201,MATCH(B160,Ref_PBC!$A$2:$A$201,0)),"")</f>
        <v/>
      </c>
      <c r="D160" s="18" t="str">
        <f aca="false">IFERROR(INDEX(Ref_PBC!$C$2:$C$201,MATCH(B160,Ref_PBC!$A$2:$A$201,0)),"")</f>
        <v/>
      </c>
      <c r="E160" s="17"/>
      <c r="F160" s="17"/>
      <c r="G160" s="17"/>
      <c r="H160" s="17"/>
      <c r="I160" s="17"/>
      <c r="J160" s="19"/>
      <c r="K160" s="19"/>
      <c r="L160" s="19"/>
      <c r="M160" s="17"/>
      <c r="N160" s="19"/>
      <c r="O160" s="17"/>
      <c r="P160" s="20" t="str">
        <f aca="false">IF(A160="","",IF(IFERROR(INDEX(Ref_PBC!$D$2:$D$201,MATCH(B160,Ref_PBC!$A$2:$A$201,0)),"")="Population","Y","N"))</f>
        <v/>
      </c>
      <c r="Q160" s="17"/>
      <c r="R160" s="17"/>
      <c r="S160" s="20" t="str">
        <f aca="false">IF(A160="","",IF(OR(B160="",E160="",G160="",M160=""),"PBC-ID, filename, source system, record count needed",IF(COUNTIF(Ref_PBC!$A$2:$A$201,B160)=0,"PBC-ID not in W08",IF(LEFT(E160,LEN(A160)+1)&lt;&gt;A160&amp;"_","Filename must start with EV-ID_",IF(O160&lt;&gt;"Y","Original must be preserved (Y)",IF(OR(K160="",L160=""),"Period covered needed",IF(OR(K160&gt;C160,L160&lt;D160),"Period does not cover the PBC period",IF(AND(P160="Y",Q160=""),"IPE result needed",IF(AND(P160="Y",Q160&lt;&gt;"Pass"),"HOLD: IPE not Pass - do not sample","OK")))))))))</f>
        <v/>
      </c>
    </row>
    <row r="161" customFormat="false" ht="15" hidden="false" customHeight="false" outlineLevel="0" collapsed="false">
      <c r="A161" s="17"/>
      <c r="B161" s="17"/>
      <c r="C161" s="18" t="str">
        <f aca="false">IFERROR(INDEX(Ref_PBC!$B$2:$B$201,MATCH(B161,Ref_PBC!$A$2:$A$201,0)),"")</f>
        <v/>
      </c>
      <c r="D161" s="18" t="str">
        <f aca="false">IFERROR(INDEX(Ref_PBC!$C$2:$C$201,MATCH(B161,Ref_PBC!$A$2:$A$201,0)),"")</f>
        <v/>
      </c>
      <c r="E161" s="17"/>
      <c r="F161" s="17"/>
      <c r="G161" s="17"/>
      <c r="H161" s="17"/>
      <c r="I161" s="17"/>
      <c r="J161" s="19"/>
      <c r="K161" s="19"/>
      <c r="L161" s="19"/>
      <c r="M161" s="17"/>
      <c r="N161" s="19"/>
      <c r="O161" s="17"/>
      <c r="P161" s="20" t="str">
        <f aca="false">IF(A161="","",IF(IFERROR(INDEX(Ref_PBC!$D$2:$D$201,MATCH(B161,Ref_PBC!$A$2:$A$201,0)),"")="Population","Y","N"))</f>
        <v/>
      </c>
      <c r="Q161" s="17"/>
      <c r="R161" s="17"/>
      <c r="S161" s="20" t="str">
        <f aca="false">IF(A161="","",IF(OR(B161="",E161="",G161="",M161=""),"PBC-ID, filename, source system, record count needed",IF(COUNTIF(Ref_PBC!$A$2:$A$201,B161)=0,"PBC-ID not in W08",IF(LEFT(E161,LEN(A161)+1)&lt;&gt;A161&amp;"_","Filename must start with EV-ID_",IF(O161&lt;&gt;"Y","Original must be preserved (Y)",IF(OR(K161="",L161=""),"Period covered needed",IF(OR(K161&gt;C161,L161&lt;D161),"Period does not cover the PBC period",IF(AND(P161="Y",Q161=""),"IPE result needed",IF(AND(P161="Y",Q161&lt;&gt;"Pass"),"HOLD: IPE not Pass - do not sample","OK")))))))))</f>
        <v/>
      </c>
    </row>
    <row r="162" customFormat="false" ht="15" hidden="false" customHeight="false" outlineLevel="0" collapsed="false">
      <c r="A162" s="17"/>
      <c r="B162" s="17"/>
      <c r="C162" s="18" t="str">
        <f aca="false">IFERROR(INDEX(Ref_PBC!$B$2:$B$201,MATCH(B162,Ref_PBC!$A$2:$A$201,0)),"")</f>
        <v/>
      </c>
      <c r="D162" s="18" t="str">
        <f aca="false">IFERROR(INDEX(Ref_PBC!$C$2:$C$201,MATCH(B162,Ref_PBC!$A$2:$A$201,0)),"")</f>
        <v/>
      </c>
      <c r="E162" s="17"/>
      <c r="F162" s="17"/>
      <c r="G162" s="17"/>
      <c r="H162" s="17"/>
      <c r="I162" s="17"/>
      <c r="J162" s="19"/>
      <c r="K162" s="19"/>
      <c r="L162" s="19"/>
      <c r="M162" s="17"/>
      <c r="N162" s="19"/>
      <c r="O162" s="17"/>
      <c r="P162" s="20" t="str">
        <f aca="false">IF(A162="","",IF(IFERROR(INDEX(Ref_PBC!$D$2:$D$201,MATCH(B162,Ref_PBC!$A$2:$A$201,0)),"")="Population","Y","N"))</f>
        <v/>
      </c>
      <c r="Q162" s="17"/>
      <c r="R162" s="17"/>
      <c r="S162" s="20" t="str">
        <f aca="false">IF(A162="","",IF(OR(B162="",E162="",G162="",M162=""),"PBC-ID, filename, source system, record count needed",IF(COUNTIF(Ref_PBC!$A$2:$A$201,B162)=0,"PBC-ID not in W08",IF(LEFT(E162,LEN(A162)+1)&lt;&gt;A162&amp;"_","Filename must start with EV-ID_",IF(O162&lt;&gt;"Y","Original must be preserved (Y)",IF(OR(K162="",L162=""),"Period covered needed",IF(OR(K162&gt;C162,L162&lt;D162),"Period does not cover the PBC period",IF(AND(P162="Y",Q162=""),"IPE result needed",IF(AND(P162="Y",Q162&lt;&gt;"Pass"),"HOLD: IPE not Pass - do not sample","OK")))))))))</f>
        <v/>
      </c>
    </row>
    <row r="163" customFormat="false" ht="15" hidden="false" customHeight="false" outlineLevel="0" collapsed="false">
      <c r="A163" s="17"/>
      <c r="B163" s="17"/>
      <c r="C163" s="18" t="str">
        <f aca="false">IFERROR(INDEX(Ref_PBC!$B$2:$B$201,MATCH(B163,Ref_PBC!$A$2:$A$201,0)),"")</f>
        <v/>
      </c>
      <c r="D163" s="18" t="str">
        <f aca="false">IFERROR(INDEX(Ref_PBC!$C$2:$C$201,MATCH(B163,Ref_PBC!$A$2:$A$201,0)),"")</f>
        <v/>
      </c>
      <c r="E163" s="17"/>
      <c r="F163" s="17"/>
      <c r="G163" s="17"/>
      <c r="H163" s="17"/>
      <c r="I163" s="17"/>
      <c r="J163" s="19"/>
      <c r="K163" s="19"/>
      <c r="L163" s="19"/>
      <c r="M163" s="17"/>
      <c r="N163" s="19"/>
      <c r="O163" s="17"/>
      <c r="P163" s="20" t="str">
        <f aca="false">IF(A163="","",IF(IFERROR(INDEX(Ref_PBC!$D$2:$D$201,MATCH(B163,Ref_PBC!$A$2:$A$201,0)),"")="Population","Y","N"))</f>
        <v/>
      </c>
      <c r="Q163" s="17"/>
      <c r="R163" s="17"/>
      <c r="S163" s="20" t="str">
        <f aca="false">IF(A163="","",IF(OR(B163="",E163="",G163="",M163=""),"PBC-ID, filename, source system, record count needed",IF(COUNTIF(Ref_PBC!$A$2:$A$201,B163)=0,"PBC-ID not in W08",IF(LEFT(E163,LEN(A163)+1)&lt;&gt;A163&amp;"_","Filename must start with EV-ID_",IF(O163&lt;&gt;"Y","Original must be preserved (Y)",IF(OR(K163="",L163=""),"Period covered needed",IF(OR(K163&gt;C163,L163&lt;D163),"Period does not cover the PBC period",IF(AND(P163="Y",Q163=""),"IPE result needed",IF(AND(P163="Y",Q163&lt;&gt;"Pass"),"HOLD: IPE not Pass - do not sample","OK")))))))))</f>
        <v/>
      </c>
    </row>
    <row r="164" customFormat="false" ht="15" hidden="false" customHeight="false" outlineLevel="0" collapsed="false">
      <c r="A164" s="17"/>
      <c r="B164" s="17"/>
      <c r="C164" s="18" t="str">
        <f aca="false">IFERROR(INDEX(Ref_PBC!$B$2:$B$201,MATCH(B164,Ref_PBC!$A$2:$A$201,0)),"")</f>
        <v/>
      </c>
      <c r="D164" s="18" t="str">
        <f aca="false">IFERROR(INDEX(Ref_PBC!$C$2:$C$201,MATCH(B164,Ref_PBC!$A$2:$A$201,0)),"")</f>
        <v/>
      </c>
      <c r="E164" s="17"/>
      <c r="F164" s="17"/>
      <c r="G164" s="17"/>
      <c r="H164" s="17"/>
      <c r="I164" s="17"/>
      <c r="J164" s="19"/>
      <c r="K164" s="19"/>
      <c r="L164" s="19"/>
      <c r="M164" s="17"/>
      <c r="N164" s="19"/>
      <c r="O164" s="17"/>
      <c r="P164" s="20" t="str">
        <f aca="false">IF(A164="","",IF(IFERROR(INDEX(Ref_PBC!$D$2:$D$201,MATCH(B164,Ref_PBC!$A$2:$A$201,0)),"")="Population","Y","N"))</f>
        <v/>
      </c>
      <c r="Q164" s="17"/>
      <c r="R164" s="17"/>
      <c r="S164" s="20" t="str">
        <f aca="false">IF(A164="","",IF(OR(B164="",E164="",G164="",M164=""),"PBC-ID, filename, source system, record count needed",IF(COUNTIF(Ref_PBC!$A$2:$A$201,B164)=0,"PBC-ID not in W08",IF(LEFT(E164,LEN(A164)+1)&lt;&gt;A164&amp;"_","Filename must start with EV-ID_",IF(O164&lt;&gt;"Y","Original must be preserved (Y)",IF(OR(K164="",L164=""),"Period covered needed",IF(OR(K164&gt;C164,L164&lt;D164),"Period does not cover the PBC period",IF(AND(P164="Y",Q164=""),"IPE result needed",IF(AND(P164="Y",Q164&lt;&gt;"Pass"),"HOLD: IPE not Pass - do not sample","OK")))))))))</f>
        <v/>
      </c>
    </row>
    <row r="165" customFormat="false" ht="15" hidden="false" customHeight="false" outlineLevel="0" collapsed="false">
      <c r="A165" s="17"/>
      <c r="B165" s="17"/>
      <c r="C165" s="18" t="str">
        <f aca="false">IFERROR(INDEX(Ref_PBC!$B$2:$B$201,MATCH(B165,Ref_PBC!$A$2:$A$201,0)),"")</f>
        <v/>
      </c>
      <c r="D165" s="18" t="str">
        <f aca="false">IFERROR(INDEX(Ref_PBC!$C$2:$C$201,MATCH(B165,Ref_PBC!$A$2:$A$201,0)),"")</f>
        <v/>
      </c>
      <c r="E165" s="17"/>
      <c r="F165" s="17"/>
      <c r="G165" s="17"/>
      <c r="H165" s="17"/>
      <c r="I165" s="17"/>
      <c r="J165" s="19"/>
      <c r="K165" s="19"/>
      <c r="L165" s="19"/>
      <c r="M165" s="17"/>
      <c r="N165" s="19"/>
      <c r="O165" s="17"/>
      <c r="P165" s="20" t="str">
        <f aca="false">IF(A165="","",IF(IFERROR(INDEX(Ref_PBC!$D$2:$D$201,MATCH(B165,Ref_PBC!$A$2:$A$201,0)),"")="Population","Y","N"))</f>
        <v/>
      </c>
      <c r="Q165" s="17"/>
      <c r="R165" s="17"/>
      <c r="S165" s="20" t="str">
        <f aca="false">IF(A165="","",IF(OR(B165="",E165="",G165="",M165=""),"PBC-ID, filename, source system, record count needed",IF(COUNTIF(Ref_PBC!$A$2:$A$201,B165)=0,"PBC-ID not in W08",IF(LEFT(E165,LEN(A165)+1)&lt;&gt;A165&amp;"_","Filename must start with EV-ID_",IF(O165&lt;&gt;"Y","Original must be preserved (Y)",IF(OR(K165="",L165=""),"Period covered needed",IF(OR(K165&gt;C165,L165&lt;D165),"Period does not cover the PBC period",IF(AND(P165="Y",Q165=""),"IPE result needed",IF(AND(P165="Y",Q165&lt;&gt;"Pass"),"HOLD: IPE not Pass - do not sample","OK")))))))))</f>
        <v/>
      </c>
    </row>
    <row r="166" customFormat="false" ht="15" hidden="false" customHeight="false" outlineLevel="0" collapsed="false">
      <c r="A166" s="17"/>
      <c r="B166" s="17"/>
      <c r="C166" s="18" t="str">
        <f aca="false">IFERROR(INDEX(Ref_PBC!$B$2:$B$201,MATCH(B166,Ref_PBC!$A$2:$A$201,0)),"")</f>
        <v/>
      </c>
      <c r="D166" s="18" t="str">
        <f aca="false">IFERROR(INDEX(Ref_PBC!$C$2:$C$201,MATCH(B166,Ref_PBC!$A$2:$A$201,0)),"")</f>
        <v/>
      </c>
      <c r="E166" s="17"/>
      <c r="F166" s="17"/>
      <c r="G166" s="17"/>
      <c r="H166" s="17"/>
      <c r="I166" s="17"/>
      <c r="J166" s="19"/>
      <c r="K166" s="19"/>
      <c r="L166" s="19"/>
      <c r="M166" s="17"/>
      <c r="N166" s="19"/>
      <c r="O166" s="17"/>
      <c r="P166" s="20" t="str">
        <f aca="false">IF(A166="","",IF(IFERROR(INDEX(Ref_PBC!$D$2:$D$201,MATCH(B166,Ref_PBC!$A$2:$A$201,0)),"")="Population","Y","N"))</f>
        <v/>
      </c>
      <c r="Q166" s="17"/>
      <c r="R166" s="17"/>
      <c r="S166" s="20" t="str">
        <f aca="false">IF(A166="","",IF(OR(B166="",E166="",G166="",M166=""),"PBC-ID, filename, source system, record count needed",IF(COUNTIF(Ref_PBC!$A$2:$A$201,B166)=0,"PBC-ID not in W08",IF(LEFT(E166,LEN(A166)+1)&lt;&gt;A166&amp;"_","Filename must start with EV-ID_",IF(O166&lt;&gt;"Y","Original must be preserved (Y)",IF(OR(K166="",L166=""),"Period covered needed",IF(OR(K166&gt;C166,L166&lt;D166),"Period does not cover the PBC period",IF(AND(P166="Y",Q166=""),"IPE result needed",IF(AND(P166="Y",Q166&lt;&gt;"Pass"),"HOLD: IPE not Pass - do not sample","OK")))))))))</f>
        <v/>
      </c>
    </row>
    <row r="167" customFormat="false" ht="15" hidden="false" customHeight="false" outlineLevel="0" collapsed="false">
      <c r="A167" s="17"/>
      <c r="B167" s="17"/>
      <c r="C167" s="18" t="str">
        <f aca="false">IFERROR(INDEX(Ref_PBC!$B$2:$B$201,MATCH(B167,Ref_PBC!$A$2:$A$201,0)),"")</f>
        <v/>
      </c>
      <c r="D167" s="18" t="str">
        <f aca="false">IFERROR(INDEX(Ref_PBC!$C$2:$C$201,MATCH(B167,Ref_PBC!$A$2:$A$201,0)),"")</f>
        <v/>
      </c>
      <c r="E167" s="17"/>
      <c r="F167" s="17"/>
      <c r="G167" s="17"/>
      <c r="H167" s="17"/>
      <c r="I167" s="17"/>
      <c r="J167" s="19"/>
      <c r="K167" s="19"/>
      <c r="L167" s="19"/>
      <c r="M167" s="17"/>
      <c r="N167" s="19"/>
      <c r="O167" s="17"/>
      <c r="P167" s="20" t="str">
        <f aca="false">IF(A167="","",IF(IFERROR(INDEX(Ref_PBC!$D$2:$D$201,MATCH(B167,Ref_PBC!$A$2:$A$201,0)),"")="Population","Y","N"))</f>
        <v/>
      </c>
      <c r="Q167" s="17"/>
      <c r="R167" s="17"/>
      <c r="S167" s="20" t="str">
        <f aca="false">IF(A167="","",IF(OR(B167="",E167="",G167="",M167=""),"PBC-ID, filename, source system, record count needed",IF(COUNTIF(Ref_PBC!$A$2:$A$201,B167)=0,"PBC-ID not in W08",IF(LEFT(E167,LEN(A167)+1)&lt;&gt;A167&amp;"_","Filename must start with EV-ID_",IF(O167&lt;&gt;"Y","Original must be preserved (Y)",IF(OR(K167="",L167=""),"Period covered needed",IF(OR(K167&gt;C167,L167&lt;D167),"Period does not cover the PBC period",IF(AND(P167="Y",Q167=""),"IPE result needed",IF(AND(P167="Y",Q167&lt;&gt;"Pass"),"HOLD: IPE not Pass - do not sample","OK")))))))))</f>
        <v/>
      </c>
    </row>
    <row r="168" customFormat="false" ht="15" hidden="false" customHeight="false" outlineLevel="0" collapsed="false">
      <c r="A168" s="17"/>
      <c r="B168" s="17"/>
      <c r="C168" s="18" t="str">
        <f aca="false">IFERROR(INDEX(Ref_PBC!$B$2:$B$201,MATCH(B168,Ref_PBC!$A$2:$A$201,0)),"")</f>
        <v/>
      </c>
      <c r="D168" s="18" t="str">
        <f aca="false">IFERROR(INDEX(Ref_PBC!$C$2:$C$201,MATCH(B168,Ref_PBC!$A$2:$A$201,0)),"")</f>
        <v/>
      </c>
      <c r="E168" s="17"/>
      <c r="F168" s="17"/>
      <c r="G168" s="17"/>
      <c r="H168" s="17"/>
      <c r="I168" s="17"/>
      <c r="J168" s="19"/>
      <c r="K168" s="19"/>
      <c r="L168" s="19"/>
      <c r="M168" s="17"/>
      <c r="N168" s="19"/>
      <c r="O168" s="17"/>
      <c r="P168" s="20" t="str">
        <f aca="false">IF(A168="","",IF(IFERROR(INDEX(Ref_PBC!$D$2:$D$201,MATCH(B168,Ref_PBC!$A$2:$A$201,0)),"")="Population","Y","N"))</f>
        <v/>
      </c>
      <c r="Q168" s="17"/>
      <c r="R168" s="17"/>
      <c r="S168" s="20" t="str">
        <f aca="false">IF(A168="","",IF(OR(B168="",E168="",G168="",M168=""),"PBC-ID, filename, source system, record count needed",IF(COUNTIF(Ref_PBC!$A$2:$A$201,B168)=0,"PBC-ID not in W08",IF(LEFT(E168,LEN(A168)+1)&lt;&gt;A168&amp;"_","Filename must start with EV-ID_",IF(O168&lt;&gt;"Y","Original must be preserved (Y)",IF(OR(K168="",L168=""),"Period covered needed",IF(OR(K168&gt;C168,L168&lt;D168),"Period does not cover the PBC period",IF(AND(P168="Y",Q168=""),"IPE result needed",IF(AND(P168="Y",Q168&lt;&gt;"Pass"),"HOLD: IPE not Pass - do not sample","OK")))))))))</f>
        <v/>
      </c>
    </row>
    <row r="169" customFormat="false" ht="15" hidden="false" customHeight="false" outlineLevel="0" collapsed="false">
      <c r="A169" s="17"/>
      <c r="B169" s="17"/>
      <c r="C169" s="18" t="str">
        <f aca="false">IFERROR(INDEX(Ref_PBC!$B$2:$B$201,MATCH(B169,Ref_PBC!$A$2:$A$201,0)),"")</f>
        <v/>
      </c>
      <c r="D169" s="18" t="str">
        <f aca="false">IFERROR(INDEX(Ref_PBC!$C$2:$C$201,MATCH(B169,Ref_PBC!$A$2:$A$201,0)),"")</f>
        <v/>
      </c>
      <c r="E169" s="17"/>
      <c r="F169" s="17"/>
      <c r="G169" s="17"/>
      <c r="H169" s="17"/>
      <c r="I169" s="17"/>
      <c r="J169" s="19"/>
      <c r="K169" s="19"/>
      <c r="L169" s="19"/>
      <c r="M169" s="17"/>
      <c r="N169" s="19"/>
      <c r="O169" s="17"/>
      <c r="P169" s="20" t="str">
        <f aca="false">IF(A169="","",IF(IFERROR(INDEX(Ref_PBC!$D$2:$D$201,MATCH(B169,Ref_PBC!$A$2:$A$201,0)),"")="Population","Y","N"))</f>
        <v/>
      </c>
      <c r="Q169" s="17"/>
      <c r="R169" s="17"/>
      <c r="S169" s="20" t="str">
        <f aca="false">IF(A169="","",IF(OR(B169="",E169="",G169="",M169=""),"PBC-ID, filename, source system, record count needed",IF(COUNTIF(Ref_PBC!$A$2:$A$201,B169)=0,"PBC-ID not in W08",IF(LEFT(E169,LEN(A169)+1)&lt;&gt;A169&amp;"_","Filename must start with EV-ID_",IF(O169&lt;&gt;"Y","Original must be preserved (Y)",IF(OR(K169="",L169=""),"Period covered needed",IF(OR(K169&gt;C169,L169&lt;D169),"Period does not cover the PBC period",IF(AND(P169="Y",Q169=""),"IPE result needed",IF(AND(P169="Y",Q169&lt;&gt;"Pass"),"HOLD: IPE not Pass - do not sample","OK")))))))))</f>
        <v/>
      </c>
    </row>
    <row r="170" customFormat="false" ht="15" hidden="false" customHeight="false" outlineLevel="0" collapsed="false">
      <c r="A170" s="17"/>
      <c r="B170" s="17"/>
      <c r="C170" s="18" t="str">
        <f aca="false">IFERROR(INDEX(Ref_PBC!$B$2:$B$201,MATCH(B170,Ref_PBC!$A$2:$A$201,0)),"")</f>
        <v/>
      </c>
      <c r="D170" s="18" t="str">
        <f aca="false">IFERROR(INDEX(Ref_PBC!$C$2:$C$201,MATCH(B170,Ref_PBC!$A$2:$A$201,0)),"")</f>
        <v/>
      </c>
      <c r="E170" s="17"/>
      <c r="F170" s="17"/>
      <c r="G170" s="17"/>
      <c r="H170" s="17"/>
      <c r="I170" s="17"/>
      <c r="J170" s="19"/>
      <c r="K170" s="19"/>
      <c r="L170" s="19"/>
      <c r="M170" s="17"/>
      <c r="N170" s="19"/>
      <c r="O170" s="17"/>
      <c r="P170" s="20" t="str">
        <f aca="false">IF(A170="","",IF(IFERROR(INDEX(Ref_PBC!$D$2:$D$201,MATCH(B170,Ref_PBC!$A$2:$A$201,0)),"")="Population","Y","N"))</f>
        <v/>
      </c>
      <c r="Q170" s="17"/>
      <c r="R170" s="17"/>
      <c r="S170" s="20" t="str">
        <f aca="false">IF(A170="","",IF(OR(B170="",E170="",G170="",M170=""),"PBC-ID, filename, source system, record count needed",IF(COUNTIF(Ref_PBC!$A$2:$A$201,B170)=0,"PBC-ID not in W08",IF(LEFT(E170,LEN(A170)+1)&lt;&gt;A170&amp;"_","Filename must start with EV-ID_",IF(O170&lt;&gt;"Y","Original must be preserved (Y)",IF(OR(K170="",L170=""),"Period covered needed",IF(OR(K170&gt;C170,L170&lt;D170),"Period does not cover the PBC period",IF(AND(P170="Y",Q170=""),"IPE result needed",IF(AND(P170="Y",Q170&lt;&gt;"Pass"),"HOLD: IPE not Pass - do not sample","OK")))))))))</f>
        <v/>
      </c>
    </row>
    <row r="171" customFormat="false" ht="15" hidden="false" customHeight="false" outlineLevel="0" collapsed="false">
      <c r="A171" s="17"/>
      <c r="B171" s="17"/>
      <c r="C171" s="18" t="str">
        <f aca="false">IFERROR(INDEX(Ref_PBC!$B$2:$B$201,MATCH(B171,Ref_PBC!$A$2:$A$201,0)),"")</f>
        <v/>
      </c>
      <c r="D171" s="18" t="str">
        <f aca="false">IFERROR(INDEX(Ref_PBC!$C$2:$C$201,MATCH(B171,Ref_PBC!$A$2:$A$201,0)),"")</f>
        <v/>
      </c>
      <c r="E171" s="17"/>
      <c r="F171" s="17"/>
      <c r="G171" s="17"/>
      <c r="H171" s="17"/>
      <c r="I171" s="17"/>
      <c r="J171" s="19"/>
      <c r="K171" s="19"/>
      <c r="L171" s="19"/>
      <c r="M171" s="17"/>
      <c r="N171" s="19"/>
      <c r="O171" s="17"/>
      <c r="P171" s="20" t="str">
        <f aca="false">IF(A171="","",IF(IFERROR(INDEX(Ref_PBC!$D$2:$D$201,MATCH(B171,Ref_PBC!$A$2:$A$201,0)),"")="Population","Y","N"))</f>
        <v/>
      </c>
      <c r="Q171" s="17"/>
      <c r="R171" s="17"/>
      <c r="S171" s="20" t="str">
        <f aca="false">IF(A171="","",IF(OR(B171="",E171="",G171="",M171=""),"PBC-ID, filename, source system, record count needed",IF(COUNTIF(Ref_PBC!$A$2:$A$201,B171)=0,"PBC-ID not in W08",IF(LEFT(E171,LEN(A171)+1)&lt;&gt;A171&amp;"_","Filename must start with EV-ID_",IF(O171&lt;&gt;"Y","Original must be preserved (Y)",IF(OR(K171="",L171=""),"Period covered needed",IF(OR(K171&gt;C171,L171&lt;D171),"Period does not cover the PBC period",IF(AND(P171="Y",Q171=""),"IPE result needed",IF(AND(P171="Y",Q171&lt;&gt;"Pass"),"HOLD: IPE not Pass - do not sample","OK")))))))))</f>
        <v/>
      </c>
    </row>
    <row r="172" customFormat="false" ht="15" hidden="false" customHeight="false" outlineLevel="0" collapsed="false">
      <c r="A172" s="17"/>
      <c r="B172" s="17"/>
      <c r="C172" s="18" t="str">
        <f aca="false">IFERROR(INDEX(Ref_PBC!$B$2:$B$201,MATCH(B172,Ref_PBC!$A$2:$A$201,0)),"")</f>
        <v/>
      </c>
      <c r="D172" s="18" t="str">
        <f aca="false">IFERROR(INDEX(Ref_PBC!$C$2:$C$201,MATCH(B172,Ref_PBC!$A$2:$A$201,0)),"")</f>
        <v/>
      </c>
      <c r="E172" s="17"/>
      <c r="F172" s="17"/>
      <c r="G172" s="17"/>
      <c r="H172" s="17"/>
      <c r="I172" s="17"/>
      <c r="J172" s="19"/>
      <c r="K172" s="19"/>
      <c r="L172" s="19"/>
      <c r="M172" s="17"/>
      <c r="N172" s="19"/>
      <c r="O172" s="17"/>
      <c r="P172" s="20" t="str">
        <f aca="false">IF(A172="","",IF(IFERROR(INDEX(Ref_PBC!$D$2:$D$201,MATCH(B172,Ref_PBC!$A$2:$A$201,0)),"")="Population","Y","N"))</f>
        <v/>
      </c>
      <c r="Q172" s="17"/>
      <c r="R172" s="17"/>
      <c r="S172" s="20" t="str">
        <f aca="false">IF(A172="","",IF(OR(B172="",E172="",G172="",M172=""),"PBC-ID, filename, source system, record count needed",IF(COUNTIF(Ref_PBC!$A$2:$A$201,B172)=0,"PBC-ID not in W08",IF(LEFT(E172,LEN(A172)+1)&lt;&gt;A172&amp;"_","Filename must start with EV-ID_",IF(O172&lt;&gt;"Y","Original must be preserved (Y)",IF(OR(K172="",L172=""),"Period covered needed",IF(OR(K172&gt;C172,L172&lt;D172),"Period does not cover the PBC period",IF(AND(P172="Y",Q172=""),"IPE result needed",IF(AND(P172="Y",Q172&lt;&gt;"Pass"),"HOLD: IPE not Pass - do not sample","OK")))))))))</f>
        <v/>
      </c>
    </row>
    <row r="173" customFormat="false" ht="15" hidden="false" customHeight="false" outlineLevel="0" collapsed="false">
      <c r="A173" s="17"/>
      <c r="B173" s="17"/>
      <c r="C173" s="18" t="str">
        <f aca="false">IFERROR(INDEX(Ref_PBC!$B$2:$B$201,MATCH(B173,Ref_PBC!$A$2:$A$201,0)),"")</f>
        <v/>
      </c>
      <c r="D173" s="18" t="str">
        <f aca="false">IFERROR(INDEX(Ref_PBC!$C$2:$C$201,MATCH(B173,Ref_PBC!$A$2:$A$201,0)),"")</f>
        <v/>
      </c>
      <c r="E173" s="17"/>
      <c r="F173" s="17"/>
      <c r="G173" s="17"/>
      <c r="H173" s="17"/>
      <c r="I173" s="17"/>
      <c r="J173" s="19"/>
      <c r="K173" s="19"/>
      <c r="L173" s="19"/>
      <c r="M173" s="17"/>
      <c r="N173" s="19"/>
      <c r="O173" s="17"/>
      <c r="P173" s="20" t="str">
        <f aca="false">IF(A173="","",IF(IFERROR(INDEX(Ref_PBC!$D$2:$D$201,MATCH(B173,Ref_PBC!$A$2:$A$201,0)),"")="Population","Y","N"))</f>
        <v/>
      </c>
      <c r="Q173" s="17"/>
      <c r="R173" s="17"/>
      <c r="S173" s="20" t="str">
        <f aca="false">IF(A173="","",IF(OR(B173="",E173="",G173="",M173=""),"PBC-ID, filename, source system, record count needed",IF(COUNTIF(Ref_PBC!$A$2:$A$201,B173)=0,"PBC-ID not in W08",IF(LEFT(E173,LEN(A173)+1)&lt;&gt;A173&amp;"_","Filename must start with EV-ID_",IF(O173&lt;&gt;"Y","Original must be preserved (Y)",IF(OR(K173="",L173=""),"Period covered needed",IF(OR(K173&gt;C173,L173&lt;D173),"Period does not cover the PBC period",IF(AND(P173="Y",Q173=""),"IPE result needed",IF(AND(P173="Y",Q173&lt;&gt;"Pass"),"HOLD: IPE not Pass - do not sample","OK")))))))))</f>
        <v/>
      </c>
    </row>
    <row r="174" customFormat="false" ht="15" hidden="false" customHeight="false" outlineLevel="0" collapsed="false">
      <c r="A174" s="17"/>
      <c r="B174" s="17"/>
      <c r="C174" s="18" t="str">
        <f aca="false">IFERROR(INDEX(Ref_PBC!$B$2:$B$201,MATCH(B174,Ref_PBC!$A$2:$A$201,0)),"")</f>
        <v/>
      </c>
      <c r="D174" s="18" t="str">
        <f aca="false">IFERROR(INDEX(Ref_PBC!$C$2:$C$201,MATCH(B174,Ref_PBC!$A$2:$A$201,0)),"")</f>
        <v/>
      </c>
      <c r="E174" s="17"/>
      <c r="F174" s="17"/>
      <c r="G174" s="17"/>
      <c r="H174" s="17"/>
      <c r="I174" s="17"/>
      <c r="J174" s="19"/>
      <c r="K174" s="19"/>
      <c r="L174" s="19"/>
      <c r="M174" s="17"/>
      <c r="N174" s="19"/>
      <c r="O174" s="17"/>
      <c r="P174" s="20" t="str">
        <f aca="false">IF(A174="","",IF(IFERROR(INDEX(Ref_PBC!$D$2:$D$201,MATCH(B174,Ref_PBC!$A$2:$A$201,0)),"")="Population","Y","N"))</f>
        <v/>
      </c>
      <c r="Q174" s="17"/>
      <c r="R174" s="17"/>
      <c r="S174" s="20" t="str">
        <f aca="false">IF(A174="","",IF(OR(B174="",E174="",G174="",M174=""),"PBC-ID, filename, source system, record count needed",IF(COUNTIF(Ref_PBC!$A$2:$A$201,B174)=0,"PBC-ID not in W08",IF(LEFT(E174,LEN(A174)+1)&lt;&gt;A174&amp;"_","Filename must start with EV-ID_",IF(O174&lt;&gt;"Y","Original must be preserved (Y)",IF(OR(K174="",L174=""),"Period covered needed",IF(OR(K174&gt;C174,L174&lt;D174),"Period does not cover the PBC period",IF(AND(P174="Y",Q174=""),"IPE result needed",IF(AND(P174="Y",Q174&lt;&gt;"Pass"),"HOLD: IPE not Pass - do not sample","OK")))))))))</f>
        <v/>
      </c>
    </row>
    <row r="175" customFormat="false" ht="15" hidden="false" customHeight="false" outlineLevel="0" collapsed="false">
      <c r="A175" s="17"/>
      <c r="B175" s="17"/>
      <c r="C175" s="18" t="str">
        <f aca="false">IFERROR(INDEX(Ref_PBC!$B$2:$B$201,MATCH(B175,Ref_PBC!$A$2:$A$201,0)),"")</f>
        <v/>
      </c>
      <c r="D175" s="18" t="str">
        <f aca="false">IFERROR(INDEX(Ref_PBC!$C$2:$C$201,MATCH(B175,Ref_PBC!$A$2:$A$201,0)),"")</f>
        <v/>
      </c>
      <c r="E175" s="17"/>
      <c r="F175" s="17"/>
      <c r="G175" s="17"/>
      <c r="H175" s="17"/>
      <c r="I175" s="17"/>
      <c r="J175" s="19"/>
      <c r="K175" s="19"/>
      <c r="L175" s="19"/>
      <c r="M175" s="17"/>
      <c r="N175" s="19"/>
      <c r="O175" s="17"/>
      <c r="P175" s="20" t="str">
        <f aca="false">IF(A175="","",IF(IFERROR(INDEX(Ref_PBC!$D$2:$D$201,MATCH(B175,Ref_PBC!$A$2:$A$201,0)),"")="Population","Y","N"))</f>
        <v/>
      </c>
      <c r="Q175" s="17"/>
      <c r="R175" s="17"/>
      <c r="S175" s="20" t="str">
        <f aca="false">IF(A175="","",IF(OR(B175="",E175="",G175="",M175=""),"PBC-ID, filename, source system, record count needed",IF(COUNTIF(Ref_PBC!$A$2:$A$201,B175)=0,"PBC-ID not in W08",IF(LEFT(E175,LEN(A175)+1)&lt;&gt;A175&amp;"_","Filename must start with EV-ID_",IF(O175&lt;&gt;"Y","Original must be preserved (Y)",IF(OR(K175="",L175=""),"Period covered needed",IF(OR(K175&gt;C175,L175&lt;D175),"Period does not cover the PBC period",IF(AND(P175="Y",Q175=""),"IPE result needed",IF(AND(P175="Y",Q175&lt;&gt;"Pass"),"HOLD: IPE not Pass - do not sample","OK")))))))))</f>
        <v/>
      </c>
    </row>
    <row r="176" customFormat="false" ht="15" hidden="false" customHeight="false" outlineLevel="0" collapsed="false">
      <c r="A176" s="17"/>
      <c r="B176" s="17"/>
      <c r="C176" s="18" t="str">
        <f aca="false">IFERROR(INDEX(Ref_PBC!$B$2:$B$201,MATCH(B176,Ref_PBC!$A$2:$A$201,0)),"")</f>
        <v/>
      </c>
      <c r="D176" s="18" t="str">
        <f aca="false">IFERROR(INDEX(Ref_PBC!$C$2:$C$201,MATCH(B176,Ref_PBC!$A$2:$A$201,0)),"")</f>
        <v/>
      </c>
      <c r="E176" s="17"/>
      <c r="F176" s="17"/>
      <c r="G176" s="17"/>
      <c r="H176" s="17"/>
      <c r="I176" s="17"/>
      <c r="J176" s="19"/>
      <c r="K176" s="19"/>
      <c r="L176" s="19"/>
      <c r="M176" s="17"/>
      <c r="N176" s="19"/>
      <c r="O176" s="17"/>
      <c r="P176" s="20" t="str">
        <f aca="false">IF(A176="","",IF(IFERROR(INDEX(Ref_PBC!$D$2:$D$201,MATCH(B176,Ref_PBC!$A$2:$A$201,0)),"")="Population","Y","N"))</f>
        <v/>
      </c>
      <c r="Q176" s="17"/>
      <c r="R176" s="17"/>
      <c r="S176" s="20" t="str">
        <f aca="false">IF(A176="","",IF(OR(B176="",E176="",G176="",M176=""),"PBC-ID, filename, source system, record count needed",IF(COUNTIF(Ref_PBC!$A$2:$A$201,B176)=0,"PBC-ID not in W08",IF(LEFT(E176,LEN(A176)+1)&lt;&gt;A176&amp;"_","Filename must start with EV-ID_",IF(O176&lt;&gt;"Y","Original must be preserved (Y)",IF(OR(K176="",L176=""),"Period covered needed",IF(OR(K176&gt;C176,L176&lt;D176),"Period does not cover the PBC period",IF(AND(P176="Y",Q176=""),"IPE result needed",IF(AND(P176="Y",Q176&lt;&gt;"Pass"),"HOLD: IPE not Pass - do not sample","OK")))))))))</f>
        <v/>
      </c>
    </row>
    <row r="177" customFormat="false" ht="15" hidden="false" customHeight="false" outlineLevel="0" collapsed="false">
      <c r="A177" s="17"/>
      <c r="B177" s="17"/>
      <c r="C177" s="18" t="str">
        <f aca="false">IFERROR(INDEX(Ref_PBC!$B$2:$B$201,MATCH(B177,Ref_PBC!$A$2:$A$201,0)),"")</f>
        <v/>
      </c>
      <c r="D177" s="18" t="str">
        <f aca="false">IFERROR(INDEX(Ref_PBC!$C$2:$C$201,MATCH(B177,Ref_PBC!$A$2:$A$201,0)),"")</f>
        <v/>
      </c>
      <c r="E177" s="17"/>
      <c r="F177" s="17"/>
      <c r="G177" s="17"/>
      <c r="H177" s="17"/>
      <c r="I177" s="17"/>
      <c r="J177" s="19"/>
      <c r="K177" s="19"/>
      <c r="L177" s="19"/>
      <c r="M177" s="17"/>
      <c r="N177" s="19"/>
      <c r="O177" s="17"/>
      <c r="P177" s="20" t="str">
        <f aca="false">IF(A177="","",IF(IFERROR(INDEX(Ref_PBC!$D$2:$D$201,MATCH(B177,Ref_PBC!$A$2:$A$201,0)),"")="Population","Y","N"))</f>
        <v/>
      </c>
      <c r="Q177" s="17"/>
      <c r="R177" s="17"/>
      <c r="S177" s="20" t="str">
        <f aca="false">IF(A177="","",IF(OR(B177="",E177="",G177="",M177=""),"PBC-ID, filename, source system, record count needed",IF(COUNTIF(Ref_PBC!$A$2:$A$201,B177)=0,"PBC-ID not in W08",IF(LEFT(E177,LEN(A177)+1)&lt;&gt;A177&amp;"_","Filename must start with EV-ID_",IF(O177&lt;&gt;"Y","Original must be preserved (Y)",IF(OR(K177="",L177=""),"Period covered needed",IF(OR(K177&gt;C177,L177&lt;D177),"Period does not cover the PBC period",IF(AND(P177="Y",Q177=""),"IPE result needed",IF(AND(P177="Y",Q177&lt;&gt;"Pass"),"HOLD: IPE not Pass - do not sample","OK")))))))))</f>
        <v/>
      </c>
    </row>
    <row r="178" customFormat="false" ht="15" hidden="false" customHeight="false" outlineLevel="0" collapsed="false">
      <c r="A178" s="17"/>
      <c r="B178" s="17"/>
      <c r="C178" s="18" t="str">
        <f aca="false">IFERROR(INDEX(Ref_PBC!$B$2:$B$201,MATCH(B178,Ref_PBC!$A$2:$A$201,0)),"")</f>
        <v/>
      </c>
      <c r="D178" s="18" t="str">
        <f aca="false">IFERROR(INDEX(Ref_PBC!$C$2:$C$201,MATCH(B178,Ref_PBC!$A$2:$A$201,0)),"")</f>
        <v/>
      </c>
      <c r="E178" s="17"/>
      <c r="F178" s="17"/>
      <c r="G178" s="17"/>
      <c r="H178" s="17"/>
      <c r="I178" s="17"/>
      <c r="J178" s="19"/>
      <c r="K178" s="19"/>
      <c r="L178" s="19"/>
      <c r="M178" s="17"/>
      <c r="N178" s="19"/>
      <c r="O178" s="17"/>
      <c r="P178" s="20" t="str">
        <f aca="false">IF(A178="","",IF(IFERROR(INDEX(Ref_PBC!$D$2:$D$201,MATCH(B178,Ref_PBC!$A$2:$A$201,0)),"")="Population","Y","N"))</f>
        <v/>
      </c>
      <c r="Q178" s="17"/>
      <c r="R178" s="17"/>
      <c r="S178" s="20" t="str">
        <f aca="false">IF(A178="","",IF(OR(B178="",E178="",G178="",M178=""),"PBC-ID, filename, source system, record count needed",IF(COUNTIF(Ref_PBC!$A$2:$A$201,B178)=0,"PBC-ID not in W08",IF(LEFT(E178,LEN(A178)+1)&lt;&gt;A178&amp;"_","Filename must start with EV-ID_",IF(O178&lt;&gt;"Y","Original must be preserved (Y)",IF(OR(K178="",L178=""),"Period covered needed",IF(OR(K178&gt;C178,L178&lt;D178),"Period does not cover the PBC period",IF(AND(P178="Y",Q178=""),"IPE result needed",IF(AND(P178="Y",Q178&lt;&gt;"Pass"),"HOLD: IPE not Pass - do not sample","OK")))))))))</f>
        <v/>
      </c>
    </row>
    <row r="179" customFormat="false" ht="15" hidden="false" customHeight="false" outlineLevel="0" collapsed="false">
      <c r="A179" s="17"/>
      <c r="B179" s="17"/>
      <c r="C179" s="18" t="str">
        <f aca="false">IFERROR(INDEX(Ref_PBC!$B$2:$B$201,MATCH(B179,Ref_PBC!$A$2:$A$201,0)),"")</f>
        <v/>
      </c>
      <c r="D179" s="18" t="str">
        <f aca="false">IFERROR(INDEX(Ref_PBC!$C$2:$C$201,MATCH(B179,Ref_PBC!$A$2:$A$201,0)),"")</f>
        <v/>
      </c>
      <c r="E179" s="17"/>
      <c r="F179" s="17"/>
      <c r="G179" s="17"/>
      <c r="H179" s="17"/>
      <c r="I179" s="17"/>
      <c r="J179" s="19"/>
      <c r="K179" s="19"/>
      <c r="L179" s="19"/>
      <c r="M179" s="17"/>
      <c r="N179" s="19"/>
      <c r="O179" s="17"/>
      <c r="P179" s="20" t="str">
        <f aca="false">IF(A179="","",IF(IFERROR(INDEX(Ref_PBC!$D$2:$D$201,MATCH(B179,Ref_PBC!$A$2:$A$201,0)),"")="Population","Y","N"))</f>
        <v/>
      </c>
      <c r="Q179" s="17"/>
      <c r="R179" s="17"/>
      <c r="S179" s="20" t="str">
        <f aca="false">IF(A179="","",IF(OR(B179="",E179="",G179="",M179=""),"PBC-ID, filename, source system, record count needed",IF(COUNTIF(Ref_PBC!$A$2:$A$201,B179)=0,"PBC-ID not in W08",IF(LEFT(E179,LEN(A179)+1)&lt;&gt;A179&amp;"_","Filename must start with EV-ID_",IF(O179&lt;&gt;"Y","Original must be preserved (Y)",IF(OR(K179="",L179=""),"Period covered needed",IF(OR(K179&gt;C179,L179&lt;D179),"Period does not cover the PBC period",IF(AND(P179="Y",Q179=""),"IPE result needed",IF(AND(P179="Y",Q179&lt;&gt;"Pass"),"HOLD: IPE not Pass - do not sample","OK")))))))))</f>
        <v/>
      </c>
    </row>
    <row r="180" customFormat="false" ht="15" hidden="false" customHeight="false" outlineLevel="0" collapsed="false">
      <c r="A180" s="17"/>
      <c r="B180" s="17"/>
      <c r="C180" s="18" t="str">
        <f aca="false">IFERROR(INDEX(Ref_PBC!$B$2:$B$201,MATCH(B180,Ref_PBC!$A$2:$A$201,0)),"")</f>
        <v/>
      </c>
      <c r="D180" s="18" t="str">
        <f aca="false">IFERROR(INDEX(Ref_PBC!$C$2:$C$201,MATCH(B180,Ref_PBC!$A$2:$A$201,0)),"")</f>
        <v/>
      </c>
      <c r="E180" s="17"/>
      <c r="F180" s="17"/>
      <c r="G180" s="17"/>
      <c r="H180" s="17"/>
      <c r="I180" s="17"/>
      <c r="J180" s="19"/>
      <c r="K180" s="19"/>
      <c r="L180" s="19"/>
      <c r="M180" s="17"/>
      <c r="N180" s="19"/>
      <c r="O180" s="17"/>
      <c r="P180" s="20" t="str">
        <f aca="false">IF(A180="","",IF(IFERROR(INDEX(Ref_PBC!$D$2:$D$201,MATCH(B180,Ref_PBC!$A$2:$A$201,0)),"")="Population","Y","N"))</f>
        <v/>
      </c>
      <c r="Q180" s="17"/>
      <c r="R180" s="17"/>
      <c r="S180" s="20" t="str">
        <f aca="false">IF(A180="","",IF(OR(B180="",E180="",G180="",M180=""),"PBC-ID, filename, source system, record count needed",IF(COUNTIF(Ref_PBC!$A$2:$A$201,B180)=0,"PBC-ID not in W08",IF(LEFT(E180,LEN(A180)+1)&lt;&gt;A180&amp;"_","Filename must start with EV-ID_",IF(O180&lt;&gt;"Y","Original must be preserved (Y)",IF(OR(K180="",L180=""),"Period covered needed",IF(OR(K180&gt;C180,L180&lt;D180),"Period does not cover the PBC period",IF(AND(P180="Y",Q180=""),"IPE result needed",IF(AND(P180="Y",Q180&lt;&gt;"Pass"),"HOLD: IPE not Pass - do not sample","OK")))))))))</f>
        <v/>
      </c>
    </row>
    <row r="181" customFormat="false" ht="15" hidden="false" customHeight="false" outlineLevel="0" collapsed="false">
      <c r="A181" s="17"/>
      <c r="B181" s="17"/>
      <c r="C181" s="18" t="str">
        <f aca="false">IFERROR(INDEX(Ref_PBC!$B$2:$B$201,MATCH(B181,Ref_PBC!$A$2:$A$201,0)),"")</f>
        <v/>
      </c>
      <c r="D181" s="18" t="str">
        <f aca="false">IFERROR(INDEX(Ref_PBC!$C$2:$C$201,MATCH(B181,Ref_PBC!$A$2:$A$201,0)),"")</f>
        <v/>
      </c>
      <c r="E181" s="17"/>
      <c r="F181" s="17"/>
      <c r="G181" s="17"/>
      <c r="H181" s="17"/>
      <c r="I181" s="17"/>
      <c r="J181" s="19"/>
      <c r="K181" s="19"/>
      <c r="L181" s="19"/>
      <c r="M181" s="17"/>
      <c r="N181" s="19"/>
      <c r="O181" s="17"/>
      <c r="P181" s="20" t="str">
        <f aca="false">IF(A181="","",IF(IFERROR(INDEX(Ref_PBC!$D$2:$D$201,MATCH(B181,Ref_PBC!$A$2:$A$201,0)),"")="Population","Y","N"))</f>
        <v/>
      </c>
      <c r="Q181" s="17"/>
      <c r="R181" s="17"/>
      <c r="S181" s="20" t="str">
        <f aca="false">IF(A181="","",IF(OR(B181="",E181="",G181="",M181=""),"PBC-ID, filename, source system, record count needed",IF(COUNTIF(Ref_PBC!$A$2:$A$201,B181)=0,"PBC-ID not in W08",IF(LEFT(E181,LEN(A181)+1)&lt;&gt;A181&amp;"_","Filename must start with EV-ID_",IF(O181&lt;&gt;"Y","Original must be preserved (Y)",IF(OR(K181="",L181=""),"Period covered needed",IF(OR(K181&gt;C181,L181&lt;D181),"Period does not cover the PBC period",IF(AND(P181="Y",Q181=""),"IPE result needed",IF(AND(P181="Y",Q181&lt;&gt;"Pass"),"HOLD: IPE not Pass - do not sample","OK")))))))))</f>
        <v/>
      </c>
    </row>
    <row r="182" customFormat="false" ht="15" hidden="false" customHeight="false" outlineLevel="0" collapsed="false">
      <c r="A182" s="17"/>
      <c r="B182" s="17"/>
      <c r="C182" s="18" t="str">
        <f aca="false">IFERROR(INDEX(Ref_PBC!$B$2:$B$201,MATCH(B182,Ref_PBC!$A$2:$A$201,0)),"")</f>
        <v/>
      </c>
      <c r="D182" s="18" t="str">
        <f aca="false">IFERROR(INDEX(Ref_PBC!$C$2:$C$201,MATCH(B182,Ref_PBC!$A$2:$A$201,0)),"")</f>
        <v/>
      </c>
      <c r="E182" s="17"/>
      <c r="F182" s="17"/>
      <c r="G182" s="17"/>
      <c r="H182" s="17"/>
      <c r="I182" s="17"/>
      <c r="J182" s="19"/>
      <c r="K182" s="19"/>
      <c r="L182" s="19"/>
      <c r="M182" s="17"/>
      <c r="N182" s="19"/>
      <c r="O182" s="17"/>
      <c r="P182" s="20" t="str">
        <f aca="false">IF(A182="","",IF(IFERROR(INDEX(Ref_PBC!$D$2:$D$201,MATCH(B182,Ref_PBC!$A$2:$A$201,0)),"")="Population","Y","N"))</f>
        <v/>
      </c>
      <c r="Q182" s="17"/>
      <c r="R182" s="17"/>
      <c r="S182" s="20" t="str">
        <f aca="false">IF(A182="","",IF(OR(B182="",E182="",G182="",M182=""),"PBC-ID, filename, source system, record count needed",IF(COUNTIF(Ref_PBC!$A$2:$A$201,B182)=0,"PBC-ID not in W08",IF(LEFT(E182,LEN(A182)+1)&lt;&gt;A182&amp;"_","Filename must start with EV-ID_",IF(O182&lt;&gt;"Y","Original must be preserved (Y)",IF(OR(K182="",L182=""),"Period covered needed",IF(OR(K182&gt;C182,L182&lt;D182),"Period does not cover the PBC period",IF(AND(P182="Y",Q182=""),"IPE result needed",IF(AND(P182="Y",Q182&lt;&gt;"Pass"),"HOLD: IPE not Pass - do not sample","OK")))))))))</f>
        <v/>
      </c>
    </row>
    <row r="183" customFormat="false" ht="15" hidden="false" customHeight="false" outlineLevel="0" collapsed="false">
      <c r="A183" s="17"/>
      <c r="B183" s="17"/>
      <c r="C183" s="18" t="str">
        <f aca="false">IFERROR(INDEX(Ref_PBC!$B$2:$B$201,MATCH(B183,Ref_PBC!$A$2:$A$201,0)),"")</f>
        <v/>
      </c>
      <c r="D183" s="18" t="str">
        <f aca="false">IFERROR(INDEX(Ref_PBC!$C$2:$C$201,MATCH(B183,Ref_PBC!$A$2:$A$201,0)),"")</f>
        <v/>
      </c>
      <c r="E183" s="17"/>
      <c r="F183" s="17"/>
      <c r="G183" s="17"/>
      <c r="H183" s="17"/>
      <c r="I183" s="17"/>
      <c r="J183" s="19"/>
      <c r="K183" s="19"/>
      <c r="L183" s="19"/>
      <c r="M183" s="17"/>
      <c r="N183" s="19"/>
      <c r="O183" s="17"/>
      <c r="P183" s="20" t="str">
        <f aca="false">IF(A183="","",IF(IFERROR(INDEX(Ref_PBC!$D$2:$D$201,MATCH(B183,Ref_PBC!$A$2:$A$201,0)),"")="Population","Y","N"))</f>
        <v/>
      </c>
      <c r="Q183" s="17"/>
      <c r="R183" s="17"/>
      <c r="S183" s="20" t="str">
        <f aca="false">IF(A183="","",IF(OR(B183="",E183="",G183="",M183=""),"PBC-ID, filename, source system, record count needed",IF(COUNTIF(Ref_PBC!$A$2:$A$201,B183)=0,"PBC-ID not in W08",IF(LEFT(E183,LEN(A183)+1)&lt;&gt;A183&amp;"_","Filename must start with EV-ID_",IF(O183&lt;&gt;"Y","Original must be preserved (Y)",IF(OR(K183="",L183=""),"Period covered needed",IF(OR(K183&gt;C183,L183&lt;D183),"Period does not cover the PBC period",IF(AND(P183="Y",Q183=""),"IPE result needed",IF(AND(P183="Y",Q183&lt;&gt;"Pass"),"HOLD: IPE not Pass - do not sample","OK")))))))))</f>
        <v/>
      </c>
    </row>
    <row r="184" customFormat="false" ht="15" hidden="false" customHeight="false" outlineLevel="0" collapsed="false">
      <c r="A184" s="17"/>
      <c r="B184" s="17"/>
      <c r="C184" s="18" t="str">
        <f aca="false">IFERROR(INDEX(Ref_PBC!$B$2:$B$201,MATCH(B184,Ref_PBC!$A$2:$A$201,0)),"")</f>
        <v/>
      </c>
      <c r="D184" s="18" t="str">
        <f aca="false">IFERROR(INDEX(Ref_PBC!$C$2:$C$201,MATCH(B184,Ref_PBC!$A$2:$A$201,0)),"")</f>
        <v/>
      </c>
      <c r="E184" s="17"/>
      <c r="F184" s="17"/>
      <c r="G184" s="17"/>
      <c r="H184" s="17"/>
      <c r="I184" s="17"/>
      <c r="J184" s="19"/>
      <c r="K184" s="19"/>
      <c r="L184" s="19"/>
      <c r="M184" s="17"/>
      <c r="N184" s="19"/>
      <c r="O184" s="17"/>
      <c r="P184" s="20" t="str">
        <f aca="false">IF(A184="","",IF(IFERROR(INDEX(Ref_PBC!$D$2:$D$201,MATCH(B184,Ref_PBC!$A$2:$A$201,0)),"")="Population","Y","N"))</f>
        <v/>
      </c>
      <c r="Q184" s="17"/>
      <c r="R184" s="17"/>
      <c r="S184" s="20" t="str">
        <f aca="false">IF(A184="","",IF(OR(B184="",E184="",G184="",M184=""),"PBC-ID, filename, source system, record count needed",IF(COUNTIF(Ref_PBC!$A$2:$A$201,B184)=0,"PBC-ID not in W08",IF(LEFT(E184,LEN(A184)+1)&lt;&gt;A184&amp;"_","Filename must start with EV-ID_",IF(O184&lt;&gt;"Y","Original must be preserved (Y)",IF(OR(K184="",L184=""),"Period covered needed",IF(OR(K184&gt;C184,L184&lt;D184),"Period does not cover the PBC period",IF(AND(P184="Y",Q184=""),"IPE result needed",IF(AND(P184="Y",Q184&lt;&gt;"Pass"),"HOLD: IPE not Pass - do not sample","OK")))))))))</f>
        <v/>
      </c>
    </row>
    <row r="185" customFormat="false" ht="15" hidden="false" customHeight="false" outlineLevel="0" collapsed="false">
      <c r="A185" s="17"/>
      <c r="B185" s="17"/>
      <c r="C185" s="18" t="str">
        <f aca="false">IFERROR(INDEX(Ref_PBC!$B$2:$B$201,MATCH(B185,Ref_PBC!$A$2:$A$201,0)),"")</f>
        <v/>
      </c>
      <c r="D185" s="18" t="str">
        <f aca="false">IFERROR(INDEX(Ref_PBC!$C$2:$C$201,MATCH(B185,Ref_PBC!$A$2:$A$201,0)),"")</f>
        <v/>
      </c>
      <c r="E185" s="17"/>
      <c r="F185" s="17"/>
      <c r="G185" s="17"/>
      <c r="H185" s="17"/>
      <c r="I185" s="17"/>
      <c r="J185" s="19"/>
      <c r="K185" s="19"/>
      <c r="L185" s="19"/>
      <c r="M185" s="17"/>
      <c r="N185" s="19"/>
      <c r="O185" s="17"/>
      <c r="P185" s="20" t="str">
        <f aca="false">IF(A185="","",IF(IFERROR(INDEX(Ref_PBC!$D$2:$D$201,MATCH(B185,Ref_PBC!$A$2:$A$201,0)),"")="Population","Y","N"))</f>
        <v/>
      </c>
      <c r="Q185" s="17"/>
      <c r="R185" s="17"/>
      <c r="S185" s="20" t="str">
        <f aca="false">IF(A185="","",IF(OR(B185="",E185="",G185="",M185=""),"PBC-ID, filename, source system, record count needed",IF(COUNTIF(Ref_PBC!$A$2:$A$201,B185)=0,"PBC-ID not in W08",IF(LEFT(E185,LEN(A185)+1)&lt;&gt;A185&amp;"_","Filename must start with EV-ID_",IF(O185&lt;&gt;"Y","Original must be preserved (Y)",IF(OR(K185="",L185=""),"Period covered needed",IF(OR(K185&gt;C185,L185&lt;D185),"Period does not cover the PBC period",IF(AND(P185="Y",Q185=""),"IPE result needed",IF(AND(P185="Y",Q185&lt;&gt;"Pass"),"HOLD: IPE not Pass - do not sample","OK")))))))))</f>
        <v/>
      </c>
    </row>
    <row r="186" customFormat="false" ht="15" hidden="false" customHeight="false" outlineLevel="0" collapsed="false">
      <c r="A186" s="17"/>
      <c r="B186" s="17"/>
      <c r="C186" s="18" t="str">
        <f aca="false">IFERROR(INDEX(Ref_PBC!$B$2:$B$201,MATCH(B186,Ref_PBC!$A$2:$A$201,0)),"")</f>
        <v/>
      </c>
      <c r="D186" s="18" t="str">
        <f aca="false">IFERROR(INDEX(Ref_PBC!$C$2:$C$201,MATCH(B186,Ref_PBC!$A$2:$A$201,0)),"")</f>
        <v/>
      </c>
      <c r="E186" s="17"/>
      <c r="F186" s="17"/>
      <c r="G186" s="17"/>
      <c r="H186" s="17"/>
      <c r="I186" s="17"/>
      <c r="J186" s="19"/>
      <c r="K186" s="19"/>
      <c r="L186" s="19"/>
      <c r="M186" s="17"/>
      <c r="N186" s="19"/>
      <c r="O186" s="17"/>
      <c r="P186" s="20" t="str">
        <f aca="false">IF(A186="","",IF(IFERROR(INDEX(Ref_PBC!$D$2:$D$201,MATCH(B186,Ref_PBC!$A$2:$A$201,0)),"")="Population","Y","N"))</f>
        <v/>
      </c>
      <c r="Q186" s="17"/>
      <c r="R186" s="17"/>
      <c r="S186" s="20" t="str">
        <f aca="false">IF(A186="","",IF(OR(B186="",E186="",G186="",M186=""),"PBC-ID, filename, source system, record count needed",IF(COUNTIF(Ref_PBC!$A$2:$A$201,B186)=0,"PBC-ID not in W08",IF(LEFT(E186,LEN(A186)+1)&lt;&gt;A186&amp;"_","Filename must start with EV-ID_",IF(O186&lt;&gt;"Y","Original must be preserved (Y)",IF(OR(K186="",L186=""),"Period covered needed",IF(OR(K186&gt;C186,L186&lt;D186),"Period does not cover the PBC period",IF(AND(P186="Y",Q186=""),"IPE result needed",IF(AND(P186="Y",Q186&lt;&gt;"Pass"),"HOLD: IPE not Pass - do not sample","OK")))))))))</f>
        <v/>
      </c>
    </row>
    <row r="187" customFormat="false" ht="15" hidden="false" customHeight="false" outlineLevel="0" collapsed="false">
      <c r="A187" s="17"/>
      <c r="B187" s="17"/>
      <c r="C187" s="18" t="str">
        <f aca="false">IFERROR(INDEX(Ref_PBC!$B$2:$B$201,MATCH(B187,Ref_PBC!$A$2:$A$201,0)),"")</f>
        <v/>
      </c>
      <c r="D187" s="18" t="str">
        <f aca="false">IFERROR(INDEX(Ref_PBC!$C$2:$C$201,MATCH(B187,Ref_PBC!$A$2:$A$201,0)),"")</f>
        <v/>
      </c>
      <c r="E187" s="17"/>
      <c r="F187" s="17"/>
      <c r="G187" s="17"/>
      <c r="H187" s="17"/>
      <c r="I187" s="17"/>
      <c r="J187" s="19"/>
      <c r="K187" s="19"/>
      <c r="L187" s="19"/>
      <c r="M187" s="17"/>
      <c r="N187" s="19"/>
      <c r="O187" s="17"/>
      <c r="P187" s="20" t="str">
        <f aca="false">IF(A187="","",IF(IFERROR(INDEX(Ref_PBC!$D$2:$D$201,MATCH(B187,Ref_PBC!$A$2:$A$201,0)),"")="Population","Y","N"))</f>
        <v/>
      </c>
      <c r="Q187" s="17"/>
      <c r="R187" s="17"/>
      <c r="S187" s="20" t="str">
        <f aca="false">IF(A187="","",IF(OR(B187="",E187="",G187="",M187=""),"PBC-ID, filename, source system, record count needed",IF(COUNTIF(Ref_PBC!$A$2:$A$201,B187)=0,"PBC-ID not in W08",IF(LEFT(E187,LEN(A187)+1)&lt;&gt;A187&amp;"_","Filename must start with EV-ID_",IF(O187&lt;&gt;"Y","Original must be preserved (Y)",IF(OR(K187="",L187=""),"Period covered needed",IF(OR(K187&gt;C187,L187&lt;D187),"Period does not cover the PBC period",IF(AND(P187="Y",Q187=""),"IPE result needed",IF(AND(P187="Y",Q187&lt;&gt;"Pass"),"HOLD: IPE not Pass - do not sample","OK")))))))))</f>
        <v/>
      </c>
    </row>
    <row r="188" customFormat="false" ht="15" hidden="false" customHeight="false" outlineLevel="0" collapsed="false">
      <c r="A188" s="17"/>
      <c r="B188" s="17"/>
      <c r="C188" s="18" t="str">
        <f aca="false">IFERROR(INDEX(Ref_PBC!$B$2:$B$201,MATCH(B188,Ref_PBC!$A$2:$A$201,0)),"")</f>
        <v/>
      </c>
      <c r="D188" s="18" t="str">
        <f aca="false">IFERROR(INDEX(Ref_PBC!$C$2:$C$201,MATCH(B188,Ref_PBC!$A$2:$A$201,0)),"")</f>
        <v/>
      </c>
      <c r="E188" s="17"/>
      <c r="F188" s="17"/>
      <c r="G188" s="17"/>
      <c r="H188" s="17"/>
      <c r="I188" s="17"/>
      <c r="J188" s="19"/>
      <c r="K188" s="19"/>
      <c r="L188" s="19"/>
      <c r="M188" s="17"/>
      <c r="N188" s="19"/>
      <c r="O188" s="17"/>
      <c r="P188" s="20" t="str">
        <f aca="false">IF(A188="","",IF(IFERROR(INDEX(Ref_PBC!$D$2:$D$201,MATCH(B188,Ref_PBC!$A$2:$A$201,0)),"")="Population","Y","N"))</f>
        <v/>
      </c>
      <c r="Q188" s="17"/>
      <c r="R188" s="17"/>
      <c r="S188" s="20" t="str">
        <f aca="false">IF(A188="","",IF(OR(B188="",E188="",G188="",M188=""),"PBC-ID, filename, source system, record count needed",IF(COUNTIF(Ref_PBC!$A$2:$A$201,B188)=0,"PBC-ID not in W08",IF(LEFT(E188,LEN(A188)+1)&lt;&gt;A188&amp;"_","Filename must start with EV-ID_",IF(O188&lt;&gt;"Y","Original must be preserved (Y)",IF(OR(K188="",L188=""),"Period covered needed",IF(OR(K188&gt;C188,L188&lt;D188),"Period does not cover the PBC period",IF(AND(P188="Y",Q188=""),"IPE result needed",IF(AND(P188="Y",Q188&lt;&gt;"Pass"),"HOLD: IPE not Pass - do not sample","OK")))))))))</f>
        <v/>
      </c>
    </row>
    <row r="189" customFormat="false" ht="15" hidden="false" customHeight="false" outlineLevel="0" collapsed="false">
      <c r="A189" s="17"/>
      <c r="B189" s="17"/>
      <c r="C189" s="18" t="str">
        <f aca="false">IFERROR(INDEX(Ref_PBC!$B$2:$B$201,MATCH(B189,Ref_PBC!$A$2:$A$201,0)),"")</f>
        <v/>
      </c>
      <c r="D189" s="18" t="str">
        <f aca="false">IFERROR(INDEX(Ref_PBC!$C$2:$C$201,MATCH(B189,Ref_PBC!$A$2:$A$201,0)),"")</f>
        <v/>
      </c>
      <c r="E189" s="17"/>
      <c r="F189" s="17"/>
      <c r="G189" s="17"/>
      <c r="H189" s="17"/>
      <c r="I189" s="17"/>
      <c r="J189" s="19"/>
      <c r="K189" s="19"/>
      <c r="L189" s="19"/>
      <c r="M189" s="17"/>
      <c r="N189" s="19"/>
      <c r="O189" s="17"/>
      <c r="P189" s="20" t="str">
        <f aca="false">IF(A189="","",IF(IFERROR(INDEX(Ref_PBC!$D$2:$D$201,MATCH(B189,Ref_PBC!$A$2:$A$201,0)),"")="Population","Y","N"))</f>
        <v/>
      </c>
      <c r="Q189" s="17"/>
      <c r="R189" s="17"/>
      <c r="S189" s="20" t="str">
        <f aca="false">IF(A189="","",IF(OR(B189="",E189="",G189="",M189=""),"PBC-ID, filename, source system, record count needed",IF(COUNTIF(Ref_PBC!$A$2:$A$201,B189)=0,"PBC-ID not in W08",IF(LEFT(E189,LEN(A189)+1)&lt;&gt;A189&amp;"_","Filename must start with EV-ID_",IF(O189&lt;&gt;"Y","Original must be preserved (Y)",IF(OR(K189="",L189=""),"Period covered needed",IF(OR(K189&gt;C189,L189&lt;D189),"Period does not cover the PBC period",IF(AND(P189="Y",Q189=""),"IPE result needed",IF(AND(P189="Y",Q189&lt;&gt;"Pass"),"HOLD: IPE not Pass - do not sample","OK")))))))))</f>
        <v/>
      </c>
    </row>
    <row r="190" customFormat="false" ht="15" hidden="false" customHeight="false" outlineLevel="0" collapsed="false">
      <c r="A190" s="17"/>
      <c r="B190" s="17"/>
      <c r="C190" s="18" t="str">
        <f aca="false">IFERROR(INDEX(Ref_PBC!$B$2:$B$201,MATCH(B190,Ref_PBC!$A$2:$A$201,0)),"")</f>
        <v/>
      </c>
      <c r="D190" s="18" t="str">
        <f aca="false">IFERROR(INDEX(Ref_PBC!$C$2:$C$201,MATCH(B190,Ref_PBC!$A$2:$A$201,0)),"")</f>
        <v/>
      </c>
      <c r="E190" s="17"/>
      <c r="F190" s="17"/>
      <c r="G190" s="17"/>
      <c r="H190" s="17"/>
      <c r="I190" s="17"/>
      <c r="J190" s="19"/>
      <c r="K190" s="19"/>
      <c r="L190" s="19"/>
      <c r="M190" s="17"/>
      <c r="N190" s="19"/>
      <c r="O190" s="17"/>
      <c r="P190" s="20" t="str">
        <f aca="false">IF(A190="","",IF(IFERROR(INDEX(Ref_PBC!$D$2:$D$201,MATCH(B190,Ref_PBC!$A$2:$A$201,0)),"")="Population","Y","N"))</f>
        <v/>
      </c>
      <c r="Q190" s="17"/>
      <c r="R190" s="17"/>
      <c r="S190" s="20" t="str">
        <f aca="false">IF(A190="","",IF(OR(B190="",E190="",G190="",M190=""),"PBC-ID, filename, source system, record count needed",IF(COUNTIF(Ref_PBC!$A$2:$A$201,B190)=0,"PBC-ID not in W08",IF(LEFT(E190,LEN(A190)+1)&lt;&gt;A190&amp;"_","Filename must start with EV-ID_",IF(O190&lt;&gt;"Y","Original must be preserved (Y)",IF(OR(K190="",L190=""),"Period covered needed",IF(OR(K190&gt;C190,L190&lt;D190),"Period does not cover the PBC period",IF(AND(P190="Y",Q190=""),"IPE result needed",IF(AND(P190="Y",Q190&lt;&gt;"Pass"),"HOLD: IPE not Pass - do not sample","OK")))))))))</f>
        <v/>
      </c>
    </row>
    <row r="191" customFormat="false" ht="15" hidden="false" customHeight="false" outlineLevel="0" collapsed="false">
      <c r="A191" s="17"/>
      <c r="B191" s="17"/>
      <c r="C191" s="18" t="str">
        <f aca="false">IFERROR(INDEX(Ref_PBC!$B$2:$B$201,MATCH(B191,Ref_PBC!$A$2:$A$201,0)),"")</f>
        <v/>
      </c>
      <c r="D191" s="18" t="str">
        <f aca="false">IFERROR(INDEX(Ref_PBC!$C$2:$C$201,MATCH(B191,Ref_PBC!$A$2:$A$201,0)),"")</f>
        <v/>
      </c>
      <c r="E191" s="17"/>
      <c r="F191" s="17"/>
      <c r="G191" s="17"/>
      <c r="H191" s="17"/>
      <c r="I191" s="17"/>
      <c r="J191" s="19"/>
      <c r="K191" s="19"/>
      <c r="L191" s="19"/>
      <c r="M191" s="17"/>
      <c r="N191" s="19"/>
      <c r="O191" s="17"/>
      <c r="P191" s="20" t="str">
        <f aca="false">IF(A191="","",IF(IFERROR(INDEX(Ref_PBC!$D$2:$D$201,MATCH(B191,Ref_PBC!$A$2:$A$201,0)),"")="Population","Y","N"))</f>
        <v/>
      </c>
      <c r="Q191" s="17"/>
      <c r="R191" s="17"/>
      <c r="S191" s="20" t="str">
        <f aca="false">IF(A191="","",IF(OR(B191="",E191="",G191="",M191=""),"PBC-ID, filename, source system, record count needed",IF(COUNTIF(Ref_PBC!$A$2:$A$201,B191)=0,"PBC-ID not in W08",IF(LEFT(E191,LEN(A191)+1)&lt;&gt;A191&amp;"_","Filename must start with EV-ID_",IF(O191&lt;&gt;"Y","Original must be preserved (Y)",IF(OR(K191="",L191=""),"Period covered needed",IF(OR(K191&gt;C191,L191&lt;D191),"Period does not cover the PBC period",IF(AND(P191="Y",Q191=""),"IPE result needed",IF(AND(P191="Y",Q191&lt;&gt;"Pass"),"HOLD: IPE not Pass - do not sample","OK")))))))))</f>
        <v/>
      </c>
    </row>
    <row r="192" customFormat="false" ht="15" hidden="false" customHeight="false" outlineLevel="0" collapsed="false">
      <c r="A192" s="17"/>
      <c r="B192" s="17"/>
      <c r="C192" s="18" t="str">
        <f aca="false">IFERROR(INDEX(Ref_PBC!$B$2:$B$201,MATCH(B192,Ref_PBC!$A$2:$A$201,0)),"")</f>
        <v/>
      </c>
      <c r="D192" s="18" t="str">
        <f aca="false">IFERROR(INDEX(Ref_PBC!$C$2:$C$201,MATCH(B192,Ref_PBC!$A$2:$A$201,0)),"")</f>
        <v/>
      </c>
      <c r="E192" s="17"/>
      <c r="F192" s="17"/>
      <c r="G192" s="17"/>
      <c r="H192" s="17"/>
      <c r="I192" s="17"/>
      <c r="J192" s="19"/>
      <c r="K192" s="19"/>
      <c r="L192" s="19"/>
      <c r="M192" s="17"/>
      <c r="N192" s="19"/>
      <c r="O192" s="17"/>
      <c r="P192" s="20" t="str">
        <f aca="false">IF(A192="","",IF(IFERROR(INDEX(Ref_PBC!$D$2:$D$201,MATCH(B192,Ref_PBC!$A$2:$A$201,0)),"")="Population","Y","N"))</f>
        <v/>
      </c>
      <c r="Q192" s="17"/>
      <c r="R192" s="17"/>
      <c r="S192" s="20" t="str">
        <f aca="false">IF(A192="","",IF(OR(B192="",E192="",G192="",M192=""),"PBC-ID, filename, source system, record count needed",IF(COUNTIF(Ref_PBC!$A$2:$A$201,B192)=0,"PBC-ID not in W08",IF(LEFT(E192,LEN(A192)+1)&lt;&gt;A192&amp;"_","Filename must start with EV-ID_",IF(O192&lt;&gt;"Y","Original must be preserved (Y)",IF(OR(K192="",L192=""),"Period covered needed",IF(OR(K192&gt;C192,L192&lt;D192),"Period does not cover the PBC period",IF(AND(P192="Y",Q192=""),"IPE result needed",IF(AND(P192="Y",Q192&lt;&gt;"Pass"),"HOLD: IPE not Pass - do not sample","OK")))))))))</f>
        <v/>
      </c>
    </row>
    <row r="193" customFormat="false" ht="15" hidden="false" customHeight="false" outlineLevel="0" collapsed="false">
      <c r="A193" s="17"/>
      <c r="B193" s="17"/>
      <c r="C193" s="18" t="str">
        <f aca="false">IFERROR(INDEX(Ref_PBC!$B$2:$B$201,MATCH(B193,Ref_PBC!$A$2:$A$201,0)),"")</f>
        <v/>
      </c>
      <c r="D193" s="18" t="str">
        <f aca="false">IFERROR(INDEX(Ref_PBC!$C$2:$C$201,MATCH(B193,Ref_PBC!$A$2:$A$201,0)),"")</f>
        <v/>
      </c>
      <c r="E193" s="17"/>
      <c r="F193" s="17"/>
      <c r="G193" s="17"/>
      <c r="H193" s="17"/>
      <c r="I193" s="17"/>
      <c r="J193" s="19"/>
      <c r="K193" s="19"/>
      <c r="L193" s="19"/>
      <c r="M193" s="17"/>
      <c r="N193" s="19"/>
      <c r="O193" s="17"/>
      <c r="P193" s="20" t="str">
        <f aca="false">IF(A193="","",IF(IFERROR(INDEX(Ref_PBC!$D$2:$D$201,MATCH(B193,Ref_PBC!$A$2:$A$201,0)),"")="Population","Y","N"))</f>
        <v/>
      </c>
      <c r="Q193" s="17"/>
      <c r="R193" s="17"/>
      <c r="S193" s="20" t="str">
        <f aca="false">IF(A193="","",IF(OR(B193="",E193="",G193="",M193=""),"PBC-ID, filename, source system, record count needed",IF(COUNTIF(Ref_PBC!$A$2:$A$201,B193)=0,"PBC-ID not in W08",IF(LEFT(E193,LEN(A193)+1)&lt;&gt;A193&amp;"_","Filename must start with EV-ID_",IF(O193&lt;&gt;"Y","Original must be preserved (Y)",IF(OR(K193="",L193=""),"Period covered needed",IF(OR(K193&gt;C193,L193&lt;D193),"Period does not cover the PBC period",IF(AND(P193="Y",Q193=""),"IPE result needed",IF(AND(P193="Y",Q193&lt;&gt;"Pass"),"HOLD: IPE not Pass - do not sample","OK")))))))))</f>
        <v/>
      </c>
    </row>
    <row r="194" customFormat="false" ht="15" hidden="false" customHeight="false" outlineLevel="0" collapsed="false">
      <c r="A194" s="17"/>
      <c r="B194" s="17"/>
      <c r="C194" s="18" t="str">
        <f aca="false">IFERROR(INDEX(Ref_PBC!$B$2:$B$201,MATCH(B194,Ref_PBC!$A$2:$A$201,0)),"")</f>
        <v/>
      </c>
      <c r="D194" s="18" t="str">
        <f aca="false">IFERROR(INDEX(Ref_PBC!$C$2:$C$201,MATCH(B194,Ref_PBC!$A$2:$A$201,0)),"")</f>
        <v/>
      </c>
      <c r="E194" s="17"/>
      <c r="F194" s="17"/>
      <c r="G194" s="17"/>
      <c r="H194" s="17"/>
      <c r="I194" s="17"/>
      <c r="J194" s="19"/>
      <c r="K194" s="19"/>
      <c r="L194" s="19"/>
      <c r="M194" s="17"/>
      <c r="N194" s="19"/>
      <c r="O194" s="17"/>
      <c r="P194" s="20" t="str">
        <f aca="false">IF(A194="","",IF(IFERROR(INDEX(Ref_PBC!$D$2:$D$201,MATCH(B194,Ref_PBC!$A$2:$A$201,0)),"")="Population","Y","N"))</f>
        <v/>
      </c>
      <c r="Q194" s="17"/>
      <c r="R194" s="17"/>
      <c r="S194" s="20" t="str">
        <f aca="false">IF(A194="","",IF(OR(B194="",E194="",G194="",M194=""),"PBC-ID, filename, source system, record count needed",IF(COUNTIF(Ref_PBC!$A$2:$A$201,B194)=0,"PBC-ID not in W08",IF(LEFT(E194,LEN(A194)+1)&lt;&gt;A194&amp;"_","Filename must start with EV-ID_",IF(O194&lt;&gt;"Y","Original must be preserved (Y)",IF(OR(K194="",L194=""),"Period covered needed",IF(OR(K194&gt;C194,L194&lt;D194),"Period does not cover the PBC period",IF(AND(P194="Y",Q194=""),"IPE result needed",IF(AND(P194="Y",Q194&lt;&gt;"Pass"),"HOLD: IPE not Pass - do not sample","OK")))))))))</f>
        <v/>
      </c>
    </row>
    <row r="195" customFormat="false" ht="15" hidden="false" customHeight="false" outlineLevel="0" collapsed="false">
      <c r="A195" s="17"/>
      <c r="B195" s="17"/>
      <c r="C195" s="18" t="str">
        <f aca="false">IFERROR(INDEX(Ref_PBC!$B$2:$B$201,MATCH(B195,Ref_PBC!$A$2:$A$201,0)),"")</f>
        <v/>
      </c>
      <c r="D195" s="18" t="str">
        <f aca="false">IFERROR(INDEX(Ref_PBC!$C$2:$C$201,MATCH(B195,Ref_PBC!$A$2:$A$201,0)),"")</f>
        <v/>
      </c>
      <c r="E195" s="17"/>
      <c r="F195" s="17"/>
      <c r="G195" s="17"/>
      <c r="H195" s="17"/>
      <c r="I195" s="17"/>
      <c r="J195" s="19"/>
      <c r="K195" s="19"/>
      <c r="L195" s="19"/>
      <c r="M195" s="17"/>
      <c r="N195" s="19"/>
      <c r="O195" s="17"/>
      <c r="P195" s="20" t="str">
        <f aca="false">IF(A195="","",IF(IFERROR(INDEX(Ref_PBC!$D$2:$D$201,MATCH(B195,Ref_PBC!$A$2:$A$201,0)),"")="Population","Y","N"))</f>
        <v/>
      </c>
      <c r="Q195" s="17"/>
      <c r="R195" s="17"/>
      <c r="S195" s="20" t="str">
        <f aca="false">IF(A195="","",IF(OR(B195="",E195="",G195="",M195=""),"PBC-ID, filename, source system, record count needed",IF(COUNTIF(Ref_PBC!$A$2:$A$201,B195)=0,"PBC-ID not in W08",IF(LEFT(E195,LEN(A195)+1)&lt;&gt;A195&amp;"_","Filename must start with EV-ID_",IF(O195&lt;&gt;"Y","Original must be preserved (Y)",IF(OR(K195="",L195=""),"Period covered needed",IF(OR(K195&gt;C195,L195&lt;D195),"Period does not cover the PBC period",IF(AND(P195="Y",Q195=""),"IPE result needed",IF(AND(P195="Y",Q195&lt;&gt;"Pass"),"HOLD: IPE not Pass - do not sample","OK")))))))))</f>
        <v/>
      </c>
    </row>
    <row r="196" customFormat="false" ht="15" hidden="false" customHeight="false" outlineLevel="0" collapsed="false">
      <c r="A196" s="17"/>
      <c r="B196" s="17"/>
      <c r="C196" s="18" t="str">
        <f aca="false">IFERROR(INDEX(Ref_PBC!$B$2:$B$201,MATCH(B196,Ref_PBC!$A$2:$A$201,0)),"")</f>
        <v/>
      </c>
      <c r="D196" s="18" t="str">
        <f aca="false">IFERROR(INDEX(Ref_PBC!$C$2:$C$201,MATCH(B196,Ref_PBC!$A$2:$A$201,0)),"")</f>
        <v/>
      </c>
      <c r="E196" s="17"/>
      <c r="F196" s="17"/>
      <c r="G196" s="17"/>
      <c r="H196" s="17"/>
      <c r="I196" s="17"/>
      <c r="J196" s="19"/>
      <c r="K196" s="19"/>
      <c r="L196" s="19"/>
      <c r="M196" s="17"/>
      <c r="N196" s="19"/>
      <c r="O196" s="17"/>
      <c r="P196" s="20" t="str">
        <f aca="false">IF(A196="","",IF(IFERROR(INDEX(Ref_PBC!$D$2:$D$201,MATCH(B196,Ref_PBC!$A$2:$A$201,0)),"")="Population","Y","N"))</f>
        <v/>
      </c>
      <c r="Q196" s="17"/>
      <c r="R196" s="17"/>
      <c r="S196" s="20" t="str">
        <f aca="false">IF(A196="","",IF(OR(B196="",E196="",G196="",M196=""),"PBC-ID, filename, source system, record count needed",IF(COUNTIF(Ref_PBC!$A$2:$A$201,B196)=0,"PBC-ID not in W08",IF(LEFT(E196,LEN(A196)+1)&lt;&gt;A196&amp;"_","Filename must start with EV-ID_",IF(O196&lt;&gt;"Y","Original must be preserved (Y)",IF(OR(K196="",L196=""),"Period covered needed",IF(OR(K196&gt;C196,L196&lt;D196),"Period does not cover the PBC period",IF(AND(P196="Y",Q196=""),"IPE result needed",IF(AND(P196="Y",Q196&lt;&gt;"Pass"),"HOLD: IPE not Pass - do not sample","OK")))))))))</f>
        <v/>
      </c>
    </row>
    <row r="197" customFormat="false" ht="15" hidden="false" customHeight="false" outlineLevel="0" collapsed="false">
      <c r="A197" s="17"/>
      <c r="B197" s="17"/>
      <c r="C197" s="18" t="str">
        <f aca="false">IFERROR(INDEX(Ref_PBC!$B$2:$B$201,MATCH(B197,Ref_PBC!$A$2:$A$201,0)),"")</f>
        <v/>
      </c>
      <c r="D197" s="18" t="str">
        <f aca="false">IFERROR(INDEX(Ref_PBC!$C$2:$C$201,MATCH(B197,Ref_PBC!$A$2:$A$201,0)),"")</f>
        <v/>
      </c>
      <c r="E197" s="17"/>
      <c r="F197" s="17"/>
      <c r="G197" s="17"/>
      <c r="H197" s="17"/>
      <c r="I197" s="17"/>
      <c r="J197" s="19"/>
      <c r="K197" s="19"/>
      <c r="L197" s="19"/>
      <c r="M197" s="17"/>
      <c r="N197" s="19"/>
      <c r="O197" s="17"/>
      <c r="P197" s="20" t="str">
        <f aca="false">IF(A197="","",IF(IFERROR(INDEX(Ref_PBC!$D$2:$D$201,MATCH(B197,Ref_PBC!$A$2:$A$201,0)),"")="Population","Y","N"))</f>
        <v/>
      </c>
      <c r="Q197" s="17"/>
      <c r="R197" s="17"/>
      <c r="S197" s="20" t="str">
        <f aca="false">IF(A197="","",IF(OR(B197="",E197="",G197="",M197=""),"PBC-ID, filename, source system, record count needed",IF(COUNTIF(Ref_PBC!$A$2:$A$201,B197)=0,"PBC-ID not in W08",IF(LEFT(E197,LEN(A197)+1)&lt;&gt;A197&amp;"_","Filename must start with EV-ID_",IF(O197&lt;&gt;"Y","Original must be preserved (Y)",IF(OR(K197="",L197=""),"Period covered needed",IF(OR(K197&gt;C197,L197&lt;D197),"Period does not cover the PBC period",IF(AND(P197="Y",Q197=""),"IPE result needed",IF(AND(P197="Y",Q197&lt;&gt;"Pass"),"HOLD: IPE not Pass - do not sample","OK")))))))))</f>
        <v/>
      </c>
    </row>
    <row r="198" customFormat="false" ht="15" hidden="false" customHeight="false" outlineLevel="0" collapsed="false">
      <c r="A198" s="17"/>
      <c r="B198" s="17"/>
      <c r="C198" s="18" t="str">
        <f aca="false">IFERROR(INDEX(Ref_PBC!$B$2:$B$201,MATCH(B198,Ref_PBC!$A$2:$A$201,0)),"")</f>
        <v/>
      </c>
      <c r="D198" s="18" t="str">
        <f aca="false">IFERROR(INDEX(Ref_PBC!$C$2:$C$201,MATCH(B198,Ref_PBC!$A$2:$A$201,0)),"")</f>
        <v/>
      </c>
      <c r="E198" s="17"/>
      <c r="F198" s="17"/>
      <c r="G198" s="17"/>
      <c r="H198" s="17"/>
      <c r="I198" s="17"/>
      <c r="J198" s="19"/>
      <c r="K198" s="19"/>
      <c r="L198" s="19"/>
      <c r="M198" s="17"/>
      <c r="N198" s="19"/>
      <c r="O198" s="17"/>
      <c r="P198" s="20" t="str">
        <f aca="false">IF(A198="","",IF(IFERROR(INDEX(Ref_PBC!$D$2:$D$201,MATCH(B198,Ref_PBC!$A$2:$A$201,0)),"")="Population","Y","N"))</f>
        <v/>
      </c>
      <c r="Q198" s="17"/>
      <c r="R198" s="17"/>
      <c r="S198" s="20" t="str">
        <f aca="false">IF(A198="","",IF(OR(B198="",E198="",G198="",M198=""),"PBC-ID, filename, source system, record count needed",IF(COUNTIF(Ref_PBC!$A$2:$A$201,B198)=0,"PBC-ID not in W08",IF(LEFT(E198,LEN(A198)+1)&lt;&gt;A198&amp;"_","Filename must start with EV-ID_",IF(O198&lt;&gt;"Y","Original must be preserved (Y)",IF(OR(K198="",L198=""),"Period covered needed",IF(OR(K198&gt;C198,L198&lt;D198),"Period does not cover the PBC period",IF(AND(P198="Y",Q198=""),"IPE result needed",IF(AND(P198="Y",Q198&lt;&gt;"Pass"),"HOLD: IPE not Pass - do not sample","OK")))))))))</f>
        <v/>
      </c>
    </row>
    <row r="199" customFormat="false" ht="15" hidden="false" customHeight="false" outlineLevel="0" collapsed="false">
      <c r="A199" s="17"/>
      <c r="B199" s="17"/>
      <c r="C199" s="18" t="str">
        <f aca="false">IFERROR(INDEX(Ref_PBC!$B$2:$B$201,MATCH(B199,Ref_PBC!$A$2:$A$201,0)),"")</f>
        <v/>
      </c>
      <c r="D199" s="18" t="str">
        <f aca="false">IFERROR(INDEX(Ref_PBC!$C$2:$C$201,MATCH(B199,Ref_PBC!$A$2:$A$201,0)),"")</f>
        <v/>
      </c>
      <c r="E199" s="17"/>
      <c r="F199" s="17"/>
      <c r="G199" s="17"/>
      <c r="H199" s="17"/>
      <c r="I199" s="17"/>
      <c r="J199" s="19"/>
      <c r="K199" s="19"/>
      <c r="L199" s="19"/>
      <c r="M199" s="17"/>
      <c r="N199" s="19"/>
      <c r="O199" s="17"/>
      <c r="P199" s="20" t="str">
        <f aca="false">IF(A199="","",IF(IFERROR(INDEX(Ref_PBC!$D$2:$D$201,MATCH(B199,Ref_PBC!$A$2:$A$201,0)),"")="Population","Y","N"))</f>
        <v/>
      </c>
      <c r="Q199" s="17"/>
      <c r="R199" s="17"/>
      <c r="S199" s="20" t="str">
        <f aca="false">IF(A199="","",IF(OR(B199="",E199="",G199="",M199=""),"PBC-ID, filename, source system, record count needed",IF(COUNTIF(Ref_PBC!$A$2:$A$201,B199)=0,"PBC-ID not in W08",IF(LEFT(E199,LEN(A199)+1)&lt;&gt;A199&amp;"_","Filename must start with EV-ID_",IF(O199&lt;&gt;"Y","Original must be preserved (Y)",IF(OR(K199="",L199=""),"Period covered needed",IF(OR(K199&gt;C199,L199&lt;D199),"Period does not cover the PBC period",IF(AND(P199="Y",Q199=""),"IPE result needed",IF(AND(P199="Y",Q199&lt;&gt;"Pass"),"HOLD: IPE not Pass - do not sample","OK")))))))))</f>
        <v/>
      </c>
    </row>
    <row r="200" customFormat="false" ht="15" hidden="false" customHeight="false" outlineLevel="0" collapsed="false">
      <c r="A200" s="17"/>
      <c r="B200" s="17"/>
      <c r="C200" s="18" t="str">
        <f aca="false">IFERROR(INDEX(Ref_PBC!$B$2:$B$201,MATCH(B200,Ref_PBC!$A$2:$A$201,0)),"")</f>
        <v/>
      </c>
      <c r="D200" s="18" t="str">
        <f aca="false">IFERROR(INDEX(Ref_PBC!$C$2:$C$201,MATCH(B200,Ref_PBC!$A$2:$A$201,0)),"")</f>
        <v/>
      </c>
      <c r="E200" s="17"/>
      <c r="F200" s="17"/>
      <c r="G200" s="17"/>
      <c r="H200" s="17"/>
      <c r="I200" s="17"/>
      <c r="J200" s="19"/>
      <c r="K200" s="19"/>
      <c r="L200" s="19"/>
      <c r="M200" s="17"/>
      <c r="N200" s="19"/>
      <c r="O200" s="17"/>
      <c r="P200" s="20" t="str">
        <f aca="false">IF(A200="","",IF(IFERROR(INDEX(Ref_PBC!$D$2:$D$201,MATCH(B200,Ref_PBC!$A$2:$A$201,0)),"")="Population","Y","N"))</f>
        <v/>
      </c>
      <c r="Q200" s="17"/>
      <c r="R200" s="17"/>
      <c r="S200" s="20" t="str">
        <f aca="false">IF(A200="","",IF(OR(B200="",E200="",G200="",M200=""),"PBC-ID, filename, source system, record count needed",IF(COUNTIF(Ref_PBC!$A$2:$A$201,B200)=0,"PBC-ID not in W08",IF(LEFT(E200,LEN(A200)+1)&lt;&gt;A200&amp;"_","Filename must start with EV-ID_",IF(O200&lt;&gt;"Y","Original must be preserved (Y)",IF(OR(K200="",L200=""),"Period covered needed",IF(OR(K200&gt;C200,L200&lt;D200),"Period does not cover the PBC period",IF(AND(P200="Y",Q200=""),"IPE result needed",IF(AND(P200="Y",Q200&lt;&gt;"Pass"),"HOLD: IPE not Pass - do not sample","OK")))))))))</f>
        <v/>
      </c>
    </row>
    <row r="201" customFormat="false" ht="15" hidden="false" customHeight="false" outlineLevel="0" collapsed="false">
      <c r="A201" s="17"/>
      <c r="B201" s="17"/>
      <c r="C201" s="18" t="str">
        <f aca="false">IFERROR(INDEX(Ref_PBC!$B$2:$B$201,MATCH(B201,Ref_PBC!$A$2:$A$201,0)),"")</f>
        <v/>
      </c>
      <c r="D201" s="18" t="str">
        <f aca="false">IFERROR(INDEX(Ref_PBC!$C$2:$C$201,MATCH(B201,Ref_PBC!$A$2:$A$201,0)),"")</f>
        <v/>
      </c>
      <c r="E201" s="17"/>
      <c r="F201" s="17"/>
      <c r="G201" s="17"/>
      <c r="H201" s="17"/>
      <c r="I201" s="17"/>
      <c r="J201" s="19"/>
      <c r="K201" s="19"/>
      <c r="L201" s="19"/>
      <c r="M201" s="17"/>
      <c r="N201" s="19"/>
      <c r="O201" s="17"/>
      <c r="P201" s="20" t="str">
        <f aca="false">IF(A201="","",IF(IFERROR(INDEX(Ref_PBC!$D$2:$D$201,MATCH(B201,Ref_PBC!$A$2:$A$201,0)),"")="Population","Y","N"))</f>
        <v/>
      </c>
      <c r="Q201" s="17"/>
      <c r="R201" s="17"/>
      <c r="S201" s="20" t="str">
        <f aca="false">IF(A201="","",IF(OR(B201="",E201="",G201="",M201=""),"PBC-ID, filename, source system, record count needed",IF(COUNTIF(Ref_PBC!$A$2:$A$201,B201)=0,"PBC-ID not in W08",IF(LEFT(E201,LEN(A201)+1)&lt;&gt;A201&amp;"_","Filename must start with EV-ID_",IF(O201&lt;&gt;"Y","Original must be preserved (Y)",IF(OR(K201="",L201=""),"Period covered needed",IF(OR(K201&gt;C201,L201&lt;D201),"Period does not cover the PBC period",IF(AND(P201="Y",Q201=""),"IPE result needed",IF(AND(P201="Y",Q201&lt;&gt;"Pass"),"HOLD: IPE not Pass - do not sample","OK")))))))))</f>
        <v/>
      </c>
    </row>
    <row r="202" customFormat="false" ht="15" hidden="false" customHeight="false" outlineLevel="0" collapsed="false">
      <c r="A202" s="17"/>
      <c r="B202" s="17"/>
      <c r="C202" s="18" t="str">
        <f aca="false">IFERROR(INDEX(Ref_PBC!$B$2:$B$201,MATCH(B202,Ref_PBC!$A$2:$A$201,0)),"")</f>
        <v/>
      </c>
      <c r="D202" s="18" t="str">
        <f aca="false">IFERROR(INDEX(Ref_PBC!$C$2:$C$201,MATCH(B202,Ref_PBC!$A$2:$A$201,0)),"")</f>
        <v/>
      </c>
      <c r="E202" s="17"/>
      <c r="F202" s="17"/>
      <c r="G202" s="17"/>
      <c r="H202" s="17"/>
      <c r="I202" s="17"/>
      <c r="J202" s="19"/>
      <c r="K202" s="19"/>
      <c r="L202" s="19"/>
      <c r="M202" s="17"/>
      <c r="N202" s="19"/>
      <c r="O202" s="17"/>
      <c r="P202" s="20" t="str">
        <f aca="false">IF(A202="","",IF(IFERROR(INDEX(Ref_PBC!$D$2:$D$201,MATCH(B202,Ref_PBC!$A$2:$A$201,0)),"")="Population","Y","N"))</f>
        <v/>
      </c>
      <c r="Q202" s="17"/>
      <c r="R202" s="17"/>
      <c r="S202" s="20" t="str">
        <f aca="false">IF(A202="","",IF(OR(B202="",E202="",G202="",M202=""),"PBC-ID, filename, source system, record count needed",IF(COUNTIF(Ref_PBC!$A$2:$A$201,B202)=0,"PBC-ID not in W08",IF(LEFT(E202,LEN(A202)+1)&lt;&gt;A202&amp;"_","Filename must start with EV-ID_",IF(O202&lt;&gt;"Y","Original must be preserved (Y)",IF(OR(K202="",L202=""),"Period covered needed",IF(OR(K202&gt;C202,L202&lt;D202),"Period does not cover the PBC period",IF(AND(P202="Y",Q202=""),"IPE result needed",IF(AND(P202="Y",Q202&lt;&gt;"Pass"),"HOLD: IPE not Pass - do not sample","OK")))))))))</f>
        <v/>
      </c>
    </row>
    <row r="203" customFormat="false" ht="15" hidden="false" customHeight="false" outlineLevel="0" collapsed="false">
      <c r="A203" s="17"/>
      <c r="B203" s="17"/>
      <c r="C203" s="18" t="str">
        <f aca="false">IFERROR(INDEX(Ref_PBC!$B$2:$B$201,MATCH(B203,Ref_PBC!$A$2:$A$201,0)),"")</f>
        <v/>
      </c>
      <c r="D203" s="18" t="str">
        <f aca="false">IFERROR(INDEX(Ref_PBC!$C$2:$C$201,MATCH(B203,Ref_PBC!$A$2:$A$201,0)),"")</f>
        <v/>
      </c>
      <c r="E203" s="17"/>
      <c r="F203" s="17"/>
      <c r="G203" s="17"/>
      <c r="H203" s="17"/>
      <c r="I203" s="17"/>
      <c r="J203" s="19"/>
      <c r="K203" s="19"/>
      <c r="L203" s="19"/>
      <c r="M203" s="17"/>
      <c r="N203" s="19"/>
      <c r="O203" s="17"/>
      <c r="P203" s="20" t="str">
        <f aca="false">IF(A203="","",IF(IFERROR(INDEX(Ref_PBC!$D$2:$D$201,MATCH(B203,Ref_PBC!$A$2:$A$201,0)),"")="Population","Y","N"))</f>
        <v/>
      </c>
      <c r="Q203" s="17"/>
      <c r="R203" s="17"/>
      <c r="S203" s="20" t="str">
        <f aca="false">IF(A203="","",IF(OR(B203="",E203="",G203="",M203=""),"PBC-ID, filename, source system, record count needed",IF(COUNTIF(Ref_PBC!$A$2:$A$201,B203)=0,"PBC-ID not in W08",IF(LEFT(E203,LEN(A203)+1)&lt;&gt;A203&amp;"_","Filename must start with EV-ID_",IF(O203&lt;&gt;"Y","Original must be preserved (Y)",IF(OR(K203="",L203=""),"Period covered needed",IF(OR(K203&gt;C203,L203&lt;D203),"Period does not cover the PBC period",IF(AND(P203="Y",Q203=""),"IPE result needed",IF(AND(P203="Y",Q203&lt;&gt;"Pass"),"HOLD: IPE not Pass - do not sample","OK")))))))))</f>
        <v/>
      </c>
    </row>
    <row r="204" customFormat="false" ht="15" hidden="false" customHeight="false" outlineLevel="0" collapsed="false">
      <c r="A204" s="17"/>
      <c r="B204" s="17"/>
      <c r="C204" s="18" t="str">
        <f aca="false">IFERROR(INDEX(Ref_PBC!$B$2:$B$201,MATCH(B204,Ref_PBC!$A$2:$A$201,0)),"")</f>
        <v/>
      </c>
      <c r="D204" s="18" t="str">
        <f aca="false">IFERROR(INDEX(Ref_PBC!$C$2:$C$201,MATCH(B204,Ref_PBC!$A$2:$A$201,0)),"")</f>
        <v/>
      </c>
      <c r="E204" s="17"/>
      <c r="F204" s="17"/>
      <c r="G204" s="17"/>
      <c r="H204" s="17"/>
      <c r="I204" s="17"/>
      <c r="J204" s="19"/>
      <c r="K204" s="19"/>
      <c r="L204" s="19"/>
      <c r="M204" s="17"/>
      <c r="N204" s="19"/>
      <c r="O204" s="17"/>
      <c r="P204" s="20" t="str">
        <f aca="false">IF(A204="","",IF(IFERROR(INDEX(Ref_PBC!$D$2:$D$201,MATCH(B204,Ref_PBC!$A$2:$A$201,0)),"")="Population","Y","N"))</f>
        <v/>
      </c>
      <c r="Q204" s="17"/>
      <c r="R204" s="17"/>
      <c r="S204" s="20" t="str">
        <f aca="false">IF(A204="","",IF(OR(B204="",E204="",G204="",M204=""),"PBC-ID, filename, source system, record count needed",IF(COUNTIF(Ref_PBC!$A$2:$A$201,B204)=0,"PBC-ID not in W08",IF(LEFT(E204,LEN(A204)+1)&lt;&gt;A204&amp;"_","Filename must start with EV-ID_",IF(O204&lt;&gt;"Y","Original must be preserved (Y)",IF(OR(K204="",L204=""),"Period covered needed",IF(OR(K204&gt;C204,L204&lt;D204),"Period does not cover the PBC period",IF(AND(P204="Y",Q204=""),"IPE result needed",IF(AND(P204="Y",Q204&lt;&gt;"Pass"),"HOLD: IPE not Pass - do not sample","OK")))))))))</f>
        <v/>
      </c>
    </row>
  </sheetData>
  <autoFilter ref="A4:S204"/>
  <dataValidations count="3">
    <dataValidation allowBlank="true" error="Pick a value from the list." errorStyle="warning" operator="between" showDropDown="false" showErrorMessage="true" showInputMessage="false" sqref="B5:B204" type="list">
      <formula1>Ref_PBC!$A$2:$A$201</formula1>
      <formula2>0</formula2>
    </dataValidation>
    <dataValidation allowBlank="true" error="Pick a value from the list." errorStyle="stop" operator="between" showDropDown="false" showErrorMessage="true" showInputMessage="false" sqref="O5:O204" type="list">
      <formula1>Lists!$A$2:$A$3</formula1>
      <formula2>0</formula2>
    </dataValidation>
    <dataValidation allowBlank="true" error="Pick a value from the list." errorStyle="stop" operator="between" showDropDown="false" showErrorMessage="true" showInputMessage="false" sqref="Q5:Q204" type="list">
      <formula1>Lists!$B$2:$B$4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40"/>
    <col collapsed="false" customWidth="true" hidden="false" outlineLevel="0" max="6" min="6" style="0" width="24"/>
    <col collapsed="false" customWidth="true" hidden="false" outlineLevel="0" max="8" min="7" style="0" width="10"/>
    <col collapsed="false" customWidth="true" hidden="false" outlineLevel="0" max="9" min="9" style="0" width="36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34"/>
  </cols>
  <sheetData>
    <row r="1" customFormat="false" ht="17.35" hidden="false" customHeight="false" outlineLevel="0" collapsed="false">
      <c r="A1" s="9" t="s">
        <v>137</v>
      </c>
    </row>
    <row r="2" customFormat="false" ht="15" hidden="false" customHeight="false" outlineLevel="0" collapsed="false">
      <c r="A2" s="10" t="s">
        <v>138</v>
      </c>
    </row>
    <row r="4" customFormat="false" ht="31.5" hidden="false" customHeight="true" outlineLevel="0" collapsed="false">
      <c r="A4" s="11" t="s">
        <v>81</v>
      </c>
      <c r="B4" s="11" t="s">
        <v>26</v>
      </c>
      <c r="C4" s="12" t="s">
        <v>85</v>
      </c>
      <c r="D4" s="12" t="s">
        <v>87</v>
      </c>
      <c r="E4" s="11" t="s">
        <v>89</v>
      </c>
      <c r="F4" s="11" t="s">
        <v>92</v>
      </c>
      <c r="G4" s="11" t="s">
        <v>95</v>
      </c>
      <c r="H4" s="12" t="s">
        <v>98</v>
      </c>
      <c r="I4" s="11" t="s">
        <v>100</v>
      </c>
      <c r="J4" s="11" t="s">
        <v>103</v>
      </c>
      <c r="K4" s="11" t="s">
        <v>105</v>
      </c>
      <c r="L4" s="11" t="s">
        <v>108</v>
      </c>
      <c r="M4" s="11" t="s">
        <v>110</v>
      </c>
      <c r="N4" s="11" t="s">
        <v>111</v>
      </c>
      <c r="O4" s="12" t="s">
        <v>114</v>
      </c>
    </row>
    <row r="5" customFormat="false" ht="23.85" hidden="false" customHeight="false" outlineLevel="0" collapsed="false">
      <c r="A5" s="13" t="s">
        <v>139</v>
      </c>
      <c r="B5" s="13" t="s">
        <v>121</v>
      </c>
      <c r="C5" s="16" t="str">
        <f aca="false">IFERROR(INDEX(Evidence_Index!$F$5:$F$204,MATCH(B5,Evidence_Index!$A$5:$A$204,0)),"")</f>
        <v>All SAP users in ECP/300 (USR02 extract)</v>
      </c>
      <c r="D5" s="16" t="n">
        <f aca="false">IFERROR(INDEX(Evidence_Index!$M$5:$M$204,MATCH(B5,Evidence_Index!$A$5:$A$204,0)),"")</f>
        <v>1284</v>
      </c>
      <c r="E5" s="13" t="s">
        <v>140</v>
      </c>
      <c r="F5" s="13" t="s">
        <v>141</v>
      </c>
      <c r="G5" s="13" t="n">
        <v>1284</v>
      </c>
      <c r="H5" s="16" t="n">
        <f aca="false">IF(OR(D5="",G5=""),"",D5-G5)</f>
        <v>0</v>
      </c>
      <c r="I5" s="13" t="s">
        <v>142</v>
      </c>
      <c r="J5" s="13" t="n">
        <v>5</v>
      </c>
      <c r="K5" s="13" t="s">
        <v>128</v>
      </c>
      <c r="L5" s="13" t="s">
        <v>143</v>
      </c>
      <c r="M5" s="15" t="n">
        <v>46297</v>
      </c>
      <c r="N5" s="13" t="s">
        <v>129</v>
      </c>
      <c r="O5" s="16" t="str">
        <f aca="false">IF(A5="","",IF(COUNTIF(Evidence_Index!$A$5:$A$204,B5)=0,"EV-ID not in index",IF(OR(E5="",I5=""),"Completeness and accuracy procedures needed",IF(AND(N5="Pass",H5&lt;&gt;0),"Pass requires counts to agree (or explain)",IF(AND(N5="Pass",OR(K5&lt;&gt;"Y",J5="")),"Pass requires parameter evidence and traced records","OK")))))</f>
        <v>OK</v>
      </c>
    </row>
    <row r="6" customFormat="false" ht="23.85" hidden="false" customHeight="false" outlineLevel="0" collapsed="false">
      <c r="A6" s="13" t="s">
        <v>144</v>
      </c>
      <c r="B6" s="13" t="s">
        <v>131</v>
      </c>
      <c r="C6" s="16" t="str">
        <f aca="false">IFERROR(INDEX(Evidence_Index!$F$5:$F$204,MATCH(B6,Evidence_Index!$A$5:$A$204,0)),"")</f>
        <v>PRD transport imports</v>
      </c>
      <c r="D6" s="16" t="n">
        <f aca="false">IFERROR(INDEX(Evidence_Index!$M$5:$M$204,MATCH(B6,Evidence_Index!$A$5:$A$204,0)),"")</f>
        <v>312</v>
      </c>
      <c r="E6" s="13" t="s">
        <v>145</v>
      </c>
      <c r="F6" s="13" t="s">
        <v>146</v>
      </c>
      <c r="G6" s="13" t="n">
        <v>312</v>
      </c>
      <c r="H6" s="16" t="n">
        <f aca="false">IF(OR(D6="",G6=""),"",D6-G6)</f>
        <v>0</v>
      </c>
      <c r="I6" s="13" t="s">
        <v>147</v>
      </c>
      <c r="J6" s="13" t="n">
        <v>5</v>
      </c>
      <c r="K6" s="13" t="s">
        <v>128</v>
      </c>
      <c r="L6" s="13" t="s">
        <v>143</v>
      </c>
      <c r="M6" s="15" t="n">
        <v>46297</v>
      </c>
      <c r="N6" s="13" t="s">
        <v>129</v>
      </c>
      <c r="O6" s="16" t="str">
        <f aca="false">IF(A6="","",IF(COUNTIF(Evidence_Index!$A$5:$A$204,B6)=0,"EV-ID not in index",IF(OR(E6="",I6=""),"Completeness and accuracy procedures needed",IF(AND(N6="Pass",H6&lt;&gt;0),"Pass requires counts to agree (or explain)",IF(AND(N6="Pass",OR(K6&lt;&gt;"Y",J6="")),"Pass requires parameter evidence and traced records","OK")))))</f>
        <v>OK</v>
      </c>
    </row>
    <row r="7" customFormat="false" ht="15" hidden="false" customHeight="false" outlineLevel="0" collapsed="false">
      <c r="A7" s="17"/>
      <c r="B7" s="17"/>
      <c r="C7" s="20" t="str">
        <f aca="false">IFERROR(INDEX(Evidence_Index!$F$5:$F$204,MATCH(B7,Evidence_Index!$A$5:$A$204,0)),"")</f>
        <v/>
      </c>
      <c r="D7" s="20" t="str">
        <f aca="false">IFERROR(INDEX(Evidence_Index!$M$5:$M$204,MATCH(B7,Evidence_Index!$A$5:$A$204,0)),"")</f>
        <v/>
      </c>
      <c r="E7" s="17"/>
      <c r="F7" s="17"/>
      <c r="G7" s="17"/>
      <c r="H7" s="20" t="str">
        <f aca="false">IF(OR(D7="",G7=""),"",D7-G7)</f>
        <v/>
      </c>
      <c r="I7" s="17"/>
      <c r="J7" s="17"/>
      <c r="K7" s="17"/>
      <c r="L7" s="17"/>
      <c r="M7" s="19"/>
      <c r="N7" s="17"/>
      <c r="O7" s="20" t="str">
        <f aca="false">IF(A7="","",IF(COUNTIF(Evidence_Index!$A$5:$A$204,B7)=0,"EV-ID not in index",IF(OR(E7="",I7=""),"Completeness and accuracy procedures needed",IF(AND(N7="Pass",H7&lt;&gt;0),"Pass requires counts to agree (or explain)",IF(AND(N7="Pass",OR(K7&lt;&gt;"Y",J7="")),"Pass requires parameter evidence and traced records","OK")))))</f>
        <v/>
      </c>
    </row>
    <row r="8" customFormat="false" ht="15" hidden="false" customHeight="false" outlineLevel="0" collapsed="false">
      <c r="A8" s="17"/>
      <c r="B8" s="17"/>
      <c r="C8" s="20" t="str">
        <f aca="false">IFERROR(INDEX(Evidence_Index!$F$5:$F$204,MATCH(B8,Evidence_Index!$A$5:$A$204,0)),"")</f>
        <v/>
      </c>
      <c r="D8" s="20" t="str">
        <f aca="false">IFERROR(INDEX(Evidence_Index!$M$5:$M$204,MATCH(B8,Evidence_Index!$A$5:$A$204,0)),"")</f>
        <v/>
      </c>
      <c r="E8" s="17"/>
      <c r="F8" s="17"/>
      <c r="G8" s="17"/>
      <c r="H8" s="20" t="str">
        <f aca="false">IF(OR(D8="",G8=""),"",D8-G8)</f>
        <v/>
      </c>
      <c r="I8" s="17"/>
      <c r="J8" s="17"/>
      <c r="K8" s="17"/>
      <c r="L8" s="17"/>
      <c r="M8" s="19"/>
      <c r="N8" s="17"/>
      <c r="O8" s="20" t="str">
        <f aca="false">IF(A8="","",IF(COUNTIF(Evidence_Index!$A$5:$A$204,B8)=0,"EV-ID not in index",IF(OR(E8="",I8=""),"Completeness and accuracy procedures needed",IF(AND(N8="Pass",H8&lt;&gt;0),"Pass requires counts to agree (or explain)",IF(AND(N8="Pass",OR(K8&lt;&gt;"Y",J8="")),"Pass requires parameter evidence and traced records","OK")))))</f>
        <v/>
      </c>
    </row>
    <row r="9" customFormat="false" ht="15" hidden="false" customHeight="false" outlineLevel="0" collapsed="false">
      <c r="A9" s="17"/>
      <c r="B9" s="17"/>
      <c r="C9" s="20" t="str">
        <f aca="false">IFERROR(INDEX(Evidence_Index!$F$5:$F$204,MATCH(B9,Evidence_Index!$A$5:$A$204,0)),"")</f>
        <v/>
      </c>
      <c r="D9" s="20" t="str">
        <f aca="false">IFERROR(INDEX(Evidence_Index!$M$5:$M$204,MATCH(B9,Evidence_Index!$A$5:$A$204,0)),"")</f>
        <v/>
      </c>
      <c r="E9" s="17"/>
      <c r="F9" s="17"/>
      <c r="G9" s="17"/>
      <c r="H9" s="20" t="str">
        <f aca="false">IF(OR(D9="",G9=""),"",D9-G9)</f>
        <v/>
      </c>
      <c r="I9" s="17"/>
      <c r="J9" s="17"/>
      <c r="K9" s="17"/>
      <c r="L9" s="17"/>
      <c r="M9" s="19"/>
      <c r="N9" s="17"/>
      <c r="O9" s="20" t="str">
        <f aca="false">IF(A9="","",IF(COUNTIF(Evidence_Index!$A$5:$A$204,B9)=0,"EV-ID not in index",IF(OR(E9="",I9=""),"Completeness and accuracy procedures needed",IF(AND(N9="Pass",H9&lt;&gt;0),"Pass requires counts to agree (or explain)",IF(AND(N9="Pass",OR(K9&lt;&gt;"Y",J9="")),"Pass requires parameter evidence and traced records","OK")))))</f>
        <v/>
      </c>
    </row>
    <row r="10" customFormat="false" ht="15" hidden="false" customHeight="false" outlineLevel="0" collapsed="false">
      <c r="A10" s="17"/>
      <c r="B10" s="17"/>
      <c r="C10" s="20" t="str">
        <f aca="false">IFERROR(INDEX(Evidence_Index!$F$5:$F$204,MATCH(B10,Evidence_Index!$A$5:$A$204,0)),"")</f>
        <v/>
      </c>
      <c r="D10" s="20" t="str">
        <f aca="false">IFERROR(INDEX(Evidence_Index!$M$5:$M$204,MATCH(B10,Evidence_Index!$A$5:$A$204,0)),"")</f>
        <v/>
      </c>
      <c r="E10" s="17"/>
      <c r="F10" s="17"/>
      <c r="G10" s="17"/>
      <c r="H10" s="20" t="str">
        <f aca="false">IF(OR(D10="",G10=""),"",D10-G10)</f>
        <v/>
      </c>
      <c r="I10" s="17"/>
      <c r="J10" s="17"/>
      <c r="K10" s="17"/>
      <c r="L10" s="17"/>
      <c r="M10" s="19"/>
      <c r="N10" s="17"/>
      <c r="O10" s="20" t="str">
        <f aca="false">IF(A10="","",IF(COUNTIF(Evidence_Index!$A$5:$A$204,B10)=0,"EV-ID not in index",IF(OR(E10="",I10=""),"Completeness and accuracy procedures needed",IF(AND(N10="Pass",H10&lt;&gt;0),"Pass requires counts to agree (or explain)",IF(AND(N10="Pass",OR(K10&lt;&gt;"Y",J10="")),"Pass requires parameter evidence and traced records","OK")))))</f>
        <v/>
      </c>
    </row>
    <row r="11" customFormat="false" ht="15" hidden="false" customHeight="false" outlineLevel="0" collapsed="false">
      <c r="A11" s="17"/>
      <c r="B11" s="17"/>
      <c r="C11" s="20" t="str">
        <f aca="false">IFERROR(INDEX(Evidence_Index!$F$5:$F$204,MATCH(B11,Evidence_Index!$A$5:$A$204,0)),"")</f>
        <v/>
      </c>
      <c r="D11" s="20" t="str">
        <f aca="false">IFERROR(INDEX(Evidence_Index!$M$5:$M$204,MATCH(B11,Evidence_Index!$A$5:$A$204,0)),"")</f>
        <v/>
      </c>
      <c r="E11" s="17"/>
      <c r="F11" s="17"/>
      <c r="G11" s="17"/>
      <c r="H11" s="20" t="str">
        <f aca="false">IF(OR(D11="",G11=""),"",D11-G11)</f>
        <v/>
      </c>
      <c r="I11" s="17"/>
      <c r="J11" s="17"/>
      <c r="K11" s="17"/>
      <c r="L11" s="17"/>
      <c r="M11" s="19"/>
      <c r="N11" s="17"/>
      <c r="O11" s="20" t="str">
        <f aca="false">IF(A11="","",IF(COUNTIF(Evidence_Index!$A$5:$A$204,B11)=0,"EV-ID not in index",IF(OR(E11="",I11=""),"Completeness and accuracy procedures needed",IF(AND(N11="Pass",H11&lt;&gt;0),"Pass requires counts to agree (or explain)",IF(AND(N11="Pass",OR(K11&lt;&gt;"Y",J11="")),"Pass requires parameter evidence and traced records","OK")))))</f>
        <v/>
      </c>
    </row>
    <row r="12" customFormat="false" ht="15" hidden="false" customHeight="false" outlineLevel="0" collapsed="false">
      <c r="A12" s="17"/>
      <c r="B12" s="17"/>
      <c r="C12" s="20" t="str">
        <f aca="false">IFERROR(INDEX(Evidence_Index!$F$5:$F$204,MATCH(B12,Evidence_Index!$A$5:$A$204,0)),"")</f>
        <v/>
      </c>
      <c r="D12" s="20" t="str">
        <f aca="false">IFERROR(INDEX(Evidence_Index!$M$5:$M$204,MATCH(B12,Evidence_Index!$A$5:$A$204,0)),"")</f>
        <v/>
      </c>
      <c r="E12" s="17"/>
      <c r="F12" s="17"/>
      <c r="G12" s="17"/>
      <c r="H12" s="20" t="str">
        <f aca="false">IF(OR(D12="",G12=""),"",D12-G12)</f>
        <v/>
      </c>
      <c r="I12" s="17"/>
      <c r="J12" s="17"/>
      <c r="K12" s="17"/>
      <c r="L12" s="17"/>
      <c r="M12" s="19"/>
      <c r="N12" s="17"/>
      <c r="O12" s="20" t="str">
        <f aca="false">IF(A12="","",IF(COUNTIF(Evidence_Index!$A$5:$A$204,B12)=0,"EV-ID not in index",IF(OR(E12="",I12=""),"Completeness and accuracy procedures needed",IF(AND(N12="Pass",H12&lt;&gt;0),"Pass requires counts to agree (or explain)",IF(AND(N12="Pass",OR(K12&lt;&gt;"Y",J12="")),"Pass requires parameter evidence and traced records","OK")))))</f>
        <v/>
      </c>
    </row>
    <row r="13" customFormat="false" ht="15" hidden="false" customHeight="false" outlineLevel="0" collapsed="false">
      <c r="A13" s="17"/>
      <c r="B13" s="17"/>
      <c r="C13" s="20" t="str">
        <f aca="false">IFERROR(INDEX(Evidence_Index!$F$5:$F$204,MATCH(B13,Evidence_Index!$A$5:$A$204,0)),"")</f>
        <v/>
      </c>
      <c r="D13" s="20" t="str">
        <f aca="false">IFERROR(INDEX(Evidence_Index!$M$5:$M$204,MATCH(B13,Evidence_Index!$A$5:$A$204,0)),"")</f>
        <v/>
      </c>
      <c r="E13" s="17"/>
      <c r="F13" s="17"/>
      <c r="G13" s="17"/>
      <c r="H13" s="20" t="str">
        <f aca="false">IF(OR(D13="",G13=""),"",D13-G13)</f>
        <v/>
      </c>
      <c r="I13" s="17"/>
      <c r="J13" s="17"/>
      <c r="K13" s="17"/>
      <c r="L13" s="17"/>
      <c r="M13" s="19"/>
      <c r="N13" s="17"/>
      <c r="O13" s="20" t="str">
        <f aca="false">IF(A13="","",IF(COUNTIF(Evidence_Index!$A$5:$A$204,B13)=0,"EV-ID not in index",IF(OR(E13="",I13=""),"Completeness and accuracy procedures needed",IF(AND(N13="Pass",H13&lt;&gt;0),"Pass requires counts to agree (or explain)",IF(AND(N13="Pass",OR(K13&lt;&gt;"Y",J13="")),"Pass requires parameter evidence and traced records","OK")))))</f>
        <v/>
      </c>
    </row>
    <row r="14" customFormat="false" ht="15" hidden="false" customHeight="false" outlineLevel="0" collapsed="false">
      <c r="A14" s="17"/>
      <c r="B14" s="17"/>
      <c r="C14" s="20" t="str">
        <f aca="false">IFERROR(INDEX(Evidence_Index!$F$5:$F$204,MATCH(B14,Evidence_Index!$A$5:$A$204,0)),"")</f>
        <v/>
      </c>
      <c r="D14" s="20" t="str">
        <f aca="false">IFERROR(INDEX(Evidence_Index!$M$5:$M$204,MATCH(B14,Evidence_Index!$A$5:$A$204,0)),"")</f>
        <v/>
      </c>
      <c r="E14" s="17"/>
      <c r="F14" s="17"/>
      <c r="G14" s="17"/>
      <c r="H14" s="20" t="str">
        <f aca="false">IF(OR(D14="",G14=""),"",D14-G14)</f>
        <v/>
      </c>
      <c r="I14" s="17"/>
      <c r="J14" s="17"/>
      <c r="K14" s="17"/>
      <c r="L14" s="17"/>
      <c r="M14" s="19"/>
      <c r="N14" s="17"/>
      <c r="O14" s="20" t="str">
        <f aca="false">IF(A14="","",IF(COUNTIF(Evidence_Index!$A$5:$A$204,B14)=0,"EV-ID not in index",IF(OR(E14="",I14=""),"Completeness and accuracy procedures needed",IF(AND(N14="Pass",H14&lt;&gt;0),"Pass requires counts to agree (or explain)",IF(AND(N14="Pass",OR(K14&lt;&gt;"Y",J14="")),"Pass requires parameter evidence and traced records","OK")))))</f>
        <v/>
      </c>
    </row>
    <row r="15" customFormat="false" ht="15" hidden="false" customHeight="false" outlineLevel="0" collapsed="false">
      <c r="A15" s="17"/>
      <c r="B15" s="17"/>
      <c r="C15" s="20" t="str">
        <f aca="false">IFERROR(INDEX(Evidence_Index!$F$5:$F$204,MATCH(B15,Evidence_Index!$A$5:$A$204,0)),"")</f>
        <v/>
      </c>
      <c r="D15" s="20" t="str">
        <f aca="false">IFERROR(INDEX(Evidence_Index!$M$5:$M$204,MATCH(B15,Evidence_Index!$A$5:$A$204,0)),"")</f>
        <v/>
      </c>
      <c r="E15" s="17"/>
      <c r="F15" s="17"/>
      <c r="G15" s="17"/>
      <c r="H15" s="20" t="str">
        <f aca="false">IF(OR(D15="",G15=""),"",D15-G15)</f>
        <v/>
      </c>
      <c r="I15" s="17"/>
      <c r="J15" s="17"/>
      <c r="K15" s="17"/>
      <c r="L15" s="17"/>
      <c r="M15" s="19"/>
      <c r="N15" s="17"/>
      <c r="O15" s="20" t="str">
        <f aca="false">IF(A15="","",IF(COUNTIF(Evidence_Index!$A$5:$A$204,B15)=0,"EV-ID not in index",IF(OR(E15="",I15=""),"Completeness and accuracy procedures needed",IF(AND(N15="Pass",H15&lt;&gt;0),"Pass requires counts to agree (or explain)",IF(AND(N15="Pass",OR(K15&lt;&gt;"Y",J15="")),"Pass requires parameter evidence and traced records","OK")))))</f>
        <v/>
      </c>
    </row>
    <row r="16" customFormat="false" ht="15" hidden="false" customHeight="false" outlineLevel="0" collapsed="false">
      <c r="A16" s="17"/>
      <c r="B16" s="17"/>
      <c r="C16" s="20" t="str">
        <f aca="false">IFERROR(INDEX(Evidence_Index!$F$5:$F$204,MATCH(B16,Evidence_Index!$A$5:$A$204,0)),"")</f>
        <v/>
      </c>
      <c r="D16" s="20" t="str">
        <f aca="false">IFERROR(INDEX(Evidence_Index!$M$5:$M$204,MATCH(B16,Evidence_Index!$A$5:$A$204,0)),"")</f>
        <v/>
      </c>
      <c r="E16" s="17"/>
      <c r="F16" s="17"/>
      <c r="G16" s="17"/>
      <c r="H16" s="20" t="str">
        <f aca="false">IF(OR(D16="",G16=""),"",D16-G16)</f>
        <v/>
      </c>
      <c r="I16" s="17"/>
      <c r="J16" s="17"/>
      <c r="K16" s="17"/>
      <c r="L16" s="17"/>
      <c r="M16" s="19"/>
      <c r="N16" s="17"/>
      <c r="O16" s="20" t="str">
        <f aca="false">IF(A16="","",IF(COUNTIF(Evidence_Index!$A$5:$A$204,B16)=0,"EV-ID not in index",IF(OR(E16="",I16=""),"Completeness and accuracy procedures needed",IF(AND(N16="Pass",H16&lt;&gt;0),"Pass requires counts to agree (or explain)",IF(AND(N16="Pass",OR(K16&lt;&gt;"Y",J16="")),"Pass requires parameter evidence and traced records","OK")))))</f>
        <v/>
      </c>
    </row>
    <row r="17" customFormat="false" ht="15" hidden="false" customHeight="false" outlineLevel="0" collapsed="false">
      <c r="A17" s="17"/>
      <c r="B17" s="17"/>
      <c r="C17" s="20" t="str">
        <f aca="false">IFERROR(INDEX(Evidence_Index!$F$5:$F$204,MATCH(B17,Evidence_Index!$A$5:$A$204,0)),"")</f>
        <v/>
      </c>
      <c r="D17" s="20" t="str">
        <f aca="false">IFERROR(INDEX(Evidence_Index!$M$5:$M$204,MATCH(B17,Evidence_Index!$A$5:$A$204,0)),"")</f>
        <v/>
      </c>
      <c r="E17" s="17"/>
      <c r="F17" s="17"/>
      <c r="G17" s="17"/>
      <c r="H17" s="20" t="str">
        <f aca="false">IF(OR(D17="",G17=""),"",D17-G17)</f>
        <v/>
      </c>
      <c r="I17" s="17"/>
      <c r="J17" s="17"/>
      <c r="K17" s="17"/>
      <c r="L17" s="17"/>
      <c r="M17" s="19"/>
      <c r="N17" s="17"/>
      <c r="O17" s="20" t="str">
        <f aca="false">IF(A17="","",IF(COUNTIF(Evidence_Index!$A$5:$A$204,B17)=0,"EV-ID not in index",IF(OR(E17="",I17=""),"Completeness and accuracy procedures needed",IF(AND(N17="Pass",H17&lt;&gt;0),"Pass requires counts to agree (or explain)",IF(AND(N17="Pass",OR(K17&lt;&gt;"Y",J17="")),"Pass requires parameter evidence and traced records","OK")))))</f>
        <v/>
      </c>
    </row>
    <row r="18" customFormat="false" ht="15" hidden="false" customHeight="false" outlineLevel="0" collapsed="false">
      <c r="A18" s="17"/>
      <c r="B18" s="17"/>
      <c r="C18" s="20" t="str">
        <f aca="false">IFERROR(INDEX(Evidence_Index!$F$5:$F$204,MATCH(B18,Evidence_Index!$A$5:$A$204,0)),"")</f>
        <v/>
      </c>
      <c r="D18" s="20" t="str">
        <f aca="false">IFERROR(INDEX(Evidence_Index!$M$5:$M$204,MATCH(B18,Evidence_Index!$A$5:$A$204,0)),"")</f>
        <v/>
      </c>
      <c r="E18" s="17"/>
      <c r="F18" s="17"/>
      <c r="G18" s="17"/>
      <c r="H18" s="20" t="str">
        <f aca="false">IF(OR(D18="",G18=""),"",D18-G18)</f>
        <v/>
      </c>
      <c r="I18" s="17"/>
      <c r="J18" s="17"/>
      <c r="K18" s="17"/>
      <c r="L18" s="17"/>
      <c r="M18" s="19"/>
      <c r="N18" s="17"/>
      <c r="O18" s="20" t="str">
        <f aca="false">IF(A18="","",IF(COUNTIF(Evidence_Index!$A$5:$A$204,B18)=0,"EV-ID not in index",IF(OR(E18="",I18=""),"Completeness and accuracy procedures needed",IF(AND(N18="Pass",H18&lt;&gt;0),"Pass requires counts to agree (or explain)",IF(AND(N18="Pass",OR(K18&lt;&gt;"Y",J18="")),"Pass requires parameter evidence and traced records","OK")))))</f>
        <v/>
      </c>
    </row>
    <row r="19" customFormat="false" ht="15" hidden="false" customHeight="false" outlineLevel="0" collapsed="false">
      <c r="A19" s="17"/>
      <c r="B19" s="17"/>
      <c r="C19" s="20" t="str">
        <f aca="false">IFERROR(INDEX(Evidence_Index!$F$5:$F$204,MATCH(B19,Evidence_Index!$A$5:$A$204,0)),"")</f>
        <v/>
      </c>
      <c r="D19" s="20" t="str">
        <f aca="false">IFERROR(INDEX(Evidence_Index!$M$5:$M$204,MATCH(B19,Evidence_Index!$A$5:$A$204,0)),"")</f>
        <v/>
      </c>
      <c r="E19" s="17"/>
      <c r="F19" s="17"/>
      <c r="G19" s="17"/>
      <c r="H19" s="20" t="str">
        <f aca="false">IF(OR(D19="",G19=""),"",D19-G19)</f>
        <v/>
      </c>
      <c r="I19" s="17"/>
      <c r="J19" s="17"/>
      <c r="K19" s="17"/>
      <c r="L19" s="17"/>
      <c r="M19" s="19"/>
      <c r="N19" s="17"/>
      <c r="O19" s="20" t="str">
        <f aca="false">IF(A19="","",IF(COUNTIF(Evidence_Index!$A$5:$A$204,B19)=0,"EV-ID not in index",IF(OR(E19="",I19=""),"Completeness and accuracy procedures needed",IF(AND(N19="Pass",H19&lt;&gt;0),"Pass requires counts to agree (or explain)",IF(AND(N19="Pass",OR(K19&lt;&gt;"Y",J19="")),"Pass requires parameter evidence and traced records","OK")))))</f>
        <v/>
      </c>
    </row>
    <row r="20" customFormat="false" ht="15" hidden="false" customHeight="false" outlineLevel="0" collapsed="false">
      <c r="A20" s="17"/>
      <c r="B20" s="17"/>
      <c r="C20" s="20" t="str">
        <f aca="false">IFERROR(INDEX(Evidence_Index!$F$5:$F$204,MATCH(B20,Evidence_Index!$A$5:$A$204,0)),"")</f>
        <v/>
      </c>
      <c r="D20" s="20" t="str">
        <f aca="false">IFERROR(INDEX(Evidence_Index!$M$5:$M$204,MATCH(B20,Evidence_Index!$A$5:$A$204,0)),"")</f>
        <v/>
      </c>
      <c r="E20" s="17"/>
      <c r="F20" s="17"/>
      <c r="G20" s="17"/>
      <c r="H20" s="20" t="str">
        <f aca="false">IF(OR(D20="",G20=""),"",D20-G20)</f>
        <v/>
      </c>
      <c r="I20" s="17"/>
      <c r="J20" s="17"/>
      <c r="K20" s="17"/>
      <c r="L20" s="17"/>
      <c r="M20" s="19"/>
      <c r="N20" s="17"/>
      <c r="O20" s="20" t="str">
        <f aca="false">IF(A20="","",IF(COUNTIF(Evidence_Index!$A$5:$A$204,B20)=0,"EV-ID not in index",IF(OR(E20="",I20=""),"Completeness and accuracy procedures needed",IF(AND(N20="Pass",H20&lt;&gt;0),"Pass requires counts to agree (or explain)",IF(AND(N20="Pass",OR(K20&lt;&gt;"Y",J20="")),"Pass requires parameter evidence and traced records","OK")))))</f>
        <v/>
      </c>
    </row>
    <row r="21" customFormat="false" ht="15" hidden="false" customHeight="false" outlineLevel="0" collapsed="false">
      <c r="A21" s="17"/>
      <c r="B21" s="17"/>
      <c r="C21" s="20" t="str">
        <f aca="false">IFERROR(INDEX(Evidence_Index!$F$5:$F$204,MATCH(B21,Evidence_Index!$A$5:$A$204,0)),"")</f>
        <v/>
      </c>
      <c r="D21" s="20" t="str">
        <f aca="false">IFERROR(INDEX(Evidence_Index!$M$5:$M$204,MATCH(B21,Evidence_Index!$A$5:$A$204,0)),"")</f>
        <v/>
      </c>
      <c r="E21" s="17"/>
      <c r="F21" s="17"/>
      <c r="G21" s="17"/>
      <c r="H21" s="20" t="str">
        <f aca="false">IF(OR(D21="",G21=""),"",D21-G21)</f>
        <v/>
      </c>
      <c r="I21" s="17"/>
      <c r="J21" s="17"/>
      <c r="K21" s="17"/>
      <c r="L21" s="17"/>
      <c r="M21" s="19"/>
      <c r="N21" s="17"/>
      <c r="O21" s="20" t="str">
        <f aca="false">IF(A21="","",IF(COUNTIF(Evidence_Index!$A$5:$A$204,B21)=0,"EV-ID not in index",IF(OR(E21="",I21=""),"Completeness and accuracy procedures needed",IF(AND(N21="Pass",H21&lt;&gt;0),"Pass requires counts to agree (or explain)",IF(AND(N21="Pass",OR(K21&lt;&gt;"Y",J21="")),"Pass requires parameter evidence and traced records","OK")))))</f>
        <v/>
      </c>
    </row>
    <row r="22" customFormat="false" ht="15" hidden="false" customHeight="false" outlineLevel="0" collapsed="false">
      <c r="A22" s="17"/>
      <c r="B22" s="17"/>
      <c r="C22" s="20" t="str">
        <f aca="false">IFERROR(INDEX(Evidence_Index!$F$5:$F$204,MATCH(B22,Evidence_Index!$A$5:$A$204,0)),"")</f>
        <v/>
      </c>
      <c r="D22" s="20" t="str">
        <f aca="false">IFERROR(INDEX(Evidence_Index!$M$5:$M$204,MATCH(B22,Evidence_Index!$A$5:$A$204,0)),"")</f>
        <v/>
      </c>
      <c r="E22" s="17"/>
      <c r="F22" s="17"/>
      <c r="G22" s="17"/>
      <c r="H22" s="20" t="str">
        <f aca="false">IF(OR(D22="",G22=""),"",D22-G22)</f>
        <v/>
      </c>
      <c r="I22" s="17"/>
      <c r="J22" s="17"/>
      <c r="K22" s="17"/>
      <c r="L22" s="17"/>
      <c r="M22" s="19"/>
      <c r="N22" s="17"/>
      <c r="O22" s="20" t="str">
        <f aca="false">IF(A22="","",IF(COUNTIF(Evidence_Index!$A$5:$A$204,B22)=0,"EV-ID not in index",IF(OR(E22="",I22=""),"Completeness and accuracy procedures needed",IF(AND(N22="Pass",H22&lt;&gt;0),"Pass requires counts to agree (or explain)",IF(AND(N22="Pass",OR(K22&lt;&gt;"Y",J22="")),"Pass requires parameter evidence and traced records","OK")))))</f>
        <v/>
      </c>
    </row>
    <row r="23" customFormat="false" ht="15" hidden="false" customHeight="false" outlineLevel="0" collapsed="false">
      <c r="A23" s="17"/>
      <c r="B23" s="17"/>
      <c r="C23" s="20" t="str">
        <f aca="false">IFERROR(INDEX(Evidence_Index!$F$5:$F$204,MATCH(B23,Evidence_Index!$A$5:$A$204,0)),"")</f>
        <v/>
      </c>
      <c r="D23" s="20" t="str">
        <f aca="false">IFERROR(INDEX(Evidence_Index!$M$5:$M$204,MATCH(B23,Evidence_Index!$A$5:$A$204,0)),"")</f>
        <v/>
      </c>
      <c r="E23" s="17"/>
      <c r="F23" s="17"/>
      <c r="G23" s="17"/>
      <c r="H23" s="20" t="str">
        <f aca="false">IF(OR(D23="",G23=""),"",D23-G23)</f>
        <v/>
      </c>
      <c r="I23" s="17"/>
      <c r="J23" s="17"/>
      <c r="K23" s="17"/>
      <c r="L23" s="17"/>
      <c r="M23" s="19"/>
      <c r="N23" s="17"/>
      <c r="O23" s="20" t="str">
        <f aca="false">IF(A23="","",IF(COUNTIF(Evidence_Index!$A$5:$A$204,B23)=0,"EV-ID not in index",IF(OR(E23="",I23=""),"Completeness and accuracy procedures needed",IF(AND(N23="Pass",H23&lt;&gt;0),"Pass requires counts to agree (or explain)",IF(AND(N23="Pass",OR(K23&lt;&gt;"Y",J23="")),"Pass requires parameter evidence and traced records","OK")))))</f>
        <v/>
      </c>
    </row>
    <row r="24" customFormat="false" ht="15" hidden="false" customHeight="false" outlineLevel="0" collapsed="false">
      <c r="A24" s="17"/>
      <c r="B24" s="17"/>
      <c r="C24" s="20" t="str">
        <f aca="false">IFERROR(INDEX(Evidence_Index!$F$5:$F$204,MATCH(B24,Evidence_Index!$A$5:$A$204,0)),"")</f>
        <v/>
      </c>
      <c r="D24" s="20" t="str">
        <f aca="false">IFERROR(INDEX(Evidence_Index!$M$5:$M$204,MATCH(B24,Evidence_Index!$A$5:$A$204,0)),"")</f>
        <v/>
      </c>
      <c r="E24" s="17"/>
      <c r="F24" s="17"/>
      <c r="G24" s="17"/>
      <c r="H24" s="20" t="str">
        <f aca="false">IF(OR(D24="",G24=""),"",D24-G24)</f>
        <v/>
      </c>
      <c r="I24" s="17"/>
      <c r="J24" s="17"/>
      <c r="K24" s="17"/>
      <c r="L24" s="17"/>
      <c r="M24" s="19"/>
      <c r="N24" s="17"/>
      <c r="O24" s="20" t="str">
        <f aca="false">IF(A24="","",IF(COUNTIF(Evidence_Index!$A$5:$A$204,B24)=0,"EV-ID not in index",IF(OR(E24="",I24=""),"Completeness and accuracy procedures needed",IF(AND(N24="Pass",H24&lt;&gt;0),"Pass requires counts to agree (or explain)",IF(AND(N24="Pass",OR(K24&lt;&gt;"Y",J24="")),"Pass requires parameter evidence and traced records","OK")))))</f>
        <v/>
      </c>
    </row>
    <row r="25" customFormat="false" ht="15" hidden="false" customHeight="false" outlineLevel="0" collapsed="false">
      <c r="A25" s="17"/>
      <c r="B25" s="17"/>
      <c r="C25" s="20" t="str">
        <f aca="false">IFERROR(INDEX(Evidence_Index!$F$5:$F$204,MATCH(B25,Evidence_Index!$A$5:$A$204,0)),"")</f>
        <v/>
      </c>
      <c r="D25" s="20" t="str">
        <f aca="false">IFERROR(INDEX(Evidence_Index!$M$5:$M$204,MATCH(B25,Evidence_Index!$A$5:$A$204,0)),"")</f>
        <v/>
      </c>
      <c r="E25" s="17"/>
      <c r="F25" s="17"/>
      <c r="G25" s="17"/>
      <c r="H25" s="20" t="str">
        <f aca="false">IF(OR(D25="",G25=""),"",D25-G25)</f>
        <v/>
      </c>
      <c r="I25" s="17"/>
      <c r="J25" s="17"/>
      <c r="K25" s="17"/>
      <c r="L25" s="17"/>
      <c r="M25" s="19"/>
      <c r="N25" s="17"/>
      <c r="O25" s="20" t="str">
        <f aca="false">IF(A25="","",IF(COUNTIF(Evidence_Index!$A$5:$A$204,B25)=0,"EV-ID not in index",IF(OR(E25="",I25=""),"Completeness and accuracy procedures needed",IF(AND(N25="Pass",H25&lt;&gt;0),"Pass requires counts to agree (or explain)",IF(AND(N25="Pass",OR(K25&lt;&gt;"Y",J25="")),"Pass requires parameter evidence and traced records","OK")))))</f>
        <v/>
      </c>
    </row>
    <row r="26" customFormat="false" ht="15" hidden="false" customHeight="false" outlineLevel="0" collapsed="false">
      <c r="A26" s="17"/>
      <c r="B26" s="17"/>
      <c r="C26" s="20" t="str">
        <f aca="false">IFERROR(INDEX(Evidence_Index!$F$5:$F$204,MATCH(B26,Evidence_Index!$A$5:$A$204,0)),"")</f>
        <v/>
      </c>
      <c r="D26" s="20" t="str">
        <f aca="false">IFERROR(INDEX(Evidence_Index!$M$5:$M$204,MATCH(B26,Evidence_Index!$A$5:$A$204,0)),"")</f>
        <v/>
      </c>
      <c r="E26" s="17"/>
      <c r="F26" s="17"/>
      <c r="G26" s="17"/>
      <c r="H26" s="20" t="str">
        <f aca="false">IF(OR(D26="",G26=""),"",D26-G26)</f>
        <v/>
      </c>
      <c r="I26" s="17"/>
      <c r="J26" s="17"/>
      <c r="K26" s="17"/>
      <c r="L26" s="17"/>
      <c r="M26" s="19"/>
      <c r="N26" s="17"/>
      <c r="O26" s="20" t="str">
        <f aca="false">IF(A26="","",IF(COUNTIF(Evidence_Index!$A$5:$A$204,B26)=0,"EV-ID not in index",IF(OR(E26="",I26=""),"Completeness and accuracy procedures needed",IF(AND(N26="Pass",H26&lt;&gt;0),"Pass requires counts to agree (or explain)",IF(AND(N26="Pass",OR(K26&lt;&gt;"Y",J26="")),"Pass requires parameter evidence and traced records","OK")))))</f>
        <v/>
      </c>
    </row>
    <row r="27" customFormat="false" ht="15" hidden="false" customHeight="false" outlineLevel="0" collapsed="false">
      <c r="A27" s="17"/>
      <c r="B27" s="17"/>
      <c r="C27" s="20" t="str">
        <f aca="false">IFERROR(INDEX(Evidence_Index!$F$5:$F$204,MATCH(B27,Evidence_Index!$A$5:$A$204,0)),"")</f>
        <v/>
      </c>
      <c r="D27" s="20" t="str">
        <f aca="false">IFERROR(INDEX(Evidence_Index!$M$5:$M$204,MATCH(B27,Evidence_Index!$A$5:$A$204,0)),"")</f>
        <v/>
      </c>
      <c r="E27" s="17"/>
      <c r="F27" s="17"/>
      <c r="G27" s="17"/>
      <c r="H27" s="20" t="str">
        <f aca="false">IF(OR(D27="",G27=""),"",D27-G27)</f>
        <v/>
      </c>
      <c r="I27" s="17"/>
      <c r="J27" s="17"/>
      <c r="K27" s="17"/>
      <c r="L27" s="17"/>
      <c r="M27" s="19"/>
      <c r="N27" s="17"/>
      <c r="O27" s="20" t="str">
        <f aca="false">IF(A27="","",IF(COUNTIF(Evidence_Index!$A$5:$A$204,B27)=0,"EV-ID not in index",IF(OR(E27="",I27=""),"Completeness and accuracy procedures needed",IF(AND(N27="Pass",H27&lt;&gt;0),"Pass requires counts to agree (or explain)",IF(AND(N27="Pass",OR(K27&lt;&gt;"Y",J27="")),"Pass requires parameter evidence and traced records","OK")))))</f>
        <v/>
      </c>
    </row>
    <row r="28" customFormat="false" ht="15" hidden="false" customHeight="false" outlineLevel="0" collapsed="false">
      <c r="A28" s="17"/>
      <c r="B28" s="17"/>
      <c r="C28" s="20" t="str">
        <f aca="false">IFERROR(INDEX(Evidence_Index!$F$5:$F$204,MATCH(B28,Evidence_Index!$A$5:$A$204,0)),"")</f>
        <v/>
      </c>
      <c r="D28" s="20" t="str">
        <f aca="false">IFERROR(INDEX(Evidence_Index!$M$5:$M$204,MATCH(B28,Evidence_Index!$A$5:$A$204,0)),"")</f>
        <v/>
      </c>
      <c r="E28" s="17"/>
      <c r="F28" s="17"/>
      <c r="G28" s="17"/>
      <c r="H28" s="20" t="str">
        <f aca="false">IF(OR(D28="",G28=""),"",D28-G28)</f>
        <v/>
      </c>
      <c r="I28" s="17"/>
      <c r="J28" s="17"/>
      <c r="K28" s="17"/>
      <c r="L28" s="17"/>
      <c r="M28" s="19"/>
      <c r="N28" s="17"/>
      <c r="O28" s="20" t="str">
        <f aca="false">IF(A28="","",IF(COUNTIF(Evidence_Index!$A$5:$A$204,B28)=0,"EV-ID not in index",IF(OR(E28="",I28=""),"Completeness and accuracy procedures needed",IF(AND(N28="Pass",H28&lt;&gt;0),"Pass requires counts to agree (or explain)",IF(AND(N28="Pass",OR(K28&lt;&gt;"Y",J28="")),"Pass requires parameter evidence and traced records","OK")))))</f>
        <v/>
      </c>
    </row>
    <row r="29" customFormat="false" ht="15" hidden="false" customHeight="false" outlineLevel="0" collapsed="false">
      <c r="A29" s="17"/>
      <c r="B29" s="17"/>
      <c r="C29" s="20" t="str">
        <f aca="false">IFERROR(INDEX(Evidence_Index!$F$5:$F$204,MATCH(B29,Evidence_Index!$A$5:$A$204,0)),"")</f>
        <v/>
      </c>
      <c r="D29" s="20" t="str">
        <f aca="false">IFERROR(INDEX(Evidence_Index!$M$5:$M$204,MATCH(B29,Evidence_Index!$A$5:$A$204,0)),"")</f>
        <v/>
      </c>
      <c r="E29" s="17"/>
      <c r="F29" s="17"/>
      <c r="G29" s="17"/>
      <c r="H29" s="20" t="str">
        <f aca="false">IF(OR(D29="",G29=""),"",D29-G29)</f>
        <v/>
      </c>
      <c r="I29" s="17"/>
      <c r="J29" s="17"/>
      <c r="K29" s="17"/>
      <c r="L29" s="17"/>
      <c r="M29" s="19"/>
      <c r="N29" s="17"/>
      <c r="O29" s="20" t="str">
        <f aca="false">IF(A29="","",IF(COUNTIF(Evidence_Index!$A$5:$A$204,B29)=0,"EV-ID not in index",IF(OR(E29="",I29=""),"Completeness and accuracy procedures needed",IF(AND(N29="Pass",H29&lt;&gt;0),"Pass requires counts to agree (or explain)",IF(AND(N29="Pass",OR(K29&lt;&gt;"Y",J29="")),"Pass requires parameter evidence and traced records","OK")))))</f>
        <v/>
      </c>
    </row>
    <row r="30" customFormat="false" ht="15" hidden="false" customHeight="false" outlineLevel="0" collapsed="false">
      <c r="A30" s="17"/>
      <c r="B30" s="17"/>
      <c r="C30" s="20" t="str">
        <f aca="false">IFERROR(INDEX(Evidence_Index!$F$5:$F$204,MATCH(B30,Evidence_Index!$A$5:$A$204,0)),"")</f>
        <v/>
      </c>
      <c r="D30" s="20" t="str">
        <f aca="false">IFERROR(INDEX(Evidence_Index!$M$5:$M$204,MATCH(B30,Evidence_Index!$A$5:$A$204,0)),"")</f>
        <v/>
      </c>
      <c r="E30" s="17"/>
      <c r="F30" s="17"/>
      <c r="G30" s="17"/>
      <c r="H30" s="20" t="str">
        <f aca="false">IF(OR(D30="",G30=""),"",D30-G30)</f>
        <v/>
      </c>
      <c r="I30" s="17"/>
      <c r="J30" s="17"/>
      <c r="K30" s="17"/>
      <c r="L30" s="17"/>
      <c r="M30" s="19"/>
      <c r="N30" s="17"/>
      <c r="O30" s="20" t="str">
        <f aca="false">IF(A30="","",IF(COUNTIF(Evidence_Index!$A$5:$A$204,B30)=0,"EV-ID not in index",IF(OR(E30="",I30=""),"Completeness and accuracy procedures needed",IF(AND(N30="Pass",H30&lt;&gt;0),"Pass requires counts to agree (or explain)",IF(AND(N30="Pass",OR(K30&lt;&gt;"Y",J30="")),"Pass requires parameter evidence and traced records","OK")))))</f>
        <v/>
      </c>
    </row>
    <row r="31" customFormat="false" ht="15" hidden="false" customHeight="false" outlineLevel="0" collapsed="false">
      <c r="A31" s="17"/>
      <c r="B31" s="17"/>
      <c r="C31" s="20" t="str">
        <f aca="false">IFERROR(INDEX(Evidence_Index!$F$5:$F$204,MATCH(B31,Evidence_Index!$A$5:$A$204,0)),"")</f>
        <v/>
      </c>
      <c r="D31" s="20" t="str">
        <f aca="false">IFERROR(INDEX(Evidence_Index!$M$5:$M$204,MATCH(B31,Evidence_Index!$A$5:$A$204,0)),"")</f>
        <v/>
      </c>
      <c r="E31" s="17"/>
      <c r="F31" s="17"/>
      <c r="G31" s="17"/>
      <c r="H31" s="20" t="str">
        <f aca="false">IF(OR(D31="",G31=""),"",D31-G31)</f>
        <v/>
      </c>
      <c r="I31" s="17"/>
      <c r="J31" s="17"/>
      <c r="K31" s="17"/>
      <c r="L31" s="17"/>
      <c r="M31" s="19"/>
      <c r="N31" s="17"/>
      <c r="O31" s="20" t="str">
        <f aca="false">IF(A31="","",IF(COUNTIF(Evidence_Index!$A$5:$A$204,B31)=0,"EV-ID not in index",IF(OR(E31="",I31=""),"Completeness and accuracy procedures needed",IF(AND(N31="Pass",H31&lt;&gt;0),"Pass requires counts to agree (or explain)",IF(AND(N31="Pass",OR(K31&lt;&gt;"Y",J31="")),"Pass requires parameter evidence and traced records","OK")))))</f>
        <v/>
      </c>
    </row>
    <row r="32" customFormat="false" ht="15" hidden="false" customHeight="false" outlineLevel="0" collapsed="false">
      <c r="A32" s="17"/>
      <c r="B32" s="17"/>
      <c r="C32" s="20" t="str">
        <f aca="false">IFERROR(INDEX(Evidence_Index!$F$5:$F$204,MATCH(B32,Evidence_Index!$A$5:$A$204,0)),"")</f>
        <v/>
      </c>
      <c r="D32" s="20" t="str">
        <f aca="false">IFERROR(INDEX(Evidence_Index!$M$5:$M$204,MATCH(B32,Evidence_Index!$A$5:$A$204,0)),"")</f>
        <v/>
      </c>
      <c r="E32" s="17"/>
      <c r="F32" s="17"/>
      <c r="G32" s="17"/>
      <c r="H32" s="20" t="str">
        <f aca="false">IF(OR(D32="",G32=""),"",D32-G32)</f>
        <v/>
      </c>
      <c r="I32" s="17"/>
      <c r="J32" s="17"/>
      <c r="K32" s="17"/>
      <c r="L32" s="17"/>
      <c r="M32" s="19"/>
      <c r="N32" s="17"/>
      <c r="O32" s="20" t="str">
        <f aca="false">IF(A32="","",IF(COUNTIF(Evidence_Index!$A$5:$A$204,B32)=0,"EV-ID not in index",IF(OR(E32="",I32=""),"Completeness and accuracy procedures needed",IF(AND(N32="Pass",H32&lt;&gt;0),"Pass requires counts to agree (or explain)",IF(AND(N32="Pass",OR(K32&lt;&gt;"Y",J32="")),"Pass requires parameter evidence and traced records","OK")))))</f>
        <v/>
      </c>
    </row>
    <row r="33" customFormat="false" ht="15" hidden="false" customHeight="false" outlineLevel="0" collapsed="false">
      <c r="A33" s="17"/>
      <c r="B33" s="17"/>
      <c r="C33" s="20" t="str">
        <f aca="false">IFERROR(INDEX(Evidence_Index!$F$5:$F$204,MATCH(B33,Evidence_Index!$A$5:$A$204,0)),"")</f>
        <v/>
      </c>
      <c r="D33" s="20" t="str">
        <f aca="false">IFERROR(INDEX(Evidence_Index!$M$5:$M$204,MATCH(B33,Evidence_Index!$A$5:$A$204,0)),"")</f>
        <v/>
      </c>
      <c r="E33" s="17"/>
      <c r="F33" s="17"/>
      <c r="G33" s="17"/>
      <c r="H33" s="20" t="str">
        <f aca="false">IF(OR(D33="",G33=""),"",D33-G33)</f>
        <v/>
      </c>
      <c r="I33" s="17"/>
      <c r="J33" s="17"/>
      <c r="K33" s="17"/>
      <c r="L33" s="17"/>
      <c r="M33" s="19"/>
      <c r="N33" s="17"/>
      <c r="O33" s="20" t="str">
        <f aca="false">IF(A33="","",IF(COUNTIF(Evidence_Index!$A$5:$A$204,B33)=0,"EV-ID not in index",IF(OR(E33="",I33=""),"Completeness and accuracy procedures needed",IF(AND(N33="Pass",H33&lt;&gt;0),"Pass requires counts to agree (or explain)",IF(AND(N33="Pass",OR(K33&lt;&gt;"Y",J33="")),"Pass requires parameter evidence and traced records","OK")))))</f>
        <v/>
      </c>
    </row>
    <row r="34" customFormat="false" ht="15" hidden="false" customHeight="false" outlineLevel="0" collapsed="false">
      <c r="A34" s="17"/>
      <c r="B34" s="17"/>
      <c r="C34" s="20" t="str">
        <f aca="false">IFERROR(INDEX(Evidence_Index!$F$5:$F$204,MATCH(B34,Evidence_Index!$A$5:$A$204,0)),"")</f>
        <v/>
      </c>
      <c r="D34" s="20" t="str">
        <f aca="false">IFERROR(INDEX(Evidence_Index!$M$5:$M$204,MATCH(B34,Evidence_Index!$A$5:$A$204,0)),"")</f>
        <v/>
      </c>
      <c r="E34" s="17"/>
      <c r="F34" s="17"/>
      <c r="G34" s="17"/>
      <c r="H34" s="20" t="str">
        <f aca="false">IF(OR(D34="",G34=""),"",D34-G34)</f>
        <v/>
      </c>
      <c r="I34" s="17"/>
      <c r="J34" s="17"/>
      <c r="K34" s="17"/>
      <c r="L34" s="17"/>
      <c r="M34" s="19"/>
      <c r="N34" s="17"/>
      <c r="O34" s="20" t="str">
        <f aca="false">IF(A34="","",IF(COUNTIF(Evidence_Index!$A$5:$A$204,B34)=0,"EV-ID not in index",IF(OR(E34="",I34=""),"Completeness and accuracy procedures needed",IF(AND(N34="Pass",H34&lt;&gt;0),"Pass requires counts to agree (or explain)",IF(AND(N34="Pass",OR(K34&lt;&gt;"Y",J34="")),"Pass requires parameter evidence and traced records","OK")))))</f>
        <v/>
      </c>
    </row>
    <row r="35" customFormat="false" ht="15" hidden="false" customHeight="false" outlineLevel="0" collapsed="false">
      <c r="A35" s="17"/>
      <c r="B35" s="17"/>
      <c r="C35" s="20" t="str">
        <f aca="false">IFERROR(INDEX(Evidence_Index!$F$5:$F$204,MATCH(B35,Evidence_Index!$A$5:$A$204,0)),"")</f>
        <v/>
      </c>
      <c r="D35" s="20" t="str">
        <f aca="false">IFERROR(INDEX(Evidence_Index!$M$5:$M$204,MATCH(B35,Evidence_Index!$A$5:$A$204,0)),"")</f>
        <v/>
      </c>
      <c r="E35" s="17"/>
      <c r="F35" s="17"/>
      <c r="G35" s="17"/>
      <c r="H35" s="20" t="str">
        <f aca="false">IF(OR(D35="",G35=""),"",D35-G35)</f>
        <v/>
      </c>
      <c r="I35" s="17"/>
      <c r="J35" s="17"/>
      <c r="K35" s="17"/>
      <c r="L35" s="17"/>
      <c r="M35" s="19"/>
      <c r="N35" s="17"/>
      <c r="O35" s="20" t="str">
        <f aca="false">IF(A35="","",IF(COUNTIF(Evidence_Index!$A$5:$A$204,B35)=0,"EV-ID not in index",IF(OR(E35="",I35=""),"Completeness and accuracy procedures needed",IF(AND(N35="Pass",H35&lt;&gt;0),"Pass requires counts to agree (or explain)",IF(AND(N35="Pass",OR(K35&lt;&gt;"Y",J35="")),"Pass requires parameter evidence and traced records","OK")))))</f>
        <v/>
      </c>
    </row>
    <row r="36" customFormat="false" ht="15" hidden="false" customHeight="false" outlineLevel="0" collapsed="false">
      <c r="A36" s="17"/>
      <c r="B36" s="17"/>
      <c r="C36" s="20" t="str">
        <f aca="false">IFERROR(INDEX(Evidence_Index!$F$5:$F$204,MATCH(B36,Evidence_Index!$A$5:$A$204,0)),"")</f>
        <v/>
      </c>
      <c r="D36" s="20" t="str">
        <f aca="false">IFERROR(INDEX(Evidence_Index!$M$5:$M$204,MATCH(B36,Evidence_Index!$A$5:$A$204,0)),"")</f>
        <v/>
      </c>
      <c r="E36" s="17"/>
      <c r="F36" s="17"/>
      <c r="G36" s="17"/>
      <c r="H36" s="20" t="str">
        <f aca="false">IF(OR(D36="",G36=""),"",D36-G36)</f>
        <v/>
      </c>
      <c r="I36" s="17"/>
      <c r="J36" s="17"/>
      <c r="K36" s="17"/>
      <c r="L36" s="17"/>
      <c r="M36" s="19"/>
      <c r="N36" s="17"/>
      <c r="O36" s="20" t="str">
        <f aca="false">IF(A36="","",IF(COUNTIF(Evidence_Index!$A$5:$A$204,B36)=0,"EV-ID not in index",IF(OR(E36="",I36=""),"Completeness and accuracy procedures needed",IF(AND(N36="Pass",H36&lt;&gt;0),"Pass requires counts to agree (or explain)",IF(AND(N36="Pass",OR(K36&lt;&gt;"Y",J36="")),"Pass requires parameter evidence and traced records","OK")))))</f>
        <v/>
      </c>
    </row>
    <row r="37" customFormat="false" ht="15" hidden="false" customHeight="false" outlineLevel="0" collapsed="false">
      <c r="A37" s="17"/>
      <c r="B37" s="17"/>
      <c r="C37" s="20" t="str">
        <f aca="false">IFERROR(INDEX(Evidence_Index!$F$5:$F$204,MATCH(B37,Evidence_Index!$A$5:$A$204,0)),"")</f>
        <v/>
      </c>
      <c r="D37" s="20" t="str">
        <f aca="false">IFERROR(INDEX(Evidence_Index!$M$5:$M$204,MATCH(B37,Evidence_Index!$A$5:$A$204,0)),"")</f>
        <v/>
      </c>
      <c r="E37" s="17"/>
      <c r="F37" s="17"/>
      <c r="G37" s="17"/>
      <c r="H37" s="20" t="str">
        <f aca="false">IF(OR(D37="",G37=""),"",D37-G37)</f>
        <v/>
      </c>
      <c r="I37" s="17"/>
      <c r="J37" s="17"/>
      <c r="K37" s="17"/>
      <c r="L37" s="17"/>
      <c r="M37" s="19"/>
      <c r="N37" s="17"/>
      <c r="O37" s="20" t="str">
        <f aca="false">IF(A37="","",IF(COUNTIF(Evidence_Index!$A$5:$A$204,B37)=0,"EV-ID not in index",IF(OR(E37="",I37=""),"Completeness and accuracy procedures needed",IF(AND(N37="Pass",H37&lt;&gt;0),"Pass requires counts to agree (or explain)",IF(AND(N37="Pass",OR(K37&lt;&gt;"Y",J37="")),"Pass requires parameter evidence and traced records","OK")))))</f>
        <v/>
      </c>
    </row>
    <row r="38" customFormat="false" ht="15" hidden="false" customHeight="false" outlineLevel="0" collapsed="false">
      <c r="A38" s="17"/>
      <c r="B38" s="17"/>
      <c r="C38" s="20" t="str">
        <f aca="false">IFERROR(INDEX(Evidence_Index!$F$5:$F$204,MATCH(B38,Evidence_Index!$A$5:$A$204,0)),"")</f>
        <v/>
      </c>
      <c r="D38" s="20" t="str">
        <f aca="false">IFERROR(INDEX(Evidence_Index!$M$5:$M$204,MATCH(B38,Evidence_Index!$A$5:$A$204,0)),"")</f>
        <v/>
      </c>
      <c r="E38" s="17"/>
      <c r="F38" s="17"/>
      <c r="G38" s="17"/>
      <c r="H38" s="20" t="str">
        <f aca="false">IF(OR(D38="",G38=""),"",D38-G38)</f>
        <v/>
      </c>
      <c r="I38" s="17"/>
      <c r="J38" s="17"/>
      <c r="K38" s="17"/>
      <c r="L38" s="17"/>
      <c r="M38" s="19"/>
      <c r="N38" s="17"/>
      <c r="O38" s="20" t="str">
        <f aca="false">IF(A38="","",IF(COUNTIF(Evidence_Index!$A$5:$A$204,B38)=0,"EV-ID not in index",IF(OR(E38="",I38=""),"Completeness and accuracy procedures needed",IF(AND(N38="Pass",H38&lt;&gt;0),"Pass requires counts to agree (or explain)",IF(AND(N38="Pass",OR(K38&lt;&gt;"Y",J38="")),"Pass requires parameter evidence and traced records","OK")))))</f>
        <v/>
      </c>
    </row>
    <row r="39" customFormat="false" ht="15" hidden="false" customHeight="false" outlineLevel="0" collapsed="false">
      <c r="A39" s="17"/>
      <c r="B39" s="17"/>
      <c r="C39" s="20" t="str">
        <f aca="false">IFERROR(INDEX(Evidence_Index!$F$5:$F$204,MATCH(B39,Evidence_Index!$A$5:$A$204,0)),"")</f>
        <v/>
      </c>
      <c r="D39" s="20" t="str">
        <f aca="false">IFERROR(INDEX(Evidence_Index!$M$5:$M$204,MATCH(B39,Evidence_Index!$A$5:$A$204,0)),"")</f>
        <v/>
      </c>
      <c r="E39" s="17"/>
      <c r="F39" s="17"/>
      <c r="G39" s="17"/>
      <c r="H39" s="20" t="str">
        <f aca="false">IF(OR(D39="",G39=""),"",D39-G39)</f>
        <v/>
      </c>
      <c r="I39" s="17"/>
      <c r="J39" s="17"/>
      <c r="K39" s="17"/>
      <c r="L39" s="17"/>
      <c r="M39" s="19"/>
      <c r="N39" s="17"/>
      <c r="O39" s="20" t="str">
        <f aca="false">IF(A39="","",IF(COUNTIF(Evidence_Index!$A$5:$A$204,B39)=0,"EV-ID not in index",IF(OR(E39="",I39=""),"Completeness and accuracy procedures needed",IF(AND(N39="Pass",H39&lt;&gt;0),"Pass requires counts to agree (or explain)",IF(AND(N39="Pass",OR(K39&lt;&gt;"Y",J39="")),"Pass requires parameter evidence and traced records","OK")))))</f>
        <v/>
      </c>
    </row>
    <row r="40" customFormat="false" ht="15" hidden="false" customHeight="false" outlineLevel="0" collapsed="false">
      <c r="A40" s="17"/>
      <c r="B40" s="17"/>
      <c r="C40" s="20" t="str">
        <f aca="false">IFERROR(INDEX(Evidence_Index!$F$5:$F$204,MATCH(B40,Evidence_Index!$A$5:$A$204,0)),"")</f>
        <v/>
      </c>
      <c r="D40" s="20" t="str">
        <f aca="false">IFERROR(INDEX(Evidence_Index!$M$5:$M$204,MATCH(B40,Evidence_Index!$A$5:$A$204,0)),"")</f>
        <v/>
      </c>
      <c r="E40" s="17"/>
      <c r="F40" s="17"/>
      <c r="G40" s="17"/>
      <c r="H40" s="20" t="str">
        <f aca="false">IF(OR(D40="",G40=""),"",D40-G40)</f>
        <v/>
      </c>
      <c r="I40" s="17"/>
      <c r="J40" s="17"/>
      <c r="K40" s="17"/>
      <c r="L40" s="17"/>
      <c r="M40" s="19"/>
      <c r="N40" s="17"/>
      <c r="O40" s="20" t="str">
        <f aca="false">IF(A40="","",IF(COUNTIF(Evidence_Index!$A$5:$A$204,B40)=0,"EV-ID not in index",IF(OR(E40="",I40=""),"Completeness and accuracy procedures needed",IF(AND(N40="Pass",H40&lt;&gt;0),"Pass requires counts to agree (or explain)",IF(AND(N40="Pass",OR(K40&lt;&gt;"Y",J40="")),"Pass requires parameter evidence and traced records","OK")))))</f>
        <v/>
      </c>
    </row>
    <row r="41" customFormat="false" ht="15" hidden="false" customHeight="false" outlineLevel="0" collapsed="false">
      <c r="A41" s="17"/>
      <c r="B41" s="17"/>
      <c r="C41" s="20" t="str">
        <f aca="false">IFERROR(INDEX(Evidence_Index!$F$5:$F$204,MATCH(B41,Evidence_Index!$A$5:$A$204,0)),"")</f>
        <v/>
      </c>
      <c r="D41" s="20" t="str">
        <f aca="false">IFERROR(INDEX(Evidence_Index!$M$5:$M$204,MATCH(B41,Evidence_Index!$A$5:$A$204,0)),"")</f>
        <v/>
      </c>
      <c r="E41" s="17"/>
      <c r="F41" s="17"/>
      <c r="G41" s="17"/>
      <c r="H41" s="20" t="str">
        <f aca="false">IF(OR(D41="",G41=""),"",D41-G41)</f>
        <v/>
      </c>
      <c r="I41" s="17"/>
      <c r="J41" s="17"/>
      <c r="K41" s="17"/>
      <c r="L41" s="17"/>
      <c r="M41" s="19"/>
      <c r="N41" s="17"/>
      <c r="O41" s="20" t="str">
        <f aca="false">IF(A41="","",IF(COUNTIF(Evidence_Index!$A$5:$A$204,B41)=0,"EV-ID not in index",IF(OR(E41="",I41=""),"Completeness and accuracy procedures needed",IF(AND(N41="Pass",H41&lt;&gt;0),"Pass requires counts to agree (or explain)",IF(AND(N41="Pass",OR(K41&lt;&gt;"Y",J41="")),"Pass requires parameter evidence and traced records","OK")))))</f>
        <v/>
      </c>
    </row>
    <row r="42" customFormat="false" ht="15" hidden="false" customHeight="false" outlineLevel="0" collapsed="false">
      <c r="A42" s="17"/>
      <c r="B42" s="17"/>
      <c r="C42" s="20" t="str">
        <f aca="false">IFERROR(INDEX(Evidence_Index!$F$5:$F$204,MATCH(B42,Evidence_Index!$A$5:$A$204,0)),"")</f>
        <v/>
      </c>
      <c r="D42" s="20" t="str">
        <f aca="false">IFERROR(INDEX(Evidence_Index!$M$5:$M$204,MATCH(B42,Evidence_Index!$A$5:$A$204,0)),"")</f>
        <v/>
      </c>
      <c r="E42" s="17"/>
      <c r="F42" s="17"/>
      <c r="G42" s="17"/>
      <c r="H42" s="20" t="str">
        <f aca="false">IF(OR(D42="",G42=""),"",D42-G42)</f>
        <v/>
      </c>
      <c r="I42" s="17"/>
      <c r="J42" s="17"/>
      <c r="K42" s="17"/>
      <c r="L42" s="17"/>
      <c r="M42" s="19"/>
      <c r="N42" s="17"/>
      <c r="O42" s="20" t="str">
        <f aca="false">IF(A42="","",IF(COUNTIF(Evidence_Index!$A$5:$A$204,B42)=0,"EV-ID not in index",IF(OR(E42="",I42=""),"Completeness and accuracy procedures needed",IF(AND(N42="Pass",H42&lt;&gt;0),"Pass requires counts to agree (or explain)",IF(AND(N42="Pass",OR(K42&lt;&gt;"Y",J42="")),"Pass requires parameter evidence and traced records","OK")))))</f>
        <v/>
      </c>
    </row>
    <row r="43" customFormat="false" ht="15" hidden="false" customHeight="false" outlineLevel="0" collapsed="false">
      <c r="A43" s="17"/>
      <c r="B43" s="17"/>
      <c r="C43" s="20" t="str">
        <f aca="false">IFERROR(INDEX(Evidence_Index!$F$5:$F$204,MATCH(B43,Evidence_Index!$A$5:$A$204,0)),"")</f>
        <v/>
      </c>
      <c r="D43" s="20" t="str">
        <f aca="false">IFERROR(INDEX(Evidence_Index!$M$5:$M$204,MATCH(B43,Evidence_Index!$A$5:$A$204,0)),"")</f>
        <v/>
      </c>
      <c r="E43" s="17"/>
      <c r="F43" s="17"/>
      <c r="G43" s="17"/>
      <c r="H43" s="20" t="str">
        <f aca="false">IF(OR(D43="",G43=""),"",D43-G43)</f>
        <v/>
      </c>
      <c r="I43" s="17"/>
      <c r="J43" s="17"/>
      <c r="K43" s="17"/>
      <c r="L43" s="17"/>
      <c r="M43" s="19"/>
      <c r="N43" s="17"/>
      <c r="O43" s="20" t="str">
        <f aca="false">IF(A43="","",IF(COUNTIF(Evidence_Index!$A$5:$A$204,B43)=0,"EV-ID not in index",IF(OR(E43="",I43=""),"Completeness and accuracy procedures needed",IF(AND(N43="Pass",H43&lt;&gt;0),"Pass requires counts to agree (or explain)",IF(AND(N43="Pass",OR(K43&lt;&gt;"Y",J43="")),"Pass requires parameter evidence and traced records","OK")))))</f>
        <v/>
      </c>
    </row>
    <row r="44" customFormat="false" ht="15" hidden="false" customHeight="false" outlineLevel="0" collapsed="false">
      <c r="A44" s="17"/>
      <c r="B44" s="17"/>
      <c r="C44" s="20" t="str">
        <f aca="false">IFERROR(INDEX(Evidence_Index!$F$5:$F$204,MATCH(B44,Evidence_Index!$A$5:$A$204,0)),"")</f>
        <v/>
      </c>
      <c r="D44" s="20" t="str">
        <f aca="false">IFERROR(INDEX(Evidence_Index!$M$5:$M$204,MATCH(B44,Evidence_Index!$A$5:$A$204,0)),"")</f>
        <v/>
      </c>
      <c r="E44" s="17"/>
      <c r="F44" s="17"/>
      <c r="G44" s="17"/>
      <c r="H44" s="20" t="str">
        <f aca="false">IF(OR(D44="",G44=""),"",D44-G44)</f>
        <v/>
      </c>
      <c r="I44" s="17"/>
      <c r="J44" s="17"/>
      <c r="K44" s="17"/>
      <c r="L44" s="17"/>
      <c r="M44" s="19"/>
      <c r="N44" s="17"/>
      <c r="O44" s="20" t="str">
        <f aca="false">IF(A44="","",IF(COUNTIF(Evidence_Index!$A$5:$A$204,B44)=0,"EV-ID not in index",IF(OR(E44="",I44=""),"Completeness and accuracy procedures needed",IF(AND(N44="Pass",H44&lt;&gt;0),"Pass requires counts to agree (or explain)",IF(AND(N44="Pass",OR(K44&lt;&gt;"Y",J44="")),"Pass requires parameter evidence and traced records","OK")))))</f>
        <v/>
      </c>
    </row>
    <row r="45" customFormat="false" ht="15" hidden="false" customHeight="false" outlineLevel="0" collapsed="false">
      <c r="A45" s="17"/>
      <c r="B45" s="17"/>
      <c r="C45" s="20" t="str">
        <f aca="false">IFERROR(INDEX(Evidence_Index!$F$5:$F$204,MATCH(B45,Evidence_Index!$A$5:$A$204,0)),"")</f>
        <v/>
      </c>
      <c r="D45" s="20" t="str">
        <f aca="false">IFERROR(INDEX(Evidence_Index!$M$5:$M$204,MATCH(B45,Evidence_Index!$A$5:$A$204,0)),"")</f>
        <v/>
      </c>
      <c r="E45" s="17"/>
      <c r="F45" s="17"/>
      <c r="G45" s="17"/>
      <c r="H45" s="20" t="str">
        <f aca="false">IF(OR(D45="",G45=""),"",D45-G45)</f>
        <v/>
      </c>
      <c r="I45" s="17"/>
      <c r="J45" s="17"/>
      <c r="K45" s="17"/>
      <c r="L45" s="17"/>
      <c r="M45" s="19"/>
      <c r="N45" s="17"/>
      <c r="O45" s="20" t="str">
        <f aca="false">IF(A45="","",IF(COUNTIF(Evidence_Index!$A$5:$A$204,B45)=0,"EV-ID not in index",IF(OR(E45="",I45=""),"Completeness and accuracy procedures needed",IF(AND(N45="Pass",H45&lt;&gt;0),"Pass requires counts to agree (or explain)",IF(AND(N45="Pass",OR(K45&lt;&gt;"Y",J45="")),"Pass requires parameter evidence and traced records","OK")))))</f>
        <v/>
      </c>
    </row>
    <row r="46" customFormat="false" ht="15" hidden="false" customHeight="false" outlineLevel="0" collapsed="false">
      <c r="A46" s="17"/>
      <c r="B46" s="17"/>
      <c r="C46" s="20" t="str">
        <f aca="false">IFERROR(INDEX(Evidence_Index!$F$5:$F$204,MATCH(B46,Evidence_Index!$A$5:$A$204,0)),"")</f>
        <v/>
      </c>
      <c r="D46" s="20" t="str">
        <f aca="false">IFERROR(INDEX(Evidence_Index!$M$5:$M$204,MATCH(B46,Evidence_Index!$A$5:$A$204,0)),"")</f>
        <v/>
      </c>
      <c r="E46" s="17"/>
      <c r="F46" s="17"/>
      <c r="G46" s="17"/>
      <c r="H46" s="20" t="str">
        <f aca="false">IF(OR(D46="",G46=""),"",D46-G46)</f>
        <v/>
      </c>
      <c r="I46" s="17"/>
      <c r="J46" s="17"/>
      <c r="K46" s="17"/>
      <c r="L46" s="17"/>
      <c r="M46" s="19"/>
      <c r="N46" s="17"/>
      <c r="O46" s="20" t="str">
        <f aca="false">IF(A46="","",IF(COUNTIF(Evidence_Index!$A$5:$A$204,B46)=0,"EV-ID not in index",IF(OR(E46="",I46=""),"Completeness and accuracy procedures needed",IF(AND(N46="Pass",H46&lt;&gt;0),"Pass requires counts to agree (or explain)",IF(AND(N46="Pass",OR(K46&lt;&gt;"Y",J46="")),"Pass requires parameter evidence and traced records","OK")))))</f>
        <v/>
      </c>
    </row>
    <row r="47" customFormat="false" ht="15" hidden="false" customHeight="false" outlineLevel="0" collapsed="false">
      <c r="A47" s="17"/>
      <c r="B47" s="17"/>
      <c r="C47" s="20" t="str">
        <f aca="false">IFERROR(INDEX(Evidence_Index!$F$5:$F$204,MATCH(B47,Evidence_Index!$A$5:$A$204,0)),"")</f>
        <v/>
      </c>
      <c r="D47" s="20" t="str">
        <f aca="false">IFERROR(INDEX(Evidence_Index!$M$5:$M$204,MATCH(B47,Evidence_Index!$A$5:$A$204,0)),"")</f>
        <v/>
      </c>
      <c r="E47" s="17"/>
      <c r="F47" s="17"/>
      <c r="G47" s="17"/>
      <c r="H47" s="20" t="str">
        <f aca="false">IF(OR(D47="",G47=""),"",D47-G47)</f>
        <v/>
      </c>
      <c r="I47" s="17"/>
      <c r="J47" s="17"/>
      <c r="K47" s="17"/>
      <c r="L47" s="17"/>
      <c r="M47" s="19"/>
      <c r="N47" s="17"/>
      <c r="O47" s="20" t="str">
        <f aca="false">IF(A47="","",IF(COUNTIF(Evidence_Index!$A$5:$A$204,B47)=0,"EV-ID not in index",IF(OR(E47="",I47=""),"Completeness and accuracy procedures needed",IF(AND(N47="Pass",H47&lt;&gt;0),"Pass requires counts to agree (or explain)",IF(AND(N47="Pass",OR(K47&lt;&gt;"Y",J47="")),"Pass requires parameter evidence and traced records","OK")))))</f>
        <v/>
      </c>
    </row>
    <row r="48" customFormat="false" ht="15" hidden="false" customHeight="false" outlineLevel="0" collapsed="false">
      <c r="A48" s="17"/>
      <c r="B48" s="17"/>
      <c r="C48" s="20" t="str">
        <f aca="false">IFERROR(INDEX(Evidence_Index!$F$5:$F$204,MATCH(B48,Evidence_Index!$A$5:$A$204,0)),"")</f>
        <v/>
      </c>
      <c r="D48" s="20" t="str">
        <f aca="false">IFERROR(INDEX(Evidence_Index!$M$5:$M$204,MATCH(B48,Evidence_Index!$A$5:$A$204,0)),"")</f>
        <v/>
      </c>
      <c r="E48" s="17"/>
      <c r="F48" s="17"/>
      <c r="G48" s="17"/>
      <c r="H48" s="20" t="str">
        <f aca="false">IF(OR(D48="",G48=""),"",D48-G48)</f>
        <v/>
      </c>
      <c r="I48" s="17"/>
      <c r="J48" s="17"/>
      <c r="K48" s="17"/>
      <c r="L48" s="17"/>
      <c r="M48" s="19"/>
      <c r="N48" s="17"/>
      <c r="O48" s="20" t="str">
        <f aca="false">IF(A48="","",IF(COUNTIF(Evidence_Index!$A$5:$A$204,B48)=0,"EV-ID not in index",IF(OR(E48="",I48=""),"Completeness and accuracy procedures needed",IF(AND(N48="Pass",H48&lt;&gt;0),"Pass requires counts to agree (or explain)",IF(AND(N48="Pass",OR(K48&lt;&gt;"Y",J48="")),"Pass requires parameter evidence and traced records","OK")))))</f>
        <v/>
      </c>
    </row>
    <row r="49" customFormat="false" ht="15" hidden="false" customHeight="false" outlineLevel="0" collapsed="false">
      <c r="A49" s="17"/>
      <c r="B49" s="17"/>
      <c r="C49" s="20" t="str">
        <f aca="false">IFERROR(INDEX(Evidence_Index!$F$5:$F$204,MATCH(B49,Evidence_Index!$A$5:$A$204,0)),"")</f>
        <v/>
      </c>
      <c r="D49" s="20" t="str">
        <f aca="false">IFERROR(INDEX(Evidence_Index!$M$5:$M$204,MATCH(B49,Evidence_Index!$A$5:$A$204,0)),"")</f>
        <v/>
      </c>
      <c r="E49" s="17"/>
      <c r="F49" s="17"/>
      <c r="G49" s="17"/>
      <c r="H49" s="20" t="str">
        <f aca="false">IF(OR(D49="",G49=""),"",D49-G49)</f>
        <v/>
      </c>
      <c r="I49" s="17"/>
      <c r="J49" s="17"/>
      <c r="K49" s="17"/>
      <c r="L49" s="17"/>
      <c r="M49" s="19"/>
      <c r="N49" s="17"/>
      <c r="O49" s="20" t="str">
        <f aca="false">IF(A49="","",IF(COUNTIF(Evidence_Index!$A$5:$A$204,B49)=0,"EV-ID not in index",IF(OR(E49="",I49=""),"Completeness and accuracy procedures needed",IF(AND(N49="Pass",H49&lt;&gt;0),"Pass requires counts to agree (or explain)",IF(AND(N49="Pass",OR(K49&lt;&gt;"Y",J49="")),"Pass requires parameter evidence and traced records","OK")))))</f>
        <v/>
      </c>
    </row>
    <row r="50" customFormat="false" ht="15" hidden="false" customHeight="false" outlineLevel="0" collapsed="false">
      <c r="A50" s="17"/>
      <c r="B50" s="17"/>
      <c r="C50" s="20" t="str">
        <f aca="false">IFERROR(INDEX(Evidence_Index!$F$5:$F$204,MATCH(B50,Evidence_Index!$A$5:$A$204,0)),"")</f>
        <v/>
      </c>
      <c r="D50" s="20" t="str">
        <f aca="false">IFERROR(INDEX(Evidence_Index!$M$5:$M$204,MATCH(B50,Evidence_Index!$A$5:$A$204,0)),"")</f>
        <v/>
      </c>
      <c r="E50" s="17"/>
      <c r="F50" s="17"/>
      <c r="G50" s="17"/>
      <c r="H50" s="20" t="str">
        <f aca="false">IF(OR(D50="",G50=""),"",D50-G50)</f>
        <v/>
      </c>
      <c r="I50" s="17"/>
      <c r="J50" s="17"/>
      <c r="K50" s="17"/>
      <c r="L50" s="17"/>
      <c r="M50" s="19"/>
      <c r="N50" s="17"/>
      <c r="O50" s="20" t="str">
        <f aca="false">IF(A50="","",IF(COUNTIF(Evidence_Index!$A$5:$A$204,B50)=0,"EV-ID not in index",IF(OR(E50="",I50=""),"Completeness and accuracy procedures needed",IF(AND(N50="Pass",H50&lt;&gt;0),"Pass requires counts to agree (or explain)",IF(AND(N50="Pass",OR(K50&lt;&gt;"Y",J50="")),"Pass requires parameter evidence and traced records","OK")))))</f>
        <v/>
      </c>
    </row>
    <row r="51" customFormat="false" ht="15" hidden="false" customHeight="false" outlineLevel="0" collapsed="false">
      <c r="A51" s="17"/>
      <c r="B51" s="17"/>
      <c r="C51" s="20" t="str">
        <f aca="false">IFERROR(INDEX(Evidence_Index!$F$5:$F$204,MATCH(B51,Evidence_Index!$A$5:$A$204,0)),"")</f>
        <v/>
      </c>
      <c r="D51" s="20" t="str">
        <f aca="false">IFERROR(INDEX(Evidence_Index!$M$5:$M$204,MATCH(B51,Evidence_Index!$A$5:$A$204,0)),"")</f>
        <v/>
      </c>
      <c r="E51" s="17"/>
      <c r="F51" s="17"/>
      <c r="G51" s="17"/>
      <c r="H51" s="20" t="str">
        <f aca="false">IF(OR(D51="",G51=""),"",D51-G51)</f>
        <v/>
      </c>
      <c r="I51" s="17"/>
      <c r="J51" s="17"/>
      <c r="K51" s="17"/>
      <c r="L51" s="17"/>
      <c r="M51" s="19"/>
      <c r="N51" s="17"/>
      <c r="O51" s="20" t="str">
        <f aca="false">IF(A51="","",IF(COUNTIF(Evidence_Index!$A$5:$A$204,B51)=0,"EV-ID not in index",IF(OR(E51="",I51=""),"Completeness and accuracy procedures needed",IF(AND(N51="Pass",H51&lt;&gt;0),"Pass requires counts to agree (or explain)",IF(AND(N51="Pass",OR(K51&lt;&gt;"Y",J51="")),"Pass requires parameter evidence and traced records","OK")))))</f>
        <v/>
      </c>
    </row>
    <row r="52" customFormat="false" ht="15" hidden="false" customHeight="false" outlineLevel="0" collapsed="false">
      <c r="A52" s="17"/>
      <c r="B52" s="17"/>
      <c r="C52" s="20" t="str">
        <f aca="false">IFERROR(INDEX(Evidence_Index!$F$5:$F$204,MATCH(B52,Evidence_Index!$A$5:$A$204,0)),"")</f>
        <v/>
      </c>
      <c r="D52" s="20" t="str">
        <f aca="false">IFERROR(INDEX(Evidence_Index!$M$5:$M$204,MATCH(B52,Evidence_Index!$A$5:$A$204,0)),"")</f>
        <v/>
      </c>
      <c r="E52" s="17"/>
      <c r="F52" s="17"/>
      <c r="G52" s="17"/>
      <c r="H52" s="20" t="str">
        <f aca="false">IF(OR(D52="",G52=""),"",D52-G52)</f>
        <v/>
      </c>
      <c r="I52" s="17"/>
      <c r="J52" s="17"/>
      <c r="K52" s="17"/>
      <c r="L52" s="17"/>
      <c r="M52" s="19"/>
      <c r="N52" s="17"/>
      <c r="O52" s="20" t="str">
        <f aca="false">IF(A52="","",IF(COUNTIF(Evidence_Index!$A$5:$A$204,B52)=0,"EV-ID not in index",IF(OR(E52="",I52=""),"Completeness and accuracy procedures needed",IF(AND(N52="Pass",H52&lt;&gt;0),"Pass requires counts to agree (or explain)",IF(AND(N52="Pass",OR(K52&lt;&gt;"Y",J52="")),"Pass requires parameter evidence and traced records","OK")))))</f>
        <v/>
      </c>
    </row>
    <row r="53" customFormat="false" ht="15" hidden="false" customHeight="false" outlineLevel="0" collapsed="false">
      <c r="A53" s="17"/>
      <c r="B53" s="17"/>
      <c r="C53" s="20" t="str">
        <f aca="false">IFERROR(INDEX(Evidence_Index!$F$5:$F$204,MATCH(B53,Evidence_Index!$A$5:$A$204,0)),"")</f>
        <v/>
      </c>
      <c r="D53" s="20" t="str">
        <f aca="false">IFERROR(INDEX(Evidence_Index!$M$5:$M$204,MATCH(B53,Evidence_Index!$A$5:$A$204,0)),"")</f>
        <v/>
      </c>
      <c r="E53" s="17"/>
      <c r="F53" s="17"/>
      <c r="G53" s="17"/>
      <c r="H53" s="20" t="str">
        <f aca="false">IF(OR(D53="",G53=""),"",D53-G53)</f>
        <v/>
      </c>
      <c r="I53" s="17"/>
      <c r="J53" s="17"/>
      <c r="K53" s="17"/>
      <c r="L53" s="17"/>
      <c r="M53" s="19"/>
      <c r="N53" s="17"/>
      <c r="O53" s="20" t="str">
        <f aca="false">IF(A53="","",IF(COUNTIF(Evidence_Index!$A$5:$A$204,B53)=0,"EV-ID not in index",IF(OR(E53="",I53=""),"Completeness and accuracy procedures needed",IF(AND(N53="Pass",H53&lt;&gt;0),"Pass requires counts to agree (or explain)",IF(AND(N53="Pass",OR(K53&lt;&gt;"Y",J53="")),"Pass requires parameter evidence and traced records","OK")))))</f>
        <v/>
      </c>
    </row>
    <row r="54" customFormat="false" ht="15" hidden="false" customHeight="false" outlineLevel="0" collapsed="false">
      <c r="A54" s="17"/>
      <c r="B54" s="17"/>
      <c r="C54" s="20" t="str">
        <f aca="false">IFERROR(INDEX(Evidence_Index!$F$5:$F$204,MATCH(B54,Evidence_Index!$A$5:$A$204,0)),"")</f>
        <v/>
      </c>
      <c r="D54" s="20" t="str">
        <f aca="false">IFERROR(INDEX(Evidence_Index!$M$5:$M$204,MATCH(B54,Evidence_Index!$A$5:$A$204,0)),"")</f>
        <v/>
      </c>
      <c r="E54" s="17"/>
      <c r="F54" s="17"/>
      <c r="G54" s="17"/>
      <c r="H54" s="20" t="str">
        <f aca="false">IF(OR(D54="",G54=""),"",D54-G54)</f>
        <v/>
      </c>
      <c r="I54" s="17"/>
      <c r="J54" s="17"/>
      <c r="K54" s="17"/>
      <c r="L54" s="17"/>
      <c r="M54" s="19"/>
      <c r="N54" s="17"/>
      <c r="O54" s="20" t="str">
        <f aca="false">IF(A54="","",IF(COUNTIF(Evidence_Index!$A$5:$A$204,B54)=0,"EV-ID not in index",IF(OR(E54="",I54=""),"Completeness and accuracy procedures needed",IF(AND(N54="Pass",H54&lt;&gt;0),"Pass requires counts to agree (or explain)",IF(AND(N54="Pass",OR(K54&lt;&gt;"Y",J54="")),"Pass requires parameter evidence and traced records","OK")))))</f>
        <v/>
      </c>
    </row>
    <row r="55" customFormat="false" ht="15" hidden="false" customHeight="false" outlineLevel="0" collapsed="false">
      <c r="A55" s="17"/>
      <c r="B55" s="17"/>
      <c r="C55" s="20" t="str">
        <f aca="false">IFERROR(INDEX(Evidence_Index!$F$5:$F$204,MATCH(B55,Evidence_Index!$A$5:$A$204,0)),"")</f>
        <v/>
      </c>
      <c r="D55" s="20" t="str">
        <f aca="false">IFERROR(INDEX(Evidence_Index!$M$5:$M$204,MATCH(B55,Evidence_Index!$A$5:$A$204,0)),"")</f>
        <v/>
      </c>
      <c r="E55" s="17"/>
      <c r="F55" s="17"/>
      <c r="G55" s="17"/>
      <c r="H55" s="20" t="str">
        <f aca="false">IF(OR(D55="",G55=""),"",D55-G55)</f>
        <v/>
      </c>
      <c r="I55" s="17"/>
      <c r="J55" s="17"/>
      <c r="K55" s="17"/>
      <c r="L55" s="17"/>
      <c r="M55" s="19"/>
      <c r="N55" s="17"/>
      <c r="O55" s="20" t="str">
        <f aca="false">IF(A55="","",IF(COUNTIF(Evidence_Index!$A$5:$A$204,B55)=0,"EV-ID not in index",IF(OR(E55="",I55=""),"Completeness and accuracy procedures needed",IF(AND(N55="Pass",H55&lt;&gt;0),"Pass requires counts to agree (or explain)",IF(AND(N55="Pass",OR(K55&lt;&gt;"Y",J55="")),"Pass requires parameter evidence and traced records","OK")))))</f>
        <v/>
      </c>
    </row>
    <row r="56" customFormat="false" ht="15" hidden="false" customHeight="false" outlineLevel="0" collapsed="false">
      <c r="A56" s="17"/>
      <c r="B56" s="17"/>
      <c r="C56" s="20" t="str">
        <f aca="false">IFERROR(INDEX(Evidence_Index!$F$5:$F$204,MATCH(B56,Evidence_Index!$A$5:$A$204,0)),"")</f>
        <v/>
      </c>
      <c r="D56" s="20" t="str">
        <f aca="false">IFERROR(INDEX(Evidence_Index!$M$5:$M$204,MATCH(B56,Evidence_Index!$A$5:$A$204,0)),"")</f>
        <v/>
      </c>
      <c r="E56" s="17"/>
      <c r="F56" s="17"/>
      <c r="G56" s="17"/>
      <c r="H56" s="20" t="str">
        <f aca="false">IF(OR(D56="",G56=""),"",D56-G56)</f>
        <v/>
      </c>
      <c r="I56" s="17"/>
      <c r="J56" s="17"/>
      <c r="K56" s="17"/>
      <c r="L56" s="17"/>
      <c r="M56" s="19"/>
      <c r="N56" s="17"/>
      <c r="O56" s="20" t="str">
        <f aca="false">IF(A56="","",IF(COUNTIF(Evidence_Index!$A$5:$A$204,B56)=0,"EV-ID not in index",IF(OR(E56="",I56=""),"Completeness and accuracy procedures needed",IF(AND(N56="Pass",H56&lt;&gt;0),"Pass requires counts to agree (or explain)",IF(AND(N56="Pass",OR(K56&lt;&gt;"Y",J56="")),"Pass requires parameter evidence and traced records","OK")))))</f>
        <v/>
      </c>
    </row>
    <row r="57" customFormat="false" ht="15" hidden="false" customHeight="false" outlineLevel="0" collapsed="false">
      <c r="A57" s="17"/>
      <c r="B57" s="17"/>
      <c r="C57" s="20" t="str">
        <f aca="false">IFERROR(INDEX(Evidence_Index!$F$5:$F$204,MATCH(B57,Evidence_Index!$A$5:$A$204,0)),"")</f>
        <v/>
      </c>
      <c r="D57" s="20" t="str">
        <f aca="false">IFERROR(INDEX(Evidence_Index!$M$5:$M$204,MATCH(B57,Evidence_Index!$A$5:$A$204,0)),"")</f>
        <v/>
      </c>
      <c r="E57" s="17"/>
      <c r="F57" s="17"/>
      <c r="G57" s="17"/>
      <c r="H57" s="20" t="str">
        <f aca="false">IF(OR(D57="",G57=""),"",D57-G57)</f>
        <v/>
      </c>
      <c r="I57" s="17"/>
      <c r="J57" s="17"/>
      <c r="K57" s="17"/>
      <c r="L57" s="17"/>
      <c r="M57" s="19"/>
      <c r="N57" s="17"/>
      <c r="O57" s="20" t="str">
        <f aca="false">IF(A57="","",IF(COUNTIF(Evidence_Index!$A$5:$A$204,B57)=0,"EV-ID not in index",IF(OR(E57="",I57=""),"Completeness and accuracy procedures needed",IF(AND(N57="Pass",H57&lt;&gt;0),"Pass requires counts to agree (or explain)",IF(AND(N57="Pass",OR(K57&lt;&gt;"Y",J57="")),"Pass requires parameter evidence and traced records","OK")))))</f>
        <v/>
      </c>
    </row>
    <row r="58" customFormat="false" ht="15" hidden="false" customHeight="false" outlineLevel="0" collapsed="false">
      <c r="A58" s="17"/>
      <c r="B58" s="17"/>
      <c r="C58" s="20" t="str">
        <f aca="false">IFERROR(INDEX(Evidence_Index!$F$5:$F$204,MATCH(B58,Evidence_Index!$A$5:$A$204,0)),"")</f>
        <v/>
      </c>
      <c r="D58" s="20" t="str">
        <f aca="false">IFERROR(INDEX(Evidence_Index!$M$5:$M$204,MATCH(B58,Evidence_Index!$A$5:$A$204,0)),"")</f>
        <v/>
      </c>
      <c r="E58" s="17"/>
      <c r="F58" s="17"/>
      <c r="G58" s="17"/>
      <c r="H58" s="20" t="str">
        <f aca="false">IF(OR(D58="",G58=""),"",D58-G58)</f>
        <v/>
      </c>
      <c r="I58" s="17"/>
      <c r="J58" s="17"/>
      <c r="K58" s="17"/>
      <c r="L58" s="17"/>
      <c r="M58" s="19"/>
      <c r="N58" s="17"/>
      <c r="O58" s="20" t="str">
        <f aca="false">IF(A58="","",IF(COUNTIF(Evidence_Index!$A$5:$A$204,B58)=0,"EV-ID not in index",IF(OR(E58="",I58=""),"Completeness and accuracy procedures needed",IF(AND(N58="Pass",H58&lt;&gt;0),"Pass requires counts to agree (or explain)",IF(AND(N58="Pass",OR(K58&lt;&gt;"Y",J58="")),"Pass requires parameter evidence and traced records","OK")))))</f>
        <v/>
      </c>
    </row>
    <row r="59" customFormat="false" ht="15" hidden="false" customHeight="false" outlineLevel="0" collapsed="false">
      <c r="A59" s="17"/>
      <c r="B59" s="17"/>
      <c r="C59" s="20" t="str">
        <f aca="false">IFERROR(INDEX(Evidence_Index!$F$5:$F$204,MATCH(B59,Evidence_Index!$A$5:$A$204,0)),"")</f>
        <v/>
      </c>
      <c r="D59" s="20" t="str">
        <f aca="false">IFERROR(INDEX(Evidence_Index!$M$5:$M$204,MATCH(B59,Evidence_Index!$A$5:$A$204,0)),"")</f>
        <v/>
      </c>
      <c r="E59" s="17"/>
      <c r="F59" s="17"/>
      <c r="G59" s="17"/>
      <c r="H59" s="20" t="str">
        <f aca="false">IF(OR(D59="",G59=""),"",D59-G59)</f>
        <v/>
      </c>
      <c r="I59" s="17"/>
      <c r="J59" s="17"/>
      <c r="K59" s="17"/>
      <c r="L59" s="17"/>
      <c r="M59" s="19"/>
      <c r="N59" s="17"/>
      <c r="O59" s="20" t="str">
        <f aca="false">IF(A59="","",IF(COUNTIF(Evidence_Index!$A$5:$A$204,B59)=0,"EV-ID not in index",IF(OR(E59="",I59=""),"Completeness and accuracy procedures needed",IF(AND(N59="Pass",H59&lt;&gt;0),"Pass requires counts to agree (or explain)",IF(AND(N59="Pass",OR(K59&lt;&gt;"Y",J59="")),"Pass requires parameter evidence and traced records","OK")))))</f>
        <v/>
      </c>
    </row>
    <row r="60" customFormat="false" ht="15" hidden="false" customHeight="false" outlineLevel="0" collapsed="false">
      <c r="A60" s="17"/>
      <c r="B60" s="17"/>
      <c r="C60" s="20" t="str">
        <f aca="false">IFERROR(INDEX(Evidence_Index!$F$5:$F$204,MATCH(B60,Evidence_Index!$A$5:$A$204,0)),"")</f>
        <v/>
      </c>
      <c r="D60" s="20" t="str">
        <f aca="false">IFERROR(INDEX(Evidence_Index!$M$5:$M$204,MATCH(B60,Evidence_Index!$A$5:$A$204,0)),"")</f>
        <v/>
      </c>
      <c r="E60" s="17"/>
      <c r="F60" s="17"/>
      <c r="G60" s="17"/>
      <c r="H60" s="20" t="str">
        <f aca="false">IF(OR(D60="",G60=""),"",D60-G60)</f>
        <v/>
      </c>
      <c r="I60" s="17"/>
      <c r="J60" s="17"/>
      <c r="K60" s="17"/>
      <c r="L60" s="17"/>
      <c r="M60" s="19"/>
      <c r="N60" s="17"/>
      <c r="O60" s="20" t="str">
        <f aca="false">IF(A60="","",IF(COUNTIF(Evidence_Index!$A$5:$A$204,B60)=0,"EV-ID not in index",IF(OR(E60="",I60=""),"Completeness and accuracy procedures needed",IF(AND(N60="Pass",H60&lt;&gt;0),"Pass requires counts to agree (or explain)",IF(AND(N60="Pass",OR(K60&lt;&gt;"Y",J60="")),"Pass requires parameter evidence and traced records","OK")))))</f>
        <v/>
      </c>
    </row>
    <row r="61" customFormat="false" ht="15" hidden="false" customHeight="false" outlineLevel="0" collapsed="false">
      <c r="A61" s="17"/>
      <c r="B61" s="17"/>
      <c r="C61" s="20" t="str">
        <f aca="false">IFERROR(INDEX(Evidence_Index!$F$5:$F$204,MATCH(B61,Evidence_Index!$A$5:$A$204,0)),"")</f>
        <v/>
      </c>
      <c r="D61" s="20" t="str">
        <f aca="false">IFERROR(INDEX(Evidence_Index!$M$5:$M$204,MATCH(B61,Evidence_Index!$A$5:$A$204,0)),"")</f>
        <v/>
      </c>
      <c r="E61" s="17"/>
      <c r="F61" s="17"/>
      <c r="G61" s="17"/>
      <c r="H61" s="20" t="str">
        <f aca="false">IF(OR(D61="",G61=""),"",D61-G61)</f>
        <v/>
      </c>
      <c r="I61" s="17"/>
      <c r="J61" s="17"/>
      <c r="K61" s="17"/>
      <c r="L61" s="17"/>
      <c r="M61" s="19"/>
      <c r="N61" s="17"/>
      <c r="O61" s="20" t="str">
        <f aca="false">IF(A61="","",IF(COUNTIF(Evidence_Index!$A$5:$A$204,B61)=0,"EV-ID not in index",IF(OR(E61="",I61=""),"Completeness and accuracy procedures needed",IF(AND(N61="Pass",H61&lt;&gt;0),"Pass requires counts to agree (or explain)",IF(AND(N61="Pass",OR(K61&lt;&gt;"Y",J61="")),"Pass requires parameter evidence and traced records","OK")))))</f>
        <v/>
      </c>
    </row>
    <row r="62" customFormat="false" ht="15" hidden="false" customHeight="false" outlineLevel="0" collapsed="false">
      <c r="A62" s="17"/>
      <c r="B62" s="17"/>
      <c r="C62" s="20" t="str">
        <f aca="false">IFERROR(INDEX(Evidence_Index!$F$5:$F$204,MATCH(B62,Evidence_Index!$A$5:$A$204,0)),"")</f>
        <v/>
      </c>
      <c r="D62" s="20" t="str">
        <f aca="false">IFERROR(INDEX(Evidence_Index!$M$5:$M$204,MATCH(B62,Evidence_Index!$A$5:$A$204,0)),"")</f>
        <v/>
      </c>
      <c r="E62" s="17"/>
      <c r="F62" s="17"/>
      <c r="G62" s="17"/>
      <c r="H62" s="20" t="str">
        <f aca="false">IF(OR(D62="",G62=""),"",D62-G62)</f>
        <v/>
      </c>
      <c r="I62" s="17"/>
      <c r="J62" s="17"/>
      <c r="K62" s="17"/>
      <c r="L62" s="17"/>
      <c r="M62" s="19"/>
      <c r="N62" s="17"/>
      <c r="O62" s="20" t="str">
        <f aca="false">IF(A62="","",IF(COUNTIF(Evidence_Index!$A$5:$A$204,B62)=0,"EV-ID not in index",IF(OR(E62="",I62=""),"Completeness and accuracy procedures needed",IF(AND(N62="Pass",H62&lt;&gt;0),"Pass requires counts to agree (or explain)",IF(AND(N62="Pass",OR(K62&lt;&gt;"Y",J62="")),"Pass requires parameter evidence and traced records","OK")))))</f>
        <v/>
      </c>
    </row>
    <row r="63" customFormat="false" ht="15" hidden="false" customHeight="false" outlineLevel="0" collapsed="false">
      <c r="A63" s="17"/>
      <c r="B63" s="17"/>
      <c r="C63" s="20" t="str">
        <f aca="false">IFERROR(INDEX(Evidence_Index!$F$5:$F$204,MATCH(B63,Evidence_Index!$A$5:$A$204,0)),"")</f>
        <v/>
      </c>
      <c r="D63" s="20" t="str">
        <f aca="false">IFERROR(INDEX(Evidence_Index!$M$5:$M$204,MATCH(B63,Evidence_Index!$A$5:$A$204,0)),"")</f>
        <v/>
      </c>
      <c r="E63" s="17"/>
      <c r="F63" s="17"/>
      <c r="G63" s="17"/>
      <c r="H63" s="20" t="str">
        <f aca="false">IF(OR(D63="",G63=""),"",D63-G63)</f>
        <v/>
      </c>
      <c r="I63" s="17"/>
      <c r="J63" s="17"/>
      <c r="K63" s="17"/>
      <c r="L63" s="17"/>
      <c r="M63" s="19"/>
      <c r="N63" s="17"/>
      <c r="O63" s="20" t="str">
        <f aca="false">IF(A63="","",IF(COUNTIF(Evidence_Index!$A$5:$A$204,B63)=0,"EV-ID not in index",IF(OR(E63="",I63=""),"Completeness and accuracy procedures needed",IF(AND(N63="Pass",H63&lt;&gt;0),"Pass requires counts to agree (or explain)",IF(AND(N63="Pass",OR(K63&lt;&gt;"Y",J63="")),"Pass requires parameter evidence and traced records","OK")))))</f>
        <v/>
      </c>
    </row>
    <row r="64" customFormat="false" ht="15" hidden="false" customHeight="false" outlineLevel="0" collapsed="false">
      <c r="A64" s="17"/>
      <c r="B64" s="17"/>
      <c r="C64" s="20" t="str">
        <f aca="false">IFERROR(INDEX(Evidence_Index!$F$5:$F$204,MATCH(B64,Evidence_Index!$A$5:$A$204,0)),"")</f>
        <v/>
      </c>
      <c r="D64" s="20" t="str">
        <f aca="false">IFERROR(INDEX(Evidence_Index!$M$5:$M$204,MATCH(B64,Evidence_Index!$A$5:$A$204,0)),"")</f>
        <v/>
      </c>
      <c r="E64" s="17"/>
      <c r="F64" s="17"/>
      <c r="G64" s="17"/>
      <c r="H64" s="20" t="str">
        <f aca="false">IF(OR(D64="",G64=""),"",D64-G64)</f>
        <v/>
      </c>
      <c r="I64" s="17"/>
      <c r="J64" s="17"/>
      <c r="K64" s="17"/>
      <c r="L64" s="17"/>
      <c r="M64" s="19"/>
      <c r="N64" s="17"/>
      <c r="O64" s="20" t="str">
        <f aca="false">IF(A64="","",IF(COUNTIF(Evidence_Index!$A$5:$A$204,B64)=0,"EV-ID not in index",IF(OR(E64="",I64=""),"Completeness and accuracy procedures needed",IF(AND(N64="Pass",H64&lt;&gt;0),"Pass requires counts to agree (or explain)",IF(AND(N64="Pass",OR(K64&lt;&gt;"Y",J64="")),"Pass requires parameter evidence and traced records","OK")))))</f>
        <v/>
      </c>
    </row>
    <row r="65" customFormat="false" ht="15" hidden="false" customHeight="false" outlineLevel="0" collapsed="false">
      <c r="A65" s="17"/>
      <c r="B65" s="17"/>
      <c r="C65" s="20" t="str">
        <f aca="false">IFERROR(INDEX(Evidence_Index!$F$5:$F$204,MATCH(B65,Evidence_Index!$A$5:$A$204,0)),"")</f>
        <v/>
      </c>
      <c r="D65" s="20" t="str">
        <f aca="false">IFERROR(INDEX(Evidence_Index!$M$5:$M$204,MATCH(B65,Evidence_Index!$A$5:$A$204,0)),"")</f>
        <v/>
      </c>
      <c r="E65" s="17"/>
      <c r="F65" s="17"/>
      <c r="G65" s="17"/>
      <c r="H65" s="20" t="str">
        <f aca="false">IF(OR(D65="",G65=""),"",D65-G65)</f>
        <v/>
      </c>
      <c r="I65" s="17"/>
      <c r="J65" s="17"/>
      <c r="K65" s="17"/>
      <c r="L65" s="17"/>
      <c r="M65" s="19"/>
      <c r="N65" s="17"/>
      <c r="O65" s="20" t="str">
        <f aca="false">IF(A65="","",IF(COUNTIF(Evidence_Index!$A$5:$A$204,B65)=0,"EV-ID not in index",IF(OR(E65="",I65=""),"Completeness and accuracy procedures needed",IF(AND(N65="Pass",H65&lt;&gt;0),"Pass requires counts to agree (or explain)",IF(AND(N65="Pass",OR(K65&lt;&gt;"Y",J65="")),"Pass requires parameter evidence and traced records","OK")))))</f>
        <v/>
      </c>
    </row>
    <row r="66" customFormat="false" ht="15" hidden="false" customHeight="false" outlineLevel="0" collapsed="false">
      <c r="A66" s="17"/>
      <c r="B66" s="17"/>
      <c r="C66" s="20" t="str">
        <f aca="false">IFERROR(INDEX(Evidence_Index!$F$5:$F$204,MATCH(B66,Evidence_Index!$A$5:$A$204,0)),"")</f>
        <v/>
      </c>
      <c r="D66" s="20" t="str">
        <f aca="false">IFERROR(INDEX(Evidence_Index!$M$5:$M$204,MATCH(B66,Evidence_Index!$A$5:$A$204,0)),"")</f>
        <v/>
      </c>
      <c r="E66" s="17"/>
      <c r="F66" s="17"/>
      <c r="G66" s="17"/>
      <c r="H66" s="20" t="str">
        <f aca="false">IF(OR(D66="",G66=""),"",D66-G66)</f>
        <v/>
      </c>
      <c r="I66" s="17"/>
      <c r="J66" s="17"/>
      <c r="K66" s="17"/>
      <c r="L66" s="17"/>
      <c r="M66" s="19"/>
      <c r="N66" s="17"/>
      <c r="O66" s="20" t="str">
        <f aca="false">IF(A66="","",IF(COUNTIF(Evidence_Index!$A$5:$A$204,B66)=0,"EV-ID not in index",IF(OR(E66="",I66=""),"Completeness and accuracy procedures needed",IF(AND(N66="Pass",H66&lt;&gt;0),"Pass requires counts to agree (or explain)",IF(AND(N66="Pass",OR(K66&lt;&gt;"Y",J66="")),"Pass requires parameter evidence and traced records","OK")))))</f>
        <v/>
      </c>
    </row>
    <row r="67" customFormat="false" ht="15" hidden="false" customHeight="false" outlineLevel="0" collapsed="false">
      <c r="A67" s="17"/>
      <c r="B67" s="17"/>
      <c r="C67" s="20" t="str">
        <f aca="false">IFERROR(INDEX(Evidence_Index!$F$5:$F$204,MATCH(B67,Evidence_Index!$A$5:$A$204,0)),"")</f>
        <v/>
      </c>
      <c r="D67" s="20" t="str">
        <f aca="false">IFERROR(INDEX(Evidence_Index!$M$5:$M$204,MATCH(B67,Evidence_Index!$A$5:$A$204,0)),"")</f>
        <v/>
      </c>
      <c r="E67" s="17"/>
      <c r="F67" s="17"/>
      <c r="G67" s="17"/>
      <c r="H67" s="20" t="str">
        <f aca="false">IF(OR(D67="",G67=""),"",D67-G67)</f>
        <v/>
      </c>
      <c r="I67" s="17"/>
      <c r="J67" s="17"/>
      <c r="K67" s="17"/>
      <c r="L67" s="17"/>
      <c r="M67" s="19"/>
      <c r="N67" s="17"/>
      <c r="O67" s="20" t="str">
        <f aca="false">IF(A67="","",IF(COUNTIF(Evidence_Index!$A$5:$A$204,B67)=0,"EV-ID not in index",IF(OR(E67="",I67=""),"Completeness and accuracy procedures needed",IF(AND(N67="Pass",H67&lt;&gt;0),"Pass requires counts to agree (or explain)",IF(AND(N67="Pass",OR(K67&lt;&gt;"Y",J67="")),"Pass requires parameter evidence and traced records","OK")))))</f>
        <v/>
      </c>
    </row>
    <row r="68" customFormat="false" ht="15" hidden="false" customHeight="false" outlineLevel="0" collapsed="false">
      <c r="A68" s="17"/>
      <c r="B68" s="17"/>
      <c r="C68" s="20" t="str">
        <f aca="false">IFERROR(INDEX(Evidence_Index!$F$5:$F$204,MATCH(B68,Evidence_Index!$A$5:$A$204,0)),"")</f>
        <v/>
      </c>
      <c r="D68" s="20" t="str">
        <f aca="false">IFERROR(INDEX(Evidence_Index!$M$5:$M$204,MATCH(B68,Evidence_Index!$A$5:$A$204,0)),"")</f>
        <v/>
      </c>
      <c r="E68" s="17"/>
      <c r="F68" s="17"/>
      <c r="G68" s="17"/>
      <c r="H68" s="20" t="str">
        <f aca="false">IF(OR(D68="",G68=""),"",D68-G68)</f>
        <v/>
      </c>
      <c r="I68" s="17"/>
      <c r="J68" s="17"/>
      <c r="K68" s="17"/>
      <c r="L68" s="17"/>
      <c r="M68" s="19"/>
      <c r="N68" s="17"/>
      <c r="O68" s="20" t="str">
        <f aca="false">IF(A68="","",IF(COUNTIF(Evidence_Index!$A$5:$A$204,B68)=0,"EV-ID not in index",IF(OR(E68="",I68=""),"Completeness and accuracy procedures needed",IF(AND(N68="Pass",H68&lt;&gt;0),"Pass requires counts to agree (or explain)",IF(AND(N68="Pass",OR(K68&lt;&gt;"Y",J68="")),"Pass requires parameter evidence and traced records","OK")))))</f>
        <v/>
      </c>
    </row>
    <row r="69" customFormat="false" ht="15" hidden="false" customHeight="false" outlineLevel="0" collapsed="false">
      <c r="A69" s="17"/>
      <c r="B69" s="17"/>
      <c r="C69" s="20" t="str">
        <f aca="false">IFERROR(INDEX(Evidence_Index!$F$5:$F$204,MATCH(B69,Evidence_Index!$A$5:$A$204,0)),"")</f>
        <v/>
      </c>
      <c r="D69" s="20" t="str">
        <f aca="false">IFERROR(INDEX(Evidence_Index!$M$5:$M$204,MATCH(B69,Evidence_Index!$A$5:$A$204,0)),"")</f>
        <v/>
      </c>
      <c r="E69" s="17"/>
      <c r="F69" s="17"/>
      <c r="G69" s="17"/>
      <c r="H69" s="20" t="str">
        <f aca="false">IF(OR(D69="",G69=""),"",D69-G69)</f>
        <v/>
      </c>
      <c r="I69" s="17"/>
      <c r="J69" s="17"/>
      <c r="K69" s="17"/>
      <c r="L69" s="17"/>
      <c r="M69" s="19"/>
      <c r="N69" s="17"/>
      <c r="O69" s="20" t="str">
        <f aca="false">IF(A69="","",IF(COUNTIF(Evidence_Index!$A$5:$A$204,B69)=0,"EV-ID not in index",IF(OR(E69="",I69=""),"Completeness and accuracy procedures needed",IF(AND(N69="Pass",H69&lt;&gt;0),"Pass requires counts to agree (or explain)",IF(AND(N69="Pass",OR(K69&lt;&gt;"Y",J69="")),"Pass requires parameter evidence and traced records","OK")))))</f>
        <v/>
      </c>
    </row>
    <row r="70" customFormat="false" ht="15" hidden="false" customHeight="false" outlineLevel="0" collapsed="false">
      <c r="A70" s="17"/>
      <c r="B70" s="17"/>
      <c r="C70" s="20" t="str">
        <f aca="false">IFERROR(INDEX(Evidence_Index!$F$5:$F$204,MATCH(B70,Evidence_Index!$A$5:$A$204,0)),"")</f>
        <v/>
      </c>
      <c r="D70" s="20" t="str">
        <f aca="false">IFERROR(INDEX(Evidence_Index!$M$5:$M$204,MATCH(B70,Evidence_Index!$A$5:$A$204,0)),"")</f>
        <v/>
      </c>
      <c r="E70" s="17"/>
      <c r="F70" s="17"/>
      <c r="G70" s="17"/>
      <c r="H70" s="20" t="str">
        <f aca="false">IF(OR(D70="",G70=""),"",D70-G70)</f>
        <v/>
      </c>
      <c r="I70" s="17"/>
      <c r="J70" s="17"/>
      <c r="K70" s="17"/>
      <c r="L70" s="17"/>
      <c r="M70" s="19"/>
      <c r="N70" s="17"/>
      <c r="O70" s="20" t="str">
        <f aca="false">IF(A70="","",IF(COUNTIF(Evidence_Index!$A$5:$A$204,B70)=0,"EV-ID not in index",IF(OR(E70="",I70=""),"Completeness and accuracy procedures needed",IF(AND(N70="Pass",H70&lt;&gt;0),"Pass requires counts to agree (or explain)",IF(AND(N70="Pass",OR(K70&lt;&gt;"Y",J70="")),"Pass requires parameter evidence and traced records","OK")))))</f>
        <v/>
      </c>
    </row>
    <row r="71" customFormat="false" ht="15" hidden="false" customHeight="false" outlineLevel="0" collapsed="false">
      <c r="A71" s="17"/>
      <c r="B71" s="17"/>
      <c r="C71" s="20" t="str">
        <f aca="false">IFERROR(INDEX(Evidence_Index!$F$5:$F$204,MATCH(B71,Evidence_Index!$A$5:$A$204,0)),"")</f>
        <v/>
      </c>
      <c r="D71" s="20" t="str">
        <f aca="false">IFERROR(INDEX(Evidence_Index!$M$5:$M$204,MATCH(B71,Evidence_Index!$A$5:$A$204,0)),"")</f>
        <v/>
      </c>
      <c r="E71" s="17"/>
      <c r="F71" s="17"/>
      <c r="G71" s="17"/>
      <c r="H71" s="20" t="str">
        <f aca="false">IF(OR(D71="",G71=""),"",D71-G71)</f>
        <v/>
      </c>
      <c r="I71" s="17"/>
      <c r="J71" s="17"/>
      <c r="K71" s="17"/>
      <c r="L71" s="17"/>
      <c r="M71" s="19"/>
      <c r="N71" s="17"/>
      <c r="O71" s="20" t="str">
        <f aca="false">IF(A71="","",IF(COUNTIF(Evidence_Index!$A$5:$A$204,B71)=0,"EV-ID not in index",IF(OR(E71="",I71=""),"Completeness and accuracy procedures needed",IF(AND(N71="Pass",H71&lt;&gt;0),"Pass requires counts to agree (or explain)",IF(AND(N71="Pass",OR(K71&lt;&gt;"Y",J71="")),"Pass requires parameter evidence and traced records","OK")))))</f>
        <v/>
      </c>
    </row>
    <row r="72" customFormat="false" ht="15" hidden="false" customHeight="false" outlineLevel="0" collapsed="false">
      <c r="A72" s="17"/>
      <c r="B72" s="17"/>
      <c r="C72" s="20" t="str">
        <f aca="false">IFERROR(INDEX(Evidence_Index!$F$5:$F$204,MATCH(B72,Evidence_Index!$A$5:$A$204,0)),"")</f>
        <v/>
      </c>
      <c r="D72" s="20" t="str">
        <f aca="false">IFERROR(INDEX(Evidence_Index!$M$5:$M$204,MATCH(B72,Evidence_Index!$A$5:$A$204,0)),"")</f>
        <v/>
      </c>
      <c r="E72" s="17"/>
      <c r="F72" s="17"/>
      <c r="G72" s="17"/>
      <c r="H72" s="20" t="str">
        <f aca="false">IF(OR(D72="",G72=""),"",D72-G72)</f>
        <v/>
      </c>
      <c r="I72" s="17"/>
      <c r="J72" s="17"/>
      <c r="K72" s="17"/>
      <c r="L72" s="17"/>
      <c r="M72" s="19"/>
      <c r="N72" s="17"/>
      <c r="O72" s="20" t="str">
        <f aca="false">IF(A72="","",IF(COUNTIF(Evidence_Index!$A$5:$A$204,B72)=0,"EV-ID not in index",IF(OR(E72="",I72=""),"Completeness and accuracy procedures needed",IF(AND(N72="Pass",H72&lt;&gt;0),"Pass requires counts to agree (or explain)",IF(AND(N72="Pass",OR(K72&lt;&gt;"Y",J72="")),"Pass requires parameter evidence and traced records","OK")))))</f>
        <v/>
      </c>
    </row>
    <row r="73" customFormat="false" ht="15" hidden="false" customHeight="false" outlineLevel="0" collapsed="false">
      <c r="A73" s="17"/>
      <c r="B73" s="17"/>
      <c r="C73" s="20" t="str">
        <f aca="false">IFERROR(INDEX(Evidence_Index!$F$5:$F$204,MATCH(B73,Evidence_Index!$A$5:$A$204,0)),"")</f>
        <v/>
      </c>
      <c r="D73" s="20" t="str">
        <f aca="false">IFERROR(INDEX(Evidence_Index!$M$5:$M$204,MATCH(B73,Evidence_Index!$A$5:$A$204,0)),"")</f>
        <v/>
      </c>
      <c r="E73" s="17"/>
      <c r="F73" s="17"/>
      <c r="G73" s="17"/>
      <c r="H73" s="20" t="str">
        <f aca="false">IF(OR(D73="",G73=""),"",D73-G73)</f>
        <v/>
      </c>
      <c r="I73" s="17"/>
      <c r="J73" s="17"/>
      <c r="K73" s="17"/>
      <c r="L73" s="17"/>
      <c r="M73" s="19"/>
      <c r="N73" s="17"/>
      <c r="O73" s="20" t="str">
        <f aca="false">IF(A73="","",IF(COUNTIF(Evidence_Index!$A$5:$A$204,B73)=0,"EV-ID not in index",IF(OR(E73="",I73=""),"Completeness and accuracy procedures needed",IF(AND(N73="Pass",H73&lt;&gt;0),"Pass requires counts to agree (or explain)",IF(AND(N73="Pass",OR(K73&lt;&gt;"Y",J73="")),"Pass requires parameter evidence and traced records","OK")))))</f>
        <v/>
      </c>
    </row>
    <row r="74" customFormat="false" ht="15" hidden="false" customHeight="false" outlineLevel="0" collapsed="false">
      <c r="A74" s="17"/>
      <c r="B74" s="17"/>
      <c r="C74" s="20" t="str">
        <f aca="false">IFERROR(INDEX(Evidence_Index!$F$5:$F$204,MATCH(B74,Evidence_Index!$A$5:$A$204,0)),"")</f>
        <v/>
      </c>
      <c r="D74" s="20" t="str">
        <f aca="false">IFERROR(INDEX(Evidence_Index!$M$5:$M$204,MATCH(B74,Evidence_Index!$A$5:$A$204,0)),"")</f>
        <v/>
      </c>
      <c r="E74" s="17"/>
      <c r="F74" s="17"/>
      <c r="G74" s="17"/>
      <c r="H74" s="20" t="str">
        <f aca="false">IF(OR(D74="",G74=""),"",D74-G74)</f>
        <v/>
      </c>
      <c r="I74" s="17"/>
      <c r="J74" s="17"/>
      <c r="K74" s="17"/>
      <c r="L74" s="17"/>
      <c r="M74" s="19"/>
      <c r="N74" s="17"/>
      <c r="O74" s="20" t="str">
        <f aca="false">IF(A74="","",IF(COUNTIF(Evidence_Index!$A$5:$A$204,B74)=0,"EV-ID not in index",IF(OR(E74="",I74=""),"Completeness and accuracy procedures needed",IF(AND(N74="Pass",H74&lt;&gt;0),"Pass requires counts to agree (or explain)",IF(AND(N74="Pass",OR(K74&lt;&gt;"Y",J74="")),"Pass requires parameter evidence and traced records","OK")))))</f>
        <v/>
      </c>
    </row>
    <row r="75" customFormat="false" ht="15" hidden="false" customHeight="false" outlineLevel="0" collapsed="false">
      <c r="A75" s="17"/>
      <c r="B75" s="17"/>
      <c r="C75" s="20" t="str">
        <f aca="false">IFERROR(INDEX(Evidence_Index!$F$5:$F$204,MATCH(B75,Evidence_Index!$A$5:$A$204,0)),"")</f>
        <v/>
      </c>
      <c r="D75" s="20" t="str">
        <f aca="false">IFERROR(INDEX(Evidence_Index!$M$5:$M$204,MATCH(B75,Evidence_Index!$A$5:$A$204,0)),"")</f>
        <v/>
      </c>
      <c r="E75" s="17"/>
      <c r="F75" s="17"/>
      <c r="G75" s="17"/>
      <c r="H75" s="20" t="str">
        <f aca="false">IF(OR(D75="",G75=""),"",D75-G75)</f>
        <v/>
      </c>
      <c r="I75" s="17"/>
      <c r="J75" s="17"/>
      <c r="K75" s="17"/>
      <c r="L75" s="17"/>
      <c r="M75" s="19"/>
      <c r="N75" s="17"/>
      <c r="O75" s="20" t="str">
        <f aca="false">IF(A75="","",IF(COUNTIF(Evidence_Index!$A$5:$A$204,B75)=0,"EV-ID not in index",IF(OR(E75="",I75=""),"Completeness and accuracy procedures needed",IF(AND(N75="Pass",H75&lt;&gt;0),"Pass requires counts to agree (or explain)",IF(AND(N75="Pass",OR(K75&lt;&gt;"Y",J75="")),"Pass requires parameter evidence and traced records","OK")))))</f>
        <v/>
      </c>
    </row>
    <row r="76" customFormat="false" ht="15" hidden="false" customHeight="false" outlineLevel="0" collapsed="false">
      <c r="A76" s="17"/>
      <c r="B76" s="17"/>
      <c r="C76" s="20" t="str">
        <f aca="false">IFERROR(INDEX(Evidence_Index!$F$5:$F$204,MATCH(B76,Evidence_Index!$A$5:$A$204,0)),"")</f>
        <v/>
      </c>
      <c r="D76" s="20" t="str">
        <f aca="false">IFERROR(INDEX(Evidence_Index!$M$5:$M$204,MATCH(B76,Evidence_Index!$A$5:$A$204,0)),"")</f>
        <v/>
      </c>
      <c r="E76" s="17"/>
      <c r="F76" s="17"/>
      <c r="G76" s="17"/>
      <c r="H76" s="20" t="str">
        <f aca="false">IF(OR(D76="",G76=""),"",D76-G76)</f>
        <v/>
      </c>
      <c r="I76" s="17"/>
      <c r="J76" s="17"/>
      <c r="K76" s="17"/>
      <c r="L76" s="17"/>
      <c r="M76" s="19"/>
      <c r="N76" s="17"/>
      <c r="O76" s="20" t="str">
        <f aca="false">IF(A76="","",IF(COUNTIF(Evidence_Index!$A$5:$A$204,B76)=0,"EV-ID not in index",IF(OR(E76="",I76=""),"Completeness and accuracy procedures needed",IF(AND(N76="Pass",H76&lt;&gt;0),"Pass requires counts to agree (or explain)",IF(AND(N76="Pass",OR(K76&lt;&gt;"Y",J76="")),"Pass requires parameter evidence and traced records","OK")))))</f>
        <v/>
      </c>
    </row>
    <row r="77" customFormat="false" ht="15" hidden="false" customHeight="false" outlineLevel="0" collapsed="false">
      <c r="A77" s="17"/>
      <c r="B77" s="17"/>
      <c r="C77" s="20" t="str">
        <f aca="false">IFERROR(INDEX(Evidence_Index!$F$5:$F$204,MATCH(B77,Evidence_Index!$A$5:$A$204,0)),"")</f>
        <v/>
      </c>
      <c r="D77" s="20" t="str">
        <f aca="false">IFERROR(INDEX(Evidence_Index!$M$5:$M$204,MATCH(B77,Evidence_Index!$A$5:$A$204,0)),"")</f>
        <v/>
      </c>
      <c r="E77" s="17"/>
      <c r="F77" s="17"/>
      <c r="G77" s="17"/>
      <c r="H77" s="20" t="str">
        <f aca="false">IF(OR(D77="",G77=""),"",D77-G77)</f>
        <v/>
      </c>
      <c r="I77" s="17"/>
      <c r="J77" s="17"/>
      <c r="K77" s="17"/>
      <c r="L77" s="17"/>
      <c r="M77" s="19"/>
      <c r="N77" s="17"/>
      <c r="O77" s="20" t="str">
        <f aca="false">IF(A77="","",IF(COUNTIF(Evidence_Index!$A$5:$A$204,B77)=0,"EV-ID not in index",IF(OR(E77="",I77=""),"Completeness and accuracy procedures needed",IF(AND(N77="Pass",H77&lt;&gt;0),"Pass requires counts to agree (or explain)",IF(AND(N77="Pass",OR(K77&lt;&gt;"Y",J77="")),"Pass requires parameter evidence and traced records","OK")))))</f>
        <v/>
      </c>
    </row>
    <row r="78" customFormat="false" ht="15" hidden="false" customHeight="false" outlineLevel="0" collapsed="false">
      <c r="A78" s="17"/>
      <c r="B78" s="17"/>
      <c r="C78" s="20" t="str">
        <f aca="false">IFERROR(INDEX(Evidence_Index!$F$5:$F$204,MATCH(B78,Evidence_Index!$A$5:$A$204,0)),"")</f>
        <v/>
      </c>
      <c r="D78" s="20" t="str">
        <f aca="false">IFERROR(INDEX(Evidence_Index!$M$5:$M$204,MATCH(B78,Evidence_Index!$A$5:$A$204,0)),"")</f>
        <v/>
      </c>
      <c r="E78" s="17"/>
      <c r="F78" s="17"/>
      <c r="G78" s="17"/>
      <c r="H78" s="20" t="str">
        <f aca="false">IF(OR(D78="",G78=""),"",D78-G78)</f>
        <v/>
      </c>
      <c r="I78" s="17"/>
      <c r="J78" s="17"/>
      <c r="K78" s="17"/>
      <c r="L78" s="17"/>
      <c r="M78" s="19"/>
      <c r="N78" s="17"/>
      <c r="O78" s="20" t="str">
        <f aca="false">IF(A78="","",IF(COUNTIF(Evidence_Index!$A$5:$A$204,B78)=0,"EV-ID not in index",IF(OR(E78="",I78=""),"Completeness and accuracy procedures needed",IF(AND(N78="Pass",H78&lt;&gt;0),"Pass requires counts to agree (or explain)",IF(AND(N78="Pass",OR(K78&lt;&gt;"Y",J78="")),"Pass requires parameter evidence and traced records","OK")))))</f>
        <v/>
      </c>
    </row>
    <row r="79" customFormat="false" ht="15" hidden="false" customHeight="false" outlineLevel="0" collapsed="false">
      <c r="A79" s="17"/>
      <c r="B79" s="17"/>
      <c r="C79" s="20" t="str">
        <f aca="false">IFERROR(INDEX(Evidence_Index!$F$5:$F$204,MATCH(B79,Evidence_Index!$A$5:$A$204,0)),"")</f>
        <v/>
      </c>
      <c r="D79" s="20" t="str">
        <f aca="false">IFERROR(INDEX(Evidence_Index!$M$5:$M$204,MATCH(B79,Evidence_Index!$A$5:$A$204,0)),"")</f>
        <v/>
      </c>
      <c r="E79" s="17"/>
      <c r="F79" s="17"/>
      <c r="G79" s="17"/>
      <c r="H79" s="20" t="str">
        <f aca="false">IF(OR(D79="",G79=""),"",D79-G79)</f>
        <v/>
      </c>
      <c r="I79" s="17"/>
      <c r="J79" s="17"/>
      <c r="K79" s="17"/>
      <c r="L79" s="17"/>
      <c r="M79" s="19"/>
      <c r="N79" s="17"/>
      <c r="O79" s="20" t="str">
        <f aca="false">IF(A79="","",IF(COUNTIF(Evidence_Index!$A$5:$A$204,B79)=0,"EV-ID not in index",IF(OR(E79="",I79=""),"Completeness and accuracy procedures needed",IF(AND(N79="Pass",H79&lt;&gt;0),"Pass requires counts to agree (or explain)",IF(AND(N79="Pass",OR(K79&lt;&gt;"Y",J79="")),"Pass requires parameter evidence and traced records","OK")))))</f>
        <v/>
      </c>
    </row>
    <row r="80" customFormat="false" ht="15" hidden="false" customHeight="false" outlineLevel="0" collapsed="false">
      <c r="A80" s="17"/>
      <c r="B80" s="17"/>
      <c r="C80" s="20" t="str">
        <f aca="false">IFERROR(INDEX(Evidence_Index!$F$5:$F$204,MATCH(B80,Evidence_Index!$A$5:$A$204,0)),"")</f>
        <v/>
      </c>
      <c r="D80" s="20" t="str">
        <f aca="false">IFERROR(INDEX(Evidence_Index!$M$5:$M$204,MATCH(B80,Evidence_Index!$A$5:$A$204,0)),"")</f>
        <v/>
      </c>
      <c r="E80" s="17"/>
      <c r="F80" s="17"/>
      <c r="G80" s="17"/>
      <c r="H80" s="20" t="str">
        <f aca="false">IF(OR(D80="",G80=""),"",D80-G80)</f>
        <v/>
      </c>
      <c r="I80" s="17"/>
      <c r="J80" s="17"/>
      <c r="K80" s="17"/>
      <c r="L80" s="17"/>
      <c r="M80" s="19"/>
      <c r="N80" s="17"/>
      <c r="O80" s="20" t="str">
        <f aca="false">IF(A80="","",IF(COUNTIF(Evidence_Index!$A$5:$A$204,B80)=0,"EV-ID not in index",IF(OR(E80="",I80=""),"Completeness and accuracy procedures needed",IF(AND(N80="Pass",H80&lt;&gt;0),"Pass requires counts to agree (or explain)",IF(AND(N80="Pass",OR(K80&lt;&gt;"Y",J80="")),"Pass requires parameter evidence and traced records","OK")))))</f>
        <v/>
      </c>
    </row>
    <row r="81" customFormat="false" ht="15" hidden="false" customHeight="false" outlineLevel="0" collapsed="false">
      <c r="A81" s="17"/>
      <c r="B81" s="17"/>
      <c r="C81" s="20" t="str">
        <f aca="false">IFERROR(INDEX(Evidence_Index!$F$5:$F$204,MATCH(B81,Evidence_Index!$A$5:$A$204,0)),"")</f>
        <v/>
      </c>
      <c r="D81" s="20" t="str">
        <f aca="false">IFERROR(INDEX(Evidence_Index!$M$5:$M$204,MATCH(B81,Evidence_Index!$A$5:$A$204,0)),"")</f>
        <v/>
      </c>
      <c r="E81" s="17"/>
      <c r="F81" s="17"/>
      <c r="G81" s="17"/>
      <c r="H81" s="20" t="str">
        <f aca="false">IF(OR(D81="",G81=""),"",D81-G81)</f>
        <v/>
      </c>
      <c r="I81" s="17"/>
      <c r="J81" s="17"/>
      <c r="K81" s="17"/>
      <c r="L81" s="17"/>
      <c r="M81" s="19"/>
      <c r="N81" s="17"/>
      <c r="O81" s="20" t="str">
        <f aca="false">IF(A81="","",IF(COUNTIF(Evidence_Index!$A$5:$A$204,B81)=0,"EV-ID not in index",IF(OR(E81="",I81=""),"Completeness and accuracy procedures needed",IF(AND(N81="Pass",H81&lt;&gt;0),"Pass requires counts to agree (or explain)",IF(AND(N81="Pass",OR(K81&lt;&gt;"Y",J81="")),"Pass requires parameter evidence and traced records","OK")))))</f>
        <v/>
      </c>
    </row>
    <row r="82" customFormat="false" ht="15" hidden="false" customHeight="false" outlineLevel="0" collapsed="false">
      <c r="A82" s="17"/>
      <c r="B82" s="17"/>
      <c r="C82" s="20" t="str">
        <f aca="false">IFERROR(INDEX(Evidence_Index!$F$5:$F$204,MATCH(B82,Evidence_Index!$A$5:$A$204,0)),"")</f>
        <v/>
      </c>
      <c r="D82" s="20" t="str">
        <f aca="false">IFERROR(INDEX(Evidence_Index!$M$5:$M$204,MATCH(B82,Evidence_Index!$A$5:$A$204,0)),"")</f>
        <v/>
      </c>
      <c r="E82" s="17"/>
      <c r="F82" s="17"/>
      <c r="G82" s="17"/>
      <c r="H82" s="20" t="str">
        <f aca="false">IF(OR(D82="",G82=""),"",D82-G82)</f>
        <v/>
      </c>
      <c r="I82" s="17"/>
      <c r="J82" s="17"/>
      <c r="K82" s="17"/>
      <c r="L82" s="17"/>
      <c r="M82" s="19"/>
      <c r="N82" s="17"/>
      <c r="O82" s="20" t="str">
        <f aca="false">IF(A82="","",IF(COUNTIF(Evidence_Index!$A$5:$A$204,B82)=0,"EV-ID not in index",IF(OR(E82="",I82=""),"Completeness and accuracy procedures needed",IF(AND(N82="Pass",H82&lt;&gt;0),"Pass requires counts to agree (or explain)",IF(AND(N82="Pass",OR(K82&lt;&gt;"Y",J82="")),"Pass requires parameter evidence and traced records","OK")))))</f>
        <v/>
      </c>
    </row>
    <row r="83" customFormat="false" ht="15" hidden="false" customHeight="false" outlineLevel="0" collapsed="false">
      <c r="A83" s="17"/>
      <c r="B83" s="17"/>
      <c r="C83" s="20" t="str">
        <f aca="false">IFERROR(INDEX(Evidence_Index!$F$5:$F$204,MATCH(B83,Evidence_Index!$A$5:$A$204,0)),"")</f>
        <v/>
      </c>
      <c r="D83" s="20" t="str">
        <f aca="false">IFERROR(INDEX(Evidence_Index!$M$5:$M$204,MATCH(B83,Evidence_Index!$A$5:$A$204,0)),"")</f>
        <v/>
      </c>
      <c r="E83" s="17"/>
      <c r="F83" s="17"/>
      <c r="G83" s="17"/>
      <c r="H83" s="20" t="str">
        <f aca="false">IF(OR(D83="",G83=""),"",D83-G83)</f>
        <v/>
      </c>
      <c r="I83" s="17"/>
      <c r="J83" s="17"/>
      <c r="K83" s="17"/>
      <c r="L83" s="17"/>
      <c r="M83" s="19"/>
      <c r="N83" s="17"/>
      <c r="O83" s="20" t="str">
        <f aca="false">IF(A83="","",IF(COUNTIF(Evidence_Index!$A$5:$A$204,B83)=0,"EV-ID not in index",IF(OR(E83="",I83=""),"Completeness and accuracy procedures needed",IF(AND(N83="Pass",H83&lt;&gt;0),"Pass requires counts to agree (or explain)",IF(AND(N83="Pass",OR(K83&lt;&gt;"Y",J83="")),"Pass requires parameter evidence and traced records","OK")))))</f>
        <v/>
      </c>
    </row>
    <row r="84" customFormat="false" ht="15" hidden="false" customHeight="false" outlineLevel="0" collapsed="false">
      <c r="A84" s="17"/>
      <c r="B84" s="17"/>
      <c r="C84" s="20" t="str">
        <f aca="false">IFERROR(INDEX(Evidence_Index!$F$5:$F$204,MATCH(B84,Evidence_Index!$A$5:$A$204,0)),"")</f>
        <v/>
      </c>
      <c r="D84" s="20" t="str">
        <f aca="false">IFERROR(INDEX(Evidence_Index!$M$5:$M$204,MATCH(B84,Evidence_Index!$A$5:$A$204,0)),"")</f>
        <v/>
      </c>
      <c r="E84" s="17"/>
      <c r="F84" s="17"/>
      <c r="G84" s="17"/>
      <c r="H84" s="20" t="str">
        <f aca="false">IF(OR(D84="",G84=""),"",D84-G84)</f>
        <v/>
      </c>
      <c r="I84" s="17"/>
      <c r="J84" s="17"/>
      <c r="K84" s="17"/>
      <c r="L84" s="17"/>
      <c r="M84" s="19"/>
      <c r="N84" s="17"/>
      <c r="O84" s="20" t="str">
        <f aca="false">IF(A84="","",IF(COUNTIF(Evidence_Index!$A$5:$A$204,B84)=0,"EV-ID not in index",IF(OR(E84="",I84=""),"Completeness and accuracy procedures needed",IF(AND(N84="Pass",H84&lt;&gt;0),"Pass requires counts to agree (or explain)",IF(AND(N84="Pass",OR(K84&lt;&gt;"Y",J84="")),"Pass requires parameter evidence and traced records","OK")))))</f>
        <v/>
      </c>
    </row>
    <row r="85" customFormat="false" ht="15" hidden="false" customHeight="false" outlineLevel="0" collapsed="false">
      <c r="A85" s="17"/>
      <c r="B85" s="17"/>
      <c r="C85" s="20" t="str">
        <f aca="false">IFERROR(INDEX(Evidence_Index!$F$5:$F$204,MATCH(B85,Evidence_Index!$A$5:$A$204,0)),"")</f>
        <v/>
      </c>
      <c r="D85" s="20" t="str">
        <f aca="false">IFERROR(INDEX(Evidence_Index!$M$5:$M$204,MATCH(B85,Evidence_Index!$A$5:$A$204,0)),"")</f>
        <v/>
      </c>
      <c r="E85" s="17"/>
      <c r="F85" s="17"/>
      <c r="G85" s="17"/>
      <c r="H85" s="20" t="str">
        <f aca="false">IF(OR(D85="",G85=""),"",D85-G85)</f>
        <v/>
      </c>
      <c r="I85" s="17"/>
      <c r="J85" s="17"/>
      <c r="K85" s="17"/>
      <c r="L85" s="17"/>
      <c r="M85" s="19"/>
      <c r="N85" s="17"/>
      <c r="O85" s="20" t="str">
        <f aca="false">IF(A85="","",IF(COUNTIF(Evidence_Index!$A$5:$A$204,B85)=0,"EV-ID not in index",IF(OR(E85="",I85=""),"Completeness and accuracy procedures needed",IF(AND(N85="Pass",H85&lt;&gt;0),"Pass requires counts to agree (or explain)",IF(AND(N85="Pass",OR(K85&lt;&gt;"Y",J85="")),"Pass requires parameter evidence and traced records","OK")))))</f>
        <v/>
      </c>
    </row>
    <row r="86" customFormat="false" ht="15" hidden="false" customHeight="false" outlineLevel="0" collapsed="false">
      <c r="A86" s="17"/>
      <c r="B86" s="17"/>
      <c r="C86" s="20" t="str">
        <f aca="false">IFERROR(INDEX(Evidence_Index!$F$5:$F$204,MATCH(B86,Evidence_Index!$A$5:$A$204,0)),"")</f>
        <v/>
      </c>
      <c r="D86" s="20" t="str">
        <f aca="false">IFERROR(INDEX(Evidence_Index!$M$5:$M$204,MATCH(B86,Evidence_Index!$A$5:$A$204,0)),"")</f>
        <v/>
      </c>
      <c r="E86" s="17"/>
      <c r="F86" s="17"/>
      <c r="G86" s="17"/>
      <c r="H86" s="20" t="str">
        <f aca="false">IF(OR(D86="",G86=""),"",D86-G86)</f>
        <v/>
      </c>
      <c r="I86" s="17"/>
      <c r="J86" s="17"/>
      <c r="K86" s="17"/>
      <c r="L86" s="17"/>
      <c r="M86" s="19"/>
      <c r="N86" s="17"/>
      <c r="O86" s="20" t="str">
        <f aca="false">IF(A86="","",IF(COUNTIF(Evidence_Index!$A$5:$A$204,B86)=0,"EV-ID not in index",IF(OR(E86="",I86=""),"Completeness and accuracy procedures needed",IF(AND(N86="Pass",H86&lt;&gt;0),"Pass requires counts to agree (or explain)",IF(AND(N86="Pass",OR(K86&lt;&gt;"Y",J86="")),"Pass requires parameter evidence and traced records","OK")))))</f>
        <v/>
      </c>
    </row>
    <row r="87" customFormat="false" ht="15" hidden="false" customHeight="false" outlineLevel="0" collapsed="false">
      <c r="A87" s="17"/>
      <c r="B87" s="17"/>
      <c r="C87" s="20" t="str">
        <f aca="false">IFERROR(INDEX(Evidence_Index!$F$5:$F$204,MATCH(B87,Evidence_Index!$A$5:$A$204,0)),"")</f>
        <v/>
      </c>
      <c r="D87" s="20" t="str">
        <f aca="false">IFERROR(INDEX(Evidence_Index!$M$5:$M$204,MATCH(B87,Evidence_Index!$A$5:$A$204,0)),"")</f>
        <v/>
      </c>
      <c r="E87" s="17"/>
      <c r="F87" s="17"/>
      <c r="G87" s="17"/>
      <c r="H87" s="20" t="str">
        <f aca="false">IF(OR(D87="",G87=""),"",D87-G87)</f>
        <v/>
      </c>
      <c r="I87" s="17"/>
      <c r="J87" s="17"/>
      <c r="K87" s="17"/>
      <c r="L87" s="17"/>
      <c r="M87" s="19"/>
      <c r="N87" s="17"/>
      <c r="O87" s="20" t="str">
        <f aca="false">IF(A87="","",IF(COUNTIF(Evidence_Index!$A$5:$A$204,B87)=0,"EV-ID not in index",IF(OR(E87="",I87=""),"Completeness and accuracy procedures needed",IF(AND(N87="Pass",H87&lt;&gt;0),"Pass requires counts to agree (or explain)",IF(AND(N87="Pass",OR(K87&lt;&gt;"Y",J87="")),"Pass requires parameter evidence and traced records","OK")))))</f>
        <v/>
      </c>
    </row>
    <row r="88" customFormat="false" ht="15" hidden="false" customHeight="false" outlineLevel="0" collapsed="false">
      <c r="A88" s="17"/>
      <c r="B88" s="17"/>
      <c r="C88" s="20" t="str">
        <f aca="false">IFERROR(INDEX(Evidence_Index!$F$5:$F$204,MATCH(B88,Evidence_Index!$A$5:$A$204,0)),"")</f>
        <v/>
      </c>
      <c r="D88" s="20" t="str">
        <f aca="false">IFERROR(INDEX(Evidence_Index!$M$5:$M$204,MATCH(B88,Evidence_Index!$A$5:$A$204,0)),"")</f>
        <v/>
      </c>
      <c r="E88" s="17"/>
      <c r="F88" s="17"/>
      <c r="G88" s="17"/>
      <c r="H88" s="20" t="str">
        <f aca="false">IF(OR(D88="",G88=""),"",D88-G88)</f>
        <v/>
      </c>
      <c r="I88" s="17"/>
      <c r="J88" s="17"/>
      <c r="K88" s="17"/>
      <c r="L88" s="17"/>
      <c r="M88" s="19"/>
      <c r="N88" s="17"/>
      <c r="O88" s="20" t="str">
        <f aca="false">IF(A88="","",IF(COUNTIF(Evidence_Index!$A$5:$A$204,B88)=0,"EV-ID not in index",IF(OR(E88="",I88=""),"Completeness and accuracy procedures needed",IF(AND(N88="Pass",H88&lt;&gt;0),"Pass requires counts to agree (or explain)",IF(AND(N88="Pass",OR(K88&lt;&gt;"Y",J88="")),"Pass requires parameter evidence and traced records","OK")))))</f>
        <v/>
      </c>
    </row>
    <row r="89" customFormat="false" ht="15" hidden="false" customHeight="false" outlineLevel="0" collapsed="false">
      <c r="A89" s="17"/>
      <c r="B89" s="17"/>
      <c r="C89" s="20" t="str">
        <f aca="false">IFERROR(INDEX(Evidence_Index!$F$5:$F$204,MATCH(B89,Evidence_Index!$A$5:$A$204,0)),"")</f>
        <v/>
      </c>
      <c r="D89" s="20" t="str">
        <f aca="false">IFERROR(INDEX(Evidence_Index!$M$5:$M$204,MATCH(B89,Evidence_Index!$A$5:$A$204,0)),"")</f>
        <v/>
      </c>
      <c r="E89" s="17"/>
      <c r="F89" s="17"/>
      <c r="G89" s="17"/>
      <c r="H89" s="20" t="str">
        <f aca="false">IF(OR(D89="",G89=""),"",D89-G89)</f>
        <v/>
      </c>
      <c r="I89" s="17"/>
      <c r="J89" s="17"/>
      <c r="K89" s="17"/>
      <c r="L89" s="17"/>
      <c r="M89" s="19"/>
      <c r="N89" s="17"/>
      <c r="O89" s="20" t="str">
        <f aca="false">IF(A89="","",IF(COUNTIF(Evidence_Index!$A$5:$A$204,B89)=0,"EV-ID not in index",IF(OR(E89="",I89=""),"Completeness and accuracy procedures needed",IF(AND(N89="Pass",H89&lt;&gt;0),"Pass requires counts to agree (or explain)",IF(AND(N89="Pass",OR(K89&lt;&gt;"Y",J89="")),"Pass requires parameter evidence and traced records","OK")))))</f>
        <v/>
      </c>
    </row>
    <row r="90" customFormat="false" ht="15" hidden="false" customHeight="false" outlineLevel="0" collapsed="false">
      <c r="A90" s="17"/>
      <c r="B90" s="17"/>
      <c r="C90" s="20" t="str">
        <f aca="false">IFERROR(INDEX(Evidence_Index!$F$5:$F$204,MATCH(B90,Evidence_Index!$A$5:$A$204,0)),"")</f>
        <v/>
      </c>
      <c r="D90" s="20" t="str">
        <f aca="false">IFERROR(INDEX(Evidence_Index!$M$5:$M$204,MATCH(B90,Evidence_Index!$A$5:$A$204,0)),"")</f>
        <v/>
      </c>
      <c r="E90" s="17"/>
      <c r="F90" s="17"/>
      <c r="G90" s="17"/>
      <c r="H90" s="20" t="str">
        <f aca="false">IF(OR(D90="",G90=""),"",D90-G90)</f>
        <v/>
      </c>
      <c r="I90" s="17"/>
      <c r="J90" s="17"/>
      <c r="K90" s="17"/>
      <c r="L90" s="17"/>
      <c r="M90" s="19"/>
      <c r="N90" s="17"/>
      <c r="O90" s="20" t="str">
        <f aca="false">IF(A90="","",IF(COUNTIF(Evidence_Index!$A$5:$A$204,B90)=0,"EV-ID not in index",IF(OR(E90="",I90=""),"Completeness and accuracy procedures needed",IF(AND(N90="Pass",H90&lt;&gt;0),"Pass requires counts to agree (or explain)",IF(AND(N90="Pass",OR(K90&lt;&gt;"Y",J90="")),"Pass requires parameter evidence and traced records","OK")))))</f>
        <v/>
      </c>
    </row>
    <row r="91" customFormat="false" ht="15" hidden="false" customHeight="false" outlineLevel="0" collapsed="false">
      <c r="A91" s="17"/>
      <c r="B91" s="17"/>
      <c r="C91" s="20" t="str">
        <f aca="false">IFERROR(INDEX(Evidence_Index!$F$5:$F$204,MATCH(B91,Evidence_Index!$A$5:$A$204,0)),"")</f>
        <v/>
      </c>
      <c r="D91" s="20" t="str">
        <f aca="false">IFERROR(INDEX(Evidence_Index!$M$5:$M$204,MATCH(B91,Evidence_Index!$A$5:$A$204,0)),"")</f>
        <v/>
      </c>
      <c r="E91" s="17"/>
      <c r="F91" s="17"/>
      <c r="G91" s="17"/>
      <c r="H91" s="20" t="str">
        <f aca="false">IF(OR(D91="",G91=""),"",D91-G91)</f>
        <v/>
      </c>
      <c r="I91" s="17"/>
      <c r="J91" s="17"/>
      <c r="K91" s="17"/>
      <c r="L91" s="17"/>
      <c r="M91" s="19"/>
      <c r="N91" s="17"/>
      <c r="O91" s="20" t="str">
        <f aca="false">IF(A91="","",IF(COUNTIF(Evidence_Index!$A$5:$A$204,B91)=0,"EV-ID not in index",IF(OR(E91="",I91=""),"Completeness and accuracy procedures needed",IF(AND(N91="Pass",H91&lt;&gt;0),"Pass requires counts to agree (or explain)",IF(AND(N91="Pass",OR(K91&lt;&gt;"Y",J91="")),"Pass requires parameter evidence and traced records","OK")))))</f>
        <v/>
      </c>
    </row>
    <row r="92" customFormat="false" ht="15" hidden="false" customHeight="false" outlineLevel="0" collapsed="false">
      <c r="A92" s="17"/>
      <c r="B92" s="17"/>
      <c r="C92" s="20" t="str">
        <f aca="false">IFERROR(INDEX(Evidence_Index!$F$5:$F$204,MATCH(B92,Evidence_Index!$A$5:$A$204,0)),"")</f>
        <v/>
      </c>
      <c r="D92" s="20" t="str">
        <f aca="false">IFERROR(INDEX(Evidence_Index!$M$5:$M$204,MATCH(B92,Evidence_Index!$A$5:$A$204,0)),"")</f>
        <v/>
      </c>
      <c r="E92" s="17"/>
      <c r="F92" s="17"/>
      <c r="G92" s="17"/>
      <c r="H92" s="20" t="str">
        <f aca="false">IF(OR(D92="",G92=""),"",D92-G92)</f>
        <v/>
      </c>
      <c r="I92" s="17"/>
      <c r="J92" s="17"/>
      <c r="K92" s="17"/>
      <c r="L92" s="17"/>
      <c r="M92" s="19"/>
      <c r="N92" s="17"/>
      <c r="O92" s="20" t="str">
        <f aca="false">IF(A92="","",IF(COUNTIF(Evidence_Index!$A$5:$A$204,B92)=0,"EV-ID not in index",IF(OR(E92="",I92=""),"Completeness and accuracy procedures needed",IF(AND(N92="Pass",H92&lt;&gt;0),"Pass requires counts to agree (or explain)",IF(AND(N92="Pass",OR(K92&lt;&gt;"Y",J92="")),"Pass requires parameter evidence and traced records","OK")))))</f>
        <v/>
      </c>
    </row>
    <row r="93" customFormat="false" ht="15" hidden="false" customHeight="false" outlineLevel="0" collapsed="false">
      <c r="A93" s="17"/>
      <c r="B93" s="17"/>
      <c r="C93" s="20" t="str">
        <f aca="false">IFERROR(INDEX(Evidence_Index!$F$5:$F$204,MATCH(B93,Evidence_Index!$A$5:$A$204,0)),"")</f>
        <v/>
      </c>
      <c r="D93" s="20" t="str">
        <f aca="false">IFERROR(INDEX(Evidence_Index!$M$5:$M$204,MATCH(B93,Evidence_Index!$A$5:$A$204,0)),"")</f>
        <v/>
      </c>
      <c r="E93" s="17"/>
      <c r="F93" s="17"/>
      <c r="G93" s="17"/>
      <c r="H93" s="20" t="str">
        <f aca="false">IF(OR(D93="",G93=""),"",D93-G93)</f>
        <v/>
      </c>
      <c r="I93" s="17"/>
      <c r="J93" s="17"/>
      <c r="K93" s="17"/>
      <c r="L93" s="17"/>
      <c r="M93" s="19"/>
      <c r="N93" s="17"/>
      <c r="O93" s="20" t="str">
        <f aca="false">IF(A93="","",IF(COUNTIF(Evidence_Index!$A$5:$A$204,B93)=0,"EV-ID not in index",IF(OR(E93="",I93=""),"Completeness and accuracy procedures needed",IF(AND(N93="Pass",H93&lt;&gt;0),"Pass requires counts to agree (or explain)",IF(AND(N93="Pass",OR(K93&lt;&gt;"Y",J93="")),"Pass requires parameter evidence and traced records","OK")))))</f>
        <v/>
      </c>
    </row>
    <row r="94" customFormat="false" ht="15" hidden="false" customHeight="false" outlineLevel="0" collapsed="false">
      <c r="A94" s="17"/>
      <c r="B94" s="17"/>
      <c r="C94" s="20" t="str">
        <f aca="false">IFERROR(INDEX(Evidence_Index!$F$5:$F$204,MATCH(B94,Evidence_Index!$A$5:$A$204,0)),"")</f>
        <v/>
      </c>
      <c r="D94" s="20" t="str">
        <f aca="false">IFERROR(INDEX(Evidence_Index!$M$5:$M$204,MATCH(B94,Evidence_Index!$A$5:$A$204,0)),"")</f>
        <v/>
      </c>
      <c r="E94" s="17"/>
      <c r="F94" s="17"/>
      <c r="G94" s="17"/>
      <c r="H94" s="20" t="str">
        <f aca="false">IF(OR(D94="",G94=""),"",D94-G94)</f>
        <v/>
      </c>
      <c r="I94" s="17"/>
      <c r="J94" s="17"/>
      <c r="K94" s="17"/>
      <c r="L94" s="17"/>
      <c r="M94" s="19"/>
      <c r="N94" s="17"/>
      <c r="O94" s="20" t="str">
        <f aca="false">IF(A94="","",IF(COUNTIF(Evidence_Index!$A$5:$A$204,B94)=0,"EV-ID not in index",IF(OR(E94="",I94=""),"Completeness and accuracy procedures needed",IF(AND(N94="Pass",H94&lt;&gt;0),"Pass requires counts to agree (or explain)",IF(AND(N94="Pass",OR(K94&lt;&gt;"Y",J94="")),"Pass requires parameter evidence and traced records","OK")))))</f>
        <v/>
      </c>
    </row>
    <row r="95" customFormat="false" ht="15" hidden="false" customHeight="false" outlineLevel="0" collapsed="false">
      <c r="A95" s="17"/>
      <c r="B95" s="17"/>
      <c r="C95" s="20" t="str">
        <f aca="false">IFERROR(INDEX(Evidence_Index!$F$5:$F$204,MATCH(B95,Evidence_Index!$A$5:$A$204,0)),"")</f>
        <v/>
      </c>
      <c r="D95" s="20" t="str">
        <f aca="false">IFERROR(INDEX(Evidence_Index!$M$5:$M$204,MATCH(B95,Evidence_Index!$A$5:$A$204,0)),"")</f>
        <v/>
      </c>
      <c r="E95" s="17"/>
      <c r="F95" s="17"/>
      <c r="G95" s="17"/>
      <c r="H95" s="20" t="str">
        <f aca="false">IF(OR(D95="",G95=""),"",D95-G95)</f>
        <v/>
      </c>
      <c r="I95" s="17"/>
      <c r="J95" s="17"/>
      <c r="K95" s="17"/>
      <c r="L95" s="17"/>
      <c r="M95" s="19"/>
      <c r="N95" s="17"/>
      <c r="O95" s="20" t="str">
        <f aca="false">IF(A95="","",IF(COUNTIF(Evidence_Index!$A$5:$A$204,B95)=0,"EV-ID not in index",IF(OR(E95="",I95=""),"Completeness and accuracy procedures needed",IF(AND(N95="Pass",H95&lt;&gt;0),"Pass requires counts to agree (or explain)",IF(AND(N95="Pass",OR(K95&lt;&gt;"Y",J95="")),"Pass requires parameter evidence and traced records","OK")))))</f>
        <v/>
      </c>
    </row>
    <row r="96" customFormat="false" ht="15" hidden="false" customHeight="false" outlineLevel="0" collapsed="false">
      <c r="A96" s="17"/>
      <c r="B96" s="17"/>
      <c r="C96" s="20" t="str">
        <f aca="false">IFERROR(INDEX(Evidence_Index!$F$5:$F$204,MATCH(B96,Evidence_Index!$A$5:$A$204,0)),"")</f>
        <v/>
      </c>
      <c r="D96" s="20" t="str">
        <f aca="false">IFERROR(INDEX(Evidence_Index!$M$5:$M$204,MATCH(B96,Evidence_Index!$A$5:$A$204,0)),"")</f>
        <v/>
      </c>
      <c r="E96" s="17"/>
      <c r="F96" s="17"/>
      <c r="G96" s="17"/>
      <c r="H96" s="20" t="str">
        <f aca="false">IF(OR(D96="",G96=""),"",D96-G96)</f>
        <v/>
      </c>
      <c r="I96" s="17"/>
      <c r="J96" s="17"/>
      <c r="K96" s="17"/>
      <c r="L96" s="17"/>
      <c r="M96" s="19"/>
      <c r="N96" s="17"/>
      <c r="O96" s="20" t="str">
        <f aca="false">IF(A96="","",IF(COUNTIF(Evidence_Index!$A$5:$A$204,B96)=0,"EV-ID not in index",IF(OR(E96="",I96=""),"Completeness and accuracy procedures needed",IF(AND(N96="Pass",H96&lt;&gt;0),"Pass requires counts to agree (or explain)",IF(AND(N96="Pass",OR(K96&lt;&gt;"Y",J96="")),"Pass requires parameter evidence and traced records","OK")))))</f>
        <v/>
      </c>
    </row>
    <row r="97" customFormat="false" ht="15" hidden="false" customHeight="false" outlineLevel="0" collapsed="false">
      <c r="A97" s="17"/>
      <c r="B97" s="17"/>
      <c r="C97" s="20" t="str">
        <f aca="false">IFERROR(INDEX(Evidence_Index!$F$5:$F$204,MATCH(B97,Evidence_Index!$A$5:$A$204,0)),"")</f>
        <v/>
      </c>
      <c r="D97" s="20" t="str">
        <f aca="false">IFERROR(INDEX(Evidence_Index!$M$5:$M$204,MATCH(B97,Evidence_Index!$A$5:$A$204,0)),"")</f>
        <v/>
      </c>
      <c r="E97" s="17"/>
      <c r="F97" s="17"/>
      <c r="G97" s="17"/>
      <c r="H97" s="20" t="str">
        <f aca="false">IF(OR(D97="",G97=""),"",D97-G97)</f>
        <v/>
      </c>
      <c r="I97" s="17"/>
      <c r="J97" s="17"/>
      <c r="K97" s="17"/>
      <c r="L97" s="17"/>
      <c r="M97" s="19"/>
      <c r="N97" s="17"/>
      <c r="O97" s="20" t="str">
        <f aca="false">IF(A97="","",IF(COUNTIF(Evidence_Index!$A$5:$A$204,B97)=0,"EV-ID not in index",IF(OR(E97="",I97=""),"Completeness and accuracy procedures needed",IF(AND(N97="Pass",H97&lt;&gt;0),"Pass requires counts to agree (or explain)",IF(AND(N97="Pass",OR(K97&lt;&gt;"Y",J97="")),"Pass requires parameter evidence and traced records","OK")))))</f>
        <v/>
      </c>
    </row>
    <row r="98" customFormat="false" ht="15" hidden="false" customHeight="false" outlineLevel="0" collapsed="false">
      <c r="A98" s="17"/>
      <c r="B98" s="17"/>
      <c r="C98" s="20" t="str">
        <f aca="false">IFERROR(INDEX(Evidence_Index!$F$5:$F$204,MATCH(B98,Evidence_Index!$A$5:$A$204,0)),"")</f>
        <v/>
      </c>
      <c r="D98" s="20" t="str">
        <f aca="false">IFERROR(INDEX(Evidence_Index!$M$5:$M$204,MATCH(B98,Evidence_Index!$A$5:$A$204,0)),"")</f>
        <v/>
      </c>
      <c r="E98" s="17"/>
      <c r="F98" s="17"/>
      <c r="G98" s="17"/>
      <c r="H98" s="20" t="str">
        <f aca="false">IF(OR(D98="",G98=""),"",D98-G98)</f>
        <v/>
      </c>
      <c r="I98" s="17"/>
      <c r="J98" s="17"/>
      <c r="K98" s="17"/>
      <c r="L98" s="17"/>
      <c r="M98" s="19"/>
      <c r="N98" s="17"/>
      <c r="O98" s="20" t="str">
        <f aca="false">IF(A98="","",IF(COUNTIF(Evidence_Index!$A$5:$A$204,B98)=0,"EV-ID not in index",IF(OR(E98="",I98=""),"Completeness and accuracy procedures needed",IF(AND(N98="Pass",H98&lt;&gt;0),"Pass requires counts to agree (or explain)",IF(AND(N98="Pass",OR(K98&lt;&gt;"Y",J98="")),"Pass requires parameter evidence and traced records","OK")))))</f>
        <v/>
      </c>
    </row>
    <row r="99" customFormat="false" ht="15" hidden="false" customHeight="false" outlineLevel="0" collapsed="false">
      <c r="A99" s="17"/>
      <c r="B99" s="17"/>
      <c r="C99" s="20" t="str">
        <f aca="false">IFERROR(INDEX(Evidence_Index!$F$5:$F$204,MATCH(B99,Evidence_Index!$A$5:$A$204,0)),"")</f>
        <v/>
      </c>
      <c r="D99" s="20" t="str">
        <f aca="false">IFERROR(INDEX(Evidence_Index!$M$5:$M$204,MATCH(B99,Evidence_Index!$A$5:$A$204,0)),"")</f>
        <v/>
      </c>
      <c r="E99" s="17"/>
      <c r="F99" s="17"/>
      <c r="G99" s="17"/>
      <c r="H99" s="20" t="str">
        <f aca="false">IF(OR(D99="",G99=""),"",D99-G99)</f>
        <v/>
      </c>
      <c r="I99" s="17"/>
      <c r="J99" s="17"/>
      <c r="K99" s="17"/>
      <c r="L99" s="17"/>
      <c r="M99" s="19"/>
      <c r="N99" s="17"/>
      <c r="O99" s="20" t="str">
        <f aca="false">IF(A99="","",IF(COUNTIF(Evidence_Index!$A$5:$A$204,B99)=0,"EV-ID not in index",IF(OR(E99="",I99=""),"Completeness and accuracy procedures needed",IF(AND(N99="Pass",H99&lt;&gt;0),"Pass requires counts to agree (or explain)",IF(AND(N99="Pass",OR(K99&lt;&gt;"Y",J99="")),"Pass requires parameter evidence and traced records","OK")))))</f>
        <v/>
      </c>
    </row>
    <row r="100" customFormat="false" ht="15" hidden="false" customHeight="false" outlineLevel="0" collapsed="false">
      <c r="A100" s="17"/>
      <c r="B100" s="17"/>
      <c r="C100" s="20" t="str">
        <f aca="false">IFERROR(INDEX(Evidence_Index!$F$5:$F$204,MATCH(B100,Evidence_Index!$A$5:$A$204,0)),"")</f>
        <v/>
      </c>
      <c r="D100" s="20" t="str">
        <f aca="false">IFERROR(INDEX(Evidence_Index!$M$5:$M$204,MATCH(B100,Evidence_Index!$A$5:$A$204,0)),"")</f>
        <v/>
      </c>
      <c r="E100" s="17"/>
      <c r="F100" s="17"/>
      <c r="G100" s="17"/>
      <c r="H100" s="20" t="str">
        <f aca="false">IF(OR(D100="",G100=""),"",D100-G100)</f>
        <v/>
      </c>
      <c r="I100" s="17"/>
      <c r="J100" s="17"/>
      <c r="K100" s="17"/>
      <c r="L100" s="17"/>
      <c r="M100" s="19"/>
      <c r="N100" s="17"/>
      <c r="O100" s="20" t="str">
        <f aca="false">IF(A100="","",IF(COUNTIF(Evidence_Index!$A$5:$A$204,B100)=0,"EV-ID not in index",IF(OR(E100="",I100=""),"Completeness and accuracy procedures needed",IF(AND(N100="Pass",H100&lt;&gt;0),"Pass requires counts to agree (or explain)",IF(AND(N100="Pass",OR(K100&lt;&gt;"Y",J100="")),"Pass requires parameter evidence and traced records","OK")))))</f>
        <v/>
      </c>
    </row>
    <row r="101" customFormat="false" ht="15" hidden="false" customHeight="false" outlineLevel="0" collapsed="false">
      <c r="A101" s="17"/>
      <c r="B101" s="17"/>
      <c r="C101" s="20" t="str">
        <f aca="false">IFERROR(INDEX(Evidence_Index!$F$5:$F$204,MATCH(B101,Evidence_Index!$A$5:$A$204,0)),"")</f>
        <v/>
      </c>
      <c r="D101" s="20" t="str">
        <f aca="false">IFERROR(INDEX(Evidence_Index!$M$5:$M$204,MATCH(B101,Evidence_Index!$A$5:$A$204,0)),"")</f>
        <v/>
      </c>
      <c r="E101" s="17"/>
      <c r="F101" s="17"/>
      <c r="G101" s="17"/>
      <c r="H101" s="20" t="str">
        <f aca="false">IF(OR(D101="",G101=""),"",D101-G101)</f>
        <v/>
      </c>
      <c r="I101" s="17"/>
      <c r="J101" s="17"/>
      <c r="K101" s="17"/>
      <c r="L101" s="17"/>
      <c r="M101" s="19"/>
      <c r="N101" s="17"/>
      <c r="O101" s="20" t="str">
        <f aca="false">IF(A101="","",IF(COUNTIF(Evidence_Index!$A$5:$A$204,B101)=0,"EV-ID not in index",IF(OR(E101="",I101=""),"Completeness and accuracy procedures needed",IF(AND(N101="Pass",H101&lt;&gt;0),"Pass requires counts to agree (or explain)",IF(AND(N101="Pass",OR(K101&lt;&gt;"Y",J101="")),"Pass requires parameter evidence and traced records","OK")))))</f>
        <v/>
      </c>
    </row>
    <row r="102" customFormat="false" ht="15" hidden="false" customHeight="false" outlineLevel="0" collapsed="false">
      <c r="A102" s="17"/>
      <c r="B102" s="17"/>
      <c r="C102" s="20" t="str">
        <f aca="false">IFERROR(INDEX(Evidence_Index!$F$5:$F$204,MATCH(B102,Evidence_Index!$A$5:$A$204,0)),"")</f>
        <v/>
      </c>
      <c r="D102" s="20" t="str">
        <f aca="false">IFERROR(INDEX(Evidence_Index!$M$5:$M$204,MATCH(B102,Evidence_Index!$A$5:$A$204,0)),"")</f>
        <v/>
      </c>
      <c r="E102" s="17"/>
      <c r="F102" s="17"/>
      <c r="G102" s="17"/>
      <c r="H102" s="20" t="str">
        <f aca="false">IF(OR(D102="",G102=""),"",D102-G102)</f>
        <v/>
      </c>
      <c r="I102" s="17"/>
      <c r="J102" s="17"/>
      <c r="K102" s="17"/>
      <c r="L102" s="17"/>
      <c r="M102" s="19"/>
      <c r="N102" s="17"/>
      <c r="O102" s="20" t="str">
        <f aca="false">IF(A102="","",IF(COUNTIF(Evidence_Index!$A$5:$A$204,B102)=0,"EV-ID not in index",IF(OR(E102="",I102=""),"Completeness and accuracy procedures needed",IF(AND(N102="Pass",H102&lt;&gt;0),"Pass requires counts to agree (or explain)",IF(AND(N102="Pass",OR(K102&lt;&gt;"Y",J102="")),"Pass requires parameter evidence and traced records","OK")))))</f>
        <v/>
      </c>
    </row>
    <row r="103" customFormat="false" ht="15" hidden="false" customHeight="false" outlineLevel="0" collapsed="false">
      <c r="A103" s="17"/>
      <c r="B103" s="17"/>
      <c r="C103" s="20" t="str">
        <f aca="false">IFERROR(INDEX(Evidence_Index!$F$5:$F$204,MATCH(B103,Evidence_Index!$A$5:$A$204,0)),"")</f>
        <v/>
      </c>
      <c r="D103" s="20" t="str">
        <f aca="false">IFERROR(INDEX(Evidence_Index!$M$5:$M$204,MATCH(B103,Evidence_Index!$A$5:$A$204,0)),"")</f>
        <v/>
      </c>
      <c r="E103" s="17"/>
      <c r="F103" s="17"/>
      <c r="G103" s="17"/>
      <c r="H103" s="20" t="str">
        <f aca="false">IF(OR(D103="",G103=""),"",D103-G103)</f>
        <v/>
      </c>
      <c r="I103" s="17"/>
      <c r="J103" s="17"/>
      <c r="K103" s="17"/>
      <c r="L103" s="17"/>
      <c r="M103" s="19"/>
      <c r="N103" s="17"/>
      <c r="O103" s="20" t="str">
        <f aca="false">IF(A103="","",IF(COUNTIF(Evidence_Index!$A$5:$A$204,B103)=0,"EV-ID not in index",IF(OR(E103="",I103=""),"Completeness and accuracy procedures needed",IF(AND(N103="Pass",H103&lt;&gt;0),"Pass requires counts to agree (or explain)",IF(AND(N103="Pass",OR(K103&lt;&gt;"Y",J103="")),"Pass requires parameter evidence and traced records","OK")))))</f>
        <v/>
      </c>
    </row>
    <row r="104" customFormat="false" ht="15" hidden="false" customHeight="false" outlineLevel="0" collapsed="false">
      <c r="A104" s="17"/>
      <c r="B104" s="17"/>
      <c r="C104" s="20" t="str">
        <f aca="false">IFERROR(INDEX(Evidence_Index!$F$5:$F$204,MATCH(B104,Evidence_Index!$A$5:$A$204,0)),"")</f>
        <v/>
      </c>
      <c r="D104" s="20" t="str">
        <f aca="false">IFERROR(INDEX(Evidence_Index!$M$5:$M$204,MATCH(B104,Evidence_Index!$A$5:$A$204,0)),"")</f>
        <v/>
      </c>
      <c r="E104" s="17"/>
      <c r="F104" s="17"/>
      <c r="G104" s="17"/>
      <c r="H104" s="20" t="str">
        <f aca="false">IF(OR(D104="",G104=""),"",D104-G104)</f>
        <v/>
      </c>
      <c r="I104" s="17"/>
      <c r="J104" s="17"/>
      <c r="K104" s="17"/>
      <c r="L104" s="17"/>
      <c r="M104" s="19"/>
      <c r="N104" s="17"/>
      <c r="O104" s="20" t="str">
        <f aca="false">IF(A104="","",IF(COUNTIF(Evidence_Index!$A$5:$A$204,B104)=0,"EV-ID not in index",IF(OR(E104="",I104=""),"Completeness and accuracy procedures needed",IF(AND(N104="Pass",H104&lt;&gt;0),"Pass requires counts to agree (or explain)",IF(AND(N104="Pass",OR(K104&lt;&gt;"Y",J104="")),"Pass requires parameter evidence and traced records","OK")))))</f>
        <v/>
      </c>
    </row>
    <row r="105" customFormat="false" ht="15" hidden="false" customHeight="false" outlineLevel="0" collapsed="false">
      <c r="A105" s="17"/>
      <c r="B105" s="17"/>
      <c r="C105" s="20" t="str">
        <f aca="false">IFERROR(INDEX(Evidence_Index!$F$5:$F$204,MATCH(B105,Evidence_Index!$A$5:$A$204,0)),"")</f>
        <v/>
      </c>
      <c r="D105" s="20" t="str">
        <f aca="false">IFERROR(INDEX(Evidence_Index!$M$5:$M$204,MATCH(B105,Evidence_Index!$A$5:$A$204,0)),"")</f>
        <v/>
      </c>
      <c r="E105" s="17"/>
      <c r="F105" s="17"/>
      <c r="G105" s="17"/>
      <c r="H105" s="20" t="str">
        <f aca="false">IF(OR(D105="",G105=""),"",D105-G105)</f>
        <v/>
      </c>
      <c r="I105" s="17"/>
      <c r="J105" s="17"/>
      <c r="K105" s="17"/>
      <c r="L105" s="17"/>
      <c r="M105" s="19"/>
      <c r="N105" s="17"/>
      <c r="O105" s="20" t="str">
        <f aca="false">IF(A105="","",IF(COUNTIF(Evidence_Index!$A$5:$A$204,B105)=0,"EV-ID not in index",IF(OR(E105="",I105=""),"Completeness and accuracy procedures needed",IF(AND(N105="Pass",H105&lt;&gt;0),"Pass requires counts to agree (or explain)",IF(AND(N105="Pass",OR(K105&lt;&gt;"Y",J105="")),"Pass requires parameter evidence and traced records","OK")))))</f>
        <v/>
      </c>
    </row>
    <row r="106" customFormat="false" ht="15" hidden="false" customHeight="false" outlineLevel="0" collapsed="false">
      <c r="A106" s="17"/>
      <c r="B106" s="17"/>
      <c r="C106" s="20" t="str">
        <f aca="false">IFERROR(INDEX(Evidence_Index!$F$5:$F$204,MATCH(B106,Evidence_Index!$A$5:$A$204,0)),"")</f>
        <v/>
      </c>
      <c r="D106" s="20" t="str">
        <f aca="false">IFERROR(INDEX(Evidence_Index!$M$5:$M$204,MATCH(B106,Evidence_Index!$A$5:$A$204,0)),"")</f>
        <v/>
      </c>
      <c r="E106" s="17"/>
      <c r="F106" s="17"/>
      <c r="G106" s="17"/>
      <c r="H106" s="20" t="str">
        <f aca="false">IF(OR(D106="",G106=""),"",D106-G106)</f>
        <v/>
      </c>
      <c r="I106" s="17"/>
      <c r="J106" s="17"/>
      <c r="K106" s="17"/>
      <c r="L106" s="17"/>
      <c r="M106" s="19"/>
      <c r="N106" s="17"/>
      <c r="O106" s="20" t="str">
        <f aca="false">IF(A106="","",IF(COUNTIF(Evidence_Index!$A$5:$A$204,B106)=0,"EV-ID not in index",IF(OR(E106="",I106=""),"Completeness and accuracy procedures needed",IF(AND(N106="Pass",H106&lt;&gt;0),"Pass requires counts to agree (or explain)",IF(AND(N106="Pass",OR(K106&lt;&gt;"Y",J106="")),"Pass requires parameter evidence and traced records","OK")))))</f>
        <v/>
      </c>
    </row>
    <row r="107" customFormat="false" ht="15" hidden="false" customHeight="false" outlineLevel="0" collapsed="false">
      <c r="A107" s="17"/>
      <c r="B107" s="17"/>
      <c r="C107" s="20" t="str">
        <f aca="false">IFERROR(INDEX(Evidence_Index!$F$5:$F$204,MATCH(B107,Evidence_Index!$A$5:$A$204,0)),"")</f>
        <v/>
      </c>
      <c r="D107" s="20" t="str">
        <f aca="false">IFERROR(INDEX(Evidence_Index!$M$5:$M$204,MATCH(B107,Evidence_Index!$A$5:$A$204,0)),"")</f>
        <v/>
      </c>
      <c r="E107" s="17"/>
      <c r="F107" s="17"/>
      <c r="G107" s="17"/>
      <c r="H107" s="20" t="str">
        <f aca="false">IF(OR(D107="",G107=""),"",D107-G107)</f>
        <v/>
      </c>
      <c r="I107" s="17"/>
      <c r="J107" s="17"/>
      <c r="K107" s="17"/>
      <c r="L107" s="17"/>
      <c r="M107" s="19"/>
      <c r="N107" s="17"/>
      <c r="O107" s="20" t="str">
        <f aca="false">IF(A107="","",IF(COUNTIF(Evidence_Index!$A$5:$A$204,B107)=0,"EV-ID not in index",IF(OR(E107="",I107=""),"Completeness and accuracy procedures needed",IF(AND(N107="Pass",H107&lt;&gt;0),"Pass requires counts to agree (or explain)",IF(AND(N107="Pass",OR(K107&lt;&gt;"Y",J107="")),"Pass requires parameter evidence and traced records","OK")))))</f>
        <v/>
      </c>
    </row>
    <row r="108" customFormat="false" ht="15" hidden="false" customHeight="false" outlineLevel="0" collapsed="false">
      <c r="A108" s="17"/>
      <c r="B108" s="17"/>
      <c r="C108" s="20" t="str">
        <f aca="false">IFERROR(INDEX(Evidence_Index!$F$5:$F$204,MATCH(B108,Evidence_Index!$A$5:$A$204,0)),"")</f>
        <v/>
      </c>
      <c r="D108" s="20" t="str">
        <f aca="false">IFERROR(INDEX(Evidence_Index!$M$5:$M$204,MATCH(B108,Evidence_Index!$A$5:$A$204,0)),"")</f>
        <v/>
      </c>
      <c r="E108" s="17"/>
      <c r="F108" s="17"/>
      <c r="G108" s="17"/>
      <c r="H108" s="20" t="str">
        <f aca="false">IF(OR(D108="",G108=""),"",D108-G108)</f>
        <v/>
      </c>
      <c r="I108" s="17"/>
      <c r="J108" s="17"/>
      <c r="K108" s="17"/>
      <c r="L108" s="17"/>
      <c r="M108" s="19"/>
      <c r="N108" s="17"/>
      <c r="O108" s="20" t="str">
        <f aca="false">IF(A108="","",IF(COUNTIF(Evidence_Index!$A$5:$A$204,B108)=0,"EV-ID not in index",IF(OR(E108="",I108=""),"Completeness and accuracy procedures needed",IF(AND(N108="Pass",H108&lt;&gt;0),"Pass requires counts to agree (or explain)",IF(AND(N108="Pass",OR(K108&lt;&gt;"Y",J108="")),"Pass requires parameter evidence and traced records","OK")))))</f>
        <v/>
      </c>
    </row>
    <row r="109" customFormat="false" ht="15" hidden="false" customHeight="false" outlineLevel="0" collapsed="false">
      <c r="A109" s="17"/>
      <c r="B109" s="17"/>
      <c r="C109" s="20" t="str">
        <f aca="false">IFERROR(INDEX(Evidence_Index!$F$5:$F$204,MATCH(B109,Evidence_Index!$A$5:$A$204,0)),"")</f>
        <v/>
      </c>
      <c r="D109" s="20" t="str">
        <f aca="false">IFERROR(INDEX(Evidence_Index!$M$5:$M$204,MATCH(B109,Evidence_Index!$A$5:$A$204,0)),"")</f>
        <v/>
      </c>
      <c r="E109" s="17"/>
      <c r="F109" s="17"/>
      <c r="G109" s="17"/>
      <c r="H109" s="20" t="str">
        <f aca="false">IF(OR(D109="",G109=""),"",D109-G109)</f>
        <v/>
      </c>
      <c r="I109" s="17"/>
      <c r="J109" s="17"/>
      <c r="K109" s="17"/>
      <c r="L109" s="17"/>
      <c r="M109" s="19"/>
      <c r="N109" s="17"/>
      <c r="O109" s="20" t="str">
        <f aca="false">IF(A109="","",IF(COUNTIF(Evidence_Index!$A$5:$A$204,B109)=0,"EV-ID not in index",IF(OR(E109="",I109=""),"Completeness and accuracy procedures needed",IF(AND(N109="Pass",H109&lt;&gt;0),"Pass requires counts to agree (or explain)",IF(AND(N109="Pass",OR(K109&lt;&gt;"Y",J109="")),"Pass requires parameter evidence and traced records","OK")))))</f>
        <v/>
      </c>
    </row>
    <row r="110" customFormat="false" ht="15" hidden="false" customHeight="false" outlineLevel="0" collapsed="false">
      <c r="A110" s="17"/>
      <c r="B110" s="17"/>
      <c r="C110" s="20" t="str">
        <f aca="false">IFERROR(INDEX(Evidence_Index!$F$5:$F$204,MATCH(B110,Evidence_Index!$A$5:$A$204,0)),"")</f>
        <v/>
      </c>
      <c r="D110" s="20" t="str">
        <f aca="false">IFERROR(INDEX(Evidence_Index!$M$5:$M$204,MATCH(B110,Evidence_Index!$A$5:$A$204,0)),"")</f>
        <v/>
      </c>
      <c r="E110" s="17"/>
      <c r="F110" s="17"/>
      <c r="G110" s="17"/>
      <c r="H110" s="20" t="str">
        <f aca="false">IF(OR(D110="",G110=""),"",D110-G110)</f>
        <v/>
      </c>
      <c r="I110" s="17"/>
      <c r="J110" s="17"/>
      <c r="K110" s="17"/>
      <c r="L110" s="17"/>
      <c r="M110" s="19"/>
      <c r="N110" s="17"/>
      <c r="O110" s="20" t="str">
        <f aca="false">IF(A110="","",IF(COUNTIF(Evidence_Index!$A$5:$A$204,B110)=0,"EV-ID not in index",IF(OR(E110="",I110=""),"Completeness and accuracy procedures needed",IF(AND(N110="Pass",H110&lt;&gt;0),"Pass requires counts to agree (or explain)",IF(AND(N110="Pass",OR(K110&lt;&gt;"Y",J110="")),"Pass requires parameter evidence and traced records","OK")))))</f>
        <v/>
      </c>
    </row>
    <row r="111" customFormat="false" ht="15" hidden="false" customHeight="false" outlineLevel="0" collapsed="false">
      <c r="A111" s="17"/>
      <c r="B111" s="17"/>
      <c r="C111" s="20" t="str">
        <f aca="false">IFERROR(INDEX(Evidence_Index!$F$5:$F$204,MATCH(B111,Evidence_Index!$A$5:$A$204,0)),"")</f>
        <v/>
      </c>
      <c r="D111" s="20" t="str">
        <f aca="false">IFERROR(INDEX(Evidence_Index!$M$5:$M$204,MATCH(B111,Evidence_Index!$A$5:$A$204,0)),"")</f>
        <v/>
      </c>
      <c r="E111" s="17"/>
      <c r="F111" s="17"/>
      <c r="G111" s="17"/>
      <c r="H111" s="20" t="str">
        <f aca="false">IF(OR(D111="",G111=""),"",D111-G111)</f>
        <v/>
      </c>
      <c r="I111" s="17"/>
      <c r="J111" s="17"/>
      <c r="K111" s="17"/>
      <c r="L111" s="17"/>
      <c r="M111" s="19"/>
      <c r="N111" s="17"/>
      <c r="O111" s="20" t="str">
        <f aca="false">IF(A111="","",IF(COUNTIF(Evidence_Index!$A$5:$A$204,B111)=0,"EV-ID not in index",IF(OR(E111="",I111=""),"Completeness and accuracy procedures needed",IF(AND(N111="Pass",H111&lt;&gt;0),"Pass requires counts to agree (or explain)",IF(AND(N111="Pass",OR(K111&lt;&gt;"Y",J111="")),"Pass requires parameter evidence and traced records","OK")))))</f>
        <v/>
      </c>
    </row>
    <row r="112" customFormat="false" ht="15" hidden="false" customHeight="false" outlineLevel="0" collapsed="false">
      <c r="A112" s="17"/>
      <c r="B112" s="17"/>
      <c r="C112" s="20" t="str">
        <f aca="false">IFERROR(INDEX(Evidence_Index!$F$5:$F$204,MATCH(B112,Evidence_Index!$A$5:$A$204,0)),"")</f>
        <v/>
      </c>
      <c r="D112" s="20" t="str">
        <f aca="false">IFERROR(INDEX(Evidence_Index!$M$5:$M$204,MATCH(B112,Evidence_Index!$A$5:$A$204,0)),"")</f>
        <v/>
      </c>
      <c r="E112" s="17"/>
      <c r="F112" s="17"/>
      <c r="G112" s="17"/>
      <c r="H112" s="20" t="str">
        <f aca="false">IF(OR(D112="",G112=""),"",D112-G112)</f>
        <v/>
      </c>
      <c r="I112" s="17"/>
      <c r="J112" s="17"/>
      <c r="K112" s="17"/>
      <c r="L112" s="17"/>
      <c r="M112" s="19"/>
      <c r="N112" s="17"/>
      <c r="O112" s="20" t="str">
        <f aca="false">IF(A112="","",IF(COUNTIF(Evidence_Index!$A$5:$A$204,B112)=0,"EV-ID not in index",IF(OR(E112="",I112=""),"Completeness and accuracy procedures needed",IF(AND(N112="Pass",H112&lt;&gt;0),"Pass requires counts to agree (or explain)",IF(AND(N112="Pass",OR(K112&lt;&gt;"Y",J112="")),"Pass requires parameter evidence and traced records","OK")))))</f>
        <v/>
      </c>
    </row>
    <row r="113" customFormat="false" ht="15" hidden="false" customHeight="false" outlineLevel="0" collapsed="false">
      <c r="A113" s="17"/>
      <c r="B113" s="17"/>
      <c r="C113" s="20" t="str">
        <f aca="false">IFERROR(INDEX(Evidence_Index!$F$5:$F$204,MATCH(B113,Evidence_Index!$A$5:$A$204,0)),"")</f>
        <v/>
      </c>
      <c r="D113" s="20" t="str">
        <f aca="false">IFERROR(INDEX(Evidence_Index!$M$5:$M$204,MATCH(B113,Evidence_Index!$A$5:$A$204,0)),"")</f>
        <v/>
      </c>
      <c r="E113" s="17"/>
      <c r="F113" s="17"/>
      <c r="G113" s="17"/>
      <c r="H113" s="20" t="str">
        <f aca="false">IF(OR(D113="",G113=""),"",D113-G113)</f>
        <v/>
      </c>
      <c r="I113" s="17"/>
      <c r="J113" s="17"/>
      <c r="K113" s="17"/>
      <c r="L113" s="17"/>
      <c r="M113" s="19"/>
      <c r="N113" s="17"/>
      <c r="O113" s="20" t="str">
        <f aca="false">IF(A113="","",IF(COUNTIF(Evidence_Index!$A$5:$A$204,B113)=0,"EV-ID not in index",IF(OR(E113="",I113=""),"Completeness and accuracy procedures needed",IF(AND(N113="Pass",H113&lt;&gt;0),"Pass requires counts to agree (or explain)",IF(AND(N113="Pass",OR(K113&lt;&gt;"Y",J113="")),"Pass requires parameter evidence and traced records","OK")))))</f>
        <v/>
      </c>
    </row>
    <row r="114" customFormat="false" ht="15" hidden="false" customHeight="false" outlineLevel="0" collapsed="false">
      <c r="A114" s="17"/>
      <c r="B114" s="17"/>
      <c r="C114" s="20" t="str">
        <f aca="false">IFERROR(INDEX(Evidence_Index!$F$5:$F$204,MATCH(B114,Evidence_Index!$A$5:$A$204,0)),"")</f>
        <v/>
      </c>
      <c r="D114" s="20" t="str">
        <f aca="false">IFERROR(INDEX(Evidence_Index!$M$5:$M$204,MATCH(B114,Evidence_Index!$A$5:$A$204,0)),"")</f>
        <v/>
      </c>
      <c r="E114" s="17"/>
      <c r="F114" s="17"/>
      <c r="G114" s="17"/>
      <c r="H114" s="20" t="str">
        <f aca="false">IF(OR(D114="",G114=""),"",D114-G114)</f>
        <v/>
      </c>
      <c r="I114" s="17"/>
      <c r="J114" s="17"/>
      <c r="K114" s="17"/>
      <c r="L114" s="17"/>
      <c r="M114" s="19"/>
      <c r="N114" s="17"/>
      <c r="O114" s="20" t="str">
        <f aca="false">IF(A114="","",IF(COUNTIF(Evidence_Index!$A$5:$A$204,B114)=0,"EV-ID not in index",IF(OR(E114="",I114=""),"Completeness and accuracy procedures needed",IF(AND(N114="Pass",H114&lt;&gt;0),"Pass requires counts to agree (or explain)",IF(AND(N114="Pass",OR(K114&lt;&gt;"Y",J114="")),"Pass requires parameter evidence and traced records","OK")))))</f>
        <v/>
      </c>
    </row>
    <row r="115" customFormat="false" ht="15" hidden="false" customHeight="false" outlineLevel="0" collapsed="false">
      <c r="A115" s="17"/>
      <c r="B115" s="17"/>
      <c r="C115" s="20" t="str">
        <f aca="false">IFERROR(INDEX(Evidence_Index!$F$5:$F$204,MATCH(B115,Evidence_Index!$A$5:$A$204,0)),"")</f>
        <v/>
      </c>
      <c r="D115" s="20" t="str">
        <f aca="false">IFERROR(INDEX(Evidence_Index!$M$5:$M$204,MATCH(B115,Evidence_Index!$A$5:$A$204,0)),"")</f>
        <v/>
      </c>
      <c r="E115" s="17"/>
      <c r="F115" s="17"/>
      <c r="G115" s="17"/>
      <c r="H115" s="20" t="str">
        <f aca="false">IF(OR(D115="",G115=""),"",D115-G115)</f>
        <v/>
      </c>
      <c r="I115" s="17"/>
      <c r="J115" s="17"/>
      <c r="K115" s="17"/>
      <c r="L115" s="17"/>
      <c r="M115" s="19"/>
      <c r="N115" s="17"/>
      <c r="O115" s="20" t="str">
        <f aca="false">IF(A115="","",IF(COUNTIF(Evidence_Index!$A$5:$A$204,B115)=0,"EV-ID not in index",IF(OR(E115="",I115=""),"Completeness and accuracy procedures needed",IF(AND(N115="Pass",H115&lt;&gt;0),"Pass requires counts to agree (or explain)",IF(AND(N115="Pass",OR(K115&lt;&gt;"Y",J115="")),"Pass requires parameter evidence and traced records","OK")))))</f>
        <v/>
      </c>
    </row>
    <row r="116" customFormat="false" ht="15" hidden="false" customHeight="false" outlineLevel="0" collapsed="false">
      <c r="A116" s="17"/>
      <c r="B116" s="17"/>
      <c r="C116" s="20" t="str">
        <f aca="false">IFERROR(INDEX(Evidence_Index!$F$5:$F$204,MATCH(B116,Evidence_Index!$A$5:$A$204,0)),"")</f>
        <v/>
      </c>
      <c r="D116" s="20" t="str">
        <f aca="false">IFERROR(INDEX(Evidence_Index!$M$5:$M$204,MATCH(B116,Evidence_Index!$A$5:$A$204,0)),"")</f>
        <v/>
      </c>
      <c r="E116" s="17"/>
      <c r="F116" s="17"/>
      <c r="G116" s="17"/>
      <c r="H116" s="20" t="str">
        <f aca="false">IF(OR(D116="",G116=""),"",D116-G116)</f>
        <v/>
      </c>
      <c r="I116" s="17"/>
      <c r="J116" s="17"/>
      <c r="K116" s="17"/>
      <c r="L116" s="17"/>
      <c r="M116" s="19"/>
      <c r="N116" s="17"/>
      <c r="O116" s="20" t="str">
        <f aca="false">IF(A116="","",IF(COUNTIF(Evidence_Index!$A$5:$A$204,B116)=0,"EV-ID not in index",IF(OR(E116="",I116=""),"Completeness and accuracy procedures needed",IF(AND(N116="Pass",H116&lt;&gt;0),"Pass requires counts to agree (or explain)",IF(AND(N116="Pass",OR(K116&lt;&gt;"Y",J116="")),"Pass requires parameter evidence and traced records","OK")))))</f>
        <v/>
      </c>
    </row>
    <row r="117" customFormat="false" ht="15" hidden="false" customHeight="false" outlineLevel="0" collapsed="false">
      <c r="A117" s="17"/>
      <c r="B117" s="17"/>
      <c r="C117" s="20" t="str">
        <f aca="false">IFERROR(INDEX(Evidence_Index!$F$5:$F$204,MATCH(B117,Evidence_Index!$A$5:$A$204,0)),"")</f>
        <v/>
      </c>
      <c r="D117" s="20" t="str">
        <f aca="false">IFERROR(INDEX(Evidence_Index!$M$5:$M$204,MATCH(B117,Evidence_Index!$A$5:$A$204,0)),"")</f>
        <v/>
      </c>
      <c r="E117" s="17"/>
      <c r="F117" s="17"/>
      <c r="G117" s="17"/>
      <c r="H117" s="20" t="str">
        <f aca="false">IF(OR(D117="",G117=""),"",D117-G117)</f>
        <v/>
      </c>
      <c r="I117" s="17"/>
      <c r="J117" s="17"/>
      <c r="K117" s="17"/>
      <c r="L117" s="17"/>
      <c r="M117" s="19"/>
      <c r="N117" s="17"/>
      <c r="O117" s="20" t="str">
        <f aca="false">IF(A117="","",IF(COUNTIF(Evidence_Index!$A$5:$A$204,B117)=0,"EV-ID not in index",IF(OR(E117="",I117=""),"Completeness and accuracy procedures needed",IF(AND(N117="Pass",H117&lt;&gt;0),"Pass requires counts to agree (or explain)",IF(AND(N117="Pass",OR(K117&lt;&gt;"Y",J117="")),"Pass requires parameter evidence and traced records","OK")))))</f>
        <v/>
      </c>
    </row>
    <row r="118" customFormat="false" ht="15" hidden="false" customHeight="false" outlineLevel="0" collapsed="false">
      <c r="A118" s="17"/>
      <c r="B118" s="17"/>
      <c r="C118" s="20" t="str">
        <f aca="false">IFERROR(INDEX(Evidence_Index!$F$5:$F$204,MATCH(B118,Evidence_Index!$A$5:$A$204,0)),"")</f>
        <v/>
      </c>
      <c r="D118" s="20" t="str">
        <f aca="false">IFERROR(INDEX(Evidence_Index!$M$5:$M$204,MATCH(B118,Evidence_Index!$A$5:$A$204,0)),"")</f>
        <v/>
      </c>
      <c r="E118" s="17"/>
      <c r="F118" s="17"/>
      <c r="G118" s="17"/>
      <c r="H118" s="20" t="str">
        <f aca="false">IF(OR(D118="",G118=""),"",D118-G118)</f>
        <v/>
      </c>
      <c r="I118" s="17"/>
      <c r="J118" s="17"/>
      <c r="K118" s="17"/>
      <c r="L118" s="17"/>
      <c r="M118" s="19"/>
      <c r="N118" s="17"/>
      <c r="O118" s="20" t="str">
        <f aca="false">IF(A118="","",IF(COUNTIF(Evidence_Index!$A$5:$A$204,B118)=0,"EV-ID not in index",IF(OR(E118="",I118=""),"Completeness and accuracy procedures needed",IF(AND(N118="Pass",H118&lt;&gt;0),"Pass requires counts to agree (or explain)",IF(AND(N118="Pass",OR(K118&lt;&gt;"Y",J118="")),"Pass requires parameter evidence and traced records","OK")))))</f>
        <v/>
      </c>
    </row>
    <row r="119" customFormat="false" ht="15" hidden="false" customHeight="false" outlineLevel="0" collapsed="false">
      <c r="A119" s="17"/>
      <c r="B119" s="17"/>
      <c r="C119" s="20" t="str">
        <f aca="false">IFERROR(INDEX(Evidence_Index!$F$5:$F$204,MATCH(B119,Evidence_Index!$A$5:$A$204,0)),"")</f>
        <v/>
      </c>
      <c r="D119" s="20" t="str">
        <f aca="false">IFERROR(INDEX(Evidence_Index!$M$5:$M$204,MATCH(B119,Evidence_Index!$A$5:$A$204,0)),"")</f>
        <v/>
      </c>
      <c r="E119" s="17"/>
      <c r="F119" s="17"/>
      <c r="G119" s="17"/>
      <c r="H119" s="20" t="str">
        <f aca="false">IF(OR(D119="",G119=""),"",D119-G119)</f>
        <v/>
      </c>
      <c r="I119" s="17"/>
      <c r="J119" s="17"/>
      <c r="K119" s="17"/>
      <c r="L119" s="17"/>
      <c r="M119" s="19"/>
      <c r="N119" s="17"/>
      <c r="O119" s="20" t="str">
        <f aca="false">IF(A119="","",IF(COUNTIF(Evidence_Index!$A$5:$A$204,B119)=0,"EV-ID not in index",IF(OR(E119="",I119=""),"Completeness and accuracy procedures needed",IF(AND(N119="Pass",H119&lt;&gt;0),"Pass requires counts to agree (or explain)",IF(AND(N119="Pass",OR(K119&lt;&gt;"Y",J119="")),"Pass requires parameter evidence and traced records","OK")))))</f>
        <v/>
      </c>
    </row>
    <row r="120" customFormat="false" ht="15" hidden="false" customHeight="false" outlineLevel="0" collapsed="false">
      <c r="A120" s="17"/>
      <c r="B120" s="17"/>
      <c r="C120" s="20" t="str">
        <f aca="false">IFERROR(INDEX(Evidence_Index!$F$5:$F$204,MATCH(B120,Evidence_Index!$A$5:$A$204,0)),"")</f>
        <v/>
      </c>
      <c r="D120" s="20" t="str">
        <f aca="false">IFERROR(INDEX(Evidence_Index!$M$5:$M$204,MATCH(B120,Evidence_Index!$A$5:$A$204,0)),"")</f>
        <v/>
      </c>
      <c r="E120" s="17"/>
      <c r="F120" s="17"/>
      <c r="G120" s="17"/>
      <c r="H120" s="20" t="str">
        <f aca="false">IF(OR(D120="",G120=""),"",D120-G120)</f>
        <v/>
      </c>
      <c r="I120" s="17"/>
      <c r="J120" s="17"/>
      <c r="K120" s="17"/>
      <c r="L120" s="17"/>
      <c r="M120" s="19"/>
      <c r="N120" s="17"/>
      <c r="O120" s="20" t="str">
        <f aca="false">IF(A120="","",IF(COUNTIF(Evidence_Index!$A$5:$A$204,B120)=0,"EV-ID not in index",IF(OR(E120="",I120=""),"Completeness and accuracy procedures needed",IF(AND(N120="Pass",H120&lt;&gt;0),"Pass requires counts to agree (or explain)",IF(AND(N120="Pass",OR(K120&lt;&gt;"Y",J120="")),"Pass requires parameter evidence and traced records","OK")))))</f>
        <v/>
      </c>
    </row>
    <row r="121" customFormat="false" ht="15" hidden="false" customHeight="false" outlineLevel="0" collapsed="false">
      <c r="A121" s="17"/>
      <c r="B121" s="17"/>
      <c r="C121" s="20" t="str">
        <f aca="false">IFERROR(INDEX(Evidence_Index!$F$5:$F$204,MATCH(B121,Evidence_Index!$A$5:$A$204,0)),"")</f>
        <v/>
      </c>
      <c r="D121" s="20" t="str">
        <f aca="false">IFERROR(INDEX(Evidence_Index!$M$5:$M$204,MATCH(B121,Evidence_Index!$A$5:$A$204,0)),"")</f>
        <v/>
      </c>
      <c r="E121" s="17"/>
      <c r="F121" s="17"/>
      <c r="G121" s="17"/>
      <c r="H121" s="20" t="str">
        <f aca="false">IF(OR(D121="",G121=""),"",D121-G121)</f>
        <v/>
      </c>
      <c r="I121" s="17"/>
      <c r="J121" s="17"/>
      <c r="K121" s="17"/>
      <c r="L121" s="17"/>
      <c r="M121" s="19"/>
      <c r="N121" s="17"/>
      <c r="O121" s="20" t="str">
        <f aca="false">IF(A121="","",IF(COUNTIF(Evidence_Index!$A$5:$A$204,B121)=0,"EV-ID not in index",IF(OR(E121="",I121=""),"Completeness and accuracy procedures needed",IF(AND(N121="Pass",H121&lt;&gt;0),"Pass requires counts to agree (or explain)",IF(AND(N121="Pass",OR(K121&lt;&gt;"Y",J121="")),"Pass requires parameter evidence and traced records","OK")))))</f>
        <v/>
      </c>
    </row>
    <row r="122" customFormat="false" ht="15" hidden="false" customHeight="false" outlineLevel="0" collapsed="false">
      <c r="A122" s="17"/>
      <c r="B122" s="17"/>
      <c r="C122" s="20" t="str">
        <f aca="false">IFERROR(INDEX(Evidence_Index!$F$5:$F$204,MATCH(B122,Evidence_Index!$A$5:$A$204,0)),"")</f>
        <v/>
      </c>
      <c r="D122" s="20" t="str">
        <f aca="false">IFERROR(INDEX(Evidence_Index!$M$5:$M$204,MATCH(B122,Evidence_Index!$A$5:$A$204,0)),"")</f>
        <v/>
      </c>
      <c r="E122" s="17"/>
      <c r="F122" s="17"/>
      <c r="G122" s="17"/>
      <c r="H122" s="20" t="str">
        <f aca="false">IF(OR(D122="",G122=""),"",D122-G122)</f>
        <v/>
      </c>
      <c r="I122" s="17"/>
      <c r="J122" s="17"/>
      <c r="K122" s="17"/>
      <c r="L122" s="17"/>
      <c r="M122" s="19"/>
      <c r="N122" s="17"/>
      <c r="O122" s="20" t="str">
        <f aca="false">IF(A122="","",IF(COUNTIF(Evidence_Index!$A$5:$A$204,B122)=0,"EV-ID not in index",IF(OR(E122="",I122=""),"Completeness and accuracy procedures needed",IF(AND(N122="Pass",H122&lt;&gt;0),"Pass requires counts to agree (or explain)",IF(AND(N122="Pass",OR(K122&lt;&gt;"Y",J122="")),"Pass requires parameter evidence and traced records","OK")))))</f>
        <v/>
      </c>
    </row>
    <row r="123" customFormat="false" ht="15" hidden="false" customHeight="false" outlineLevel="0" collapsed="false">
      <c r="A123" s="17"/>
      <c r="B123" s="17"/>
      <c r="C123" s="20" t="str">
        <f aca="false">IFERROR(INDEX(Evidence_Index!$F$5:$F$204,MATCH(B123,Evidence_Index!$A$5:$A$204,0)),"")</f>
        <v/>
      </c>
      <c r="D123" s="20" t="str">
        <f aca="false">IFERROR(INDEX(Evidence_Index!$M$5:$M$204,MATCH(B123,Evidence_Index!$A$5:$A$204,0)),"")</f>
        <v/>
      </c>
      <c r="E123" s="17"/>
      <c r="F123" s="17"/>
      <c r="G123" s="17"/>
      <c r="H123" s="20" t="str">
        <f aca="false">IF(OR(D123="",G123=""),"",D123-G123)</f>
        <v/>
      </c>
      <c r="I123" s="17"/>
      <c r="J123" s="17"/>
      <c r="K123" s="17"/>
      <c r="L123" s="17"/>
      <c r="M123" s="19"/>
      <c r="N123" s="17"/>
      <c r="O123" s="20" t="str">
        <f aca="false">IF(A123="","",IF(COUNTIF(Evidence_Index!$A$5:$A$204,B123)=0,"EV-ID not in index",IF(OR(E123="",I123=""),"Completeness and accuracy procedures needed",IF(AND(N123="Pass",H123&lt;&gt;0),"Pass requires counts to agree (or explain)",IF(AND(N123="Pass",OR(K123&lt;&gt;"Y",J123="")),"Pass requires parameter evidence and traced records","OK")))))</f>
        <v/>
      </c>
    </row>
    <row r="124" customFormat="false" ht="15" hidden="false" customHeight="false" outlineLevel="0" collapsed="false">
      <c r="A124" s="17"/>
      <c r="B124" s="17"/>
      <c r="C124" s="20" t="str">
        <f aca="false">IFERROR(INDEX(Evidence_Index!$F$5:$F$204,MATCH(B124,Evidence_Index!$A$5:$A$204,0)),"")</f>
        <v/>
      </c>
      <c r="D124" s="20" t="str">
        <f aca="false">IFERROR(INDEX(Evidence_Index!$M$5:$M$204,MATCH(B124,Evidence_Index!$A$5:$A$204,0)),"")</f>
        <v/>
      </c>
      <c r="E124" s="17"/>
      <c r="F124" s="17"/>
      <c r="G124" s="17"/>
      <c r="H124" s="20" t="str">
        <f aca="false">IF(OR(D124="",G124=""),"",D124-G124)</f>
        <v/>
      </c>
      <c r="I124" s="17"/>
      <c r="J124" s="17"/>
      <c r="K124" s="17"/>
      <c r="L124" s="17"/>
      <c r="M124" s="19"/>
      <c r="N124" s="17"/>
      <c r="O124" s="20" t="str">
        <f aca="false">IF(A124="","",IF(COUNTIF(Evidence_Index!$A$5:$A$204,B124)=0,"EV-ID not in index",IF(OR(E124="",I124=""),"Completeness and accuracy procedures needed",IF(AND(N124="Pass",H124&lt;&gt;0),"Pass requires counts to agree (or explain)",IF(AND(N124="Pass",OR(K124&lt;&gt;"Y",J124="")),"Pass requires parameter evidence and traced records","OK")))))</f>
        <v/>
      </c>
    </row>
    <row r="125" customFormat="false" ht="15" hidden="false" customHeight="false" outlineLevel="0" collapsed="false">
      <c r="A125" s="17"/>
      <c r="B125" s="17"/>
      <c r="C125" s="20" t="str">
        <f aca="false">IFERROR(INDEX(Evidence_Index!$F$5:$F$204,MATCH(B125,Evidence_Index!$A$5:$A$204,0)),"")</f>
        <v/>
      </c>
      <c r="D125" s="20" t="str">
        <f aca="false">IFERROR(INDEX(Evidence_Index!$M$5:$M$204,MATCH(B125,Evidence_Index!$A$5:$A$204,0)),"")</f>
        <v/>
      </c>
      <c r="E125" s="17"/>
      <c r="F125" s="17"/>
      <c r="G125" s="17"/>
      <c r="H125" s="20" t="str">
        <f aca="false">IF(OR(D125="",G125=""),"",D125-G125)</f>
        <v/>
      </c>
      <c r="I125" s="17"/>
      <c r="J125" s="17"/>
      <c r="K125" s="17"/>
      <c r="L125" s="17"/>
      <c r="M125" s="19"/>
      <c r="N125" s="17"/>
      <c r="O125" s="20" t="str">
        <f aca="false">IF(A125="","",IF(COUNTIF(Evidence_Index!$A$5:$A$204,B125)=0,"EV-ID not in index",IF(OR(E125="",I125=""),"Completeness and accuracy procedures needed",IF(AND(N125="Pass",H125&lt;&gt;0),"Pass requires counts to agree (or explain)",IF(AND(N125="Pass",OR(K125&lt;&gt;"Y",J125="")),"Pass requires parameter evidence and traced records","OK")))))</f>
        <v/>
      </c>
    </row>
    <row r="126" customFormat="false" ht="15" hidden="false" customHeight="false" outlineLevel="0" collapsed="false">
      <c r="A126" s="17"/>
      <c r="B126" s="17"/>
      <c r="C126" s="20" t="str">
        <f aca="false">IFERROR(INDEX(Evidence_Index!$F$5:$F$204,MATCH(B126,Evidence_Index!$A$5:$A$204,0)),"")</f>
        <v/>
      </c>
      <c r="D126" s="20" t="str">
        <f aca="false">IFERROR(INDEX(Evidence_Index!$M$5:$M$204,MATCH(B126,Evidence_Index!$A$5:$A$204,0)),"")</f>
        <v/>
      </c>
      <c r="E126" s="17"/>
      <c r="F126" s="17"/>
      <c r="G126" s="17"/>
      <c r="H126" s="20" t="str">
        <f aca="false">IF(OR(D126="",G126=""),"",D126-G126)</f>
        <v/>
      </c>
      <c r="I126" s="17"/>
      <c r="J126" s="17"/>
      <c r="K126" s="17"/>
      <c r="L126" s="17"/>
      <c r="M126" s="19"/>
      <c r="N126" s="17"/>
      <c r="O126" s="20" t="str">
        <f aca="false">IF(A126="","",IF(COUNTIF(Evidence_Index!$A$5:$A$204,B126)=0,"EV-ID not in index",IF(OR(E126="",I126=""),"Completeness and accuracy procedures needed",IF(AND(N126="Pass",H126&lt;&gt;0),"Pass requires counts to agree (or explain)",IF(AND(N126="Pass",OR(K126&lt;&gt;"Y",J126="")),"Pass requires parameter evidence and traced records","OK")))))</f>
        <v/>
      </c>
    </row>
    <row r="127" customFormat="false" ht="15" hidden="false" customHeight="false" outlineLevel="0" collapsed="false">
      <c r="A127" s="17"/>
      <c r="B127" s="17"/>
      <c r="C127" s="20" t="str">
        <f aca="false">IFERROR(INDEX(Evidence_Index!$F$5:$F$204,MATCH(B127,Evidence_Index!$A$5:$A$204,0)),"")</f>
        <v/>
      </c>
      <c r="D127" s="20" t="str">
        <f aca="false">IFERROR(INDEX(Evidence_Index!$M$5:$M$204,MATCH(B127,Evidence_Index!$A$5:$A$204,0)),"")</f>
        <v/>
      </c>
      <c r="E127" s="17"/>
      <c r="F127" s="17"/>
      <c r="G127" s="17"/>
      <c r="H127" s="20" t="str">
        <f aca="false">IF(OR(D127="",G127=""),"",D127-G127)</f>
        <v/>
      </c>
      <c r="I127" s="17"/>
      <c r="J127" s="17"/>
      <c r="K127" s="17"/>
      <c r="L127" s="17"/>
      <c r="M127" s="19"/>
      <c r="N127" s="17"/>
      <c r="O127" s="20" t="str">
        <f aca="false">IF(A127="","",IF(COUNTIF(Evidence_Index!$A$5:$A$204,B127)=0,"EV-ID not in index",IF(OR(E127="",I127=""),"Completeness and accuracy procedures needed",IF(AND(N127="Pass",H127&lt;&gt;0),"Pass requires counts to agree (or explain)",IF(AND(N127="Pass",OR(K127&lt;&gt;"Y",J127="")),"Pass requires parameter evidence and traced records","OK")))))</f>
        <v/>
      </c>
    </row>
    <row r="128" customFormat="false" ht="15" hidden="false" customHeight="false" outlineLevel="0" collapsed="false">
      <c r="A128" s="17"/>
      <c r="B128" s="17"/>
      <c r="C128" s="20" t="str">
        <f aca="false">IFERROR(INDEX(Evidence_Index!$F$5:$F$204,MATCH(B128,Evidence_Index!$A$5:$A$204,0)),"")</f>
        <v/>
      </c>
      <c r="D128" s="20" t="str">
        <f aca="false">IFERROR(INDEX(Evidence_Index!$M$5:$M$204,MATCH(B128,Evidence_Index!$A$5:$A$204,0)),"")</f>
        <v/>
      </c>
      <c r="E128" s="17"/>
      <c r="F128" s="17"/>
      <c r="G128" s="17"/>
      <c r="H128" s="20" t="str">
        <f aca="false">IF(OR(D128="",G128=""),"",D128-G128)</f>
        <v/>
      </c>
      <c r="I128" s="17"/>
      <c r="J128" s="17"/>
      <c r="K128" s="17"/>
      <c r="L128" s="17"/>
      <c r="M128" s="19"/>
      <c r="N128" s="17"/>
      <c r="O128" s="20" t="str">
        <f aca="false">IF(A128="","",IF(COUNTIF(Evidence_Index!$A$5:$A$204,B128)=0,"EV-ID not in index",IF(OR(E128="",I128=""),"Completeness and accuracy procedures needed",IF(AND(N128="Pass",H128&lt;&gt;0),"Pass requires counts to agree (or explain)",IF(AND(N128="Pass",OR(K128&lt;&gt;"Y",J128="")),"Pass requires parameter evidence and traced records","OK")))))</f>
        <v/>
      </c>
    </row>
    <row r="129" customFormat="false" ht="15" hidden="false" customHeight="false" outlineLevel="0" collapsed="false">
      <c r="A129" s="17"/>
      <c r="B129" s="17"/>
      <c r="C129" s="20" t="str">
        <f aca="false">IFERROR(INDEX(Evidence_Index!$F$5:$F$204,MATCH(B129,Evidence_Index!$A$5:$A$204,0)),"")</f>
        <v/>
      </c>
      <c r="D129" s="20" t="str">
        <f aca="false">IFERROR(INDEX(Evidence_Index!$M$5:$M$204,MATCH(B129,Evidence_Index!$A$5:$A$204,0)),"")</f>
        <v/>
      </c>
      <c r="E129" s="17"/>
      <c r="F129" s="17"/>
      <c r="G129" s="17"/>
      <c r="H129" s="20" t="str">
        <f aca="false">IF(OR(D129="",G129=""),"",D129-G129)</f>
        <v/>
      </c>
      <c r="I129" s="17"/>
      <c r="J129" s="17"/>
      <c r="K129" s="17"/>
      <c r="L129" s="17"/>
      <c r="M129" s="19"/>
      <c r="N129" s="17"/>
      <c r="O129" s="20" t="str">
        <f aca="false">IF(A129="","",IF(COUNTIF(Evidence_Index!$A$5:$A$204,B129)=0,"EV-ID not in index",IF(OR(E129="",I129=""),"Completeness and accuracy procedures needed",IF(AND(N129="Pass",H129&lt;&gt;0),"Pass requires counts to agree (or explain)",IF(AND(N129="Pass",OR(K129&lt;&gt;"Y",J129="")),"Pass requires parameter evidence and traced records","OK")))))</f>
        <v/>
      </c>
    </row>
    <row r="130" customFormat="false" ht="15" hidden="false" customHeight="false" outlineLevel="0" collapsed="false">
      <c r="A130" s="17"/>
      <c r="B130" s="17"/>
      <c r="C130" s="20" t="str">
        <f aca="false">IFERROR(INDEX(Evidence_Index!$F$5:$F$204,MATCH(B130,Evidence_Index!$A$5:$A$204,0)),"")</f>
        <v/>
      </c>
      <c r="D130" s="20" t="str">
        <f aca="false">IFERROR(INDEX(Evidence_Index!$M$5:$M$204,MATCH(B130,Evidence_Index!$A$5:$A$204,0)),"")</f>
        <v/>
      </c>
      <c r="E130" s="17"/>
      <c r="F130" s="17"/>
      <c r="G130" s="17"/>
      <c r="H130" s="20" t="str">
        <f aca="false">IF(OR(D130="",G130=""),"",D130-G130)</f>
        <v/>
      </c>
      <c r="I130" s="17"/>
      <c r="J130" s="17"/>
      <c r="K130" s="17"/>
      <c r="L130" s="17"/>
      <c r="M130" s="19"/>
      <c r="N130" s="17"/>
      <c r="O130" s="20" t="str">
        <f aca="false">IF(A130="","",IF(COUNTIF(Evidence_Index!$A$5:$A$204,B130)=0,"EV-ID not in index",IF(OR(E130="",I130=""),"Completeness and accuracy procedures needed",IF(AND(N130="Pass",H130&lt;&gt;0),"Pass requires counts to agree (or explain)",IF(AND(N130="Pass",OR(K130&lt;&gt;"Y",J130="")),"Pass requires parameter evidence and traced records","OK")))))</f>
        <v/>
      </c>
    </row>
    <row r="131" customFormat="false" ht="15" hidden="false" customHeight="false" outlineLevel="0" collapsed="false">
      <c r="A131" s="17"/>
      <c r="B131" s="17"/>
      <c r="C131" s="20" t="str">
        <f aca="false">IFERROR(INDEX(Evidence_Index!$F$5:$F$204,MATCH(B131,Evidence_Index!$A$5:$A$204,0)),"")</f>
        <v/>
      </c>
      <c r="D131" s="20" t="str">
        <f aca="false">IFERROR(INDEX(Evidence_Index!$M$5:$M$204,MATCH(B131,Evidence_Index!$A$5:$A$204,0)),"")</f>
        <v/>
      </c>
      <c r="E131" s="17"/>
      <c r="F131" s="17"/>
      <c r="G131" s="17"/>
      <c r="H131" s="20" t="str">
        <f aca="false">IF(OR(D131="",G131=""),"",D131-G131)</f>
        <v/>
      </c>
      <c r="I131" s="17"/>
      <c r="J131" s="17"/>
      <c r="K131" s="17"/>
      <c r="L131" s="17"/>
      <c r="M131" s="19"/>
      <c r="N131" s="17"/>
      <c r="O131" s="20" t="str">
        <f aca="false">IF(A131="","",IF(COUNTIF(Evidence_Index!$A$5:$A$204,B131)=0,"EV-ID not in index",IF(OR(E131="",I131=""),"Completeness and accuracy procedures needed",IF(AND(N131="Pass",H131&lt;&gt;0),"Pass requires counts to agree (or explain)",IF(AND(N131="Pass",OR(K131&lt;&gt;"Y",J131="")),"Pass requires parameter evidence and traced records","OK")))))</f>
        <v/>
      </c>
    </row>
    <row r="132" customFormat="false" ht="15" hidden="false" customHeight="false" outlineLevel="0" collapsed="false">
      <c r="A132" s="17"/>
      <c r="B132" s="17"/>
      <c r="C132" s="20" t="str">
        <f aca="false">IFERROR(INDEX(Evidence_Index!$F$5:$F$204,MATCH(B132,Evidence_Index!$A$5:$A$204,0)),"")</f>
        <v/>
      </c>
      <c r="D132" s="20" t="str">
        <f aca="false">IFERROR(INDEX(Evidence_Index!$M$5:$M$204,MATCH(B132,Evidence_Index!$A$5:$A$204,0)),"")</f>
        <v/>
      </c>
      <c r="E132" s="17"/>
      <c r="F132" s="17"/>
      <c r="G132" s="17"/>
      <c r="H132" s="20" t="str">
        <f aca="false">IF(OR(D132="",G132=""),"",D132-G132)</f>
        <v/>
      </c>
      <c r="I132" s="17"/>
      <c r="J132" s="17"/>
      <c r="K132" s="17"/>
      <c r="L132" s="17"/>
      <c r="M132" s="19"/>
      <c r="N132" s="17"/>
      <c r="O132" s="20" t="str">
        <f aca="false">IF(A132="","",IF(COUNTIF(Evidence_Index!$A$5:$A$204,B132)=0,"EV-ID not in index",IF(OR(E132="",I132=""),"Completeness and accuracy procedures needed",IF(AND(N132="Pass",H132&lt;&gt;0),"Pass requires counts to agree (or explain)",IF(AND(N132="Pass",OR(K132&lt;&gt;"Y",J132="")),"Pass requires parameter evidence and traced records","OK")))))</f>
        <v/>
      </c>
    </row>
    <row r="133" customFormat="false" ht="15" hidden="false" customHeight="false" outlineLevel="0" collapsed="false">
      <c r="A133" s="17"/>
      <c r="B133" s="17"/>
      <c r="C133" s="20" t="str">
        <f aca="false">IFERROR(INDEX(Evidence_Index!$F$5:$F$204,MATCH(B133,Evidence_Index!$A$5:$A$204,0)),"")</f>
        <v/>
      </c>
      <c r="D133" s="20" t="str">
        <f aca="false">IFERROR(INDEX(Evidence_Index!$M$5:$M$204,MATCH(B133,Evidence_Index!$A$5:$A$204,0)),"")</f>
        <v/>
      </c>
      <c r="E133" s="17"/>
      <c r="F133" s="17"/>
      <c r="G133" s="17"/>
      <c r="H133" s="20" t="str">
        <f aca="false">IF(OR(D133="",G133=""),"",D133-G133)</f>
        <v/>
      </c>
      <c r="I133" s="17"/>
      <c r="J133" s="17"/>
      <c r="K133" s="17"/>
      <c r="L133" s="17"/>
      <c r="M133" s="19"/>
      <c r="N133" s="17"/>
      <c r="O133" s="20" t="str">
        <f aca="false">IF(A133="","",IF(COUNTIF(Evidence_Index!$A$5:$A$204,B133)=0,"EV-ID not in index",IF(OR(E133="",I133=""),"Completeness and accuracy procedures needed",IF(AND(N133="Pass",H133&lt;&gt;0),"Pass requires counts to agree (or explain)",IF(AND(N133="Pass",OR(K133&lt;&gt;"Y",J133="")),"Pass requires parameter evidence and traced records","OK")))))</f>
        <v/>
      </c>
    </row>
    <row r="134" customFormat="false" ht="15" hidden="false" customHeight="false" outlineLevel="0" collapsed="false">
      <c r="A134" s="17"/>
      <c r="B134" s="17"/>
      <c r="C134" s="20" t="str">
        <f aca="false">IFERROR(INDEX(Evidence_Index!$F$5:$F$204,MATCH(B134,Evidence_Index!$A$5:$A$204,0)),"")</f>
        <v/>
      </c>
      <c r="D134" s="20" t="str">
        <f aca="false">IFERROR(INDEX(Evidence_Index!$M$5:$M$204,MATCH(B134,Evidence_Index!$A$5:$A$204,0)),"")</f>
        <v/>
      </c>
      <c r="E134" s="17"/>
      <c r="F134" s="17"/>
      <c r="G134" s="17"/>
      <c r="H134" s="20" t="str">
        <f aca="false">IF(OR(D134="",G134=""),"",D134-G134)</f>
        <v/>
      </c>
      <c r="I134" s="17"/>
      <c r="J134" s="17"/>
      <c r="K134" s="17"/>
      <c r="L134" s="17"/>
      <c r="M134" s="19"/>
      <c r="N134" s="17"/>
      <c r="O134" s="20" t="str">
        <f aca="false">IF(A134="","",IF(COUNTIF(Evidence_Index!$A$5:$A$204,B134)=0,"EV-ID not in index",IF(OR(E134="",I134=""),"Completeness and accuracy procedures needed",IF(AND(N134="Pass",H134&lt;&gt;0),"Pass requires counts to agree (or explain)",IF(AND(N134="Pass",OR(K134&lt;&gt;"Y",J134="")),"Pass requires parameter evidence and traced records","OK")))))</f>
        <v/>
      </c>
    </row>
    <row r="135" customFormat="false" ht="15" hidden="false" customHeight="false" outlineLevel="0" collapsed="false">
      <c r="A135" s="17"/>
      <c r="B135" s="17"/>
      <c r="C135" s="20" t="str">
        <f aca="false">IFERROR(INDEX(Evidence_Index!$F$5:$F$204,MATCH(B135,Evidence_Index!$A$5:$A$204,0)),"")</f>
        <v/>
      </c>
      <c r="D135" s="20" t="str">
        <f aca="false">IFERROR(INDEX(Evidence_Index!$M$5:$M$204,MATCH(B135,Evidence_Index!$A$5:$A$204,0)),"")</f>
        <v/>
      </c>
      <c r="E135" s="17"/>
      <c r="F135" s="17"/>
      <c r="G135" s="17"/>
      <c r="H135" s="20" t="str">
        <f aca="false">IF(OR(D135="",G135=""),"",D135-G135)</f>
        <v/>
      </c>
      <c r="I135" s="17"/>
      <c r="J135" s="17"/>
      <c r="K135" s="17"/>
      <c r="L135" s="17"/>
      <c r="M135" s="19"/>
      <c r="N135" s="17"/>
      <c r="O135" s="20" t="str">
        <f aca="false">IF(A135="","",IF(COUNTIF(Evidence_Index!$A$5:$A$204,B135)=0,"EV-ID not in index",IF(OR(E135="",I135=""),"Completeness and accuracy procedures needed",IF(AND(N135="Pass",H135&lt;&gt;0),"Pass requires counts to agree (or explain)",IF(AND(N135="Pass",OR(K135&lt;&gt;"Y",J135="")),"Pass requires parameter evidence and traced records","OK")))))</f>
        <v/>
      </c>
    </row>
    <row r="136" customFormat="false" ht="15" hidden="false" customHeight="false" outlineLevel="0" collapsed="false">
      <c r="A136" s="17"/>
      <c r="B136" s="17"/>
      <c r="C136" s="20" t="str">
        <f aca="false">IFERROR(INDEX(Evidence_Index!$F$5:$F$204,MATCH(B136,Evidence_Index!$A$5:$A$204,0)),"")</f>
        <v/>
      </c>
      <c r="D136" s="20" t="str">
        <f aca="false">IFERROR(INDEX(Evidence_Index!$M$5:$M$204,MATCH(B136,Evidence_Index!$A$5:$A$204,0)),"")</f>
        <v/>
      </c>
      <c r="E136" s="17"/>
      <c r="F136" s="17"/>
      <c r="G136" s="17"/>
      <c r="H136" s="20" t="str">
        <f aca="false">IF(OR(D136="",G136=""),"",D136-G136)</f>
        <v/>
      </c>
      <c r="I136" s="17"/>
      <c r="J136" s="17"/>
      <c r="K136" s="17"/>
      <c r="L136" s="17"/>
      <c r="M136" s="19"/>
      <c r="N136" s="17"/>
      <c r="O136" s="20" t="str">
        <f aca="false">IF(A136="","",IF(COUNTIF(Evidence_Index!$A$5:$A$204,B136)=0,"EV-ID not in index",IF(OR(E136="",I136=""),"Completeness and accuracy procedures needed",IF(AND(N136="Pass",H136&lt;&gt;0),"Pass requires counts to agree (or explain)",IF(AND(N136="Pass",OR(K136&lt;&gt;"Y",J136="")),"Pass requires parameter evidence and traced records","OK")))))</f>
        <v/>
      </c>
    </row>
    <row r="137" customFormat="false" ht="15" hidden="false" customHeight="false" outlineLevel="0" collapsed="false">
      <c r="A137" s="17"/>
      <c r="B137" s="17"/>
      <c r="C137" s="20" t="str">
        <f aca="false">IFERROR(INDEX(Evidence_Index!$F$5:$F$204,MATCH(B137,Evidence_Index!$A$5:$A$204,0)),"")</f>
        <v/>
      </c>
      <c r="D137" s="20" t="str">
        <f aca="false">IFERROR(INDEX(Evidence_Index!$M$5:$M$204,MATCH(B137,Evidence_Index!$A$5:$A$204,0)),"")</f>
        <v/>
      </c>
      <c r="E137" s="17"/>
      <c r="F137" s="17"/>
      <c r="G137" s="17"/>
      <c r="H137" s="20" t="str">
        <f aca="false">IF(OR(D137="",G137=""),"",D137-G137)</f>
        <v/>
      </c>
      <c r="I137" s="17"/>
      <c r="J137" s="17"/>
      <c r="K137" s="17"/>
      <c r="L137" s="17"/>
      <c r="M137" s="19"/>
      <c r="N137" s="17"/>
      <c r="O137" s="20" t="str">
        <f aca="false">IF(A137="","",IF(COUNTIF(Evidence_Index!$A$5:$A$204,B137)=0,"EV-ID not in index",IF(OR(E137="",I137=""),"Completeness and accuracy procedures needed",IF(AND(N137="Pass",H137&lt;&gt;0),"Pass requires counts to agree (or explain)",IF(AND(N137="Pass",OR(K137&lt;&gt;"Y",J137="")),"Pass requires parameter evidence and traced records","OK")))))</f>
        <v/>
      </c>
    </row>
    <row r="138" customFormat="false" ht="15" hidden="false" customHeight="false" outlineLevel="0" collapsed="false">
      <c r="A138" s="17"/>
      <c r="B138" s="17"/>
      <c r="C138" s="20" t="str">
        <f aca="false">IFERROR(INDEX(Evidence_Index!$F$5:$F$204,MATCH(B138,Evidence_Index!$A$5:$A$204,0)),"")</f>
        <v/>
      </c>
      <c r="D138" s="20" t="str">
        <f aca="false">IFERROR(INDEX(Evidence_Index!$M$5:$M$204,MATCH(B138,Evidence_Index!$A$5:$A$204,0)),"")</f>
        <v/>
      </c>
      <c r="E138" s="17"/>
      <c r="F138" s="17"/>
      <c r="G138" s="17"/>
      <c r="H138" s="20" t="str">
        <f aca="false">IF(OR(D138="",G138=""),"",D138-G138)</f>
        <v/>
      </c>
      <c r="I138" s="17"/>
      <c r="J138" s="17"/>
      <c r="K138" s="17"/>
      <c r="L138" s="17"/>
      <c r="M138" s="19"/>
      <c r="N138" s="17"/>
      <c r="O138" s="20" t="str">
        <f aca="false">IF(A138="","",IF(COUNTIF(Evidence_Index!$A$5:$A$204,B138)=0,"EV-ID not in index",IF(OR(E138="",I138=""),"Completeness and accuracy procedures needed",IF(AND(N138="Pass",H138&lt;&gt;0),"Pass requires counts to agree (or explain)",IF(AND(N138="Pass",OR(K138&lt;&gt;"Y",J138="")),"Pass requires parameter evidence and traced records","OK")))))</f>
        <v/>
      </c>
    </row>
    <row r="139" customFormat="false" ht="15" hidden="false" customHeight="false" outlineLevel="0" collapsed="false">
      <c r="A139" s="17"/>
      <c r="B139" s="17"/>
      <c r="C139" s="20" t="str">
        <f aca="false">IFERROR(INDEX(Evidence_Index!$F$5:$F$204,MATCH(B139,Evidence_Index!$A$5:$A$204,0)),"")</f>
        <v/>
      </c>
      <c r="D139" s="20" t="str">
        <f aca="false">IFERROR(INDEX(Evidence_Index!$M$5:$M$204,MATCH(B139,Evidence_Index!$A$5:$A$204,0)),"")</f>
        <v/>
      </c>
      <c r="E139" s="17"/>
      <c r="F139" s="17"/>
      <c r="G139" s="17"/>
      <c r="H139" s="20" t="str">
        <f aca="false">IF(OR(D139="",G139=""),"",D139-G139)</f>
        <v/>
      </c>
      <c r="I139" s="17"/>
      <c r="J139" s="17"/>
      <c r="K139" s="17"/>
      <c r="L139" s="17"/>
      <c r="M139" s="19"/>
      <c r="N139" s="17"/>
      <c r="O139" s="20" t="str">
        <f aca="false">IF(A139="","",IF(COUNTIF(Evidence_Index!$A$5:$A$204,B139)=0,"EV-ID not in index",IF(OR(E139="",I139=""),"Completeness and accuracy procedures needed",IF(AND(N139="Pass",H139&lt;&gt;0),"Pass requires counts to agree (or explain)",IF(AND(N139="Pass",OR(K139&lt;&gt;"Y",J139="")),"Pass requires parameter evidence and traced records","OK")))))</f>
        <v/>
      </c>
    </row>
    <row r="140" customFormat="false" ht="15" hidden="false" customHeight="false" outlineLevel="0" collapsed="false">
      <c r="A140" s="17"/>
      <c r="B140" s="17"/>
      <c r="C140" s="20" t="str">
        <f aca="false">IFERROR(INDEX(Evidence_Index!$F$5:$F$204,MATCH(B140,Evidence_Index!$A$5:$A$204,0)),"")</f>
        <v/>
      </c>
      <c r="D140" s="20" t="str">
        <f aca="false">IFERROR(INDEX(Evidence_Index!$M$5:$M$204,MATCH(B140,Evidence_Index!$A$5:$A$204,0)),"")</f>
        <v/>
      </c>
      <c r="E140" s="17"/>
      <c r="F140" s="17"/>
      <c r="G140" s="17"/>
      <c r="H140" s="20" t="str">
        <f aca="false">IF(OR(D140="",G140=""),"",D140-G140)</f>
        <v/>
      </c>
      <c r="I140" s="17"/>
      <c r="J140" s="17"/>
      <c r="K140" s="17"/>
      <c r="L140" s="17"/>
      <c r="M140" s="19"/>
      <c r="N140" s="17"/>
      <c r="O140" s="20" t="str">
        <f aca="false">IF(A140="","",IF(COUNTIF(Evidence_Index!$A$5:$A$204,B140)=0,"EV-ID not in index",IF(OR(E140="",I140=""),"Completeness and accuracy procedures needed",IF(AND(N140="Pass",H140&lt;&gt;0),"Pass requires counts to agree (or explain)",IF(AND(N140="Pass",OR(K140&lt;&gt;"Y",J140="")),"Pass requires parameter evidence and traced records","OK")))))</f>
        <v/>
      </c>
    </row>
    <row r="141" customFormat="false" ht="15" hidden="false" customHeight="false" outlineLevel="0" collapsed="false">
      <c r="A141" s="17"/>
      <c r="B141" s="17"/>
      <c r="C141" s="20" t="str">
        <f aca="false">IFERROR(INDEX(Evidence_Index!$F$5:$F$204,MATCH(B141,Evidence_Index!$A$5:$A$204,0)),"")</f>
        <v/>
      </c>
      <c r="D141" s="20" t="str">
        <f aca="false">IFERROR(INDEX(Evidence_Index!$M$5:$M$204,MATCH(B141,Evidence_Index!$A$5:$A$204,0)),"")</f>
        <v/>
      </c>
      <c r="E141" s="17"/>
      <c r="F141" s="17"/>
      <c r="G141" s="17"/>
      <c r="H141" s="20" t="str">
        <f aca="false">IF(OR(D141="",G141=""),"",D141-G141)</f>
        <v/>
      </c>
      <c r="I141" s="17"/>
      <c r="J141" s="17"/>
      <c r="K141" s="17"/>
      <c r="L141" s="17"/>
      <c r="M141" s="19"/>
      <c r="N141" s="17"/>
      <c r="O141" s="20" t="str">
        <f aca="false">IF(A141="","",IF(COUNTIF(Evidence_Index!$A$5:$A$204,B141)=0,"EV-ID not in index",IF(OR(E141="",I141=""),"Completeness and accuracy procedures needed",IF(AND(N141="Pass",H141&lt;&gt;0),"Pass requires counts to agree (or explain)",IF(AND(N141="Pass",OR(K141&lt;&gt;"Y",J141="")),"Pass requires parameter evidence and traced records","OK")))))</f>
        <v/>
      </c>
    </row>
    <row r="142" customFormat="false" ht="15" hidden="false" customHeight="false" outlineLevel="0" collapsed="false">
      <c r="A142" s="17"/>
      <c r="B142" s="17"/>
      <c r="C142" s="20" t="str">
        <f aca="false">IFERROR(INDEX(Evidence_Index!$F$5:$F$204,MATCH(B142,Evidence_Index!$A$5:$A$204,0)),"")</f>
        <v/>
      </c>
      <c r="D142" s="20" t="str">
        <f aca="false">IFERROR(INDEX(Evidence_Index!$M$5:$M$204,MATCH(B142,Evidence_Index!$A$5:$A$204,0)),"")</f>
        <v/>
      </c>
      <c r="E142" s="17"/>
      <c r="F142" s="17"/>
      <c r="G142" s="17"/>
      <c r="H142" s="20" t="str">
        <f aca="false">IF(OR(D142="",G142=""),"",D142-G142)</f>
        <v/>
      </c>
      <c r="I142" s="17"/>
      <c r="J142" s="17"/>
      <c r="K142" s="17"/>
      <c r="L142" s="17"/>
      <c r="M142" s="19"/>
      <c r="N142" s="17"/>
      <c r="O142" s="20" t="str">
        <f aca="false">IF(A142="","",IF(COUNTIF(Evidence_Index!$A$5:$A$204,B142)=0,"EV-ID not in index",IF(OR(E142="",I142=""),"Completeness and accuracy procedures needed",IF(AND(N142="Pass",H142&lt;&gt;0),"Pass requires counts to agree (or explain)",IF(AND(N142="Pass",OR(K142&lt;&gt;"Y",J142="")),"Pass requires parameter evidence and traced records","OK")))))</f>
        <v/>
      </c>
    </row>
    <row r="143" customFormat="false" ht="15" hidden="false" customHeight="false" outlineLevel="0" collapsed="false">
      <c r="A143" s="17"/>
      <c r="B143" s="17"/>
      <c r="C143" s="20" t="str">
        <f aca="false">IFERROR(INDEX(Evidence_Index!$F$5:$F$204,MATCH(B143,Evidence_Index!$A$5:$A$204,0)),"")</f>
        <v/>
      </c>
      <c r="D143" s="20" t="str">
        <f aca="false">IFERROR(INDEX(Evidence_Index!$M$5:$M$204,MATCH(B143,Evidence_Index!$A$5:$A$204,0)),"")</f>
        <v/>
      </c>
      <c r="E143" s="17"/>
      <c r="F143" s="17"/>
      <c r="G143" s="17"/>
      <c r="H143" s="20" t="str">
        <f aca="false">IF(OR(D143="",G143=""),"",D143-G143)</f>
        <v/>
      </c>
      <c r="I143" s="17"/>
      <c r="J143" s="17"/>
      <c r="K143" s="17"/>
      <c r="L143" s="17"/>
      <c r="M143" s="19"/>
      <c r="N143" s="17"/>
      <c r="O143" s="20" t="str">
        <f aca="false">IF(A143="","",IF(COUNTIF(Evidence_Index!$A$5:$A$204,B143)=0,"EV-ID not in index",IF(OR(E143="",I143=""),"Completeness and accuracy procedures needed",IF(AND(N143="Pass",H143&lt;&gt;0),"Pass requires counts to agree (or explain)",IF(AND(N143="Pass",OR(K143&lt;&gt;"Y",J143="")),"Pass requires parameter evidence and traced records","OK")))))</f>
        <v/>
      </c>
    </row>
    <row r="144" customFormat="false" ht="15" hidden="false" customHeight="false" outlineLevel="0" collapsed="false">
      <c r="A144" s="17"/>
      <c r="B144" s="17"/>
      <c r="C144" s="20" t="str">
        <f aca="false">IFERROR(INDEX(Evidence_Index!$F$5:$F$204,MATCH(B144,Evidence_Index!$A$5:$A$204,0)),"")</f>
        <v/>
      </c>
      <c r="D144" s="20" t="str">
        <f aca="false">IFERROR(INDEX(Evidence_Index!$M$5:$M$204,MATCH(B144,Evidence_Index!$A$5:$A$204,0)),"")</f>
        <v/>
      </c>
      <c r="E144" s="17"/>
      <c r="F144" s="17"/>
      <c r="G144" s="17"/>
      <c r="H144" s="20" t="str">
        <f aca="false">IF(OR(D144="",G144=""),"",D144-G144)</f>
        <v/>
      </c>
      <c r="I144" s="17"/>
      <c r="J144" s="17"/>
      <c r="K144" s="17"/>
      <c r="L144" s="17"/>
      <c r="M144" s="19"/>
      <c r="N144" s="17"/>
      <c r="O144" s="20" t="str">
        <f aca="false">IF(A144="","",IF(COUNTIF(Evidence_Index!$A$5:$A$204,B144)=0,"EV-ID not in index",IF(OR(E144="",I144=""),"Completeness and accuracy procedures needed",IF(AND(N144="Pass",H144&lt;&gt;0),"Pass requires counts to agree (or explain)",IF(AND(N144="Pass",OR(K144&lt;&gt;"Y",J144="")),"Pass requires parameter evidence and traced records","OK")))))</f>
        <v/>
      </c>
    </row>
    <row r="145" customFormat="false" ht="15" hidden="false" customHeight="false" outlineLevel="0" collapsed="false">
      <c r="A145" s="17"/>
      <c r="B145" s="17"/>
      <c r="C145" s="20" t="str">
        <f aca="false">IFERROR(INDEX(Evidence_Index!$F$5:$F$204,MATCH(B145,Evidence_Index!$A$5:$A$204,0)),"")</f>
        <v/>
      </c>
      <c r="D145" s="20" t="str">
        <f aca="false">IFERROR(INDEX(Evidence_Index!$M$5:$M$204,MATCH(B145,Evidence_Index!$A$5:$A$204,0)),"")</f>
        <v/>
      </c>
      <c r="E145" s="17"/>
      <c r="F145" s="17"/>
      <c r="G145" s="17"/>
      <c r="H145" s="20" t="str">
        <f aca="false">IF(OR(D145="",G145=""),"",D145-G145)</f>
        <v/>
      </c>
      <c r="I145" s="17"/>
      <c r="J145" s="17"/>
      <c r="K145" s="17"/>
      <c r="L145" s="17"/>
      <c r="M145" s="19"/>
      <c r="N145" s="17"/>
      <c r="O145" s="20" t="str">
        <f aca="false">IF(A145="","",IF(COUNTIF(Evidence_Index!$A$5:$A$204,B145)=0,"EV-ID not in index",IF(OR(E145="",I145=""),"Completeness and accuracy procedures needed",IF(AND(N145="Pass",H145&lt;&gt;0),"Pass requires counts to agree (or explain)",IF(AND(N145="Pass",OR(K145&lt;&gt;"Y",J145="")),"Pass requires parameter evidence and traced records","OK")))))</f>
        <v/>
      </c>
    </row>
    <row r="146" customFormat="false" ht="15" hidden="false" customHeight="false" outlineLevel="0" collapsed="false">
      <c r="A146" s="17"/>
      <c r="B146" s="17"/>
      <c r="C146" s="20" t="str">
        <f aca="false">IFERROR(INDEX(Evidence_Index!$F$5:$F$204,MATCH(B146,Evidence_Index!$A$5:$A$204,0)),"")</f>
        <v/>
      </c>
      <c r="D146" s="20" t="str">
        <f aca="false">IFERROR(INDEX(Evidence_Index!$M$5:$M$204,MATCH(B146,Evidence_Index!$A$5:$A$204,0)),"")</f>
        <v/>
      </c>
      <c r="E146" s="17"/>
      <c r="F146" s="17"/>
      <c r="G146" s="17"/>
      <c r="H146" s="20" t="str">
        <f aca="false">IF(OR(D146="",G146=""),"",D146-G146)</f>
        <v/>
      </c>
      <c r="I146" s="17"/>
      <c r="J146" s="17"/>
      <c r="K146" s="17"/>
      <c r="L146" s="17"/>
      <c r="M146" s="19"/>
      <c r="N146" s="17"/>
      <c r="O146" s="20" t="str">
        <f aca="false">IF(A146="","",IF(COUNTIF(Evidence_Index!$A$5:$A$204,B146)=0,"EV-ID not in index",IF(OR(E146="",I146=""),"Completeness and accuracy procedures needed",IF(AND(N146="Pass",H146&lt;&gt;0),"Pass requires counts to agree (or explain)",IF(AND(N146="Pass",OR(K146&lt;&gt;"Y",J146="")),"Pass requires parameter evidence and traced records","OK")))))</f>
        <v/>
      </c>
    </row>
    <row r="147" customFormat="false" ht="15" hidden="false" customHeight="false" outlineLevel="0" collapsed="false">
      <c r="A147" s="17"/>
      <c r="B147" s="17"/>
      <c r="C147" s="20" t="str">
        <f aca="false">IFERROR(INDEX(Evidence_Index!$F$5:$F$204,MATCH(B147,Evidence_Index!$A$5:$A$204,0)),"")</f>
        <v/>
      </c>
      <c r="D147" s="20" t="str">
        <f aca="false">IFERROR(INDEX(Evidence_Index!$M$5:$M$204,MATCH(B147,Evidence_Index!$A$5:$A$204,0)),"")</f>
        <v/>
      </c>
      <c r="E147" s="17"/>
      <c r="F147" s="17"/>
      <c r="G147" s="17"/>
      <c r="H147" s="20" t="str">
        <f aca="false">IF(OR(D147="",G147=""),"",D147-G147)</f>
        <v/>
      </c>
      <c r="I147" s="17"/>
      <c r="J147" s="17"/>
      <c r="K147" s="17"/>
      <c r="L147" s="17"/>
      <c r="M147" s="19"/>
      <c r="N147" s="17"/>
      <c r="O147" s="20" t="str">
        <f aca="false">IF(A147="","",IF(COUNTIF(Evidence_Index!$A$5:$A$204,B147)=0,"EV-ID not in index",IF(OR(E147="",I147=""),"Completeness and accuracy procedures needed",IF(AND(N147="Pass",H147&lt;&gt;0),"Pass requires counts to agree (or explain)",IF(AND(N147="Pass",OR(K147&lt;&gt;"Y",J147="")),"Pass requires parameter evidence and traced records","OK")))))</f>
        <v/>
      </c>
    </row>
    <row r="148" customFormat="false" ht="15" hidden="false" customHeight="false" outlineLevel="0" collapsed="false">
      <c r="A148" s="17"/>
      <c r="B148" s="17"/>
      <c r="C148" s="20" t="str">
        <f aca="false">IFERROR(INDEX(Evidence_Index!$F$5:$F$204,MATCH(B148,Evidence_Index!$A$5:$A$204,0)),"")</f>
        <v/>
      </c>
      <c r="D148" s="20" t="str">
        <f aca="false">IFERROR(INDEX(Evidence_Index!$M$5:$M$204,MATCH(B148,Evidence_Index!$A$5:$A$204,0)),"")</f>
        <v/>
      </c>
      <c r="E148" s="17"/>
      <c r="F148" s="17"/>
      <c r="G148" s="17"/>
      <c r="H148" s="20" t="str">
        <f aca="false">IF(OR(D148="",G148=""),"",D148-G148)</f>
        <v/>
      </c>
      <c r="I148" s="17"/>
      <c r="J148" s="17"/>
      <c r="K148" s="17"/>
      <c r="L148" s="17"/>
      <c r="M148" s="19"/>
      <c r="N148" s="17"/>
      <c r="O148" s="20" t="str">
        <f aca="false">IF(A148="","",IF(COUNTIF(Evidence_Index!$A$5:$A$204,B148)=0,"EV-ID not in index",IF(OR(E148="",I148=""),"Completeness and accuracy procedures needed",IF(AND(N148="Pass",H148&lt;&gt;0),"Pass requires counts to agree (or explain)",IF(AND(N148="Pass",OR(K148&lt;&gt;"Y",J148="")),"Pass requires parameter evidence and traced records","OK")))))</f>
        <v/>
      </c>
    </row>
    <row r="149" customFormat="false" ht="15" hidden="false" customHeight="false" outlineLevel="0" collapsed="false">
      <c r="A149" s="17"/>
      <c r="B149" s="17"/>
      <c r="C149" s="20" t="str">
        <f aca="false">IFERROR(INDEX(Evidence_Index!$F$5:$F$204,MATCH(B149,Evidence_Index!$A$5:$A$204,0)),"")</f>
        <v/>
      </c>
      <c r="D149" s="20" t="str">
        <f aca="false">IFERROR(INDEX(Evidence_Index!$M$5:$M$204,MATCH(B149,Evidence_Index!$A$5:$A$204,0)),"")</f>
        <v/>
      </c>
      <c r="E149" s="17"/>
      <c r="F149" s="17"/>
      <c r="G149" s="17"/>
      <c r="H149" s="20" t="str">
        <f aca="false">IF(OR(D149="",G149=""),"",D149-G149)</f>
        <v/>
      </c>
      <c r="I149" s="17"/>
      <c r="J149" s="17"/>
      <c r="K149" s="17"/>
      <c r="L149" s="17"/>
      <c r="M149" s="19"/>
      <c r="N149" s="17"/>
      <c r="O149" s="20" t="str">
        <f aca="false">IF(A149="","",IF(COUNTIF(Evidence_Index!$A$5:$A$204,B149)=0,"EV-ID not in index",IF(OR(E149="",I149=""),"Completeness and accuracy procedures needed",IF(AND(N149="Pass",H149&lt;&gt;0),"Pass requires counts to agree (or explain)",IF(AND(N149="Pass",OR(K149&lt;&gt;"Y",J149="")),"Pass requires parameter evidence and traced records","OK")))))</f>
        <v/>
      </c>
    </row>
    <row r="150" customFormat="false" ht="15" hidden="false" customHeight="false" outlineLevel="0" collapsed="false">
      <c r="A150" s="17"/>
      <c r="B150" s="17"/>
      <c r="C150" s="20" t="str">
        <f aca="false">IFERROR(INDEX(Evidence_Index!$F$5:$F$204,MATCH(B150,Evidence_Index!$A$5:$A$204,0)),"")</f>
        <v/>
      </c>
      <c r="D150" s="20" t="str">
        <f aca="false">IFERROR(INDEX(Evidence_Index!$M$5:$M$204,MATCH(B150,Evidence_Index!$A$5:$A$204,0)),"")</f>
        <v/>
      </c>
      <c r="E150" s="17"/>
      <c r="F150" s="17"/>
      <c r="G150" s="17"/>
      <c r="H150" s="20" t="str">
        <f aca="false">IF(OR(D150="",G150=""),"",D150-G150)</f>
        <v/>
      </c>
      <c r="I150" s="17"/>
      <c r="J150" s="17"/>
      <c r="K150" s="17"/>
      <c r="L150" s="17"/>
      <c r="M150" s="19"/>
      <c r="N150" s="17"/>
      <c r="O150" s="20" t="str">
        <f aca="false">IF(A150="","",IF(COUNTIF(Evidence_Index!$A$5:$A$204,B150)=0,"EV-ID not in index",IF(OR(E150="",I150=""),"Completeness and accuracy procedures needed",IF(AND(N150="Pass",H150&lt;&gt;0),"Pass requires counts to agree (or explain)",IF(AND(N150="Pass",OR(K150&lt;&gt;"Y",J150="")),"Pass requires parameter evidence and traced records","OK")))))</f>
        <v/>
      </c>
    </row>
    <row r="151" customFormat="false" ht="15" hidden="false" customHeight="false" outlineLevel="0" collapsed="false">
      <c r="A151" s="17"/>
      <c r="B151" s="17"/>
      <c r="C151" s="20" t="str">
        <f aca="false">IFERROR(INDEX(Evidence_Index!$F$5:$F$204,MATCH(B151,Evidence_Index!$A$5:$A$204,0)),"")</f>
        <v/>
      </c>
      <c r="D151" s="20" t="str">
        <f aca="false">IFERROR(INDEX(Evidence_Index!$M$5:$M$204,MATCH(B151,Evidence_Index!$A$5:$A$204,0)),"")</f>
        <v/>
      </c>
      <c r="E151" s="17"/>
      <c r="F151" s="17"/>
      <c r="G151" s="17"/>
      <c r="H151" s="20" t="str">
        <f aca="false">IF(OR(D151="",G151=""),"",D151-G151)</f>
        <v/>
      </c>
      <c r="I151" s="17"/>
      <c r="J151" s="17"/>
      <c r="K151" s="17"/>
      <c r="L151" s="17"/>
      <c r="M151" s="19"/>
      <c r="N151" s="17"/>
      <c r="O151" s="20" t="str">
        <f aca="false">IF(A151="","",IF(COUNTIF(Evidence_Index!$A$5:$A$204,B151)=0,"EV-ID not in index",IF(OR(E151="",I151=""),"Completeness and accuracy procedures needed",IF(AND(N151="Pass",H151&lt;&gt;0),"Pass requires counts to agree (or explain)",IF(AND(N151="Pass",OR(K151&lt;&gt;"Y",J151="")),"Pass requires parameter evidence and traced records","OK")))))</f>
        <v/>
      </c>
    </row>
    <row r="152" customFormat="false" ht="15" hidden="false" customHeight="false" outlineLevel="0" collapsed="false">
      <c r="A152" s="17"/>
      <c r="B152" s="17"/>
      <c r="C152" s="20" t="str">
        <f aca="false">IFERROR(INDEX(Evidence_Index!$F$5:$F$204,MATCH(B152,Evidence_Index!$A$5:$A$204,0)),"")</f>
        <v/>
      </c>
      <c r="D152" s="20" t="str">
        <f aca="false">IFERROR(INDEX(Evidence_Index!$M$5:$M$204,MATCH(B152,Evidence_Index!$A$5:$A$204,0)),"")</f>
        <v/>
      </c>
      <c r="E152" s="17"/>
      <c r="F152" s="17"/>
      <c r="G152" s="17"/>
      <c r="H152" s="20" t="str">
        <f aca="false">IF(OR(D152="",G152=""),"",D152-G152)</f>
        <v/>
      </c>
      <c r="I152" s="17"/>
      <c r="J152" s="17"/>
      <c r="K152" s="17"/>
      <c r="L152" s="17"/>
      <c r="M152" s="19"/>
      <c r="N152" s="17"/>
      <c r="O152" s="20" t="str">
        <f aca="false">IF(A152="","",IF(COUNTIF(Evidence_Index!$A$5:$A$204,B152)=0,"EV-ID not in index",IF(OR(E152="",I152=""),"Completeness and accuracy procedures needed",IF(AND(N152="Pass",H152&lt;&gt;0),"Pass requires counts to agree (or explain)",IF(AND(N152="Pass",OR(K152&lt;&gt;"Y",J152="")),"Pass requires parameter evidence and traced records","OK")))))</f>
        <v/>
      </c>
    </row>
    <row r="153" customFormat="false" ht="15" hidden="false" customHeight="false" outlineLevel="0" collapsed="false">
      <c r="A153" s="17"/>
      <c r="B153" s="17"/>
      <c r="C153" s="20" t="str">
        <f aca="false">IFERROR(INDEX(Evidence_Index!$F$5:$F$204,MATCH(B153,Evidence_Index!$A$5:$A$204,0)),"")</f>
        <v/>
      </c>
      <c r="D153" s="20" t="str">
        <f aca="false">IFERROR(INDEX(Evidence_Index!$M$5:$M$204,MATCH(B153,Evidence_Index!$A$5:$A$204,0)),"")</f>
        <v/>
      </c>
      <c r="E153" s="17"/>
      <c r="F153" s="17"/>
      <c r="G153" s="17"/>
      <c r="H153" s="20" t="str">
        <f aca="false">IF(OR(D153="",G153=""),"",D153-G153)</f>
        <v/>
      </c>
      <c r="I153" s="17"/>
      <c r="J153" s="17"/>
      <c r="K153" s="17"/>
      <c r="L153" s="17"/>
      <c r="M153" s="19"/>
      <c r="N153" s="17"/>
      <c r="O153" s="20" t="str">
        <f aca="false">IF(A153="","",IF(COUNTIF(Evidence_Index!$A$5:$A$204,B153)=0,"EV-ID not in index",IF(OR(E153="",I153=""),"Completeness and accuracy procedures needed",IF(AND(N153="Pass",H153&lt;&gt;0),"Pass requires counts to agree (or explain)",IF(AND(N153="Pass",OR(K153&lt;&gt;"Y",J153="")),"Pass requires parameter evidence and traced records","OK")))))</f>
        <v/>
      </c>
    </row>
    <row r="154" customFormat="false" ht="15" hidden="false" customHeight="false" outlineLevel="0" collapsed="false">
      <c r="A154" s="17"/>
      <c r="B154" s="17"/>
      <c r="C154" s="20" t="str">
        <f aca="false">IFERROR(INDEX(Evidence_Index!$F$5:$F$204,MATCH(B154,Evidence_Index!$A$5:$A$204,0)),"")</f>
        <v/>
      </c>
      <c r="D154" s="20" t="str">
        <f aca="false">IFERROR(INDEX(Evidence_Index!$M$5:$M$204,MATCH(B154,Evidence_Index!$A$5:$A$204,0)),"")</f>
        <v/>
      </c>
      <c r="E154" s="17"/>
      <c r="F154" s="17"/>
      <c r="G154" s="17"/>
      <c r="H154" s="20" t="str">
        <f aca="false">IF(OR(D154="",G154=""),"",D154-G154)</f>
        <v/>
      </c>
      <c r="I154" s="17"/>
      <c r="J154" s="17"/>
      <c r="K154" s="17"/>
      <c r="L154" s="17"/>
      <c r="M154" s="19"/>
      <c r="N154" s="17"/>
      <c r="O154" s="20" t="str">
        <f aca="false">IF(A154="","",IF(COUNTIF(Evidence_Index!$A$5:$A$204,B154)=0,"EV-ID not in index",IF(OR(E154="",I154=""),"Completeness and accuracy procedures needed",IF(AND(N154="Pass",H154&lt;&gt;0),"Pass requires counts to agree (or explain)",IF(AND(N154="Pass",OR(K154&lt;&gt;"Y",J154="")),"Pass requires parameter evidence and traced records","OK")))))</f>
        <v/>
      </c>
    </row>
    <row r="155" customFormat="false" ht="15" hidden="false" customHeight="false" outlineLevel="0" collapsed="false">
      <c r="A155" s="17"/>
      <c r="B155" s="17"/>
      <c r="C155" s="20" t="str">
        <f aca="false">IFERROR(INDEX(Evidence_Index!$F$5:$F$204,MATCH(B155,Evidence_Index!$A$5:$A$204,0)),"")</f>
        <v/>
      </c>
      <c r="D155" s="20" t="str">
        <f aca="false">IFERROR(INDEX(Evidence_Index!$M$5:$M$204,MATCH(B155,Evidence_Index!$A$5:$A$204,0)),"")</f>
        <v/>
      </c>
      <c r="E155" s="17"/>
      <c r="F155" s="17"/>
      <c r="G155" s="17"/>
      <c r="H155" s="20" t="str">
        <f aca="false">IF(OR(D155="",G155=""),"",D155-G155)</f>
        <v/>
      </c>
      <c r="I155" s="17"/>
      <c r="J155" s="17"/>
      <c r="K155" s="17"/>
      <c r="L155" s="17"/>
      <c r="M155" s="19"/>
      <c r="N155" s="17"/>
      <c r="O155" s="20" t="str">
        <f aca="false">IF(A155="","",IF(COUNTIF(Evidence_Index!$A$5:$A$204,B155)=0,"EV-ID not in index",IF(OR(E155="",I155=""),"Completeness and accuracy procedures needed",IF(AND(N155="Pass",H155&lt;&gt;0),"Pass requires counts to agree (or explain)",IF(AND(N155="Pass",OR(K155&lt;&gt;"Y",J155="")),"Pass requires parameter evidence and traced records","OK")))))</f>
        <v/>
      </c>
    </row>
    <row r="156" customFormat="false" ht="15" hidden="false" customHeight="false" outlineLevel="0" collapsed="false">
      <c r="A156" s="17"/>
      <c r="B156" s="17"/>
      <c r="C156" s="20" t="str">
        <f aca="false">IFERROR(INDEX(Evidence_Index!$F$5:$F$204,MATCH(B156,Evidence_Index!$A$5:$A$204,0)),"")</f>
        <v/>
      </c>
      <c r="D156" s="20" t="str">
        <f aca="false">IFERROR(INDEX(Evidence_Index!$M$5:$M$204,MATCH(B156,Evidence_Index!$A$5:$A$204,0)),"")</f>
        <v/>
      </c>
      <c r="E156" s="17"/>
      <c r="F156" s="17"/>
      <c r="G156" s="17"/>
      <c r="H156" s="20" t="str">
        <f aca="false">IF(OR(D156="",G156=""),"",D156-G156)</f>
        <v/>
      </c>
      <c r="I156" s="17"/>
      <c r="J156" s="17"/>
      <c r="K156" s="17"/>
      <c r="L156" s="17"/>
      <c r="M156" s="19"/>
      <c r="N156" s="17"/>
      <c r="O156" s="20" t="str">
        <f aca="false">IF(A156="","",IF(COUNTIF(Evidence_Index!$A$5:$A$204,B156)=0,"EV-ID not in index",IF(OR(E156="",I156=""),"Completeness and accuracy procedures needed",IF(AND(N156="Pass",H156&lt;&gt;0),"Pass requires counts to agree (or explain)",IF(AND(N156="Pass",OR(K156&lt;&gt;"Y",J156="")),"Pass requires parameter evidence and traced records","OK")))))</f>
        <v/>
      </c>
    </row>
    <row r="157" customFormat="false" ht="15" hidden="false" customHeight="false" outlineLevel="0" collapsed="false">
      <c r="A157" s="17"/>
      <c r="B157" s="17"/>
      <c r="C157" s="20" t="str">
        <f aca="false">IFERROR(INDEX(Evidence_Index!$F$5:$F$204,MATCH(B157,Evidence_Index!$A$5:$A$204,0)),"")</f>
        <v/>
      </c>
      <c r="D157" s="20" t="str">
        <f aca="false">IFERROR(INDEX(Evidence_Index!$M$5:$M$204,MATCH(B157,Evidence_Index!$A$5:$A$204,0)),"")</f>
        <v/>
      </c>
      <c r="E157" s="17"/>
      <c r="F157" s="17"/>
      <c r="G157" s="17"/>
      <c r="H157" s="20" t="str">
        <f aca="false">IF(OR(D157="",G157=""),"",D157-G157)</f>
        <v/>
      </c>
      <c r="I157" s="17"/>
      <c r="J157" s="17"/>
      <c r="K157" s="17"/>
      <c r="L157" s="17"/>
      <c r="M157" s="19"/>
      <c r="N157" s="17"/>
      <c r="O157" s="20" t="str">
        <f aca="false">IF(A157="","",IF(COUNTIF(Evidence_Index!$A$5:$A$204,B157)=0,"EV-ID not in index",IF(OR(E157="",I157=""),"Completeness and accuracy procedures needed",IF(AND(N157="Pass",H157&lt;&gt;0),"Pass requires counts to agree (or explain)",IF(AND(N157="Pass",OR(K157&lt;&gt;"Y",J157="")),"Pass requires parameter evidence and traced records","OK")))))</f>
        <v/>
      </c>
    </row>
    <row r="158" customFormat="false" ht="15" hidden="false" customHeight="false" outlineLevel="0" collapsed="false">
      <c r="A158" s="17"/>
      <c r="B158" s="17"/>
      <c r="C158" s="20" t="str">
        <f aca="false">IFERROR(INDEX(Evidence_Index!$F$5:$F$204,MATCH(B158,Evidence_Index!$A$5:$A$204,0)),"")</f>
        <v/>
      </c>
      <c r="D158" s="20" t="str">
        <f aca="false">IFERROR(INDEX(Evidence_Index!$M$5:$M$204,MATCH(B158,Evidence_Index!$A$5:$A$204,0)),"")</f>
        <v/>
      </c>
      <c r="E158" s="17"/>
      <c r="F158" s="17"/>
      <c r="G158" s="17"/>
      <c r="H158" s="20" t="str">
        <f aca="false">IF(OR(D158="",G158=""),"",D158-G158)</f>
        <v/>
      </c>
      <c r="I158" s="17"/>
      <c r="J158" s="17"/>
      <c r="K158" s="17"/>
      <c r="L158" s="17"/>
      <c r="M158" s="19"/>
      <c r="N158" s="17"/>
      <c r="O158" s="20" t="str">
        <f aca="false">IF(A158="","",IF(COUNTIF(Evidence_Index!$A$5:$A$204,B158)=0,"EV-ID not in index",IF(OR(E158="",I158=""),"Completeness and accuracy procedures needed",IF(AND(N158="Pass",H158&lt;&gt;0),"Pass requires counts to agree (or explain)",IF(AND(N158="Pass",OR(K158&lt;&gt;"Y",J158="")),"Pass requires parameter evidence and traced records","OK")))))</f>
        <v/>
      </c>
    </row>
    <row r="159" customFormat="false" ht="15" hidden="false" customHeight="false" outlineLevel="0" collapsed="false">
      <c r="A159" s="17"/>
      <c r="B159" s="17"/>
      <c r="C159" s="20" t="str">
        <f aca="false">IFERROR(INDEX(Evidence_Index!$F$5:$F$204,MATCH(B159,Evidence_Index!$A$5:$A$204,0)),"")</f>
        <v/>
      </c>
      <c r="D159" s="20" t="str">
        <f aca="false">IFERROR(INDEX(Evidence_Index!$M$5:$M$204,MATCH(B159,Evidence_Index!$A$5:$A$204,0)),"")</f>
        <v/>
      </c>
      <c r="E159" s="17"/>
      <c r="F159" s="17"/>
      <c r="G159" s="17"/>
      <c r="H159" s="20" t="str">
        <f aca="false">IF(OR(D159="",G159=""),"",D159-G159)</f>
        <v/>
      </c>
      <c r="I159" s="17"/>
      <c r="J159" s="17"/>
      <c r="K159" s="17"/>
      <c r="L159" s="17"/>
      <c r="M159" s="19"/>
      <c r="N159" s="17"/>
      <c r="O159" s="20" t="str">
        <f aca="false">IF(A159="","",IF(COUNTIF(Evidence_Index!$A$5:$A$204,B159)=0,"EV-ID not in index",IF(OR(E159="",I159=""),"Completeness and accuracy procedures needed",IF(AND(N159="Pass",H159&lt;&gt;0),"Pass requires counts to agree (or explain)",IF(AND(N159="Pass",OR(K159&lt;&gt;"Y",J159="")),"Pass requires parameter evidence and traced records","OK")))))</f>
        <v/>
      </c>
    </row>
    <row r="160" customFormat="false" ht="15" hidden="false" customHeight="false" outlineLevel="0" collapsed="false">
      <c r="A160" s="17"/>
      <c r="B160" s="17"/>
      <c r="C160" s="20" t="str">
        <f aca="false">IFERROR(INDEX(Evidence_Index!$F$5:$F$204,MATCH(B160,Evidence_Index!$A$5:$A$204,0)),"")</f>
        <v/>
      </c>
      <c r="D160" s="20" t="str">
        <f aca="false">IFERROR(INDEX(Evidence_Index!$M$5:$M$204,MATCH(B160,Evidence_Index!$A$5:$A$204,0)),"")</f>
        <v/>
      </c>
      <c r="E160" s="17"/>
      <c r="F160" s="17"/>
      <c r="G160" s="17"/>
      <c r="H160" s="20" t="str">
        <f aca="false">IF(OR(D160="",G160=""),"",D160-G160)</f>
        <v/>
      </c>
      <c r="I160" s="17"/>
      <c r="J160" s="17"/>
      <c r="K160" s="17"/>
      <c r="L160" s="17"/>
      <c r="M160" s="19"/>
      <c r="N160" s="17"/>
      <c r="O160" s="20" t="str">
        <f aca="false">IF(A160="","",IF(COUNTIF(Evidence_Index!$A$5:$A$204,B160)=0,"EV-ID not in index",IF(OR(E160="",I160=""),"Completeness and accuracy procedures needed",IF(AND(N160="Pass",H160&lt;&gt;0),"Pass requires counts to agree (or explain)",IF(AND(N160="Pass",OR(K160&lt;&gt;"Y",J160="")),"Pass requires parameter evidence and traced records","OK")))))</f>
        <v/>
      </c>
    </row>
    <row r="161" customFormat="false" ht="15" hidden="false" customHeight="false" outlineLevel="0" collapsed="false">
      <c r="A161" s="17"/>
      <c r="B161" s="17"/>
      <c r="C161" s="20" t="str">
        <f aca="false">IFERROR(INDEX(Evidence_Index!$F$5:$F$204,MATCH(B161,Evidence_Index!$A$5:$A$204,0)),"")</f>
        <v/>
      </c>
      <c r="D161" s="20" t="str">
        <f aca="false">IFERROR(INDEX(Evidence_Index!$M$5:$M$204,MATCH(B161,Evidence_Index!$A$5:$A$204,0)),"")</f>
        <v/>
      </c>
      <c r="E161" s="17"/>
      <c r="F161" s="17"/>
      <c r="G161" s="17"/>
      <c r="H161" s="20" t="str">
        <f aca="false">IF(OR(D161="",G161=""),"",D161-G161)</f>
        <v/>
      </c>
      <c r="I161" s="17"/>
      <c r="J161" s="17"/>
      <c r="K161" s="17"/>
      <c r="L161" s="17"/>
      <c r="M161" s="19"/>
      <c r="N161" s="17"/>
      <c r="O161" s="20" t="str">
        <f aca="false">IF(A161="","",IF(COUNTIF(Evidence_Index!$A$5:$A$204,B161)=0,"EV-ID not in index",IF(OR(E161="",I161=""),"Completeness and accuracy procedures needed",IF(AND(N161="Pass",H161&lt;&gt;0),"Pass requires counts to agree (or explain)",IF(AND(N161="Pass",OR(K161&lt;&gt;"Y",J161="")),"Pass requires parameter evidence and traced records","OK")))))</f>
        <v/>
      </c>
    </row>
    <row r="162" customFormat="false" ht="15" hidden="false" customHeight="false" outlineLevel="0" collapsed="false">
      <c r="A162" s="17"/>
      <c r="B162" s="17"/>
      <c r="C162" s="20" t="str">
        <f aca="false">IFERROR(INDEX(Evidence_Index!$F$5:$F$204,MATCH(B162,Evidence_Index!$A$5:$A$204,0)),"")</f>
        <v/>
      </c>
      <c r="D162" s="20" t="str">
        <f aca="false">IFERROR(INDEX(Evidence_Index!$M$5:$M$204,MATCH(B162,Evidence_Index!$A$5:$A$204,0)),"")</f>
        <v/>
      </c>
      <c r="E162" s="17"/>
      <c r="F162" s="17"/>
      <c r="G162" s="17"/>
      <c r="H162" s="20" t="str">
        <f aca="false">IF(OR(D162="",G162=""),"",D162-G162)</f>
        <v/>
      </c>
      <c r="I162" s="17"/>
      <c r="J162" s="17"/>
      <c r="K162" s="17"/>
      <c r="L162" s="17"/>
      <c r="M162" s="19"/>
      <c r="N162" s="17"/>
      <c r="O162" s="20" t="str">
        <f aca="false">IF(A162="","",IF(COUNTIF(Evidence_Index!$A$5:$A$204,B162)=0,"EV-ID not in index",IF(OR(E162="",I162=""),"Completeness and accuracy procedures needed",IF(AND(N162="Pass",H162&lt;&gt;0),"Pass requires counts to agree (or explain)",IF(AND(N162="Pass",OR(K162&lt;&gt;"Y",J162="")),"Pass requires parameter evidence and traced records","OK")))))</f>
        <v/>
      </c>
    </row>
    <row r="163" customFormat="false" ht="15" hidden="false" customHeight="false" outlineLevel="0" collapsed="false">
      <c r="A163" s="17"/>
      <c r="B163" s="17"/>
      <c r="C163" s="20" t="str">
        <f aca="false">IFERROR(INDEX(Evidence_Index!$F$5:$F$204,MATCH(B163,Evidence_Index!$A$5:$A$204,0)),"")</f>
        <v/>
      </c>
      <c r="D163" s="20" t="str">
        <f aca="false">IFERROR(INDEX(Evidence_Index!$M$5:$M$204,MATCH(B163,Evidence_Index!$A$5:$A$204,0)),"")</f>
        <v/>
      </c>
      <c r="E163" s="17"/>
      <c r="F163" s="17"/>
      <c r="G163" s="17"/>
      <c r="H163" s="20" t="str">
        <f aca="false">IF(OR(D163="",G163=""),"",D163-G163)</f>
        <v/>
      </c>
      <c r="I163" s="17"/>
      <c r="J163" s="17"/>
      <c r="K163" s="17"/>
      <c r="L163" s="17"/>
      <c r="M163" s="19"/>
      <c r="N163" s="17"/>
      <c r="O163" s="20" t="str">
        <f aca="false">IF(A163="","",IF(COUNTIF(Evidence_Index!$A$5:$A$204,B163)=0,"EV-ID not in index",IF(OR(E163="",I163=""),"Completeness and accuracy procedures needed",IF(AND(N163="Pass",H163&lt;&gt;0),"Pass requires counts to agree (or explain)",IF(AND(N163="Pass",OR(K163&lt;&gt;"Y",J163="")),"Pass requires parameter evidence and traced records","OK")))))</f>
        <v/>
      </c>
    </row>
    <row r="164" customFormat="false" ht="15" hidden="false" customHeight="false" outlineLevel="0" collapsed="false">
      <c r="A164" s="17"/>
      <c r="B164" s="17"/>
      <c r="C164" s="20" t="str">
        <f aca="false">IFERROR(INDEX(Evidence_Index!$F$5:$F$204,MATCH(B164,Evidence_Index!$A$5:$A$204,0)),"")</f>
        <v/>
      </c>
      <c r="D164" s="20" t="str">
        <f aca="false">IFERROR(INDEX(Evidence_Index!$M$5:$M$204,MATCH(B164,Evidence_Index!$A$5:$A$204,0)),"")</f>
        <v/>
      </c>
      <c r="E164" s="17"/>
      <c r="F164" s="17"/>
      <c r="G164" s="17"/>
      <c r="H164" s="20" t="str">
        <f aca="false">IF(OR(D164="",G164=""),"",D164-G164)</f>
        <v/>
      </c>
      <c r="I164" s="17"/>
      <c r="J164" s="17"/>
      <c r="K164" s="17"/>
      <c r="L164" s="17"/>
      <c r="M164" s="19"/>
      <c r="N164" s="17"/>
      <c r="O164" s="20" t="str">
        <f aca="false">IF(A164="","",IF(COUNTIF(Evidence_Index!$A$5:$A$204,B164)=0,"EV-ID not in index",IF(OR(E164="",I164=""),"Completeness and accuracy procedures needed",IF(AND(N164="Pass",H164&lt;&gt;0),"Pass requires counts to agree (or explain)",IF(AND(N164="Pass",OR(K164&lt;&gt;"Y",J164="")),"Pass requires parameter evidence and traced records","OK")))))</f>
        <v/>
      </c>
    </row>
    <row r="165" customFormat="false" ht="15" hidden="false" customHeight="false" outlineLevel="0" collapsed="false">
      <c r="A165" s="17"/>
      <c r="B165" s="17"/>
      <c r="C165" s="20" t="str">
        <f aca="false">IFERROR(INDEX(Evidence_Index!$F$5:$F$204,MATCH(B165,Evidence_Index!$A$5:$A$204,0)),"")</f>
        <v/>
      </c>
      <c r="D165" s="20" t="str">
        <f aca="false">IFERROR(INDEX(Evidence_Index!$M$5:$M$204,MATCH(B165,Evidence_Index!$A$5:$A$204,0)),"")</f>
        <v/>
      </c>
      <c r="E165" s="17"/>
      <c r="F165" s="17"/>
      <c r="G165" s="17"/>
      <c r="H165" s="20" t="str">
        <f aca="false">IF(OR(D165="",G165=""),"",D165-G165)</f>
        <v/>
      </c>
      <c r="I165" s="17"/>
      <c r="J165" s="17"/>
      <c r="K165" s="17"/>
      <c r="L165" s="17"/>
      <c r="M165" s="19"/>
      <c r="N165" s="17"/>
      <c r="O165" s="20" t="str">
        <f aca="false">IF(A165="","",IF(COUNTIF(Evidence_Index!$A$5:$A$204,B165)=0,"EV-ID not in index",IF(OR(E165="",I165=""),"Completeness and accuracy procedures needed",IF(AND(N165="Pass",H165&lt;&gt;0),"Pass requires counts to agree (or explain)",IF(AND(N165="Pass",OR(K165&lt;&gt;"Y",J165="")),"Pass requires parameter evidence and traced records","OK")))))</f>
        <v/>
      </c>
    </row>
    <row r="166" customFormat="false" ht="15" hidden="false" customHeight="false" outlineLevel="0" collapsed="false">
      <c r="A166" s="17"/>
      <c r="B166" s="17"/>
      <c r="C166" s="20" t="str">
        <f aca="false">IFERROR(INDEX(Evidence_Index!$F$5:$F$204,MATCH(B166,Evidence_Index!$A$5:$A$204,0)),"")</f>
        <v/>
      </c>
      <c r="D166" s="20" t="str">
        <f aca="false">IFERROR(INDEX(Evidence_Index!$M$5:$M$204,MATCH(B166,Evidence_Index!$A$5:$A$204,0)),"")</f>
        <v/>
      </c>
      <c r="E166" s="17"/>
      <c r="F166" s="17"/>
      <c r="G166" s="17"/>
      <c r="H166" s="20" t="str">
        <f aca="false">IF(OR(D166="",G166=""),"",D166-G166)</f>
        <v/>
      </c>
      <c r="I166" s="17"/>
      <c r="J166" s="17"/>
      <c r="K166" s="17"/>
      <c r="L166" s="17"/>
      <c r="M166" s="19"/>
      <c r="N166" s="17"/>
      <c r="O166" s="20" t="str">
        <f aca="false">IF(A166="","",IF(COUNTIF(Evidence_Index!$A$5:$A$204,B166)=0,"EV-ID not in index",IF(OR(E166="",I166=""),"Completeness and accuracy procedures needed",IF(AND(N166="Pass",H166&lt;&gt;0),"Pass requires counts to agree (or explain)",IF(AND(N166="Pass",OR(K166&lt;&gt;"Y",J166="")),"Pass requires parameter evidence and traced records","OK")))))</f>
        <v/>
      </c>
    </row>
    <row r="167" customFormat="false" ht="15" hidden="false" customHeight="false" outlineLevel="0" collapsed="false">
      <c r="A167" s="17"/>
      <c r="B167" s="17"/>
      <c r="C167" s="20" t="str">
        <f aca="false">IFERROR(INDEX(Evidence_Index!$F$5:$F$204,MATCH(B167,Evidence_Index!$A$5:$A$204,0)),"")</f>
        <v/>
      </c>
      <c r="D167" s="20" t="str">
        <f aca="false">IFERROR(INDEX(Evidence_Index!$M$5:$M$204,MATCH(B167,Evidence_Index!$A$5:$A$204,0)),"")</f>
        <v/>
      </c>
      <c r="E167" s="17"/>
      <c r="F167" s="17"/>
      <c r="G167" s="17"/>
      <c r="H167" s="20" t="str">
        <f aca="false">IF(OR(D167="",G167=""),"",D167-G167)</f>
        <v/>
      </c>
      <c r="I167" s="17"/>
      <c r="J167" s="17"/>
      <c r="K167" s="17"/>
      <c r="L167" s="17"/>
      <c r="M167" s="19"/>
      <c r="N167" s="17"/>
      <c r="O167" s="20" t="str">
        <f aca="false">IF(A167="","",IF(COUNTIF(Evidence_Index!$A$5:$A$204,B167)=0,"EV-ID not in index",IF(OR(E167="",I167=""),"Completeness and accuracy procedures needed",IF(AND(N167="Pass",H167&lt;&gt;0),"Pass requires counts to agree (or explain)",IF(AND(N167="Pass",OR(K167&lt;&gt;"Y",J167="")),"Pass requires parameter evidence and traced records","OK")))))</f>
        <v/>
      </c>
    </row>
    <row r="168" customFormat="false" ht="15" hidden="false" customHeight="false" outlineLevel="0" collapsed="false">
      <c r="A168" s="17"/>
      <c r="B168" s="17"/>
      <c r="C168" s="20" t="str">
        <f aca="false">IFERROR(INDEX(Evidence_Index!$F$5:$F$204,MATCH(B168,Evidence_Index!$A$5:$A$204,0)),"")</f>
        <v/>
      </c>
      <c r="D168" s="20" t="str">
        <f aca="false">IFERROR(INDEX(Evidence_Index!$M$5:$M$204,MATCH(B168,Evidence_Index!$A$5:$A$204,0)),"")</f>
        <v/>
      </c>
      <c r="E168" s="17"/>
      <c r="F168" s="17"/>
      <c r="G168" s="17"/>
      <c r="H168" s="20" t="str">
        <f aca="false">IF(OR(D168="",G168=""),"",D168-G168)</f>
        <v/>
      </c>
      <c r="I168" s="17"/>
      <c r="J168" s="17"/>
      <c r="K168" s="17"/>
      <c r="L168" s="17"/>
      <c r="M168" s="19"/>
      <c r="N168" s="17"/>
      <c r="O168" s="20" t="str">
        <f aca="false">IF(A168="","",IF(COUNTIF(Evidence_Index!$A$5:$A$204,B168)=0,"EV-ID not in index",IF(OR(E168="",I168=""),"Completeness and accuracy procedures needed",IF(AND(N168="Pass",H168&lt;&gt;0),"Pass requires counts to agree (or explain)",IF(AND(N168="Pass",OR(K168&lt;&gt;"Y",J168="")),"Pass requires parameter evidence and traced records","OK")))))</f>
        <v/>
      </c>
    </row>
    <row r="169" customFormat="false" ht="15" hidden="false" customHeight="false" outlineLevel="0" collapsed="false">
      <c r="A169" s="17"/>
      <c r="B169" s="17"/>
      <c r="C169" s="20" t="str">
        <f aca="false">IFERROR(INDEX(Evidence_Index!$F$5:$F$204,MATCH(B169,Evidence_Index!$A$5:$A$204,0)),"")</f>
        <v/>
      </c>
      <c r="D169" s="20" t="str">
        <f aca="false">IFERROR(INDEX(Evidence_Index!$M$5:$M$204,MATCH(B169,Evidence_Index!$A$5:$A$204,0)),"")</f>
        <v/>
      </c>
      <c r="E169" s="17"/>
      <c r="F169" s="17"/>
      <c r="G169" s="17"/>
      <c r="H169" s="20" t="str">
        <f aca="false">IF(OR(D169="",G169=""),"",D169-G169)</f>
        <v/>
      </c>
      <c r="I169" s="17"/>
      <c r="J169" s="17"/>
      <c r="K169" s="17"/>
      <c r="L169" s="17"/>
      <c r="M169" s="19"/>
      <c r="N169" s="17"/>
      <c r="O169" s="20" t="str">
        <f aca="false">IF(A169="","",IF(COUNTIF(Evidence_Index!$A$5:$A$204,B169)=0,"EV-ID not in index",IF(OR(E169="",I169=""),"Completeness and accuracy procedures needed",IF(AND(N169="Pass",H169&lt;&gt;0),"Pass requires counts to agree (or explain)",IF(AND(N169="Pass",OR(K169&lt;&gt;"Y",J169="")),"Pass requires parameter evidence and traced records","OK")))))</f>
        <v/>
      </c>
    </row>
    <row r="170" customFormat="false" ht="15" hidden="false" customHeight="false" outlineLevel="0" collapsed="false">
      <c r="A170" s="17"/>
      <c r="B170" s="17"/>
      <c r="C170" s="20" t="str">
        <f aca="false">IFERROR(INDEX(Evidence_Index!$F$5:$F$204,MATCH(B170,Evidence_Index!$A$5:$A$204,0)),"")</f>
        <v/>
      </c>
      <c r="D170" s="20" t="str">
        <f aca="false">IFERROR(INDEX(Evidence_Index!$M$5:$M$204,MATCH(B170,Evidence_Index!$A$5:$A$204,0)),"")</f>
        <v/>
      </c>
      <c r="E170" s="17"/>
      <c r="F170" s="17"/>
      <c r="G170" s="17"/>
      <c r="H170" s="20" t="str">
        <f aca="false">IF(OR(D170="",G170=""),"",D170-G170)</f>
        <v/>
      </c>
      <c r="I170" s="17"/>
      <c r="J170" s="17"/>
      <c r="K170" s="17"/>
      <c r="L170" s="17"/>
      <c r="M170" s="19"/>
      <c r="N170" s="17"/>
      <c r="O170" s="20" t="str">
        <f aca="false">IF(A170="","",IF(COUNTIF(Evidence_Index!$A$5:$A$204,B170)=0,"EV-ID not in index",IF(OR(E170="",I170=""),"Completeness and accuracy procedures needed",IF(AND(N170="Pass",H170&lt;&gt;0),"Pass requires counts to agree (or explain)",IF(AND(N170="Pass",OR(K170&lt;&gt;"Y",J170="")),"Pass requires parameter evidence and traced records","OK")))))</f>
        <v/>
      </c>
    </row>
    <row r="171" customFormat="false" ht="15" hidden="false" customHeight="false" outlineLevel="0" collapsed="false">
      <c r="A171" s="17"/>
      <c r="B171" s="17"/>
      <c r="C171" s="20" t="str">
        <f aca="false">IFERROR(INDEX(Evidence_Index!$F$5:$F$204,MATCH(B171,Evidence_Index!$A$5:$A$204,0)),"")</f>
        <v/>
      </c>
      <c r="D171" s="20" t="str">
        <f aca="false">IFERROR(INDEX(Evidence_Index!$M$5:$M$204,MATCH(B171,Evidence_Index!$A$5:$A$204,0)),"")</f>
        <v/>
      </c>
      <c r="E171" s="17"/>
      <c r="F171" s="17"/>
      <c r="G171" s="17"/>
      <c r="H171" s="20" t="str">
        <f aca="false">IF(OR(D171="",G171=""),"",D171-G171)</f>
        <v/>
      </c>
      <c r="I171" s="17"/>
      <c r="J171" s="17"/>
      <c r="K171" s="17"/>
      <c r="L171" s="17"/>
      <c r="M171" s="19"/>
      <c r="N171" s="17"/>
      <c r="O171" s="20" t="str">
        <f aca="false">IF(A171="","",IF(COUNTIF(Evidence_Index!$A$5:$A$204,B171)=0,"EV-ID not in index",IF(OR(E171="",I171=""),"Completeness and accuracy procedures needed",IF(AND(N171="Pass",H171&lt;&gt;0),"Pass requires counts to agree (or explain)",IF(AND(N171="Pass",OR(K171&lt;&gt;"Y",J171="")),"Pass requires parameter evidence and traced records","OK")))))</f>
        <v/>
      </c>
    </row>
    <row r="172" customFormat="false" ht="15" hidden="false" customHeight="false" outlineLevel="0" collapsed="false">
      <c r="A172" s="17"/>
      <c r="B172" s="17"/>
      <c r="C172" s="20" t="str">
        <f aca="false">IFERROR(INDEX(Evidence_Index!$F$5:$F$204,MATCH(B172,Evidence_Index!$A$5:$A$204,0)),"")</f>
        <v/>
      </c>
      <c r="D172" s="20" t="str">
        <f aca="false">IFERROR(INDEX(Evidence_Index!$M$5:$M$204,MATCH(B172,Evidence_Index!$A$5:$A$204,0)),"")</f>
        <v/>
      </c>
      <c r="E172" s="17"/>
      <c r="F172" s="17"/>
      <c r="G172" s="17"/>
      <c r="H172" s="20" t="str">
        <f aca="false">IF(OR(D172="",G172=""),"",D172-G172)</f>
        <v/>
      </c>
      <c r="I172" s="17"/>
      <c r="J172" s="17"/>
      <c r="K172" s="17"/>
      <c r="L172" s="17"/>
      <c r="M172" s="19"/>
      <c r="N172" s="17"/>
      <c r="O172" s="20" t="str">
        <f aca="false">IF(A172="","",IF(COUNTIF(Evidence_Index!$A$5:$A$204,B172)=0,"EV-ID not in index",IF(OR(E172="",I172=""),"Completeness and accuracy procedures needed",IF(AND(N172="Pass",H172&lt;&gt;0),"Pass requires counts to agree (or explain)",IF(AND(N172="Pass",OR(K172&lt;&gt;"Y",J172="")),"Pass requires parameter evidence and traced records","OK")))))</f>
        <v/>
      </c>
    </row>
    <row r="173" customFormat="false" ht="15" hidden="false" customHeight="false" outlineLevel="0" collapsed="false">
      <c r="A173" s="17"/>
      <c r="B173" s="17"/>
      <c r="C173" s="20" t="str">
        <f aca="false">IFERROR(INDEX(Evidence_Index!$F$5:$F$204,MATCH(B173,Evidence_Index!$A$5:$A$204,0)),"")</f>
        <v/>
      </c>
      <c r="D173" s="20" t="str">
        <f aca="false">IFERROR(INDEX(Evidence_Index!$M$5:$M$204,MATCH(B173,Evidence_Index!$A$5:$A$204,0)),"")</f>
        <v/>
      </c>
      <c r="E173" s="17"/>
      <c r="F173" s="17"/>
      <c r="G173" s="17"/>
      <c r="H173" s="20" t="str">
        <f aca="false">IF(OR(D173="",G173=""),"",D173-G173)</f>
        <v/>
      </c>
      <c r="I173" s="17"/>
      <c r="J173" s="17"/>
      <c r="K173" s="17"/>
      <c r="L173" s="17"/>
      <c r="M173" s="19"/>
      <c r="N173" s="17"/>
      <c r="O173" s="20" t="str">
        <f aca="false">IF(A173="","",IF(COUNTIF(Evidence_Index!$A$5:$A$204,B173)=0,"EV-ID not in index",IF(OR(E173="",I173=""),"Completeness and accuracy procedures needed",IF(AND(N173="Pass",H173&lt;&gt;0),"Pass requires counts to agree (or explain)",IF(AND(N173="Pass",OR(K173&lt;&gt;"Y",J173="")),"Pass requires parameter evidence and traced records","OK")))))</f>
        <v/>
      </c>
    </row>
    <row r="174" customFormat="false" ht="15" hidden="false" customHeight="false" outlineLevel="0" collapsed="false">
      <c r="A174" s="17"/>
      <c r="B174" s="17"/>
      <c r="C174" s="20" t="str">
        <f aca="false">IFERROR(INDEX(Evidence_Index!$F$5:$F$204,MATCH(B174,Evidence_Index!$A$5:$A$204,0)),"")</f>
        <v/>
      </c>
      <c r="D174" s="20" t="str">
        <f aca="false">IFERROR(INDEX(Evidence_Index!$M$5:$M$204,MATCH(B174,Evidence_Index!$A$5:$A$204,0)),"")</f>
        <v/>
      </c>
      <c r="E174" s="17"/>
      <c r="F174" s="17"/>
      <c r="G174" s="17"/>
      <c r="H174" s="20" t="str">
        <f aca="false">IF(OR(D174="",G174=""),"",D174-G174)</f>
        <v/>
      </c>
      <c r="I174" s="17"/>
      <c r="J174" s="17"/>
      <c r="K174" s="17"/>
      <c r="L174" s="17"/>
      <c r="M174" s="19"/>
      <c r="N174" s="17"/>
      <c r="O174" s="20" t="str">
        <f aca="false">IF(A174="","",IF(COUNTIF(Evidence_Index!$A$5:$A$204,B174)=0,"EV-ID not in index",IF(OR(E174="",I174=""),"Completeness and accuracy procedures needed",IF(AND(N174="Pass",H174&lt;&gt;0),"Pass requires counts to agree (or explain)",IF(AND(N174="Pass",OR(K174&lt;&gt;"Y",J174="")),"Pass requires parameter evidence and traced records","OK")))))</f>
        <v/>
      </c>
    </row>
    <row r="175" customFormat="false" ht="15" hidden="false" customHeight="false" outlineLevel="0" collapsed="false">
      <c r="A175" s="17"/>
      <c r="B175" s="17"/>
      <c r="C175" s="20" t="str">
        <f aca="false">IFERROR(INDEX(Evidence_Index!$F$5:$F$204,MATCH(B175,Evidence_Index!$A$5:$A$204,0)),"")</f>
        <v/>
      </c>
      <c r="D175" s="20" t="str">
        <f aca="false">IFERROR(INDEX(Evidence_Index!$M$5:$M$204,MATCH(B175,Evidence_Index!$A$5:$A$204,0)),"")</f>
        <v/>
      </c>
      <c r="E175" s="17"/>
      <c r="F175" s="17"/>
      <c r="G175" s="17"/>
      <c r="H175" s="20" t="str">
        <f aca="false">IF(OR(D175="",G175=""),"",D175-G175)</f>
        <v/>
      </c>
      <c r="I175" s="17"/>
      <c r="J175" s="17"/>
      <c r="K175" s="17"/>
      <c r="L175" s="17"/>
      <c r="M175" s="19"/>
      <c r="N175" s="17"/>
      <c r="O175" s="20" t="str">
        <f aca="false">IF(A175="","",IF(COUNTIF(Evidence_Index!$A$5:$A$204,B175)=0,"EV-ID not in index",IF(OR(E175="",I175=""),"Completeness and accuracy procedures needed",IF(AND(N175="Pass",H175&lt;&gt;0),"Pass requires counts to agree (or explain)",IF(AND(N175="Pass",OR(K175&lt;&gt;"Y",J175="")),"Pass requires parameter evidence and traced records","OK")))))</f>
        <v/>
      </c>
    </row>
    <row r="176" customFormat="false" ht="15" hidden="false" customHeight="false" outlineLevel="0" collapsed="false">
      <c r="A176" s="17"/>
      <c r="B176" s="17"/>
      <c r="C176" s="20" t="str">
        <f aca="false">IFERROR(INDEX(Evidence_Index!$F$5:$F$204,MATCH(B176,Evidence_Index!$A$5:$A$204,0)),"")</f>
        <v/>
      </c>
      <c r="D176" s="20" t="str">
        <f aca="false">IFERROR(INDEX(Evidence_Index!$M$5:$M$204,MATCH(B176,Evidence_Index!$A$5:$A$204,0)),"")</f>
        <v/>
      </c>
      <c r="E176" s="17"/>
      <c r="F176" s="17"/>
      <c r="G176" s="17"/>
      <c r="H176" s="20" t="str">
        <f aca="false">IF(OR(D176="",G176=""),"",D176-G176)</f>
        <v/>
      </c>
      <c r="I176" s="17"/>
      <c r="J176" s="17"/>
      <c r="K176" s="17"/>
      <c r="L176" s="17"/>
      <c r="M176" s="19"/>
      <c r="N176" s="17"/>
      <c r="O176" s="20" t="str">
        <f aca="false">IF(A176="","",IF(COUNTIF(Evidence_Index!$A$5:$A$204,B176)=0,"EV-ID not in index",IF(OR(E176="",I176=""),"Completeness and accuracy procedures needed",IF(AND(N176="Pass",H176&lt;&gt;0),"Pass requires counts to agree (or explain)",IF(AND(N176="Pass",OR(K176&lt;&gt;"Y",J176="")),"Pass requires parameter evidence and traced records","OK")))))</f>
        <v/>
      </c>
    </row>
    <row r="177" customFormat="false" ht="15" hidden="false" customHeight="false" outlineLevel="0" collapsed="false">
      <c r="A177" s="17"/>
      <c r="B177" s="17"/>
      <c r="C177" s="20" t="str">
        <f aca="false">IFERROR(INDEX(Evidence_Index!$F$5:$F$204,MATCH(B177,Evidence_Index!$A$5:$A$204,0)),"")</f>
        <v/>
      </c>
      <c r="D177" s="20" t="str">
        <f aca="false">IFERROR(INDEX(Evidence_Index!$M$5:$M$204,MATCH(B177,Evidence_Index!$A$5:$A$204,0)),"")</f>
        <v/>
      </c>
      <c r="E177" s="17"/>
      <c r="F177" s="17"/>
      <c r="G177" s="17"/>
      <c r="H177" s="20" t="str">
        <f aca="false">IF(OR(D177="",G177=""),"",D177-G177)</f>
        <v/>
      </c>
      <c r="I177" s="17"/>
      <c r="J177" s="17"/>
      <c r="K177" s="17"/>
      <c r="L177" s="17"/>
      <c r="M177" s="19"/>
      <c r="N177" s="17"/>
      <c r="O177" s="20" t="str">
        <f aca="false">IF(A177="","",IF(COUNTIF(Evidence_Index!$A$5:$A$204,B177)=0,"EV-ID not in index",IF(OR(E177="",I177=""),"Completeness and accuracy procedures needed",IF(AND(N177="Pass",H177&lt;&gt;0),"Pass requires counts to agree (or explain)",IF(AND(N177="Pass",OR(K177&lt;&gt;"Y",J177="")),"Pass requires parameter evidence and traced records","OK")))))</f>
        <v/>
      </c>
    </row>
    <row r="178" customFormat="false" ht="15" hidden="false" customHeight="false" outlineLevel="0" collapsed="false">
      <c r="A178" s="17"/>
      <c r="B178" s="17"/>
      <c r="C178" s="20" t="str">
        <f aca="false">IFERROR(INDEX(Evidence_Index!$F$5:$F$204,MATCH(B178,Evidence_Index!$A$5:$A$204,0)),"")</f>
        <v/>
      </c>
      <c r="D178" s="20" t="str">
        <f aca="false">IFERROR(INDEX(Evidence_Index!$M$5:$M$204,MATCH(B178,Evidence_Index!$A$5:$A$204,0)),"")</f>
        <v/>
      </c>
      <c r="E178" s="17"/>
      <c r="F178" s="17"/>
      <c r="G178" s="17"/>
      <c r="H178" s="20" t="str">
        <f aca="false">IF(OR(D178="",G178=""),"",D178-G178)</f>
        <v/>
      </c>
      <c r="I178" s="17"/>
      <c r="J178" s="17"/>
      <c r="K178" s="17"/>
      <c r="L178" s="17"/>
      <c r="M178" s="19"/>
      <c r="N178" s="17"/>
      <c r="O178" s="20" t="str">
        <f aca="false">IF(A178="","",IF(COUNTIF(Evidence_Index!$A$5:$A$204,B178)=0,"EV-ID not in index",IF(OR(E178="",I178=""),"Completeness and accuracy procedures needed",IF(AND(N178="Pass",H178&lt;&gt;0),"Pass requires counts to agree (or explain)",IF(AND(N178="Pass",OR(K178&lt;&gt;"Y",J178="")),"Pass requires parameter evidence and traced records","OK")))))</f>
        <v/>
      </c>
    </row>
    <row r="179" customFormat="false" ht="15" hidden="false" customHeight="false" outlineLevel="0" collapsed="false">
      <c r="A179" s="17"/>
      <c r="B179" s="17"/>
      <c r="C179" s="20" t="str">
        <f aca="false">IFERROR(INDEX(Evidence_Index!$F$5:$F$204,MATCH(B179,Evidence_Index!$A$5:$A$204,0)),"")</f>
        <v/>
      </c>
      <c r="D179" s="20" t="str">
        <f aca="false">IFERROR(INDEX(Evidence_Index!$M$5:$M$204,MATCH(B179,Evidence_Index!$A$5:$A$204,0)),"")</f>
        <v/>
      </c>
      <c r="E179" s="17"/>
      <c r="F179" s="17"/>
      <c r="G179" s="17"/>
      <c r="H179" s="20" t="str">
        <f aca="false">IF(OR(D179="",G179=""),"",D179-G179)</f>
        <v/>
      </c>
      <c r="I179" s="17"/>
      <c r="J179" s="17"/>
      <c r="K179" s="17"/>
      <c r="L179" s="17"/>
      <c r="M179" s="19"/>
      <c r="N179" s="17"/>
      <c r="O179" s="20" t="str">
        <f aca="false">IF(A179="","",IF(COUNTIF(Evidence_Index!$A$5:$A$204,B179)=0,"EV-ID not in index",IF(OR(E179="",I179=""),"Completeness and accuracy procedures needed",IF(AND(N179="Pass",H179&lt;&gt;0),"Pass requires counts to agree (or explain)",IF(AND(N179="Pass",OR(K179&lt;&gt;"Y",J179="")),"Pass requires parameter evidence and traced records","OK")))))</f>
        <v/>
      </c>
    </row>
    <row r="180" customFormat="false" ht="15" hidden="false" customHeight="false" outlineLevel="0" collapsed="false">
      <c r="A180" s="17"/>
      <c r="B180" s="17"/>
      <c r="C180" s="20" t="str">
        <f aca="false">IFERROR(INDEX(Evidence_Index!$F$5:$F$204,MATCH(B180,Evidence_Index!$A$5:$A$204,0)),"")</f>
        <v/>
      </c>
      <c r="D180" s="20" t="str">
        <f aca="false">IFERROR(INDEX(Evidence_Index!$M$5:$M$204,MATCH(B180,Evidence_Index!$A$5:$A$204,0)),"")</f>
        <v/>
      </c>
      <c r="E180" s="17"/>
      <c r="F180" s="17"/>
      <c r="G180" s="17"/>
      <c r="H180" s="20" t="str">
        <f aca="false">IF(OR(D180="",G180=""),"",D180-G180)</f>
        <v/>
      </c>
      <c r="I180" s="17"/>
      <c r="J180" s="17"/>
      <c r="K180" s="17"/>
      <c r="L180" s="17"/>
      <c r="M180" s="19"/>
      <c r="N180" s="17"/>
      <c r="O180" s="20" t="str">
        <f aca="false">IF(A180="","",IF(COUNTIF(Evidence_Index!$A$5:$A$204,B180)=0,"EV-ID not in index",IF(OR(E180="",I180=""),"Completeness and accuracy procedures needed",IF(AND(N180="Pass",H180&lt;&gt;0),"Pass requires counts to agree (or explain)",IF(AND(N180="Pass",OR(K180&lt;&gt;"Y",J180="")),"Pass requires parameter evidence and traced records","OK")))))</f>
        <v/>
      </c>
    </row>
    <row r="181" customFormat="false" ht="15" hidden="false" customHeight="false" outlineLevel="0" collapsed="false">
      <c r="A181" s="17"/>
      <c r="B181" s="17"/>
      <c r="C181" s="20" t="str">
        <f aca="false">IFERROR(INDEX(Evidence_Index!$F$5:$F$204,MATCH(B181,Evidence_Index!$A$5:$A$204,0)),"")</f>
        <v/>
      </c>
      <c r="D181" s="20" t="str">
        <f aca="false">IFERROR(INDEX(Evidence_Index!$M$5:$M$204,MATCH(B181,Evidence_Index!$A$5:$A$204,0)),"")</f>
        <v/>
      </c>
      <c r="E181" s="17"/>
      <c r="F181" s="17"/>
      <c r="G181" s="17"/>
      <c r="H181" s="20" t="str">
        <f aca="false">IF(OR(D181="",G181=""),"",D181-G181)</f>
        <v/>
      </c>
      <c r="I181" s="17"/>
      <c r="J181" s="17"/>
      <c r="K181" s="17"/>
      <c r="L181" s="17"/>
      <c r="M181" s="19"/>
      <c r="N181" s="17"/>
      <c r="O181" s="20" t="str">
        <f aca="false">IF(A181="","",IF(COUNTIF(Evidence_Index!$A$5:$A$204,B181)=0,"EV-ID not in index",IF(OR(E181="",I181=""),"Completeness and accuracy procedures needed",IF(AND(N181="Pass",H181&lt;&gt;0),"Pass requires counts to agree (or explain)",IF(AND(N181="Pass",OR(K181&lt;&gt;"Y",J181="")),"Pass requires parameter evidence and traced records","OK")))))</f>
        <v/>
      </c>
    </row>
    <row r="182" customFormat="false" ht="15" hidden="false" customHeight="false" outlineLevel="0" collapsed="false">
      <c r="A182" s="17"/>
      <c r="B182" s="17"/>
      <c r="C182" s="20" t="str">
        <f aca="false">IFERROR(INDEX(Evidence_Index!$F$5:$F$204,MATCH(B182,Evidence_Index!$A$5:$A$204,0)),"")</f>
        <v/>
      </c>
      <c r="D182" s="20" t="str">
        <f aca="false">IFERROR(INDEX(Evidence_Index!$M$5:$M$204,MATCH(B182,Evidence_Index!$A$5:$A$204,0)),"")</f>
        <v/>
      </c>
      <c r="E182" s="17"/>
      <c r="F182" s="17"/>
      <c r="G182" s="17"/>
      <c r="H182" s="20" t="str">
        <f aca="false">IF(OR(D182="",G182=""),"",D182-G182)</f>
        <v/>
      </c>
      <c r="I182" s="17"/>
      <c r="J182" s="17"/>
      <c r="K182" s="17"/>
      <c r="L182" s="17"/>
      <c r="M182" s="19"/>
      <c r="N182" s="17"/>
      <c r="O182" s="20" t="str">
        <f aca="false">IF(A182="","",IF(COUNTIF(Evidence_Index!$A$5:$A$204,B182)=0,"EV-ID not in index",IF(OR(E182="",I182=""),"Completeness and accuracy procedures needed",IF(AND(N182="Pass",H182&lt;&gt;0),"Pass requires counts to agree (or explain)",IF(AND(N182="Pass",OR(K182&lt;&gt;"Y",J182="")),"Pass requires parameter evidence and traced records","OK")))))</f>
        <v/>
      </c>
    </row>
    <row r="183" customFormat="false" ht="15" hidden="false" customHeight="false" outlineLevel="0" collapsed="false">
      <c r="A183" s="17"/>
      <c r="B183" s="17"/>
      <c r="C183" s="20" t="str">
        <f aca="false">IFERROR(INDEX(Evidence_Index!$F$5:$F$204,MATCH(B183,Evidence_Index!$A$5:$A$204,0)),"")</f>
        <v/>
      </c>
      <c r="D183" s="20" t="str">
        <f aca="false">IFERROR(INDEX(Evidence_Index!$M$5:$M$204,MATCH(B183,Evidence_Index!$A$5:$A$204,0)),"")</f>
        <v/>
      </c>
      <c r="E183" s="17"/>
      <c r="F183" s="17"/>
      <c r="G183" s="17"/>
      <c r="H183" s="20" t="str">
        <f aca="false">IF(OR(D183="",G183=""),"",D183-G183)</f>
        <v/>
      </c>
      <c r="I183" s="17"/>
      <c r="J183" s="17"/>
      <c r="K183" s="17"/>
      <c r="L183" s="17"/>
      <c r="M183" s="19"/>
      <c r="N183" s="17"/>
      <c r="O183" s="20" t="str">
        <f aca="false">IF(A183="","",IF(COUNTIF(Evidence_Index!$A$5:$A$204,B183)=0,"EV-ID not in index",IF(OR(E183="",I183=""),"Completeness and accuracy procedures needed",IF(AND(N183="Pass",H183&lt;&gt;0),"Pass requires counts to agree (or explain)",IF(AND(N183="Pass",OR(K183&lt;&gt;"Y",J183="")),"Pass requires parameter evidence and traced records","OK")))))</f>
        <v/>
      </c>
    </row>
    <row r="184" customFormat="false" ht="15" hidden="false" customHeight="false" outlineLevel="0" collapsed="false">
      <c r="A184" s="17"/>
      <c r="B184" s="17"/>
      <c r="C184" s="20" t="str">
        <f aca="false">IFERROR(INDEX(Evidence_Index!$F$5:$F$204,MATCH(B184,Evidence_Index!$A$5:$A$204,0)),"")</f>
        <v/>
      </c>
      <c r="D184" s="20" t="str">
        <f aca="false">IFERROR(INDEX(Evidence_Index!$M$5:$M$204,MATCH(B184,Evidence_Index!$A$5:$A$204,0)),"")</f>
        <v/>
      </c>
      <c r="E184" s="17"/>
      <c r="F184" s="17"/>
      <c r="G184" s="17"/>
      <c r="H184" s="20" t="str">
        <f aca="false">IF(OR(D184="",G184=""),"",D184-G184)</f>
        <v/>
      </c>
      <c r="I184" s="17"/>
      <c r="J184" s="17"/>
      <c r="K184" s="17"/>
      <c r="L184" s="17"/>
      <c r="M184" s="19"/>
      <c r="N184" s="17"/>
      <c r="O184" s="20" t="str">
        <f aca="false">IF(A184="","",IF(COUNTIF(Evidence_Index!$A$5:$A$204,B184)=0,"EV-ID not in index",IF(OR(E184="",I184=""),"Completeness and accuracy procedures needed",IF(AND(N184="Pass",H184&lt;&gt;0),"Pass requires counts to agree (or explain)",IF(AND(N184="Pass",OR(K184&lt;&gt;"Y",J184="")),"Pass requires parameter evidence and traced records","OK")))))</f>
        <v/>
      </c>
    </row>
    <row r="185" customFormat="false" ht="15" hidden="false" customHeight="false" outlineLevel="0" collapsed="false">
      <c r="A185" s="17"/>
      <c r="B185" s="17"/>
      <c r="C185" s="20" t="str">
        <f aca="false">IFERROR(INDEX(Evidence_Index!$F$5:$F$204,MATCH(B185,Evidence_Index!$A$5:$A$204,0)),"")</f>
        <v/>
      </c>
      <c r="D185" s="20" t="str">
        <f aca="false">IFERROR(INDEX(Evidence_Index!$M$5:$M$204,MATCH(B185,Evidence_Index!$A$5:$A$204,0)),"")</f>
        <v/>
      </c>
      <c r="E185" s="17"/>
      <c r="F185" s="17"/>
      <c r="G185" s="17"/>
      <c r="H185" s="20" t="str">
        <f aca="false">IF(OR(D185="",G185=""),"",D185-G185)</f>
        <v/>
      </c>
      <c r="I185" s="17"/>
      <c r="J185" s="17"/>
      <c r="K185" s="17"/>
      <c r="L185" s="17"/>
      <c r="M185" s="19"/>
      <c r="N185" s="17"/>
      <c r="O185" s="20" t="str">
        <f aca="false">IF(A185="","",IF(COUNTIF(Evidence_Index!$A$5:$A$204,B185)=0,"EV-ID not in index",IF(OR(E185="",I185=""),"Completeness and accuracy procedures needed",IF(AND(N185="Pass",H185&lt;&gt;0),"Pass requires counts to agree (or explain)",IF(AND(N185="Pass",OR(K185&lt;&gt;"Y",J185="")),"Pass requires parameter evidence and traced records","OK")))))</f>
        <v/>
      </c>
    </row>
    <row r="186" customFormat="false" ht="15" hidden="false" customHeight="false" outlineLevel="0" collapsed="false">
      <c r="A186" s="17"/>
      <c r="B186" s="17"/>
      <c r="C186" s="20" t="str">
        <f aca="false">IFERROR(INDEX(Evidence_Index!$F$5:$F$204,MATCH(B186,Evidence_Index!$A$5:$A$204,0)),"")</f>
        <v/>
      </c>
      <c r="D186" s="20" t="str">
        <f aca="false">IFERROR(INDEX(Evidence_Index!$M$5:$M$204,MATCH(B186,Evidence_Index!$A$5:$A$204,0)),"")</f>
        <v/>
      </c>
      <c r="E186" s="17"/>
      <c r="F186" s="17"/>
      <c r="G186" s="17"/>
      <c r="H186" s="20" t="str">
        <f aca="false">IF(OR(D186="",G186=""),"",D186-G186)</f>
        <v/>
      </c>
      <c r="I186" s="17"/>
      <c r="J186" s="17"/>
      <c r="K186" s="17"/>
      <c r="L186" s="17"/>
      <c r="M186" s="19"/>
      <c r="N186" s="17"/>
      <c r="O186" s="20" t="str">
        <f aca="false">IF(A186="","",IF(COUNTIF(Evidence_Index!$A$5:$A$204,B186)=0,"EV-ID not in index",IF(OR(E186="",I186=""),"Completeness and accuracy procedures needed",IF(AND(N186="Pass",H186&lt;&gt;0),"Pass requires counts to agree (or explain)",IF(AND(N186="Pass",OR(K186&lt;&gt;"Y",J186="")),"Pass requires parameter evidence and traced records","OK")))))</f>
        <v/>
      </c>
    </row>
    <row r="187" customFormat="false" ht="15" hidden="false" customHeight="false" outlineLevel="0" collapsed="false">
      <c r="A187" s="17"/>
      <c r="B187" s="17"/>
      <c r="C187" s="20" t="str">
        <f aca="false">IFERROR(INDEX(Evidence_Index!$F$5:$F$204,MATCH(B187,Evidence_Index!$A$5:$A$204,0)),"")</f>
        <v/>
      </c>
      <c r="D187" s="20" t="str">
        <f aca="false">IFERROR(INDEX(Evidence_Index!$M$5:$M$204,MATCH(B187,Evidence_Index!$A$5:$A$204,0)),"")</f>
        <v/>
      </c>
      <c r="E187" s="17"/>
      <c r="F187" s="17"/>
      <c r="G187" s="17"/>
      <c r="H187" s="20" t="str">
        <f aca="false">IF(OR(D187="",G187=""),"",D187-G187)</f>
        <v/>
      </c>
      <c r="I187" s="17"/>
      <c r="J187" s="17"/>
      <c r="K187" s="17"/>
      <c r="L187" s="17"/>
      <c r="M187" s="19"/>
      <c r="N187" s="17"/>
      <c r="O187" s="20" t="str">
        <f aca="false">IF(A187="","",IF(COUNTIF(Evidence_Index!$A$5:$A$204,B187)=0,"EV-ID not in index",IF(OR(E187="",I187=""),"Completeness and accuracy procedures needed",IF(AND(N187="Pass",H187&lt;&gt;0),"Pass requires counts to agree (or explain)",IF(AND(N187="Pass",OR(K187&lt;&gt;"Y",J187="")),"Pass requires parameter evidence and traced records","OK")))))</f>
        <v/>
      </c>
    </row>
    <row r="188" customFormat="false" ht="15" hidden="false" customHeight="false" outlineLevel="0" collapsed="false">
      <c r="A188" s="17"/>
      <c r="B188" s="17"/>
      <c r="C188" s="20" t="str">
        <f aca="false">IFERROR(INDEX(Evidence_Index!$F$5:$F$204,MATCH(B188,Evidence_Index!$A$5:$A$204,0)),"")</f>
        <v/>
      </c>
      <c r="D188" s="20" t="str">
        <f aca="false">IFERROR(INDEX(Evidence_Index!$M$5:$M$204,MATCH(B188,Evidence_Index!$A$5:$A$204,0)),"")</f>
        <v/>
      </c>
      <c r="E188" s="17"/>
      <c r="F188" s="17"/>
      <c r="G188" s="17"/>
      <c r="H188" s="20" t="str">
        <f aca="false">IF(OR(D188="",G188=""),"",D188-G188)</f>
        <v/>
      </c>
      <c r="I188" s="17"/>
      <c r="J188" s="17"/>
      <c r="K188" s="17"/>
      <c r="L188" s="17"/>
      <c r="M188" s="19"/>
      <c r="N188" s="17"/>
      <c r="O188" s="20" t="str">
        <f aca="false">IF(A188="","",IF(COUNTIF(Evidence_Index!$A$5:$A$204,B188)=0,"EV-ID not in index",IF(OR(E188="",I188=""),"Completeness and accuracy procedures needed",IF(AND(N188="Pass",H188&lt;&gt;0),"Pass requires counts to agree (or explain)",IF(AND(N188="Pass",OR(K188&lt;&gt;"Y",J188="")),"Pass requires parameter evidence and traced records","OK")))))</f>
        <v/>
      </c>
    </row>
    <row r="189" customFormat="false" ht="15" hidden="false" customHeight="false" outlineLevel="0" collapsed="false">
      <c r="A189" s="17"/>
      <c r="B189" s="17"/>
      <c r="C189" s="20" t="str">
        <f aca="false">IFERROR(INDEX(Evidence_Index!$F$5:$F$204,MATCH(B189,Evidence_Index!$A$5:$A$204,0)),"")</f>
        <v/>
      </c>
      <c r="D189" s="20" t="str">
        <f aca="false">IFERROR(INDEX(Evidence_Index!$M$5:$M$204,MATCH(B189,Evidence_Index!$A$5:$A$204,0)),"")</f>
        <v/>
      </c>
      <c r="E189" s="17"/>
      <c r="F189" s="17"/>
      <c r="G189" s="17"/>
      <c r="H189" s="20" t="str">
        <f aca="false">IF(OR(D189="",G189=""),"",D189-G189)</f>
        <v/>
      </c>
      <c r="I189" s="17"/>
      <c r="J189" s="17"/>
      <c r="K189" s="17"/>
      <c r="L189" s="17"/>
      <c r="M189" s="19"/>
      <c r="N189" s="17"/>
      <c r="O189" s="20" t="str">
        <f aca="false">IF(A189="","",IF(COUNTIF(Evidence_Index!$A$5:$A$204,B189)=0,"EV-ID not in index",IF(OR(E189="",I189=""),"Completeness and accuracy procedures needed",IF(AND(N189="Pass",H189&lt;&gt;0),"Pass requires counts to agree (or explain)",IF(AND(N189="Pass",OR(K189&lt;&gt;"Y",J189="")),"Pass requires parameter evidence and traced records","OK")))))</f>
        <v/>
      </c>
    </row>
    <row r="190" customFormat="false" ht="15" hidden="false" customHeight="false" outlineLevel="0" collapsed="false">
      <c r="A190" s="17"/>
      <c r="B190" s="17"/>
      <c r="C190" s="20" t="str">
        <f aca="false">IFERROR(INDEX(Evidence_Index!$F$5:$F$204,MATCH(B190,Evidence_Index!$A$5:$A$204,0)),"")</f>
        <v/>
      </c>
      <c r="D190" s="20" t="str">
        <f aca="false">IFERROR(INDEX(Evidence_Index!$M$5:$M$204,MATCH(B190,Evidence_Index!$A$5:$A$204,0)),"")</f>
        <v/>
      </c>
      <c r="E190" s="17"/>
      <c r="F190" s="17"/>
      <c r="G190" s="17"/>
      <c r="H190" s="20" t="str">
        <f aca="false">IF(OR(D190="",G190=""),"",D190-G190)</f>
        <v/>
      </c>
      <c r="I190" s="17"/>
      <c r="J190" s="17"/>
      <c r="K190" s="17"/>
      <c r="L190" s="17"/>
      <c r="M190" s="19"/>
      <c r="N190" s="17"/>
      <c r="O190" s="20" t="str">
        <f aca="false">IF(A190="","",IF(COUNTIF(Evidence_Index!$A$5:$A$204,B190)=0,"EV-ID not in index",IF(OR(E190="",I190=""),"Completeness and accuracy procedures needed",IF(AND(N190="Pass",H190&lt;&gt;0),"Pass requires counts to agree (or explain)",IF(AND(N190="Pass",OR(K190&lt;&gt;"Y",J190="")),"Pass requires parameter evidence and traced records","OK")))))</f>
        <v/>
      </c>
    </row>
    <row r="191" customFormat="false" ht="15" hidden="false" customHeight="false" outlineLevel="0" collapsed="false">
      <c r="A191" s="17"/>
      <c r="B191" s="17"/>
      <c r="C191" s="20" t="str">
        <f aca="false">IFERROR(INDEX(Evidence_Index!$F$5:$F$204,MATCH(B191,Evidence_Index!$A$5:$A$204,0)),"")</f>
        <v/>
      </c>
      <c r="D191" s="20" t="str">
        <f aca="false">IFERROR(INDEX(Evidence_Index!$M$5:$M$204,MATCH(B191,Evidence_Index!$A$5:$A$204,0)),"")</f>
        <v/>
      </c>
      <c r="E191" s="17"/>
      <c r="F191" s="17"/>
      <c r="G191" s="17"/>
      <c r="H191" s="20" t="str">
        <f aca="false">IF(OR(D191="",G191=""),"",D191-G191)</f>
        <v/>
      </c>
      <c r="I191" s="17"/>
      <c r="J191" s="17"/>
      <c r="K191" s="17"/>
      <c r="L191" s="17"/>
      <c r="M191" s="19"/>
      <c r="N191" s="17"/>
      <c r="O191" s="20" t="str">
        <f aca="false">IF(A191="","",IF(COUNTIF(Evidence_Index!$A$5:$A$204,B191)=0,"EV-ID not in index",IF(OR(E191="",I191=""),"Completeness and accuracy procedures needed",IF(AND(N191="Pass",H191&lt;&gt;0),"Pass requires counts to agree (or explain)",IF(AND(N191="Pass",OR(K191&lt;&gt;"Y",J191="")),"Pass requires parameter evidence and traced records","OK")))))</f>
        <v/>
      </c>
    </row>
    <row r="192" customFormat="false" ht="15" hidden="false" customHeight="false" outlineLevel="0" collapsed="false">
      <c r="A192" s="17"/>
      <c r="B192" s="17"/>
      <c r="C192" s="20" t="str">
        <f aca="false">IFERROR(INDEX(Evidence_Index!$F$5:$F$204,MATCH(B192,Evidence_Index!$A$5:$A$204,0)),"")</f>
        <v/>
      </c>
      <c r="D192" s="20" t="str">
        <f aca="false">IFERROR(INDEX(Evidence_Index!$M$5:$M$204,MATCH(B192,Evidence_Index!$A$5:$A$204,0)),"")</f>
        <v/>
      </c>
      <c r="E192" s="17"/>
      <c r="F192" s="17"/>
      <c r="G192" s="17"/>
      <c r="H192" s="20" t="str">
        <f aca="false">IF(OR(D192="",G192=""),"",D192-G192)</f>
        <v/>
      </c>
      <c r="I192" s="17"/>
      <c r="J192" s="17"/>
      <c r="K192" s="17"/>
      <c r="L192" s="17"/>
      <c r="M192" s="19"/>
      <c r="N192" s="17"/>
      <c r="O192" s="20" t="str">
        <f aca="false">IF(A192="","",IF(COUNTIF(Evidence_Index!$A$5:$A$204,B192)=0,"EV-ID not in index",IF(OR(E192="",I192=""),"Completeness and accuracy procedures needed",IF(AND(N192="Pass",H192&lt;&gt;0),"Pass requires counts to agree (or explain)",IF(AND(N192="Pass",OR(K192&lt;&gt;"Y",J192="")),"Pass requires parameter evidence and traced records","OK")))))</f>
        <v/>
      </c>
    </row>
    <row r="193" customFormat="false" ht="15" hidden="false" customHeight="false" outlineLevel="0" collapsed="false">
      <c r="A193" s="17"/>
      <c r="B193" s="17"/>
      <c r="C193" s="20" t="str">
        <f aca="false">IFERROR(INDEX(Evidence_Index!$F$5:$F$204,MATCH(B193,Evidence_Index!$A$5:$A$204,0)),"")</f>
        <v/>
      </c>
      <c r="D193" s="20" t="str">
        <f aca="false">IFERROR(INDEX(Evidence_Index!$M$5:$M$204,MATCH(B193,Evidence_Index!$A$5:$A$204,0)),"")</f>
        <v/>
      </c>
      <c r="E193" s="17"/>
      <c r="F193" s="17"/>
      <c r="G193" s="17"/>
      <c r="H193" s="20" t="str">
        <f aca="false">IF(OR(D193="",G193=""),"",D193-G193)</f>
        <v/>
      </c>
      <c r="I193" s="17"/>
      <c r="J193" s="17"/>
      <c r="K193" s="17"/>
      <c r="L193" s="17"/>
      <c r="M193" s="19"/>
      <c r="N193" s="17"/>
      <c r="O193" s="20" t="str">
        <f aca="false">IF(A193="","",IF(COUNTIF(Evidence_Index!$A$5:$A$204,B193)=0,"EV-ID not in index",IF(OR(E193="",I193=""),"Completeness and accuracy procedures needed",IF(AND(N193="Pass",H193&lt;&gt;0),"Pass requires counts to agree (or explain)",IF(AND(N193="Pass",OR(K193&lt;&gt;"Y",J193="")),"Pass requires parameter evidence and traced records","OK")))))</f>
        <v/>
      </c>
    </row>
    <row r="194" customFormat="false" ht="15" hidden="false" customHeight="false" outlineLevel="0" collapsed="false">
      <c r="A194" s="17"/>
      <c r="B194" s="17"/>
      <c r="C194" s="20" t="str">
        <f aca="false">IFERROR(INDEX(Evidence_Index!$F$5:$F$204,MATCH(B194,Evidence_Index!$A$5:$A$204,0)),"")</f>
        <v/>
      </c>
      <c r="D194" s="20" t="str">
        <f aca="false">IFERROR(INDEX(Evidence_Index!$M$5:$M$204,MATCH(B194,Evidence_Index!$A$5:$A$204,0)),"")</f>
        <v/>
      </c>
      <c r="E194" s="17"/>
      <c r="F194" s="17"/>
      <c r="G194" s="17"/>
      <c r="H194" s="20" t="str">
        <f aca="false">IF(OR(D194="",G194=""),"",D194-G194)</f>
        <v/>
      </c>
      <c r="I194" s="17"/>
      <c r="J194" s="17"/>
      <c r="K194" s="17"/>
      <c r="L194" s="17"/>
      <c r="M194" s="19"/>
      <c r="N194" s="17"/>
      <c r="O194" s="20" t="str">
        <f aca="false">IF(A194="","",IF(COUNTIF(Evidence_Index!$A$5:$A$204,B194)=0,"EV-ID not in index",IF(OR(E194="",I194=""),"Completeness and accuracy procedures needed",IF(AND(N194="Pass",H194&lt;&gt;0),"Pass requires counts to agree (or explain)",IF(AND(N194="Pass",OR(K194&lt;&gt;"Y",J194="")),"Pass requires parameter evidence and traced records","OK")))))</f>
        <v/>
      </c>
    </row>
    <row r="195" customFormat="false" ht="15" hidden="false" customHeight="false" outlineLevel="0" collapsed="false">
      <c r="A195" s="17"/>
      <c r="B195" s="17"/>
      <c r="C195" s="20" t="str">
        <f aca="false">IFERROR(INDEX(Evidence_Index!$F$5:$F$204,MATCH(B195,Evidence_Index!$A$5:$A$204,0)),"")</f>
        <v/>
      </c>
      <c r="D195" s="20" t="str">
        <f aca="false">IFERROR(INDEX(Evidence_Index!$M$5:$M$204,MATCH(B195,Evidence_Index!$A$5:$A$204,0)),"")</f>
        <v/>
      </c>
      <c r="E195" s="17"/>
      <c r="F195" s="17"/>
      <c r="G195" s="17"/>
      <c r="H195" s="20" t="str">
        <f aca="false">IF(OR(D195="",G195=""),"",D195-G195)</f>
        <v/>
      </c>
      <c r="I195" s="17"/>
      <c r="J195" s="17"/>
      <c r="K195" s="17"/>
      <c r="L195" s="17"/>
      <c r="M195" s="19"/>
      <c r="N195" s="17"/>
      <c r="O195" s="20" t="str">
        <f aca="false">IF(A195="","",IF(COUNTIF(Evidence_Index!$A$5:$A$204,B195)=0,"EV-ID not in index",IF(OR(E195="",I195=""),"Completeness and accuracy procedures needed",IF(AND(N195="Pass",H195&lt;&gt;0),"Pass requires counts to agree (or explain)",IF(AND(N195="Pass",OR(K195&lt;&gt;"Y",J195="")),"Pass requires parameter evidence and traced records","OK")))))</f>
        <v/>
      </c>
    </row>
    <row r="196" customFormat="false" ht="15" hidden="false" customHeight="false" outlineLevel="0" collapsed="false">
      <c r="A196" s="17"/>
      <c r="B196" s="17"/>
      <c r="C196" s="20" t="str">
        <f aca="false">IFERROR(INDEX(Evidence_Index!$F$5:$F$204,MATCH(B196,Evidence_Index!$A$5:$A$204,0)),"")</f>
        <v/>
      </c>
      <c r="D196" s="20" t="str">
        <f aca="false">IFERROR(INDEX(Evidence_Index!$M$5:$M$204,MATCH(B196,Evidence_Index!$A$5:$A$204,0)),"")</f>
        <v/>
      </c>
      <c r="E196" s="17"/>
      <c r="F196" s="17"/>
      <c r="G196" s="17"/>
      <c r="H196" s="20" t="str">
        <f aca="false">IF(OR(D196="",G196=""),"",D196-G196)</f>
        <v/>
      </c>
      <c r="I196" s="17"/>
      <c r="J196" s="17"/>
      <c r="K196" s="17"/>
      <c r="L196" s="17"/>
      <c r="M196" s="19"/>
      <c r="N196" s="17"/>
      <c r="O196" s="20" t="str">
        <f aca="false">IF(A196="","",IF(COUNTIF(Evidence_Index!$A$5:$A$204,B196)=0,"EV-ID not in index",IF(OR(E196="",I196=""),"Completeness and accuracy procedures needed",IF(AND(N196="Pass",H196&lt;&gt;0),"Pass requires counts to agree (or explain)",IF(AND(N196="Pass",OR(K196&lt;&gt;"Y",J196="")),"Pass requires parameter evidence and traced records","OK")))))</f>
        <v/>
      </c>
    </row>
    <row r="197" customFormat="false" ht="15" hidden="false" customHeight="false" outlineLevel="0" collapsed="false">
      <c r="A197" s="17"/>
      <c r="B197" s="17"/>
      <c r="C197" s="20" t="str">
        <f aca="false">IFERROR(INDEX(Evidence_Index!$F$5:$F$204,MATCH(B197,Evidence_Index!$A$5:$A$204,0)),"")</f>
        <v/>
      </c>
      <c r="D197" s="20" t="str">
        <f aca="false">IFERROR(INDEX(Evidence_Index!$M$5:$M$204,MATCH(B197,Evidence_Index!$A$5:$A$204,0)),"")</f>
        <v/>
      </c>
      <c r="E197" s="17"/>
      <c r="F197" s="17"/>
      <c r="G197" s="17"/>
      <c r="H197" s="20" t="str">
        <f aca="false">IF(OR(D197="",G197=""),"",D197-G197)</f>
        <v/>
      </c>
      <c r="I197" s="17"/>
      <c r="J197" s="17"/>
      <c r="K197" s="17"/>
      <c r="L197" s="17"/>
      <c r="M197" s="19"/>
      <c r="N197" s="17"/>
      <c r="O197" s="20" t="str">
        <f aca="false">IF(A197="","",IF(COUNTIF(Evidence_Index!$A$5:$A$204,B197)=0,"EV-ID not in index",IF(OR(E197="",I197=""),"Completeness and accuracy procedures needed",IF(AND(N197="Pass",H197&lt;&gt;0),"Pass requires counts to agree (or explain)",IF(AND(N197="Pass",OR(K197&lt;&gt;"Y",J197="")),"Pass requires parameter evidence and traced records","OK")))))</f>
        <v/>
      </c>
    </row>
    <row r="198" customFormat="false" ht="15" hidden="false" customHeight="false" outlineLevel="0" collapsed="false">
      <c r="A198" s="17"/>
      <c r="B198" s="17"/>
      <c r="C198" s="20" t="str">
        <f aca="false">IFERROR(INDEX(Evidence_Index!$F$5:$F$204,MATCH(B198,Evidence_Index!$A$5:$A$204,0)),"")</f>
        <v/>
      </c>
      <c r="D198" s="20" t="str">
        <f aca="false">IFERROR(INDEX(Evidence_Index!$M$5:$M$204,MATCH(B198,Evidence_Index!$A$5:$A$204,0)),"")</f>
        <v/>
      </c>
      <c r="E198" s="17"/>
      <c r="F198" s="17"/>
      <c r="G198" s="17"/>
      <c r="H198" s="20" t="str">
        <f aca="false">IF(OR(D198="",G198=""),"",D198-G198)</f>
        <v/>
      </c>
      <c r="I198" s="17"/>
      <c r="J198" s="17"/>
      <c r="K198" s="17"/>
      <c r="L198" s="17"/>
      <c r="M198" s="19"/>
      <c r="N198" s="17"/>
      <c r="O198" s="20" t="str">
        <f aca="false">IF(A198="","",IF(COUNTIF(Evidence_Index!$A$5:$A$204,B198)=0,"EV-ID not in index",IF(OR(E198="",I198=""),"Completeness and accuracy procedures needed",IF(AND(N198="Pass",H198&lt;&gt;0),"Pass requires counts to agree (or explain)",IF(AND(N198="Pass",OR(K198&lt;&gt;"Y",J198="")),"Pass requires parameter evidence and traced records","OK")))))</f>
        <v/>
      </c>
    </row>
    <row r="199" customFormat="false" ht="15" hidden="false" customHeight="false" outlineLevel="0" collapsed="false">
      <c r="A199" s="17"/>
      <c r="B199" s="17"/>
      <c r="C199" s="20" t="str">
        <f aca="false">IFERROR(INDEX(Evidence_Index!$F$5:$F$204,MATCH(B199,Evidence_Index!$A$5:$A$204,0)),"")</f>
        <v/>
      </c>
      <c r="D199" s="20" t="str">
        <f aca="false">IFERROR(INDEX(Evidence_Index!$M$5:$M$204,MATCH(B199,Evidence_Index!$A$5:$A$204,0)),"")</f>
        <v/>
      </c>
      <c r="E199" s="17"/>
      <c r="F199" s="17"/>
      <c r="G199" s="17"/>
      <c r="H199" s="20" t="str">
        <f aca="false">IF(OR(D199="",G199=""),"",D199-G199)</f>
        <v/>
      </c>
      <c r="I199" s="17"/>
      <c r="J199" s="17"/>
      <c r="K199" s="17"/>
      <c r="L199" s="17"/>
      <c r="M199" s="19"/>
      <c r="N199" s="17"/>
      <c r="O199" s="20" t="str">
        <f aca="false">IF(A199="","",IF(COUNTIF(Evidence_Index!$A$5:$A$204,B199)=0,"EV-ID not in index",IF(OR(E199="",I199=""),"Completeness and accuracy procedures needed",IF(AND(N199="Pass",H199&lt;&gt;0),"Pass requires counts to agree (or explain)",IF(AND(N199="Pass",OR(K199&lt;&gt;"Y",J199="")),"Pass requires parameter evidence and traced records","OK")))))</f>
        <v/>
      </c>
    </row>
    <row r="200" customFormat="false" ht="15" hidden="false" customHeight="false" outlineLevel="0" collapsed="false">
      <c r="A200" s="17"/>
      <c r="B200" s="17"/>
      <c r="C200" s="20" t="str">
        <f aca="false">IFERROR(INDEX(Evidence_Index!$F$5:$F$204,MATCH(B200,Evidence_Index!$A$5:$A$204,0)),"")</f>
        <v/>
      </c>
      <c r="D200" s="20" t="str">
        <f aca="false">IFERROR(INDEX(Evidence_Index!$M$5:$M$204,MATCH(B200,Evidence_Index!$A$5:$A$204,0)),"")</f>
        <v/>
      </c>
      <c r="E200" s="17"/>
      <c r="F200" s="17"/>
      <c r="G200" s="17"/>
      <c r="H200" s="20" t="str">
        <f aca="false">IF(OR(D200="",G200=""),"",D200-G200)</f>
        <v/>
      </c>
      <c r="I200" s="17"/>
      <c r="J200" s="17"/>
      <c r="K200" s="17"/>
      <c r="L200" s="17"/>
      <c r="M200" s="19"/>
      <c r="N200" s="17"/>
      <c r="O200" s="20" t="str">
        <f aca="false">IF(A200="","",IF(COUNTIF(Evidence_Index!$A$5:$A$204,B200)=0,"EV-ID not in index",IF(OR(E200="",I200=""),"Completeness and accuracy procedures needed",IF(AND(N200="Pass",H200&lt;&gt;0),"Pass requires counts to agree (or explain)",IF(AND(N200="Pass",OR(K200&lt;&gt;"Y",J200="")),"Pass requires parameter evidence and traced records","OK")))))</f>
        <v/>
      </c>
    </row>
    <row r="201" customFormat="false" ht="15" hidden="false" customHeight="false" outlineLevel="0" collapsed="false">
      <c r="A201" s="17"/>
      <c r="B201" s="17"/>
      <c r="C201" s="20" t="str">
        <f aca="false">IFERROR(INDEX(Evidence_Index!$F$5:$F$204,MATCH(B201,Evidence_Index!$A$5:$A$204,0)),"")</f>
        <v/>
      </c>
      <c r="D201" s="20" t="str">
        <f aca="false">IFERROR(INDEX(Evidence_Index!$M$5:$M$204,MATCH(B201,Evidence_Index!$A$5:$A$204,0)),"")</f>
        <v/>
      </c>
      <c r="E201" s="17"/>
      <c r="F201" s="17"/>
      <c r="G201" s="17"/>
      <c r="H201" s="20" t="str">
        <f aca="false">IF(OR(D201="",G201=""),"",D201-G201)</f>
        <v/>
      </c>
      <c r="I201" s="17"/>
      <c r="J201" s="17"/>
      <c r="K201" s="17"/>
      <c r="L201" s="17"/>
      <c r="M201" s="19"/>
      <c r="N201" s="17"/>
      <c r="O201" s="20" t="str">
        <f aca="false">IF(A201="","",IF(COUNTIF(Evidence_Index!$A$5:$A$204,B201)=0,"EV-ID not in index",IF(OR(E201="",I201=""),"Completeness and accuracy procedures needed",IF(AND(N201="Pass",H201&lt;&gt;0),"Pass requires counts to agree (or explain)",IF(AND(N201="Pass",OR(K201&lt;&gt;"Y",J201="")),"Pass requires parameter evidence and traced records","OK")))))</f>
        <v/>
      </c>
    </row>
    <row r="202" customFormat="false" ht="15" hidden="false" customHeight="false" outlineLevel="0" collapsed="false">
      <c r="A202" s="17"/>
      <c r="B202" s="17"/>
      <c r="C202" s="20" t="str">
        <f aca="false">IFERROR(INDEX(Evidence_Index!$F$5:$F$204,MATCH(B202,Evidence_Index!$A$5:$A$204,0)),"")</f>
        <v/>
      </c>
      <c r="D202" s="20" t="str">
        <f aca="false">IFERROR(INDEX(Evidence_Index!$M$5:$M$204,MATCH(B202,Evidence_Index!$A$5:$A$204,0)),"")</f>
        <v/>
      </c>
      <c r="E202" s="17"/>
      <c r="F202" s="17"/>
      <c r="G202" s="17"/>
      <c r="H202" s="20" t="str">
        <f aca="false">IF(OR(D202="",G202=""),"",D202-G202)</f>
        <v/>
      </c>
      <c r="I202" s="17"/>
      <c r="J202" s="17"/>
      <c r="K202" s="17"/>
      <c r="L202" s="17"/>
      <c r="M202" s="19"/>
      <c r="N202" s="17"/>
      <c r="O202" s="20" t="str">
        <f aca="false">IF(A202="","",IF(COUNTIF(Evidence_Index!$A$5:$A$204,B202)=0,"EV-ID not in index",IF(OR(E202="",I202=""),"Completeness and accuracy procedures needed",IF(AND(N202="Pass",H202&lt;&gt;0),"Pass requires counts to agree (or explain)",IF(AND(N202="Pass",OR(K202&lt;&gt;"Y",J202="")),"Pass requires parameter evidence and traced records","OK")))))</f>
        <v/>
      </c>
    </row>
    <row r="203" customFormat="false" ht="15" hidden="false" customHeight="false" outlineLevel="0" collapsed="false">
      <c r="A203" s="17"/>
      <c r="B203" s="17"/>
      <c r="C203" s="20" t="str">
        <f aca="false">IFERROR(INDEX(Evidence_Index!$F$5:$F$204,MATCH(B203,Evidence_Index!$A$5:$A$204,0)),"")</f>
        <v/>
      </c>
      <c r="D203" s="20" t="str">
        <f aca="false">IFERROR(INDEX(Evidence_Index!$M$5:$M$204,MATCH(B203,Evidence_Index!$A$5:$A$204,0)),"")</f>
        <v/>
      </c>
      <c r="E203" s="17"/>
      <c r="F203" s="17"/>
      <c r="G203" s="17"/>
      <c r="H203" s="20" t="str">
        <f aca="false">IF(OR(D203="",G203=""),"",D203-G203)</f>
        <v/>
      </c>
      <c r="I203" s="17"/>
      <c r="J203" s="17"/>
      <c r="K203" s="17"/>
      <c r="L203" s="17"/>
      <c r="M203" s="19"/>
      <c r="N203" s="17"/>
      <c r="O203" s="20" t="str">
        <f aca="false">IF(A203="","",IF(COUNTIF(Evidence_Index!$A$5:$A$204,B203)=0,"EV-ID not in index",IF(OR(E203="",I203=""),"Completeness and accuracy procedures needed",IF(AND(N203="Pass",H203&lt;&gt;0),"Pass requires counts to agree (or explain)",IF(AND(N203="Pass",OR(K203&lt;&gt;"Y",J203="")),"Pass requires parameter evidence and traced records","OK")))))</f>
        <v/>
      </c>
    </row>
    <row r="204" customFormat="false" ht="15" hidden="false" customHeight="false" outlineLevel="0" collapsed="false">
      <c r="A204" s="17"/>
      <c r="B204" s="17"/>
      <c r="C204" s="20" t="str">
        <f aca="false">IFERROR(INDEX(Evidence_Index!$F$5:$F$204,MATCH(B204,Evidence_Index!$A$5:$A$204,0)),"")</f>
        <v/>
      </c>
      <c r="D204" s="20" t="str">
        <f aca="false">IFERROR(INDEX(Evidence_Index!$M$5:$M$204,MATCH(B204,Evidence_Index!$A$5:$A$204,0)),"")</f>
        <v/>
      </c>
      <c r="E204" s="17"/>
      <c r="F204" s="17"/>
      <c r="G204" s="17"/>
      <c r="H204" s="20" t="str">
        <f aca="false">IF(OR(D204="",G204=""),"",D204-G204)</f>
        <v/>
      </c>
      <c r="I204" s="17"/>
      <c r="J204" s="17"/>
      <c r="K204" s="17"/>
      <c r="L204" s="17"/>
      <c r="M204" s="19"/>
      <c r="N204" s="17"/>
      <c r="O204" s="20" t="str">
        <f aca="false">IF(A204="","",IF(COUNTIF(Evidence_Index!$A$5:$A$204,B204)=0,"EV-ID not in index",IF(OR(E204="",I204=""),"Completeness and accuracy procedures needed",IF(AND(N204="Pass",H204&lt;&gt;0),"Pass requires counts to agree (or explain)",IF(AND(N204="Pass",OR(K204&lt;&gt;"Y",J204="")),"Pass requires parameter evidence and traced records","OK")))))</f>
        <v/>
      </c>
    </row>
  </sheetData>
  <autoFilter ref="A4:O204"/>
  <dataValidations count="3">
    <dataValidation allowBlank="true" error="Pick a value from the list." errorStyle="warning" operator="between" showDropDown="false" showErrorMessage="true" showInputMessage="false" sqref="B5:B204" type="list">
      <formula1>Evidence_Index!$A$5:$A$204</formula1>
      <formula2>0</formula2>
    </dataValidation>
    <dataValidation allowBlank="true" error="Pick a value from the list." errorStyle="stop" operator="between" showDropDown="false" showErrorMessage="true" showInputMessage="false" sqref="K5:K204" type="list">
      <formula1>Lists!$A$2:$A$3</formula1>
      <formula2>0</formula2>
    </dataValidation>
    <dataValidation allowBlank="true" error="Pick a value from the list." errorStyle="stop" operator="between" showDropDown="false" showErrorMessage="true" showInputMessage="false" sqref="N5:N204" type="list">
      <formula1>Lists!$B$2:$B$4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44"/>
  </cols>
  <sheetData>
    <row r="1" customFormat="false" ht="31.5" hidden="false" customHeight="true" outlineLevel="0" collapsed="false">
      <c r="A1" s="21" t="s">
        <v>148</v>
      </c>
      <c r="B1" s="21" t="s">
        <v>149</v>
      </c>
      <c r="C1" s="21" t="s">
        <v>150</v>
      </c>
      <c r="D1" s="21" t="s">
        <v>151</v>
      </c>
    </row>
    <row r="2" customFormat="false" ht="15" hidden="false" customHeight="false" outlineLevel="0" collapsed="false">
      <c r="A2" s="22" t="s">
        <v>122</v>
      </c>
      <c r="B2" s="23" t="n">
        <v>46023</v>
      </c>
      <c r="C2" s="23" t="n">
        <v>46295</v>
      </c>
      <c r="D2" s="22" t="s">
        <v>152</v>
      </c>
    </row>
    <row r="3" customFormat="false" ht="15" hidden="false" customHeight="false" outlineLevel="0" collapsed="false">
      <c r="A3" s="22" t="s">
        <v>132</v>
      </c>
      <c r="B3" s="23" t="n">
        <v>46023</v>
      </c>
      <c r="C3" s="23" t="n">
        <v>46295</v>
      </c>
      <c r="D3" s="22" t="s">
        <v>152</v>
      </c>
    </row>
    <row r="4" customFormat="false" ht="15" hidden="false" customHeight="false" outlineLevel="0" collapsed="false">
      <c r="A4" s="22" t="s">
        <v>153</v>
      </c>
      <c r="B4" s="23" t="n">
        <v>46023</v>
      </c>
      <c r="C4" s="23" t="n">
        <v>46295</v>
      </c>
      <c r="D4" s="22" t="s">
        <v>154</v>
      </c>
    </row>
    <row r="5" customFormat="false" ht="15" hidden="false" customHeight="false" outlineLevel="0" collapsed="false">
      <c r="A5" s="22"/>
      <c r="B5" s="22"/>
      <c r="C5" s="22"/>
      <c r="D5" s="22"/>
    </row>
    <row r="6" customFormat="false" ht="15" hidden="false" customHeight="false" outlineLevel="0" collapsed="false">
      <c r="A6" s="22"/>
      <c r="B6" s="22"/>
      <c r="C6" s="22"/>
      <c r="D6" s="22"/>
    </row>
    <row r="7" customFormat="false" ht="15" hidden="false" customHeight="false" outlineLevel="0" collapsed="false">
      <c r="A7" s="22"/>
      <c r="B7" s="22"/>
      <c r="C7" s="22"/>
      <c r="D7" s="22"/>
    </row>
    <row r="8" customFormat="false" ht="15" hidden="false" customHeight="false" outlineLevel="0" collapsed="false">
      <c r="A8" s="22"/>
      <c r="B8" s="22"/>
      <c r="C8" s="22"/>
      <c r="D8" s="22"/>
    </row>
    <row r="9" customFormat="false" ht="15" hidden="false" customHeight="false" outlineLevel="0" collapsed="false">
      <c r="A9" s="22"/>
      <c r="B9" s="22"/>
      <c r="C9" s="22"/>
      <c r="D9" s="22"/>
    </row>
    <row r="10" customFormat="false" ht="15" hidden="false" customHeight="false" outlineLevel="0" collapsed="false">
      <c r="A10" s="22"/>
      <c r="B10" s="22"/>
      <c r="C10" s="22"/>
      <c r="D10" s="22"/>
    </row>
    <row r="11" customFormat="false" ht="15" hidden="false" customHeight="false" outlineLevel="0" collapsed="false">
      <c r="A11" s="22"/>
      <c r="B11" s="22"/>
      <c r="C11" s="22"/>
      <c r="D11" s="22"/>
    </row>
    <row r="12" customFormat="false" ht="15" hidden="false" customHeight="false" outlineLevel="0" collapsed="false">
      <c r="A12" s="22"/>
      <c r="B12" s="22"/>
      <c r="C12" s="22"/>
      <c r="D12" s="22"/>
    </row>
    <row r="13" customFormat="false" ht="15" hidden="false" customHeight="false" outlineLevel="0" collapsed="false">
      <c r="A13" s="22"/>
      <c r="B13" s="22"/>
      <c r="C13" s="22"/>
      <c r="D13" s="22"/>
    </row>
    <row r="14" customFormat="false" ht="15" hidden="false" customHeight="false" outlineLevel="0" collapsed="false">
      <c r="A14" s="22"/>
      <c r="B14" s="22"/>
      <c r="C14" s="22"/>
      <c r="D14" s="22"/>
    </row>
    <row r="15" customFormat="false" ht="15" hidden="false" customHeight="false" outlineLevel="0" collapsed="false">
      <c r="A15" s="22"/>
      <c r="B15" s="22"/>
      <c r="C15" s="22"/>
      <c r="D15" s="22"/>
    </row>
    <row r="16" customFormat="false" ht="15" hidden="false" customHeight="false" outlineLevel="0" collapsed="false">
      <c r="A16" s="22"/>
      <c r="B16" s="22"/>
      <c r="C16" s="22"/>
      <c r="D16" s="22"/>
    </row>
    <row r="17" customFormat="false" ht="15" hidden="false" customHeight="false" outlineLevel="0" collapsed="false">
      <c r="A17" s="22"/>
      <c r="B17" s="22"/>
      <c r="C17" s="22"/>
      <c r="D17" s="22"/>
    </row>
    <row r="18" customFormat="false" ht="15" hidden="false" customHeight="false" outlineLevel="0" collapsed="false">
      <c r="A18" s="22"/>
      <c r="B18" s="22"/>
      <c r="C18" s="22"/>
      <c r="D18" s="22"/>
    </row>
    <row r="19" customFormat="false" ht="15" hidden="false" customHeight="false" outlineLevel="0" collapsed="false">
      <c r="A19" s="22"/>
      <c r="B19" s="22"/>
      <c r="C19" s="22"/>
      <c r="D19" s="22"/>
    </row>
    <row r="20" customFormat="false" ht="15" hidden="false" customHeight="false" outlineLevel="0" collapsed="false">
      <c r="A20" s="22"/>
      <c r="B20" s="22"/>
      <c r="C20" s="22"/>
      <c r="D20" s="22"/>
    </row>
    <row r="21" customFormat="false" ht="15" hidden="false" customHeight="false" outlineLevel="0" collapsed="false">
      <c r="A21" s="22"/>
      <c r="B21" s="22"/>
      <c r="C21" s="22"/>
      <c r="D21" s="22"/>
    </row>
    <row r="22" customFormat="false" ht="15" hidden="false" customHeight="false" outlineLevel="0" collapsed="false">
      <c r="A22" s="22"/>
      <c r="B22" s="22"/>
      <c r="C22" s="22"/>
      <c r="D22" s="22"/>
    </row>
    <row r="23" customFormat="false" ht="15" hidden="false" customHeight="false" outlineLevel="0" collapsed="false">
      <c r="A23" s="22"/>
      <c r="B23" s="22"/>
      <c r="C23" s="22"/>
      <c r="D23" s="22"/>
    </row>
    <row r="24" customFormat="false" ht="15" hidden="false" customHeight="false" outlineLevel="0" collapsed="false">
      <c r="A24" s="22"/>
      <c r="B24" s="22"/>
      <c r="C24" s="22"/>
      <c r="D24" s="22"/>
    </row>
    <row r="25" customFormat="false" ht="15" hidden="false" customHeight="false" outlineLevel="0" collapsed="false">
      <c r="A25" s="22"/>
      <c r="B25" s="22"/>
      <c r="C25" s="22"/>
      <c r="D25" s="22"/>
    </row>
    <row r="26" customFormat="false" ht="15" hidden="false" customHeight="false" outlineLevel="0" collapsed="false">
      <c r="A26" s="22"/>
      <c r="B26" s="22"/>
      <c r="C26" s="22"/>
      <c r="D26" s="22"/>
    </row>
    <row r="27" customFormat="false" ht="15" hidden="false" customHeight="false" outlineLevel="0" collapsed="false">
      <c r="A27" s="22"/>
      <c r="B27" s="22"/>
      <c r="C27" s="22"/>
      <c r="D27" s="22"/>
    </row>
    <row r="28" customFormat="false" ht="15" hidden="false" customHeight="false" outlineLevel="0" collapsed="false">
      <c r="A28" s="22"/>
      <c r="B28" s="22"/>
      <c r="C28" s="22"/>
      <c r="D28" s="22"/>
    </row>
    <row r="29" customFormat="false" ht="15" hidden="false" customHeight="false" outlineLevel="0" collapsed="false">
      <c r="A29" s="22"/>
      <c r="B29" s="22"/>
      <c r="C29" s="22"/>
      <c r="D29" s="22"/>
    </row>
    <row r="30" customFormat="false" ht="15" hidden="false" customHeight="false" outlineLevel="0" collapsed="false">
      <c r="A30" s="22"/>
      <c r="B30" s="22"/>
      <c r="C30" s="22"/>
      <c r="D30" s="22"/>
    </row>
    <row r="31" customFormat="false" ht="15" hidden="false" customHeight="false" outlineLevel="0" collapsed="false">
      <c r="A31" s="22"/>
      <c r="B31" s="22"/>
      <c r="C31" s="22"/>
      <c r="D31" s="22"/>
    </row>
    <row r="32" customFormat="false" ht="15" hidden="false" customHeight="false" outlineLevel="0" collapsed="false">
      <c r="A32" s="22"/>
      <c r="B32" s="22"/>
      <c r="C32" s="22"/>
      <c r="D32" s="22"/>
    </row>
    <row r="33" customFormat="false" ht="15" hidden="false" customHeight="false" outlineLevel="0" collapsed="false">
      <c r="A33" s="22"/>
      <c r="B33" s="22"/>
      <c r="C33" s="22"/>
      <c r="D33" s="22"/>
    </row>
    <row r="34" customFormat="false" ht="15" hidden="false" customHeight="false" outlineLevel="0" collapsed="false">
      <c r="A34" s="22"/>
      <c r="B34" s="22"/>
      <c r="C34" s="22"/>
      <c r="D34" s="22"/>
    </row>
    <row r="35" customFormat="false" ht="15" hidden="false" customHeight="false" outlineLevel="0" collapsed="false">
      <c r="A35" s="22"/>
      <c r="B35" s="22"/>
      <c r="C35" s="22"/>
      <c r="D35" s="22"/>
    </row>
    <row r="36" customFormat="false" ht="15" hidden="false" customHeight="false" outlineLevel="0" collapsed="false">
      <c r="A36" s="22"/>
      <c r="B36" s="22"/>
      <c r="C36" s="22"/>
      <c r="D36" s="22"/>
    </row>
    <row r="37" customFormat="false" ht="15" hidden="false" customHeight="false" outlineLevel="0" collapsed="false">
      <c r="A37" s="22"/>
      <c r="B37" s="22"/>
      <c r="C37" s="22"/>
      <c r="D37" s="22"/>
    </row>
    <row r="38" customFormat="false" ht="15" hidden="false" customHeight="false" outlineLevel="0" collapsed="false">
      <c r="A38" s="22"/>
      <c r="B38" s="22"/>
      <c r="C38" s="22"/>
      <c r="D38" s="22"/>
    </row>
    <row r="39" customFormat="false" ht="15" hidden="false" customHeight="false" outlineLevel="0" collapsed="false">
      <c r="A39" s="22"/>
      <c r="B39" s="22"/>
      <c r="C39" s="22"/>
      <c r="D39" s="22"/>
    </row>
    <row r="40" customFormat="false" ht="15" hidden="false" customHeight="false" outlineLevel="0" collapsed="false">
      <c r="A40" s="22"/>
      <c r="B40" s="22"/>
      <c r="C40" s="22"/>
      <c r="D40" s="22"/>
    </row>
    <row r="41" customFormat="false" ht="15" hidden="false" customHeight="false" outlineLevel="0" collapsed="false">
      <c r="A41" s="22"/>
      <c r="B41" s="22"/>
      <c r="C41" s="22"/>
      <c r="D41" s="22"/>
    </row>
    <row r="42" customFormat="false" ht="15" hidden="false" customHeight="false" outlineLevel="0" collapsed="false">
      <c r="A42" s="22"/>
      <c r="B42" s="22"/>
      <c r="C42" s="22"/>
      <c r="D42" s="22"/>
    </row>
    <row r="43" customFormat="false" ht="15" hidden="false" customHeight="false" outlineLevel="0" collapsed="false">
      <c r="A43" s="22"/>
      <c r="B43" s="22"/>
      <c r="C43" s="22"/>
      <c r="D43" s="22"/>
    </row>
    <row r="44" customFormat="false" ht="15" hidden="false" customHeight="false" outlineLevel="0" collapsed="false">
      <c r="A44" s="22"/>
      <c r="B44" s="22"/>
      <c r="C44" s="22"/>
      <c r="D44" s="22"/>
    </row>
    <row r="45" customFormat="false" ht="15" hidden="false" customHeight="false" outlineLevel="0" collapsed="false">
      <c r="A45" s="22"/>
      <c r="B45" s="22"/>
      <c r="C45" s="22"/>
      <c r="D45" s="22"/>
    </row>
    <row r="46" customFormat="false" ht="15" hidden="false" customHeight="false" outlineLevel="0" collapsed="false">
      <c r="A46" s="22"/>
      <c r="B46" s="22"/>
      <c r="C46" s="22"/>
      <c r="D46" s="22"/>
    </row>
    <row r="47" customFormat="false" ht="15" hidden="false" customHeight="false" outlineLevel="0" collapsed="false">
      <c r="A47" s="22"/>
      <c r="B47" s="22"/>
      <c r="C47" s="22"/>
      <c r="D47" s="22"/>
    </row>
    <row r="48" customFormat="false" ht="15" hidden="false" customHeight="false" outlineLevel="0" collapsed="false">
      <c r="A48" s="22"/>
      <c r="B48" s="22"/>
      <c r="C48" s="22"/>
      <c r="D48" s="22"/>
    </row>
    <row r="49" customFormat="false" ht="15" hidden="false" customHeight="false" outlineLevel="0" collapsed="false">
      <c r="A49" s="22"/>
      <c r="B49" s="22"/>
      <c r="C49" s="22"/>
      <c r="D49" s="22"/>
    </row>
    <row r="50" customFormat="false" ht="15" hidden="false" customHeight="false" outlineLevel="0" collapsed="false">
      <c r="A50" s="22"/>
      <c r="B50" s="22"/>
      <c r="C50" s="22"/>
      <c r="D50" s="22"/>
    </row>
    <row r="51" customFormat="false" ht="15" hidden="false" customHeight="false" outlineLevel="0" collapsed="false">
      <c r="A51" s="22"/>
      <c r="B51" s="22"/>
      <c r="C51" s="22"/>
      <c r="D51" s="22"/>
    </row>
    <row r="52" customFormat="false" ht="15" hidden="false" customHeight="false" outlineLevel="0" collapsed="false">
      <c r="A52" s="22"/>
      <c r="B52" s="22"/>
      <c r="C52" s="22"/>
      <c r="D52" s="22"/>
    </row>
    <row r="53" customFormat="false" ht="15" hidden="false" customHeight="false" outlineLevel="0" collapsed="false">
      <c r="A53" s="22"/>
      <c r="B53" s="22"/>
      <c r="C53" s="22"/>
      <c r="D53" s="22"/>
    </row>
    <row r="54" customFormat="false" ht="15" hidden="false" customHeight="false" outlineLevel="0" collapsed="false">
      <c r="A54" s="22"/>
      <c r="B54" s="22"/>
      <c r="C54" s="22"/>
      <c r="D54" s="22"/>
    </row>
    <row r="55" customFormat="false" ht="15" hidden="false" customHeight="false" outlineLevel="0" collapsed="false">
      <c r="A55" s="22"/>
      <c r="B55" s="22"/>
      <c r="C55" s="22"/>
      <c r="D55" s="22"/>
    </row>
    <row r="56" customFormat="false" ht="15" hidden="false" customHeight="false" outlineLevel="0" collapsed="false">
      <c r="A56" s="22"/>
      <c r="B56" s="22"/>
      <c r="C56" s="22"/>
      <c r="D56" s="22"/>
    </row>
    <row r="57" customFormat="false" ht="15" hidden="false" customHeight="false" outlineLevel="0" collapsed="false">
      <c r="A57" s="22"/>
      <c r="B57" s="22"/>
      <c r="C57" s="22"/>
      <c r="D57" s="22"/>
    </row>
    <row r="58" customFormat="false" ht="15" hidden="false" customHeight="false" outlineLevel="0" collapsed="false">
      <c r="A58" s="22"/>
      <c r="B58" s="22"/>
      <c r="C58" s="22"/>
      <c r="D58" s="22"/>
    </row>
    <row r="59" customFormat="false" ht="15" hidden="false" customHeight="false" outlineLevel="0" collapsed="false">
      <c r="A59" s="22"/>
      <c r="B59" s="22"/>
      <c r="C59" s="22"/>
      <c r="D59" s="22"/>
    </row>
    <row r="60" customFormat="false" ht="15" hidden="false" customHeight="false" outlineLevel="0" collapsed="false">
      <c r="A60" s="22"/>
      <c r="B60" s="22"/>
      <c r="C60" s="22"/>
      <c r="D60" s="22"/>
    </row>
    <row r="61" customFormat="false" ht="15" hidden="false" customHeight="false" outlineLevel="0" collapsed="false">
      <c r="A61" s="22"/>
      <c r="B61" s="22"/>
      <c r="C61" s="22"/>
      <c r="D61" s="22"/>
    </row>
    <row r="62" customFormat="false" ht="15" hidden="false" customHeight="false" outlineLevel="0" collapsed="false">
      <c r="A62" s="22"/>
      <c r="B62" s="22"/>
      <c r="C62" s="22"/>
      <c r="D62" s="22"/>
    </row>
    <row r="63" customFormat="false" ht="15" hidden="false" customHeight="false" outlineLevel="0" collapsed="false">
      <c r="A63" s="22"/>
      <c r="B63" s="22"/>
      <c r="C63" s="22"/>
      <c r="D63" s="22"/>
    </row>
    <row r="64" customFormat="false" ht="15" hidden="false" customHeight="false" outlineLevel="0" collapsed="false">
      <c r="A64" s="22"/>
      <c r="B64" s="22"/>
      <c r="C64" s="22"/>
      <c r="D64" s="22"/>
    </row>
    <row r="65" customFormat="false" ht="15" hidden="false" customHeight="false" outlineLevel="0" collapsed="false">
      <c r="A65" s="22"/>
      <c r="B65" s="22"/>
      <c r="C65" s="22"/>
      <c r="D65" s="22"/>
    </row>
    <row r="66" customFormat="false" ht="15" hidden="false" customHeight="false" outlineLevel="0" collapsed="false">
      <c r="A66" s="22"/>
      <c r="B66" s="22"/>
      <c r="C66" s="22"/>
      <c r="D66" s="22"/>
    </row>
    <row r="67" customFormat="false" ht="15" hidden="false" customHeight="false" outlineLevel="0" collapsed="false">
      <c r="A67" s="22"/>
      <c r="B67" s="22"/>
      <c r="C67" s="22"/>
      <c r="D67" s="22"/>
    </row>
    <row r="68" customFormat="false" ht="15" hidden="false" customHeight="false" outlineLevel="0" collapsed="false">
      <c r="A68" s="22"/>
      <c r="B68" s="22"/>
      <c r="C68" s="22"/>
      <c r="D68" s="22"/>
    </row>
    <row r="69" customFormat="false" ht="15" hidden="false" customHeight="false" outlineLevel="0" collapsed="false">
      <c r="A69" s="22"/>
      <c r="B69" s="22"/>
      <c r="C69" s="22"/>
      <c r="D69" s="22"/>
    </row>
    <row r="70" customFormat="false" ht="15" hidden="false" customHeight="false" outlineLevel="0" collapsed="false">
      <c r="A70" s="22"/>
      <c r="B70" s="22"/>
      <c r="C70" s="22"/>
      <c r="D70" s="22"/>
    </row>
    <row r="71" customFormat="false" ht="15" hidden="false" customHeight="false" outlineLevel="0" collapsed="false">
      <c r="A71" s="22"/>
      <c r="B71" s="22"/>
      <c r="C71" s="22"/>
      <c r="D71" s="22"/>
    </row>
    <row r="72" customFormat="false" ht="15" hidden="false" customHeight="false" outlineLevel="0" collapsed="false">
      <c r="A72" s="22"/>
      <c r="B72" s="22"/>
      <c r="C72" s="22"/>
      <c r="D72" s="22"/>
    </row>
    <row r="73" customFormat="false" ht="15" hidden="false" customHeight="false" outlineLevel="0" collapsed="false">
      <c r="A73" s="22"/>
      <c r="B73" s="22"/>
      <c r="C73" s="22"/>
      <c r="D73" s="22"/>
    </row>
    <row r="74" customFormat="false" ht="15" hidden="false" customHeight="false" outlineLevel="0" collapsed="false">
      <c r="A74" s="22"/>
      <c r="B74" s="22"/>
      <c r="C74" s="22"/>
      <c r="D74" s="22"/>
    </row>
    <row r="75" customFormat="false" ht="15" hidden="false" customHeight="false" outlineLevel="0" collapsed="false">
      <c r="A75" s="22"/>
      <c r="B75" s="22"/>
      <c r="C75" s="22"/>
      <c r="D75" s="22"/>
    </row>
    <row r="76" customFormat="false" ht="15" hidden="false" customHeight="false" outlineLevel="0" collapsed="false">
      <c r="A76" s="22"/>
      <c r="B76" s="22"/>
      <c r="C76" s="22"/>
      <c r="D76" s="22"/>
    </row>
    <row r="77" customFormat="false" ht="15" hidden="false" customHeight="false" outlineLevel="0" collapsed="false">
      <c r="A77" s="22"/>
      <c r="B77" s="22"/>
      <c r="C77" s="22"/>
      <c r="D77" s="22"/>
    </row>
    <row r="78" customFormat="false" ht="15" hidden="false" customHeight="false" outlineLevel="0" collapsed="false">
      <c r="A78" s="22"/>
      <c r="B78" s="22"/>
      <c r="C78" s="22"/>
      <c r="D78" s="22"/>
    </row>
    <row r="79" customFormat="false" ht="15" hidden="false" customHeight="false" outlineLevel="0" collapsed="false">
      <c r="A79" s="22"/>
      <c r="B79" s="22"/>
      <c r="C79" s="22"/>
      <c r="D79" s="22"/>
    </row>
    <row r="80" customFormat="false" ht="15" hidden="false" customHeight="false" outlineLevel="0" collapsed="false">
      <c r="A80" s="22"/>
      <c r="B80" s="22"/>
      <c r="C80" s="22"/>
      <c r="D80" s="22"/>
    </row>
    <row r="81" customFormat="false" ht="15" hidden="false" customHeight="false" outlineLevel="0" collapsed="false">
      <c r="A81" s="22"/>
      <c r="B81" s="22"/>
      <c r="C81" s="22"/>
      <c r="D81" s="22"/>
    </row>
    <row r="82" customFormat="false" ht="15" hidden="false" customHeight="false" outlineLevel="0" collapsed="false">
      <c r="A82" s="22"/>
      <c r="B82" s="22"/>
      <c r="C82" s="22"/>
      <c r="D82" s="22"/>
    </row>
    <row r="83" customFormat="false" ht="15" hidden="false" customHeight="false" outlineLevel="0" collapsed="false">
      <c r="A83" s="22"/>
      <c r="B83" s="22"/>
      <c r="C83" s="22"/>
      <c r="D83" s="22"/>
    </row>
    <row r="84" customFormat="false" ht="15" hidden="false" customHeight="false" outlineLevel="0" collapsed="false">
      <c r="A84" s="22"/>
      <c r="B84" s="22"/>
      <c r="C84" s="22"/>
      <c r="D84" s="22"/>
    </row>
    <row r="85" customFormat="false" ht="15" hidden="false" customHeight="false" outlineLevel="0" collapsed="false">
      <c r="A85" s="22"/>
      <c r="B85" s="22"/>
      <c r="C85" s="22"/>
      <c r="D85" s="22"/>
    </row>
    <row r="86" customFormat="false" ht="15" hidden="false" customHeight="false" outlineLevel="0" collapsed="false">
      <c r="A86" s="22"/>
      <c r="B86" s="22"/>
      <c r="C86" s="22"/>
      <c r="D86" s="22"/>
    </row>
    <row r="87" customFormat="false" ht="15" hidden="false" customHeight="false" outlineLevel="0" collapsed="false">
      <c r="A87" s="22"/>
      <c r="B87" s="22"/>
      <c r="C87" s="22"/>
      <c r="D87" s="22"/>
    </row>
    <row r="88" customFormat="false" ht="15" hidden="false" customHeight="false" outlineLevel="0" collapsed="false">
      <c r="A88" s="22"/>
      <c r="B88" s="22"/>
      <c r="C88" s="22"/>
      <c r="D88" s="22"/>
    </row>
    <row r="89" customFormat="false" ht="15" hidden="false" customHeight="false" outlineLevel="0" collapsed="false">
      <c r="A89" s="22"/>
      <c r="B89" s="22"/>
      <c r="C89" s="22"/>
      <c r="D89" s="22"/>
    </row>
    <row r="90" customFormat="false" ht="15" hidden="false" customHeight="false" outlineLevel="0" collapsed="false">
      <c r="A90" s="22"/>
      <c r="B90" s="22"/>
      <c r="C90" s="22"/>
      <c r="D90" s="22"/>
    </row>
    <row r="91" customFormat="false" ht="15" hidden="false" customHeight="false" outlineLevel="0" collapsed="false">
      <c r="A91" s="22"/>
      <c r="B91" s="22"/>
      <c r="C91" s="22"/>
      <c r="D91" s="22"/>
    </row>
    <row r="92" customFormat="false" ht="15" hidden="false" customHeight="false" outlineLevel="0" collapsed="false">
      <c r="A92" s="22"/>
      <c r="B92" s="22"/>
      <c r="C92" s="22"/>
      <c r="D92" s="22"/>
    </row>
    <row r="93" customFormat="false" ht="15" hidden="false" customHeight="false" outlineLevel="0" collapsed="false">
      <c r="A93" s="22"/>
      <c r="B93" s="22"/>
      <c r="C93" s="22"/>
      <c r="D93" s="22"/>
    </row>
    <row r="94" customFormat="false" ht="15" hidden="false" customHeight="false" outlineLevel="0" collapsed="false">
      <c r="A94" s="22"/>
      <c r="B94" s="22"/>
      <c r="C94" s="22"/>
      <c r="D94" s="22"/>
    </row>
    <row r="95" customFormat="false" ht="15" hidden="false" customHeight="false" outlineLevel="0" collapsed="false">
      <c r="A95" s="22"/>
      <c r="B95" s="22"/>
      <c r="C95" s="22"/>
      <c r="D95" s="22"/>
    </row>
    <row r="96" customFormat="false" ht="15" hidden="false" customHeight="false" outlineLevel="0" collapsed="false">
      <c r="A96" s="22"/>
      <c r="B96" s="22"/>
      <c r="C96" s="22"/>
      <c r="D96" s="22"/>
    </row>
    <row r="97" customFormat="false" ht="15" hidden="false" customHeight="false" outlineLevel="0" collapsed="false">
      <c r="A97" s="22"/>
      <c r="B97" s="22"/>
      <c r="C97" s="22"/>
      <c r="D97" s="22"/>
    </row>
    <row r="98" customFormat="false" ht="15" hidden="false" customHeight="false" outlineLevel="0" collapsed="false">
      <c r="A98" s="22"/>
      <c r="B98" s="22"/>
      <c r="C98" s="22"/>
      <c r="D98" s="22"/>
    </row>
    <row r="99" customFormat="false" ht="15" hidden="false" customHeight="false" outlineLevel="0" collapsed="false">
      <c r="A99" s="22"/>
      <c r="B99" s="22"/>
      <c r="C99" s="22"/>
      <c r="D99" s="22"/>
    </row>
    <row r="100" customFormat="false" ht="15" hidden="false" customHeight="false" outlineLevel="0" collapsed="false">
      <c r="A100" s="22"/>
      <c r="B100" s="22"/>
      <c r="C100" s="22"/>
      <c r="D100" s="22"/>
    </row>
    <row r="101" customFormat="false" ht="15" hidden="false" customHeight="false" outlineLevel="0" collapsed="false">
      <c r="A101" s="22"/>
      <c r="B101" s="22"/>
      <c r="C101" s="22"/>
      <c r="D101" s="22"/>
    </row>
    <row r="102" customFormat="false" ht="15" hidden="false" customHeight="false" outlineLevel="0" collapsed="false">
      <c r="A102" s="22"/>
      <c r="B102" s="22"/>
      <c r="C102" s="22"/>
      <c r="D102" s="22"/>
    </row>
    <row r="103" customFormat="false" ht="15" hidden="false" customHeight="false" outlineLevel="0" collapsed="false">
      <c r="A103" s="22"/>
      <c r="B103" s="22"/>
      <c r="C103" s="22"/>
      <c r="D103" s="22"/>
    </row>
    <row r="104" customFormat="false" ht="15" hidden="false" customHeight="false" outlineLevel="0" collapsed="false">
      <c r="A104" s="22"/>
      <c r="B104" s="22"/>
      <c r="C104" s="22"/>
      <c r="D104" s="22"/>
    </row>
    <row r="105" customFormat="false" ht="15" hidden="false" customHeight="false" outlineLevel="0" collapsed="false">
      <c r="A105" s="22"/>
      <c r="B105" s="22"/>
      <c r="C105" s="22"/>
      <c r="D105" s="22"/>
    </row>
    <row r="106" customFormat="false" ht="15" hidden="false" customHeight="false" outlineLevel="0" collapsed="false">
      <c r="A106" s="22"/>
      <c r="B106" s="22"/>
      <c r="C106" s="22"/>
      <c r="D106" s="22"/>
    </row>
    <row r="107" customFormat="false" ht="15" hidden="false" customHeight="false" outlineLevel="0" collapsed="false">
      <c r="A107" s="22"/>
      <c r="B107" s="22"/>
      <c r="C107" s="22"/>
      <c r="D107" s="22"/>
    </row>
    <row r="108" customFormat="false" ht="15" hidden="false" customHeight="false" outlineLevel="0" collapsed="false">
      <c r="A108" s="22"/>
      <c r="B108" s="22"/>
      <c r="C108" s="22"/>
      <c r="D108" s="22"/>
    </row>
    <row r="109" customFormat="false" ht="15" hidden="false" customHeight="false" outlineLevel="0" collapsed="false">
      <c r="A109" s="22"/>
      <c r="B109" s="22"/>
      <c r="C109" s="22"/>
      <c r="D109" s="22"/>
    </row>
    <row r="110" customFormat="false" ht="15" hidden="false" customHeight="false" outlineLevel="0" collapsed="false">
      <c r="A110" s="22"/>
      <c r="B110" s="22"/>
      <c r="C110" s="22"/>
      <c r="D110" s="22"/>
    </row>
    <row r="111" customFormat="false" ht="15" hidden="false" customHeight="false" outlineLevel="0" collapsed="false">
      <c r="A111" s="22"/>
      <c r="B111" s="22"/>
      <c r="C111" s="22"/>
      <c r="D111" s="22"/>
    </row>
    <row r="112" customFormat="false" ht="15" hidden="false" customHeight="false" outlineLevel="0" collapsed="false">
      <c r="A112" s="22"/>
      <c r="B112" s="22"/>
      <c r="C112" s="22"/>
      <c r="D112" s="22"/>
    </row>
    <row r="113" customFormat="false" ht="15" hidden="false" customHeight="false" outlineLevel="0" collapsed="false">
      <c r="A113" s="22"/>
      <c r="B113" s="22"/>
      <c r="C113" s="22"/>
      <c r="D113" s="22"/>
    </row>
    <row r="114" customFormat="false" ht="15" hidden="false" customHeight="false" outlineLevel="0" collapsed="false">
      <c r="A114" s="22"/>
      <c r="B114" s="22"/>
      <c r="C114" s="22"/>
      <c r="D114" s="22"/>
    </row>
    <row r="115" customFormat="false" ht="15" hidden="false" customHeight="false" outlineLevel="0" collapsed="false">
      <c r="A115" s="22"/>
      <c r="B115" s="22"/>
      <c r="C115" s="22"/>
      <c r="D115" s="22"/>
    </row>
    <row r="116" customFormat="false" ht="15" hidden="false" customHeight="false" outlineLevel="0" collapsed="false">
      <c r="A116" s="22"/>
      <c r="B116" s="22"/>
      <c r="C116" s="22"/>
      <c r="D116" s="22"/>
    </row>
    <row r="117" customFormat="false" ht="15" hidden="false" customHeight="false" outlineLevel="0" collapsed="false">
      <c r="A117" s="22"/>
      <c r="B117" s="22"/>
      <c r="C117" s="22"/>
      <c r="D117" s="22"/>
    </row>
    <row r="118" customFormat="false" ht="15" hidden="false" customHeight="false" outlineLevel="0" collapsed="false">
      <c r="A118" s="22"/>
      <c r="B118" s="22"/>
      <c r="C118" s="22"/>
      <c r="D118" s="22"/>
    </row>
    <row r="119" customFormat="false" ht="15" hidden="false" customHeight="false" outlineLevel="0" collapsed="false">
      <c r="A119" s="22"/>
      <c r="B119" s="22"/>
      <c r="C119" s="22"/>
      <c r="D119" s="22"/>
    </row>
    <row r="120" customFormat="false" ht="15" hidden="false" customHeight="false" outlineLevel="0" collapsed="false">
      <c r="A120" s="22"/>
      <c r="B120" s="22"/>
      <c r="C120" s="22"/>
      <c r="D120" s="22"/>
    </row>
    <row r="121" customFormat="false" ht="15" hidden="false" customHeight="false" outlineLevel="0" collapsed="false">
      <c r="A121" s="22"/>
      <c r="B121" s="22"/>
      <c r="C121" s="22"/>
      <c r="D121" s="22"/>
    </row>
    <row r="122" customFormat="false" ht="15" hidden="false" customHeight="false" outlineLevel="0" collapsed="false">
      <c r="A122" s="22"/>
      <c r="B122" s="22"/>
      <c r="C122" s="22"/>
      <c r="D122" s="22"/>
    </row>
    <row r="123" customFormat="false" ht="15" hidden="false" customHeight="false" outlineLevel="0" collapsed="false">
      <c r="A123" s="22"/>
      <c r="B123" s="22"/>
      <c r="C123" s="22"/>
      <c r="D123" s="22"/>
    </row>
    <row r="124" customFormat="false" ht="15" hidden="false" customHeight="false" outlineLevel="0" collapsed="false">
      <c r="A124" s="22"/>
      <c r="B124" s="22"/>
      <c r="C124" s="22"/>
      <c r="D124" s="22"/>
    </row>
    <row r="125" customFormat="false" ht="15" hidden="false" customHeight="false" outlineLevel="0" collapsed="false">
      <c r="A125" s="22"/>
      <c r="B125" s="22"/>
      <c r="C125" s="22"/>
      <c r="D125" s="22"/>
    </row>
    <row r="126" customFormat="false" ht="15" hidden="false" customHeight="false" outlineLevel="0" collapsed="false">
      <c r="A126" s="22"/>
      <c r="B126" s="22"/>
      <c r="C126" s="22"/>
      <c r="D126" s="22"/>
    </row>
    <row r="127" customFormat="false" ht="15" hidden="false" customHeight="false" outlineLevel="0" collapsed="false">
      <c r="A127" s="22"/>
      <c r="B127" s="22"/>
      <c r="C127" s="22"/>
      <c r="D127" s="22"/>
    </row>
    <row r="128" customFormat="false" ht="15" hidden="false" customHeight="false" outlineLevel="0" collapsed="false">
      <c r="A128" s="22"/>
      <c r="B128" s="22"/>
      <c r="C128" s="22"/>
      <c r="D128" s="22"/>
    </row>
    <row r="129" customFormat="false" ht="15" hidden="false" customHeight="false" outlineLevel="0" collapsed="false">
      <c r="A129" s="22"/>
      <c r="B129" s="22"/>
      <c r="C129" s="22"/>
      <c r="D129" s="22"/>
    </row>
    <row r="130" customFormat="false" ht="15" hidden="false" customHeight="false" outlineLevel="0" collapsed="false">
      <c r="A130" s="22"/>
      <c r="B130" s="22"/>
      <c r="C130" s="22"/>
      <c r="D130" s="22"/>
    </row>
    <row r="131" customFormat="false" ht="15" hidden="false" customHeight="false" outlineLevel="0" collapsed="false">
      <c r="A131" s="22"/>
      <c r="B131" s="22"/>
      <c r="C131" s="22"/>
      <c r="D131" s="22"/>
    </row>
    <row r="132" customFormat="false" ht="15" hidden="false" customHeight="false" outlineLevel="0" collapsed="false">
      <c r="A132" s="22"/>
      <c r="B132" s="22"/>
      <c r="C132" s="22"/>
      <c r="D132" s="22"/>
    </row>
    <row r="133" customFormat="false" ht="15" hidden="false" customHeight="false" outlineLevel="0" collapsed="false">
      <c r="A133" s="22"/>
      <c r="B133" s="22"/>
      <c r="C133" s="22"/>
      <c r="D133" s="22"/>
    </row>
    <row r="134" customFormat="false" ht="15" hidden="false" customHeight="false" outlineLevel="0" collapsed="false">
      <c r="A134" s="22"/>
      <c r="B134" s="22"/>
      <c r="C134" s="22"/>
      <c r="D134" s="22"/>
    </row>
    <row r="135" customFormat="false" ht="15" hidden="false" customHeight="false" outlineLevel="0" collapsed="false">
      <c r="A135" s="22"/>
      <c r="B135" s="22"/>
      <c r="C135" s="22"/>
      <c r="D135" s="22"/>
    </row>
    <row r="136" customFormat="false" ht="15" hidden="false" customHeight="false" outlineLevel="0" collapsed="false">
      <c r="A136" s="22"/>
      <c r="B136" s="22"/>
      <c r="C136" s="22"/>
      <c r="D136" s="22"/>
    </row>
    <row r="137" customFormat="false" ht="15" hidden="false" customHeight="false" outlineLevel="0" collapsed="false">
      <c r="A137" s="22"/>
      <c r="B137" s="22"/>
      <c r="C137" s="22"/>
      <c r="D137" s="22"/>
    </row>
    <row r="138" customFormat="false" ht="15" hidden="false" customHeight="false" outlineLevel="0" collapsed="false">
      <c r="A138" s="22"/>
      <c r="B138" s="22"/>
      <c r="C138" s="22"/>
      <c r="D138" s="22"/>
    </row>
    <row r="139" customFormat="false" ht="15" hidden="false" customHeight="false" outlineLevel="0" collapsed="false">
      <c r="A139" s="22"/>
      <c r="B139" s="22"/>
      <c r="C139" s="22"/>
      <c r="D139" s="22"/>
    </row>
    <row r="140" customFormat="false" ht="15" hidden="false" customHeight="false" outlineLevel="0" collapsed="false">
      <c r="A140" s="22"/>
      <c r="B140" s="22"/>
      <c r="C140" s="22"/>
      <c r="D140" s="22"/>
    </row>
    <row r="141" customFormat="false" ht="15" hidden="false" customHeight="false" outlineLevel="0" collapsed="false">
      <c r="A141" s="22"/>
      <c r="B141" s="22"/>
      <c r="C141" s="22"/>
      <c r="D141" s="22"/>
    </row>
    <row r="142" customFormat="false" ht="15" hidden="false" customHeight="false" outlineLevel="0" collapsed="false">
      <c r="A142" s="22"/>
      <c r="B142" s="22"/>
      <c r="C142" s="22"/>
      <c r="D142" s="22"/>
    </row>
    <row r="143" customFormat="false" ht="15" hidden="false" customHeight="false" outlineLevel="0" collapsed="false">
      <c r="A143" s="22"/>
      <c r="B143" s="22"/>
      <c r="C143" s="22"/>
      <c r="D143" s="22"/>
    </row>
    <row r="144" customFormat="false" ht="15" hidden="false" customHeight="false" outlineLevel="0" collapsed="false">
      <c r="A144" s="22"/>
      <c r="B144" s="22"/>
      <c r="C144" s="22"/>
      <c r="D144" s="22"/>
    </row>
    <row r="145" customFormat="false" ht="15" hidden="false" customHeight="false" outlineLevel="0" collapsed="false">
      <c r="A145" s="22"/>
      <c r="B145" s="22"/>
      <c r="C145" s="22"/>
      <c r="D145" s="22"/>
    </row>
    <row r="146" customFormat="false" ht="15" hidden="false" customHeight="false" outlineLevel="0" collapsed="false">
      <c r="A146" s="22"/>
      <c r="B146" s="22"/>
      <c r="C146" s="22"/>
      <c r="D146" s="22"/>
    </row>
    <row r="147" customFormat="false" ht="15" hidden="false" customHeight="false" outlineLevel="0" collapsed="false">
      <c r="A147" s="22"/>
      <c r="B147" s="22"/>
      <c r="C147" s="22"/>
      <c r="D147" s="22"/>
    </row>
    <row r="148" customFormat="false" ht="15" hidden="false" customHeight="false" outlineLevel="0" collapsed="false">
      <c r="A148" s="22"/>
      <c r="B148" s="22"/>
      <c r="C148" s="22"/>
      <c r="D148" s="22"/>
    </row>
    <row r="149" customFormat="false" ht="15" hidden="false" customHeight="false" outlineLevel="0" collapsed="false">
      <c r="A149" s="22"/>
      <c r="B149" s="22"/>
      <c r="C149" s="22"/>
      <c r="D149" s="22"/>
    </row>
    <row r="150" customFormat="false" ht="15" hidden="false" customHeight="false" outlineLevel="0" collapsed="false">
      <c r="A150" s="22"/>
      <c r="B150" s="22"/>
      <c r="C150" s="22"/>
      <c r="D150" s="22"/>
    </row>
    <row r="151" customFormat="false" ht="15" hidden="false" customHeight="false" outlineLevel="0" collapsed="false">
      <c r="A151" s="22"/>
      <c r="B151" s="22"/>
      <c r="C151" s="22"/>
      <c r="D151" s="22"/>
    </row>
    <row r="152" customFormat="false" ht="15" hidden="false" customHeight="false" outlineLevel="0" collapsed="false">
      <c r="A152" s="22"/>
      <c r="B152" s="22"/>
      <c r="C152" s="22"/>
      <c r="D152" s="22"/>
    </row>
    <row r="153" customFormat="false" ht="15" hidden="false" customHeight="false" outlineLevel="0" collapsed="false">
      <c r="A153" s="22"/>
      <c r="B153" s="22"/>
      <c r="C153" s="22"/>
      <c r="D153" s="22"/>
    </row>
    <row r="154" customFormat="false" ht="15" hidden="false" customHeight="false" outlineLevel="0" collapsed="false">
      <c r="A154" s="22"/>
      <c r="B154" s="22"/>
      <c r="C154" s="22"/>
      <c r="D154" s="22"/>
    </row>
    <row r="155" customFormat="false" ht="15" hidden="false" customHeight="false" outlineLevel="0" collapsed="false">
      <c r="A155" s="22"/>
      <c r="B155" s="22"/>
      <c r="C155" s="22"/>
      <c r="D155" s="22"/>
    </row>
    <row r="156" customFormat="false" ht="15" hidden="false" customHeight="false" outlineLevel="0" collapsed="false">
      <c r="A156" s="22"/>
      <c r="B156" s="22"/>
      <c r="C156" s="22"/>
      <c r="D156" s="22"/>
    </row>
    <row r="157" customFormat="false" ht="15" hidden="false" customHeight="false" outlineLevel="0" collapsed="false">
      <c r="A157" s="22"/>
      <c r="B157" s="22"/>
      <c r="C157" s="22"/>
      <c r="D157" s="22"/>
    </row>
    <row r="158" customFormat="false" ht="15" hidden="false" customHeight="false" outlineLevel="0" collapsed="false">
      <c r="A158" s="22"/>
      <c r="B158" s="22"/>
      <c r="C158" s="22"/>
      <c r="D158" s="22"/>
    </row>
    <row r="159" customFormat="false" ht="15" hidden="false" customHeight="false" outlineLevel="0" collapsed="false">
      <c r="A159" s="22"/>
      <c r="B159" s="22"/>
      <c r="C159" s="22"/>
      <c r="D159" s="22"/>
    </row>
    <row r="160" customFormat="false" ht="15" hidden="false" customHeight="false" outlineLevel="0" collapsed="false">
      <c r="A160" s="22"/>
      <c r="B160" s="22"/>
      <c r="C160" s="22"/>
      <c r="D160" s="22"/>
    </row>
    <row r="161" customFormat="false" ht="15" hidden="false" customHeight="false" outlineLevel="0" collapsed="false">
      <c r="A161" s="22"/>
      <c r="B161" s="22"/>
      <c r="C161" s="22"/>
      <c r="D161" s="22"/>
    </row>
    <row r="162" customFormat="false" ht="15" hidden="false" customHeight="false" outlineLevel="0" collapsed="false">
      <c r="A162" s="22"/>
      <c r="B162" s="22"/>
      <c r="C162" s="22"/>
      <c r="D162" s="22"/>
    </row>
    <row r="163" customFormat="false" ht="15" hidden="false" customHeight="false" outlineLevel="0" collapsed="false">
      <c r="A163" s="22"/>
      <c r="B163" s="22"/>
      <c r="C163" s="22"/>
      <c r="D163" s="22"/>
    </row>
    <row r="164" customFormat="false" ht="15" hidden="false" customHeight="false" outlineLevel="0" collapsed="false">
      <c r="A164" s="22"/>
      <c r="B164" s="22"/>
      <c r="C164" s="22"/>
      <c r="D164" s="22"/>
    </row>
    <row r="165" customFormat="false" ht="15" hidden="false" customHeight="false" outlineLevel="0" collapsed="false">
      <c r="A165" s="22"/>
      <c r="B165" s="22"/>
      <c r="C165" s="22"/>
      <c r="D165" s="22"/>
    </row>
    <row r="166" customFormat="false" ht="15" hidden="false" customHeight="false" outlineLevel="0" collapsed="false">
      <c r="A166" s="22"/>
      <c r="B166" s="22"/>
      <c r="C166" s="22"/>
      <c r="D166" s="22"/>
    </row>
    <row r="167" customFormat="false" ht="15" hidden="false" customHeight="false" outlineLevel="0" collapsed="false">
      <c r="A167" s="22"/>
      <c r="B167" s="22"/>
      <c r="C167" s="22"/>
      <c r="D167" s="22"/>
    </row>
    <row r="168" customFormat="false" ht="15" hidden="false" customHeight="false" outlineLevel="0" collapsed="false">
      <c r="A168" s="22"/>
      <c r="B168" s="22"/>
      <c r="C168" s="22"/>
      <c r="D168" s="22"/>
    </row>
    <row r="169" customFormat="false" ht="15" hidden="false" customHeight="false" outlineLevel="0" collapsed="false">
      <c r="A169" s="22"/>
      <c r="B169" s="22"/>
      <c r="C169" s="22"/>
      <c r="D169" s="22"/>
    </row>
    <row r="170" customFormat="false" ht="15" hidden="false" customHeight="false" outlineLevel="0" collapsed="false">
      <c r="A170" s="22"/>
      <c r="B170" s="22"/>
      <c r="C170" s="22"/>
      <c r="D170" s="22"/>
    </row>
    <row r="171" customFormat="false" ht="15" hidden="false" customHeight="false" outlineLevel="0" collapsed="false">
      <c r="A171" s="22"/>
      <c r="B171" s="22"/>
      <c r="C171" s="22"/>
      <c r="D171" s="22"/>
    </row>
    <row r="172" customFormat="false" ht="15" hidden="false" customHeight="false" outlineLevel="0" collapsed="false">
      <c r="A172" s="22"/>
      <c r="B172" s="22"/>
      <c r="C172" s="22"/>
      <c r="D172" s="22"/>
    </row>
    <row r="173" customFormat="false" ht="15" hidden="false" customHeight="false" outlineLevel="0" collapsed="false">
      <c r="A173" s="22"/>
      <c r="B173" s="22"/>
      <c r="C173" s="22"/>
      <c r="D173" s="22"/>
    </row>
    <row r="174" customFormat="false" ht="15" hidden="false" customHeight="false" outlineLevel="0" collapsed="false">
      <c r="A174" s="22"/>
      <c r="B174" s="22"/>
      <c r="C174" s="22"/>
      <c r="D174" s="22"/>
    </row>
    <row r="175" customFormat="false" ht="15" hidden="false" customHeight="false" outlineLevel="0" collapsed="false">
      <c r="A175" s="22"/>
      <c r="B175" s="22"/>
      <c r="C175" s="22"/>
      <c r="D175" s="22"/>
    </row>
    <row r="176" customFormat="false" ht="15" hidden="false" customHeight="false" outlineLevel="0" collapsed="false">
      <c r="A176" s="22"/>
      <c r="B176" s="22"/>
      <c r="C176" s="22"/>
      <c r="D176" s="22"/>
    </row>
    <row r="177" customFormat="false" ht="15" hidden="false" customHeight="false" outlineLevel="0" collapsed="false">
      <c r="A177" s="22"/>
      <c r="B177" s="22"/>
      <c r="C177" s="22"/>
      <c r="D177" s="22"/>
    </row>
    <row r="178" customFormat="false" ht="15" hidden="false" customHeight="false" outlineLevel="0" collapsed="false">
      <c r="A178" s="22"/>
      <c r="B178" s="22"/>
      <c r="C178" s="22"/>
      <c r="D178" s="22"/>
    </row>
    <row r="179" customFormat="false" ht="15" hidden="false" customHeight="false" outlineLevel="0" collapsed="false">
      <c r="A179" s="22"/>
      <c r="B179" s="22"/>
      <c r="C179" s="22"/>
      <c r="D179" s="22"/>
    </row>
    <row r="180" customFormat="false" ht="15" hidden="false" customHeight="false" outlineLevel="0" collapsed="false">
      <c r="A180" s="22"/>
      <c r="B180" s="22"/>
      <c r="C180" s="22"/>
      <c r="D180" s="22"/>
    </row>
    <row r="181" customFormat="false" ht="15" hidden="false" customHeight="false" outlineLevel="0" collapsed="false">
      <c r="A181" s="22"/>
      <c r="B181" s="22"/>
      <c r="C181" s="22"/>
      <c r="D181" s="22"/>
    </row>
    <row r="182" customFormat="false" ht="15" hidden="false" customHeight="false" outlineLevel="0" collapsed="false">
      <c r="A182" s="22"/>
      <c r="B182" s="22"/>
      <c r="C182" s="22"/>
      <c r="D182" s="22"/>
    </row>
    <row r="183" customFormat="false" ht="15" hidden="false" customHeight="false" outlineLevel="0" collapsed="false">
      <c r="A183" s="22"/>
      <c r="B183" s="22"/>
      <c r="C183" s="22"/>
      <c r="D183" s="22"/>
    </row>
    <row r="184" customFormat="false" ht="15" hidden="false" customHeight="false" outlineLevel="0" collapsed="false">
      <c r="A184" s="22"/>
      <c r="B184" s="22"/>
      <c r="C184" s="22"/>
      <c r="D184" s="22"/>
    </row>
    <row r="185" customFormat="false" ht="15" hidden="false" customHeight="false" outlineLevel="0" collapsed="false">
      <c r="A185" s="22"/>
      <c r="B185" s="22"/>
      <c r="C185" s="22"/>
      <c r="D185" s="22"/>
    </row>
    <row r="186" customFormat="false" ht="15" hidden="false" customHeight="false" outlineLevel="0" collapsed="false">
      <c r="A186" s="22"/>
      <c r="B186" s="22"/>
      <c r="C186" s="22"/>
      <c r="D186" s="22"/>
    </row>
    <row r="187" customFormat="false" ht="15" hidden="false" customHeight="false" outlineLevel="0" collapsed="false">
      <c r="A187" s="22"/>
      <c r="B187" s="22"/>
      <c r="C187" s="22"/>
      <c r="D187" s="22"/>
    </row>
    <row r="188" customFormat="false" ht="15" hidden="false" customHeight="false" outlineLevel="0" collapsed="false">
      <c r="A188" s="22"/>
      <c r="B188" s="22"/>
      <c r="C188" s="22"/>
      <c r="D188" s="22"/>
    </row>
    <row r="189" customFormat="false" ht="15" hidden="false" customHeight="false" outlineLevel="0" collapsed="false">
      <c r="A189" s="22"/>
      <c r="B189" s="22"/>
      <c r="C189" s="22"/>
      <c r="D189" s="22"/>
    </row>
    <row r="190" customFormat="false" ht="15" hidden="false" customHeight="false" outlineLevel="0" collapsed="false">
      <c r="A190" s="22"/>
      <c r="B190" s="22"/>
      <c r="C190" s="22"/>
      <c r="D190" s="22"/>
    </row>
    <row r="191" customFormat="false" ht="15" hidden="false" customHeight="false" outlineLevel="0" collapsed="false">
      <c r="A191" s="22"/>
      <c r="B191" s="22"/>
      <c r="C191" s="22"/>
      <c r="D191" s="22"/>
    </row>
    <row r="192" customFormat="false" ht="15" hidden="false" customHeight="false" outlineLevel="0" collapsed="false">
      <c r="A192" s="22"/>
      <c r="B192" s="22"/>
      <c r="C192" s="22"/>
      <c r="D192" s="22"/>
    </row>
    <row r="193" customFormat="false" ht="15" hidden="false" customHeight="false" outlineLevel="0" collapsed="false">
      <c r="A193" s="22"/>
      <c r="B193" s="22"/>
      <c r="C193" s="22"/>
      <c r="D193" s="22"/>
    </row>
    <row r="194" customFormat="false" ht="15" hidden="false" customHeight="false" outlineLevel="0" collapsed="false">
      <c r="A194" s="22"/>
      <c r="B194" s="22"/>
      <c r="C194" s="22"/>
      <c r="D194" s="22"/>
    </row>
    <row r="195" customFormat="false" ht="15" hidden="false" customHeight="false" outlineLevel="0" collapsed="false">
      <c r="A195" s="22"/>
      <c r="B195" s="22"/>
      <c r="C195" s="22"/>
      <c r="D195" s="22"/>
    </row>
    <row r="196" customFormat="false" ht="15" hidden="false" customHeight="false" outlineLevel="0" collapsed="false">
      <c r="A196" s="22"/>
      <c r="B196" s="22"/>
      <c r="C196" s="22"/>
      <c r="D196" s="22"/>
    </row>
    <row r="197" customFormat="false" ht="15" hidden="false" customHeight="false" outlineLevel="0" collapsed="false">
      <c r="A197" s="22"/>
      <c r="B197" s="22"/>
      <c r="C197" s="22"/>
      <c r="D197" s="22"/>
    </row>
    <row r="198" customFormat="false" ht="15" hidden="false" customHeight="false" outlineLevel="0" collapsed="false">
      <c r="A198" s="22"/>
      <c r="B198" s="22"/>
      <c r="C198" s="22"/>
      <c r="D198" s="22"/>
    </row>
    <row r="199" customFormat="false" ht="15" hidden="false" customHeight="false" outlineLevel="0" collapsed="false">
      <c r="A199" s="22"/>
      <c r="B199" s="22"/>
      <c r="C199" s="22"/>
      <c r="D199" s="22"/>
    </row>
    <row r="200" customFormat="false" ht="15" hidden="false" customHeight="false" outlineLevel="0" collapsed="false">
      <c r="A200" s="22"/>
      <c r="B200" s="22"/>
      <c r="C200" s="22"/>
      <c r="D200" s="22"/>
    </row>
    <row r="201" customFormat="false" ht="15" hidden="false" customHeight="false" outlineLevel="0" collapsed="false">
      <c r="A201" s="22"/>
      <c r="B201" s="22"/>
      <c r="C201" s="22"/>
      <c r="D201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</cols>
  <sheetData>
    <row r="1" customFormat="false" ht="15" hidden="false" customHeight="false" outlineLevel="0" collapsed="false">
      <c r="A1" s="24" t="s">
        <v>155</v>
      </c>
      <c r="B1" s="24" t="s">
        <v>156</v>
      </c>
    </row>
    <row r="2" customFormat="false" ht="15" hidden="false" customHeight="false" outlineLevel="0" collapsed="false">
      <c r="A2" s="25" t="s">
        <v>128</v>
      </c>
      <c r="B2" s="25" t="s">
        <v>129</v>
      </c>
    </row>
    <row r="3" customFormat="false" ht="15" hidden="false" customHeight="false" outlineLevel="0" collapsed="false">
      <c r="A3" s="25" t="s">
        <v>157</v>
      </c>
      <c r="B3" s="25" t="s">
        <v>158</v>
      </c>
    </row>
    <row r="4" customFormat="false" ht="15" hidden="false" customHeight="false" outlineLevel="0" collapsed="false">
      <c r="B4" s="25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9" t="s">
        <v>160</v>
      </c>
    </row>
    <row r="2" customFormat="false" ht="15" hidden="false" customHeight="false" outlineLevel="0" collapsed="false">
      <c r="A2" s="10" t="s">
        <v>161</v>
      </c>
    </row>
    <row r="3" customFormat="false" ht="15" hidden="false" customHeight="false" outlineLevel="0" collapsed="false">
      <c r="A3" s="24" t="s">
        <v>162</v>
      </c>
      <c r="B3" s="26" t="str">
        <f aca="false">IF(COUNTIF(C6:C13,"REVIEW")=0,"ALL CHECKS PASS","REVIEW ITEMS: "&amp;COUNTIF(C6:C13,"REVIEW"))</f>
        <v>ALL CHECKS PASS</v>
      </c>
    </row>
    <row r="5" customFormat="false" ht="15" hidden="false" customHeight="false" outlineLevel="0" collapsed="false">
      <c r="A5" s="5" t="s">
        <v>114</v>
      </c>
      <c r="B5" s="5" t="s">
        <v>163</v>
      </c>
      <c r="C5" s="5" t="s">
        <v>164</v>
      </c>
      <c r="D5" s="5" t="s">
        <v>165</v>
      </c>
    </row>
    <row r="6" customFormat="false" ht="15" hidden="false" customHeight="false" outlineLevel="0" collapsed="false">
      <c r="A6" s="27" t="s">
        <v>166</v>
      </c>
      <c r="B6" s="27" t="n">
        <f aca="false">COUNTA(Evidence_Index!A5:A204)</f>
        <v>2</v>
      </c>
      <c r="C6" s="27" t="s">
        <v>167</v>
      </c>
      <c r="D6" s="27" t="s">
        <v>168</v>
      </c>
    </row>
    <row r="7" customFormat="false" ht="15" hidden="false" customHeight="false" outlineLevel="0" collapsed="false">
      <c r="A7" s="27" t="s">
        <v>169</v>
      </c>
      <c r="B7" s="27" t="n">
        <f aca="false">SUMPRODUCT((Evidence_Index!A5:A204&lt;&gt;"")*(COUNTIF(Evidence_Index!A5:A204,Evidence_Index!A5:A204)&gt;1))</f>
        <v>0</v>
      </c>
      <c r="C7" s="27" t="str">
        <f aca="false">IF(B7=0,"PASS","REVIEW")</f>
        <v>PASS</v>
      </c>
      <c r="D7" s="27" t="s">
        <v>170</v>
      </c>
    </row>
    <row r="8" customFormat="false" ht="15" hidden="false" customHeight="false" outlineLevel="0" collapsed="false">
      <c r="A8" s="27" t="s">
        <v>171</v>
      </c>
      <c r="B8" s="27" t="n">
        <f aca="false">SUMPRODUCT((Evidence_Index!S5:S204&lt;&gt;"")*(Evidence_Index!S5:S204&lt;&gt;"OK")*(LEFT(Evidence_Index!S5:S204,2)&lt;&gt;"OK"))</f>
        <v>0</v>
      </c>
      <c r="C8" s="27" t="str">
        <f aca="false">IF(B8=0,"PASS","REVIEW")</f>
        <v>PASS</v>
      </c>
      <c r="D8" s="27" t="s">
        <v>172</v>
      </c>
    </row>
    <row r="9" customFormat="false" ht="15" hidden="false" customHeight="false" outlineLevel="0" collapsed="false">
      <c r="A9" s="27" t="s">
        <v>173</v>
      </c>
      <c r="B9" s="27" t="n">
        <f aca="false">SUMPRODUCT((Evidence_Index!P5:P204="Y")*(Evidence_Index!Q5:Q204&lt;&gt;"Pass"))</f>
        <v>0</v>
      </c>
      <c r="C9" s="27" t="str">
        <f aca="false">IF(B9=0,"PASS","REVIEW")</f>
        <v>PASS</v>
      </c>
      <c r="D9" s="27" t="s">
        <v>174</v>
      </c>
    </row>
    <row r="10" customFormat="false" ht="15" hidden="false" customHeight="false" outlineLevel="0" collapsed="false">
      <c r="A10" s="27" t="s">
        <v>175</v>
      </c>
      <c r="B10" s="27" t="n">
        <f aca="false">SUMPRODUCT((Evidence_Index!P5:P204="Y")*(COUNTIF(IPE_Log!B5:B204,Evidence_Index!A5:A204)=0))</f>
        <v>0</v>
      </c>
      <c r="C10" s="27" t="str">
        <f aca="false">IF(B10=0,"PASS","REVIEW")</f>
        <v>PASS</v>
      </c>
      <c r="D10" s="27" t="s">
        <v>176</v>
      </c>
    </row>
    <row r="11" customFormat="false" ht="15" hidden="false" customHeight="false" outlineLevel="0" collapsed="false">
      <c r="A11" s="27" t="s">
        <v>177</v>
      </c>
      <c r="B11" s="27" t="n">
        <f aca="false">SUMPRODUCT((IPE_Log!O5:O204&lt;&gt;"")*(IPE_Log!O5:O204&lt;&gt;"OK")*(LEFT(IPE_Log!O5:O204,2)&lt;&gt;"OK"))</f>
        <v>0</v>
      </c>
      <c r="C11" s="27" t="str">
        <f aca="false">IF(B11=0,"PASS","REVIEW")</f>
        <v>PASS</v>
      </c>
      <c r="D11" s="27" t="s">
        <v>178</v>
      </c>
    </row>
    <row r="12" customFormat="false" ht="15" hidden="false" customHeight="false" outlineLevel="0" collapsed="false">
      <c r="A12" s="27" t="s">
        <v>179</v>
      </c>
      <c r="B12" s="27" t="n">
        <f aca="false">SUMPRODUCT((Evidence_Index!A5:A204&lt;&gt;"")*(Evidence_Index!O5:O204&lt;&gt;"Y"))</f>
        <v>0</v>
      </c>
      <c r="C12" s="27" t="str">
        <f aca="false">IF(B12=0,"PASS","REVIEW")</f>
        <v>PASS</v>
      </c>
      <c r="D12" s="27" t="s">
        <v>180</v>
      </c>
    </row>
    <row r="13" customFormat="false" ht="15" hidden="false" customHeight="false" outlineLevel="0" collapsed="false">
      <c r="A13" s="27" t="s">
        <v>181</v>
      </c>
      <c r="B13" s="27" t="n">
        <f aca="false">SUMPRODUCT((Ref_PBC!A2:A201&lt;&gt;"")*(COUNTIF(Evidence_Index!B5:B204,Ref_PBC!A2:A201)=0))</f>
        <v>1</v>
      </c>
      <c r="C13" s="27" t="s">
        <v>167</v>
      </c>
      <c r="D13" s="27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2026-10-03T03:43:51Z</dcterms:created>
  <dc:creator>openpyxl</dc:creator>
  <dc:description/>
  <dc:language>en-US</dc:language>
  <cp:lastModifiedBy/>
  <dcterms:modified xsi:type="dcterms:W3CDTF">2026-10-03T03:43:52Z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