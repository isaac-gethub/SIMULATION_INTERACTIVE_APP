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_Scope" sheetId="2" state="visible" r:id="rId4"/>
    <sheet name="Technical_Areas" sheetId="3" state="visible" r:id="rId5"/>
    <sheet name="FSLI_Map" sheetId="4" state="visible" r:id="rId6"/>
    <sheet name="Open_Items" sheetId="5" state="visible" r:id="rId7"/>
    <sheet name="BP_Index" sheetId="6" state="visible" r:id="rId8"/>
    <sheet name="Lists" sheetId="7" state="hidden" r:id="rId9"/>
    <sheet name="Checks" sheetId="8" state="visible" r:id="rId10"/>
  </sheets>
  <definedNames>
    <definedName function="false" hidden="true" localSheetId="3" name="_xlnm._FilterDatabase" vbProcedure="false">FSLI_Map!$A$4:$H$204</definedName>
    <definedName function="false" hidden="true" localSheetId="4" name="_xlnm._FilterDatabase" vbProcedure="false">Open_Items!$A$4:$H$204</definedName>
    <definedName function="false" hidden="true" localSheetId="1" name="_xlnm._FilterDatabase" vbProcedure="false">Process_Scope!$A$4:$N$204</definedName>
    <definedName function="false" hidden="true" localSheetId="2" name="_xlnm._FilterDatabase" vbProcedure="false">Technical_Areas!$A$4:$N$204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<sst xmlns="http://schemas.openxmlformats.org/spreadsheetml/2006/main" count="393" uniqueCount="201">
  <si>
    <t xml:space="preserve">TIB SYSTEMS LLC  |  SAP Controls Project Foundation Workbook Set</t>
  </si>
  <si>
    <t xml:space="preserve">W03 — Module &amp; Business Process Scope</t>
  </si>
  <si>
    <t xml:space="preserve">Purpose</t>
  </si>
  <si>
    <t xml:space="preserve">Separates the SAP module from the business process and ties each process to its systems, interfaces and the financial statement areas it affects. The BP-ID created here anchors every risk in W04.</t>
  </si>
  <si>
    <t xml:space="preserve">How to use this workbook</t>
  </si>
  <si>
    <t xml:space="preserve">1. Start from the financial statements: enter significant accounts in FSLI_Map.</t>
  </si>
  <si>
    <t xml:space="preserve">2. Map each account to the process that creates its balance; break each process into sub-processes with a BP-ID in Process_Scope.</t>
  </si>
  <si>
    <t xml:space="preserve">3. Record modules, SYS-IDs (W01), INT-IDs (W02), owners and indicative transactions.</t>
  </si>
  <si>
    <t xml:space="preserve">4. Add the technical areas BP-TECH-01 to 03 in Technical_Areas.</t>
  </si>
  <si>
    <t xml:space="preserve">5. Mark confirmation status honestly. Unspecified processes are Outstanding, never guessed.</t>
  </si>
  <si>
    <t xml:space="preserve">Colour legend</t>
  </si>
  <si>
    <t xml:space="preserve">Yellow cells with blue text = you enter data here.   Grey cells = formulas (do not overwrite).   Row 5 of each register is a worked ABC Manufacturing example: overwrite it with your first record.</t>
  </si>
  <si>
    <t xml:space="preserve">Completion gate</t>
  </si>
  <si>
    <t xml:space="preserve">Every significant FSLI maps to at least one in-scope process.</t>
  </si>
  <si>
    <t xml:space="preserve">Every sub-process has a BP-ID, modules, SYS-IDs and a confirmation status.</t>
  </si>
  <si>
    <t xml:space="preserve">Technical areas BP-TECH-01 to 03 exist.</t>
  </si>
  <si>
    <t xml:space="preserve">Unspecified processes are marked Outstanding.</t>
  </si>
  <si>
    <t xml:space="preserve">Manual reference</t>
  </si>
  <si>
    <t xml:space="preserve">Part 1, Session 4 (W03).</t>
  </si>
  <si>
    <t xml:space="preserve">Column dictionary</t>
  </si>
  <si>
    <t xml:space="preserve">Tab</t>
  </si>
  <si>
    <t xml:space="preserve">Field</t>
  </si>
  <si>
    <t xml:space="preserve">Definition</t>
  </si>
  <si>
    <t xml:space="preserve">Allowed values / rule</t>
  </si>
  <si>
    <t xml:space="preserve">Type</t>
  </si>
  <si>
    <t xml:space="preserve">Process_Scope</t>
  </si>
  <si>
    <t xml:space="preserve">BP-ID</t>
  </si>
  <si>
    <t xml:space="preserve">Unique key for the sub-process</t>
  </si>
  <si>
    <t xml:space="preserve">BP-…; unique</t>
  </si>
  <si>
    <t xml:space="preserve">Input</t>
  </si>
  <si>
    <t xml:space="preserve">Business process</t>
  </si>
  <si>
    <t xml:space="preserve">End-to-end process</t>
  </si>
  <si>
    <t xml:space="preserve">R2R / P2P / O2C / INV / H2R / TECH</t>
  </si>
  <si>
    <t xml:space="preserve">Sub-process</t>
  </si>
  <si>
    <t xml:space="preserve">Specific activity within the process</t>
  </si>
  <si>
    <t xml:space="preserve">Free text</t>
  </si>
  <si>
    <t xml:space="preserve">Module(s)</t>
  </si>
  <si>
    <t xml:space="preserve">SAP modules or functional areas used</t>
  </si>
  <si>
    <t xml:space="preserve">FI, CO, MM, SD, HCM, Basis/Security</t>
  </si>
  <si>
    <t xml:space="preserve">Supporting SYS-ID(s)</t>
  </si>
  <si>
    <t xml:space="preserve">Systems the sub-process runs on</t>
  </si>
  <si>
    <t xml:space="preserve">SYS-IDs from W01</t>
  </si>
  <si>
    <t xml:space="preserve">Related INT-ID(s)</t>
  </si>
  <si>
    <t xml:space="preserve">Interfaces feeding the sub-process</t>
  </si>
  <si>
    <t xml:space="preserve">INT-IDs from W02</t>
  </si>
  <si>
    <t xml:space="preserve">Significant FSLI / accounts</t>
  </si>
  <si>
    <t xml:space="preserve">Financial statement areas affected</t>
  </si>
  <si>
    <t xml:space="preserve">From FSLI_Map</t>
  </si>
  <si>
    <t xml:space="preserve">Significance</t>
  </si>
  <si>
    <t xml:space="preserve">Why it matters to the audit</t>
  </si>
  <si>
    <t xml:space="preserve">High / Medium / Low</t>
  </si>
  <si>
    <t xml:space="preserve">In scope?</t>
  </si>
  <si>
    <t xml:space="preserve">Included in engagement</t>
  </si>
  <si>
    <t xml:space="preserve">Y / N / TBC</t>
  </si>
  <si>
    <t xml:space="preserve">Process owner</t>
  </si>
  <si>
    <t xml:space="preserve">Accountable business owner</t>
  </si>
  <si>
    <t xml:space="preserve">Name / role; TBC allowed</t>
  </si>
  <si>
    <t xml:space="preserve">Indicative transactions</t>
  </si>
  <si>
    <t xml:space="preserve">Key t-codes / Fiori apps</t>
  </si>
  <si>
    <t xml:space="preserve">Used later for SoD and access testing</t>
  </si>
  <si>
    <t xml:space="preserve">Confirmation status</t>
  </si>
  <si>
    <t xml:space="preserve">Strength of confirmation</t>
  </si>
  <si>
    <t xml:space="preserve">Source-identified / Confirmed / Partially confirmed / Outstanding</t>
  </si>
  <si>
    <t xml:space="preserve">Scoping note</t>
  </si>
  <si>
    <t xml:space="preserve">Reason for inclusion or open question</t>
  </si>
  <si>
    <t xml:space="preserve">Mandatory if not in scope or Outstanding</t>
  </si>
  <si>
    <t xml:space="preserve">Row check</t>
  </si>
  <si>
    <t xml:space="preserve">Automatic completeness test</t>
  </si>
  <si>
    <t xml:space="preserve">Formula</t>
  </si>
  <si>
    <t xml:space="preserve">Technical_Areas</t>
  </si>
  <si>
    <t xml:space="preserve">BP-TECH-…; unique</t>
  </si>
  <si>
    <t xml:space="preserve">FSLI_Map</t>
  </si>
  <si>
    <t xml:space="preserve">FSLI ID</t>
  </si>
  <si>
    <t xml:space="preserve">Unique key</t>
  </si>
  <si>
    <t xml:space="preserve">FSLI-nn</t>
  </si>
  <si>
    <t xml:space="preserve">FSLI / account</t>
  </si>
  <si>
    <t xml:space="preserve">Significant line item or account</t>
  </si>
  <si>
    <t xml:space="preserve">From audit plan</t>
  </si>
  <si>
    <t xml:space="preserve">Significant?</t>
  </si>
  <si>
    <t xml:space="preserve">Above scoping threshold</t>
  </si>
  <si>
    <t xml:space="preserve">Y / N</t>
  </si>
  <si>
    <t xml:space="preserve">Primary process</t>
  </si>
  <si>
    <t xml:space="preserve">Process that creates the balance</t>
  </si>
  <si>
    <t xml:space="preserve">R2R / P2P / O2C / INV / H2R</t>
  </si>
  <si>
    <t xml:space="preserve">Mapped BP-ID(s)</t>
  </si>
  <si>
    <t xml:space="preserve">Sub-processes that feed the account</t>
  </si>
  <si>
    <t xml:space="preserve">BP-IDs from Process_Scope, comma separated</t>
  </si>
  <si>
    <t xml:space="preserve">Assertions</t>
  </si>
  <si>
    <t xml:space="preserve">Relevant assertions</t>
  </si>
  <si>
    <t xml:space="preserve">Existence, Completeness, Accuracy, …</t>
  </si>
  <si>
    <t xml:space="preserve">Note</t>
  </si>
  <si>
    <t xml:space="preserve">Anything relevant</t>
  </si>
  <si>
    <t xml:space="preserve">Check</t>
  </si>
  <si>
    <t xml:space="preserve">Is the account mapped to a process</t>
  </si>
  <si>
    <t xml:space="preserve">Open_Items</t>
  </si>
  <si>
    <t xml:space="preserve">Item ID</t>
  </si>
  <si>
    <t xml:space="preserve">Unique open-item reference</t>
  </si>
  <si>
    <t xml:space="preserve">OI-nn</t>
  </si>
  <si>
    <t xml:space="preserve">Source</t>
  </si>
  <si>
    <t xml:space="preserve">Workbook and key the question comes from</t>
  </si>
  <si>
    <t xml:space="preserve">e.g. SYS-05</t>
  </si>
  <si>
    <t xml:space="preserve">Question / dependency</t>
  </si>
  <si>
    <t xml:space="preserve">What must still be confirmed</t>
  </si>
  <si>
    <t xml:space="preserve">Owner</t>
  </si>
  <si>
    <t xml:space="preserve">Person who can answer</t>
  </si>
  <si>
    <t xml:space="preserve">Name / role</t>
  </si>
  <si>
    <t xml:space="preserve">Raised</t>
  </si>
  <si>
    <t xml:space="preserve">Date raised</t>
  </si>
  <si>
    <t xml:space="preserve">Date</t>
  </si>
  <si>
    <t xml:space="preserve">Target date</t>
  </si>
  <si>
    <t xml:space="preserve">Date needed by</t>
  </si>
  <si>
    <t xml:space="preserve">Status</t>
  </si>
  <si>
    <t xml:space="preserve">Progress</t>
  </si>
  <si>
    <t xml:space="preserve">Open / In progress / Closed</t>
  </si>
  <si>
    <t xml:space="preserve">Resolution</t>
  </si>
  <si>
    <t xml:space="preserve">How it was resolved</t>
  </si>
  <si>
    <t xml:space="preserve">Version history</t>
  </si>
  <si>
    <t xml:space="preserve">0.1 — October 2026 — initial template (TIB Systems LLC)</t>
  </si>
  <si>
    <t xml:space="preserve">Cross-workbook links: keys from other workbooks are pasted as values into the Ref_ tabs, so this file works on its own and never breaks when files are moved.</t>
  </si>
  <si>
    <t xml:space="preserve">W03 — Process Scope</t>
  </si>
  <si>
    <t xml:space="preserve">One row per business sub-process. Row 5 is a worked example. Overwrite it.</t>
  </si>
  <si>
    <t xml:space="preserve">BP-P2P-02</t>
  </si>
  <si>
    <t xml:space="preserve">P2P</t>
  </si>
  <si>
    <t xml:space="preserve">Purchasing, receipt and invoice</t>
  </si>
  <si>
    <t xml:space="preserve">MM, FI</t>
  </si>
  <si>
    <t xml:space="preserve">SYS-03</t>
  </si>
  <si>
    <t xml:space="preserve">Trade payables; Inventory</t>
  </si>
  <si>
    <t xml:space="preserve">High</t>
  </si>
  <si>
    <t xml:space="preserve">Y</t>
  </si>
  <si>
    <t xml:space="preserve">Head of AP</t>
  </si>
  <si>
    <t xml:space="preserve">ME21N, MIGO, MIRO</t>
  </si>
  <si>
    <t xml:space="preserve">Source-identified</t>
  </si>
  <si>
    <t xml:space="preserve">W03 — Technical Areas</t>
  </si>
  <si>
    <t xml:space="preserve">Basis/Security areas treated as processes for ITGC purposes (BP-TECH-nn).</t>
  </si>
  <si>
    <t xml:space="preserve">BP-TECH-01</t>
  </si>
  <si>
    <t xml:space="preserve">TECH</t>
  </si>
  <si>
    <t xml:space="preserve">User administration and access</t>
  </si>
  <si>
    <t xml:space="preserve">Basis/Security</t>
  </si>
  <si>
    <t xml:space="preserve">SYS-03, SYS-04, SYS-06</t>
  </si>
  <si>
    <t xml:space="preserve">INT-04</t>
  </si>
  <si>
    <t xml:space="preserve">All financial accounts</t>
  </si>
  <si>
    <t xml:space="preserve">IT Security Manager</t>
  </si>
  <si>
    <t xml:space="preserve">SU01, PFCG, GRC ARM</t>
  </si>
  <si>
    <t xml:space="preserve">Confirmed</t>
  </si>
  <si>
    <t xml:space="preserve">W03 — FSLI Map</t>
  </si>
  <si>
    <t xml:space="preserve">Significant accounts mapped to processes.</t>
  </si>
  <si>
    <t xml:space="preserve">FSLI-02</t>
  </si>
  <si>
    <t xml:space="preserve">Trade payables</t>
  </si>
  <si>
    <t xml:space="preserve">BP-P2P-01, BP-P2P-02, BP-P2P-03</t>
  </si>
  <si>
    <t xml:space="preserve">Completeness, Occurrence</t>
  </si>
  <si>
    <t xml:space="preserve">W03 — Open Items</t>
  </si>
  <si>
    <t xml:space="preserve">Processes or owners still to confirm.</t>
  </si>
  <si>
    <t xml:space="preserve">OI-01</t>
  </si>
  <si>
    <t xml:space="preserve">BP-H2R-01</t>
  </si>
  <si>
    <t xml:space="preserve">HR business process not specified in source: confirm payroll posting scope.</t>
  </si>
  <si>
    <t xml:space="preserve">HR Manager</t>
  </si>
  <si>
    <t xml:space="preserve">Open</t>
  </si>
  <si>
    <t xml:space="preserve">BP_Index — all BP-IDs (formula)</t>
  </si>
  <si>
    <t xml:space="preserve">Combines Process_Scope and Technical_Areas. Copy column A (values only) into W04 Ref_BP.</t>
  </si>
  <si>
    <t xml:space="preserve">Proc</t>
  </si>
  <si>
    <t xml:space="preserve">Sig</t>
  </si>
  <si>
    <t xml:space="preserve">YN</t>
  </si>
  <si>
    <t xml:space="preserve">YNT</t>
  </si>
  <si>
    <t xml:space="preserve">Conf</t>
  </si>
  <si>
    <t xml:space="preserve">OpenStatus</t>
  </si>
  <si>
    <t xml:space="preserve">R2R</t>
  </si>
  <si>
    <t xml:space="preserve">Medium</t>
  </si>
  <si>
    <t xml:space="preserve">N</t>
  </si>
  <si>
    <t xml:space="preserve">In progress</t>
  </si>
  <si>
    <t xml:space="preserve">O2C</t>
  </si>
  <si>
    <t xml:space="preserve">Low</t>
  </si>
  <si>
    <t xml:space="preserve">TBC</t>
  </si>
  <si>
    <t xml:space="preserve">Partially confirmed</t>
  </si>
  <si>
    <t xml:space="preserve">Closed</t>
  </si>
  <si>
    <t xml:space="preserve">INV</t>
  </si>
  <si>
    <t xml:space="preserve">Outstanding</t>
  </si>
  <si>
    <t xml:space="preserve">H2R</t>
  </si>
  <si>
    <t xml:space="preserve">W03 — Completion checks</t>
  </si>
  <si>
    <t xml:space="preserve">All checks are formulas. A workbook passes its gate when every status reads PASS (INFO rows are counts for your information).</t>
  </si>
  <si>
    <t xml:space="preserve">Overall</t>
  </si>
  <si>
    <t xml:space="preserve">Count</t>
  </si>
  <si>
    <t xml:space="preserve">What to do if REVIEW</t>
  </si>
  <si>
    <t xml:space="preserve">Business sub-processes listed</t>
  </si>
  <si>
    <t xml:space="preserve">INFO</t>
  </si>
  <si>
    <t xml:space="preserve">—</t>
  </si>
  <si>
    <t xml:space="preserve">Technical areas listed (BP-TECH)</t>
  </si>
  <si>
    <t xml:space="preserve">Add BP-TECH-01 to 03 so ITGC risks have an anchor.</t>
  </si>
  <si>
    <t xml:space="preserve">Duplicate BP-IDs (Process_Scope)</t>
  </si>
  <si>
    <t xml:space="preserve">Keys must be unique.</t>
  </si>
  <si>
    <t xml:space="preserve">Duplicate BP-IDs (Technical_Areas)</t>
  </si>
  <si>
    <t xml:space="preserve">Rows needing attention (Process_Scope)</t>
  </si>
  <si>
    <t xml:space="preserve">Read the Row check column.</t>
  </si>
  <si>
    <t xml:space="preserve">Rows needing attention (Technical_Areas)</t>
  </si>
  <si>
    <t xml:space="preserve">In-scope rows with no supporting system</t>
  </si>
  <si>
    <t xml:space="preserve">Record SYS-IDs from W01.</t>
  </si>
  <si>
    <t xml:space="preserve">Rows still Outstanding / TBC scope</t>
  </si>
  <si>
    <t xml:space="preserve">Do not invent processes; chase confirmation (gate G2).</t>
  </si>
  <si>
    <t xml:space="preserve">Significant FSLIs not mapped to a process</t>
  </si>
  <si>
    <t xml:space="preserve">Every significant account needs a process.</t>
  </si>
  <si>
    <t xml:space="preserve">FSLIs recorded</t>
  </si>
  <si>
    <t xml:space="preserve">Start from the audit plan / management scoping.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</si>
</sst>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E7C8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0E7C8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7C8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B6B82"/>
        <bgColor rgb="FF555555"/>
      </patternFill>
    </fill>
    <fill>
      <patternFill patternType="solid">
        <fgColor rgb="FFFFF2CC"/>
        <bgColor rgb="FFEDEFF3"/>
      </patternFill>
    </fill>
    <fill>
      <patternFill patternType="solid">
        <fgColor rgb="FFEDEF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6B82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C7D5"/>
      <rgbColor rgb="FF808080"/>
      <rgbColor rgb="FF9999FF"/>
      <rgbColor rgb="FF993366"/>
      <rgbColor rgb="FFFFF2CC"/>
      <rgbColor rgb="FFED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4" t="s">
        <v>5</v>
      </c>
      <c r="B8" s="4"/>
      <c r="C8" s="4"/>
      <c r="D8" s="4"/>
    </row>
    <row r="9" customFormat="false" ht="30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4" customFormat="false" ht="15" hidden="false" customHeight="false" outlineLevel="0" collapsed="false">
      <c r="A14" s="3" t="s">
        <v>10</v>
      </c>
    </row>
    <row r="15" customFormat="false" ht="30" hidden="false" customHeight="true" outlineLevel="0" collapsed="false">
      <c r="A15" s="4" t="s">
        <v>11</v>
      </c>
      <c r="B15" s="4"/>
      <c r="C15" s="4"/>
      <c r="D15" s="4"/>
    </row>
    <row r="17" customFormat="false" ht="15" hidden="false" customHeight="false" outlineLevel="0" collapsed="false">
      <c r="A17" s="3" t="s">
        <v>12</v>
      </c>
    </row>
    <row r="18" customFormat="false" ht="15" hidden="false" customHeight="true" outlineLevel="0" collapsed="false">
      <c r="A18" s="4" t="s">
        <v>13</v>
      </c>
      <c r="B18" s="4"/>
      <c r="C18" s="4"/>
      <c r="D18" s="4"/>
    </row>
    <row r="19" customFormat="false" ht="15" hidden="false" customHeight="true" outlineLevel="0" collapsed="false">
      <c r="A19" s="4" t="s">
        <v>14</v>
      </c>
      <c r="B19" s="4"/>
      <c r="C19" s="4"/>
      <c r="D19" s="4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3" customFormat="false" ht="15" hidden="false" customHeight="false" outlineLevel="0" collapsed="false">
      <c r="A23" s="3" t="s">
        <v>17</v>
      </c>
    </row>
    <row r="24" customFormat="false" ht="15" hidden="false" customHeight="true" outlineLevel="0" collapsed="false">
      <c r="A24" s="4" t="s">
        <v>18</v>
      </c>
      <c r="B24" s="4"/>
      <c r="C24" s="4"/>
      <c r="D24" s="4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5" t="s">
        <v>20</v>
      </c>
      <c r="B27" s="5" t="s">
        <v>21</v>
      </c>
      <c r="C27" s="5" t="s">
        <v>22</v>
      </c>
      <c r="D27" s="5" t="s">
        <v>23</v>
      </c>
      <c r="E27" s="5" t="s">
        <v>24</v>
      </c>
    </row>
    <row r="28" customFormat="false" ht="15" hidden="false" customHeight="false" outlineLevel="0" collapsed="false">
      <c r="A28" s="6" t="s">
        <v>25</v>
      </c>
      <c r="B28" s="6" t="s">
        <v>26</v>
      </c>
      <c r="C28" s="6" t="s">
        <v>27</v>
      </c>
      <c r="D28" s="6" t="s">
        <v>28</v>
      </c>
      <c r="E28" s="6" t="s">
        <v>29</v>
      </c>
    </row>
    <row r="29" customFormat="false" ht="15" hidden="false" customHeight="false" outlineLevel="0" collapsed="false">
      <c r="A29" s="6" t="s">
        <v>25</v>
      </c>
      <c r="B29" s="6" t="s">
        <v>30</v>
      </c>
      <c r="C29" s="6" t="s">
        <v>31</v>
      </c>
      <c r="D29" s="6" t="s">
        <v>32</v>
      </c>
      <c r="E29" s="6" t="s">
        <v>29</v>
      </c>
    </row>
    <row r="30" customFormat="false" ht="15" hidden="false" customHeight="false" outlineLevel="0" collapsed="false">
      <c r="A30" s="6" t="s">
        <v>25</v>
      </c>
      <c r="B30" s="6" t="s">
        <v>33</v>
      </c>
      <c r="C30" s="6" t="s">
        <v>34</v>
      </c>
      <c r="D30" s="6" t="s">
        <v>35</v>
      </c>
      <c r="E30" s="6" t="s">
        <v>29</v>
      </c>
    </row>
    <row r="31" customFormat="false" ht="15" hidden="false" customHeight="false" outlineLevel="0" collapsed="false">
      <c r="A31" s="6" t="s">
        <v>25</v>
      </c>
      <c r="B31" s="6" t="s">
        <v>36</v>
      </c>
      <c r="C31" s="6" t="s">
        <v>37</v>
      </c>
      <c r="D31" s="6" t="s">
        <v>38</v>
      </c>
      <c r="E31" s="6" t="s">
        <v>29</v>
      </c>
    </row>
    <row r="32" customFormat="false" ht="15" hidden="false" customHeight="false" outlineLevel="0" collapsed="false">
      <c r="A32" s="6" t="s">
        <v>25</v>
      </c>
      <c r="B32" s="6" t="s">
        <v>39</v>
      </c>
      <c r="C32" s="6" t="s">
        <v>40</v>
      </c>
      <c r="D32" s="6" t="s">
        <v>41</v>
      </c>
      <c r="E32" s="6" t="s">
        <v>29</v>
      </c>
    </row>
    <row r="33" customFormat="false" ht="15" hidden="false" customHeight="false" outlineLevel="0" collapsed="false">
      <c r="A33" s="6" t="s">
        <v>25</v>
      </c>
      <c r="B33" s="6" t="s">
        <v>42</v>
      </c>
      <c r="C33" s="6" t="s">
        <v>43</v>
      </c>
      <c r="D33" s="6" t="s">
        <v>44</v>
      </c>
      <c r="E33" s="6" t="s">
        <v>29</v>
      </c>
    </row>
    <row r="34" customFormat="false" ht="15" hidden="false" customHeight="false" outlineLevel="0" collapsed="false">
      <c r="A34" s="6" t="s">
        <v>25</v>
      </c>
      <c r="B34" s="6" t="s">
        <v>45</v>
      </c>
      <c r="C34" s="6" t="s">
        <v>46</v>
      </c>
      <c r="D34" s="6" t="s">
        <v>47</v>
      </c>
      <c r="E34" s="6" t="s">
        <v>29</v>
      </c>
    </row>
    <row r="35" customFormat="false" ht="15" hidden="false" customHeight="false" outlineLevel="0" collapsed="false">
      <c r="A35" s="6" t="s">
        <v>25</v>
      </c>
      <c r="B35" s="6" t="s">
        <v>48</v>
      </c>
      <c r="C35" s="6" t="s">
        <v>49</v>
      </c>
      <c r="D35" s="6" t="s">
        <v>50</v>
      </c>
      <c r="E35" s="6" t="s">
        <v>29</v>
      </c>
    </row>
    <row r="36" customFormat="false" ht="15" hidden="false" customHeight="false" outlineLevel="0" collapsed="false">
      <c r="A36" s="6" t="s">
        <v>25</v>
      </c>
      <c r="B36" s="6" t="s">
        <v>51</v>
      </c>
      <c r="C36" s="6" t="s">
        <v>52</v>
      </c>
      <c r="D36" s="6" t="s">
        <v>53</v>
      </c>
      <c r="E36" s="6" t="s">
        <v>29</v>
      </c>
    </row>
    <row r="37" customFormat="false" ht="15" hidden="false" customHeight="false" outlineLevel="0" collapsed="false">
      <c r="A37" s="6" t="s">
        <v>25</v>
      </c>
      <c r="B37" s="6" t="s">
        <v>54</v>
      </c>
      <c r="C37" s="6" t="s">
        <v>55</v>
      </c>
      <c r="D37" s="6" t="s">
        <v>56</v>
      </c>
      <c r="E37" s="6" t="s">
        <v>29</v>
      </c>
    </row>
    <row r="38" customFormat="false" ht="15" hidden="false" customHeight="false" outlineLevel="0" collapsed="false">
      <c r="A38" s="6" t="s">
        <v>25</v>
      </c>
      <c r="B38" s="6" t="s">
        <v>57</v>
      </c>
      <c r="C38" s="6" t="s">
        <v>58</v>
      </c>
      <c r="D38" s="6" t="s">
        <v>59</v>
      </c>
      <c r="E38" s="6" t="s">
        <v>29</v>
      </c>
    </row>
    <row r="39" customFormat="false" ht="22.35" hidden="false" customHeight="false" outlineLevel="0" collapsed="false">
      <c r="A39" s="6" t="s">
        <v>25</v>
      </c>
      <c r="B39" s="6" t="s">
        <v>60</v>
      </c>
      <c r="C39" s="6" t="s">
        <v>61</v>
      </c>
      <c r="D39" s="6" t="s">
        <v>62</v>
      </c>
      <c r="E39" s="6" t="s">
        <v>29</v>
      </c>
    </row>
    <row r="40" customFormat="false" ht="15" hidden="false" customHeight="false" outlineLevel="0" collapsed="false">
      <c r="A40" s="6" t="s">
        <v>25</v>
      </c>
      <c r="B40" s="6" t="s">
        <v>63</v>
      </c>
      <c r="C40" s="6" t="s">
        <v>64</v>
      </c>
      <c r="D40" s="6" t="s">
        <v>65</v>
      </c>
      <c r="E40" s="6" t="s">
        <v>29</v>
      </c>
    </row>
    <row r="41" customFormat="false" ht="15" hidden="false" customHeight="false" outlineLevel="0" collapsed="false">
      <c r="A41" s="6" t="s">
        <v>25</v>
      </c>
      <c r="B41" s="6" t="s">
        <v>66</v>
      </c>
      <c r="C41" s="6" t="s">
        <v>67</v>
      </c>
      <c r="D41" s="6" t="s">
        <v>68</v>
      </c>
      <c r="E41" s="6" t="s">
        <v>68</v>
      </c>
    </row>
    <row r="42" customFormat="false" ht="15" hidden="false" customHeight="false" outlineLevel="0" collapsed="false">
      <c r="A42" s="6" t="s">
        <v>69</v>
      </c>
      <c r="B42" s="6" t="s">
        <v>26</v>
      </c>
      <c r="C42" s="6" t="s">
        <v>27</v>
      </c>
      <c r="D42" s="6" t="s">
        <v>70</v>
      </c>
      <c r="E42" s="6" t="s">
        <v>29</v>
      </c>
    </row>
    <row r="43" customFormat="false" ht="15" hidden="false" customHeight="false" outlineLevel="0" collapsed="false">
      <c r="A43" s="6" t="s">
        <v>69</v>
      </c>
      <c r="B43" s="6" t="s">
        <v>30</v>
      </c>
      <c r="C43" s="6" t="s">
        <v>31</v>
      </c>
      <c r="D43" s="6" t="s">
        <v>32</v>
      </c>
      <c r="E43" s="6" t="s">
        <v>29</v>
      </c>
    </row>
    <row r="44" customFormat="false" ht="15" hidden="false" customHeight="false" outlineLevel="0" collapsed="false">
      <c r="A44" s="6" t="s">
        <v>69</v>
      </c>
      <c r="B44" s="6" t="s">
        <v>33</v>
      </c>
      <c r="C44" s="6" t="s">
        <v>34</v>
      </c>
      <c r="D44" s="6" t="s">
        <v>35</v>
      </c>
      <c r="E44" s="6" t="s">
        <v>29</v>
      </c>
    </row>
    <row r="45" customFormat="false" ht="15" hidden="false" customHeight="false" outlineLevel="0" collapsed="false">
      <c r="A45" s="6" t="s">
        <v>69</v>
      </c>
      <c r="B45" s="6" t="s">
        <v>36</v>
      </c>
      <c r="C45" s="6" t="s">
        <v>37</v>
      </c>
      <c r="D45" s="6" t="s">
        <v>38</v>
      </c>
      <c r="E45" s="6" t="s">
        <v>29</v>
      </c>
    </row>
    <row r="46" customFormat="false" ht="15" hidden="false" customHeight="false" outlineLevel="0" collapsed="false">
      <c r="A46" s="6" t="s">
        <v>69</v>
      </c>
      <c r="B46" s="6" t="s">
        <v>39</v>
      </c>
      <c r="C46" s="6" t="s">
        <v>40</v>
      </c>
      <c r="D46" s="6" t="s">
        <v>41</v>
      </c>
      <c r="E46" s="6" t="s">
        <v>29</v>
      </c>
    </row>
    <row r="47" customFormat="false" ht="15" hidden="false" customHeight="false" outlineLevel="0" collapsed="false">
      <c r="A47" s="6" t="s">
        <v>69</v>
      </c>
      <c r="B47" s="6" t="s">
        <v>42</v>
      </c>
      <c r="C47" s="6" t="s">
        <v>43</v>
      </c>
      <c r="D47" s="6" t="s">
        <v>44</v>
      </c>
      <c r="E47" s="6" t="s">
        <v>29</v>
      </c>
    </row>
    <row r="48" customFormat="false" ht="15" hidden="false" customHeight="false" outlineLevel="0" collapsed="false">
      <c r="A48" s="6" t="s">
        <v>69</v>
      </c>
      <c r="B48" s="6" t="s">
        <v>45</v>
      </c>
      <c r="C48" s="6" t="s">
        <v>46</v>
      </c>
      <c r="D48" s="6" t="s">
        <v>47</v>
      </c>
      <c r="E48" s="6" t="s">
        <v>29</v>
      </c>
    </row>
    <row r="49" customFormat="false" ht="15" hidden="false" customHeight="false" outlineLevel="0" collapsed="false">
      <c r="A49" s="6" t="s">
        <v>69</v>
      </c>
      <c r="B49" s="6" t="s">
        <v>48</v>
      </c>
      <c r="C49" s="6" t="s">
        <v>49</v>
      </c>
      <c r="D49" s="6" t="s">
        <v>50</v>
      </c>
      <c r="E49" s="6" t="s">
        <v>29</v>
      </c>
    </row>
    <row r="50" customFormat="false" ht="15" hidden="false" customHeight="false" outlineLevel="0" collapsed="false">
      <c r="A50" s="6" t="s">
        <v>69</v>
      </c>
      <c r="B50" s="6" t="s">
        <v>51</v>
      </c>
      <c r="C50" s="6" t="s">
        <v>52</v>
      </c>
      <c r="D50" s="6" t="s">
        <v>53</v>
      </c>
      <c r="E50" s="6" t="s">
        <v>29</v>
      </c>
    </row>
    <row r="51" customFormat="false" ht="15" hidden="false" customHeight="false" outlineLevel="0" collapsed="false">
      <c r="A51" s="6" t="s">
        <v>69</v>
      </c>
      <c r="B51" s="6" t="s">
        <v>54</v>
      </c>
      <c r="C51" s="6" t="s">
        <v>55</v>
      </c>
      <c r="D51" s="6" t="s">
        <v>56</v>
      </c>
      <c r="E51" s="6" t="s">
        <v>29</v>
      </c>
    </row>
    <row r="52" customFormat="false" ht="15" hidden="false" customHeight="false" outlineLevel="0" collapsed="false">
      <c r="A52" s="6" t="s">
        <v>69</v>
      </c>
      <c r="B52" s="6" t="s">
        <v>57</v>
      </c>
      <c r="C52" s="6" t="s">
        <v>58</v>
      </c>
      <c r="D52" s="6" t="s">
        <v>59</v>
      </c>
      <c r="E52" s="6" t="s">
        <v>29</v>
      </c>
    </row>
    <row r="53" customFormat="false" ht="22.35" hidden="false" customHeight="false" outlineLevel="0" collapsed="false">
      <c r="A53" s="6" t="s">
        <v>69</v>
      </c>
      <c r="B53" s="6" t="s">
        <v>60</v>
      </c>
      <c r="C53" s="6" t="s">
        <v>61</v>
      </c>
      <c r="D53" s="6" t="s">
        <v>62</v>
      </c>
      <c r="E53" s="6" t="s">
        <v>29</v>
      </c>
    </row>
    <row r="54" customFormat="false" ht="15" hidden="false" customHeight="false" outlineLevel="0" collapsed="false">
      <c r="A54" s="6" t="s">
        <v>69</v>
      </c>
      <c r="B54" s="6" t="s">
        <v>63</v>
      </c>
      <c r="C54" s="6" t="s">
        <v>64</v>
      </c>
      <c r="D54" s="6" t="s">
        <v>65</v>
      </c>
      <c r="E54" s="6" t="s">
        <v>29</v>
      </c>
    </row>
    <row r="55" customFormat="false" ht="15" hidden="false" customHeight="false" outlineLevel="0" collapsed="false">
      <c r="A55" s="6" t="s">
        <v>69</v>
      </c>
      <c r="B55" s="6" t="s">
        <v>66</v>
      </c>
      <c r="C55" s="6" t="s">
        <v>67</v>
      </c>
      <c r="D55" s="6" t="s">
        <v>68</v>
      </c>
      <c r="E55" s="6" t="s">
        <v>68</v>
      </c>
    </row>
    <row r="56" customFormat="false" ht="15" hidden="false" customHeight="false" outlineLevel="0" collapsed="false">
      <c r="A56" s="6" t="s">
        <v>71</v>
      </c>
      <c r="B56" s="6" t="s">
        <v>72</v>
      </c>
      <c r="C56" s="6" t="s">
        <v>73</v>
      </c>
      <c r="D56" s="6" t="s">
        <v>74</v>
      </c>
      <c r="E56" s="6" t="s">
        <v>29</v>
      </c>
    </row>
    <row r="57" customFormat="false" ht="15" hidden="false" customHeight="false" outlineLevel="0" collapsed="false">
      <c r="A57" s="6" t="s">
        <v>71</v>
      </c>
      <c r="B57" s="6" t="s">
        <v>75</v>
      </c>
      <c r="C57" s="6" t="s">
        <v>76</v>
      </c>
      <c r="D57" s="6" t="s">
        <v>77</v>
      </c>
      <c r="E57" s="6" t="s">
        <v>29</v>
      </c>
    </row>
    <row r="58" customFormat="false" ht="15" hidden="false" customHeight="false" outlineLevel="0" collapsed="false">
      <c r="A58" s="6" t="s">
        <v>71</v>
      </c>
      <c r="B58" s="6" t="s">
        <v>78</v>
      </c>
      <c r="C58" s="6" t="s">
        <v>79</v>
      </c>
      <c r="D58" s="6" t="s">
        <v>80</v>
      </c>
      <c r="E58" s="6" t="s">
        <v>29</v>
      </c>
    </row>
    <row r="59" customFormat="false" ht="15" hidden="false" customHeight="false" outlineLevel="0" collapsed="false">
      <c r="A59" s="6" t="s">
        <v>71</v>
      </c>
      <c r="B59" s="6" t="s">
        <v>81</v>
      </c>
      <c r="C59" s="6" t="s">
        <v>82</v>
      </c>
      <c r="D59" s="6" t="s">
        <v>83</v>
      </c>
      <c r="E59" s="6" t="s">
        <v>29</v>
      </c>
    </row>
    <row r="60" customFormat="false" ht="15" hidden="false" customHeight="false" outlineLevel="0" collapsed="false">
      <c r="A60" s="6" t="s">
        <v>71</v>
      </c>
      <c r="B60" s="6" t="s">
        <v>84</v>
      </c>
      <c r="C60" s="6" t="s">
        <v>85</v>
      </c>
      <c r="D60" s="6" t="s">
        <v>86</v>
      </c>
      <c r="E60" s="6" t="s">
        <v>29</v>
      </c>
    </row>
    <row r="61" customFormat="false" ht="15" hidden="false" customHeight="false" outlineLevel="0" collapsed="false">
      <c r="A61" s="6" t="s">
        <v>71</v>
      </c>
      <c r="B61" s="6" t="s">
        <v>87</v>
      </c>
      <c r="C61" s="6" t="s">
        <v>88</v>
      </c>
      <c r="D61" s="6" t="s">
        <v>89</v>
      </c>
      <c r="E61" s="6" t="s">
        <v>29</v>
      </c>
    </row>
    <row r="62" customFormat="false" ht="15" hidden="false" customHeight="false" outlineLevel="0" collapsed="false">
      <c r="A62" s="6" t="s">
        <v>71</v>
      </c>
      <c r="B62" s="6" t="s">
        <v>90</v>
      </c>
      <c r="C62" s="6" t="s">
        <v>91</v>
      </c>
      <c r="D62" s="6" t="s">
        <v>35</v>
      </c>
      <c r="E62" s="6" t="s">
        <v>29</v>
      </c>
    </row>
    <row r="63" customFormat="false" ht="15" hidden="false" customHeight="false" outlineLevel="0" collapsed="false">
      <c r="A63" s="6" t="s">
        <v>71</v>
      </c>
      <c r="B63" s="6" t="s">
        <v>92</v>
      </c>
      <c r="C63" s="6" t="s">
        <v>93</v>
      </c>
      <c r="D63" s="6" t="s">
        <v>68</v>
      </c>
      <c r="E63" s="6" t="s">
        <v>68</v>
      </c>
    </row>
    <row r="64" customFormat="false" ht="15" hidden="false" customHeight="false" outlineLevel="0" collapsed="false">
      <c r="A64" s="6" t="s">
        <v>94</v>
      </c>
      <c r="B64" s="6" t="s">
        <v>95</v>
      </c>
      <c r="C64" s="6" t="s">
        <v>96</v>
      </c>
      <c r="D64" s="6" t="s">
        <v>97</v>
      </c>
      <c r="E64" s="6" t="s">
        <v>29</v>
      </c>
    </row>
    <row r="65" customFormat="false" ht="15" hidden="false" customHeight="false" outlineLevel="0" collapsed="false">
      <c r="A65" s="6" t="s">
        <v>94</v>
      </c>
      <c r="B65" s="6" t="s">
        <v>98</v>
      </c>
      <c r="C65" s="6" t="s">
        <v>99</v>
      </c>
      <c r="D65" s="6" t="s">
        <v>100</v>
      </c>
      <c r="E65" s="6" t="s">
        <v>29</v>
      </c>
    </row>
    <row r="66" customFormat="false" ht="15" hidden="false" customHeight="false" outlineLevel="0" collapsed="false">
      <c r="A66" s="6" t="s">
        <v>94</v>
      </c>
      <c r="B66" s="6" t="s">
        <v>101</v>
      </c>
      <c r="C66" s="6" t="s">
        <v>102</v>
      </c>
      <c r="D66" s="6" t="s">
        <v>35</v>
      </c>
      <c r="E66" s="6" t="s">
        <v>29</v>
      </c>
    </row>
    <row r="67" customFormat="false" ht="15" hidden="false" customHeight="false" outlineLevel="0" collapsed="false">
      <c r="A67" s="6" t="s">
        <v>94</v>
      </c>
      <c r="B67" s="6" t="s">
        <v>103</v>
      </c>
      <c r="C67" s="6" t="s">
        <v>104</v>
      </c>
      <c r="D67" s="6" t="s">
        <v>105</v>
      </c>
      <c r="E67" s="6" t="s">
        <v>29</v>
      </c>
    </row>
    <row r="68" customFormat="false" ht="15" hidden="false" customHeight="false" outlineLevel="0" collapsed="false">
      <c r="A68" s="6" t="s">
        <v>94</v>
      </c>
      <c r="B68" s="6" t="s">
        <v>106</v>
      </c>
      <c r="C68" s="6" t="s">
        <v>107</v>
      </c>
      <c r="D68" s="6" t="s">
        <v>108</v>
      </c>
      <c r="E68" s="6" t="s">
        <v>29</v>
      </c>
    </row>
    <row r="69" customFormat="false" ht="15" hidden="false" customHeight="false" outlineLevel="0" collapsed="false">
      <c r="A69" s="6" t="s">
        <v>94</v>
      </c>
      <c r="B69" s="6" t="s">
        <v>109</v>
      </c>
      <c r="C69" s="6" t="s">
        <v>110</v>
      </c>
      <c r="D69" s="6" t="s">
        <v>108</v>
      </c>
      <c r="E69" s="6" t="s">
        <v>29</v>
      </c>
    </row>
    <row r="70" customFormat="false" ht="15" hidden="false" customHeight="false" outlineLevel="0" collapsed="false">
      <c r="A70" s="6" t="s">
        <v>94</v>
      </c>
      <c r="B70" s="6" t="s">
        <v>111</v>
      </c>
      <c r="C70" s="6" t="s">
        <v>112</v>
      </c>
      <c r="D70" s="6" t="s">
        <v>113</v>
      </c>
      <c r="E70" s="6" t="s">
        <v>29</v>
      </c>
    </row>
    <row r="71" customFormat="false" ht="15" hidden="false" customHeight="false" outlineLevel="0" collapsed="false">
      <c r="A71" s="6" t="s">
        <v>94</v>
      </c>
      <c r="B71" s="6" t="s">
        <v>114</v>
      </c>
      <c r="C71" s="6" t="s">
        <v>115</v>
      </c>
      <c r="D71" s="6" t="s">
        <v>35</v>
      </c>
      <c r="E71" s="6" t="s">
        <v>29</v>
      </c>
    </row>
    <row r="73" customFormat="false" ht="15" hidden="false" customHeight="false" outlineLevel="0" collapsed="false">
      <c r="A73" s="3" t="s">
        <v>116</v>
      </c>
    </row>
    <row r="74" customFormat="false" ht="15" hidden="false" customHeight="false" outlineLevel="0" collapsed="false">
      <c r="A74" s="7" t="s">
        <v>117</v>
      </c>
    </row>
    <row r="75" customFormat="false" ht="15" hidden="false" customHeight="false" outlineLevel="0" collapsed="false">
      <c r="A75" s="8" t="s">
        <v>118</v>
      </c>
    </row>
  </sheetData>
  <mergeCells count="12">
    <mergeCell ref="A5:D5"/>
    <mergeCell ref="A8:D8"/>
    <mergeCell ref="A9:D9"/>
    <mergeCell ref="A10:D10"/>
    <mergeCell ref="A11:D11"/>
    <mergeCell ref="A12:D12"/>
    <mergeCell ref="A15:D15"/>
    <mergeCell ref="A18:D18"/>
    <mergeCell ref="A19:D19"/>
    <mergeCell ref="A20:D20"/>
    <mergeCell ref="A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4" min="13" style="0" width="30"/>
  </cols>
  <sheetData>
    <row r="1" customFormat="false" ht="17.35" hidden="false" customHeight="false" outlineLevel="0" collapsed="false">
      <c r="A1" s="9" t="s">
        <v>119</v>
      </c>
    </row>
    <row r="2" customFormat="false" ht="15" hidden="false" customHeight="false" outlineLevel="0" collapsed="false">
      <c r="A2" s="10" t="s">
        <v>120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1" t="s">
        <v>33</v>
      </c>
      <c r="D4" s="11" t="s">
        <v>36</v>
      </c>
      <c r="E4" s="11" t="s">
        <v>39</v>
      </c>
      <c r="F4" s="11" t="s">
        <v>42</v>
      </c>
      <c r="G4" s="11" t="s">
        <v>45</v>
      </c>
      <c r="H4" s="11" t="s">
        <v>48</v>
      </c>
      <c r="I4" s="11" t="s">
        <v>51</v>
      </c>
      <c r="J4" s="11" t="s">
        <v>54</v>
      </c>
      <c r="K4" s="11" t="s">
        <v>57</v>
      </c>
      <c r="L4" s="11" t="s">
        <v>60</v>
      </c>
      <c r="M4" s="11" t="s">
        <v>63</v>
      </c>
      <c r="N4" s="12" t="s">
        <v>66</v>
      </c>
    </row>
    <row r="5" customFormat="false" ht="15" hidden="false" customHeight="false" outlineLevel="0" collapsed="false">
      <c r="A5" s="13" t="s">
        <v>121</v>
      </c>
      <c r="B5" s="13" t="s">
        <v>122</v>
      </c>
      <c r="C5" s="13" t="s">
        <v>123</v>
      </c>
      <c r="D5" s="13" t="s">
        <v>124</v>
      </c>
      <c r="E5" s="13" t="s">
        <v>125</v>
      </c>
      <c r="F5" s="13"/>
      <c r="G5" s="13" t="s">
        <v>126</v>
      </c>
      <c r="H5" s="13" t="s">
        <v>127</v>
      </c>
      <c r="I5" s="13" t="s">
        <v>128</v>
      </c>
      <c r="J5" s="13" t="s">
        <v>129</v>
      </c>
      <c r="K5" s="13" t="s">
        <v>130</v>
      </c>
      <c r="L5" s="13" t="s">
        <v>131</v>
      </c>
      <c r="M5" s="13"/>
      <c r="N5" s="14" t="str">
        <f aca="false">IF(A5="","",IF(LEFT(A5,3)&lt;&gt;"BP-","Key must start BP-",IF(OR(B5="",C5="",D5=""),"Process, sub-process and module needed",IF(AND(I5="Y",E5=""),"Supporting SYS-ID needed",IF(AND(OR(I5="N",L5="Outstanding"),M5=""),"Note the rationale / open question","OK")))))</f>
        <v>OK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 t="str">
        <f aca="false">IF(A6="","",IF(LEFT(A6,3)&lt;&gt;"BP-","Key must start BP-",IF(OR(B6="",C6="",D6=""),"Process, sub-process and module needed",IF(AND(I6="Y",E6=""),"Supporting SYS-ID needed",IF(AND(OR(I6="N",L6="Outstanding"),M6=""),"Note the rationale / open question","OK")))))</f>
        <v/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 t="str">
        <f aca="false">IF(A7="","",IF(LEFT(A7,3)&lt;&gt;"BP-","Key must start BP-",IF(OR(B7="",C7="",D7=""),"Process, sub-process and module needed",IF(AND(I7="Y",E7=""),"Supporting SYS-ID needed",IF(AND(OR(I7="N",L7="Outstanding"),M7=""),"Note the rationale / open question","OK")))))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 t="str">
        <f aca="false">IF(A8="","",IF(LEFT(A8,3)&lt;&gt;"BP-","Key must start BP-",IF(OR(B8="",C8="",D8=""),"Process, sub-process and module needed",IF(AND(I8="Y",E8=""),"Supporting SYS-ID needed",IF(AND(OR(I8="N",L8="Outstanding"),M8=""),"Note the rationale / open question","OK")))))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 t="str">
        <f aca="false">IF(A9="","",IF(LEFT(A9,3)&lt;&gt;"BP-","Key must start BP-",IF(OR(B9="",C9="",D9=""),"Process, sub-process and module needed",IF(AND(I9="Y",E9=""),"Supporting SYS-ID needed",IF(AND(OR(I9="N",L9="Outstanding"),M9=""),"Note the rationale / open question","OK")))))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 t="str">
        <f aca="false">IF(A10="","",IF(LEFT(A10,3)&lt;&gt;"BP-","Key must start BP-",IF(OR(B10="",C10="",D10=""),"Process, sub-process and module needed",IF(AND(I10="Y",E10=""),"Supporting SYS-ID needed",IF(AND(OR(I10="N",L10="Outstanding"),M10=""),"Note the rationale / open question","OK")))))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 t="str">
        <f aca="false">IF(A11="","",IF(LEFT(A11,3)&lt;&gt;"BP-","Key must start BP-",IF(OR(B11="",C11="",D11=""),"Process, sub-process and module needed",IF(AND(I11="Y",E11=""),"Supporting SYS-ID needed",IF(AND(OR(I11="N",L11="Outstanding"),M11=""),"Note the rationale / open question","OK")))))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 t="str">
        <f aca="false">IF(A12="","",IF(LEFT(A12,3)&lt;&gt;"BP-","Key must start BP-",IF(OR(B12="",C12="",D12=""),"Process, sub-process and module needed",IF(AND(I12="Y",E12=""),"Supporting SYS-ID needed",IF(AND(OR(I12="N",L12="Outstanding"),M12=""),"Note the rationale / open question","OK")))))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 t="str">
        <f aca="false">IF(A13="","",IF(LEFT(A13,3)&lt;&gt;"BP-","Key must start BP-",IF(OR(B13="",C13="",D13=""),"Process, sub-process and module needed",IF(AND(I13="Y",E13=""),"Supporting SYS-ID needed",IF(AND(OR(I13="N",L13="Outstanding"),M13=""),"Note the rationale / open question","OK")))))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tr">
        <f aca="false">IF(A14="","",IF(LEFT(A14,3)&lt;&gt;"BP-","Key must start BP-",IF(OR(B14="",C14="",D14=""),"Process, sub-process and module needed",IF(AND(I14="Y",E14=""),"Supporting SYS-ID needed",IF(AND(OR(I14="N",L14="Outstanding"),M14=""),"Note the rationale / open question","OK")))))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 t="str">
        <f aca="false">IF(A15="","",IF(LEFT(A15,3)&lt;&gt;"BP-","Key must start BP-",IF(OR(B15="",C15="",D15=""),"Process, sub-process and module needed",IF(AND(I15="Y",E15=""),"Supporting SYS-ID needed",IF(AND(OR(I15="N",L15="Outstanding"),M15=""),"Note the rationale / open question","OK")))))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 t="str">
        <f aca="false">IF(A16="","",IF(LEFT(A16,3)&lt;&gt;"BP-","Key must start BP-",IF(OR(B16="",C16="",D16=""),"Process, sub-process and module needed",IF(AND(I16="Y",E16=""),"Supporting SYS-ID needed",IF(AND(OR(I16="N",L16="Outstanding"),M16=""),"Note the rationale / open question","OK")))))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 t="str">
        <f aca="false">IF(A17="","",IF(LEFT(A17,3)&lt;&gt;"BP-","Key must start BP-",IF(OR(B17="",C17="",D17=""),"Process, sub-process and module needed",IF(AND(I17="Y",E17=""),"Supporting SYS-ID needed",IF(AND(OR(I17="N",L17="Outstanding"),M17=""),"Note the rationale / open question","OK")))))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 t="str">
        <f aca="false">IF(A18="","",IF(LEFT(A18,3)&lt;&gt;"BP-","Key must start BP-",IF(OR(B18="",C18="",D18=""),"Process, sub-process and module needed",IF(AND(I18="Y",E18=""),"Supporting SYS-ID needed",IF(AND(OR(I18="N",L18="Outstanding"),M18=""),"Note the rationale / open question","OK")))))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 t="str">
        <f aca="false">IF(A19="","",IF(LEFT(A19,3)&lt;&gt;"BP-","Key must start BP-",IF(OR(B19="",C19="",D19=""),"Process, sub-process and module needed",IF(AND(I19="Y",E19=""),"Supporting SYS-ID needed",IF(AND(OR(I19="N",L19="Outstanding"),M19=""),"Note the rationale / open question","OK")))))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 t="str">
        <f aca="false">IF(A20="","",IF(LEFT(A20,3)&lt;&gt;"BP-","Key must start BP-",IF(OR(B20="",C20="",D20=""),"Process, sub-process and module needed",IF(AND(I20="Y",E20=""),"Supporting SYS-ID needed",IF(AND(OR(I20="N",L20="Outstanding"),M20=""),"Note the rationale / open question","OK")))))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 t="str">
        <f aca="false">IF(A21="","",IF(LEFT(A21,3)&lt;&gt;"BP-","Key must start BP-",IF(OR(B21="",C21="",D21=""),"Process, sub-process and module needed",IF(AND(I21="Y",E21=""),"Supporting SYS-ID needed",IF(AND(OR(I21="N",L21="Outstanding"),M21=""),"Note the rationale / open question","OK")))))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 t="str">
        <f aca="false">IF(A22="","",IF(LEFT(A22,3)&lt;&gt;"BP-","Key must start BP-",IF(OR(B22="",C22="",D22=""),"Process, sub-process and module needed",IF(AND(I22="Y",E22=""),"Supporting SYS-ID needed",IF(AND(OR(I22="N",L22="Outstanding"),M22=""),"Note the rationale / open question","OK")))))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 t="str">
        <f aca="false">IF(A23="","",IF(LEFT(A23,3)&lt;&gt;"BP-","Key must start BP-",IF(OR(B23="",C23="",D23=""),"Process, sub-process and module needed",IF(AND(I23="Y",E23=""),"Supporting SYS-ID needed",IF(AND(OR(I23="N",L23="Outstanding"),M23=""),"Note the rationale / open question","OK")))))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 t="str">
        <f aca="false">IF(A24="","",IF(LEFT(A24,3)&lt;&gt;"BP-","Key must start BP-",IF(OR(B24="",C24="",D24=""),"Process, sub-process and module needed",IF(AND(I24="Y",E24=""),"Supporting SYS-ID needed",IF(AND(OR(I24="N",L24="Outstanding"),M24=""),"Note the rationale / open question","OK")))))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 t="str">
        <f aca="false">IF(A25="","",IF(LEFT(A25,3)&lt;&gt;"BP-","Key must start BP-",IF(OR(B25="",C25="",D25=""),"Process, sub-process and module needed",IF(AND(I25="Y",E25=""),"Supporting SYS-ID needed",IF(AND(OR(I25="N",L25="Outstanding"),M25=""),"Note the rationale / open question","OK")))))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 t="str">
        <f aca="false">IF(A26="","",IF(LEFT(A26,3)&lt;&gt;"BP-","Key must start BP-",IF(OR(B26="",C26="",D26=""),"Process, sub-process and module needed",IF(AND(I26="Y",E26=""),"Supporting SYS-ID needed",IF(AND(OR(I26="N",L26="Outstanding"),M26=""),"Note the rationale / open question","OK")))))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 t="str">
        <f aca="false">IF(A27="","",IF(LEFT(A27,3)&lt;&gt;"BP-","Key must start BP-",IF(OR(B27="",C27="",D27=""),"Process, sub-process and module needed",IF(AND(I27="Y",E27=""),"Supporting SYS-ID needed",IF(AND(OR(I27="N",L27="Outstanding"),M27=""),"Note the rationale / open question","OK")))))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6" t="str">
        <f aca="false">IF(A28="","",IF(LEFT(A28,3)&lt;&gt;"BP-","Key must start BP-",IF(OR(B28="",C28="",D28=""),"Process, sub-process and module needed",IF(AND(I28="Y",E28=""),"Supporting SYS-ID needed",IF(AND(OR(I28="N",L28="Outstanding"),M28=""),"Note the rationale / open question","OK")))))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 t="str">
        <f aca="false">IF(A29="","",IF(LEFT(A29,3)&lt;&gt;"BP-","Key must start BP-",IF(OR(B29="",C29="",D29=""),"Process, sub-process and module needed",IF(AND(I29="Y",E29=""),"Supporting SYS-ID needed",IF(AND(OR(I29="N",L29="Outstanding"),M29=""),"Note the rationale / open question","OK")))))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 t="str">
        <f aca="false">IF(A30="","",IF(LEFT(A30,3)&lt;&gt;"BP-","Key must start BP-",IF(OR(B30="",C30="",D30=""),"Process, sub-process and module needed",IF(AND(I30="Y",E30=""),"Supporting SYS-ID needed",IF(AND(OR(I30="N",L30="Outstanding"),M30=""),"Note the rationale / open question","OK")))))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 t="str">
        <f aca="false">IF(A31="","",IF(LEFT(A31,3)&lt;&gt;"BP-","Key must start BP-",IF(OR(B31="",C31="",D31=""),"Process, sub-process and module needed",IF(AND(I31="Y",E31=""),"Supporting SYS-ID needed",IF(AND(OR(I31="N",L31="Outstanding"),M31=""),"Note the rationale / open question","OK")))))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 t="str">
        <f aca="false">IF(A32="","",IF(LEFT(A32,3)&lt;&gt;"BP-","Key must start BP-",IF(OR(B32="",C32="",D32=""),"Process, sub-process and module needed",IF(AND(I32="Y",E32=""),"Supporting SYS-ID needed",IF(AND(OR(I32="N",L32="Outstanding"),M32=""),"Note the rationale / open question","OK")))))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 t="str">
        <f aca="false">IF(A33="","",IF(LEFT(A33,3)&lt;&gt;"BP-","Key must start BP-",IF(OR(B33="",C33="",D33=""),"Process, sub-process and module needed",IF(AND(I33="Y",E33=""),"Supporting SYS-ID needed",IF(AND(OR(I33="N",L33="Outstanding"),M33=""),"Note the rationale / open question","OK")))))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 t="str">
        <f aca="false">IF(A34="","",IF(LEFT(A34,3)&lt;&gt;"BP-","Key must start BP-",IF(OR(B34="",C34="",D34=""),"Process, sub-process and module needed",IF(AND(I34="Y",E34=""),"Supporting SYS-ID needed",IF(AND(OR(I34="N",L34="Outstanding"),M34=""),"Note the rationale / open question","OK")))))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 t="str">
        <f aca="false">IF(A35="","",IF(LEFT(A35,3)&lt;&gt;"BP-","Key must start BP-",IF(OR(B35="",C35="",D35=""),"Process, sub-process and module needed",IF(AND(I35="Y",E35=""),"Supporting SYS-ID needed",IF(AND(OR(I35="N",L35="Outstanding"),M35=""),"Note the rationale / open question","OK")))))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 t="str">
        <f aca="false">IF(A36="","",IF(LEFT(A36,3)&lt;&gt;"BP-","Key must start BP-",IF(OR(B36="",C36="",D36=""),"Process, sub-process and module needed",IF(AND(I36="Y",E36=""),"Supporting SYS-ID needed",IF(AND(OR(I36="N",L36="Outstanding"),M36=""),"Note the rationale / open question","OK")))))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 t="str">
        <f aca="false">IF(A37="","",IF(LEFT(A37,3)&lt;&gt;"BP-","Key must start BP-",IF(OR(B37="",C37="",D37=""),"Process, sub-process and module needed",IF(AND(I37="Y",E37=""),"Supporting SYS-ID needed",IF(AND(OR(I37="N",L37="Outstanding"),M37=""),"Note the rationale / open question","OK")))))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 t="str">
        <f aca="false">IF(A38="","",IF(LEFT(A38,3)&lt;&gt;"BP-","Key must start BP-",IF(OR(B38="",C38="",D38=""),"Process, sub-process and module needed",IF(AND(I38="Y",E38=""),"Supporting SYS-ID needed",IF(AND(OR(I38="N",L38="Outstanding"),M38=""),"Note the rationale / open question","OK")))))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 t="str">
        <f aca="false">IF(A39="","",IF(LEFT(A39,3)&lt;&gt;"BP-","Key must start BP-",IF(OR(B39="",C39="",D39=""),"Process, sub-process and module needed",IF(AND(I39="Y",E39=""),"Supporting SYS-ID needed",IF(AND(OR(I39="N",L39="Outstanding"),M39=""),"Note the rationale / open question","OK")))))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 t="str">
        <f aca="false">IF(A40="","",IF(LEFT(A40,3)&lt;&gt;"BP-","Key must start BP-",IF(OR(B40="",C40="",D40=""),"Process, sub-process and module needed",IF(AND(I40="Y",E40=""),"Supporting SYS-ID needed",IF(AND(OR(I40="N",L40="Outstanding"),M40=""),"Note the rationale / open question","OK")))))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 t="str">
        <f aca="false">IF(A41="","",IF(LEFT(A41,3)&lt;&gt;"BP-","Key must start BP-",IF(OR(B41="",C41="",D41=""),"Process, sub-process and module needed",IF(AND(I41="Y",E41=""),"Supporting SYS-ID needed",IF(AND(OR(I41="N",L41="Outstanding"),M41=""),"Note the rationale / open question","OK")))))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 t="str">
        <f aca="false">IF(A42="","",IF(LEFT(A42,3)&lt;&gt;"BP-","Key must start BP-",IF(OR(B42="",C42="",D42=""),"Process, sub-process and module needed",IF(AND(I42="Y",E42=""),"Supporting SYS-ID needed",IF(AND(OR(I42="N",L42="Outstanding"),M42=""),"Note the rationale / open question","OK")))))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 t="str">
        <f aca="false">IF(A43="","",IF(LEFT(A43,3)&lt;&gt;"BP-","Key must start BP-",IF(OR(B43="",C43="",D43=""),"Process, sub-process and module needed",IF(AND(I43="Y",E43=""),"Supporting SYS-ID needed",IF(AND(OR(I43="N",L43="Outstanding"),M43=""),"Note the rationale / open question","OK")))))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 t="str">
        <f aca="false">IF(A44="","",IF(LEFT(A44,3)&lt;&gt;"BP-","Key must start BP-",IF(OR(B44="",C44="",D44=""),"Process, sub-process and module needed",IF(AND(I44="Y",E44=""),"Supporting SYS-ID needed",IF(AND(OR(I44="N",L44="Outstanding"),M44=""),"Note the rationale / open question","OK")))))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 t="str">
        <f aca="false">IF(A45="","",IF(LEFT(A45,3)&lt;&gt;"BP-","Key must start BP-",IF(OR(B45="",C45="",D45=""),"Process, sub-process and module needed",IF(AND(I45="Y",E45=""),"Supporting SYS-ID needed",IF(AND(OR(I45="N",L45="Outstanding"),M45=""),"Note the rationale / open question","OK")))))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 t="str">
        <f aca="false">IF(A46="","",IF(LEFT(A46,3)&lt;&gt;"BP-","Key must start BP-",IF(OR(B46="",C46="",D46=""),"Process, sub-process and module needed",IF(AND(I46="Y",E46=""),"Supporting SYS-ID needed",IF(AND(OR(I46="N",L46="Outstanding"),M46=""),"Note the rationale / open question","OK")))))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 t="str">
        <f aca="false">IF(A47="","",IF(LEFT(A47,3)&lt;&gt;"BP-","Key must start BP-",IF(OR(B47="",C47="",D47=""),"Process, sub-process and module needed",IF(AND(I47="Y",E47=""),"Supporting SYS-ID needed",IF(AND(OR(I47="N",L47="Outstanding"),M47=""),"Note the rationale / open question","OK")))))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 t="str">
        <f aca="false">IF(A48="","",IF(LEFT(A48,3)&lt;&gt;"BP-","Key must start BP-",IF(OR(B48="",C48="",D48=""),"Process, sub-process and module needed",IF(AND(I48="Y",E48=""),"Supporting SYS-ID needed",IF(AND(OR(I48="N",L48="Outstanding"),M48=""),"Note the rationale / open question","OK")))))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 t="str">
        <f aca="false">IF(A49="","",IF(LEFT(A49,3)&lt;&gt;"BP-","Key must start BP-",IF(OR(B49="",C49="",D49=""),"Process, sub-process and module needed",IF(AND(I49="Y",E49=""),"Supporting SYS-ID needed",IF(AND(OR(I49="N",L49="Outstanding"),M49=""),"Note the rationale / open question","OK")))))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 t="str">
        <f aca="false">IF(A50="","",IF(LEFT(A50,3)&lt;&gt;"BP-","Key must start BP-",IF(OR(B50="",C50="",D50=""),"Process, sub-process and module needed",IF(AND(I50="Y",E50=""),"Supporting SYS-ID needed",IF(AND(OR(I50="N",L50="Outstanding"),M50=""),"Note the rationale / open question","OK")))))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 t="str">
        <f aca="false">IF(A51="","",IF(LEFT(A51,3)&lt;&gt;"BP-","Key must start BP-",IF(OR(B51="",C51="",D51=""),"Process, sub-process and module needed",IF(AND(I51="Y",E51=""),"Supporting SYS-ID needed",IF(AND(OR(I51="N",L51="Outstanding"),M51=""),"Note the rationale / open question","OK")))))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 t="str">
        <f aca="false">IF(A52="","",IF(LEFT(A52,3)&lt;&gt;"BP-","Key must start BP-",IF(OR(B52="",C52="",D52=""),"Process, sub-process and module needed",IF(AND(I52="Y",E52=""),"Supporting SYS-ID needed",IF(AND(OR(I52="N",L52="Outstanding"),M52=""),"Note the rationale / open question","OK")))))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 t="str">
        <f aca="false">IF(A53="","",IF(LEFT(A53,3)&lt;&gt;"BP-","Key must start BP-",IF(OR(B53="",C53="",D53=""),"Process, sub-process and module needed",IF(AND(I53="Y",E53=""),"Supporting SYS-ID needed",IF(AND(OR(I53="N",L53="Outstanding"),M53=""),"Note the rationale / open question","OK")))))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 t="str">
        <f aca="false">IF(A54="","",IF(LEFT(A54,3)&lt;&gt;"BP-","Key must start BP-",IF(OR(B54="",C54="",D54=""),"Process, sub-process and module needed",IF(AND(I54="Y",E54=""),"Supporting SYS-ID needed",IF(AND(OR(I54="N",L54="Outstanding"),M54=""),"Note the rationale / open question","OK")))))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 t="str">
        <f aca="false">IF(A55="","",IF(LEFT(A55,3)&lt;&gt;"BP-","Key must start BP-",IF(OR(B55="",C55="",D55=""),"Process, sub-process and module needed",IF(AND(I55="Y",E55=""),"Supporting SYS-ID needed",IF(AND(OR(I55="N",L55="Outstanding"),M55=""),"Note the rationale / open question","OK")))))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 t="str">
        <f aca="false">IF(A56="","",IF(LEFT(A56,3)&lt;&gt;"BP-","Key must start BP-",IF(OR(B56="",C56="",D56=""),"Process, sub-process and module needed",IF(AND(I56="Y",E56=""),"Supporting SYS-ID needed",IF(AND(OR(I56="N",L56="Outstanding"),M56=""),"Note the rationale / open question","OK")))))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 t="str">
        <f aca="false">IF(A57="","",IF(LEFT(A57,3)&lt;&gt;"BP-","Key must start BP-",IF(OR(B57="",C57="",D57=""),"Process, sub-process and module needed",IF(AND(I57="Y",E57=""),"Supporting SYS-ID needed",IF(AND(OR(I57="N",L57="Outstanding"),M57=""),"Note the rationale / open question","OK")))))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6" t="str">
        <f aca="false">IF(A58="","",IF(LEFT(A58,3)&lt;&gt;"BP-","Key must start BP-",IF(OR(B58="",C58="",D58=""),"Process, sub-process and module needed",IF(AND(I58="Y",E58=""),"Supporting SYS-ID needed",IF(AND(OR(I58="N",L58="Outstanding"),M58=""),"Note the rationale / open question","OK")))))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 t="str">
        <f aca="false">IF(A59="","",IF(LEFT(A59,3)&lt;&gt;"BP-","Key must start BP-",IF(OR(B59="",C59="",D59=""),"Process, sub-process and module needed",IF(AND(I59="Y",E59=""),"Supporting SYS-ID needed",IF(AND(OR(I59="N",L59="Outstanding"),M59=""),"Note the rationale / open question","OK")))))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6" t="str">
        <f aca="false">IF(A60="","",IF(LEFT(A60,3)&lt;&gt;"BP-","Key must start BP-",IF(OR(B60="",C60="",D60=""),"Process, sub-process and module needed",IF(AND(I60="Y",E60=""),"Supporting SYS-ID needed",IF(AND(OR(I60="N",L60="Outstanding"),M60=""),"Note the rationale / open question","OK")))))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 t="str">
        <f aca="false">IF(A61="","",IF(LEFT(A61,3)&lt;&gt;"BP-","Key must start BP-",IF(OR(B61="",C61="",D61=""),"Process, sub-process and module needed",IF(AND(I61="Y",E61=""),"Supporting SYS-ID needed",IF(AND(OR(I61="N",L61="Outstanding"),M61=""),"Note the rationale / open question","OK")))))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6" t="str">
        <f aca="false">IF(A62="","",IF(LEFT(A62,3)&lt;&gt;"BP-","Key must start BP-",IF(OR(B62="",C62="",D62=""),"Process, sub-process and module needed",IF(AND(I62="Y",E62=""),"Supporting SYS-ID needed",IF(AND(OR(I62="N",L62="Outstanding"),M62=""),"Note the rationale / open question","OK")))))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 t="str">
        <f aca="false">IF(A63="","",IF(LEFT(A63,3)&lt;&gt;"BP-","Key must start BP-",IF(OR(B63="",C63="",D63=""),"Process, sub-process and module needed",IF(AND(I63="Y",E63=""),"Supporting SYS-ID needed",IF(AND(OR(I63="N",L63="Outstanding"),M63=""),"Note the rationale / open question","OK")))))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 t="str">
        <f aca="false">IF(A64="","",IF(LEFT(A64,3)&lt;&gt;"BP-","Key must start BP-",IF(OR(B64="",C64="",D64=""),"Process, sub-process and module needed",IF(AND(I64="Y",E64=""),"Supporting SYS-ID needed",IF(AND(OR(I64="N",L64="Outstanding"),M64=""),"Note the rationale / open question","OK")))))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6" t="str">
        <f aca="false">IF(A65="","",IF(LEFT(A65,3)&lt;&gt;"BP-","Key must start BP-",IF(OR(B65="",C65="",D65=""),"Process, sub-process and module needed",IF(AND(I65="Y",E65=""),"Supporting SYS-ID needed",IF(AND(OR(I65="N",L65="Outstanding"),M65=""),"Note the rationale / open question","OK")))))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6" t="str">
        <f aca="false">IF(A66="","",IF(LEFT(A66,3)&lt;&gt;"BP-","Key must start BP-",IF(OR(B66="",C66="",D66=""),"Process, sub-process and module needed",IF(AND(I66="Y",E66=""),"Supporting SYS-ID needed",IF(AND(OR(I66="N",L66="Outstanding"),M66=""),"Note the rationale / open question","OK")))))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 t="str">
        <f aca="false">IF(A67="","",IF(LEFT(A67,3)&lt;&gt;"BP-","Key must start BP-",IF(OR(B67="",C67="",D67=""),"Process, sub-process and module needed",IF(AND(I67="Y",E67=""),"Supporting SYS-ID needed",IF(AND(OR(I67="N",L67="Outstanding"),M67=""),"Note the rationale / open question","OK")))))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 t="str">
        <f aca="false">IF(A68="","",IF(LEFT(A68,3)&lt;&gt;"BP-","Key must start BP-",IF(OR(B68="",C68="",D68=""),"Process, sub-process and module needed",IF(AND(I68="Y",E68=""),"Supporting SYS-ID needed",IF(AND(OR(I68="N",L68="Outstanding"),M68=""),"Note the rationale / open question","OK")))))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6" t="str">
        <f aca="false">IF(A69="","",IF(LEFT(A69,3)&lt;&gt;"BP-","Key must start BP-",IF(OR(B69="",C69="",D69=""),"Process, sub-process and module needed",IF(AND(I69="Y",E69=""),"Supporting SYS-ID needed",IF(AND(OR(I69="N",L69="Outstanding"),M69=""),"Note the rationale / open question","OK")))))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 t="str">
        <f aca="false">IF(A70="","",IF(LEFT(A70,3)&lt;&gt;"BP-","Key must start BP-",IF(OR(B70="",C70="",D70=""),"Process, sub-process and module needed",IF(AND(I70="Y",E70=""),"Supporting SYS-ID needed",IF(AND(OR(I70="N",L70="Outstanding"),M70=""),"Note the rationale / open question","OK")))))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 t="str">
        <f aca="false">IF(A71="","",IF(LEFT(A71,3)&lt;&gt;"BP-","Key must start BP-",IF(OR(B71="",C71="",D71=""),"Process, sub-process and module needed",IF(AND(I71="Y",E71=""),"Supporting SYS-ID needed",IF(AND(OR(I71="N",L71="Outstanding"),M71=""),"Note the rationale / open question","OK")))))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6" t="str">
        <f aca="false">IF(A72="","",IF(LEFT(A72,3)&lt;&gt;"BP-","Key must start BP-",IF(OR(B72="",C72="",D72=""),"Process, sub-process and module needed",IF(AND(I72="Y",E72=""),"Supporting SYS-ID needed",IF(AND(OR(I72="N",L72="Outstanding"),M72=""),"Note the rationale / open question","OK")))))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 t="str">
        <f aca="false">IF(A73="","",IF(LEFT(A73,3)&lt;&gt;"BP-","Key must start BP-",IF(OR(B73="",C73="",D73=""),"Process, sub-process and module needed",IF(AND(I73="Y",E73=""),"Supporting SYS-ID needed",IF(AND(OR(I73="N",L73="Outstanding"),M73=""),"Note the rationale / open question","OK")))))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6" t="str">
        <f aca="false">IF(A74="","",IF(LEFT(A74,3)&lt;&gt;"BP-","Key must start BP-",IF(OR(B74="",C74="",D74=""),"Process, sub-process and module needed",IF(AND(I74="Y",E74=""),"Supporting SYS-ID needed",IF(AND(OR(I74="N",L74="Outstanding"),M74=""),"Note the rationale / open question","OK")))))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6" t="str">
        <f aca="false">IF(A75="","",IF(LEFT(A75,3)&lt;&gt;"BP-","Key must start BP-",IF(OR(B75="",C75="",D75=""),"Process, sub-process and module needed",IF(AND(I75="Y",E75=""),"Supporting SYS-ID needed",IF(AND(OR(I75="N",L75="Outstanding"),M75=""),"Note the rationale / open question","OK")))))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6" t="str">
        <f aca="false">IF(A76="","",IF(LEFT(A76,3)&lt;&gt;"BP-","Key must start BP-",IF(OR(B76="",C76="",D76=""),"Process, sub-process and module needed",IF(AND(I76="Y",E76=""),"Supporting SYS-ID needed",IF(AND(OR(I76="N",L76="Outstanding"),M76=""),"Note the rationale / open question","OK")))))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 t="str">
        <f aca="false">IF(A77="","",IF(LEFT(A77,3)&lt;&gt;"BP-","Key must start BP-",IF(OR(B77="",C77="",D77=""),"Process, sub-process and module needed",IF(AND(I77="Y",E77=""),"Supporting SYS-ID needed",IF(AND(OR(I77="N",L77="Outstanding"),M77=""),"Note the rationale / open question","OK")))))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6" t="str">
        <f aca="false">IF(A78="","",IF(LEFT(A78,3)&lt;&gt;"BP-","Key must start BP-",IF(OR(B78="",C78="",D78=""),"Process, sub-process and module needed",IF(AND(I78="Y",E78=""),"Supporting SYS-ID needed",IF(AND(OR(I78="N",L78="Outstanding"),M78=""),"Note the rationale / open question","OK")))))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6" t="str">
        <f aca="false">IF(A79="","",IF(LEFT(A79,3)&lt;&gt;"BP-","Key must start BP-",IF(OR(B79="",C79="",D79=""),"Process, sub-process and module needed",IF(AND(I79="Y",E79=""),"Supporting SYS-ID needed",IF(AND(OR(I79="N",L79="Outstanding"),M79=""),"Note the rationale / open question","OK")))))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6" t="str">
        <f aca="false">IF(A80="","",IF(LEFT(A80,3)&lt;&gt;"BP-","Key must start BP-",IF(OR(B80="",C80="",D80=""),"Process, sub-process and module needed",IF(AND(I80="Y",E80=""),"Supporting SYS-ID needed",IF(AND(OR(I80="N",L80="Outstanding"),M80=""),"Note the rationale / open question","OK")))))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6" t="str">
        <f aca="false">IF(A81="","",IF(LEFT(A81,3)&lt;&gt;"BP-","Key must start BP-",IF(OR(B81="",C81="",D81=""),"Process, sub-process and module needed",IF(AND(I81="Y",E81=""),"Supporting SYS-ID needed",IF(AND(OR(I81="N",L81="Outstanding"),M81=""),"Note the rationale / open question","OK")))))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6" t="str">
        <f aca="false">IF(A82="","",IF(LEFT(A82,3)&lt;&gt;"BP-","Key must start BP-",IF(OR(B82="",C82="",D82=""),"Process, sub-process and module needed",IF(AND(I82="Y",E82=""),"Supporting SYS-ID needed",IF(AND(OR(I82="N",L82="Outstanding"),M82=""),"Note the rationale / open question","OK")))))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 t="str">
        <f aca="false">IF(A83="","",IF(LEFT(A83,3)&lt;&gt;"BP-","Key must start BP-",IF(OR(B83="",C83="",D83=""),"Process, sub-process and module needed",IF(AND(I83="Y",E83=""),"Supporting SYS-ID needed",IF(AND(OR(I83="N",L83="Outstanding"),M83=""),"Note the rationale / open question","OK")))))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6" t="str">
        <f aca="false">IF(A84="","",IF(LEFT(A84,3)&lt;&gt;"BP-","Key must start BP-",IF(OR(B84="",C84="",D84=""),"Process, sub-process and module needed",IF(AND(I84="Y",E84=""),"Supporting SYS-ID needed",IF(AND(OR(I84="N",L84="Outstanding"),M84=""),"Note the rationale / open question","OK")))))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6" t="str">
        <f aca="false">IF(A85="","",IF(LEFT(A85,3)&lt;&gt;"BP-","Key must start BP-",IF(OR(B85="",C85="",D85=""),"Process, sub-process and module needed",IF(AND(I85="Y",E85=""),"Supporting SYS-ID needed",IF(AND(OR(I85="N",L85="Outstanding"),M85=""),"Note the rationale / open question","OK")))))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 t="str">
        <f aca="false">IF(A86="","",IF(LEFT(A86,3)&lt;&gt;"BP-","Key must start BP-",IF(OR(B86="",C86="",D86=""),"Process, sub-process and module needed",IF(AND(I86="Y",E86=""),"Supporting SYS-ID needed",IF(AND(OR(I86="N",L86="Outstanding"),M86=""),"Note the rationale / open question","OK")))))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6" t="str">
        <f aca="false">IF(A87="","",IF(LEFT(A87,3)&lt;&gt;"BP-","Key must start BP-",IF(OR(B87="",C87="",D87=""),"Process, sub-process and module needed",IF(AND(I87="Y",E87=""),"Supporting SYS-ID needed",IF(AND(OR(I87="N",L87="Outstanding"),M87=""),"Note the rationale / open question","OK")))))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6" t="str">
        <f aca="false">IF(A88="","",IF(LEFT(A88,3)&lt;&gt;"BP-","Key must start BP-",IF(OR(B88="",C88="",D88=""),"Process, sub-process and module needed",IF(AND(I88="Y",E88=""),"Supporting SYS-ID needed",IF(AND(OR(I88="N",L88="Outstanding"),M88=""),"Note the rationale / open question","OK")))))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6" t="str">
        <f aca="false">IF(A89="","",IF(LEFT(A89,3)&lt;&gt;"BP-","Key must start BP-",IF(OR(B89="",C89="",D89=""),"Process, sub-process and module needed",IF(AND(I89="Y",E89=""),"Supporting SYS-ID needed",IF(AND(OR(I89="N",L89="Outstanding"),M89=""),"Note the rationale / open question","OK")))))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 t="str">
        <f aca="false">IF(A90="","",IF(LEFT(A90,3)&lt;&gt;"BP-","Key must start BP-",IF(OR(B90="",C90="",D90=""),"Process, sub-process and module needed",IF(AND(I90="Y",E90=""),"Supporting SYS-ID needed",IF(AND(OR(I90="N",L90="Outstanding"),M90=""),"Note the rationale / open question","OK")))))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6" t="str">
        <f aca="false">IF(A91="","",IF(LEFT(A91,3)&lt;&gt;"BP-","Key must start BP-",IF(OR(B91="",C91="",D91=""),"Process, sub-process and module needed",IF(AND(I91="Y",E91=""),"Supporting SYS-ID needed",IF(AND(OR(I91="N",L91="Outstanding"),M91=""),"Note the rationale / open question","OK")))))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 t="str">
        <f aca="false">IF(A92="","",IF(LEFT(A92,3)&lt;&gt;"BP-","Key must start BP-",IF(OR(B92="",C92="",D92=""),"Process, sub-process and module needed",IF(AND(I92="Y",E92=""),"Supporting SYS-ID needed",IF(AND(OR(I92="N",L92="Outstanding"),M92=""),"Note the rationale / open question","OK")))))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 t="str">
        <f aca="false">IF(A93="","",IF(LEFT(A93,3)&lt;&gt;"BP-","Key must start BP-",IF(OR(B93="",C93="",D93=""),"Process, sub-process and module needed",IF(AND(I93="Y",E93=""),"Supporting SYS-ID needed",IF(AND(OR(I93="N",L93="Outstanding"),M93=""),"Note the rationale / open question","OK")))))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6" t="str">
        <f aca="false">IF(A94="","",IF(LEFT(A94,3)&lt;&gt;"BP-","Key must start BP-",IF(OR(B94="",C94="",D94=""),"Process, sub-process and module needed",IF(AND(I94="Y",E94=""),"Supporting SYS-ID needed",IF(AND(OR(I94="N",L94="Outstanding"),M94=""),"Note the rationale / open question","OK")))))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6" t="str">
        <f aca="false">IF(A95="","",IF(LEFT(A95,3)&lt;&gt;"BP-","Key must start BP-",IF(OR(B95="",C95="",D95=""),"Process, sub-process and module needed",IF(AND(I95="Y",E95=""),"Supporting SYS-ID needed",IF(AND(OR(I95="N",L95="Outstanding"),M95=""),"Note the rationale / open question","OK")))))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 t="str">
        <f aca="false">IF(A96="","",IF(LEFT(A96,3)&lt;&gt;"BP-","Key must start BP-",IF(OR(B96="",C96="",D96=""),"Process, sub-process and module needed",IF(AND(I96="Y",E96=""),"Supporting SYS-ID needed",IF(AND(OR(I96="N",L96="Outstanding"),M96=""),"Note the rationale / open question","OK")))))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6" t="str">
        <f aca="false">IF(A97="","",IF(LEFT(A97,3)&lt;&gt;"BP-","Key must start BP-",IF(OR(B97="",C97="",D97=""),"Process, sub-process and module needed",IF(AND(I97="Y",E97=""),"Supporting SYS-ID needed",IF(AND(OR(I97="N",L97="Outstanding"),M97=""),"Note the rationale / open question","OK")))))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6" t="str">
        <f aca="false">IF(A98="","",IF(LEFT(A98,3)&lt;&gt;"BP-","Key must start BP-",IF(OR(B98="",C98="",D98=""),"Process, sub-process and module needed",IF(AND(I98="Y",E98=""),"Supporting SYS-ID needed",IF(AND(OR(I98="N",L98="Outstanding"),M98=""),"Note the rationale / open question","OK")))))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6" t="str">
        <f aca="false">IF(A99="","",IF(LEFT(A99,3)&lt;&gt;"BP-","Key must start BP-",IF(OR(B99="",C99="",D99=""),"Process, sub-process and module needed",IF(AND(I99="Y",E99=""),"Supporting SYS-ID needed",IF(AND(OR(I99="N",L99="Outstanding"),M99=""),"Note the rationale / open question","OK")))))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6" t="str">
        <f aca="false">IF(A100="","",IF(LEFT(A100,3)&lt;&gt;"BP-","Key must start BP-",IF(OR(B100="",C100="",D100=""),"Process, sub-process and module needed",IF(AND(I100="Y",E100=""),"Supporting SYS-ID needed",IF(AND(OR(I100="N",L100="Outstanding"),M100=""),"Note the rationale / open question","OK")))))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6" t="str">
        <f aca="false">IF(A101="","",IF(LEFT(A101,3)&lt;&gt;"BP-","Key must start BP-",IF(OR(B101="",C101="",D101=""),"Process, sub-process and module needed",IF(AND(I101="Y",E101=""),"Supporting SYS-ID needed",IF(AND(OR(I101="N",L101="Outstanding"),M101=""),"Note the rationale / open question","OK")))))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 t="str">
        <f aca="false">IF(A102="","",IF(LEFT(A102,3)&lt;&gt;"BP-","Key must start BP-",IF(OR(B102="",C102="",D102=""),"Process, sub-process and module needed",IF(AND(I102="Y",E102=""),"Supporting SYS-ID needed",IF(AND(OR(I102="N",L102="Outstanding"),M102=""),"Note the rationale / open question","OK")))))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 t="str">
        <f aca="false">IF(A103="","",IF(LEFT(A103,3)&lt;&gt;"BP-","Key must start BP-",IF(OR(B103="",C103="",D103=""),"Process, sub-process and module needed",IF(AND(I103="Y",E103=""),"Supporting SYS-ID needed",IF(AND(OR(I103="N",L103="Outstanding"),M103=""),"Note the rationale / open question","OK")))))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 t="str">
        <f aca="false">IF(A104="","",IF(LEFT(A104,3)&lt;&gt;"BP-","Key must start BP-",IF(OR(B104="",C104="",D104=""),"Process, sub-process and module needed",IF(AND(I104="Y",E104=""),"Supporting SYS-ID needed",IF(AND(OR(I104="N",L104="Outstanding"),M104=""),"Note the rationale / open question","OK")))))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6" t="str">
        <f aca="false">IF(A105="","",IF(LEFT(A105,3)&lt;&gt;"BP-","Key must start BP-",IF(OR(B105="",C105="",D105=""),"Process, sub-process and module needed",IF(AND(I105="Y",E105=""),"Supporting SYS-ID needed",IF(AND(OR(I105="N",L105="Outstanding"),M105=""),"Note the rationale / open question","OK")))))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 t="str">
        <f aca="false">IF(A106="","",IF(LEFT(A106,3)&lt;&gt;"BP-","Key must start BP-",IF(OR(B106="",C106="",D106=""),"Process, sub-process and module needed",IF(AND(I106="Y",E106=""),"Supporting SYS-ID needed",IF(AND(OR(I106="N",L106="Outstanding"),M106=""),"Note the rationale / open question","OK")))))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 t="str">
        <f aca="false">IF(A107="","",IF(LEFT(A107,3)&lt;&gt;"BP-","Key must start BP-",IF(OR(B107="",C107="",D107=""),"Process, sub-process and module needed",IF(AND(I107="Y",E107=""),"Supporting SYS-ID needed",IF(AND(OR(I107="N",L107="Outstanding"),M107=""),"Note the rationale / open question","OK")))))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6" t="str">
        <f aca="false">IF(A108="","",IF(LEFT(A108,3)&lt;&gt;"BP-","Key must start BP-",IF(OR(B108="",C108="",D108=""),"Process, sub-process and module needed",IF(AND(I108="Y",E108=""),"Supporting SYS-ID needed",IF(AND(OR(I108="N",L108="Outstanding"),M108=""),"Note the rationale / open question","OK")))))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6" t="str">
        <f aca="false">IF(A109="","",IF(LEFT(A109,3)&lt;&gt;"BP-","Key must start BP-",IF(OR(B109="",C109="",D109=""),"Process, sub-process and module needed",IF(AND(I109="Y",E109=""),"Supporting SYS-ID needed",IF(AND(OR(I109="N",L109="Outstanding"),M109=""),"Note the rationale / open question","OK")))))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 t="str">
        <f aca="false">IF(A110="","",IF(LEFT(A110,3)&lt;&gt;"BP-","Key must start BP-",IF(OR(B110="",C110="",D110=""),"Process, sub-process and module needed",IF(AND(I110="Y",E110=""),"Supporting SYS-ID needed",IF(AND(OR(I110="N",L110="Outstanding"),M110=""),"Note the rationale / open question","OK")))))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6" t="str">
        <f aca="false">IF(A111="","",IF(LEFT(A111,3)&lt;&gt;"BP-","Key must start BP-",IF(OR(B111="",C111="",D111=""),"Process, sub-process and module needed",IF(AND(I111="Y",E111=""),"Supporting SYS-ID needed",IF(AND(OR(I111="N",L111="Outstanding"),M111=""),"Note the rationale / open question","OK")))))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6" t="str">
        <f aca="false">IF(A112="","",IF(LEFT(A112,3)&lt;&gt;"BP-","Key must start BP-",IF(OR(B112="",C112="",D112=""),"Process, sub-process and module needed",IF(AND(I112="Y",E112=""),"Supporting SYS-ID needed",IF(AND(OR(I112="N",L112="Outstanding"),M112=""),"Note the rationale / open question","OK")))))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 t="str">
        <f aca="false">IF(A113="","",IF(LEFT(A113,3)&lt;&gt;"BP-","Key must start BP-",IF(OR(B113="",C113="",D113=""),"Process, sub-process and module needed",IF(AND(I113="Y",E113=""),"Supporting SYS-ID needed",IF(AND(OR(I113="N",L113="Outstanding"),M113=""),"Note the rationale / open question","OK")))))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6" t="str">
        <f aca="false">IF(A114="","",IF(LEFT(A114,3)&lt;&gt;"BP-","Key must start BP-",IF(OR(B114="",C114="",D114=""),"Process, sub-process and module needed",IF(AND(I114="Y",E114=""),"Supporting SYS-ID needed",IF(AND(OR(I114="N",L114="Outstanding"),M114=""),"Note the rationale / open question","OK")))))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 t="str">
        <f aca="false">IF(A115="","",IF(LEFT(A115,3)&lt;&gt;"BP-","Key must start BP-",IF(OR(B115="",C115="",D115=""),"Process, sub-process and module needed",IF(AND(I115="Y",E115=""),"Supporting SYS-ID needed",IF(AND(OR(I115="N",L115="Outstanding"),M115=""),"Note the rationale / open question","OK")))))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 t="str">
        <f aca="false">IF(A116="","",IF(LEFT(A116,3)&lt;&gt;"BP-","Key must start BP-",IF(OR(B116="",C116="",D116=""),"Process, sub-process and module needed",IF(AND(I116="Y",E116=""),"Supporting SYS-ID needed",IF(AND(OR(I116="N",L116="Outstanding"),M116=""),"Note the rationale / open question","OK")))))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6" t="str">
        <f aca="false">IF(A117="","",IF(LEFT(A117,3)&lt;&gt;"BP-","Key must start BP-",IF(OR(B117="",C117="",D117=""),"Process, sub-process and module needed",IF(AND(I117="Y",E117=""),"Supporting SYS-ID needed",IF(AND(OR(I117="N",L117="Outstanding"),M117=""),"Note the rationale / open question","OK")))))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6" t="str">
        <f aca="false">IF(A118="","",IF(LEFT(A118,3)&lt;&gt;"BP-","Key must start BP-",IF(OR(B118="",C118="",D118=""),"Process, sub-process and module needed",IF(AND(I118="Y",E118=""),"Supporting SYS-ID needed",IF(AND(OR(I118="N",L118="Outstanding"),M118=""),"Note the rationale / open question","OK")))))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6" t="str">
        <f aca="false">IF(A119="","",IF(LEFT(A119,3)&lt;&gt;"BP-","Key must start BP-",IF(OR(B119="",C119="",D119=""),"Process, sub-process and module needed",IF(AND(I119="Y",E119=""),"Supporting SYS-ID needed",IF(AND(OR(I119="N",L119="Outstanding"),M119=""),"Note the rationale / open question","OK")))))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6" t="str">
        <f aca="false">IF(A120="","",IF(LEFT(A120,3)&lt;&gt;"BP-","Key must start BP-",IF(OR(B120="",C120="",D120=""),"Process, sub-process and module needed",IF(AND(I120="Y",E120=""),"Supporting SYS-ID needed",IF(AND(OR(I120="N",L120="Outstanding"),M120=""),"Note the rationale / open question","OK")))))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6" t="str">
        <f aca="false">IF(A121="","",IF(LEFT(A121,3)&lt;&gt;"BP-","Key must start BP-",IF(OR(B121="",C121="",D121=""),"Process, sub-process and module needed",IF(AND(I121="Y",E121=""),"Supporting SYS-ID needed",IF(AND(OR(I121="N",L121="Outstanding"),M121=""),"Note the rationale / open question","OK")))))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6" t="str">
        <f aca="false">IF(A122="","",IF(LEFT(A122,3)&lt;&gt;"BP-","Key must start BP-",IF(OR(B122="",C122="",D122=""),"Process, sub-process and module needed",IF(AND(I122="Y",E122=""),"Supporting SYS-ID needed",IF(AND(OR(I122="N",L122="Outstanding"),M122=""),"Note the rationale / open question","OK")))))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6" t="str">
        <f aca="false">IF(A123="","",IF(LEFT(A123,3)&lt;&gt;"BP-","Key must start BP-",IF(OR(B123="",C123="",D123=""),"Process, sub-process and module needed",IF(AND(I123="Y",E123=""),"Supporting SYS-ID needed",IF(AND(OR(I123="N",L123="Outstanding"),M123=""),"Note the rationale / open question","OK")))))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6" t="str">
        <f aca="false">IF(A124="","",IF(LEFT(A124,3)&lt;&gt;"BP-","Key must start BP-",IF(OR(B124="",C124="",D124=""),"Process, sub-process and module needed",IF(AND(I124="Y",E124=""),"Supporting SYS-ID needed",IF(AND(OR(I124="N",L124="Outstanding"),M124=""),"Note the rationale / open question","OK")))))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6" t="str">
        <f aca="false">IF(A125="","",IF(LEFT(A125,3)&lt;&gt;"BP-","Key must start BP-",IF(OR(B125="",C125="",D125=""),"Process, sub-process and module needed",IF(AND(I125="Y",E125=""),"Supporting SYS-ID needed",IF(AND(OR(I125="N",L125="Outstanding"),M125=""),"Note the rationale / open question","OK")))))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 t="str">
        <f aca="false">IF(A126="","",IF(LEFT(A126,3)&lt;&gt;"BP-","Key must start BP-",IF(OR(B126="",C126="",D126=""),"Process, sub-process and module needed",IF(AND(I126="Y",E126=""),"Supporting SYS-ID needed",IF(AND(OR(I126="N",L126="Outstanding"),M126=""),"Note the rationale / open question","OK")))))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6" t="str">
        <f aca="false">IF(A127="","",IF(LEFT(A127,3)&lt;&gt;"BP-","Key must start BP-",IF(OR(B127="",C127="",D127=""),"Process, sub-process and module needed",IF(AND(I127="Y",E127=""),"Supporting SYS-ID needed",IF(AND(OR(I127="N",L127="Outstanding"),M127=""),"Note the rationale / open question","OK")))))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6" t="str">
        <f aca="false">IF(A128="","",IF(LEFT(A128,3)&lt;&gt;"BP-","Key must start BP-",IF(OR(B128="",C128="",D128=""),"Process, sub-process and module needed",IF(AND(I128="Y",E128=""),"Supporting SYS-ID needed",IF(AND(OR(I128="N",L128="Outstanding"),M128=""),"Note the rationale / open question","OK")))))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 t="str">
        <f aca="false">IF(A129="","",IF(LEFT(A129,3)&lt;&gt;"BP-","Key must start BP-",IF(OR(B129="",C129="",D129=""),"Process, sub-process and module needed",IF(AND(I129="Y",E129=""),"Supporting SYS-ID needed",IF(AND(OR(I129="N",L129="Outstanding"),M129=""),"Note the rationale / open question","OK")))))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6" t="str">
        <f aca="false">IF(A130="","",IF(LEFT(A130,3)&lt;&gt;"BP-","Key must start BP-",IF(OR(B130="",C130="",D130=""),"Process, sub-process and module needed",IF(AND(I130="Y",E130=""),"Supporting SYS-ID needed",IF(AND(OR(I130="N",L130="Outstanding"),M130=""),"Note the rationale / open question","OK")))))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6" t="str">
        <f aca="false">IF(A131="","",IF(LEFT(A131,3)&lt;&gt;"BP-","Key must start BP-",IF(OR(B131="",C131="",D131=""),"Process, sub-process and module needed",IF(AND(I131="Y",E131=""),"Supporting SYS-ID needed",IF(AND(OR(I131="N",L131="Outstanding"),M131=""),"Note the rationale / open question","OK")))))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 t="str">
        <f aca="false">IF(A132="","",IF(LEFT(A132,3)&lt;&gt;"BP-","Key must start BP-",IF(OR(B132="",C132="",D132=""),"Process, sub-process and module needed",IF(AND(I132="Y",E132=""),"Supporting SYS-ID needed",IF(AND(OR(I132="N",L132="Outstanding"),M132=""),"Note the rationale / open question","OK")))))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6" t="str">
        <f aca="false">IF(A133="","",IF(LEFT(A133,3)&lt;&gt;"BP-","Key must start BP-",IF(OR(B133="",C133="",D133=""),"Process, sub-process and module needed",IF(AND(I133="Y",E133=""),"Supporting SYS-ID needed",IF(AND(OR(I133="N",L133="Outstanding"),M133=""),"Note the rationale / open question","OK")))))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6" t="str">
        <f aca="false">IF(A134="","",IF(LEFT(A134,3)&lt;&gt;"BP-","Key must start BP-",IF(OR(B134="",C134="",D134=""),"Process, sub-process and module needed",IF(AND(I134="Y",E134=""),"Supporting SYS-ID needed",IF(AND(OR(I134="N",L134="Outstanding"),M134=""),"Note the rationale / open question","OK")))))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 t="str">
        <f aca="false">IF(A135="","",IF(LEFT(A135,3)&lt;&gt;"BP-","Key must start BP-",IF(OR(B135="",C135="",D135=""),"Process, sub-process and module needed",IF(AND(I135="Y",E135=""),"Supporting SYS-ID needed",IF(AND(OR(I135="N",L135="Outstanding"),M135=""),"Note the rationale / open question","OK")))))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6" t="str">
        <f aca="false">IF(A136="","",IF(LEFT(A136,3)&lt;&gt;"BP-","Key must start BP-",IF(OR(B136="",C136="",D136=""),"Process, sub-process and module needed",IF(AND(I136="Y",E136=""),"Supporting SYS-ID needed",IF(AND(OR(I136="N",L136="Outstanding"),M136=""),"Note the rationale / open question","OK")))))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6" t="str">
        <f aca="false">IF(A137="","",IF(LEFT(A137,3)&lt;&gt;"BP-","Key must start BP-",IF(OR(B137="",C137="",D137=""),"Process, sub-process and module needed",IF(AND(I137="Y",E137=""),"Supporting SYS-ID needed",IF(AND(OR(I137="N",L137="Outstanding"),M137=""),"Note the rationale / open question","OK")))))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6" t="str">
        <f aca="false">IF(A138="","",IF(LEFT(A138,3)&lt;&gt;"BP-","Key must start BP-",IF(OR(B138="",C138="",D138=""),"Process, sub-process and module needed",IF(AND(I138="Y",E138=""),"Supporting SYS-ID needed",IF(AND(OR(I138="N",L138="Outstanding"),M138=""),"Note the rationale / open question","OK")))))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6" t="str">
        <f aca="false">IF(A139="","",IF(LEFT(A139,3)&lt;&gt;"BP-","Key must start BP-",IF(OR(B139="",C139="",D139=""),"Process, sub-process and module needed",IF(AND(I139="Y",E139=""),"Supporting SYS-ID needed",IF(AND(OR(I139="N",L139="Outstanding"),M139=""),"Note the rationale / open question","OK")))))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6" t="str">
        <f aca="false">IF(A140="","",IF(LEFT(A140,3)&lt;&gt;"BP-","Key must start BP-",IF(OR(B140="",C140="",D140=""),"Process, sub-process and module needed",IF(AND(I140="Y",E140=""),"Supporting SYS-ID needed",IF(AND(OR(I140="N",L140="Outstanding"),M140=""),"Note the rationale / open question","OK")))))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6" t="str">
        <f aca="false">IF(A141="","",IF(LEFT(A141,3)&lt;&gt;"BP-","Key must start BP-",IF(OR(B141="",C141="",D141=""),"Process, sub-process and module needed",IF(AND(I141="Y",E141=""),"Supporting SYS-ID needed",IF(AND(OR(I141="N",L141="Outstanding"),M141=""),"Note the rationale / open question","OK")))))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6" t="str">
        <f aca="false">IF(A142="","",IF(LEFT(A142,3)&lt;&gt;"BP-","Key must start BP-",IF(OR(B142="",C142="",D142=""),"Process, sub-process and module needed",IF(AND(I142="Y",E142=""),"Supporting SYS-ID needed",IF(AND(OR(I142="N",L142="Outstanding"),M142=""),"Note the rationale / open question","OK")))))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6" t="str">
        <f aca="false">IF(A143="","",IF(LEFT(A143,3)&lt;&gt;"BP-","Key must start BP-",IF(OR(B143="",C143="",D143=""),"Process, sub-process and module needed",IF(AND(I143="Y",E143=""),"Supporting SYS-ID needed",IF(AND(OR(I143="N",L143="Outstanding"),M143=""),"Note the rationale / open question","OK")))))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6" t="str">
        <f aca="false">IF(A144="","",IF(LEFT(A144,3)&lt;&gt;"BP-","Key must start BP-",IF(OR(B144="",C144="",D144=""),"Process, sub-process and module needed",IF(AND(I144="Y",E144=""),"Supporting SYS-ID needed",IF(AND(OR(I144="N",L144="Outstanding"),M144=""),"Note the rationale / open question","OK")))))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6" t="str">
        <f aca="false">IF(A145="","",IF(LEFT(A145,3)&lt;&gt;"BP-","Key must start BP-",IF(OR(B145="",C145="",D145=""),"Process, sub-process and module needed",IF(AND(I145="Y",E145=""),"Supporting SYS-ID needed",IF(AND(OR(I145="N",L145="Outstanding"),M145=""),"Note the rationale / open question","OK")))))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6" t="str">
        <f aca="false">IF(A146="","",IF(LEFT(A146,3)&lt;&gt;"BP-","Key must start BP-",IF(OR(B146="",C146="",D146=""),"Process, sub-process and module needed",IF(AND(I146="Y",E146=""),"Supporting SYS-ID needed",IF(AND(OR(I146="N",L146="Outstanding"),M146=""),"Note the rationale / open question","OK")))))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6" t="str">
        <f aca="false">IF(A147="","",IF(LEFT(A147,3)&lt;&gt;"BP-","Key must start BP-",IF(OR(B147="",C147="",D147=""),"Process, sub-process and module needed",IF(AND(I147="Y",E147=""),"Supporting SYS-ID needed",IF(AND(OR(I147="N",L147="Outstanding"),M147=""),"Note the rationale / open question","OK")))))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6" t="str">
        <f aca="false">IF(A148="","",IF(LEFT(A148,3)&lt;&gt;"BP-","Key must start BP-",IF(OR(B148="",C148="",D148=""),"Process, sub-process and module needed",IF(AND(I148="Y",E148=""),"Supporting SYS-ID needed",IF(AND(OR(I148="N",L148="Outstanding"),M148=""),"Note the rationale / open question","OK")))))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 t="str">
        <f aca="false">IF(A149="","",IF(LEFT(A149,3)&lt;&gt;"BP-","Key must start BP-",IF(OR(B149="",C149="",D149=""),"Process, sub-process and module needed",IF(AND(I149="Y",E149=""),"Supporting SYS-ID needed",IF(AND(OR(I149="N",L149="Outstanding"),M149=""),"Note the rationale / open question","OK")))))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6" t="str">
        <f aca="false">IF(A150="","",IF(LEFT(A150,3)&lt;&gt;"BP-","Key must start BP-",IF(OR(B150="",C150="",D150=""),"Process, sub-process and module needed",IF(AND(I150="Y",E150=""),"Supporting SYS-ID needed",IF(AND(OR(I150="N",L150="Outstanding"),M150=""),"Note the rationale / open question","OK")))))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 t="str">
        <f aca="false">IF(A151="","",IF(LEFT(A151,3)&lt;&gt;"BP-","Key must start BP-",IF(OR(B151="",C151="",D151=""),"Process, sub-process and module needed",IF(AND(I151="Y",E151=""),"Supporting SYS-ID needed",IF(AND(OR(I151="N",L151="Outstanding"),M151=""),"Note the rationale / open question","OK")))))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6" t="str">
        <f aca="false">IF(A152="","",IF(LEFT(A152,3)&lt;&gt;"BP-","Key must start BP-",IF(OR(B152="",C152="",D152=""),"Process, sub-process and module needed",IF(AND(I152="Y",E152=""),"Supporting SYS-ID needed",IF(AND(OR(I152="N",L152="Outstanding"),M152=""),"Note the rationale / open question","OK")))))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6" t="str">
        <f aca="false">IF(A153="","",IF(LEFT(A153,3)&lt;&gt;"BP-","Key must start BP-",IF(OR(B153="",C153="",D153=""),"Process, sub-process and module needed",IF(AND(I153="Y",E153=""),"Supporting SYS-ID needed",IF(AND(OR(I153="N",L153="Outstanding"),M153=""),"Note the rationale / open question","OK")))))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6" t="str">
        <f aca="false">IF(A154="","",IF(LEFT(A154,3)&lt;&gt;"BP-","Key must start BP-",IF(OR(B154="",C154="",D154=""),"Process, sub-process and module needed",IF(AND(I154="Y",E154=""),"Supporting SYS-ID needed",IF(AND(OR(I154="N",L154="Outstanding"),M154=""),"Note the rationale / open question","OK")))))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6" t="str">
        <f aca="false">IF(A155="","",IF(LEFT(A155,3)&lt;&gt;"BP-","Key must start BP-",IF(OR(B155="",C155="",D155=""),"Process, sub-process and module needed",IF(AND(I155="Y",E155=""),"Supporting SYS-ID needed",IF(AND(OR(I155="N",L155="Outstanding"),M155=""),"Note the rationale / open question","OK")))))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6" t="str">
        <f aca="false">IF(A156="","",IF(LEFT(A156,3)&lt;&gt;"BP-","Key must start BP-",IF(OR(B156="",C156="",D156=""),"Process, sub-process and module needed",IF(AND(I156="Y",E156=""),"Supporting SYS-ID needed",IF(AND(OR(I156="N",L156="Outstanding"),M156=""),"Note the rationale / open question","OK")))))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 t="str">
        <f aca="false">IF(A157="","",IF(LEFT(A157,3)&lt;&gt;"BP-","Key must start BP-",IF(OR(B157="",C157="",D157=""),"Process, sub-process and module needed",IF(AND(I157="Y",E157=""),"Supporting SYS-ID needed",IF(AND(OR(I157="N",L157="Outstanding"),M157=""),"Note the rationale / open question","OK")))))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6" t="str">
        <f aca="false">IF(A158="","",IF(LEFT(A158,3)&lt;&gt;"BP-","Key must start BP-",IF(OR(B158="",C158="",D158=""),"Process, sub-process and module needed",IF(AND(I158="Y",E158=""),"Supporting SYS-ID needed",IF(AND(OR(I158="N",L158="Outstanding"),M158=""),"Note the rationale / open question","OK")))))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6" t="str">
        <f aca="false">IF(A159="","",IF(LEFT(A159,3)&lt;&gt;"BP-","Key must start BP-",IF(OR(B159="",C159="",D159=""),"Process, sub-process and module needed",IF(AND(I159="Y",E159=""),"Supporting SYS-ID needed",IF(AND(OR(I159="N",L159="Outstanding"),M159=""),"Note the rationale / open question","OK")))))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6" t="str">
        <f aca="false">IF(A160="","",IF(LEFT(A160,3)&lt;&gt;"BP-","Key must start BP-",IF(OR(B160="",C160="",D160=""),"Process, sub-process and module needed",IF(AND(I160="Y",E160=""),"Supporting SYS-ID needed",IF(AND(OR(I160="N",L160="Outstanding"),M160=""),"Note the rationale / open question","OK")))))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6" t="str">
        <f aca="false">IF(A161="","",IF(LEFT(A161,3)&lt;&gt;"BP-","Key must start BP-",IF(OR(B161="",C161="",D161=""),"Process, sub-process and module needed",IF(AND(I161="Y",E161=""),"Supporting SYS-ID needed",IF(AND(OR(I161="N",L161="Outstanding"),M161=""),"Note the rationale / open question","OK")))))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6" t="str">
        <f aca="false">IF(A162="","",IF(LEFT(A162,3)&lt;&gt;"BP-","Key must start BP-",IF(OR(B162="",C162="",D162=""),"Process, sub-process and module needed",IF(AND(I162="Y",E162=""),"Supporting SYS-ID needed",IF(AND(OR(I162="N",L162="Outstanding"),M162=""),"Note the rationale / open question","OK")))))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6" t="str">
        <f aca="false">IF(A163="","",IF(LEFT(A163,3)&lt;&gt;"BP-","Key must start BP-",IF(OR(B163="",C163="",D163=""),"Process, sub-process and module needed",IF(AND(I163="Y",E163=""),"Supporting SYS-ID needed",IF(AND(OR(I163="N",L163="Outstanding"),M163=""),"Note the rationale / open question","OK")))))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6" t="str">
        <f aca="false">IF(A164="","",IF(LEFT(A164,3)&lt;&gt;"BP-","Key must start BP-",IF(OR(B164="",C164="",D164=""),"Process, sub-process and module needed",IF(AND(I164="Y",E164=""),"Supporting SYS-ID needed",IF(AND(OR(I164="N",L164="Outstanding"),M164=""),"Note the rationale / open question","OK")))))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6" t="str">
        <f aca="false">IF(A165="","",IF(LEFT(A165,3)&lt;&gt;"BP-","Key must start BP-",IF(OR(B165="",C165="",D165=""),"Process, sub-process and module needed",IF(AND(I165="Y",E165=""),"Supporting SYS-ID needed",IF(AND(OR(I165="N",L165="Outstanding"),M165=""),"Note the rationale / open question","OK")))))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6" t="str">
        <f aca="false">IF(A166="","",IF(LEFT(A166,3)&lt;&gt;"BP-","Key must start BP-",IF(OR(B166="",C166="",D166=""),"Process, sub-process and module needed",IF(AND(I166="Y",E166=""),"Supporting SYS-ID needed",IF(AND(OR(I166="N",L166="Outstanding"),M166=""),"Note the rationale / open question","OK")))))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6" t="str">
        <f aca="false">IF(A167="","",IF(LEFT(A167,3)&lt;&gt;"BP-","Key must start BP-",IF(OR(B167="",C167="",D167=""),"Process, sub-process and module needed",IF(AND(I167="Y",E167=""),"Supporting SYS-ID needed",IF(AND(OR(I167="N",L167="Outstanding"),M167=""),"Note the rationale / open question","OK")))))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6" t="str">
        <f aca="false">IF(A168="","",IF(LEFT(A168,3)&lt;&gt;"BP-","Key must start BP-",IF(OR(B168="",C168="",D168=""),"Process, sub-process and module needed",IF(AND(I168="Y",E168=""),"Supporting SYS-ID needed",IF(AND(OR(I168="N",L168="Outstanding"),M168=""),"Note the rationale / open question","OK")))))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 t="str">
        <f aca="false">IF(A169="","",IF(LEFT(A169,3)&lt;&gt;"BP-","Key must start BP-",IF(OR(B169="",C169="",D169=""),"Process, sub-process and module needed",IF(AND(I169="Y",E169=""),"Supporting SYS-ID needed",IF(AND(OR(I169="N",L169="Outstanding"),M169=""),"Note the rationale / open question","OK")))))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6" t="str">
        <f aca="false">IF(A170="","",IF(LEFT(A170,3)&lt;&gt;"BP-","Key must start BP-",IF(OR(B170="",C170="",D170=""),"Process, sub-process and module needed",IF(AND(I170="Y",E170=""),"Supporting SYS-ID needed",IF(AND(OR(I170="N",L170="Outstanding"),M170=""),"Note the rationale / open question","OK")))))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6" t="str">
        <f aca="false">IF(A171="","",IF(LEFT(A171,3)&lt;&gt;"BP-","Key must start BP-",IF(OR(B171="",C171="",D171=""),"Process, sub-process and module needed",IF(AND(I171="Y",E171=""),"Supporting SYS-ID needed",IF(AND(OR(I171="N",L171="Outstanding"),M171=""),"Note the rationale / open question","OK")))))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6" t="str">
        <f aca="false">IF(A172="","",IF(LEFT(A172,3)&lt;&gt;"BP-","Key must start BP-",IF(OR(B172="",C172="",D172=""),"Process, sub-process and module needed",IF(AND(I172="Y",E172=""),"Supporting SYS-ID needed",IF(AND(OR(I172="N",L172="Outstanding"),M172=""),"Note the rationale / open question","OK")))))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6" t="str">
        <f aca="false">IF(A173="","",IF(LEFT(A173,3)&lt;&gt;"BP-","Key must start BP-",IF(OR(B173="",C173="",D173=""),"Process, sub-process and module needed",IF(AND(I173="Y",E173=""),"Supporting SYS-ID needed",IF(AND(OR(I173="N",L173="Outstanding"),M173=""),"Note the rationale / open question","OK")))))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6" t="str">
        <f aca="false">IF(A174="","",IF(LEFT(A174,3)&lt;&gt;"BP-","Key must start BP-",IF(OR(B174="",C174="",D174=""),"Process, sub-process and module needed",IF(AND(I174="Y",E174=""),"Supporting SYS-ID needed",IF(AND(OR(I174="N",L174="Outstanding"),M174=""),"Note the rationale / open question","OK")))))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6" t="str">
        <f aca="false">IF(A175="","",IF(LEFT(A175,3)&lt;&gt;"BP-","Key must start BP-",IF(OR(B175="",C175="",D175=""),"Process, sub-process and module needed",IF(AND(I175="Y",E175=""),"Supporting SYS-ID needed",IF(AND(OR(I175="N",L175="Outstanding"),M175=""),"Note the rationale / open question","OK")))))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6" t="str">
        <f aca="false">IF(A176="","",IF(LEFT(A176,3)&lt;&gt;"BP-","Key must start BP-",IF(OR(B176="",C176="",D176=""),"Process, sub-process and module needed",IF(AND(I176="Y",E176=""),"Supporting SYS-ID needed",IF(AND(OR(I176="N",L176="Outstanding"),M176=""),"Note the rationale / open question","OK")))))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6" t="str">
        <f aca="false">IF(A177="","",IF(LEFT(A177,3)&lt;&gt;"BP-","Key must start BP-",IF(OR(B177="",C177="",D177=""),"Process, sub-process and module needed",IF(AND(I177="Y",E177=""),"Supporting SYS-ID needed",IF(AND(OR(I177="N",L177="Outstanding"),M177=""),"Note the rationale / open question","OK")))))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6" t="str">
        <f aca="false">IF(A178="","",IF(LEFT(A178,3)&lt;&gt;"BP-","Key must start BP-",IF(OR(B178="",C178="",D178=""),"Process, sub-process and module needed",IF(AND(I178="Y",E178=""),"Supporting SYS-ID needed",IF(AND(OR(I178="N",L178="Outstanding"),M178=""),"Note the rationale / open question","OK")))))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6" t="str">
        <f aca="false">IF(A179="","",IF(LEFT(A179,3)&lt;&gt;"BP-","Key must start BP-",IF(OR(B179="",C179="",D179=""),"Process, sub-process and module needed",IF(AND(I179="Y",E179=""),"Supporting SYS-ID needed",IF(AND(OR(I179="N",L179="Outstanding"),M179=""),"Note the rationale / open question","OK")))))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6" t="str">
        <f aca="false">IF(A180="","",IF(LEFT(A180,3)&lt;&gt;"BP-","Key must start BP-",IF(OR(B180="",C180="",D180=""),"Process, sub-process and module needed",IF(AND(I180="Y",E180=""),"Supporting SYS-ID needed",IF(AND(OR(I180="N",L180="Outstanding"),M180=""),"Note the rationale / open question","OK")))))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6" t="str">
        <f aca="false">IF(A181="","",IF(LEFT(A181,3)&lt;&gt;"BP-","Key must start BP-",IF(OR(B181="",C181="",D181=""),"Process, sub-process and module needed",IF(AND(I181="Y",E181=""),"Supporting SYS-ID needed",IF(AND(OR(I181="N",L181="Outstanding"),M181=""),"Note the rationale / open question","OK")))))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6" t="str">
        <f aca="false">IF(A182="","",IF(LEFT(A182,3)&lt;&gt;"BP-","Key must start BP-",IF(OR(B182="",C182="",D182=""),"Process, sub-process and module needed",IF(AND(I182="Y",E182=""),"Supporting SYS-ID needed",IF(AND(OR(I182="N",L182="Outstanding"),M182=""),"Note the rationale / open question","OK")))))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 t="str">
        <f aca="false">IF(A183="","",IF(LEFT(A183,3)&lt;&gt;"BP-","Key must start BP-",IF(OR(B183="",C183="",D183=""),"Process, sub-process and module needed",IF(AND(I183="Y",E183=""),"Supporting SYS-ID needed",IF(AND(OR(I183="N",L183="Outstanding"),M183=""),"Note the rationale / open question","OK")))))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6" t="str">
        <f aca="false">IF(A184="","",IF(LEFT(A184,3)&lt;&gt;"BP-","Key must start BP-",IF(OR(B184="",C184="",D184=""),"Process, sub-process and module needed",IF(AND(I184="Y",E184=""),"Supporting SYS-ID needed",IF(AND(OR(I184="N",L184="Outstanding"),M184=""),"Note the rationale / open question","OK")))))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6" t="str">
        <f aca="false">IF(A185="","",IF(LEFT(A185,3)&lt;&gt;"BP-","Key must start BP-",IF(OR(B185="",C185="",D185=""),"Process, sub-process and module needed",IF(AND(I185="Y",E185=""),"Supporting SYS-ID needed",IF(AND(OR(I185="N",L185="Outstanding"),M185=""),"Note the rationale / open question","OK")))))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6" t="str">
        <f aca="false">IF(A186="","",IF(LEFT(A186,3)&lt;&gt;"BP-","Key must start BP-",IF(OR(B186="",C186="",D186=""),"Process, sub-process and module needed",IF(AND(I186="Y",E186=""),"Supporting SYS-ID needed",IF(AND(OR(I186="N",L186="Outstanding"),M186=""),"Note the rationale / open question","OK")))))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6" t="str">
        <f aca="false">IF(A187="","",IF(LEFT(A187,3)&lt;&gt;"BP-","Key must start BP-",IF(OR(B187="",C187="",D187=""),"Process, sub-process and module needed",IF(AND(I187="Y",E187=""),"Supporting SYS-ID needed",IF(AND(OR(I187="N",L187="Outstanding"),M187=""),"Note the rationale / open question","OK")))))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6" t="str">
        <f aca="false">IF(A188="","",IF(LEFT(A188,3)&lt;&gt;"BP-","Key must start BP-",IF(OR(B188="",C188="",D188=""),"Process, sub-process and module needed",IF(AND(I188="Y",E188=""),"Supporting SYS-ID needed",IF(AND(OR(I188="N",L188="Outstanding"),M188=""),"Note the rationale / open question","OK")))))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6" t="str">
        <f aca="false">IF(A189="","",IF(LEFT(A189,3)&lt;&gt;"BP-","Key must start BP-",IF(OR(B189="",C189="",D189=""),"Process, sub-process and module needed",IF(AND(I189="Y",E189=""),"Supporting SYS-ID needed",IF(AND(OR(I189="N",L189="Outstanding"),M189=""),"Note the rationale / open question","OK")))))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6" t="str">
        <f aca="false">IF(A190="","",IF(LEFT(A190,3)&lt;&gt;"BP-","Key must start BP-",IF(OR(B190="",C190="",D190=""),"Process, sub-process and module needed",IF(AND(I190="Y",E190=""),"Supporting SYS-ID needed",IF(AND(OR(I190="N",L190="Outstanding"),M190=""),"Note the rationale / open question","OK")))))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6" t="str">
        <f aca="false">IF(A191="","",IF(LEFT(A191,3)&lt;&gt;"BP-","Key must start BP-",IF(OR(B191="",C191="",D191=""),"Process, sub-process and module needed",IF(AND(I191="Y",E191=""),"Supporting SYS-ID needed",IF(AND(OR(I191="N",L191="Outstanding"),M191=""),"Note the rationale / open question","OK")))))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6" t="str">
        <f aca="false">IF(A192="","",IF(LEFT(A192,3)&lt;&gt;"BP-","Key must start BP-",IF(OR(B192="",C192="",D192=""),"Process, sub-process and module needed",IF(AND(I192="Y",E192=""),"Supporting SYS-ID needed",IF(AND(OR(I192="N",L192="Outstanding"),M192=""),"Note the rationale / open question","OK")))))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6" t="str">
        <f aca="false">IF(A193="","",IF(LEFT(A193,3)&lt;&gt;"BP-","Key must start BP-",IF(OR(B193="",C193="",D193=""),"Process, sub-process and module needed",IF(AND(I193="Y",E193=""),"Supporting SYS-ID needed",IF(AND(OR(I193="N",L193="Outstanding"),M193=""),"Note the rationale / open question","OK")))))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6" t="str">
        <f aca="false">IF(A194="","",IF(LEFT(A194,3)&lt;&gt;"BP-","Key must start BP-",IF(OR(B194="",C194="",D194=""),"Process, sub-process and module needed",IF(AND(I194="Y",E194=""),"Supporting SYS-ID needed",IF(AND(OR(I194="N",L194="Outstanding"),M194=""),"Note the rationale / open question","OK")))))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6" t="str">
        <f aca="false">IF(A195="","",IF(LEFT(A195,3)&lt;&gt;"BP-","Key must start BP-",IF(OR(B195="",C195="",D195=""),"Process, sub-process and module needed",IF(AND(I195="Y",E195=""),"Supporting SYS-ID needed",IF(AND(OR(I195="N",L195="Outstanding"),M195=""),"Note the rationale / open question","OK")))))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6" t="str">
        <f aca="false">IF(A196="","",IF(LEFT(A196,3)&lt;&gt;"BP-","Key must start BP-",IF(OR(B196="",C196="",D196=""),"Process, sub-process and module needed",IF(AND(I196="Y",E196=""),"Supporting SYS-ID needed",IF(AND(OR(I196="N",L196="Outstanding"),M196=""),"Note the rationale / open question","OK")))))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6" t="str">
        <f aca="false">IF(A197="","",IF(LEFT(A197,3)&lt;&gt;"BP-","Key must start BP-",IF(OR(B197="",C197="",D197=""),"Process, sub-process and module needed",IF(AND(I197="Y",E197=""),"Supporting SYS-ID needed",IF(AND(OR(I197="N",L197="Outstanding"),M197=""),"Note the rationale / open question","OK")))))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6" t="str">
        <f aca="false">IF(A198="","",IF(LEFT(A198,3)&lt;&gt;"BP-","Key must start BP-",IF(OR(B198="",C198="",D198=""),"Process, sub-process and module needed",IF(AND(I198="Y",E198=""),"Supporting SYS-ID needed",IF(AND(OR(I198="N",L198="Outstanding"),M198=""),"Note the rationale / open question","OK")))))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6" t="str">
        <f aca="false">IF(A199="","",IF(LEFT(A199,3)&lt;&gt;"BP-","Key must start BP-",IF(OR(B199="",C199="",D199=""),"Process, sub-process and module needed",IF(AND(I199="Y",E199=""),"Supporting SYS-ID needed",IF(AND(OR(I199="N",L199="Outstanding"),M199=""),"Note the rationale / open question","OK")))))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6" t="str">
        <f aca="false">IF(A200="","",IF(LEFT(A200,3)&lt;&gt;"BP-","Key must start BP-",IF(OR(B200="",C200="",D200=""),"Process, sub-process and module needed",IF(AND(I200="Y",E200=""),"Supporting SYS-ID needed",IF(AND(OR(I200="N",L200="Outstanding"),M200=""),"Note the rationale / open question","OK")))))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6" t="str">
        <f aca="false">IF(A201="","",IF(LEFT(A201,3)&lt;&gt;"BP-","Key must start BP-",IF(OR(B201="",C201="",D201=""),"Process, sub-process and module needed",IF(AND(I201="Y",E201=""),"Supporting SYS-ID needed",IF(AND(OR(I201="N",L201="Outstanding"),M201=""),"Note the rationale / open question","OK")))))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6" t="str">
        <f aca="false">IF(A202="","",IF(LEFT(A202,3)&lt;&gt;"BP-","Key must start BP-",IF(OR(B202="",C202="",D202=""),"Process, sub-process and module needed",IF(AND(I202="Y",E202=""),"Supporting SYS-ID needed",IF(AND(OR(I202="N",L202="Outstanding"),M202=""),"Note the rationale / open question","OK")))))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6" t="str">
        <f aca="false">IF(A203="","",IF(LEFT(A203,3)&lt;&gt;"BP-","Key must start BP-",IF(OR(B203="",C203="",D203=""),"Process, sub-process and module needed",IF(AND(I203="Y",E203=""),"Supporting SYS-ID needed",IF(AND(OR(I203="N",L203="Outstanding"),M203=""),"Note the rationale / open question","OK")))))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6" t="str">
        <f aca="false">IF(A204="","",IF(LEFT(A204,3)&lt;&gt;"BP-","Key must start BP-",IF(OR(B204="",C204="",D204=""),"Process, sub-process and module needed",IF(AND(I204="Y",E204=""),"Supporting SYS-ID needed",IF(AND(OR(I204="N",L204="Outstanding"),M204=""),"Note the rationale / open question","OK")))))</f>
        <v/>
      </c>
    </row>
  </sheetData>
  <autoFilter ref="A4:N204"/>
  <dataValidations count="4">
    <dataValidation allowBlank="true" error="Pick a value from the list." errorStyle="stop" operator="between" showDropDown="false" showErrorMessage="true" showInputMessage="false" sqref="B5:B204" type="list">
      <formula1>Lists!$A$2:$A$7</formula1>
      <formula2>0</formula2>
    </dataValidation>
    <dataValidation allowBlank="true" error="Pick a value from the list." errorStyle="stop" operator="between" showDropDown="false" showErrorMessage="true" showInputMessage="false" sqref="H5:H204" type="list">
      <formula1>Lists!$B$2:$B$4</formula1>
      <formula2>0</formula2>
    </dataValidation>
    <dataValidation allowBlank="true" error="Pick a value from the list." errorStyle="stop" operator="between" showDropDown="false" showErrorMessage="true" showInputMessage="false" sqref="I5:I204" type="list">
      <formula1>Lists!$D$2:$D$4</formula1>
      <formula2>0</formula2>
    </dataValidation>
    <dataValidation allowBlank="true" error="Pick a value from the list." errorStyle="stop" operator="between" showDropDown="false" showErrorMessage="true" showInputMessage="false" sqref="L5:L204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4" min="13" style="0" width="30"/>
  </cols>
  <sheetData>
    <row r="1" customFormat="false" ht="17.35" hidden="false" customHeight="false" outlineLevel="0" collapsed="false">
      <c r="A1" s="9" t="s">
        <v>132</v>
      </c>
    </row>
    <row r="2" customFormat="false" ht="15" hidden="false" customHeight="false" outlineLevel="0" collapsed="false">
      <c r="A2" s="10" t="s">
        <v>133</v>
      </c>
    </row>
    <row r="4" customFormat="false" ht="31.5" hidden="false" customHeight="true" outlineLevel="0" collapsed="false">
      <c r="A4" s="11" t="s">
        <v>26</v>
      </c>
      <c r="B4" s="11" t="s">
        <v>30</v>
      </c>
      <c r="C4" s="11" t="s">
        <v>33</v>
      </c>
      <c r="D4" s="11" t="s">
        <v>36</v>
      </c>
      <c r="E4" s="11" t="s">
        <v>39</v>
      </c>
      <c r="F4" s="11" t="s">
        <v>42</v>
      </c>
      <c r="G4" s="11" t="s">
        <v>45</v>
      </c>
      <c r="H4" s="11" t="s">
        <v>48</v>
      </c>
      <c r="I4" s="11" t="s">
        <v>51</v>
      </c>
      <c r="J4" s="11" t="s">
        <v>54</v>
      </c>
      <c r="K4" s="11" t="s">
        <v>57</v>
      </c>
      <c r="L4" s="11" t="s">
        <v>60</v>
      </c>
      <c r="M4" s="11" t="s">
        <v>63</v>
      </c>
      <c r="N4" s="12" t="s">
        <v>66</v>
      </c>
    </row>
    <row r="5" customFormat="false" ht="23.85" hidden="false" customHeight="false" outlineLevel="0" collapsed="false">
      <c r="A5" s="13" t="s">
        <v>134</v>
      </c>
      <c r="B5" s="13" t="s">
        <v>135</v>
      </c>
      <c r="C5" s="13" t="s">
        <v>136</v>
      </c>
      <c r="D5" s="13" t="s">
        <v>137</v>
      </c>
      <c r="E5" s="13" t="s">
        <v>138</v>
      </c>
      <c r="F5" s="13" t="s">
        <v>139</v>
      </c>
      <c r="G5" s="13" t="s">
        <v>140</v>
      </c>
      <c r="H5" s="13" t="s">
        <v>127</v>
      </c>
      <c r="I5" s="13" t="s">
        <v>128</v>
      </c>
      <c r="J5" s="13" t="s">
        <v>141</v>
      </c>
      <c r="K5" s="13" t="s">
        <v>142</v>
      </c>
      <c r="L5" s="13" t="s">
        <v>143</v>
      </c>
      <c r="M5" s="13"/>
      <c r="N5" s="14" t="str">
        <f aca="false">IF(A5="","",IF(LEFT(A5,8)&lt;&gt;"BP-TECH-","Key must start BP-TECH-",IF(OR(B5="",C5="",D5=""),"Process, sub-process and module needed",IF(AND(I5="Y",E5=""),"Supporting SYS-ID needed",IF(AND(OR(I5="N",L5="Outstanding"),M5=""),"Note the rationale / open question","OK")))))</f>
        <v>OK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 t="str">
        <f aca="false">IF(A6="","",IF(LEFT(A6,8)&lt;&gt;"BP-TECH-","Key must start BP-TECH-",IF(OR(B6="",C6="",D6=""),"Process, sub-process and module needed",IF(AND(I6="Y",E6=""),"Supporting SYS-ID needed",IF(AND(OR(I6="N",L6="Outstanding"),M6=""),"Note the rationale / open question","OK")))))</f>
        <v/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 t="str">
        <f aca="false">IF(A7="","",IF(LEFT(A7,8)&lt;&gt;"BP-TECH-","Key must start BP-TECH-",IF(OR(B7="",C7="",D7=""),"Process, sub-process and module needed",IF(AND(I7="Y",E7=""),"Supporting SYS-ID needed",IF(AND(OR(I7="N",L7="Outstanding"),M7=""),"Note the rationale / open question","OK")))))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 t="str">
        <f aca="false">IF(A8="","",IF(LEFT(A8,8)&lt;&gt;"BP-TECH-","Key must start BP-TECH-",IF(OR(B8="",C8="",D8=""),"Process, sub-process and module needed",IF(AND(I8="Y",E8=""),"Supporting SYS-ID needed",IF(AND(OR(I8="N",L8="Outstanding"),M8=""),"Note the rationale / open question","OK")))))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 t="str">
        <f aca="false">IF(A9="","",IF(LEFT(A9,8)&lt;&gt;"BP-TECH-","Key must start BP-TECH-",IF(OR(B9="",C9="",D9=""),"Process, sub-process and module needed",IF(AND(I9="Y",E9=""),"Supporting SYS-ID needed",IF(AND(OR(I9="N",L9="Outstanding"),M9=""),"Note the rationale / open question","OK")))))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 t="str">
        <f aca="false">IF(A10="","",IF(LEFT(A10,8)&lt;&gt;"BP-TECH-","Key must start BP-TECH-",IF(OR(B10="",C10="",D10=""),"Process, sub-process and module needed",IF(AND(I10="Y",E10=""),"Supporting SYS-ID needed",IF(AND(OR(I10="N",L10="Outstanding"),M10=""),"Note the rationale / open question","OK")))))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 t="str">
        <f aca="false">IF(A11="","",IF(LEFT(A11,8)&lt;&gt;"BP-TECH-","Key must start BP-TECH-",IF(OR(B11="",C11="",D11=""),"Process, sub-process and module needed",IF(AND(I11="Y",E11=""),"Supporting SYS-ID needed",IF(AND(OR(I11="N",L11="Outstanding"),M11=""),"Note the rationale / open question","OK")))))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 t="str">
        <f aca="false">IF(A12="","",IF(LEFT(A12,8)&lt;&gt;"BP-TECH-","Key must start BP-TECH-",IF(OR(B12="",C12="",D12=""),"Process, sub-process and module needed",IF(AND(I12="Y",E12=""),"Supporting SYS-ID needed",IF(AND(OR(I12="N",L12="Outstanding"),M12=""),"Note the rationale / open question","OK")))))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 t="str">
        <f aca="false">IF(A13="","",IF(LEFT(A13,8)&lt;&gt;"BP-TECH-","Key must start BP-TECH-",IF(OR(B13="",C13="",D13=""),"Process, sub-process and module needed",IF(AND(I13="Y",E13=""),"Supporting SYS-ID needed",IF(AND(OR(I13="N",L13="Outstanding"),M13=""),"Note the rationale / open question","OK")))))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tr">
        <f aca="false">IF(A14="","",IF(LEFT(A14,8)&lt;&gt;"BP-TECH-","Key must start BP-TECH-",IF(OR(B14="",C14="",D14=""),"Process, sub-process and module needed",IF(AND(I14="Y",E14=""),"Supporting SYS-ID needed",IF(AND(OR(I14="N",L14="Outstanding"),M14=""),"Note the rationale / open question","OK")))))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 t="str">
        <f aca="false">IF(A15="","",IF(LEFT(A15,8)&lt;&gt;"BP-TECH-","Key must start BP-TECH-",IF(OR(B15="",C15="",D15=""),"Process, sub-process and module needed",IF(AND(I15="Y",E15=""),"Supporting SYS-ID needed",IF(AND(OR(I15="N",L15="Outstanding"),M15=""),"Note the rationale / open question","OK")))))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 t="str">
        <f aca="false">IF(A16="","",IF(LEFT(A16,8)&lt;&gt;"BP-TECH-","Key must start BP-TECH-",IF(OR(B16="",C16="",D16=""),"Process, sub-process and module needed",IF(AND(I16="Y",E16=""),"Supporting SYS-ID needed",IF(AND(OR(I16="N",L16="Outstanding"),M16=""),"Note the rationale / open question","OK")))))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 t="str">
        <f aca="false">IF(A17="","",IF(LEFT(A17,8)&lt;&gt;"BP-TECH-","Key must start BP-TECH-",IF(OR(B17="",C17="",D17=""),"Process, sub-process and module needed",IF(AND(I17="Y",E17=""),"Supporting SYS-ID needed",IF(AND(OR(I17="N",L17="Outstanding"),M17=""),"Note the rationale / open question","OK")))))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 t="str">
        <f aca="false">IF(A18="","",IF(LEFT(A18,8)&lt;&gt;"BP-TECH-","Key must start BP-TECH-",IF(OR(B18="",C18="",D18=""),"Process, sub-process and module needed",IF(AND(I18="Y",E18=""),"Supporting SYS-ID needed",IF(AND(OR(I18="N",L18="Outstanding"),M18=""),"Note the rationale / open question","OK")))))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 t="str">
        <f aca="false">IF(A19="","",IF(LEFT(A19,8)&lt;&gt;"BP-TECH-","Key must start BP-TECH-",IF(OR(B19="",C19="",D19=""),"Process, sub-process and module needed",IF(AND(I19="Y",E19=""),"Supporting SYS-ID needed",IF(AND(OR(I19="N",L19="Outstanding"),M19=""),"Note the rationale / open question","OK")))))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 t="str">
        <f aca="false">IF(A20="","",IF(LEFT(A20,8)&lt;&gt;"BP-TECH-","Key must start BP-TECH-",IF(OR(B20="",C20="",D20=""),"Process, sub-process and module needed",IF(AND(I20="Y",E20=""),"Supporting SYS-ID needed",IF(AND(OR(I20="N",L20="Outstanding"),M20=""),"Note the rationale / open question","OK")))))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 t="str">
        <f aca="false">IF(A21="","",IF(LEFT(A21,8)&lt;&gt;"BP-TECH-","Key must start BP-TECH-",IF(OR(B21="",C21="",D21=""),"Process, sub-process and module needed",IF(AND(I21="Y",E21=""),"Supporting SYS-ID needed",IF(AND(OR(I21="N",L21="Outstanding"),M21=""),"Note the rationale / open question","OK")))))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 t="str">
        <f aca="false">IF(A22="","",IF(LEFT(A22,8)&lt;&gt;"BP-TECH-","Key must start BP-TECH-",IF(OR(B22="",C22="",D22=""),"Process, sub-process and module needed",IF(AND(I22="Y",E22=""),"Supporting SYS-ID needed",IF(AND(OR(I22="N",L22="Outstanding"),M22=""),"Note the rationale / open question","OK")))))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 t="str">
        <f aca="false">IF(A23="","",IF(LEFT(A23,8)&lt;&gt;"BP-TECH-","Key must start BP-TECH-",IF(OR(B23="",C23="",D23=""),"Process, sub-process and module needed",IF(AND(I23="Y",E23=""),"Supporting SYS-ID needed",IF(AND(OR(I23="N",L23="Outstanding"),M23=""),"Note the rationale / open question","OK")))))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 t="str">
        <f aca="false">IF(A24="","",IF(LEFT(A24,8)&lt;&gt;"BP-TECH-","Key must start BP-TECH-",IF(OR(B24="",C24="",D24=""),"Process, sub-process and module needed",IF(AND(I24="Y",E24=""),"Supporting SYS-ID needed",IF(AND(OR(I24="N",L24="Outstanding"),M24=""),"Note the rationale / open question","OK")))))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 t="str">
        <f aca="false">IF(A25="","",IF(LEFT(A25,8)&lt;&gt;"BP-TECH-","Key must start BP-TECH-",IF(OR(B25="",C25="",D25=""),"Process, sub-process and module needed",IF(AND(I25="Y",E25=""),"Supporting SYS-ID needed",IF(AND(OR(I25="N",L25="Outstanding"),M25=""),"Note the rationale / open question","OK")))))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 t="str">
        <f aca="false">IF(A26="","",IF(LEFT(A26,8)&lt;&gt;"BP-TECH-","Key must start BP-TECH-",IF(OR(B26="",C26="",D26=""),"Process, sub-process and module needed",IF(AND(I26="Y",E26=""),"Supporting SYS-ID needed",IF(AND(OR(I26="N",L26="Outstanding"),M26=""),"Note the rationale / open question","OK")))))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 t="str">
        <f aca="false">IF(A27="","",IF(LEFT(A27,8)&lt;&gt;"BP-TECH-","Key must start BP-TECH-",IF(OR(B27="",C27="",D27=""),"Process, sub-process and module needed",IF(AND(I27="Y",E27=""),"Supporting SYS-ID needed",IF(AND(OR(I27="N",L27="Outstanding"),M27=""),"Note the rationale / open question","OK")))))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6" t="str">
        <f aca="false">IF(A28="","",IF(LEFT(A28,8)&lt;&gt;"BP-TECH-","Key must start BP-TECH-",IF(OR(B28="",C28="",D28=""),"Process, sub-process and module needed",IF(AND(I28="Y",E28=""),"Supporting SYS-ID needed",IF(AND(OR(I28="N",L28="Outstanding"),M28=""),"Note the rationale / open question","OK")))))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 t="str">
        <f aca="false">IF(A29="","",IF(LEFT(A29,8)&lt;&gt;"BP-TECH-","Key must start BP-TECH-",IF(OR(B29="",C29="",D29=""),"Process, sub-process and module needed",IF(AND(I29="Y",E29=""),"Supporting SYS-ID needed",IF(AND(OR(I29="N",L29="Outstanding"),M29=""),"Note the rationale / open question","OK")))))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6" t="str">
        <f aca="false">IF(A30="","",IF(LEFT(A30,8)&lt;&gt;"BP-TECH-","Key must start BP-TECH-",IF(OR(B30="",C30="",D30=""),"Process, sub-process and module needed",IF(AND(I30="Y",E30=""),"Supporting SYS-ID needed",IF(AND(OR(I30="N",L30="Outstanding"),M30=""),"Note the rationale / open question","OK")))))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 t="str">
        <f aca="false">IF(A31="","",IF(LEFT(A31,8)&lt;&gt;"BP-TECH-","Key must start BP-TECH-",IF(OR(B31="",C31="",D31=""),"Process, sub-process and module needed",IF(AND(I31="Y",E31=""),"Supporting SYS-ID needed",IF(AND(OR(I31="N",L31="Outstanding"),M31=""),"Note the rationale / open question","OK")))))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6" t="str">
        <f aca="false">IF(A32="","",IF(LEFT(A32,8)&lt;&gt;"BP-TECH-","Key must start BP-TECH-",IF(OR(B32="",C32="",D32=""),"Process, sub-process and module needed",IF(AND(I32="Y",E32=""),"Supporting SYS-ID needed",IF(AND(OR(I32="N",L32="Outstanding"),M32=""),"Note the rationale / open question","OK")))))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 t="str">
        <f aca="false">IF(A33="","",IF(LEFT(A33,8)&lt;&gt;"BP-TECH-","Key must start BP-TECH-",IF(OR(B33="",C33="",D33=""),"Process, sub-process and module needed",IF(AND(I33="Y",E33=""),"Supporting SYS-ID needed",IF(AND(OR(I33="N",L33="Outstanding"),M33=""),"Note the rationale / open question","OK")))))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 t="str">
        <f aca="false">IF(A34="","",IF(LEFT(A34,8)&lt;&gt;"BP-TECH-","Key must start BP-TECH-",IF(OR(B34="",C34="",D34=""),"Process, sub-process and module needed",IF(AND(I34="Y",E34=""),"Supporting SYS-ID needed",IF(AND(OR(I34="N",L34="Outstanding"),M34=""),"Note the rationale / open question","OK")))))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6" t="str">
        <f aca="false">IF(A35="","",IF(LEFT(A35,8)&lt;&gt;"BP-TECH-","Key must start BP-TECH-",IF(OR(B35="",C35="",D35=""),"Process, sub-process and module needed",IF(AND(I35="Y",E35=""),"Supporting SYS-ID needed",IF(AND(OR(I35="N",L35="Outstanding"),M35=""),"Note the rationale / open question","OK")))))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6" t="str">
        <f aca="false">IF(A36="","",IF(LEFT(A36,8)&lt;&gt;"BP-TECH-","Key must start BP-TECH-",IF(OR(B36="",C36="",D36=""),"Process, sub-process and module needed",IF(AND(I36="Y",E36=""),"Supporting SYS-ID needed",IF(AND(OR(I36="N",L36="Outstanding"),M36=""),"Note the rationale / open question","OK")))))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 t="str">
        <f aca="false">IF(A37="","",IF(LEFT(A37,8)&lt;&gt;"BP-TECH-","Key must start BP-TECH-",IF(OR(B37="",C37="",D37=""),"Process, sub-process and module needed",IF(AND(I37="Y",E37=""),"Supporting SYS-ID needed",IF(AND(OR(I37="N",L37="Outstanding"),M37=""),"Note the rationale / open question","OK")))))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 t="str">
        <f aca="false">IF(A38="","",IF(LEFT(A38,8)&lt;&gt;"BP-TECH-","Key must start BP-TECH-",IF(OR(B38="",C38="",D38=""),"Process, sub-process and module needed",IF(AND(I38="Y",E38=""),"Supporting SYS-ID needed",IF(AND(OR(I38="N",L38="Outstanding"),M38=""),"Note the rationale / open question","OK")))))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 t="str">
        <f aca="false">IF(A39="","",IF(LEFT(A39,8)&lt;&gt;"BP-TECH-","Key must start BP-TECH-",IF(OR(B39="",C39="",D39=""),"Process, sub-process and module needed",IF(AND(I39="Y",E39=""),"Supporting SYS-ID needed",IF(AND(OR(I39="N",L39="Outstanding"),M39=""),"Note the rationale / open question","OK")))))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 t="str">
        <f aca="false">IF(A40="","",IF(LEFT(A40,8)&lt;&gt;"BP-TECH-","Key must start BP-TECH-",IF(OR(B40="",C40="",D40=""),"Process, sub-process and module needed",IF(AND(I40="Y",E40=""),"Supporting SYS-ID needed",IF(AND(OR(I40="N",L40="Outstanding"),M40=""),"Note the rationale / open question","OK")))))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6" t="str">
        <f aca="false">IF(A41="","",IF(LEFT(A41,8)&lt;&gt;"BP-TECH-","Key must start BP-TECH-",IF(OR(B41="",C41="",D41=""),"Process, sub-process and module needed",IF(AND(I41="Y",E41=""),"Supporting SYS-ID needed",IF(AND(OR(I41="N",L41="Outstanding"),M41=""),"Note the rationale / open question","OK")))))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 t="str">
        <f aca="false">IF(A42="","",IF(LEFT(A42,8)&lt;&gt;"BP-TECH-","Key must start BP-TECH-",IF(OR(B42="",C42="",D42=""),"Process, sub-process and module needed",IF(AND(I42="Y",E42=""),"Supporting SYS-ID needed",IF(AND(OR(I42="N",L42="Outstanding"),M42=""),"Note the rationale / open question","OK")))))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6" t="str">
        <f aca="false">IF(A43="","",IF(LEFT(A43,8)&lt;&gt;"BP-TECH-","Key must start BP-TECH-",IF(OR(B43="",C43="",D43=""),"Process, sub-process and module needed",IF(AND(I43="Y",E43=""),"Supporting SYS-ID needed",IF(AND(OR(I43="N",L43="Outstanding"),M43=""),"Note the rationale / open question","OK")))))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6" t="str">
        <f aca="false">IF(A44="","",IF(LEFT(A44,8)&lt;&gt;"BP-TECH-","Key must start BP-TECH-",IF(OR(B44="",C44="",D44=""),"Process, sub-process and module needed",IF(AND(I44="Y",E44=""),"Supporting SYS-ID needed",IF(AND(OR(I44="N",L44="Outstanding"),M44=""),"Note the rationale / open question","OK")))))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6" t="str">
        <f aca="false">IF(A45="","",IF(LEFT(A45,8)&lt;&gt;"BP-TECH-","Key must start BP-TECH-",IF(OR(B45="",C45="",D45=""),"Process, sub-process and module needed",IF(AND(I45="Y",E45=""),"Supporting SYS-ID needed",IF(AND(OR(I45="N",L45="Outstanding"),M45=""),"Note the rationale / open question","OK")))))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 t="str">
        <f aca="false">IF(A46="","",IF(LEFT(A46,8)&lt;&gt;"BP-TECH-","Key must start BP-TECH-",IF(OR(B46="",C46="",D46=""),"Process, sub-process and module needed",IF(AND(I46="Y",E46=""),"Supporting SYS-ID needed",IF(AND(OR(I46="N",L46="Outstanding"),M46=""),"Note the rationale / open question","OK")))))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6" t="str">
        <f aca="false">IF(A47="","",IF(LEFT(A47,8)&lt;&gt;"BP-TECH-","Key must start BP-TECH-",IF(OR(B47="",C47="",D47=""),"Process, sub-process and module needed",IF(AND(I47="Y",E47=""),"Supporting SYS-ID needed",IF(AND(OR(I47="N",L47="Outstanding"),M47=""),"Note the rationale / open question","OK")))))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6" t="str">
        <f aca="false">IF(A48="","",IF(LEFT(A48,8)&lt;&gt;"BP-TECH-","Key must start BP-TECH-",IF(OR(B48="",C48="",D48=""),"Process, sub-process and module needed",IF(AND(I48="Y",E48=""),"Supporting SYS-ID needed",IF(AND(OR(I48="N",L48="Outstanding"),M48=""),"Note the rationale / open question","OK")))))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 t="str">
        <f aca="false">IF(A49="","",IF(LEFT(A49,8)&lt;&gt;"BP-TECH-","Key must start BP-TECH-",IF(OR(B49="",C49="",D49=""),"Process, sub-process and module needed",IF(AND(I49="Y",E49=""),"Supporting SYS-ID needed",IF(AND(OR(I49="N",L49="Outstanding"),M49=""),"Note the rationale / open question","OK")))))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 t="str">
        <f aca="false">IF(A50="","",IF(LEFT(A50,8)&lt;&gt;"BP-TECH-","Key must start BP-TECH-",IF(OR(B50="",C50="",D50=""),"Process, sub-process and module needed",IF(AND(I50="Y",E50=""),"Supporting SYS-ID needed",IF(AND(OR(I50="N",L50="Outstanding"),M50=""),"Note the rationale / open question","OK")))))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6" t="str">
        <f aca="false">IF(A51="","",IF(LEFT(A51,8)&lt;&gt;"BP-TECH-","Key must start BP-TECH-",IF(OR(B51="",C51="",D51=""),"Process, sub-process and module needed",IF(AND(I51="Y",E51=""),"Supporting SYS-ID needed",IF(AND(OR(I51="N",L51="Outstanding"),M51=""),"Note the rationale / open question","OK")))))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 t="str">
        <f aca="false">IF(A52="","",IF(LEFT(A52,8)&lt;&gt;"BP-TECH-","Key must start BP-TECH-",IF(OR(B52="",C52="",D52=""),"Process, sub-process and module needed",IF(AND(I52="Y",E52=""),"Supporting SYS-ID needed",IF(AND(OR(I52="N",L52="Outstanding"),M52=""),"Note the rationale / open question","OK")))))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 t="str">
        <f aca="false">IF(A53="","",IF(LEFT(A53,8)&lt;&gt;"BP-TECH-","Key must start BP-TECH-",IF(OR(B53="",C53="",D53=""),"Process, sub-process and module needed",IF(AND(I53="Y",E53=""),"Supporting SYS-ID needed",IF(AND(OR(I53="N",L53="Outstanding"),M53=""),"Note the rationale / open question","OK")))))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 t="str">
        <f aca="false">IF(A54="","",IF(LEFT(A54,8)&lt;&gt;"BP-TECH-","Key must start BP-TECH-",IF(OR(B54="",C54="",D54=""),"Process, sub-process and module needed",IF(AND(I54="Y",E54=""),"Supporting SYS-ID needed",IF(AND(OR(I54="N",L54="Outstanding"),M54=""),"Note the rationale / open question","OK")))))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 t="str">
        <f aca="false">IF(A55="","",IF(LEFT(A55,8)&lt;&gt;"BP-TECH-","Key must start BP-TECH-",IF(OR(B55="",C55="",D55=""),"Process, sub-process and module needed",IF(AND(I55="Y",E55=""),"Supporting SYS-ID needed",IF(AND(OR(I55="N",L55="Outstanding"),M55=""),"Note the rationale / open question","OK")))))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 t="str">
        <f aca="false">IF(A56="","",IF(LEFT(A56,8)&lt;&gt;"BP-TECH-","Key must start BP-TECH-",IF(OR(B56="",C56="",D56=""),"Process, sub-process and module needed",IF(AND(I56="Y",E56=""),"Supporting SYS-ID needed",IF(AND(OR(I56="N",L56="Outstanding"),M56=""),"Note the rationale / open question","OK")))))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 t="str">
        <f aca="false">IF(A57="","",IF(LEFT(A57,8)&lt;&gt;"BP-TECH-","Key must start BP-TECH-",IF(OR(B57="",C57="",D57=""),"Process, sub-process and module needed",IF(AND(I57="Y",E57=""),"Supporting SYS-ID needed",IF(AND(OR(I57="N",L57="Outstanding"),M57=""),"Note the rationale / open question","OK")))))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6" t="str">
        <f aca="false">IF(A58="","",IF(LEFT(A58,8)&lt;&gt;"BP-TECH-","Key must start BP-TECH-",IF(OR(B58="",C58="",D58=""),"Process, sub-process and module needed",IF(AND(I58="Y",E58=""),"Supporting SYS-ID needed",IF(AND(OR(I58="N",L58="Outstanding"),M58=""),"Note the rationale / open question","OK")))))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6" t="str">
        <f aca="false">IF(A59="","",IF(LEFT(A59,8)&lt;&gt;"BP-TECH-","Key must start BP-TECH-",IF(OR(B59="",C59="",D59=""),"Process, sub-process and module needed",IF(AND(I59="Y",E59=""),"Supporting SYS-ID needed",IF(AND(OR(I59="N",L59="Outstanding"),M59=""),"Note the rationale / open question","OK")))))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6" t="str">
        <f aca="false">IF(A60="","",IF(LEFT(A60,8)&lt;&gt;"BP-TECH-","Key must start BP-TECH-",IF(OR(B60="",C60="",D60=""),"Process, sub-process and module needed",IF(AND(I60="Y",E60=""),"Supporting SYS-ID needed",IF(AND(OR(I60="N",L60="Outstanding"),M60=""),"Note the rationale / open question","OK")))))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6" t="str">
        <f aca="false">IF(A61="","",IF(LEFT(A61,8)&lt;&gt;"BP-TECH-","Key must start BP-TECH-",IF(OR(B61="",C61="",D61=""),"Process, sub-process and module needed",IF(AND(I61="Y",E61=""),"Supporting SYS-ID needed",IF(AND(OR(I61="N",L61="Outstanding"),M61=""),"Note the rationale / open question","OK")))))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6" t="str">
        <f aca="false">IF(A62="","",IF(LEFT(A62,8)&lt;&gt;"BP-TECH-","Key must start BP-TECH-",IF(OR(B62="",C62="",D62=""),"Process, sub-process and module needed",IF(AND(I62="Y",E62=""),"Supporting SYS-ID needed",IF(AND(OR(I62="N",L62="Outstanding"),M62=""),"Note the rationale / open question","OK")))))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 t="str">
        <f aca="false">IF(A63="","",IF(LEFT(A63,8)&lt;&gt;"BP-TECH-","Key must start BP-TECH-",IF(OR(B63="",C63="",D63=""),"Process, sub-process and module needed",IF(AND(I63="Y",E63=""),"Supporting SYS-ID needed",IF(AND(OR(I63="N",L63="Outstanding"),M63=""),"Note the rationale / open question","OK")))))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6" t="str">
        <f aca="false">IF(A64="","",IF(LEFT(A64,8)&lt;&gt;"BP-TECH-","Key must start BP-TECH-",IF(OR(B64="",C64="",D64=""),"Process, sub-process and module needed",IF(AND(I64="Y",E64=""),"Supporting SYS-ID needed",IF(AND(OR(I64="N",L64="Outstanding"),M64=""),"Note the rationale / open question","OK")))))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6" t="str">
        <f aca="false">IF(A65="","",IF(LEFT(A65,8)&lt;&gt;"BP-TECH-","Key must start BP-TECH-",IF(OR(B65="",C65="",D65=""),"Process, sub-process and module needed",IF(AND(I65="Y",E65=""),"Supporting SYS-ID needed",IF(AND(OR(I65="N",L65="Outstanding"),M65=""),"Note the rationale / open question","OK")))))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6" t="str">
        <f aca="false">IF(A66="","",IF(LEFT(A66,8)&lt;&gt;"BP-TECH-","Key must start BP-TECH-",IF(OR(B66="",C66="",D66=""),"Process, sub-process and module needed",IF(AND(I66="Y",E66=""),"Supporting SYS-ID needed",IF(AND(OR(I66="N",L66="Outstanding"),M66=""),"Note the rationale / open question","OK")))))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 t="str">
        <f aca="false">IF(A67="","",IF(LEFT(A67,8)&lt;&gt;"BP-TECH-","Key must start BP-TECH-",IF(OR(B67="",C67="",D67=""),"Process, sub-process and module needed",IF(AND(I67="Y",E67=""),"Supporting SYS-ID needed",IF(AND(OR(I67="N",L67="Outstanding"),M67=""),"Note the rationale / open question","OK")))))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 t="str">
        <f aca="false">IF(A68="","",IF(LEFT(A68,8)&lt;&gt;"BP-TECH-","Key must start BP-TECH-",IF(OR(B68="",C68="",D68=""),"Process, sub-process and module needed",IF(AND(I68="Y",E68=""),"Supporting SYS-ID needed",IF(AND(OR(I68="N",L68="Outstanding"),M68=""),"Note the rationale / open question","OK")))))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6" t="str">
        <f aca="false">IF(A69="","",IF(LEFT(A69,8)&lt;&gt;"BP-TECH-","Key must start BP-TECH-",IF(OR(B69="",C69="",D69=""),"Process, sub-process and module needed",IF(AND(I69="Y",E69=""),"Supporting SYS-ID needed",IF(AND(OR(I69="N",L69="Outstanding"),M69=""),"Note the rationale / open question","OK")))))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 t="str">
        <f aca="false">IF(A70="","",IF(LEFT(A70,8)&lt;&gt;"BP-TECH-","Key must start BP-TECH-",IF(OR(B70="",C70="",D70=""),"Process, sub-process and module needed",IF(AND(I70="Y",E70=""),"Supporting SYS-ID needed",IF(AND(OR(I70="N",L70="Outstanding"),M70=""),"Note the rationale / open question","OK")))))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 t="str">
        <f aca="false">IF(A71="","",IF(LEFT(A71,8)&lt;&gt;"BP-TECH-","Key must start BP-TECH-",IF(OR(B71="",C71="",D71=""),"Process, sub-process and module needed",IF(AND(I71="Y",E71=""),"Supporting SYS-ID needed",IF(AND(OR(I71="N",L71="Outstanding"),M71=""),"Note the rationale / open question","OK")))))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6" t="str">
        <f aca="false">IF(A72="","",IF(LEFT(A72,8)&lt;&gt;"BP-TECH-","Key must start BP-TECH-",IF(OR(B72="",C72="",D72=""),"Process, sub-process and module needed",IF(AND(I72="Y",E72=""),"Supporting SYS-ID needed",IF(AND(OR(I72="N",L72="Outstanding"),M72=""),"Note the rationale / open question","OK")))))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6" t="str">
        <f aca="false">IF(A73="","",IF(LEFT(A73,8)&lt;&gt;"BP-TECH-","Key must start BP-TECH-",IF(OR(B73="",C73="",D73=""),"Process, sub-process and module needed",IF(AND(I73="Y",E73=""),"Supporting SYS-ID needed",IF(AND(OR(I73="N",L73="Outstanding"),M73=""),"Note the rationale / open question","OK")))))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6" t="str">
        <f aca="false">IF(A74="","",IF(LEFT(A74,8)&lt;&gt;"BP-TECH-","Key must start BP-TECH-",IF(OR(B74="",C74="",D74=""),"Process, sub-process and module needed",IF(AND(I74="Y",E74=""),"Supporting SYS-ID needed",IF(AND(OR(I74="N",L74="Outstanding"),M74=""),"Note the rationale / open question","OK")))))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6" t="str">
        <f aca="false">IF(A75="","",IF(LEFT(A75,8)&lt;&gt;"BP-TECH-","Key must start BP-TECH-",IF(OR(B75="",C75="",D75=""),"Process, sub-process and module needed",IF(AND(I75="Y",E75=""),"Supporting SYS-ID needed",IF(AND(OR(I75="N",L75="Outstanding"),M75=""),"Note the rationale / open question","OK")))))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6" t="str">
        <f aca="false">IF(A76="","",IF(LEFT(A76,8)&lt;&gt;"BP-TECH-","Key must start BP-TECH-",IF(OR(B76="",C76="",D76=""),"Process, sub-process and module needed",IF(AND(I76="Y",E76=""),"Supporting SYS-ID needed",IF(AND(OR(I76="N",L76="Outstanding"),M76=""),"Note the rationale / open question","OK")))))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6" t="str">
        <f aca="false">IF(A77="","",IF(LEFT(A77,8)&lt;&gt;"BP-TECH-","Key must start BP-TECH-",IF(OR(B77="",C77="",D77=""),"Process, sub-process and module needed",IF(AND(I77="Y",E77=""),"Supporting SYS-ID needed",IF(AND(OR(I77="N",L77="Outstanding"),M77=""),"Note the rationale / open question","OK")))))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6" t="str">
        <f aca="false">IF(A78="","",IF(LEFT(A78,8)&lt;&gt;"BP-TECH-","Key must start BP-TECH-",IF(OR(B78="",C78="",D78=""),"Process, sub-process and module needed",IF(AND(I78="Y",E78=""),"Supporting SYS-ID needed",IF(AND(OR(I78="N",L78="Outstanding"),M78=""),"Note the rationale / open question","OK")))))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6" t="str">
        <f aca="false">IF(A79="","",IF(LEFT(A79,8)&lt;&gt;"BP-TECH-","Key must start BP-TECH-",IF(OR(B79="",C79="",D79=""),"Process, sub-process and module needed",IF(AND(I79="Y",E79=""),"Supporting SYS-ID needed",IF(AND(OR(I79="N",L79="Outstanding"),M79=""),"Note the rationale / open question","OK")))))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6" t="str">
        <f aca="false">IF(A80="","",IF(LEFT(A80,8)&lt;&gt;"BP-TECH-","Key must start BP-TECH-",IF(OR(B80="",C80="",D80=""),"Process, sub-process and module needed",IF(AND(I80="Y",E80=""),"Supporting SYS-ID needed",IF(AND(OR(I80="N",L80="Outstanding"),M80=""),"Note the rationale / open question","OK")))))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6" t="str">
        <f aca="false">IF(A81="","",IF(LEFT(A81,8)&lt;&gt;"BP-TECH-","Key must start BP-TECH-",IF(OR(B81="",C81="",D81=""),"Process, sub-process and module needed",IF(AND(I81="Y",E81=""),"Supporting SYS-ID needed",IF(AND(OR(I81="N",L81="Outstanding"),M81=""),"Note the rationale / open question","OK")))))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6" t="str">
        <f aca="false">IF(A82="","",IF(LEFT(A82,8)&lt;&gt;"BP-TECH-","Key must start BP-TECH-",IF(OR(B82="",C82="",D82=""),"Process, sub-process and module needed",IF(AND(I82="Y",E82=""),"Supporting SYS-ID needed",IF(AND(OR(I82="N",L82="Outstanding"),M82=""),"Note the rationale / open question","OK")))))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6" t="str">
        <f aca="false">IF(A83="","",IF(LEFT(A83,8)&lt;&gt;"BP-TECH-","Key must start BP-TECH-",IF(OR(B83="",C83="",D83=""),"Process, sub-process and module needed",IF(AND(I83="Y",E83=""),"Supporting SYS-ID needed",IF(AND(OR(I83="N",L83="Outstanding"),M83=""),"Note the rationale / open question","OK")))))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6" t="str">
        <f aca="false">IF(A84="","",IF(LEFT(A84,8)&lt;&gt;"BP-TECH-","Key must start BP-TECH-",IF(OR(B84="",C84="",D84=""),"Process, sub-process and module needed",IF(AND(I84="Y",E84=""),"Supporting SYS-ID needed",IF(AND(OR(I84="N",L84="Outstanding"),M84=""),"Note the rationale / open question","OK")))))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6" t="str">
        <f aca="false">IF(A85="","",IF(LEFT(A85,8)&lt;&gt;"BP-TECH-","Key must start BP-TECH-",IF(OR(B85="",C85="",D85=""),"Process, sub-process and module needed",IF(AND(I85="Y",E85=""),"Supporting SYS-ID needed",IF(AND(OR(I85="N",L85="Outstanding"),M85=""),"Note the rationale / open question","OK")))))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 t="str">
        <f aca="false">IF(A86="","",IF(LEFT(A86,8)&lt;&gt;"BP-TECH-","Key must start BP-TECH-",IF(OR(B86="",C86="",D86=""),"Process, sub-process and module needed",IF(AND(I86="Y",E86=""),"Supporting SYS-ID needed",IF(AND(OR(I86="N",L86="Outstanding"),M86=""),"Note the rationale / open question","OK")))))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6" t="str">
        <f aca="false">IF(A87="","",IF(LEFT(A87,8)&lt;&gt;"BP-TECH-","Key must start BP-TECH-",IF(OR(B87="",C87="",D87=""),"Process, sub-process and module needed",IF(AND(I87="Y",E87=""),"Supporting SYS-ID needed",IF(AND(OR(I87="N",L87="Outstanding"),M87=""),"Note the rationale / open question","OK")))))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6" t="str">
        <f aca="false">IF(A88="","",IF(LEFT(A88,8)&lt;&gt;"BP-TECH-","Key must start BP-TECH-",IF(OR(B88="",C88="",D88=""),"Process, sub-process and module needed",IF(AND(I88="Y",E88=""),"Supporting SYS-ID needed",IF(AND(OR(I88="N",L88="Outstanding"),M88=""),"Note the rationale / open question","OK")))))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6" t="str">
        <f aca="false">IF(A89="","",IF(LEFT(A89,8)&lt;&gt;"BP-TECH-","Key must start BP-TECH-",IF(OR(B89="",C89="",D89=""),"Process, sub-process and module needed",IF(AND(I89="Y",E89=""),"Supporting SYS-ID needed",IF(AND(OR(I89="N",L89="Outstanding"),M89=""),"Note the rationale / open question","OK")))))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6" t="str">
        <f aca="false">IF(A90="","",IF(LEFT(A90,8)&lt;&gt;"BP-TECH-","Key must start BP-TECH-",IF(OR(B90="",C90="",D90=""),"Process, sub-process and module needed",IF(AND(I90="Y",E90=""),"Supporting SYS-ID needed",IF(AND(OR(I90="N",L90="Outstanding"),M90=""),"Note the rationale / open question","OK")))))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6" t="str">
        <f aca="false">IF(A91="","",IF(LEFT(A91,8)&lt;&gt;"BP-TECH-","Key must start BP-TECH-",IF(OR(B91="",C91="",D91=""),"Process, sub-process and module needed",IF(AND(I91="Y",E91=""),"Supporting SYS-ID needed",IF(AND(OR(I91="N",L91="Outstanding"),M91=""),"Note the rationale / open question","OK")))))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 t="str">
        <f aca="false">IF(A92="","",IF(LEFT(A92,8)&lt;&gt;"BP-TECH-","Key must start BP-TECH-",IF(OR(B92="",C92="",D92=""),"Process, sub-process and module needed",IF(AND(I92="Y",E92=""),"Supporting SYS-ID needed",IF(AND(OR(I92="N",L92="Outstanding"),M92=""),"Note the rationale / open question","OK")))))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6" t="str">
        <f aca="false">IF(A93="","",IF(LEFT(A93,8)&lt;&gt;"BP-TECH-","Key must start BP-TECH-",IF(OR(B93="",C93="",D93=""),"Process, sub-process and module needed",IF(AND(I93="Y",E93=""),"Supporting SYS-ID needed",IF(AND(OR(I93="N",L93="Outstanding"),M93=""),"Note the rationale / open question","OK")))))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6" t="str">
        <f aca="false">IF(A94="","",IF(LEFT(A94,8)&lt;&gt;"BP-TECH-","Key must start BP-TECH-",IF(OR(B94="",C94="",D94=""),"Process, sub-process and module needed",IF(AND(I94="Y",E94=""),"Supporting SYS-ID needed",IF(AND(OR(I94="N",L94="Outstanding"),M94=""),"Note the rationale / open question","OK")))))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6" t="str">
        <f aca="false">IF(A95="","",IF(LEFT(A95,8)&lt;&gt;"BP-TECH-","Key must start BP-TECH-",IF(OR(B95="",C95="",D95=""),"Process, sub-process and module needed",IF(AND(I95="Y",E95=""),"Supporting SYS-ID needed",IF(AND(OR(I95="N",L95="Outstanding"),M95=""),"Note the rationale / open question","OK")))))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 t="str">
        <f aca="false">IF(A96="","",IF(LEFT(A96,8)&lt;&gt;"BP-TECH-","Key must start BP-TECH-",IF(OR(B96="",C96="",D96=""),"Process, sub-process and module needed",IF(AND(I96="Y",E96=""),"Supporting SYS-ID needed",IF(AND(OR(I96="N",L96="Outstanding"),M96=""),"Note the rationale / open question","OK")))))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6" t="str">
        <f aca="false">IF(A97="","",IF(LEFT(A97,8)&lt;&gt;"BP-TECH-","Key must start BP-TECH-",IF(OR(B97="",C97="",D97=""),"Process, sub-process and module needed",IF(AND(I97="Y",E97=""),"Supporting SYS-ID needed",IF(AND(OR(I97="N",L97="Outstanding"),M97=""),"Note the rationale / open question","OK")))))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6" t="str">
        <f aca="false">IF(A98="","",IF(LEFT(A98,8)&lt;&gt;"BP-TECH-","Key must start BP-TECH-",IF(OR(B98="",C98="",D98=""),"Process, sub-process and module needed",IF(AND(I98="Y",E98=""),"Supporting SYS-ID needed",IF(AND(OR(I98="N",L98="Outstanding"),M98=""),"Note the rationale / open question","OK")))))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6" t="str">
        <f aca="false">IF(A99="","",IF(LEFT(A99,8)&lt;&gt;"BP-TECH-","Key must start BP-TECH-",IF(OR(B99="",C99="",D99=""),"Process, sub-process and module needed",IF(AND(I99="Y",E99=""),"Supporting SYS-ID needed",IF(AND(OR(I99="N",L99="Outstanding"),M99=""),"Note the rationale / open question","OK")))))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6" t="str">
        <f aca="false">IF(A100="","",IF(LEFT(A100,8)&lt;&gt;"BP-TECH-","Key must start BP-TECH-",IF(OR(B100="",C100="",D100=""),"Process, sub-process and module needed",IF(AND(I100="Y",E100=""),"Supporting SYS-ID needed",IF(AND(OR(I100="N",L100="Outstanding"),M100=""),"Note the rationale / open question","OK")))))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6" t="str">
        <f aca="false">IF(A101="","",IF(LEFT(A101,8)&lt;&gt;"BP-TECH-","Key must start BP-TECH-",IF(OR(B101="",C101="",D101=""),"Process, sub-process and module needed",IF(AND(I101="Y",E101=""),"Supporting SYS-ID needed",IF(AND(OR(I101="N",L101="Outstanding"),M101=""),"Note the rationale / open question","OK")))))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6" t="str">
        <f aca="false">IF(A102="","",IF(LEFT(A102,8)&lt;&gt;"BP-TECH-","Key must start BP-TECH-",IF(OR(B102="",C102="",D102=""),"Process, sub-process and module needed",IF(AND(I102="Y",E102=""),"Supporting SYS-ID needed",IF(AND(OR(I102="N",L102="Outstanding"),M102=""),"Note the rationale / open question","OK")))))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 t="str">
        <f aca="false">IF(A103="","",IF(LEFT(A103,8)&lt;&gt;"BP-TECH-","Key must start BP-TECH-",IF(OR(B103="",C103="",D103=""),"Process, sub-process and module needed",IF(AND(I103="Y",E103=""),"Supporting SYS-ID needed",IF(AND(OR(I103="N",L103="Outstanding"),M103=""),"Note the rationale / open question","OK")))))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6" t="str">
        <f aca="false">IF(A104="","",IF(LEFT(A104,8)&lt;&gt;"BP-TECH-","Key must start BP-TECH-",IF(OR(B104="",C104="",D104=""),"Process, sub-process and module needed",IF(AND(I104="Y",E104=""),"Supporting SYS-ID needed",IF(AND(OR(I104="N",L104="Outstanding"),M104=""),"Note the rationale / open question","OK")))))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6" t="str">
        <f aca="false">IF(A105="","",IF(LEFT(A105,8)&lt;&gt;"BP-TECH-","Key must start BP-TECH-",IF(OR(B105="",C105="",D105=""),"Process, sub-process and module needed",IF(AND(I105="Y",E105=""),"Supporting SYS-ID needed",IF(AND(OR(I105="N",L105="Outstanding"),M105=""),"Note the rationale / open question","OK")))))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 t="str">
        <f aca="false">IF(A106="","",IF(LEFT(A106,8)&lt;&gt;"BP-TECH-","Key must start BP-TECH-",IF(OR(B106="",C106="",D106=""),"Process, sub-process and module needed",IF(AND(I106="Y",E106=""),"Supporting SYS-ID needed",IF(AND(OR(I106="N",L106="Outstanding"),M106=""),"Note the rationale / open question","OK")))))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6" t="str">
        <f aca="false">IF(A107="","",IF(LEFT(A107,8)&lt;&gt;"BP-TECH-","Key must start BP-TECH-",IF(OR(B107="",C107="",D107=""),"Process, sub-process and module needed",IF(AND(I107="Y",E107=""),"Supporting SYS-ID needed",IF(AND(OR(I107="N",L107="Outstanding"),M107=""),"Note the rationale / open question","OK")))))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6" t="str">
        <f aca="false">IF(A108="","",IF(LEFT(A108,8)&lt;&gt;"BP-TECH-","Key must start BP-TECH-",IF(OR(B108="",C108="",D108=""),"Process, sub-process and module needed",IF(AND(I108="Y",E108=""),"Supporting SYS-ID needed",IF(AND(OR(I108="N",L108="Outstanding"),M108=""),"Note the rationale / open question","OK")))))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6" t="str">
        <f aca="false">IF(A109="","",IF(LEFT(A109,8)&lt;&gt;"BP-TECH-","Key must start BP-TECH-",IF(OR(B109="",C109="",D109=""),"Process, sub-process and module needed",IF(AND(I109="Y",E109=""),"Supporting SYS-ID needed",IF(AND(OR(I109="N",L109="Outstanding"),M109=""),"Note the rationale / open question","OK")))))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6" t="str">
        <f aca="false">IF(A110="","",IF(LEFT(A110,8)&lt;&gt;"BP-TECH-","Key must start BP-TECH-",IF(OR(B110="",C110="",D110=""),"Process, sub-process and module needed",IF(AND(I110="Y",E110=""),"Supporting SYS-ID needed",IF(AND(OR(I110="N",L110="Outstanding"),M110=""),"Note the rationale / open question","OK")))))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6" t="str">
        <f aca="false">IF(A111="","",IF(LEFT(A111,8)&lt;&gt;"BP-TECH-","Key must start BP-TECH-",IF(OR(B111="",C111="",D111=""),"Process, sub-process and module needed",IF(AND(I111="Y",E111=""),"Supporting SYS-ID needed",IF(AND(OR(I111="N",L111="Outstanding"),M111=""),"Note the rationale / open question","OK")))))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6" t="str">
        <f aca="false">IF(A112="","",IF(LEFT(A112,8)&lt;&gt;"BP-TECH-","Key must start BP-TECH-",IF(OR(B112="",C112="",D112=""),"Process, sub-process and module needed",IF(AND(I112="Y",E112=""),"Supporting SYS-ID needed",IF(AND(OR(I112="N",L112="Outstanding"),M112=""),"Note the rationale / open question","OK")))))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6" t="str">
        <f aca="false">IF(A113="","",IF(LEFT(A113,8)&lt;&gt;"BP-TECH-","Key must start BP-TECH-",IF(OR(B113="",C113="",D113=""),"Process, sub-process and module needed",IF(AND(I113="Y",E113=""),"Supporting SYS-ID needed",IF(AND(OR(I113="N",L113="Outstanding"),M113=""),"Note the rationale / open question","OK")))))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6" t="str">
        <f aca="false">IF(A114="","",IF(LEFT(A114,8)&lt;&gt;"BP-TECH-","Key must start BP-TECH-",IF(OR(B114="",C114="",D114=""),"Process, sub-process and module needed",IF(AND(I114="Y",E114=""),"Supporting SYS-ID needed",IF(AND(OR(I114="N",L114="Outstanding"),M114=""),"Note the rationale / open question","OK")))))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6" t="str">
        <f aca="false">IF(A115="","",IF(LEFT(A115,8)&lt;&gt;"BP-TECH-","Key must start BP-TECH-",IF(OR(B115="",C115="",D115=""),"Process, sub-process and module needed",IF(AND(I115="Y",E115=""),"Supporting SYS-ID needed",IF(AND(OR(I115="N",L115="Outstanding"),M115=""),"Note the rationale / open question","OK")))))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6" t="str">
        <f aca="false">IF(A116="","",IF(LEFT(A116,8)&lt;&gt;"BP-TECH-","Key must start BP-TECH-",IF(OR(B116="",C116="",D116=""),"Process, sub-process and module needed",IF(AND(I116="Y",E116=""),"Supporting SYS-ID needed",IF(AND(OR(I116="N",L116="Outstanding"),M116=""),"Note the rationale / open question","OK")))))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6" t="str">
        <f aca="false">IF(A117="","",IF(LEFT(A117,8)&lt;&gt;"BP-TECH-","Key must start BP-TECH-",IF(OR(B117="",C117="",D117=""),"Process, sub-process and module needed",IF(AND(I117="Y",E117=""),"Supporting SYS-ID needed",IF(AND(OR(I117="N",L117="Outstanding"),M117=""),"Note the rationale / open question","OK")))))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6" t="str">
        <f aca="false">IF(A118="","",IF(LEFT(A118,8)&lt;&gt;"BP-TECH-","Key must start BP-TECH-",IF(OR(B118="",C118="",D118=""),"Process, sub-process and module needed",IF(AND(I118="Y",E118=""),"Supporting SYS-ID needed",IF(AND(OR(I118="N",L118="Outstanding"),M118=""),"Note the rationale / open question","OK")))))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6" t="str">
        <f aca="false">IF(A119="","",IF(LEFT(A119,8)&lt;&gt;"BP-TECH-","Key must start BP-TECH-",IF(OR(B119="",C119="",D119=""),"Process, sub-process and module needed",IF(AND(I119="Y",E119=""),"Supporting SYS-ID needed",IF(AND(OR(I119="N",L119="Outstanding"),M119=""),"Note the rationale / open question","OK")))))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6" t="str">
        <f aca="false">IF(A120="","",IF(LEFT(A120,8)&lt;&gt;"BP-TECH-","Key must start BP-TECH-",IF(OR(B120="",C120="",D120=""),"Process, sub-process and module needed",IF(AND(I120="Y",E120=""),"Supporting SYS-ID needed",IF(AND(OR(I120="N",L120="Outstanding"),M120=""),"Note the rationale / open question","OK")))))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6" t="str">
        <f aca="false">IF(A121="","",IF(LEFT(A121,8)&lt;&gt;"BP-TECH-","Key must start BP-TECH-",IF(OR(B121="",C121="",D121=""),"Process, sub-process and module needed",IF(AND(I121="Y",E121=""),"Supporting SYS-ID needed",IF(AND(OR(I121="N",L121="Outstanding"),M121=""),"Note the rationale / open question","OK")))))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6" t="str">
        <f aca="false">IF(A122="","",IF(LEFT(A122,8)&lt;&gt;"BP-TECH-","Key must start BP-TECH-",IF(OR(B122="",C122="",D122=""),"Process, sub-process and module needed",IF(AND(I122="Y",E122=""),"Supporting SYS-ID needed",IF(AND(OR(I122="N",L122="Outstanding"),M122=""),"Note the rationale / open question","OK")))))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6" t="str">
        <f aca="false">IF(A123="","",IF(LEFT(A123,8)&lt;&gt;"BP-TECH-","Key must start BP-TECH-",IF(OR(B123="",C123="",D123=""),"Process, sub-process and module needed",IF(AND(I123="Y",E123=""),"Supporting SYS-ID needed",IF(AND(OR(I123="N",L123="Outstanding"),M123=""),"Note the rationale / open question","OK")))))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6" t="str">
        <f aca="false">IF(A124="","",IF(LEFT(A124,8)&lt;&gt;"BP-TECH-","Key must start BP-TECH-",IF(OR(B124="",C124="",D124=""),"Process, sub-process and module needed",IF(AND(I124="Y",E124=""),"Supporting SYS-ID needed",IF(AND(OR(I124="N",L124="Outstanding"),M124=""),"Note the rationale / open question","OK")))))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6" t="str">
        <f aca="false">IF(A125="","",IF(LEFT(A125,8)&lt;&gt;"BP-TECH-","Key must start BP-TECH-",IF(OR(B125="",C125="",D125=""),"Process, sub-process and module needed",IF(AND(I125="Y",E125=""),"Supporting SYS-ID needed",IF(AND(OR(I125="N",L125="Outstanding"),M125=""),"Note the rationale / open question","OK")))))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6" t="str">
        <f aca="false">IF(A126="","",IF(LEFT(A126,8)&lt;&gt;"BP-TECH-","Key must start BP-TECH-",IF(OR(B126="",C126="",D126=""),"Process, sub-process and module needed",IF(AND(I126="Y",E126=""),"Supporting SYS-ID needed",IF(AND(OR(I126="N",L126="Outstanding"),M126=""),"Note the rationale / open question","OK")))))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6" t="str">
        <f aca="false">IF(A127="","",IF(LEFT(A127,8)&lt;&gt;"BP-TECH-","Key must start BP-TECH-",IF(OR(B127="",C127="",D127=""),"Process, sub-process and module needed",IF(AND(I127="Y",E127=""),"Supporting SYS-ID needed",IF(AND(OR(I127="N",L127="Outstanding"),M127=""),"Note the rationale / open question","OK")))))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6" t="str">
        <f aca="false">IF(A128="","",IF(LEFT(A128,8)&lt;&gt;"BP-TECH-","Key must start BP-TECH-",IF(OR(B128="",C128="",D128=""),"Process, sub-process and module needed",IF(AND(I128="Y",E128=""),"Supporting SYS-ID needed",IF(AND(OR(I128="N",L128="Outstanding"),M128=""),"Note the rationale / open question","OK")))))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6" t="str">
        <f aca="false">IF(A129="","",IF(LEFT(A129,8)&lt;&gt;"BP-TECH-","Key must start BP-TECH-",IF(OR(B129="",C129="",D129=""),"Process, sub-process and module needed",IF(AND(I129="Y",E129=""),"Supporting SYS-ID needed",IF(AND(OR(I129="N",L129="Outstanding"),M129=""),"Note the rationale / open question","OK")))))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6" t="str">
        <f aca="false">IF(A130="","",IF(LEFT(A130,8)&lt;&gt;"BP-TECH-","Key must start BP-TECH-",IF(OR(B130="",C130="",D130=""),"Process, sub-process and module needed",IF(AND(I130="Y",E130=""),"Supporting SYS-ID needed",IF(AND(OR(I130="N",L130="Outstanding"),M130=""),"Note the rationale / open question","OK")))))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6" t="str">
        <f aca="false">IF(A131="","",IF(LEFT(A131,8)&lt;&gt;"BP-TECH-","Key must start BP-TECH-",IF(OR(B131="",C131="",D131=""),"Process, sub-process and module needed",IF(AND(I131="Y",E131=""),"Supporting SYS-ID needed",IF(AND(OR(I131="N",L131="Outstanding"),M131=""),"Note the rationale / open question","OK")))))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 t="str">
        <f aca="false">IF(A132="","",IF(LEFT(A132,8)&lt;&gt;"BP-TECH-","Key must start BP-TECH-",IF(OR(B132="",C132="",D132=""),"Process, sub-process and module needed",IF(AND(I132="Y",E132=""),"Supporting SYS-ID needed",IF(AND(OR(I132="N",L132="Outstanding"),M132=""),"Note the rationale / open question","OK")))))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6" t="str">
        <f aca="false">IF(A133="","",IF(LEFT(A133,8)&lt;&gt;"BP-TECH-","Key must start BP-TECH-",IF(OR(B133="",C133="",D133=""),"Process, sub-process and module needed",IF(AND(I133="Y",E133=""),"Supporting SYS-ID needed",IF(AND(OR(I133="N",L133="Outstanding"),M133=""),"Note the rationale / open question","OK")))))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6" t="str">
        <f aca="false">IF(A134="","",IF(LEFT(A134,8)&lt;&gt;"BP-TECH-","Key must start BP-TECH-",IF(OR(B134="",C134="",D134=""),"Process, sub-process and module needed",IF(AND(I134="Y",E134=""),"Supporting SYS-ID needed",IF(AND(OR(I134="N",L134="Outstanding"),M134=""),"Note the rationale / open question","OK")))))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 t="str">
        <f aca="false">IF(A135="","",IF(LEFT(A135,8)&lt;&gt;"BP-TECH-","Key must start BP-TECH-",IF(OR(B135="",C135="",D135=""),"Process, sub-process and module needed",IF(AND(I135="Y",E135=""),"Supporting SYS-ID needed",IF(AND(OR(I135="N",L135="Outstanding"),M135=""),"Note the rationale / open question","OK")))))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6" t="str">
        <f aca="false">IF(A136="","",IF(LEFT(A136,8)&lt;&gt;"BP-TECH-","Key must start BP-TECH-",IF(OR(B136="",C136="",D136=""),"Process, sub-process and module needed",IF(AND(I136="Y",E136=""),"Supporting SYS-ID needed",IF(AND(OR(I136="N",L136="Outstanding"),M136=""),"Note the rationale / open question","OK")))))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6" t="str">
        <f aca="false">IF(A137="","",IF(LEFT(A137,8)&lt;&gt;"BP-TECH-","Key must start BP-TECH-",IF(OR(B137="",C137="",D137=""),"Process, sub-process and module needed",IF(AND(I137="Y",E137=""),"Supporting SYS-ID needed",IF(AND(OR(I137="N",L137="Outstanding"),M137=""),"Note the rationale / open question","OK")))))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6" t="str">
        <f aca="false">IF(A138="","",IF(LEFT(A138,8)&lt;&gt;"BP-TECH-","Key must start BP-TECH-",IF(OR(B138="",C138="",D138=""),"Process, sub-process and module needed",IF(AND(I138="Y",E138=""),"Supporting SYS-ID needed",IF(AND(OR(I138="N",L138="Outstanding"),M138=""),"Note the rationale / open question","OK")))))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6" t="str">
        <f aca="false">IF(A139="","",IF(LEFT(A139,8)&lt;&gt;"BP-TECH-","Key must start BP-TECH-",IF(OR(B139="",C139="",D139=""),"Process, sub-process and module needed",IF(AND(I139="Y",E139=""),"Supporting SYS-ID needed",IF(AND(OR(I139="N",L139="Outstanding"),M139=""),"Note the rationale / open question","OK")))))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6" t="str">
        <f aca="false">IF(A140="","",IF(LEFT(A140,8)&lt;&gt;"BP-TECH-","Key must start BP-TECH-",IF(OR(B140="",C140="",D140=""),"Process, sub-process and module needed",IF(AND(I140="Y",E140=""),"Supporting SYS-ID needed",IF(AND(OR(I140="N",L140="Outstanding"),M140=""),"Note the rationale / open question","OK")))))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6" t="str">
        <f aca="false">IF(A141="","",IF(LEFT(A141,8)&lt;&gt;"BP-TECH-","Key must start BP-TECH-",IF(OR(B141="",C141="",D141=""),"Process, sub-process and module needed",IF(AND(I141="Y",E141=""),"Supporting SYS-ID needed",IF(AND(OR(I141="N",L141="Outstanding"),M141=""),"Note the rationale / open question","OK")))))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6" t="str">
        <f aca="false">IF(A142="","",IF(LEFT(A142,8)&lt;&gt;"BP-TECH-","Key must start BP-TECH-",IF(OR(B142="",C142="",D142=""),"Process, sub-process and module needed",IF(AND(I142="Y",E142=""),"Supporting SYS-ID needed",IF(AND(OR(I142="N",L142="Outstanding"),M142=""),"Note the rationale / open question","OK")))))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6" t="str">
        <f aca="false">IF(A143="","",IF(LEFT(A143,8)&lt;&gt;"BP-TECH-","Key must start BP-TECH-",IF(OR(B143="",C143="",D143=""),"Process, sub-process and module needed",IF(AND(I143="Y",E143=""),"Supporting SYS-ID needed",IF(AND(OR(I143="N",L143="Outstanding"),M143=""),"Note the rationale / open question","OK")))))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6" t="str">
        <f aca="false">IF(A144="","",IF(LEFT(A144,8)&lt;&gt;"BP-TECH-","Key must start BP-TECH-",IF(OR(B144="",C144="",D144=""),"Process, sub-process and module needed",IF(AND(I144="Y",E144=""),"Supporting SYS-ID needed",IF(AND(OR(I144="N",L144="Outstanding"),M144=""),"Note the rationale / open question","OK")))))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6" t="str">
        <f aca="false">IF(A145="","",IF(LEFT(A145,8)&lt;&gt;"BP-TECH-","Key must start BP-TECH-",IF(OR(B145="",C145="",D145=""),"Process, sub-process and module needed",IF(AND(I145="Y",E145=""),"Supporting SYS-ID needed",IF(AND(OR(I145="N",L145="Outstanding"),M145=""),"Note the rationale / open question","OK")))))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6" t="str">
        <f aca="false">IF(A146="","",IF(LEFT(A146,8)&lt;&gt;"BP-TECH-","Key must start BP-TECH-",IF(OR(B146="",C146="",D146=""),"Process, sub-process and module needed",IF(AND(I146="Y",E146=""),"Supporting SYS-ID needed",IF(AND(OR(I146="N",L146="Outstanding"),M146=""),"Note the rationale / open question","OK")))))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6" t="str">
        <f aca="false">IF(A147="","",IF(LEFT(A147,8)&lt;&gt;"BP-TECH-","Key must start BP-TECH-",IF(OR(B147="",C147="",D147=""),"Process, sub-process and module needed",IF(AND(I147="Y",E147=""),"Supporting SYS-ID needed",IF(AND(OR(I147="N",L147="Outstanding"),M147=""),"Note the rationale / open question","OK")))))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6" t="str">
        <f aca="false">IF(A148="","",IF(LEFT(A148,8)&lt;&gt;"BP-TECH-","Key must start BP-TECH-",IF(OR(B148="",C148="",D148=""),"Process, sub-process and module needed",IF(AND(I148="Y",E148=""),"Supporting SYS-ID needed",IF(AND(OR(I148="N",L148="Outstanding"),M148=""),"Note the rationale / open question","OK")))))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6" t="str">
        <f aca="false">IF(A149="","",IF(LEFT(A149,8)&lt;&gt;"BP-TECH-","Key must start BP-TECH-",IF(OR(B149="",C149="",D149=""),"Process, sub-process and module needed",IF(AND(I149="Y",E149=""),"Supporting SYS-ID needed",IF(AND(OR(I149="N",L149="Outstanding"),M149=""),"Note the rationale / open question","OK")))))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6" t="str">
        <f aca="false">IF(A150="","",IF(LEFT(A150,8)&lt;&gt;"BP-TECH-","Key must start BP-TECH-",IF(OR(B150="",C150="",D150=""),"Process, sub-process and module needed",IF(AND(I150="Y",E150=""),"Supporting SYS-ID needed",IF(AND(OR(I150="N",L150="Outstanding"),M150=""),"Note the rationale / open question","OK")))))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 t="str">
        <f aca="false">IF(A151="","",IF(LEFT(A151,8)&lt;&gt;"BP-TECH-","Key must start BP-TECH-",IF(OR(B151="",C151="",D151=""),"Process, sub-process and module needed",IF(AND(I151="Y",E151=""),"Supporting SYS-ID needed",IF(AND(OR(I151="N",L151="Outstanding"),M151=""),"Note the rationale / open question","OK")))))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6" t="str">
        <f aca="false">IF(A152="","",IF(LEFT(A152,8)&lt;&gt;"BP-TECH-","Key must start BP-TECH-",IF(OR(B152="",C152="",D152=""),"Process, sub-process and module needed",IF(AND(I152="Y",E152=""),"Supporting SYS-ID needed",IF(AND(OR(I152="N",L152="Outstanding"),M152=""),"Note the rationale / open question","OK")))))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6" t="str">
        <f aca="false">IF(A153="","",IF(LEFT(A153,8)&lt;&gt;"BP-TECH-","Key must start BP-TECH-",IF(OR(B153="",C153="",D153=""),"Process, sub-process and module needed",IF(AND(I153="Y",E153=""),"Supporting SYS-ID needed",IF(AND(OR(I153="N",L153="Outstanding"),M153=""),"Note the rationale / open question","OK")))))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6" t="str">
        <f aca="false">IF(A154="","",IF(LEFT(A154,8)&lt;&gt;"BP-TECH-","Key must start BP-TECH-",IF(OR(B154="",C154="",D154=""),"Process, sub-process and module needed",IF(AND(I154="Y",E154=""),"Supporting SYS-ID needed",IF(AND(OR(I154="N",L154="Outstanding"),M154=""),"Note the rationale / open question","OK")))))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6" t="str">
        <f aca="false">IF(A155="","",IF(LEFT(A155,8)&lt;&gt;"BP-TECH-","Key must start BP-TECH-",IF(OR(B155="",C155="",D155=""),"Process, sub-process and module needed",IF(AND(I155="Y",E155=""),"Supporting SYS-ID needed",IF(AND(OR(I155="N",L155="Outstanding"),M155=""),"Note the rationale / open question","OK")))))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6" t="str">
        <f aca="false">IF(A156="","",IF(LEFT(A156,8)&lt;&gt;"BP-TECH-","Key must start BP-TECH-",IF(OR(B156="",C156="",D156=""),"Process, sub-process and module needed",IF(AND(I156="Y",E156=""),"Supporting SYS-ID needed",IF(AND(OR(I156="N",L156="Outstanding"),M156=""),"Note the rationale / open question","OK")))))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 t="str">
        <f aca="false">IF(A157="","",IF(LEFT(A157,8)&lt;&gt;"BP-TECH-","Key must start BP-TECH-",IF(OR(B157="",C157="",D157=""),"Process, sub-process and module needed",IF(AND(I157="Y",E157=""),"Supporting SYS-ID needed",IF(AND(OR(I157="N",L157="Outstanding"),M157=""),"Note the rationale / open question","OK")))))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6" t="str">
        <f aca="false">IF(A158="","",IF(LEFT(A158,8)&lt;&gt;"BP-TECH-","Key must start BP-TECH-",IF(OR(B158="",C158="",D158=""),"Process, sub-process and module needed",IF(AND(I158="Y",E158=""),"Supporting SYS-ID needed",IF(AND(OR(I158="N",L158="Outstanding"),M158=""),"Note the rationale / open question","OK")))))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6" t="str">
        <f aca="false">IF(A159="","",IF(LEFT(A159,8)&lt;&gt;"BP-TECH-","Key must start BP-TECH-",IF(OR(B159="",C159="",D159=""),"Process, sub-process and module needed",IF(AND(I159="Y",E159=""),"Supporting SYS-ID needed",IF(AND(OR(I159="N",L159="Outstanding"),M159=""),"Note the rationale / open question","OK")))))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6" t="str">
        <f aca="false">IF(A160="","",IF(LEFT(A160,8)&lt;&gt;"BP-TECH-","Key must start BP-TECH-",IF(OR(B160="",C160="",D160=""),"Process, sub-process and module needed",IF(AND(I160="Y",E160=""),"Supporting SYS-ID needed",IF(AND(OR(I160="N",L160="Outstanding"),M160=""),"Note the rationale / open question","OK")))))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6" t="str">
        <f aca="false">IF(A161="","",IF(LEFT(A161,8)&lt;&gt;"BP-TECH-","Key must start BP-TECH-",IF(OR(B161="",C161="",D161=""),"Process, sub-process and module needed",IF(AND(I161="Y",E161=""),"Supporting SYS-ID needed",IF(AND(OR(I161="N",L161="Outstanding"),M161=""),"Note the rationale / open question","OK")))))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6" t="str">
        <f aca="false">IF(A162="","",IF(LEFT(A162,8)&lt;&gt;"BP-TECH-","Key must start BP-TECH-",IF(OR(B162="",C162="",D162=""),"Process, sub-process and module needed",IF(AND(I162="Y",E162=""),"Supporting SYS-ID needed",IF(AND(OR(I162="N",L162="Outstanding"),M162=""),"Note the rationale / open question","OK")))))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6" t="str">
        <f aca="false">IF(A163="","",IF(LEFT(A163,8)&lt;&gt;"BP-TECH-","Key must start BP-TECH-",IF(OR(B163="",C163="",D163=""),"Process, sub-process and module needed",IF(AND(I163="Y",E163=""),"Supporting SYS-ID needed",IF(AND(OR(I163="N",L163="Outstanding"),M163=""),"Note the rationale / open question","OK")))))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6" t="str">
        <f aca="false">IF(A164="","",IF(LEFT(A164,8)&lt;&gt;"BP-TECH-","Key must start BP-TECH-",IF(OR(B164="",C164="",D164=""),"Process, sub-process and module needed",IF(AND(I164="Y",E164=""),"Supporting SYS-ID needed",IF(AND(OR(I164="N",L164="Outstanding"),M164=""),"Note the rationale / open question","OK")))))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6" t="str">
        <f aca="false">IF(A165="","",IF(LEFT(A165,8)&lt;&gt;"BP-TECH-","Key must start BP-TECH-",IF(OR(B165="",C165="",D165=""),"Process, sub-process and module needed",IF(AND(I165="Y",E165=""),"Supporting SYS-ID needed",IF(AND(OR(I165="N",L165="Outstanding"),M165=""),"Note the rationale / open question","OK")))))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6" t="str">
        <f aca="false">IF(A166="","",IF(LEFT(A166,8)&lt;&gt;"BP-TECH-","Key must start BP-TECH-",IF(OR(B166="",C166="",D166=""),"Process, sub-process and module needed",IF(AND(I166="Y",E166=""),"Supporting SYS-ID needed",IF(AND(OR(I166="N",L166="Outstanding"),M166=""),"Note the rationale / open question","OK")))))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6" t="str">
        <f aca="false">IF(A167="","",IF(LEFT(A167,8)&lt;&gt;"BP-TECH-","Key must start BP-TECH-",IF(OR(B167="",C167="",D167=""),"Process, sub-process and module needed",IF(AND(I167="Y",E167=""),"Supporting SYS-ID needed",IF(AND(OR(I167="N",L167="Outstanding"),M167=""),"Note the rationale / open question","OK")))))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6" t="str">
        <f aca="false">IF(A168="","",IF(LEFT(A168,8)&lt;&gt;"BP-TECH-","Key must start BP-TECH-",IF(OR(B168="",C168="",D168=""),"Process, sub-process and module needed",IF(AND(I168="Y",E168=""),"Supporting SYS-ID needed",IF(AND(OR(I168="N",L168="Outstanding"),M168=""),"Note the rationale / open question","OK")))))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 t="str">
        <f aca="false">IF(A169="","",IF(LEFT(A169,8)&lt;&gt;"BP-TECH-","Key must start BP-TECH-",IF(OR(B169="",C169="",D169=""),"Process, sub-process and module needed",IF(AND(I169="Y",E169=""),"Supporting SYS-ID needed",IF(AND(OR(I169="N",L169="Outstanding"),M169=""),"Note the rationale / open question","OK")))))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6" t="str">
        <f aca="false">IF(A170="","",IF(LEFT(A170,8)&lt;&gt;"BP-TECH-","Key must start BP-TECH-",IF(OR(B170="",C170="",D170=""),"Process, sub-process and module needed",IF(AND(I170="Y",E170=""),"Supporting SYS-ID needed",IF(AND(OR(I170="N",L170="Outstanding"),M170=""),"Note the rationale / open question","OK")))))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6" t="str">
        <f aca="false">IF(A171="","",IF(LEFT(A171,8)&lt;&gt;"BP-TECH-","Key must start BP-TECH-",IF(OR(B171="",C171="",D171=""),"Process, sub-process and module needed",IF(AND(I171="Y",E171=""),"Supporting SYS-ID needed",IF(AND(OR(I171="N",L171="Outstanding"),M171=""),"Note the rationale / open question","OK")))))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6" t="str">
        <f aca="false">IF(A172="","",IF(LEFT(A172,8)&lt;&gt;"BP-TECH-","Key must start BP-TECH-",IF(OR(B172="",C172="",D172=""),"Process, sub-process and module needed",IF(AND(I172="Y",E172=""),"Supporting SYS-ID needed",IF(AND(OR(I172="N",L172="Outstanding"),M172=""),"Note the rationale / open question","OK")))))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6" t="str">
        <f aca="false">IF(A173="","",IF(LEFT(A173,8)&lt;&gt;"BP-TECH-","Key must start BP-TECH-",IF(OR(B173="",C173="",D173=""),"Process, sub-process and module needed",IF(AND(I173="Y",E173=""),"Supporting SYS-ID needed",IF(AND(OR(I173="N",L173="Outstanding"),M173=""),"Note the rationale / open question","OK")))))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6" t="str">
        <f aca="false">IF(A174="","",IF(LEFT(A174,8)&lt;&gt;"BP-TECH-","Key must start BP-TECH-",IF(OR(B174="",C174="",D174=""),"Process, sub-process and module needed",IF(AND(I174="Y",E174=""),"Supporting SYS-ID needed",IF(AND(OR(I174="N",L174="Outstanding"),M174=""),"Note the rationale / open question","OK")))))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6" t="str">
        <f aca="false">IF(A175="","",IF(LEFT(A175,8)&lt;&gt;"BP-TECH-","Key must start BP-TECH-",IF(OR(B175="",C175="",D175=""),"Process, sub-process and module needed",IF(AND(I175="Y",E175=""),"Supporting SYS-ID needed",IF(AND(OR(I175="N",L175="Outstanding"),M175=""),"Note the rationale / open question","OK")))))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6" t="str">
        <f aca="false">IF(A176="","",IF(LEFT(A176,8)&lt;&gt;"BP-TECH-","Key must start BP-TECH-",IF(OR(B176="",C176="",D176=""),"Process, sub-process and module needed",IF(AND(I176="Y",E176=""),"Supporting SYS-ID needed",IF(AND(OR(I176="N",L176="Outstanding"),M176=""),"Note the rationale / open question","OK")))))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6" t="str">
        <f aca="false">IF(A177="","",IF(LEFT(A177,8)&lt;&gt;"BP-TECH-","Key must start BP-TECH-",IF(OR(B177="",C177="",D177=""),"Process, sub-process and module needed",IF(AND(I177="Y",E177=""),"Supporting SYS-ID needed",IF(AND(OR(I177="N",L177="Outstanding"),M177=""),"Note the rationale / open question","OK")))))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6" t="str">
        <f aca="false">IF(A178="","",IF(LEFT(A178,8)&lt;&gt;"BP-TECH-","Key must start BP-TECH-",IF(OR(B178="",C178="",D178=""),"Process, sub-process and module needed",IF(AND(I178="Y",E178=""),"Supporting SYS-ID needed",IF(AND(OR(I178="N",L178="Outstanding"),M178=""),"Note the rationale / open question","OK")))))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6" t="str">
        <f aca="false">IF(A179="","",IF(LEFT(A179,8)&lt;&gt;"BP-TECH-","Key must start BP-TECH-",IF(OR(B179="",C179="",D179=""),"Process, sub-process and module needed",IF(AND(I179="Y",E179=""),"Supporting SYS-ID needed",IF(AND(OR(I179="N",L179="Outstanding"),M179=""),"Note the rationale / open question","OK")))))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6" t="str">
        <f aca="false">IF(A180="","",IF(LEFT(A180,8)&lt;&gt;"BP-TECH-","Key must start BP-TECH-",IF(OR(B180="",C180="",D180=""),"Process, sub-process and module needed",IF(AND(I180="Y",E180=""),"Supporting SYS-ID needed",IF(AND(OR(I180="N",L180="Outstanding"),M180=""),"Note the rationale / open question","OK")))))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6" t="str">
        <f aca="false">IF(A181="","",IF(LEFT(A181,8)&lt;&gt;"BP-TECH-","Key must start BP-TECH-",IF(OR(B181="",C181="",D181=""),"Process, sub-process and module needed",IF(AND(I181="Y",E181=""),"Supporting SYS-ID needed",IF(AND(OR(I181="N",L181="Outstanding"),M181=""),"Note the rationale / open question","OK")))))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6" t="str">
        <f aca="false">IF(A182="","",IF(LEFT(A182,8)&lt;&gt;"BP-TECH-","Key must start BP-TECH-",IF(OR(B182="",C182="",D182=""),"Process, sub-process and module needed",IF(AND(I182="Y",E182=""),"Supporting SYS-ID needed",IF(AND(OR(I182="N",L182="Outstanding"),M182=""),"Note the rationale / open question","OK")))))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6" t="str">
        <f aca="false">IF(A183="","",IF(LEFT(A183,8)&lt;&gt;"BP-TECH-","Key must start BP-TECH-",IF(OR(B183="",C183="",D183=""),"Process, sub-process and module needed",IF(AND(I183="Y",E183=""),"Supporting SYS-ID needed",IF(AND(OR(I183="N",L183="Outstanding"),M183=""),"Note the rationale / open question","OK")))))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6" t="str">
        <f aca="false">IF(A184="","",IF(LEFT(A184,8)&lt;&gt;"BP-TECH-","Key must start BP-TECH-",IF(OR(B184="",C184="",D184=""),"Process, sub-process and module needed",IF(AND(I184="Y",E184=""),"Supporting SYS-ID needed",IF(AND(OR(I184="N",L184="Outstanding"),M184=""),"Note the rationale / open question","OK")))))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6" t="str">
        <f aca="false">IF(A185="","",IF(LEFT(A185,8)&lt;&gt;"BP-TECH-","Key must start BP-TECH-",IF(OR(B185="",C185="",D185=""),"Process, sub-process and module needed",IF(AND(I185="Y",E185=""),"Supporting SYS-ID needed",IF(AND(OR(I185="N",L185="Outstanding"),M185=""),"Note the rationale / open question","OK")))))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6" t="str">
        <f aca="false">IF(A186="","",IF(LEFT(A186,8)&lt;&gt;"BP-TECH-","Key must start BP-TECH-",IF(OR(B186="",C186="",D186=""),"Process, sub-process and module needed",IF(AND(I186="Y",E186=""),"Supporting SYS-ID needed",IF(AND(OR(I186="N",L186="Outstanding"),M186=""),"Note the rationale / open question","OK")))))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6" t="str">
        <f aca="false">IF(A187="","",IF(LEFT(A187,8)&lt;&gt;"BP-TECH-","Key must start BP-TECH-",IF(OR(B187="",C187="",D187=""),"Process, sub-process and module needed",IF(AND(I187="Y",E187=""),"Supporting SYS-ID needed",IF(AND(OR(I187="N",L187="Outstanding"),M187=""),"Note the rationale / open question","OK")))))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6" t="str">
        <f aca="false">IF(A188="","",IF(LEFT(A188,8)&lt;&gt;"BP-TECH-","Key must start BP-TECH-",IF(OR(B188="",C188="",D188=""),"Process, sub-process and module needed",IF(AND(I188="Y",E188=""),"Supporting SYS-ID needed",IF(AND(OR(I188="N",L188="Outstanding"),M188=""),"Note the rationale / open question","OK")))))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6" t="str">
        <f aca="false">IF(A189="","",IF(LEFT(A189,8)&lt;&gt;"BP-TECH-","Key must start BP-TECH-",IF(OR(B189="",C189="",D189=""),"Process, sub-process and module needed",IF(AND(I189="Y",E189=""),"Supporting SYS-ID needed",IF(AND(OR(I189="N",L189="Outstanding"),M189=""),"Note the rationale / open question","OK")))))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6" t="str">
        <f aca="false">IF(A190="","",IF(LEFT(A190,8)&lt;&gt;"BP-TECH-","Key must start BP-TECH-",IF(OR(B190="",C190="",D190=""),"Process, sub-process and module needed",IF(AND(I190="Y",E190=""),"Supporting SYS-ID needed",IF(AND(OR(I190="N",L190="Outstanding"),M190=""),"Note the rationale / open question","OK")))))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6" t="str">
        <f aca="false">IF(A191="","",IF(LEFT(A191,8)&lt;&gt;"BP-TECH-","Key must start BP-TECH-",IF(OR(B191="",C191="",D191=""),"Process, sub-process and module needed",IF(AND(I191="Y",E191=""),"Supporting SYS-ID needed",IF(AND(OR(I191="N",L191="Outstanding"),M191=""),"Note the rationale / open question","OK")))))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6" t="str">
        <f aca="false">IF(A192="","",IF(LEFT(A192,8)&lt;&gt;"BP-TECH-","Key must start BP-TECH-",IF(OR(B192="",C192="",D192=""),"Process, sub-process and module needed",IF(AND(I192="Y",E192=""),"Supporting SYS-ID needed",IF(AND(OR(I192="N",L192="Outstanding"),M192=""),"Note the rationale / open question","OK")))))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6" t="str">
        <f aca="false">IF(A193="","",IF(LEFT(A193,8)&lt;&gt;"BP-TECH-","Key must start BP-TECH-",IF(OR(B193="",C193="",D193=""),"Process, sub-process and module needed",IF(AND(I193="Y",E193=""),"Supporting SYS-ID needed",IF(AND(OR(I193="N",L193="Outstanding"),M193=""),"Note the rationale / open question","OK")))))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6" t="str">
        <f aca="false">IF(A194="","",IF(LEFT(A194,8)&lt;&gt;"BP-TECH-","Key must start BP-TECH-",IF(OR(B194="",C194="",D194=""),"Process, sub-process and module needed",IF(AND(I194="Y",E194=""),"Supporting SYS-ID needed",IF(AND(OR(I194="N",L194="Outstanding"),M194=""),"Note the rationale / open question","OK")))))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6" t="str">
        <f aca="false">IF(A195="","",IF(LEFT(A195,8)&lt;&gt;"BP-TECH-","Key must start BP-TECH-",IF(OR(B195="",C195="",D195=""),"Process, sub-process and module needed",IF(AND(I195="Y",E195=""),"Supporting SYS-ID needed",IF(AND(OR(I195="N",L195="Outstanding"),M195=""),"Note the rationale / open question","OK")))))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6" t="str">
        <f aca="false">IF(A196="","",IF(LEFT(A196,8)&lt;&gt;"BP-TECH-","Key must start BP-TECH-",IF(OR(B196="",C196="",D196=""),"Process, sub-process and module needed",IF(AND(I196="Y",E196=""),"Supporting SYS-ID needed",IF(AND(OR(I196="N",L196="Outstanding"),M196=""),"Note the rationale / open question","OK")))))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6" t="str">
        <f aca="false">IF(A197="","",IF(LEFT(A197,8)&lt;&gt;"BP-TECH-","Key must start BP-TECH-",IF(OR(B197="",C197="",D197=""),"Process, sub-process and module needed",IF(AND(I197="Y",E197=""),"Supporting SYS-ID needed",IF(AND(OR(I197="N",L197="Outstanding"),M197=""),"Note the rationale / open question","OK")))))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6" t="str">
        <f aca="false">IF(A198="","",IF(LEFT(A198,8)&lt;&gt;"BP-TECH-","Key must start BP-TECH-",IF(OR(B198="",C198="",D198=""),"Process, sub-process and module needed",IF(AND(I198="Y",E198=""),"Supporting SYS-ID needed",IF(AND(OR(I198="N",L198="Outstanding"),M198=""),"Note the rationale / open question","OK")))))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6" t="str">
        <f aca="false">IF(A199="","",IF(LEFT(A199,8)&lt;&gt;"BP-TECH-","Key must start BP-TECH-",IF(OR(B199="",C199="",D199=""),"Process, sub-process and module needed",IF(AND(I199="Y",E199=""),"Supporting SYS-ID needed",IF(AND(OR(I199="N",L199="Outstanding"),M199=""),"Note the rationale / open question","OK")))))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6" t="str">
        <f aca="false">IF(A200="","",IF(LEFT(A200,8)&lt;&gt;"BP-TECH-","Key must start BP-TECH-",IF(OR(B200="",C200="",D200=""),"Process, sub-process and module needed",IF(AND(I200="Y",E200=""),"Supporting SYS-ID needed",IF(AND(OR(I200="N",L200="Outstanding"),M200=""),"Note the rationale / open question","OK")))))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6" t="str">
        <f aca="false">IF(A201="","",IF(LEFT(A201,8)&lt;&gt;"BP-TECH-","Key must start BP-TECH-",IF(OR(B201="",C201="",D201=""),"Process, sub-process and module needed",IF(AND(I201="Y",E201=""),"Supporting SYS-ID needed",IF(AND(OR(I201="N",L201="Outstanding"),M201=""),"Note the rationale / open question","OK")))))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6" t="str">
        <f aca="false">IF(A202="","",IF(LEFT(A202,8)&lt;&gt;"BP-TECH-","Key must start BP-TECH-",IF(OR(B202="",C202="",D202=""),"Process, sub-process and module needed",IF(AND(I202="Y",E202=""),"Supporting SYS-ID needed",IF(AND(OR(I202="N",L202="Outstanding"),M202=""),"Note the rationale / open question","OK")))))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6" t="str">
        <f aca="false">IF(A203="","",IF(LEFT(A203,8)&lt;&gt;"BP-TECH-","Key must start BP-TECH-",IF(OR(B203="",C203="",D203=""),"Process, sub-process and module needed",IF(AND(I203="Y",E203=""),"Supporting SYS-ID needed",IF(AND(OR(I203="N",L203="Outstanding"),M203=""),"Note the rationale / open question","OK")))))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6" t="str">
        <f aca="false">IF(A204="","",IF(LEFT(A204,8)&lt;&gt;"BP-TECH-","Key must start BP-TECH-",IF(OR(B204="",C204="",D204=""),"Process, sub-process and module needed",IF(AND(I204="Y",E204=""),"Supporting SYS-ID needed",IF(AND(OR(I204="N",L204="Outstanding"),M204=""),"Note the rationale / open question","OK")))))</f>
        <v/>
      </c>
    </row>
  </sheetData>
  <autoFilter ref="A4:N204"/>
  <dataValidations count="4">
    <dataValidation allowBlank="true" error="Pick a value from the list." errorStyle="stop" operator="between" showDropDown="false" showErrorMessage="true" showInputMessage="false" sqref="B5:B204" type="list">
      <formula1>Lists!$A$2:$A$7</formula1>
      <formula2>0</formula2>
    </dataValidation>
    <dataValidation allowBlank="true" error="Pick a value from the list." errorStyle="stop" operator="between" showDropDown="false" showErrorMessage="true" showInputMessage="false" sqref="H5:H204" type="list">
      <formula1>Lists!$B$2:$B$4</formula1>
      <formula2>0</formula2>
    </dataValidation>
    <dataValidation allowBlank="true" error="Pick a value from the list." errorStyle="stop" operator="between" showDropDown="false" showErrorMessage="true" showInputMessage="false" sqref="I5:I204" type="list">
      <formula1>Lists!$D$2:$D$4</formula1>
      <formula2>0</formula2>
    </dataValidation>
    <dataValidation allowBlank="true" error="Pick a value from the list." errorStyle="stop" operator="between" showDropDown="false" showErrorMessage="true" showInputMessage="false" sqref="L5:L204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9" t="s">
        <v>144</v>
      </c>
    </row>
    <row r="2" customFormat="false" ht="15" hidden="false" customHeight="false" outlineLevel="0" collapsed="false">
      <c r="A2" s="10" t="s">
        <v>145</v>
      </c>
    </row>
    <row r="4" customFormat="false" ht="31.5" hidden="false" customHeight="true" outlineLevel="0" collapsed="false">
      <c r="A4" s="11" t="s">
        <v>72</v>
      </c>
      <c r="B4" s="11" t="s">
        <v>75</v>
      </c>
      <c r="C4" s="11" t="s">
        <v>78</v>
      </c>
      <c r="D4" s="11" t="s">
        <v>81</v>
      </c>
      <c r="E4" s="11" t="s">
        <v>84</v>
      </c>
      <c r="F4" s="11" t="s">
        <v>87</v>
      </c>
      <c r="G4" s="11" t="s">
        <v>90</v>
      </c>
      <c r="H4" s="12" t="s">
        <v>92</v>
      </c>
    </row>
    <row r="5" customFormat="false" ht="15" hidden="false" customHeight="false" outlineLevel="0" collapsed="false">
      <c r="A5" s="13" t="s">
        <v>146</v>
      </c>
      <c r="B5" s="13" t="s">
        <v>147</v>
      </c>
      <c r="C5" s="13" t="s">
        <v>128</v>
      </c>
      <c r="D5" s="13" t="s">
        <v>122</v>
      </c>
      <c r="E5" s="13" t="s">
        <v>148</v>
      </c>
      <c r="F5" s="13" t="s">
        <v>149</v>
      </c>
      <c r="G5" s="13"/>
      <c r="H5" s="14" t="str">
        <f aca="false">IF(A5="","",IF(AND(C5="Y",E5=""),"Map to a BP-ID","OK"))</f>
        <v>OK</v>
      </c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6" t="str">
        <f aca="false">IF(A6="","",IF(AND(C6="Y",E6=""),"Map to a BP-ID","OK"))</f>
        <v/>
      </c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6" t="str">
        <f aca="false">IF(A7="","",IF(AND(C7="Y",E7=""),"Map to a BP-ID","OK"))</f>
        <v/>
      </c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6" t="str">
        <f aca="false">IF(A8="","",IF(AND(C8="Y",E8=""),"Map to a BP-ID","OK"))</f>
        <v/>
      </c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6" t="str">
        <f aca="false">IF(A9="","",IF(AND(C9="Y",E9=""),"Map to a BP-ID","OK"))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  <c r="G10" s="15"/>
      <c r="H10" s="16" t="str">
        <f aca="false">IF(A10="","",IF(AND(C10="Y",E10=""),"Map to a BP-ID","OK"))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6" t="str">
        <f aca="false">IF(A11="","",IF(AND(C11="Y",E11=""),"Map to a BP-ID","OK"))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6" t="str">
        <f aca="false">IF(A12="","",IF(AND(C12="Y",E12=""),"Map to a BP-ID","OK"))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6" t="str">
        <f aca="false">IF(A13="","",IF(AND(C13="Y",E13=""),"Map to a BP-ID","OK"))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6" t="str">
        <f aca="false">IF(A14="","",IF(AND(C14="Y",E14=""),"Map to a BP-ID","OK"))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6" t="str">
        <f aca="false">IF(A15="","",IF(AND(C15="Y",E15=""),"Map to a BP-ID","OK"))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6" t="str">
        <f aca="false">IF(A16="","",IF(AND(C16="Y",E16=""),"Map to a BP-ID","OK"))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6" t="str">
        <f aca="false">IF(A17="","",IF(AND(C17="Y",E17=""),"Map to a BP-ID","OK"))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6" t="str">
        <f aca="false">IF(A18="","",IF(AND(C18="Y",E18=""),"Map to a BP-ID","OK"))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6" t="str">
        <f aca="false">IF(A19="","",IF(AND(C19="Y",E19=""),"Map to a BP-ID","OK"))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6" t="str">
        <f aca="false">IF(A20="","",IF(AND(C20="Y",E20=""),"Map to a BP-ID","OK"))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6" t="str">
        <f aca="false">IF(A21="","",IF(AND(C21="Y",E21=""),"Map to a BP-ID","OK"))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6" t="str">
        <f aca="false">IF(A22="","",IF(AND(C22="Y",E22=""),"Map to a BP-ID","OK"))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6" t="str">
        <f aca="false">IF(A23="","",IF(AND(C23="Y",E23=""),"Map to a BP-ID","OK"))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6" t="str">
        <f aca="false">IF(A24="","",IF(AND(C24="Y",E24=""),"Map to a BP-ID","OK"))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6" t="str">
        <f aca="false">IF(A25="","",IF(AND(C25="Y",E25=""),"Map to a BP-ID","OK"))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6" t="str">
        <f aca="false">IF(A26="","",IF(AND(C26="Y",E26=""),"Map to a BP-ID","OK"))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6" t="str">
        <f aca="false">IF(A27="","",IF(AND(C27="Y",E27=""),"Map to a BP-ID","OK"))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6" t="str">
        <f aca="false">IF(A28="","",IF(AND(C28="Y",E28=""),"Map to a BP-ID","OK"))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6" t="str">
        <f aca="false">IF(A29="","",IF(AND(C29="Y",E29=""),"Map to a BP-ID","OK"))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6" t="str">
        <f aca="false">IF(A30="","",IF(AND(C30="Y",E30=""),"Map to a BP-ID","OK"))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6" t="str">
        <f aca="false">IF(A31="","",IF(AND(C31="Y",E31=""),"Map to a BP-ID","OK"))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6" t="str">
        <f aca="false">IF(A32="","",IF(AND(C32="Y",E32=""),"Map to a BP-ID","OK"))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6" t="str">
        <f aca="false">IF(A33="","",IF(AND(C33="Y",E33=""),"Map to a BP-ID","OK"))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6" t="str">
        <f aca="false">IF(A34="","",IF(AND(C34="Y",E34=""),"Map to a BP-ID","OK"))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6" t="str">
        <f aca="false">IF(A35="","",IF(AND(C35="Y",E35=""),"Map to a BP-ID","OK"))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6" t="str">
        <f aca="false">IF(A36="","",IF(AND(C36="Y",E36=""),"Map to a BP-ID","OK"))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6" t="str">
        <f aca="false">IF(A37="","",IF(AND(C37="Y",E37=""),"Map to a BP-ID","OK"))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6" t="str">
        <f aca="false">IF(A38="","",IF(AND(C38="Y",E38=""),"Map to a BP-ID","OK"))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6" t="str">
        <f aca="false">IF(A39="","",IF(AND(C39="Y",E39=""),"Map to a BP-ID","OK"))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6" t="str">
        <f aca="false">IF(A40="","",IF(AND(C40="Y",E40=""),"Map to a BP-ID","OK"))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6" t="str">
        <f aca="false">IF(A41="","",IF(AND(C41="Y",E41=""),"Map to a BP-ID","OK"))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6" t="str">
        <f aca="false">IF(A42="","",IF(AND(C42="Y",E42=""),"Map to a BP-ID","OK"))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6" t="str">
        <f aca="false">IF(A43="","",IF(AND(C43="Y",E43=""),"Map to a BP-ID","OK"))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6" t="str">
        <f aca="false">IF(A44="","",IF(AND(C44="Y",E44=""),"Map to a BP-ID","OK"))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6" t="str">
        <f aca="false">IF(A45="","",IF(AND(C45="Y",E45=""),"Map to a BP-ID","OK"))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6" t="str">
        <f aca="false">IF(A46="","",IF(AND(C46="Y",E46=""),"Map to a BP-ID","OK"))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6" t="str">
        <f aca="false">IF(A47="","",IF(AND(C47="Y",E47=""),"Map to a BP-ID","OK"))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6" t="str">
        <f aca="false">IF(A48="","",IF(AND(C48="Y",E48=""),"Map to a BP-ID","OK"))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6" t="str">
        <f aca="false">IF(A49="","",IF(AND(C49="Y",E49=""),"Map to a BP-ID","OK"))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6" t="str">
        <f aca="false">IF(A50="","",IF(AND(C50="Y",E50=""),"Map to a BP-ID","OK"))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6" t="str">
        <f aca="false">IF(A51="","",IF(AND(C51="Y",E51=""),"Map to a BP-ID","OK"))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6" t="str">
        <f aca="false">IF(A52="","",IF(AND(C52="Y",E52=""),"Map to a BP-ID","OK"))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6" t="str">
        <f aca="false">IF(A53="","",IF(AND(C53="Y",E53=""),"Map to a BP-ID","OK"))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6" t="str">
        <f aca="false">IF(A54="","",IF(AND(C54="Y",E54=""),"Map to a BP-ID","OK"))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6" t="str">
        <f aca="false">IF(A55="","",IF(AND(C55="Y",E55=""),"Map to a BP-ID","OK"))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6" t="str">
        <f aca="false">IF(A56="","",IF(AND(C56="Y",E56=""),"Map to a BP-ID","OK"))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6" t="str">
        <f aca="false">IF(A57="","",IF(AND(C57="Y",E57=""),"Map to a BP-ID","OK"))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6" t="str">
        <f aca="false">IF(A58="","",IF(AND(C58="Y",E58=""),"Map to a BP-ID","OK"))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6" t="str">
        <f aca="false">IF(A59="","",IF(AND(C59="Y",E59=""),"Map to a BP-ID","OK"))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6" t="str">
        <f aca="false">IF(A60="","",IF(AND(C60="Y",E60=""),"Map to a BP-ID","OK"))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6" t="str">
        <f aca="false">IF(A61="","",IF(AND(C61="Y",E61=""),"Map to a BP-ID","OK"))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6" t="str">
        <f aca="false">IF(A62="","",IF(AND(C62="Y",E62=""),"Map to a BP-ID","OK"))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6" t="str">
        <f aca="false">IF(A63="","",IF(AND(C63="Y",E63=""),"Map to a BP-ID","OK"))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6" t="str">
        <f aca="false">IF(A64="","",IF(AND(C64="Y",E64=""),"Map to a BP-ID","OK"))</f>
        <v/>
      </c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5"/>
      <c r="G65" s="15"/>
      <c r="H65" s="16" t="str">
        <f aca="false">IF(A65="","",IF(AND(C65="Y",E65=""),"Map to a BP-ID","OK"))</f>
        <v/>
      </c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5"/>
      <c r="G66" s="15"/>
      <c r="H66" s="16" t="str">
        <f aca="false">IF(A66="","",IF(AND(C66="Y",E66=""),"Map to a BP-ID","OK"))</f>
        <v/>
      </c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5"/>
      <c r="G67" s="15"/>
      <c r="H67" s="16" t="str">
        <f aca="false">IF(A67="","",IF(AND(C67="Y",E67=""),"Map to a BP-ID","OK"))</f>
        <v/>
      </c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5"/>
      <c r="G68" s="15"/>
      <c r="H68" s="16" t="str">
        <f aca="false">IF(A68="","",IF(AND(C68="Y",E68=""),"Map to a BP-ID","OK"))</f>
        <v/>
      </c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5"/>
      <c r="G69" s="15"/>
      <c r="H69" s="16" t="str">
        <f aca="false">IF(A69="","",IF(AND(C69="Y",E69=""),"Map to a BP-ID","OK"))</f>
        <v/>
      </c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5"/>
      <c r="G70" s="15"/>
      <c r="H70" s="16" t="str">
        <f aca="false">IF(A70="","",IF(AND(C70="Y",E70=""),"Map to a BP-ID","OK"))</f>
        <v/>
      </c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5"/>
      <c r="G71" s="15"/>
      <c r="H71" s="16" t="str">
        <f aca="false">IF(A71="","",IF(AND(C71="Y",E71=""),"Map to a BP-ID","OK"))</f>
        <v/>
      </c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5"/>
      <c r="G72" s="15"/>
      <c r="H72" s="16" t="str">
        <f aca="false">IF(A72="","",IF(AND(C72="Y",E72=""),"Map to a BP-ID","OK"))</f>
        <v/>
      </c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5"/>
      <c r="G73" s="15"/>
      <c r="H73" s="16" t="str">
        <f aca="false">IF(A73="","",IF(AND(C73="Y",E73=""),"Map to a BP-ID","OK"))</f>
        <v/>
      </c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5"/>
      <c r="G74" s="15"/>
      <c r="H74" s="16" t="str">
        <f aca="false">IF(A74="","",IF(AND(C74="Y",E74=""),"Map to a BP-ID","OK"))</f>
        <v/>
      </c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5"/>
      <c r="G75" s="15"/>
      <c r="H75" s="16" t="str">
        <f aca="false">IF(A75="","",IF(AND(C75="Y",E75=""),"Map to a BP-ID","OK"))</f>
        <v/>
      </c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5"/>
      <c r="G76" s="15"/>
      <c r="H76" s="16" t="str">
        <f aca="false">IF(A76="","",IF(AND(C76="Y",E76=""),"Map to a BP-ID","OK"))</f>
        <v/>
      </c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5"/>
      <c r="G77" s="15"/>
      <c r="H77" s="16" t="str">
        <f aca="false">IF(A77="","",IF(AND(C77="Y",E77=""),"Map to a BP-ID","OK"))</f>
        <v/>
      </c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5"/>
      <c r="G78" s="15"/>
      <c r="H78" s="16" t="str">
        <f aca="false">IF(A78="","",IF(AND(C78="Y",E78=""),"Map to a BP-ID","OK"))</f>
        <v/>
      </c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5"/>
      <c r="G79" s="15"/>
      <c r="H79" s="16" t="str">
        <f aca="false">IF(A79="","",IF(AND(C79="Y",E79=""),"Map to a BP-ID","OK"))</f>
        <v/>
      </c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5"/>
      <c r="G80" s="15"/>
      <c r="H80" s="16" t="str">
        <f aca="false">IF(A80="","",IF(AND(C80="Y",E80=""),"Map to a BP-ID","OK"))</f>
        <v/>
      </c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5"/>
      <c r="G81" s="15"/>
      <c r="H81" s="16" t="str">
        <f aca="false">IF(A81="","",IF(AND(C81="Y",E81=""),"Map to a BP-ID","OK"))</f>
        <v/>
      </c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5"/>
      <c r="G82" s="15"/>
      <c r="H82" s="16" t="str">
        <f aca="false">IF(A82="","",IF(AND(C82="Y",E82=""),"Map to a BP-ID","OK"))</f>
        <v/>
      </c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5"/>
      <c r="G83" s="15"/>
      <c r="H83" s="16" t="str">
        <f aca="false">IF(A83="","",IF(AND(C83="Y",E83=""),"Map to a BP-ID","OK"))</f>
        <v/>
      </c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5"/>
      <c r="G84" s="15"/>
      <c r="H84" s="16" t="str">
        <f aca="false">IF(A84="","",IF(AND(C84="Y",E84=""),"Map to a BP-ID","OK"))</f>
        <v/>
      </c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5"/>
      <c r="G85" s="15"/>
      <c r="H85" s="16" t="str">
        <f aca="false">IF(A85="","",IF(AND(C85="Y",E85=""),"Map to a BP-ID","OK"))</f>
        <v/>
      </c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5"/>
      <c r="G86" s="15"/>
      <c r="H86" s="16" t="str">
        <f aca="false">IF(A86="","",IF(AND(C86="Y",E86=""),"Map to a BP-ID","OK"))</f>
        <v/>
      </c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5"/>
      <c r="G87" s="15"/>
      <c r="H87" s="16" t="str">
        <f aca="false">IF(A87="","",IF(AND(C87="Y",E87=""),"Map to a BP-ID","OK"))</f>
        <v/>
      </c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5"/>
      <c r="G88" s="15"/>
      <c r="H88" s="16" t="str">
        <f aca="false">IF(A88="","",IF(AND(C88="Y",E88=""),"Map to a BP-ID","OK"))</f>
        <v/>
      </c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5"/>
      <c r="G89" s="15"/>
      <c r="H89" s="16" t="str">
        <f aca="false">IF(A89="","",IF(AND(C89="Y",E89=""),"Map to a BP-ID","OK"))</f>
        <v/>
      </c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5"/>
      <c r="G90" s="15"/>
      <c r="H90" s="16" t="str">
        <f aca="false">IF(A90="","",IF(AND(C90="Y",E90=""),"Map to a BP-ID","OK"))</f>
        <v/>
      </c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5"/>
      <c r="G91" s="15"/>
      <c r="H91" s="16" t="str">
        <f aca="false">IF(A91="","",IF(AND(C91="Y",E91=""),"Map to a BP-ID","OK"))</f>
        <v/>
      </c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5"/>
      <c r="G92" s="15"/>
      <c r="H92" s="16" t="str">
        <f aca="false">IF(A92="","",IF(AND(C92="Y",E92=""),"Map to a BP-ID","OK"))</f>
        <v/>
      </c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5"/>
      <c r="G93" s="15"/>
      <c r="H93" s="16" t="str">
        <f aca="false">IF(A93="","",IF(AND(C93="Y",E93=""),"Map to a BP-ID","OK"))</f>
        <v/>
      </c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5"/>
      <c r="G94" s="15"/>
      <c r="H94" s="16" t="str">
        <f aca="false">IF(A94="","",IF(AND(C94="Y",E94=""),"Map to a BP-ID","OK"))</f>
        <v/>
      </c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5"/>
      <c r="G95" s="15"/>
      <c r="H95" s="16" t="str">
        <f aca="false">IF(A95="","",IF(AND(C95="Y",E95=""),"Map to a BP-ID","OK"))</f>
        <v/>
      </c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5"/>
      <c r="G96" s="15"/>
      <c r="H96" s="16" t="str">
        <f aca="false">IF(A96="","",IF(AND(C96="Y",E96=""),"Map to a BP-ID","OK"))</f>
        <v/>
      </c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5"/>
      <c r="G97" s="15"/>
      <c r="H97" s="16" t="str">
        <f aca="false">IF(A97="","",IF(AND(C97="Y",E97=""),"Map to a BP-ID","OK"))</f>
        <v/>
      </c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5"/>
      <c r="G98" s="15"/>
      <c r="H98" s="16" t="str">
        <f aca="false">IF(A98="","",IF(AND(C98="Y",E98=""),"Map to a BP-ID","OK"))</f>
        <v/>
      </c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5"/>
      <c r="G99" s="15"/>
      <c r="H99" s="16" t="str">
        <f aca="false">IF(A99="","",IF(AND(C99="Y",E99=""),"Map to a BP-ID","OK"))</f>
        <v/>
      </c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6" t="str">
        <f aca="false">IF(A100="","",IF(AND(C100="Y",E100=""),"Map to a BP-ID","OK"))</f>
        <v/>
      </c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6" t="str">
        <f aca="false">IF(A101="","",IF(AND(C101="Y",E101=""),"Map to a BP-ID","OK"))</f>
        <v/>
      </c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6" t="str">
        <f aca="false">IF(A102="","",IF(AND(C102="Y",E102=""),"Map to a BP-ID","OK"))</f>
        <v/>
      </c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6" t="str">
        <f aca="false">IF(A103="","",IF(AND(C103="Y",E103=""),"Map to a BP-ID","OK"))</f>
        <v/>
      </c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6" t="str">
        <f aca="false">IF(A104="","",IF(AND(C104="Y",E104=""),"Map to a BP-ID","OK"))</f>
        <v/>
      </c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6" t="str">
        <f aca="false">IF(A105="","",IF(AND(C105="Y",E105=""),"Map to a BP-ID","OK"))</f>
        <v/>
      </c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6" t="str">
        <f aca="false">IF(A106="","",IF(AND(C106="Y",E106=""),"Map to a BP-ID","OK"))</f>
        <v/>
      </c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6" t="str">
        <f aca="false">IF(A107="","",IF(AND(C107="Y",E107=""),"Map to a BP-ID","OK"))</f>
        <v/>
      </c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6" t="str">
        <f aca="false">IF(A108="","",IF(AND(C108="Y",E108=""),"Map to a BP-ID","OK"))</f>
        <v/>
      </c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6" t="str">
        <f aca="false">IF(A109="","",IF(AND(C109="Y",E109=""),"Map to a BP-ID","OK"))</f>
        <v/>
      </c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6" t="str">
        <f aca="false">IF(A110="","",IF(AND(C110="Y",E110=""),"Map to a BP-ID","OK"))</f>
        <v/>
      </c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6" t="str">
        <f aca="false">IF(A111="","",IF(AND(C111="Y",E111=""),"Map to a BP-ID","OK"))</f>
        <v/>
      </c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6" t="str">
        <f aca="false">IF(A112="","",IF(AND(C112="Y",E112=""),"Map to a BP-ID","OK"))</f>
        <v/>
      </c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6" t="str">
        <f aca="false">IF(A113="","",IF(AND(C113="Y",E113=""),"Map to a BP-ID","OK"))</f>
        <v/>
      </c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6" t="str">
        <f aca="false">IF(A114="","",IF(AND(C114="Y",E114=""),"Map to a BP-ID","OK"))</f>
        <v/>
      </c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6" t="str">
        <f aca="false">IF(A115="","",IF(AND(C115="Y",E115=""),"Map to a BP-ID","OK"))</f>
        <v/>
      </c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6" t="str">
        <f aca="false">IF(A116="","",IF(AND(C116="Y",E116=""),"Map to a BP-ID","OK"))</f>
        <v/>
      </c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6" t="str">
        <f aca="false">IF(A117="","",IF(AND(C117="Y",E117=""),"Map to a BP-ID","OK"))</f>
        <v/>
      </c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6" t="str">
        <f aca="false">IF(A118="","",IF(AND(C118="Y",E118=""),"Map to a BP-ID","OK"))</f>
        <v/>
      </c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6" t="str">
        <f aca="false">IF(A119="","",IF(AND(C119="Y",E119=""),"Map to a BP-ID","OK"))</f>
        <v/>
      </c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6" t="str">
        <f aca="false">IF(A120="","",IF(AND(C120="Y",E120=""),"Map to a BP-ID","OK"))</f>
        <v/>
      </c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6" t="str">
        <f aca="false">IF(A121="","",IF(AND(C121="Y",E121=""),"Map to a BP-ID","OK"))</f>
        <v/>
      </c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6" t="str">
        <f aca="false">IF(A122="","",IF(AND(C122="Y",E122=""),"Map to a BP-ID","OK"))</f>
        <v/>
      </c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6" t="str">
        <f aca="false">IF(A123="","",IF(AND(C123="Y",E123=""),"Map to a BP-ID","OK"))</f>
        <v/>
      </c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6" t="str">
        <f aca="false">IF(A124="","",IF(AND(C124="Y",E124=""),"Map to a BP-ID","OK"))</f>
        <v/>
      </c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6" t="str">
        <f aca="false">IF(A125="","",IF(AND(C125="Y",E125=""),"Map to a BP-ID","OK"))</f>
        <v/>
      </c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6" t="str">
        <f aca="false">IF(A126="","",IF(AND(C126="Y",E126=""),"Map to a BP-ID","OK"))</f>
        <v/>
      </c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6" t="str">
        <f aca="false">IF(A127="","",IF(AND(C127="Y",E127=""),"Map to a BP-ID","OK"))</f>
        <v/>
      </c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6" t="str">
        <f aca="false">IF(A128="","",IF(AND(C128="Y",E128=""),"Map to a BP-ID","OK"))</f>
        <v/>
      </c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6" t="str">
        <f aca="false">IF(A129="","",IF(AND(C129="Y",E129=""),"Map to a BP-ID","OK"))</f>
        <v/>
      </c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6" t="str">
        <f aca="false">IF(A130="","",IF(AND(C130="Y",E130=""),"Map to a BP-ID","OK"))</f>
        <v/>
      </c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6" t="str">
        <f aca="false">IF(A131="","",IF(AND(C131="Y",E131=""),"Map to a BP-ID","OK"))</f>
        <v/>
      </c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6" t="str">
        <f aca="false">IF(A132="","",IF(AND(C132="Y",E132=""),"Map to a BP-ID","OK"))</f>
        <v/>
      </c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6" t="str">
        <f aca="false">IF(A133="","",IF(AND(C133="Y",E133=""),"Map to a BP-ID","OK"))</f>
        <v/>
      </c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6" t="str">
        <f aca="false">IF(A134="","",IF(AND(C134="Y",E134=""),"Map to a BP-ID","OK"))</f>
        <v/>
      </c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6" t="str">
        <f aca="false">IF(A135="","",IF(AND(C135="Y",E135=""),"Map to a BP-ID","OK"))</f>
        <v/>
      </c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6" t="str">
        <f aca="false">IF(A136="","",IF(AND(C136="Y",E136=""),"Map to a BP-ID","OK"))</f>
        <v/>
      </c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6" t="str">
        <f aca="false">IF(A137="","",IF(AND(C137="Y",E137=""),"Map to a BP-ID","OK"))</f>
        <v/>
      </c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6" t="str">
        <f aca="false">IF(A138="","",IF(AND(C138="Y",E138=""),"Map to a BP-ID","OK"))</f>
        <v/>
      </c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6" t="str">
        <f aca="false">IF(A139="","",IF(AND(C139="Y",E139=""),"Map to a BP-ID","OK"))</f>
        <v/>
      </c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6" t="str">
        <f aca="false">IF(A140="","",IF(AND(C140="Y",E140=""),"Map to a BP-ID","OK"))</f>
        <v/>
      </c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6" t="str">
        <f aca="false">IF(A141="","",IF(AND(C141="Y",E141=""),"Map to a BP-ID","OK"))</f>
        <v/>
      </c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6" t="str">
        <f aca="false">IF(A142="","",IF(AND(C142="Y",E142=""),"Map to a BP-ID","OK"))</f>
        <v/>
      </c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6" t="str">
        <f aca="false">IF(A143="","",IF(AND(C143="Y",E143=""),"Map to a BP-ID","OK"))</f>
        <v/>
      </c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6" t="str">
        <f aca="false">IF(A144="","",IF(AND(C144="Y",E144=""),"Map to a BP-ID","OK"))</f>
        <v/>
      </c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6" t="str">
        <f aca="false">IF(A145="","",IF(AND(C145="Y",E145=""),"Map to a BP-ID","OK"))</f>
        <v/>
      </c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6" t="str">
        <f aca="false">IF(A146="","",IF(AND(C146="Y",E146=""),"Map to a BP-ID","OK"))</f>
        <v/>
      </c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6" t="str">
        <f aca="false">IF(A147="","",IF(AND(C147="Y",E147=""),"Map to a BP-ID","OK"))</f>
        <v/>
      </c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6" t="str">
        <f aca="false">IF(A148="","",IF(AND(C148="Y",E148=""),"Map to a BP-ID","OK"))</f>
        <v/>
      </c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6" t="str">
        <f aca="false">IF(A149="","",IF(AND(C149="Y",E149=""),"Map to a BP-ID","OK"))</f>
        <v/>
      </c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6" t="str">
        <f aca="false">IF(A150="","",IF(AND(C150="Y",E150=""),"Map to a BP-ID","OK"))</f>
        <v/>
      </c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6" t="str">
        <f aca="false">IF(A151="","",IF(AND(C151="Y",E151=""),"Map to a BP-ID","OK"))</f>
        <v/>
      </c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6" t="str">
        <f aca="false">IF(A152="","",IF(AND(C152="Y",E152=""),"Map to a BP-ID","OK"))</f>
        <v/>
      </c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6" t="str">
        <f aca="false">IF(A153="","",IF(AND(C153="Y",E153=""),"Map to a BP-ID","OK"))</f>
        <v/>
      </c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6" t="str">
        <f aca="false">IF(A154="","",IF(AND(C154="Y",E154=""),"Map to a BP-ID","OK"))</f>
        <v/>
      </c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6" t="str">
        <f aca="false">IF(A155="","",IF(AND(C155="Y",E155=""),"Map to a BP-ID","OK"))</f>
        <v/>
      </c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6" t="str">
        <f aca="false">IF(A156="","",IF(AND(C156="Y",E156=""),"Map to a BP-ID","OK"))</f>
        <v/>
      </c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6" t="str">
        <f aca="false">IF(A157="","",IF(AND(C157="Y",E157=""),"Map to a BP-ID","OK"))</f>
        <v/>
      </c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6" t="str">
        <f aca="false">IF(A158="","",IF(AND(C158="Y",E158=""),"Map to a BP-ID","OK"))</f>
        <v/>
      </c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6" t="str">
        <f aca="false">IF(A159="","",IF(AND(C159="Y",E159=""),"Map to a BP-ID","OK"))</f>
        <v/>
      </c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6" t="str">
        <f aca="false">IF(A160="","",IF(AND(C160="Y",E160=""),"Map to a BP-ID","OK"))</f>
        <v/>
      </c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6" t="str">
        <f aca="false">IF(A161="","",IF(AND(C161="Y",E161=""),"Map to a BP-ID","OK"))</f>
        <v/>
      </c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6" t="str">
        <f aca="false">IF(A162="","",IF(AND(C162="Y",E162=""),"Map to a BP-ID","OK"))</f>
        <v/>
      </c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6" t="str">
        <f aca="false">IF(A163="","",IF(AND(C163="Y",E163=""),"Map to a BP-ID","OK"))</f>
        <v/>
      </c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6" t="str">
        <f aca="false">IF(A164="","",IF(AND(C164="Y",E164=""),"Map to a BP-ID","OK"))</f>
        <v/>
      </c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6" t="str">
        <f aca="false">IF(A165="","",IF(AND(C165="Y",E165=""),"Map to a BP-ID","OK"))</f>
        <v/>
      </c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6" t="str">
        <f aca="false">IF(A166="","",IF(AND(C166="Y",E166=""),"Map to a BP-ID","OK"))</f>
        <v/>
      </c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6" t="str">
        <f aca="false">IF(A167="","",IF(AND(C167="Y",E167=""),"Map to a BP-ID","OK"))</f>
        <v/>
      </c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6" t="str">
        <f aca="false">IF(A168="","",IF(AND(C168="Y",E168=""),"Map to a BP-ID","OK"))</f>
        <v/>
      </c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6" t="str">
        <f aca="false">IF(A169="","",IF(AND(C169="Y",E169=""),"Map to a BP-ID","OK"))</f>
        <v/>
      </c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6" t="str">
        <f aca="false">IF(A170="","",IF(AND(C170="Y",E170=""),"Map to a BP-ID","OK"))</f>
        <v/>
      </c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6" t="str">
        <f aca="false">IF(A171="","",IF(AND(C171="Y",E171=""),"Map to a BP-ID","OK"))</f>
        <v/>
      </c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6" t="str">
        <f aca="false">IF(A172="","",IF(AND(C172="Y",E172=""),"Map to a BP-ID","OK"))</f>
        <v/>
      </c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6" t="str">
        <f aca="false">IF(A173="","",IF(AND(C173="Y",E173=""),"Map to a BP-ID","OK"))</f>
        <v/>
      </c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6" t="str">
        <f aca="false">IF(A174="","",IF(AND(C174="Y",E174=""),"Map to a BP-ID","OK"))</f>
        <v/>
      </c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6" t="str">
        <f aca="false">IF(A175="","",IF(AND(C175="Y",E175=""),"Map to a BP-ID","OK"))</f>
        <v/>
      </c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6" t="str">
        <f aca="false">IF(A176="","",IF(AND(C176="Y",E176=""),"Map to a BP-ID","OK"))</f>
        <v/>
      </c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6" t="str">
        <f aca="false">IF(A177="","",IF(AND(C177="Y",E177=""),"Map to a BP-ID","OK"))</f>
        <v/>
      </c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6" t="str">
        <f aca="false">IF(A178="","",IF(AND(C178="Y",E178=""),"Map to a BP-ID","OK"))</f>
        <v/>
      </c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6" t="str">
        <f aca="false">IF(A179="","",IF(AND(C179="Y",E179=""),"Map to a BP-ID","OK"))</f>
        <v/>
      </c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6" t="str">
        <f aca="false">IF(A180="","",IF(AND(C180="Y",E180=""),"Map to a BP-ID","OK"))</f>
        <v/>
      </c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6" t="str">
        <f aca="false">IF(A181="","",IF(AND(C181="Y",E181=""),"Map to a BP-ID","OK"))</f>
        <v/>
      </c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6" t="str">
        <f aca="false">IF(A182="","",IF(AND(C182="Y",E182=""),"Map to a BP-ID","OK"))</f>
        <v/>
      </c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6" t="str">
        <f aca="false">IF(A183="","",IF(AND(C183="Y",E183=""),"Map to a BP-ID","OK"))</f>
        <v/>
      </c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6" t="str">
        <f aca="false">IF(A184="","",IF(AND(C184="Y",E184=""),"Map to a BP-ID","OK"))</f>
        <v/>
      </c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6" t="str">
        <f aca="false">IF(A185="","",IF(AND(C185="Y",E185=""),"Map to a BP-ID","OK"))</f>
        <v/>
      </c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6" t="str">
        <f aca="false">IF(A186="","",IF(AND(C186="Y",E186=""),"Map to a BP-ID","OK"))</f>
        <v/>
      </c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6" t="str">
        <f aca="false">IF(A187="","",IF(AND(C187="Y",E187=""),"Map to a BP-ID","OK"))</f>
        <v/>
      </c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6" t="str">
        <f aca="false">IF(A188="","",IF(AND(C188="Y",E188=""),"Map to a BP-ID","OK"))</f>
        <v/>
      </c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6" t="str">
        <f aca="false">IF(A189="","",IF(AND(C189="Y",E189=""),"Map to a BP-ID","OK"))</f>
        <v/>
      </c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6" t="str">
        <f aca="false">IF(A190="","",IF(AND(C190="Y",E190=""),"Map to a BP-ID","OK"))</f>
        <v/>
      </c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6" t="str">
        <f aca="false">IF(A191="","",IF(AND(C191="Y",E191=""),"Map to a BP-ID","OK"))</f>
        <v/>
      </c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6" t="str">
        <f aca="false">IF(A192="","",IF(AND(C192="Y",E192=""),"Map to a BP-ID","OK"))</f>
        <v/>
      </c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6" t="str">
        <f aca="false">IF(A193="","",IF(AND(C193="Y",E193=""),"Map to a BP-ID","OK"))</f>
        <v/>
      </c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6" t="str">
        <f aca="false">IF(A194="","",IF(AND(C194="Y",E194=""),"Map to a BP-ID","OK"))</f>
        <v/>
      </c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6" t="str">
        <f aca="false">IF(A195="","",IF(AND(C195="Y",E195=""),"Map to a BP-ID","OK"))</f>
        <v/>
      </c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6" t="str">
        <f aca="false">IF(A196="","",IF(AND(C196="Y",E196=""),"Map to a BP-ID","OK"))</f>
        <v/>
      </c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6" t="str">
        <f aca="false">IF(A197="","",IF(AND(C197="Y",E197=""),"Map to a BP-ID","OK"))</f>
        <v/>
      </c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6" t="str">
        <f aca="false">IF(A198="","",IF(AND(C198="Y",E198=""),"Map to a BP-ID","OK"))</f>
        <v/>
      </c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6" t="str">
        <f aca="false">IF(A199="","",IF(AND(C199="Y",E199=""),"Map to a BP-ID","OK"))</f>
        <v/>
      </c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6" t="str">
        <f aca="false">IF(A200="","",IF(AND(C200="Y",E200=""),"Map to a BP-ID","OK"))</f>
        <v/>
      </c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6" t="str">
        <f aca="false">IF(A201="","",IF(AND(C201="Y",E201=""),"Map to a BP-ID","OK"))</f>
        <v/>
      </c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6" t="str">
        <f aca="false">IF(A202="","",IF(AND(C202="Y",E202=""),"Map to a BP-ID","OK"))</f>
        <v/>
      </c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6" t="str">
        <f aca="false">IF(A203="","",IF(AND(C203="Y",E203=""),"Map to a BP-ID","OK"))</f>
        <v/>
      </c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6" t="str">
        <f aca="false">IF(A204="","",IF(AND(C204="Y",E204=""),"Map to a BP-ID","OK"))</f>
        <v/>
      </c>
    </row>
  </sheetData>
  <autoFilter ref="A4:H204"/>
  <dataValidations count="2">
    <dataValidation allowBlank="true" error="Pick a value from the list." errorStyle="stop" operator="between" showDropDown="false" showErrorMessage="true" showInputMessage="false" sqref="C5:C204" type="list">
      <formula1>Lists!$C$2:$C$3</formula1>
      <formula2>0</formula2>
    </dataValidation>
    <dataValidation allowBlank="true" error="Pick a value from the list." errorStyle="stop" operator="between" showDropDown="false" showErrorMessage="true" showInputMessage="false" sqref="D5:D204" type="list">
      <formula1>Lists!$A$2:$A$7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9" t="s">
        <v>150</v>
      </c>
    </row>
    <row r="2" customFormat="false" ht="15" hidden="false" customHeight="false" outlineLevel="0" collapsed="false">
      <c r="A2" s="10" t="s">
        <v>151</v>
      </c>
    </row>
    <row r="4" customFormat="false" ht="31.5" hidden="false" customHeight="true" outlineLevel="0" collapsed="false">
      <c r="A4" s="11" t="s">
        <v>95</v>
      </c>
      <c r="B4" s="11" t="s">
        <v>98</v>
      </c>
      <c r="C4" s="11" t="s">
        <v>101</v>
      </c>
      <c r="D4" s="11" t="s">
        <v>103</v>
      </c>
      <c r="E4" s="11" t="s">
        <v>106</v>
      </c>
      <c r="F4" s="11" t="s">
        <v>109</v>
      </c>
      <c r="G4" s="11" t="s">
        <v>111</v>
      </c>
      <c r="H4" s="11" t="s">
        <v>114</v>
      </c>
    </row>
    <row r="5" customFormat="false" ht="23.85" hidden="false" customHeight="false" outlineLevel="0" collapsed="false">
      <c r="A5" s="13" t="s">
        <v>152</v>
      </c>
      <c r="B5" s="13" t="s">
        <v>153</v>
      </c>
      <c r="C5" s="13" t="s">
        <v>154</v>
      </c>
      <c r="D5" s="13" t="s">
        <v>155</v>
      </c>
      <c r="E5" s="17"/>
      <c r="F5" s="17"/>
      <c r="G5" s="13" t="s">
        <v>156</v>
      </c>
      <c r="H5" s="13"/>
    </row>
    <row r="6" customFormat="false" ht="15" hidden="false" customHeight="false" outlineLevel="0" collapsed="false">
      <c r="A6" s="15"/>
      <c r="B6" s="15"/>
      <c r="C6" s="15"/>
      <c r="D6" s="15"/>
      <c r="E6" s="18"/>
      <c r="F6" s="18"/>
      <c r="G6" s="15"/>
      <c r="H6" s="15"/>
    </row>
    <row r="7" customFormat="false" ht="15" hidden="false" customHeight="false" outlineLevel="0" collapsed="false">
      <c r="A7" s="15"/>
      <c r="B7" s="15"/>
      <c r="C7" s="15"/>
      <c r="D7" s="15"/>
      <c r="E7" s="18"/>
      <c r="F7" s="18"/>
      <c r="G7" s="15"/>
      <c r="H7" s="15"/>
    </row>
    <row r="8" customFormat="false" ht="15" hidden="false" customHeight="false" outlineLevel="0" collapsed="false">
      <c r="A8" s="15"/>
      <c r="B8" s="15"/>
      <c r="C8" s="15"/>
      <c r="D8" s="15"/>
      <c r="E8" s="18"/>
      <c r="F8" s="18"/>
      <c r="G8" s="15"/>
      <c r="H8" s="15"/>
    </row>
    <row r="9" customFormat="false" ht="15" hidden="false" customHeight="false" outlineLevel="0" collapsed="false">
      <c r="A9" s="15"/>
      <c r="B9" s="15"/>
      <c r="C9" s="15"/>
      <c r="D9" s="15"/>
      <c r="E9" s="18"/>
      <c r="F9" s="18"/>
      <c r="G9" s="15"/>
      <c r="H9" s="15"/>
    </row>
    <row r="10" customFormat="false" ht="15" hidden="false" customHeight="false" outlineLevel="0" collapsed="false">
      <c r="A10" s="15"/>
      <c r="B10" s="15"/>
      <c r="C10" s="15"/>
      <c r="D10" s="15"/>
      <c r="E10" s="18"/>
      <c r="F10" s="18"/>
      <c r="G10" s="15"/>
      <c r="H10" s="15"/>
    </row>
    <row r="11" customFormat="false" ht="15" hidden="false" customHeight="false" outlineLevel="0" collapsed="false">
      <c r="A11" s="15"/>
      <c r="B11" s="15"/>
      <c r="C11" s="15"/>
      <c r="D11" s="15"/>
      <c r="E11" s="18"/>
      <c r="F11" s="18"/>
      <c r="G11" s="15"/>
      <c r="H11" s="15"/>
    </row>
    <row r="12" customFormat="false" ht="15" hidden="false" customHeight="false" outlineLevel="0" collapsed="false">
      <c r="A12" s="15"/>
      <c r="B12" s="15"/>
      <c r="C12" s="15"/>
      <c r="D12" s="15"/>
      <c r="E12" s="18"/>
      <c r="F12" s="18"/>
      <c r="G12" s="15"/>
      <c r="H12" s="15"/>
    </row>
    <row r="13" customFormat="false" ht="15" hidden="false" customHeight="false" outlineLevel="0" collapsed="false">
      <c r="A13" s="15"/>
      <c r="B13" s="15"/>
      <c r="C13" s="15"/>
      <c r="D13" s="15"/>
      <c r="E13" s="18"/>
      <c r="F13" s="18"/>
      <c r="G13" s="15"/>
      <c r="H13" s="15"/>
    </row>
    <row r="14" customFormat="false" ht="15" hidden="false" customHeight="false" outlineLevel="0" collapsed="false">
      <c r="A14" s="15"/>
      <c r="B14" s="15"/>
      <c r="C14" s="15"/>
      <c r="D14" s="15"/>
      <c r="E14" s="18"/>
      <c r="F14" s="18"/>
      <c r="G14" s="15"/>
      <c r="H14" s="15"/>
    </row>
    <row r="15" customFormat="false" ht="15" hidden="false" customHeight="false" outlineLevel="0" collapsed="false">
      <c r="A15" s="15"/>
      <c r="B15" s="15"/>
      <c r="C15" s="15"/>
      <c r="D15" s="15"/>
      <c r="E15" s="18"/>
      <c r="F15" s="18"/>
      <c r="G15" s="15"/>
      <c r="H15" s="15"/>
    </row>
    <row r="16" customFormat="false" ht="15" hidden="false" customHeight="false" outlineLevel="0" collapsed="false">
      <c r="A16" s="15"/>
      <c r="B16" s="15"/>
      <c r="C16" s="15"/>
      <c r="D16" s="15"/>
      <c r="E16" s="18"/>
      <c r="F16" s="18"/>
      <c r="G16" s="15"/>
      <c r="H16" s="15"/>
    </row>
    <row r="17" customFormat="false" ht="15" hidden="false" customHeight="false" outlineLevel="0" collapsed="false">
      <c r="A17" s="15"/>
      <c r="B17" s="15"/>
      <c r="C17" s="15"/>
      <c r="D17" s="15"/>
      <c r="E17" s="18"/>
      <c r="F17" s="18"/>
      <c r="G17" s="15"/>
      <c r="H17" s="15"/>
    </row>
    <row r="18" customFormat="false" ht="15" hidden="false" customHeight="false" outlineLevel="0" collapsed="false">
      <c r="A18" s="15"/>
      <c r="B18" s="15"/>
      <c r="C18" s="15"/>
      <c r="D18" s="15"/>
      <c r="E18" s="18"/>
      <c r="F18" s="18"/>
      <c r="G18" s="15"/>
      <c r="H18" s="15"/>
    </row>
    <row r="19" customFormat="false" ht="15" hidden="false" customHeight="false" outlineLevel="0" collapsed="false">
      <c r="A19" s="15"/>
      <c r="B19" s="15"/>
      <c r="C19" s="15"/>
      <c r="D19" s="15"/>
      <c r="E19" s="18"/>
      <c r="F19" s="18"/>
      <c r="G19" s="15"/>
      <c r="H19" s="15"/>
    </row>
    <row r="20" customFormat="false" ht="15" hidden="false" customHeight="false" outlineLevel="0" collapsed="false">
      <c r="A20" s="15"/>
      <c r="B20" s="15"/>
      <c r="C20" s="15"/>
      <c r="D20" s="15"/>
      <c r="E20" s="18"/>
      <c r="F20" s="18"/>
      <c r="G20" s="15"/>
      <c r="H20" s="15"/>
    </row>
    <row r="21" customFormat="false" ht="15" hidden="false" customHeight="false" outlineLevel="0" collapsed="false">
      <c r="A21" s="15"/>
      <c r="B21" s="15"/>
      <c r="C21" s="15"/>
      <c r="D21" s="15"/>
      <c r="E21" s="18"/>
      <c r="F21" s="18"/>
      <c r="G21" s="15"/>
      <c r="H21" s="15"/>
    </row>
    <row r="22" customFormat="false" ht="15" hidden="false" customHeight="false" outlineLevel="0" collapsed="false">
      <c r="A22" s="15"/>
      <c r="B22" s="15"/>
      <c r="C22" s="15"/>
      <c r="D22" s="15"/>
      <c r="E22" s="18"/>
      <c r="F22" s="18"/>
      <c r="G22" s="15"/>
      <c r="H22" s="15"/>
    </row>
    <row r="23" customFormat="false" ht="15" hidden="false" customHeight="false" outlineLevel="0" collapsed="false">
      <c r="A23" s="15"/>
      <c r="B23" s="15"/>
      <c r="C23" s="15"/>
      <c r="D23" s="15"/>
      <c r="E23" s="18"/>
      <c r="F23" s="18"/>
      <c r="G23" s="15"/>
      <c r="H23" s="15"/>
    </row>
    <row r="24" customFormat="false" ht="15" hidden="false" customHeight="false" outlineLevel="0" collapsed="false">
      <c r="A24" s="15"/>
      <c r="B24" s="15"/>
      <c r="C24" s="15"/>
      <c r="D24" s="15"/>
      <c r="E24" s="18"/>
      <c r="F24" s="18"/>
      <c r="G24" s="15"/>
      <c r="H24" s="15"/>
    </row>
    <row r="25" customFormat="false" ht="15" hidden="false" customHeight="false" outlineLevel="0" collapsed="false">
      <c r="A25" s="15"/>
      <c r="B25" s="15"/>
      <c r="C25" s="15"/>
      <c r="D25" s="15"/>
      <c r="E25" s="18"/>
      <c r="F25" s="18"/>
      <c r="G25" s="15"/>
      <c r="H25" s="15"/>
    </row>
    <row r="26" customFormat="false" ht="15" hidden="false" customHeight="false" outlineLevel="0" collapsed="false">
      <c r="A26" s="15"/>
      <c r="B26" s="15"/>
      <c r="C26" s="15"/>
      <c r="D26" s="15"/>
      <c r="E26" s="18"/>
      <c r="F26" s="18"/>
      <c r="G26" s="15"/>
      <c r="H26" s="15"/>
    </row>
    <row r="27" customFormat="false" ht="15" hidden="false" customHeight="false" outlineLevel="0" collapsed="false">
      <c r="A27" s="15"/>
      <c r="B27" s="15"/>
      <c r="C27" s="15"/>
      <c r="D27" s="15"/>
      <c r="E27" s="18"/>
      <c r="F27" s="18"/>
      <c r="G27" s="15"/>
      <c r="H27" s="15"/>
    </row>
    <row r="28" customFormat="false" ht="15" hidden="false" customHeight="false" outlineLevel="0" collapsed="false">
      <c r="A28" s="15"/>
      <c r="B28" s="15"/>
      <c r="C28" s="15"/>
      <c r="D28" s="15"/>
      <c r="E28" s="18"/>
      <c r="F28" s="18"/>
      <c r="G28" s="15"/>
      <c r="H28" s="15"/>
    </row>
    <row r="29" customFormat="false" ht="15" hidden="false" customHeight="false" outlineLevel="0" collapsed="false">
      <c r="A29" s="15"/>
      <c r="B29" s="15"/>
      <c r="C29" s="15"/>
      <c r="D29" s="15"/>
      <c r="E29" s="18"/>
      <c r="F29" s="18"/>
      <c r="G29" s="15"/>
      <c r="H29" s="15"/>
    </row>
    <row r="30" customFormat="false" ht="15" hidden="false" customHeight="false" outlineLevel="0" collapsed="false">
      <c r="A30" s="15"/>
      <c r="B30" s="15"/>
      <c r="C30" s="15"/>
      <c r="D30" s="15"/>
      <c r="E30" s="18"/>
      <c r="F30" s="18"/>
      <c r="G30" s="15"/>
      <c r="H30" s="15"/>
    </row>
    <row r="31" customFormat="false" ht="15" hidden="false" customHeight="false" outlineLevel="0" collapsed="false">
      <c r="A31" s="15"/>
      <c r="B31" s="15"/>
      <c r="C31" s="15"/>
      <c r="D31" s="15"/>
      <c r="E31" s="18"/>
      <c r="F31" s="18"/>
      <c r="G31" s="15"/>
      <c r="H31" s="15"/>
    </row>
    <row r="32" customFormat="false" ht="15" hidden="false" customHeight="false" outlineLevel="0" collapsed="false">
      <c r="A32" s="15"/>
      <c r="B32" s="15"/>
      <c r="C32" s="15"/>
      <c r="D32" s="15"/>
      <c r="E32" s="18"/>
      <c r="F32" s="18"/>
      <c r="G32" s="15"/>
      <c r="H32" s="15"/>
    </row>
    <row r="33" customFormat="false" ht="15" hidden="false" customHeight="false" outlineLevel="0" collapsed="false">
      <c r="A33" s="15"/>
      <c r="B33" s="15"/>
      <c r="C33" s="15"/>
      <c r="D33" s="15"/>
      <c r="E33" s="18"/>
      <c r="F33" s="18"/>
      <c r="G33" s="15"/>
      <c r="H33" s="15"/>
    </row>
    <row r="34" customFormat="false" ht="15" hidden="false" customHeight="false" outlineLevel="0" collapsed="false">
      <c r="A34" s="15"/>
      <c r="B34" s="15"/>
      <c r="C34" s="15"/>
      <c r="D34" s="15"/>
      <c r="E34" s="18"/>
      <c r="F34" s="18"/>
      <c r="G34" s="15"/>
      <c r="H34" s="15"/>
    </row>
    <row r="35" customFormat="false" ht="15" hidden="false" customHeight="false" outlineLevel="0" collapsed="false">
      <c r="A35" s="15"/>
      <c r="B35" s="15"/>
      <c r="C35" s="15"/>
      <c r="D35" s="15"/>
      <c r="E35" s="18"/>
      <c r="F35" s="18"/>
      <c r="G35" s="15"/>
      <c r="H35" s="15"/>
    </row>
    <row r="36" customFormat="false" ht="15" hidden="false" customHeight="false" outlineLevel="0" collapsed="false">
      <c r="A36" s="15"/>
      <c r="B36" s="15"/>
      <c r="C36" s="15"/>
      <c r="D36" s="15"/>
      <c r="E36" s="18"/>
      <c r="F36" s="18"/>
      <c r="G36" s="15"/>
      <c r="H36" s="15"/>
    </row>
    <row r="37" customFormat="false" ht="15" hidden="false" customHeight="false" outlineLevel="0" collapsed="false">
      <c r="A37" s="15"/>
      <c r="B37" s="15"/>
      <c r="C37" s="15"/>
      <c r="D37" s="15"/>
      <c r="E37" s="18"/>
      <c r="F37" s="18"/>
      <c r="G37" s="15"/>
      <c r="H37" s="15"/>
    </row>
    <row r="38" customFormat="false" ht="15" hidden="false" customHeight="false" outlineLevel="0" collapsed="false">
      <c r="A38" s="15"/>
      <c r="B38" s="15"/>
      <c r="C38" s="15"/>
      <c r="D38" s="15"/>
      <c r="E38" s="18"/>
      <c r="F38" s="18"/>
      <c r="G38" s="15"/>
      <c r="H38" s="15"/>
    </row>
    <row r="39" customFormat="false" ht="15" hidden="false" customHeight="false" outlineLevel="0" collapsed="false">
      <c r="A39" s="15"/>
      <c r="B39" s="15"/>
      <c r="C39" s="15"/>
      <c r="D39" s="15"/>
      <c r="E39" s="18"/>
      <c r="F39" s="18"/>
      <c r="G39" s="15"/>
      <c r="H39" s="15"/>
    </row>
    <row r="40" customFormat="false" ht="15" hidden="false" customHeight="false" outlineLevel="0" collapsed="false">
      <c r="A40" s="15"/>
      <c r="B40" s="15"/>
      <c r="C40" s="15"/>
      <c r="D40" s="15"/>
      <c r="E40" s="18"/>
      <c r="F40" s="18"/>
      <c r="G40" s="15"/>
      <c r="H40" s="15"/>
    </row>
    <row r="41" customFormat="false" ht="15" hidden="false" customHeight="false" outlineLevel="0" collapsed="false">
      <c r="A41" s="15"/>
      <c r="B41" s="15"/>
      <c r="C41" s="15"/>
      <c r="D41" s="15"/>
      <c r="E41" s="18"/>
      <c r="F41" s="18"/>
      <c r="G41" s="15"/>
      <c r="H41" s="15"/>
    </row>
    <row r="42" customFormat="false" ht="15" hidden="false" customHeight="false" outlineLevel="0" collapsed="false">
      <c r="A42" s="15"/>
      <c r="B42" s="15"/>
      <c r="C42" s="15"/>
      <c r="D42" s="15"/>
      <c r="E42" s="18"/>
      <c r="F42" s="18"/>
      <c r="G42" s="15"/>
      <c r="H42" s="15"/>
    </row>
    <row r="43" customFormat="false" ht="15" hidden="false" customHeight="false" outlineLevel="0" collapsed="false">
      <c r="A43" s="15"/>
      <c r="B43" s="15"/>
      <c r="C43" s="15"/>
      <c r="D43" s="15"/>
      <c r="E43" s="18"/>
      <c r="F43" s="18"/>
      <c r="G43" s="15"/>
      <c r="H43" s="15"/>
    </row>
    <row r="44" customFormat="false" ht="15" hidden="false" customHeight="false" outlineLevel="0" collapsed="false">
      <c r="A44" s="15"/>
      <c r="B44" s="15"/>
      <c r="C44" s="15"/>
      <c r="D44" s="15"/>
      <c r="E44" s="18"/>
      <c r="F44" s="18"/>
      <c r="G44" s="15"/>
      <c r="H44" s="15"/>
    </row>
    <row r="45" customFormat="false" ht="15" hidden="false" customHeight="false" outlineLevel="0" collapsed="false">
      <c r="A45" s="15"/>
      <c r="B45" s="15"/>
      <c r="C45" s="15"/>
      <c r="D45" s="15"/>
      <c r="E45" s="18"/>
      <c r="F45" s="18"/>
      <c r="G45" s="15"/>
      <c r="H45" s="15"/>
    </row>
    <row r="46" customFormat="false" ht="15" hidden="false" customHeight="false" outlineLevel="0" collapsed="false">
      <c r="A46" s="15"/>
      <c r="B46" s="15"/>
      <c r="C46" s="15"/>
      <c r="D46" s="15"/>
      <c r="E46" s="18"/>
      <c r="F46" s="18"/>
      <c r="G46" s="15"/>
      <c r="H46" s="15"/>
    </row>
    <row r="47" customFormat="false" ht="15" hidden="false" customHeight="false" outlineLevel="0" collapsed="false">
      <c r="A47" s="15"/>
      <c r="B47" s="15"/>
      <c r="C47" s="15"/>
      <c r="D47" s="15"/>
      <c r="E47" s="18"/>
      <c r="F47" s="18"/>
      <c r="G47" s="15"/>
      <c r="H47" s="15"/>
    </row>
    <row r="48" customFormat="false" ht="15" hidden="false" customHeight="false" outlineLevel="0" collapsed="false">
      <c r="A48" s="15"/>
      <c r="B48" s="15"/>
      <c r="C48" s="15"/>
      <c r="D48" s="15"/>
      <c r="E48" s="18"/>
      <c r="F48" s="18"/>
      <c r="G48" s="15"/>
      <c r="H48" s="15"/>
    </row>
    <row r="49" customFormat="false" ht="15" hidden="false" customHeight="false" outlineLevel="0" collapsed="false">
      <c r="A49" s="15"/>
      <c r="B49" s="15"/>
      <c r="C49" s="15"/>
      <c r="D49" s="15"/>
      <c r="E49" s="18"/>
      <c r="F49" s="18"/>
      <c r="G49" s="15"/>
      <c r="H49" s="15"/>
    </row>
    <row r="50" customFormat="false" ht="15" hidden="false" customHeight="false" outlineLevel="0" collapsed="false">
      <c r="A50" s="15"/>
      <c r="B50" s="15"/>
      <c r="C50" s="15"/>
      <c r="D50" s="15"/>
      <c r="E50" s="18"/>
      <c r="F50" s="18"/>
      <c r="G50" s="15"/>
      <c r="H50" s="15"/>
    </row>
    <row r="51" customFormat="false" ht="15" hidden="false" customHeight="false" outlineLevel="0" collapsed="false">
      <c r="A51" s="15"/>
      <c r="B51" s="15"/>
      <c r="C51" s="15"/>
      <c r="D51" s="15"/>
      <c r="E51" s="18"/>
      <c r="F51" s="18"/>
      <c r="G51" s="15"/>
      <c r="H51" s="15"/>
    </row>
    <row r="52" customFormat="false" ht="15" hidden="false" customHeight="false" outlineLevel="0" collapsed="false">
      <c r="A52" s="15"/>
      <c r="B52" s="15"/>
      <c r="C52" s="15"/>
      <c r="D52" s="15"/>
      <c r="E52" s="18"/>
      <c r="F52" s="18"/>
      <c r="G52" s="15"/>
      <c r="H52" s="15"/>
    </row>
    <row r="53" customFormat="false" ht="15" hidden="false" customHeight="false" outlineLevel="0" collapsed="false">
      <c r="A53" s="15"/>
      <c r="B53" s="15"/>
      <c r="C53" s="15"/>
      <c r="D53" s="15"/>
      <c r="E53" s="18"/>
      <c r="F53" s="18"/>
      <c r="G53" s="15"/>
      <c r="H53" s="15"/>
    </row>
    <row r="54" customFormat="false" ht="15" hidden="false" customHeight="false" outlineLevel="0" collapsed="false">
      <c r="A54" s="15"/>
      <c r="B54" s="15"/>
      <c r="C54" s="15"/>
      <c r="D54" s="15"/>
      <c r="E54" s="18"/>
      <c r="F54" s="18"/>
      <c r="G54" s="15"/>
      <c r="H54" s="15"/>
    </row>
    <row r="55" customFormat="false" ht="15" hidden="false" customHeight="false" outlineLevel="0" collapsed="false">
      <c r="A55" s="15"/>
      <c r="B55" s="15"/>
      <c r="C55" s="15"/>
      <c r="D55" s="15"/>
      <c r="E55" s="18"/>
      <c r="F55" s="18"/>
      <c r="G55" s="15"/>
      <c r="H55" s="15"/>
    </row>
    <row r="56" customFormat="false" ht="15" hidden="false" customHeight="false" outlineLevel="0" collapsed="false">
      <c r="A56" s="15"/>
      <c r="B56" s="15"/>
      <c r="C56" s="15"/>
      <c r="D56" s="15"/>
      <c r="E56" s="18"/>
      <c r="F56" s="18"/>
      <c r="G56" s="15"/>
      <c r="H56" s="15"/>
    </row>
    <row r="57" customFormat="false" ht="15" hidden="false" customHeight="false" outlineLevel="0" collapsed="false">
      <c r="A57" s="15"/>
      <c r="B57" s="15"/>
      <c r="C57" s="15"/>
      <c r="D57" s="15"/>
      <c r="E57" s="18"/>
      <c r="F57" s="18"/>
      <c r="G57" s="15"/>
      <c r="H57" s="15"/>
    </row>
    <row r="58" customFormat="false" ht="15" hidden="false" customHeight="false" outlineLevel="0" collapsed="false">
      <c r="A58" s="15"/>
      <c r="B58" s="15"/>
      <c r="C58" s="15"/>
      <c r="D58" s="15"/>
      <c r="E58" s="18"/>
      <c r="F58" s="18"/>
      <c r="G58" s="15"/>
      <c r="H58" s="15"/>
    </row>
    <row r="59" customFormat="false" ht="15" hidden="false" customHeight="false" outlineLevel="0" collapsed="false">
      <c r="A59" s="15"/>
      <c r="B59" s="15"/>
      <c r="C59" s="15"/>
      <c r="D59" s="15"/>
      <c r="E59" s="18"/>
      <c r="F59" s="18"/>
      <c r="G59" s="15"/>
      <c r="H59" s="15"/>
    </row>
    <row r="60" customFormat="false" ht="15" hidden="false" customHeight="false" outlineLevel="0" collapsed="false">
      <c r="A60" s="15"/>
      <c r="B60" s="15"/>
      <c r="C60" s="15"/>
      <c r="D60" s="15"/>
      <c r="E60" s="18"/>
      <c r="F60" s="18"/>
      <c r="G60" s="15"/>
      <c r="H60" s="15"/>
    </row>
    <row r="61" customFormat="false" ht="15" hidden="false" customHeight="false" outlineLevel="0" collapsed="false">
      <c r="A61" s="15"/>
      <c r="B61" s="15"/>
      <c r="C61" s="15"/>
      <c r="D61" s="15"/>
      <c r="E61" s="18"/>
      <c r="F61" s="18"/>
      <c r="G61" s="15"/>
      <c r="H61" s="15"/>
    </row>
    <row r="62" customFormat="false" ht="15" hidden="false" customHeight="false" outlineLevel="0" collapsed="false">
      <c r="A62" s="15"/>
      <c r="B62" s="15"/>
      <c r="C62" s="15"/>
      <c r="D62" s="15"/>
      <c r="E62" s="18"/>
      <c r="F62" s="18"/>
      <c r="G62" s="15"/>
      <c r="H62" s="15"/>
    </row>
    <row r="63" customFormat="false" ht="15" hidden="false" customHeight="false" outlineLevel="0" collapsed="false">
      <c r="A63" s="15"/>
      <c r="B63" s="15"/>
      <c r="C63" s="15"/>
      <c r="D63" s="15"/>
      <c r="E63" s="18"/>
      <c r="F63" s="18"/>
      <c r="G63" s="15"/>
      <c r="H63" s="15"/>
    </row>
    <row r="64" customFormat="false" ht="15" hidden="false" customHeight="false" outlineLevel="0" collapsed="false">
      <c r="A64" s="15"/>
      <c r="B64" s="15"/>
      <c r="C64" s="15"/>
      <c r="D64" s="15"/>
      <c r="E64" s="18"/>
      <c r="F64" s="18"/>
      <c r="G64" s="15"/>
      <c r="H64" s="15"/>
    </row>
    <row r="65" customFormat="false" ht="15" hidden="false" customHeight="false" outlineLevel="0" collapsed="false">
      <c r="A65" s="15"/>
      <c r="B65" s="15"/>
      <c r="C65" s="15"/>
      <c r="D65" s="15"/>
      <c r="E65" s="18"/>
      <c r="F65" s="18"/>
      <c r="G65" s="15"/>
      <c r="H65" s="15"/>
    </row>
    <row r="66" customFormat="false" ht="15" hidden="false" customHeight="false" outlineLevel="0" collapsed="false">
      <c r="A66" s="15"/>
      <c r="B66" s="15"/>
      <c r="C66" s="15"/>
      <c r="D66" s="15"/>
      <c r="E66" s="18"/>
      <c r="F66" s="18"/>
      <c r="G66" s="15"/>
      <c r="H66" s="15"/>
    </row>
    <row r="67" customFormat="false" ht="15" hidden="false" customHeight="false" outlineLevel="0" collapsed="false">
      <c r="A67" s="15"/>
      <c r="B67" s="15"/>
      <c r="C67" s="15"/>
      <c r="D67" s="15"/>
      <c r="E67" s="18"/>
      <c r="F67" s="18"/>
      <c r="G67" s="15"/>
      <c r="H67" s="15"/>
    </row>
    <row r="68" customFormat="false" ht="15" hidden="false" customHeight="false" outlineLevel="0" collapsed="false">
      <c r="A68" s="15"/>
      <c r="B68" s="15"/>
      <c r="C68" s="15"/>
      <c r="D68" s="15"/>
      <c r="E68" s="18"/>
      <c r="F68" s="18"/>
      <c r="G68" s="15"/>
      <c r="H68" s="15"/>
    </row>
    <row r="69" customFormat="false" ht="15" hidden="false" customHeight="false" outlineLevel="0" collapsed="false">
      <c r="A69" s="15"/>
      <c r="B69" s="15"/>
      <c r="C69" s="15"/>
      <c r="D69" s="15"/>
      <c r="E69" s="18"/>
      <c r="F69" s="18"/>
      <c r="G69" s="15"/>
      <c r="H69" s="15"/>
    </row>
    <row r="70" customFormat="false" ht="15" hidden="false" customHeight="false" outlineLevel="0" collapsed="false">
      <c r="A70" s="15"/>
      <c r="B70" s="15"/>
      <c r="C70" s="15"/>
      <c r="D70" s="15"/>
      <c r="E70" s="18"/>
      <c r="F70" s="18"/>
      <c r="G70" s="15"/>
      <c r="H70" s="15"/>
    </row>
    <row r="71" customFormat="false" ht="15" hidden="false" customHeight="false" outlineLevel="0" collapsed="false">
      <c r="A71" s="15"/>
      <c r="B71" s="15"/>
      <c r="C71" s="15"/>
      <c r="D71" s="15"/>
      <c r="E71" s="18"/>
      <c r="F71" s="18"/>
      <c r="G71" s="15"/>
      <c r="H71" s="15"/>
    </row>
    <row r="72" customFormat="false" ht="15" hidden="false" customHeight="false" outlineLevel="0" collapsed="false">
      <c r="A72" s="15"/>
      <c r="B72" s="15"/>
      <c r="C72" s="15"/>
      <c r="D72" s="15"/>
      <c r="E72" s="18"/>
      <c r="F72" s="18"/>
      <c r="G72" s="15"/>
      <c r="H72" s="15"/>
    </row>
    <row r="73" customFormat="false" ht="15" hidden="false" customHeight="false" outlineLevel="0" collapsed="false">
      <c r="A73" s="15"/>
      <c r="B73" s="15"/>
      <c r="C73" s="15"/>
      <c r="D73" s="15"/>
      <c r="E73" s="18"/>
      <c r="F73" s="18"/>
      <c r="G73" s="15"/>
      <c r="H73" s="15"/>
    </row>
    <row r="74" customFormat="false" ht="15" hidden="false" customHeight="false" outlineLevel="0" collapsed="false">
      <c r="A74" s="15"/>
      <c r="B74" s="15"/>
      <c r="C74" s="15"/>
      <c r="D74" s="15"/>
      <c r="E74" s="18"/>
      <c r="F74" s="18"/>
      <c r="G74" s="15"/>
      <c r="H74" s="15"/>
    </row>
    <row r="75" customFormat="false" ht="15" hidden="false" customHeight="false" outlineLevel="0" collapsed="false">
      <c r="A75" s="15"/>
      <c r="B75" s="15"/>
      <c r="C75" s="15"/>
      <c r="D75" s="15"/>
      <c r="E75" s="18"/>
      <c r="F75" s="18"/>
      <c r="G75" s="15"/>
      <c r="H75" s="15"/>
    </row>
    <row r="76" customFormat="false" ht="15" hidden="false" customHeight="false" outlineLevel="0" collapsed="false">
      <c r="A76" s="15"/>
      <c r="B76" s="15"/>
      <c r="C76" s="15"/>
      <c r="D76" s="15"/>
      <c r="E76" s="18"/>
      <c r="F76" s="18"/>
      <c r="G76" s="15"/>
      <c r="H76" s="15"/>
    </row>
    <row r="77" customFormat="false" ht="15" hidden="false" customHeight="false" outlineLevel="0" collapsed="false">
      <c r="A77" s="15"/>
      <c r="B77" s="15"/>
      <c r="C77" s="15"/>
      <c r="D77" s="15"/>
      <c r="E77" s="18"/>
      <c r="F77" s="18"/>
      <c r="G77" s="15"/>
      <c r="H77" s="15"/>
    </row>
    <row r="78" customFormat="false" ht="15" hidden="false" customHeight="false" outlineLevel="0" collapsed="false">
      <c r="A78" s="15"/>
      <c r="B78" s="15"/>
      <c r="C78" s="15"/>
      <c r="D78" s="15"/>
      <c r="E78" s="18"/>
      <c r="F78" s="18"/>
      <c r="G78" s="15"/>
      <c r="H78" s="15"/>
    </row>
    <row r="79" customFormat="false" ht="15" hidden="false" customHeight="false" outlineLevel="0" collapsed="false">
      <c r="A79" s="15"/>
      <c r="B79" s="15"/>
      <c r="C79" s="15"/>
      <c r="D79" s="15"/>
      <c r="E79" s="18"/>
      <c r="F79" s="18"/>
      <c r="G79" s="15"/>
      <c r="H79" s="15"/>
    </row>
    <row r="80" customFormat="false" ht="15" hidden="false" customHeight="false" outlineLevel="0" collapsed="false">
      <c r="A80" s="15"/>
      <c r="B80" s="15"/>
      <c r="C80" s="15"/>
      <c r="D80" s="15"/>
      <c r="E80" s="18"/>
      <c r="F80" s="18"/>
      <c r="G80" s="15"/>
      <c r="H80" s="15"/>
    </row>
    <row r="81" customFormat="false" ht="15" hidden="false" customHeight="false" outlineLevel="0" collapsed="false">
      <c r="A81" s="15"/>
      <c r="B81" s="15"/>
      <c r="C81" s="15"/>
      <c r="D81" s="15"/>
      <c r="E81" s="18"/>
      <c r="F81" s="18"/>
      <c r="G81" s="15"/>
      <c r="H81" s="15"/>
    </row>
    <row r="82" customFormat="false" ht="15" hidden="false" customHeight="false" outlineLevel="0" collapsed="false">
      <c r="A82" s="15"/>
      <c r="B82" s="15"/>
      <c r="C82" s="15"/>
      <c r="D82" s="15"/>
      <c r="E82" s="18"/>
      <c r="F82" s="18"/>
      <c r="G82" s="15"/>
      <c r="H82" s="15"/>
    </row>
    <row r="83" customFormat="false" ht="15" hidden="false" customHeight="false" outlineLevel="0" collapsed="false">
      <c r="A83" s="15"/>
      <c r="B83" s="15"/>
      <c r="C83" s="15"/>
      <c r="D83" s="15"/>
      <c r="E83" s="18"/>
      <c r="F83" s="18"/>
      <c r="G83" s="15"/>
      <c r="H83" s="15"/>
    </row>
    <row r="84" customFormat="false" ht="15" hidden="false" customHeight="false" outlineLevel="0" collapsed="false">
      <c r="A84" s="15"/>
      <c r="B84" s="15"/>
      <c r="C84" s="15"/>
      <c r="D84" s="15"/>
      <c r="E84" s="18"/>
      <c r="F84" s="18"/>
      <c r="G84" s="15"/>
      <c r="H84" s="15"/>
    </row>
    <row r="85" customFormat="false" ht="15" hidden="false" customHeight="false" outlineLevel="0" collapsed="false">
      <c r="A85" s="15"/>
      <c r="B85" s="15"/>
      <c r="C85" s="15"/>
      <c r="D85" s="15"/>
      <c r="E85" s="18"/>
      <c r="F85" s="18"/>
      <c r="G85" s="15"/>
      <c r="H85" s="15"/>
    </row>
    <row r="86" customFormat="false" ht="15" hidden="false" customHeight="false" outlineLevel="0" collapsed="false">
      <c r="A86" s="15"/>
      <c r="B86" s="15"/>
      <c r="C86" s="15"/>
      <c r="D86" s="15"/>
      <c r="E86" s="18"/>
      <c r="F86" s="18"/>
      <c r="G86" s="15"/>
      <c r="H86" s="15"/>
    </row>
    <row r="87" customFormat="false" ht="15" hidden="false" customHeight="false" outlineLevel="0" collapsed="false">
      <c r="A87" s="15"/>
      <c r="B87" s="15"/>
      <c r="C87" s="15"/>
      <c r="D87" s="15"/>
      <c r="E87" s="18"/>
      <c r="F87" s="18"/>
      <c r="G87" s="15"/>
      <c r="H87" s="15"/>
    </row>
    <row r="88" customFormat="false" ht="15" hidden="false" customHeight="false" outlineLevel="0" collapsed="false">
      <c r="A88" s="15"/>
      <c r="B88" s="15"/>
      <c r="C88" s="15"/>
      <c r="D88" s="15"/>
      <c r="E88" s="18"/>
      <c r="F88" s="18"/>
      <c r="G88" s="15"/>
      <c r="H88" s="15"/>
    </row>
    <row r="89" customFormat="false" ht="15" hidden="false" customHeight="false" outlineLevel="0" collapsed="false">
      <c r="A89" s="15"/>
      <c r="B89" s="15"/>
      <c r="C89" s="15"/>
      <c r="D89" s="15"/>
      <c r="E89" s="18"/>
      <c r="F89" s="18"/>
      <c r="G89" s="15"/>
      <c r="H89" s="15"/>
    </row>
    <row r="90" customFormat="false" ht="15" hidden="false" customHeight="false" outlineLevel="0" collapsed="false">
      <c r="A90" s="15"/>
      <c r="B90" s="15"/>
      <c r="C90" s="15"/>
      <c r="D90" s="15"/>
      <c r="E90" s="18"/>
      <c r="F90" s="18"/>
      <c r="G90" s="15"/>
      <c r="H90" s="15"/>
    </row>
    <row r="91" customFormat="false" ht="15" hidden="false" customHeight="false" outlineLevel="0" collapsed="false">
      <c r="A91" s="15"/>
      <c r="B91" s="15"/>
      <c r="C91" s="15"/>
      <c r="D91" s="15"/>
      <c r="E91" s="18"/>
      <c r="F91" s="18"/>
      <c r="G91" s="15"/>
      <c r="H91" s="15"/>
    </row>
    <row r="92" customFormat="false" ht="15" hidden="false" customHeight="false" outlineLevel="0" collapsed="false">
      <c r="A92" s="15"/>
      <c r="B92" s="15"/>
      <c r="C92" s="15"/>
      <c r="D92" s="15"/>
      <c r="E92" s="18"/>
      <c r="F92" s="18"/>
      <c r="G92" s="15"/>
      <c r="H92" s="15"/>
    </row>
    <row r="93" customFormat="false" ht="15" hidden="false" customHeight="false" outlineLevel="0" collapsed="false">
      <c r="A93" s="15"/>
      <c r="B93" s="15"/>
      <c r="C93" s="15"/>
      <c r="D93" s="15"/>
      <c r="E93" s="18"/>
      <c r="F93" s="18"/>
      <c r="G93" s="15"/>
      <c r="H93" s="15"/>
    </row>
    <row r="94" customFormat="false" ht="15" hidden="false" customHeight="false" outlineLevel="0" collapsed="false">
      <c r="A94" s="15"/>
      <c r="B94" s="15"/>
      <c r="C94" s="15"/>
      <c r="D94" s="15"/>
      <c r="E94" s="18"/>
      <c r="F94" s="18"/>
      <c r="G94" s="15"/>
      <c r="H94" s="15"/>
    </row>
    <row r="95" customFormat="false" ht="15" hidden="false" customHeight="false" outlineLevel="0" collapsed="false">
      <c r="A95" s="15"/>
      <c r="B95" s="15"/>
      <c r="C95" s="15"/>
      <c r="D95" s="15"/>
      <c r="E95" s="18"/>
      <c r="F95" s="18"/>
      <c r="G95" s="15"/>
      <c r="H95" s="15"/>
    </row>
    <row r="96" customFormat="false" ht="15" hidden="false" customHeight="false" outlineLevel="0" collapsed="false">
      <c r="A96" s="15"/>
      <c r="B96" s="15"/>
      <c r="C96" s="15"/>
      <c r="D96" s="15"/>
      <c r="E96" s="18"/>
      <c r="F96" s="18"/>
      <c r="G96" s="15"/>
      <c r="H96" s="15"/>
    </row>
    <row r="97" customFormat="false" ht="15" hidden="false" customHeight="false" outlineLevel="0" collapsed="false">
      <c r="A97" s="15"/>
      <c r="B97" s="15"/>
      <c r="C97" s="15"/>
      <c r="D97" s="15"/>
      <c r="E97" s="18"/>
      <c r="F97" s="18"/>
      <c r="G97" s="15"/>
      <c r="H97" s="15"/>
    </row>
    <row r="98" customFormat="false" ht="15" hidden="false" customHeight="false" outlineLevel="0" collapsed="false">
      <c r="A98" s="15"/>
      <c r="B98" s="15"/>
      <c r="C98" s="15"/>
      <c r="D98" s="15"/>
      <c r="E98" s="18"/>
      <c r="F98" s="18"/>
      <c r="G98" s="15"/>
      <c r="H98" s="15"/>
    </row>
    <row r="99" customFormat="false" ht="15" hidden="false" customHeight="false" outlineLevel="0" collapsed="false">
      <c r="A99" s="15"/>
      <c r="B99" s="15"/>
      <c r="C99" s="15"/>
      <c r="D99" s="15"/>
      <c r="E99" s="18"/>
      <c r="F99" s="18"/>
      <c r="G99" s="15"/>
      <c r="H99" s="15"/>
    </row>
    <row r="100" customFormat="false" ht="15" hidden="false" customHeight="false" outlineLevel="0" collapsed="false">
      <c r="A100" s="15"/>
      <c r="B100" s="15"/>
      <c r="C100" s="15"/>
      <c r="D100" s="15"/>
      <c r="E100" s="18"/>
      <c r="F100" s="18"/>
      <c r="G100" s="15"/>
      <c r="H100" s="15"/>
    </row>
    <row r="101" customFormat="false" ht="15" hidden="false" customHeight="false" outlineLevel="0" collapsed="false">
      <c r="A101" s="15"/>
      <c r="B101" s="15"/>
      <c r="C101" s="15"/>
      <c r="D101" s="15"/>
      <c r="E101" s="18"/>
      <c r="F101" s="18"/>
      <c r="G101" s="15"/>
      <c r="H101" s="15"/>
    </row>
    <row r="102" customFormat="false" ht="15" hidden="false" customHeight="false" outlineLevel="0" collapsed="false">
      <c r="A102" s="15"/>
      <c r="B102" s="15"/>
      <c r="C102" s="15"/>
      <c r="D102" s="15"/>
      <c r="E102" s="18"/>
      <c r="F102" s="18"/>
      <c r="G102" s="15"/>
      <c r="H102" s="15"/>
    </row>
    <row r="103" customFormat="false" ht="15" hidden="false" customHeight="false" outlineLevel="0" collapsed="false">
      <c r="A103" s="15"/>
      <c r="B103" s="15"/>
      <c r="C103" s="15"/>
      <c r="D103" s="15"/>
      <c r="E103" s="18"/>
      <c r="F103" s="18"/>
      <c r="G103" s="15"/>
      <c r="H103" s="15"/>
    </row>
    <row r="104" customFormat="false" ht="15" hidden="false" customHeight="false" outlineLevel="0" collapsed="false">
      <c r="A104" s="15"/>
      <c r="B104" s="15"/>
      <c r="C104" s="15"/>
      <c r="D104" s="15"/>
      <c r="E104" s="18"/>
      <c r="F104" s="18"/>
      <c r="G104" s="15"/>
      <c r="H104" s="15"/>
    </row>
    <row r="105" customFormat="false" ht="15" hidden="false" customHeight="false" outlineLevel="0" collapsed="false">
      <c r="A105" s="15"/>
      <c r="B105" s="15"/>
      <c r="C105" s="15"/>
      <c r="D105" s="15"/>
      <c r="E105" s="18"/>
      <c r="F105" s="18"/>
      <c r="G105" s="15"/>
      <c r="H105" s="15"/>
    </row>
    <row r="106" customFormat="false" ht="15" hidden="false" customHeight="false" outlineLevel="0" collapsed="false">
      <c r="A106" s="15"/>
      <c r="B106" s="15"/>
      <c r="C106" s="15"/>
      <c r="D106" s="15"/>
      <c r="E106" s="18"/>
      <c r="F106" s="18"/>
      <c r="G106" s="15"/>
      <c r="H106" s="15"/>
    </row>
    <row r="107" customFormat="false" ht="15" hidden="false" customHeight="false" outlineLevel="0" collapsed="false">
      <c r="A107" s="15"/>
      <c r="B107" s="15"/>
      <c r="C107" s="15"/>
      <c r="D107" s="15"/>
      <c r="E107" s="18"/>
      <c r="F107" s="18"/>
      <c r="G107" s="15"/>
      <c r="H107" s="15"/>
    </row>
    <row r="108" customFormat="false" ht="15" hidden="false" customHeight="false" outlineLevel="0" collapsed="false">
      <c r="A108" s="15"/>
      <c r="B108" s="15"/>
      <c r="C108" s="15"/>
      <c r="D108" s="15"/>
      <c r="E108" s="18"/>
      <c r="F108" s="18"/>
      <c r="G108" s="15"/>
      <c r="H108" s="15"/>
    </row>
    <row r="109" customFormat="false" ht="15" hidden="false" customHeight="false" outlineLevel="0" collapsed="false">
      <c r="A109" s="15"/>
      <c r="B109" s="15"/>
      <c r="C109" s="15"/>
      <c r="D109" s="15"/>
      <c r="E109" s="18"/>
      <c r="F109" s="18"/>
      <c r="G109" s="15"/>
      <c r="H109" s="15"/>
    </row>
    <row r="110" customFormat="false" ht="15" hidden="false" customHeight="false" outlineLevel="0" collapsed="false">
      <c r="A110" s="15"/>
      <c r="B110" s="15"/>
      <c r="C110" s="15"/>
      <c r="D110" s="15"/>
      <c r="E110" s="18"/>
      <c r="F110" s="18"/>
      <c r="G110" s="15"/>
      <c r="H110" s="15"/>
    </row>
    <row r="111" customFormat="false" ht="15" hidden="false" customHeight="false" outlineLevel="0" collapsed="false">
      <c r="A111" s="15"/>
      <c r="B111" s="15"/>
      <c r="C111" s="15"/>
      <c r="D111" s="15"/>
      <c r="E111" s="18"/>
      <c r="F111" s="18"/>
      <c r="G111" s="15"/>
      <c r="H111" s="15"/>
    </row>
    <row r="112" customFormat="false" ht="15" hidden="false" customHeight="false" outlineLevel="0" collapsed="false">
      <c r="A112" s="15"/>
      <c r="B112" s="15"/>
      <c r="C112" s="15"/>
      <c r="D112" s="15"/>
      <c r="E112" s="18"/>
      <c r="F112" s="18"/>
      <c r="G112" s="15"/>
      <c r="H112" s="15"/>
    </row>
    <row r="113" customFormat="false" ht="15" hidden="false" customHeight="false" outlineLevel="0" collapsed="false">
      <c r="A113" s="15"/>
      <c r="B113" s="15"/>
      <c r="C113" s="15"/>
      <c r="D113" s="15"/>
      <c r="E113" s="18"/>
      <c r="F113" s="18"/>
      <c r="G113" s="15"/>
      <c r="H113" s="15"/>
    </row>
    <row r="114" customFormat="false" ht="15" hidden="false" customHeight="false" outlineLevel="0" collapsed="false">
      <c r="A114" s="15"/>
      <c r="B114" s="15"/>
      <c r="C114" s="15"/>
      <c r="D114" s="15"/>
      <c r="E114" s="18"/>
      <c r="F114" s="18"/>
      <c r="G114" s="15"/>
      <c r="H114" s="15"/>
    </row>
    <row r="115" customFormat="false" ht="15" hidden="false" customHeight="false" outlineLevel="0" collapsed="false">
      <c r="A115" s="15"/>
      <c r="B115" s="15"/>
      <c r="C115" s="15"/>
      <c r="D115" s="15"/>
      <c r="E115" s="18"/>
      <c r="F115" s="18"/>
      <c r="G115" s="15"/>
      <c r="H115" s="15"/>
    </row>
    <row r="116" customFormat="false" ht="15" hidden="false" customHeight="false" outlineLevel="0" collapsed="false">
      <c r="A116" s="15"/>
      <c r="B116" s="15"/>
      <c r="C116" s="15"/>
      <c r="D116" s="15"/>
      <c r="E116" s="18"/>
      <c r="F116" s="18"/>
      <c r="G116" s="15"/>
      <c r="H116" s="15"/>
    </row>
    <row r="117" customFormat="false" ht="15" hidden="false" customHeight="false" outlineLevel="0" collapsed="false">
      <c r="A117" s="15"/>
      <c r="B117" s="15"/>
      <c r="C117" s="15"/>
      <c r="D117" s="15"/>
      <c r="E117" s="18"/>
      <c r="F117" s="18"/>
      <c r="G117" s="15"/>
      <c r="H117" s="15"/>
    </row>
    <row r="118" customFormat="false" ht="15" hidden="false" customHeight="false" outlineLevel="0" collapsed="false">
      <c r="A118" s="15"/>
      <c r="B118" s="15"/>
      <c r="C118" s="15"/>
      <c r="D118" s="15"/>
      <c r="E118" s="18"/>
      <c r="F118" s="18"/>
      <c r="G118" s="15"/>
      <c r="H118" s="15"/>
    </row>
    <row r="119" customFormat="false" ht="15" hidden="false" customHeight="false" outlineLevel="0" collapsed="false">
      <c r="A119" s="15"/>
      <c r="B119" s="15"/>
      <c r="C119" s="15"/>
      <c r="D119" s="15"/>
      <c r="E119" s="18"/>
      <c r="F119" s="18"/>
      <c r="G119" s="15"/>
      <c r="H119" s="15"/>
    </row>
    <row r="120" customFormat="false" ht="15" hidden="false" customHeight="false" outlineLevel="0" collapsed="false">
      <c r="A120" s="15"/>
      <c r="B120" s="15"/>
      <c r="C120" s="15"/>
      <c r="D120" s="15"/>
      <c r="E120" s="18"/>
      <c r="F120" s="18"/>
      <c r="G120" s="15"/>
      <c r="H120" s="15"/>
    </row>
    <row r="121" customFormat="false" ht="15" hidden="false" customHeight="false" outlineLevel="0" collapsed="false">
      <c r="A121" s="15"/>
      <c r="B121" s="15"/>
      <c r="C121" s="15"/>
      <c r="D121" s="15"/>
      <c r="E121" s="18"/>
      <c r="F121" s="18"/>
      <c r="G121" s="15"/>
      <c r="H121" s="15"/>
    </row>
    <row r="122" customFormat="false" ht="15" hidden="false" customHeight="false" outlineLevel="0" collapsed="false">
      <c r="A122" s="15"/>
      <c r="B122" s="15"/>
      <c r="C122" s="15"/>
      <c r="D122" s="15"/>
      <c r="E122" s="18"/>
      <c r="F122" s="18"/>
      <c r="G122" s="15"/>
      <c r="H122" s="15"/>
    </row>
    <row r="123" customFormat="false" ht="15" hidden="false" customHeight="false" outlineLevel="0" collapsed="false">
      <c r="A123" s="15"/>
      <c r="B123" s="15"/>
      <c r="C123" s="15"/>
      <c r="D123" s="15"/>
      <c r="E123" s="18"/>
      <c r="F123" s="18"/>
      <c r="G123" s="15"/>
      <c r="H123" s="15"/>
    </row>
    <row r="124" customFormat="false" ht="15" hidden="false" customHeight="false" outlineLevel="0" collapsed="false">
      <c r="A124" s="15"/>
      <c r="B124" s="15"/>
      <c r="C124" s="15"/>
      <c r="D124" s="15"/>
      <c r="E124" s="18"/>
      <c r="F124" s="18"/>
      <c r="G124" s="15"/>
      <c r="H124" s="15"/>
    </row>
    <row r="125" customFormat="false" ht="15" hidden="false" customHeight="false" outlineLevel="0" collapsed="false">
      <c r="A125" s="15"/>
      <c r="B125" s="15"/>
      <c r="C125" s="15"/>
      <c r="D125" s="15"/>
      <c r="E125" s="18"/>
      <c r="F125" s="18"/>
      <c r="G125" s="15"/>
      <c r="H125" s="15"/>
    </row>
    <row r="126" customFormat="false" ht="15" hidden="false" customHeight="false" outlineLevel="0" collapsed="false">
      <c r="A126" s="15"/>
      <c r="B126" s="15"/>
      <c r="C126" s="15"/>
      <c r="D126" s="15"/>
      <c r="E126" s="18"/>
      <c r="F126" s="18"/>
      <c r="G126" s="15"/>
      <c r="H126" s="15"/>
    </row>
    <row r="127" customFormat="false" ht="15" hidden="false" customHeight="false" outlineLevel="0" collapsed="false">
      <c r="A127" s="15"/>
      <c r="B127" s="15"/>
      <c r="C127" s="15"/>
      <c r="D127" s="15"/>
      <c r="E127" s="18"/>
      <c r="F127" s="18"/>
      <c r="G127" s="15"/>
      <c r="H127" s="15"/>
    </row>
    <row r="128" customFormat="false" ht="15" hidden="false" customHeight="false" outlineLevel="0" collapsed="false">
      <c r="A128" s="15"/>
      <c r="B128" s="15"/>
      <c r="C128" s="15"/>
      <c r="D128" s="15"/>
      <c r="E128" s="18"/>
      <c r="F128" s="18"/>
      <c r="G128" s="15"/>
      <c r="H128" s="15"/>
    </row>
    <row r="129" customFormat="false" ht="15" hidden="false" customHeight="false" outlineLevel="0" collapsed="false">
      <c r="A129" s="15"/>
      <c r="B129" s="15"/>
      <c r="C129" s="15"/>
      <c r="D129" s="15"/>
      <c r="E129" s="18"/>
      <c r="F129" s="18"/>
      <c r="G129" s="15"/>
      <c r="H129" s="15"/>
    </row>
    <row r="130" customFormat="false" ht="15" hidden="false" customHeight="false" outlineLevel="0" collapsed="false">
      <c r="A130" s="15"/>
      <c r="B130" s="15"/>
      <c r="C130" s="15"/>
      <c r="D130" s="15"/>
      <c r="E130" s="18"/>
      <c r="F130" s="18"/>
      <c r="G130" s="15"/>
      <c r="H130" s="15"/>
    </row>
    <row r="131" customFormat="false" ht="15" hidden="false" customHeight="false" outlineLevel="0" collapsed="false">
      <c r="A131" s="15"/>
      <c r="B131" s="15"/>
      <c r="C131" s="15"/>
      <c r="D131" s="15"/>
      <c r="E131" s="18"/>
      <c r="F131" s="18"/>
      <c r="G131" s="15"/>
      <c r="H131" s="15"/>
    </row>
    <row r="132" customFormat="false" ht="15" hidden="false" customHeight="false" outlineLevel="0" collapsed="false">
      <c r="A132" s="15"/>
      <c r="B132" s="15"/>
      <c r="C132" s="15"/>
      <c r="D132" s="15"/>
      <c r="E132" s="18"/>
      <c r="F132" s="18"/>
      <c r="G132" s="15"/>
      <c r="H132" s="15"/>
    </row>
    <row r="133" customFormat="false" ht="15" hidden="false" customHeight="false" outlineLevel="0" collapsed="false">
      <c r="A133" s="15"/>
      <c r="B133" s="15"/>
      <c r="C133" s="15"/>
      <c r="D133" s="15"/>
      <c r="E133" s="18"/>
      <c r="F133" s="18"/>
      <c r="G133" s="15"/>
      <c r="H133" s="15"/>
    </row>
    <row r="134" customFormat="false" ht="15" hidden="false" customHeight="false" outlineLevel="0" collapsed="false">
      <c r="A134" s="15"/>
      <c r="B134" s="15"/>
      <c r="C134" s="15"/>
      <c r="D134" s="15"/>
      <c r="E134" s="18"/>
      <c r="F134" s="18"/>
      <c r="G134" s="15"/>
      <c r="H134" s="15"/>
    </row>
    <row r="135" customFormat="false" ht="15" hidden="false" customHeight="false" outlineLevel="0" collapsed="false">
      <c r="A135" s="15"/>
      <c r="B135" s="15"/>
      <c r="C135" s="15"/>
      <c r="D135" s="15"/>
      <c r="E135" s="18"/>
      <c r="F135" s="18"/>
      <c r="G135" s="15"/>
      <c r="H135" s="15"/>
    </row>
    <row r="136" customFormat="false" ht="15" hidden="false" customHeight="false" outlineLevel="0" collapsed="false">
      <c r="A136" s="15"/>
      <c r="B136" s="15"/>
      <c r="C136" s="15"/>
      <c r="D136" s="15"/>
      <c r="E136" s="18"/>
      <c r="F136" s="18"/>
      <c r="G136" s="15"/>
      <c r="H136" s="15"/>
    </row>
    <row r="137" customFormat="false" ht="15" hidden="false" customHeight="false" outlineLevel="0" collapsed="false">
      <c r="A137" s="15"/>
      <c r="B137" s="15"/>
      <c r="C137" s="15"/>
      <c r="D137" s="15"/>
      <c r="E137" s="18"/>
      <c r="F137" s="18"/>
      <c r="G137" s="15"/>
      <c r="H137" s="15"/>
    </row>
    <row r="138" customFormat="false" ht="15" hidden="false" customHeight="false" outlineLevel="0" collapsed="false">
      <c r="A138" s="15"/>
      <c r="B138" s="15"/>
      <c r="C138" s="15"/>
      <c r="D138" s="15"/>
      <c r="E138" s="18"/>
      <c r="F138" s="18"/>
      <c r="G138" s="15"/>
      <c r="H138" s="15"/>
    </row>
    <row r="139" customFormat="false" ht="15" hidden="false" customHeight="false" outlineLevel="0" collapsed="false">
      <c r="A139" s="15"/>
      <c r="B139" s="15"/>
      <c r="C139" s="15"/>
      <c r="D139" s="15"/>
      <c r="E139" s="18"/>
      <c r="F139" s="18"/>
      <c r="G139" s="15"/>
      <c r="H139" s="15"/>
    </row>
    <row r="140" customFormat="false" ht="15" hidden="false" customHeight="false" outlineLevel="0" collapsed="false">
      <c r="A140" s="15"/>
      <c r="B140" s="15"/>
      <c r="C140" s="15"/>
      <c r="D140" s="15"/>
      <c r="E140" s="18"/>
      <c r="F140" s="18"/>
      <c r="G140" s="15"/>
      <c r="H140" s="15"/>
    </row>
    <row r="141" customFormat="false" ht="15" hidden="false" customHeight="false" outlineLevel="0" collapsed="false">
      <c r="A141" s="15"/>
      <c r="B141" s="15"/>
      <c r="C141" s="15"/>
      <c r="D141" s="15"/>
      <c r="E141" s="18"/>
      <c r="F141" s="18"/>
      <c r="G141" s="15"/>
      <c r="H141" s="15"/>
    </row>
    <row r="142" customFormat="false" ht="15" hidden="false" customHeight="false" outlineLevel="0" collapsed="false">
      <c r="A142" s="15"/>
      <c r="B142" s="15"/>
      <c r="C142" s="15"/>
      <c r="D142" s="15"/>
      <c r="E142" s="18"/>
      <c r="F142" s="18"/>
      <c r="G142" s="15"/>
      <c r="H142" s="15"/>
    </row>
    <row r="143" customFormat="false" ht="15" hidden="false" customHeight="false" outlineLevel="0" collapsed="false">
      <c r="A143" s="15"/>
      <c r="B143" s="15"/>
      <c r="C143" s="15"/>
      <c r="D143" s="15"/>
      <c r="E143" s="18"/>
      <c r="F143" s="18"/>
      <c r="G143" s="15"/>
      <c r="H143" s="15"/>
    </row>
    <row r="144" customFormat="false" ht="15" hidden="false" customHeight="false" outlineLevel="0" collapsed="false">
      <c r="A144" s="15"/>
      <c r="B144" s="15"/>
      <c r="C144" s="15"/>
      <c r="D144" s="15"/>
      <c r="E144" s="18"/>
      <c r="F144" s="18"/>
      <c r="G144" s="15"/>
      <c r="H144" s="15"/>
    </row>
    <row r="145" customFormat="false" ht="15" hidden="false" customHeight="false" outlineLevel="0" collapsed="false">
      <c r="A145" s="15"/>
      <c r="B145" s="15"/>
      <c r="C145" s="15"/>
      <c r="D145" s="15"/>
      <c r="E145" s="18"/>
      <c r="F145" s="18"/>
      <c r="G145" s="15"/>
      <c r="H145" s="15"/>
    </row>
    <row r="146" customFormat="false" ht="15" hidden="false" customHeight="false" outlineLevel="0" collapsed="false">
      <c r="A146" s="15"/>
      <c r="B146" s="15"/>
      <c r="C146" s="15"/>
      <c r="D146" s="15"/>
      <c r="E146" s="18"/>
      <c r="F146" s="18"/>
      <c r="G146" s="15"/>
      <c r="H146" s="15"/>
    </row>
    <row r="147" customFormat="false" ht="15" hidden="false" customHeight="false" outlineLevel="0" collapsed="false">
      <c r="A147" s="15"/>
      <c r="B147" s="15"/>
      <c r="C147" s="15"/>
      <c r="D147" s="15"/>
      <c r="E147" s="18"/>
      <c r="F147" s="18"/>
      <c r="G147" s="15"/>
      <c r="H147" s="15"/>
    </row>
    <row r="148" customFormat="false" ht="15" hidden="false" customHeight="false" outlineLevel="0" collapsed="false">
      <c r="A148" s="15"/>
      <c r="B148" s="15"/>
      <c r="C148" s="15"/>
      <c r="D148" s="15"/>
      <c r="E148" s="18"/>
      <c r="F148" s="18"/>
      <c r="G148" s="15"/>
      <c r="H148" s="15"/>
    </row>
    <row r="149" customFormat="false" ht="15" hidden="false" customHeight="false" outlineLevel="0" collapsed="false">
      <c r="A149" s="15"/>
      <c r="B149" s="15"/>
      <c r="C149" s="15"/>
      <c r="D149" s="15"/>
      <c r="E149" s="18"/>
      <c r="F149" s="18"/>
      <c r="G149" s="15"/>
      <c r="H149" s="15"/>
    </row>
    <row r="150" customFormat="false" ht="15" hidden="false" customHeight="false" outlineLevel="0" collapsed="false">
      <c r="A150" s="15"/>
      <c r="B150" s="15"/>
      <c r="C150" s="15"/>
      <c r="D150" s="15"/>
      <c r="E150" s="18"/>
      <c r="F150" s="18"/>
      <c r="G150" s="15"/>
      <c r="H150" s="15"/>
    </row>
    <row r="151" customFormat="false" ht="15" hidden="false" customHeight="false" outlineLevel="0" collapsed="false">
      <c r="A151" s="15"/>
      <c r="B151" s="15"/>
      <c r="C151" s="15"/>
      <c r="D151" s="15"/>
      <c r="E151" s="18"/>
      <c r="F151" s="18"/>
      <c r="G151" s="15"/>
      <c r="H151" s="15"/>
    </row>
    <row r="152" customFormat="false" ht="15" hidden="false" customHeight="false" outlineLevel="0" collapsed="false">
      <c r="A152" s="15"/>
      <c r="B152" s="15"/>
      <c r="C152" s="15"/>
      <c r="D152" s="15"/>
      <c r="E152" s="18"/>
      <c r="F152" s="18"/>
      <c r="G152" s="15"/>
      <c r="H152" s="15"/>
    </row>
    <row r="153" customFormat="false" ht="15" hidden="false" customHeight="false" outlineLevel="0" collapsed="false">
      <c r="A153" s="15"/>
      <c r="B153" s="15"/>
      <c r="C153" s="15"/>
      <c r="D153" s="15"/>
      <c r="E153" s="18"/>
      <c r="F153" s="18"/>
      <c r="G153" s="15"/>
      <c r="H153" s="15"/>
    </row>
    <row r="154" customFormat="false" ht="15" hidden="false" customHeight="false" outlineLevel="0" collapsed="false">
      <c r="A154" s="15"/>
      <c r="B154" s="15"/>
      <c r="C154" s="15"/>
      <c r="D154" s="15"/>
      <c r="E154" s="18"/>
      <c r="F154" s="18"/>
      <c r="G154" s="15"/>
      <c r="H154" s="15"/>
    </row>
    <row r="155" customFormat="false" ht="15" hidden="false" customHeight="false" outlineLevel="0" collapsed="false">
      <c r="A155" s="15"/>
      <c r="B155" s="15"/>
      <c r="C155" s="15"/>
      <c r="D155" s="15"/>
      <c r="E155" s="18"/>
      <c r="F155" s="18"/>
      <c r="G155" s="15"/>
      <c r="H155" s="15"/>
    </row>
    <row r="156" customFormat="false" ht="15" hidden="false" customHeight="false" outlineLevel="0" collapsed="false">
      <c r="A156" s="15"/>
      <c r="B156" s="15"/>
      <c r="C156" s="15"/>
      <c r="D156" s="15"/>
      <c r="E156" s="18"/>
      <c r="F156" s="18"/>
      <c r="G156" s="15"/>
      <c r="H156" s="15"/>
    </row>
    <row r="157" customFormat="false" ht="15" hidden="false" customHeight="false" outlineLevel="0" collapsed="false">
      <c r="A157" s="15"/>
      <c r="B157" s="15"/>
      <c r="C157" s="15"/>
      <c r="D157" s="15"/>
      <c r="E157" s="18"/>
      <c r="F157" s="18"/>
      <c r="G157" s="15"/>
      <c r="H157" s="15"/>
    </row>
    <row r="158" customFormat="false" ht="15" hidden="false" customHeight="false" outlineLevel="0" collapsed="false">
      <c r="A158" s="15"/>
      <c r="B158" s="15"/>
      <c r="C158" s="15"/>
      <c r="D158" s="15"/>
      <c r="E158" s="18"/>
      <c r="F158" s="18"/>
      <c r="G158" s="15"/>
      <c r="H158" s="15"/>
    </row>
    <row r="159" customFormat="false" ht="15" hidden="false" customHeight="false" outlineLevel="0" collapsed="false">
      <c r="A159" s="15"/>
      <c r="B159" s="15"/>
      <c r="C159" s="15"/>
      <c r="D159" s="15"/>
      <c r="E159" s="18"/>
      <c r="F159" s="18"/>
      <c r="G159" s="15"/>
      <c r="H159" s="15"/>
    </row>
    <row r="160" customFormat="false" ht="15" hidden="false" customHeight="false" outlineLevel="0" collapsed="false">
      <c r="A160" s="15"/>
      <c r="B160" s="15"/>
      <c r="C160" s="15"/>
      <c r="D160" s="15"/>
      <c r="E160" s="18"/>
      <c r="F160" s="18"/>
      <c r="G160" s="15"/>
      <c r="H160" s="15"/>
    </row>
    <row r="161" customFormat="false" ht="15" hidden="false" customHeight="false" outlineLevel="0" collapsed="false">
      <c r="A161" s="15"/>
      <c r="B161" s="15"/>
      <c r="C161" s="15"/>
      <c r="D161" s="15"/>
      <c r="E161" s="18"/>
      <c r="F161" s="18"/>
      <c r="G161" s="15"/>
      <c r="H161" s="15"/>
    </row>
    <row r="162" customFormat="false" ht="15" hidden="false" customHeight="false" outlineLevel="0" collapsed="false">
      <c r="A162" s="15"/>
      <c r="B162" s="15"/>
      <c r="C162" s="15"/>
      <c r="D162" s="15"/>
      <c r="E162" s="18"/>
      <c r="F162" s="18"/>
      <c r="G162" s="15"/>
      <c r="H162" s="15"/>
    </row>
    <row r="163" customFormat="false" ht="15" hidden="false" customHeight="false" outlineLevel="0" collapsed="false">
      <c r="A163" s="15"/>
      <c r="B163" s="15"/>
      <c r="C163" s="15"/>
      <c r="D163" s="15"/>
      <c r="E163" s="18"/>
      <c r="F163" s="18"/>
      <c r="G163" s="15"/>
      <c r="H163" s="15"/>
    </row>
    <row r="164" customFormat="false" ht="15" hidden="false" customHeight="false" outlineLevel="0" collapsed="false">
      <c r="A164" s="15"/>
      <c r="B164" s="15"/>
      <c r="C164" s="15"/>
      <c r="D164" s="15"/>
      <c r="E164" s="18"/>
      <c r="F164" s="18"/>
      <c r="G164" s="15"/>
      <c r="H164" s="15"/>
    </row>
    <row r="165" customFormat="false" ht="15" hidden="false" customHeight="false" outlineLevel="0" collapsed="false">
      <c r="A165" s="15"/>
      <c r="B165" s="15"/>
      <c r="C165" s="15"/>
      <c r="D165" s="15"/>
      <c r="E165" s="18"/>
      <c r="F165" s="18"/>
      <c r="G165" s="15"/>
      <c r="H165" s="15"/>
    </row>
    <row r="166" customFormat="false" ht="15" hidden="false" customHeight="false" outlineLevel="0" collapsed="false">
      <c r="A166" s="15"/>
      <c r="B166" s="15"/>
      <c r="C166" s="15"/>
      <c r="D166" s="15"/>
      <c r="E166" s="18"/>
      <c r="F166" s="18"/>
      <c r="G166" s="15"/>
      <c r="H166" s="15"/>
    </row>
    <row r="167" customFormat="false" ht="15" hidden="false" customHeight="false" outlineLevel="0" collapsed="false">
      <c r="A167" s="15"/>
      <c r="B167" s="15"/>
      <c r="C167" s="15"/>
      <c r="D167" s="15"/>
      <c r="E167" s="18"/>
      <c r="F167" s="18"/>
      <c r="G167" s="15"/>
      <c r="H167" s="15"/>
    </row>
    <row r="168" customFormat="false" ht="15" hidden="false" customHeight="false" outlineLevel="0" collapsed="false">
      <c r="A168" s="15"/>
      <c r="B168" s="15"/>
      <c r="C168" s="15"/>
      <c r="D168" s="15"/>
      <c r="E168" s="18"/>
      <c r="F168" s="18"/>
      <c r="G168" s="15"/>
      <c r="H168" s="15"/>
    </row>
    <row r="169" customFormat="false" ht="15" hidden="false" customHeight="false" outlineLevel="0" collapsed="false">
      <c r="A169" s="15"/>
      <c r="B169" s="15"/>
      <c r="C169" s="15"/>
      <c r="D169" s="15"/>
      <c r="E169" s="18"/>
      <c r="F169" s="18"/>
      <c r="G169" s="15"/>
      <c r="H169" s="15"/>
    </row>
    <row r="170" customFormat="false" ht="15" hidden="false" customHeight="false" outlineLevel="0" collapsed="false">
      <c r="A170" s="15"/>
      <c r="B170" s="15"/>
      <c r="C170" s="15"/>
      <c r="D170" s="15"/>
      <c r="E170" s="18"/>
      <c r="F170" s="18"/>
      <c r="G170" s="15"/>
      <c r="H170" s="15"/>
    </row>
    <row r="171" customFormat="false" ht="15" hidden="false" customHeight="false" outlineLevel="0" collapsed="false">
      <c r="A171" s="15"/>
      <c r="B171" s="15"/>
      <c r="C171" s="15"/>
      <c r="D171" s="15"/>
      <c r="E171" s="18"/>
      <c r="F171" s="18"/>
      <c r="G171" s="15"/>
      <c r="H171" s="15"/>
    </row>
    <row r="172" customFormat="false" ht="15" hidden="false" customHeight="false" outlineLevel="0" collapsed="false">
      <c r="A172" s="15"/>
      <c r="B172" s="15"/>
      <c r="C172" s="15"/>
      <c r="D172" s="15"/>
      <c r="E172" s="18"/>
      <c r="F172" s="18"/>
      <c r="G172" s="15"/>
      <c r="H172" s="15"/>
    </row>
    <row r="173" customFormat="false" ht="15" hidden="false" customHeight="false" outlineLevel="0" collapsed="false">
      <c r="A173" s="15"/>
      <c r="B173" s="15"/>
      <c r="C173" s="15"/>
      <c r="D173" s="15"/>
      <c r="E173" s="18"/>
      <c r="F173" s="18"/>
      <c r="G173" s="15"/>
      <c r="H173" s="15"/>
    </row>
    <row r="174" customFormat="false" ht="15" hidden="false" customHeight="false" outlineLevel="0" collapsed="false">
      <c r="A174" s="15"/>
      <c r="B174" s="15"/>
      <c r="C174" s="15"/>
      <c r="D174" s="15"/>
      <c r="E174" s="18"/>
      <c r="F174" s="18"/>
      <c r="G174" s="15"/>
      <c r="H174" s="15"/>
    </row>
    <row r="175" customFormat="false" ht="15" hidden="false" customHeight="false" outlineLevel="0" collapsed="false">
      <c r="A175" s="15"/>
      <c r="B175" s="15"/>
      <c r="C175" s="15"/>
      <c r="D175" s="15"/>
      <c r="E175" s="18"/>
      <c r="F175" s="18"/>
      <c r="G175" s="15"/>
      <c r="H175" s="15"/>
    </row>
    <row r="176" customFormat="false" ht="15" hidden="false" customHeight="false" outlineLevel="0" collapsed="false">
      <c r="A176" s="15"/>
      <c r="B176" s="15"/>
      <c r="C176" s="15"/>
      <c r="D176" s="15"/>
      <c r="E176" s="18"/>
      <c r="F176" s="18"/>
      <c r="G176" s="15"/>
      <c r="H176" s="15"/>
    </row>
    <row r="177" customFormat="false" ht="15" hidden="false" customHeight="false" outlineLevel="0" collapsed="false">
      <c r="A177" s="15"/>
      <c r="B177" s="15"/>
      <c r="C177" s="15"/>
      <c r="D177" s="15"/>
      <c r="E177" s="18"/>
      <c r="F177" s="18"/>
      <c r="G177" s="15"/>
      <c r="H177" s="15"/>
    </row>
    <row r="178" customFormat="false" ht="15" hidden="false" customHeight="false" outlineLevel="0" collapsed="false">
      <c r="A178" s="15"/>
      <c r="B178" s="15"/>
      <c r="C178" s="15"/>
      <c r="D178" s="15"/>
      <c r="E178" s="18"/>
      <c r="F178" s="18"/>
      <c r="G178" s="15"/>
      <c r="H178" s="15"/>
    </row>
    <row r="179" customFormat="false" ht="15" hidden="false" customHeight="false" outlineLevel="0" collapsed="false">
      <c r="A179" s="15"/>
      <c r="B179" s="15"/>
      <c r="C179" s="15"/>
      <c r="D179" s="15"/>
      <c r="E179" s="18"/>
      <c r="F179" s="18"/>
      <c r="G179" s="15"/>
      <c r="H179" s="15"/>
    </row>
    <row r="180" customFormat="false" ht="15" hidden="false" customHeight="false" outlineLevel="0" collapsed="false">
      <c r="A180" s="15"/>
      <c r="B180" s="15"/>
      <c r="C180" s="15"/>
      <c r="D180" s="15"/>
      <c r="E180" s="18"/>
      <c r="F180" s="18"/>
      <c r="G180" s="15"/>
      <c r="H180" s="15"/>
    </row>
    <row r="181" customFormat="false" ht="15" hidden="false" customHeight="false" outlineLevel="0" collapsed="false">
      <c r="A181" s="15"/>
      <c r="B181" s="15"/>
      <c r="C181" s="15"/>
      <c r="D181" s="15"/>
      <c r="E181" s="18"/>
      <c r="F181" s="18"/>
      <c r="G181" s="15"/>
      <c r="H181" s="15"/>
    </row>
    <row r="182" customFormat="false" ht="15" hidden="false" customHeight="false" outlineLevel="0" collapsed="false">
      <c r="A182" s="15"/>
      <c r="B182" s="15"/>
      <c r="C182" s="15"/>
      <c r="D182" s="15"/>
      <c r="E182" s="18"/>
      <c r="F182" s="18"/>
      <c r="G182" s="15"/>
      <c r="H182" s="15"/>
    </row>
    <row r="183" customFormat="false" ht="15" hidden="false" customHeight="false" outlineLevel="0" collapsed="false">
      <c r="A183" s="15"/>
      <c r="B183" s="15"/>
      <c r="C183" s="15"/>
      <c r="D183" s="15"/>
      <c r="E183" s="18"/>
      <c r="F183" s="18"/>
      <c r="G183" s="15"/>
      <c r="H183" s="15"/>
    </row>
    <row r="184" customFormat="false" ht="15" hidden="false" customHeight="false" outlineLevel="0" collapsed="false">
      <c r="A184" s="15"/>
      <c r="B184" s="15"/>
      <c r="C184" s="15"/>
      <c r="D184" s="15"/>
      <c r="E184" s="18"/>
      <c r="F184" s="18"/>
      <c r="G184" s="15"/>
      <c r="H184" s="15"/>
    </row>
    <row r="185" customFormat="false" ht="15" hidden="false" customHeight="false" outlineLevel="0" collapsed="false">
      <c r="A185" s="15"/>
      <c r="B185" s="15"/>
      <c r="C185" s="15"/>
      <c r="D185" s="15"/>
      <c r="E185" s="18"/>
      <c r="F185" s="18"/>
      <c r="G185" s="15"/>
      <c r="H185" s="15"/>
    </row>
    <row r="186" customFormat="false" ht="15" hidden="false" customHeight="false" outlineLevel="0" collapsed="false">
      <c r="A186" s="15"/>
      <c r="B186" s="15"/>
      <c r="C186" s="15"/>
      <c r="D186" s="15"/>
      <c r="E186" s="18"/>
      <c r="F186" s="18"/>
      <c r="G186" s="15"/>
      <c r="H186" s="15"/>
    </row>
    <row r="187" customFormat="false" ht="15" hidden="false" customHeight="false" outlineLevel="0" collapsed="false">
      <c r="A187" s="15"/>
      <c r="B187" s="15"/>
      <c r="C187" s="15"/>
      <c r="D187" s="15"/>
      <c r="E187" s="18"/>
      <c r="F187" s="18"/>
      <c r="G187" s="15"/>
      <c r="H187" s="15"/>
    </row>
    <row r="188" customFormat="false" ht="15" hidden="false" customHeight="false" outlineLevel="0" collapsed="false">
      <c r="A188" s="15"/>
      <c r="B188" s="15"/>
      <c r="C188" s="15"/>
      <c r="D188" s="15"/>
      <c r="E188" s="18"/>
      <c r="F188" s="18"/>
      <c r="G188" s="15"/>
      <c r="H188" s="15"/>
    </row>
    <row r="189" customFormat="false" ht="15" hidden="false" customHeight="false" outlineLevel="0" collapsed="false">
      <c r="A189" s="15"/>
      <c r="B189" s="15"/>
      <c r="C189" s="15"/>
      <c r="D189" s="15"/>
      <c r="E189" s="18"/>
      <c r="F189" s="18"/>
      <c r="G189" s="15"/>
      <c r="H189" s="15"/>
    </row>
    <row r="190" customFormat="false" ht="15" hidden="false" customHeight="false" outlineLevel="0" collapsed="false">
      <c r="A190" s="15"/>
      <c r="B190" s="15"/>
      <c r="C190" s="15"/>
      <c r="D190" s="15"/>
      <c r="E190" s="18"/>
      <c r="F190" s="18"/>
      <c r="G190" s="15"/>
      <c r="H190" s="15"/>
    </row>
    <row r="191" customFormat="false" ht="15" hidden="false" customHeight="false" outlineLevel="0" collapsed="false">
      <c r="A191" s="15"/>
      <c r="B191" s="15"/>
      <c r="C191" s="15"/>
      <c r="D191" s="15"/>
      <c r="E191" s="18"/>
      <c r="F191" s="18"/>
      <c r="G191" s="15"/>
      <c r="H191" s="15"/>
    </row>
    <row r="192" customFormat="false" ht="15" hidden="false" customHeight="false" outlineLevel="0" collapsed="false">
      <c r="A192" s="15"/>
      <c r="B192" s="15"/>
      <c r="C192" s="15"/>
      <c r="D192" s="15"/>
      <c r="E192" s="18"/>
      <c r="F192" s="18"/>
      <c r="G192" s="15"/>
      <c r="H192" s="15"/>
    </row>
    <row r="193" customFormat="false" ht="15" hidden="false" customHeight="false" outlineLevel="0" collapsed="false">
      <c r="A193" s="15"/>
      <c r="B193" s="15"/>
      <c r="C193" s="15"/>
      <c r="D193" s="15"/>
      <c r="E193" s="18"/>
      <c r="F193" s="18"/>
      <c r="G193" s="15"/>
      <c r="H193" s="15"/>
    </row>
    <row r="194" customFormat="false" ht="15" hidden="false" customHeight="false" outlineLevel="0" collapsed="false">
      <c r="A194" s="15"/>
      <c r="B194" s="15"/>
      <c r="C194" s="15"/>
      <c r="D194" s="15"/>
      <c r="E194" s="18"/>
      <c r="F194" s="18"/>
      <c r="G194" s="15"/>
      <c r="H194" s="15"/>
    </row>
    <row r="195" customFormat="false" ht="15" hidden="false" customHeight="false" outlineLevel="0" collapsed="false">
      <c r="A195" s="15"/>
      <c r="B195" s="15"/>
      <c r="C195" s="15"/>
      <c r="D195" s="15"/>
      <c r="E195" s="18"/>
      <c r="F195" s="18"/>
      <c r="G195" s="15"/>
      <c r="H195" s="15"/>
    </row>
    <row r="196" customFormat="false" ht="15" hidden="false" customHeight="false" outlineLevel="0" collapsed="false">
      <c r="A196" s="15"/>
      <c r="B196" s="15"/>
      <c r="C196" s="15"/>
      <c r="D196" s="15"/>
      <c r="E196" s="18"/>
      <c r="F196" s="18"/>
      <c r="G196" s="15"/>
      <c r="H196" s="15"/>
    </row>
    <row r="197" customFormat="false" ht="15" hidden="false" customHeight="false" outlineLevel="0" collapsed="false">
      <c r="A197" s="15"/>
      <c r="B197" s="15"/>
      <c r="C197" s="15"/>
      <c r="D197" s="15"/>
      <c r="E197" s="18"/>
      <c r="F197" s="18"/>
      <c r="G197" s="15"/>
      <c r="H197" s="15"/>
    </row>
    <row r="198" customFormat="false" ht="15" hidden="false" customHeight="false" outlineLevel="0" collapsed="false">
      <c r="A198" s="15"/>
      <c r="B198" s="15"/>
      <c r="C198" s="15"/>
      <c r="D198" s="15"/>
      <c r="E198" s="18"/>
      <c r="F198" s="18"/>
      <c r="G198" s="15"/>
      <c r="H198" s="15"/>
    </row>
    <row r="199" customFormat="false" ht="15" hidden="false" customHeight="false" outlineLevel="0" collapsed="false">
      <c r="A199" s="15"/>
      <c r="B199" s="15"/>
      <c r="C199" s="15"/>
      <c r="D199" s="15"/>
      <c r="E199" s="18"/>
      <c r="F199" s="18"/>
      <c r="G199" s="15"/>
      <c r="H199" s="15"/>
    </row>
    <row r="200" customFormat="false" ht="15" hidden="false" customHeight="false" outlineLevel="0" collapsed="false">
      <c r="A200" s="15"/>
      <c r="B200" s="15"/>
      <c r="C200" s="15"/>
      <c r="D200" s="15"/>
      <c r="E200" s="18"/>
      <c r="F200" s="18"/>
      <c r="G200" s="15"/>
      <c r="H200" s="15"/>
    </row>
    <row r="201" customFormat="false" ht="15" hidden="false" customHeight="false" outlineLevel="0" collapsed="false">
      <c r="A201" s="15"/>
      <c r="B201" s="15"/>
      <c r="C201" s="15"/>
      <c r="D201" s="15"/>
      <c r="E201" s="18"/>
      <c r="F201" s="18"/>
      <c r="G201" s="15"/>
      <c r="H201" s="15"/>
    </row>
    <row r="202" customFormat="false" ht="15" hidden="false" customHeight="false" outlineLevel="0" collapsed="false">
      <c r="A202" s="15"/>
      <c r="B202" s="15"/>
      <c r="C202" s="15"/>
      <c r="D202" s="15"/>
      <c r="E202" s="18"/>
      <c r="F202" s="18"/>
      <c r="G202" s="15"/>
      <c r="H202" s="15"/>
    </row>
    <row r="203" customFormat="false" ht="15" hidden="false" customHeight="false" outlineLevel="0" collapsed="false">
      <c r="A203" s="15"/>
      <c r="B203" s="15"/>
      <c r="C203" s="15"/>
      <c r="D203" s="15"/>
      <c r="E203" s="18"/>
      <c r="F203" s="18"/>
      <c r="G203" s="15"/>
      <c r="H203" s="15"/>
    </row>
    <row r="204" customFormat="false" ht="15" hidden="false" customHeight="false" outlineLevel="0" collapsed="false">
      <c r="A204" s="15"/>
      <c r="B204" s="15"/>
      <c r="C204" s="15"/>
      <c r="D204" s="15"/>
      <c r="E204" s="18"/>
      <c r="F204" s="18"/>
      <c r="G204" s="15"/>
      <c r="H204" s="15"/>
    </row>
  </sheetData>
  <autoFilter ref="A4:H204"/>
  <dataValidations count="1">
    <dataValidation allowBlank="true" error="Pick a value from the list." errorStyle="stop" operator="between" showDropDown="false" showErrorMessage="true" showInputMessage="false" sqref="G5:G204" type="list">
      <formula1>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7.35" hidden="false" customHeight="false" outlineLevel="0" collapsed="false">
      <c r="A1" s="9" t="s">
        <v>157</v>
      </c>
    </row>
    <row r="2" customFormat="false" ht="15" hidden="false" customHeight="false" outlineLevel="0" collapsed="false">
      <c r="A2" s="10" t="s">
        <v>158</v>
      </c>
    </row>
    <row r="4" customFormat="false" ht="15" hidden="false" customHeight="false" outlineLevel="0" collapsed="false">
      <c r="A4" s="19" t="s">
        <v>26</v>
      </c>
    </row>
    <row r="5" customFormat="false" ht="15" hidden="false" customHeight="false" outlineLevel="0" collapsed="false">
      <c r="A5" s="20" t="str">
        <f aca="false">IF(Process_Scope!A5="","",Process_Scope!A5)</f>
        <v>BP-P2P-02</v>
      </c>
    </row>
    <row r="6" customFormat="false" ht="15" hidden="false" customHeight="false" outlineLevel="0" collapsed="false">
      <c r="A6" s="20" t="str">
        <f aca="false">IF(Process_Scope!A6="","",Process_Scope!A6)</f>
        <v/>
      </c>
    </row>
    <row r="7" customFormat="false" ht="15" hidden="false" customHeight="false" outlineLevel="0" collapsed="false">
      <c r="A7" s="20" t="str">
        <f aca="false">IF(Process_Scope!A7="","",Process_Scope!A7)</f>
        <v/>
      </c>
    </row>
    <row r="8" customFormat="false" ht="15" hidden="false" customHeight="false" outlineLevel="0" collapsed="false">
      <c r="A8" s="20" t="str">
        <f aca="false">IF(Process_Scope!A8="","",Process_Scope!A8)</f>
        <v/>
      </c>
    </row>
    <row r="9" customFormat="false" ht="15" hidden="false" customHeight="false" outlineLevel="0" collapsed="false">
      <c r="A9" s="20" t="str">
        <f aca="false">IF(Process_Scope!A9="","",Process_Scope!A9)</f>
        <v/>
      </c>
    </row>
    <row r="10" customFormat="false" ht="15" hidden="false" customHeight="false" outlineLevel="0" collapsed="false">
      <c r="A10" s="20" t="str">
        <f aca="false">IF(Process_Scope!A10="","",Process_Scope!A10)</f>
        <v/>
      </c>
    </row>
    <row r="11" customFormat="false" ht="15" hidden="false" customHeight="false" outlineLevel="0" collapsed="false">
      <c r="A11" s="20" t="str">
        <f aca="false">IF(Process_Scope!A11="","",Process_Scope!A11)</f>
        <v/>
      </c>
    </row>
    <row r="12" customFormat="false" ht="15" hidden="false" customHeight="false" outlineLevel="0" collapsed="false">
      <c r="A12" s="20" t="str">
        <f aca="false">IF(Process_Scope!A12="","",Process_Scope!A12)</f>
        <v/>
      </c>
    </row>
    <row r="13" customFormat="false" ht="15" hidden="false" customHeight="false" outlineLevel="0" collapsed="false">
      <c r="A13" s="20" t="str">
        <f aca="false">IF(Process_Scope!A13="","",Process_Scope!A13)</f>
        <v/>
      </c>
    </row>
    <row r="14" customFormat="false" ht="15" hidden="false" customHeight="false" outlineLevel="0" collapsed="false">
      <c r="A14" s="20" t="str">
        <f aca="false">IF(Process_Scope!A14="","",Process_Scope!A14)</f>
        <v/>
      </c>
    </row>
    <row r="15" customFormat="false" ht="15" hidden="false" customHeight="false" outlineLevel="0" collapsed="false">
      <c r="A15" s="20" t="str">
        <f aca="false">IF(Process_Scope!A15="","",Process_Scope!A15)</f>
        <v/>
      </c>
    </row>
    <row r="16" customFormat="false" ht="15" hidden="false" customHeight="false" outlineLevel="0" collapsed="false">
      <c r="A16" s="20" t="str">
        <f aca="false">IF(Process_Scope!A16="","",Process_Scope!A16)</f>
        <v/>
      </c>
    </row>
    <row r="17" customFormat="false" ht="15" hidden="false" customHeight="false" outlineLevel="0" collapsed="false">
      <c r="A17" s="20" t="str">
        <f aca="false">IF(Process_Scope!A17="","",Process_Scope!A17)</f>
        <v/>
      </c>
    </row>
    <row r="18" customFormat="false" ht="15" hidden="false" customHeight="false" outlineLevel="0" collapsed="false">
      <c r="A18" s="20" t="str">
        <f aca="false">IF(Process_Scope!A18="","",Process_Scope!A18)</f>
        <v/>
      </c>
    </row>
    <row r="19" customFormat="false" ht="15" hidden="false" customHeight="false" outlineLevel="0" collapsed="false">
      <c r="A19" s="20" t="str">
        <f aca="false">IF(Process_Scope!A19="","",Process_Scope!A19)</f>
        <v/>
      </c>
    </row>
    <row r="20" customFormat="false" ht="15" hidden="false" customHeight="false" outlineLevel="0" collapsed="false">
      <c r="A20" s="20" t="str">
        <f aca="false">IF(Process_Scope!A20="","",Process_Scope!A20)</f>
        <v/>
      </c>
    </row>
    <row r="21" customFormat="false" ht="15" hidden="false" customHeight="false" outlineLevel="0" collapsed="false">
      <c r="A21" s="20" t="str">
        <f aca="false">IF(Process_Scope!A21="","",Process_Scope!A21)</f>
        <v/>
      </c>
    </row>
    <row r="22" customFormat="false" ht="15" hidden="false" customHeight="false" outlineLevel="0" collapsed="false">
      <c r="A22" s="20" t="str">
        <f aca="false">IF(Process_Scope!A22="","",Process_Scope!A22)</f>
        <v/>
      </c>
    </row>
    <row r="23" customFormat="false" ht="15" hidden="false" customHeight="false" outlineLevel="0" collapsed="false">
      <c r="A23" s="20" t="str">
        <f aca="false">IF(Process_Scope!A23="","",Process_Scope!A23)</f>
        <v/>
      </c>
    </row>
    <row r="24" customFormat="false" ht="15" hidden="false" customHeight="false" outlineLevel="0" collapsed="false">
      <c r="A24" s="20" t="str">
        <f aca="false">IF(Process_Scope!A24="","",Process_Scope!A24)</f>
        <v/>
      </c>
    </row>
    <row r="25" customFormat="false" ht="15" hidden="false" customHeight="false" outlineLevel="0" collapsed="false">
      <c r="A25" s="20" t="str">
        <f aca="false">IF(Process_Scope!A25="","",Process_Scope!A25)</f>
        <v/>
      </c>
    </row>
    <row r="26" customFormat="false" ht="15" hidden="false" customHeight="false" outlineLevel="0" collapsed="false">
      <c r="A26" s="20" t="str">
        <f aca="false">IF(Process_Scope!A26="","",Process_Scope!A26)</f>
        <v/>
      </c>
    </row>
    <row r="27" customFormat="false" ht="15" hidden="false" customHeight="false" outlineLevel="0" collapsed="false">
      <c r="A27" s="20" t="str">
        <f aca="false">IF(Process_Scope!A27="","",Process_Scope!A27)</f>
        <v/>
      </c>
    </row>
    <row r="28" customFormat="false" ht="15" hidden="false" customHeight="false" outlineLevel="0" collapsed="false">
      <c r="A28" s="20" t="str">
        <f aca="false">IF(Process_Scope!A28="","",Process_Scope!A28)</f>
        <v/>
      </c>
    </row>
    <row r="29" customFormat="false" ht="15" hidden="false" customHeight="false" outlineLevel="0" collapsed="false">
      <c r="A29" s="20" t="str">
        <f aca="false">IF(Process_Scope!A29="","",Process_Scope!A29)</f>
        <v/>
      </c>
    </row>
    <row r="30" customFormat="false" ht="15" hidden="false" customHeight="false" outlineLevel="0" collapsed="false">
      <c r="A30" s="20" t="str">
        <f aca="false">IF(Process_Scope!A30="","",Process_Scope!A30)</f>
        <v/>
      </c>
    </row>
    <row r="31" customFormat="false" ht="15" hidden="false" customHeight="false" outlineLevel="0" collapsed="false">
      <c r="A31" s="20" t="str">
        <f aca="false">IF(Process_Scope!A31="","",Process_Scope!A31)</f>
        <v/>
      </c>
    </row>
    <row r="32" customFormat="false" ht="15" hidden="false" customHeight="false" outlineLevel="0" collapsed="false">
      <c r="A32" s="20" t="str">
        <f aca="false">IF(Process_Scope!A32="","",Process_Scope!A32)</f>
        <v/>
      </c>
    </row>
    <row r="33" customFormat="false" ht="15" hidden="false" customHeight="false" outlineLevel="0" collapsed="false">
      <c r="A33" s="20" t="str">
        <f aca="false">IF(Process_Scope!A33="","",Process_Scope!A33)</f>
        <v/>
      </c>
    </row>
    <row r="34" customFormat="false" ht="15" hidden="false" customHeight="false" outlineLevel="0" collapsed="false">
      <c r="A34" s="20" t="str">
        <f aca="false">IF(Process_Scope!A34="","",Process_Scope!A34)</f>
        <v/>
      </c>
    </row>
    <row r="35" customFormat="false" ht="15" hidden="false" customHeight="false" outlineLevel="0" collapsed="false">
      <c r="A35" s="20" t="str">
        <f aca="false">IF(Process_Scope!A35="","",Process_Scope!A35)</f>
        <v/>
      </c>
    </row>
    <row r="36" customFormat="false" ht="15" hidden="false" customHeight="false" outlineLevel="0" collapsed="false">
      <c r="A36" s="20" t="str">
        <f aca="false">IF(Process_Scope!A36="","",Process_Scope!A36)</f>
        <v/>
      </c>
    </row>
    <row r="37" customFormat="false" ht="15" hidden="false" customHeight="false" outlineLevel="0" collapsed="false">
      <c r="A37" s="20" t="str">
        <f aca="false">IF(Process_Scope!A37="","",Process_Scope!A37)</f>
        <v/>
      </c>
    </row>
    <row r="38" customFormat="false" ht="15" hidden="false" customHeight="false" outlineLevel="0" collapsed="false">
      <c r="A38" s="20" t="str">
        <f aca="false">IF(Process_Scope!A38="","",Process_Scope!A38)</f>
        <v/>
      </c>
    </row>
    <row r="39" customFormat="false" ht="15" hidden="false" customHeight="false" outlineLevel="0" collapsed="false">
      <c r="A39" s="20" t="str">
        <f aca="false">IF(Process_Scope!A39="","",Process_Scope!A39)</f>
        <v/>
      </c>
    </row>
    <row r="40" customFormat="false" ht="15" hidden="false" customHeight="false" outlineLevel="0" collapsed="false">
      <c r="A40" s="20" t="str">
        <f aca="false">IF(Process_Scope!A40="","",Process_Scope!A40)</f>
        <v/>
      </c>
    </row>
    <row r="41" customFormat="false" ht="15" hidden="false" customHeight="false" outlineLevel="0" collapsed="false">
      <c r="A41" s="20" t="str">
        <f aca="false">IF(Process_Scope!A41="","",Process_Scope!A41)</f>
        <v/>
      </c>
    </row>
    <row r="42" customFormat="false" ht="15" hidden="false" customHeight="false" outlineLevel="0" collapsed="false">
      <c r="A42" s="20" t="str">
        <f aca="false">IF(Process_Scope!A42="","",Process_Scope!A42)</f>
        <v/>
      </c>
    </row>
    <row r="43" customFormat="false" ht="15" hidden="false" customHeight="false" outlineLevel="0" collapsed="false">
      <c r="A43" s="20" t="str">
        <f aca="false">IF(Process_Scope!A43="","",Process_Scope!A43)</f>
        <v/>
      </c>
    </row>
    <row r="44" customFormat="false" ht="15" hidden="false" customHeight="false" outlineLevel="0" collapsed="false">
      <c r="A44" s="20" t="str">
        <f aca="false">IF(Process_Scope!A44="","",Process_Scope!A44)</f>
        <v/>
      </c>
    </row>
    <row r="45" customFormat="false" ht="15" hidden="false" customHeight="false" outlineLevel="0" collapsed="false">
      <c r="A45" s="20" t="str">
        <f aca="false">IF(Process_Scope!A45="","",Process_Scope!A45)</f>
        <v/>
      </c>
    </row>
    <row r="46" customFormat="false" ht="15" hidden="false" customHeight="false" outlineLevel="0" collapsed="false">
      <c r="A46" s="20" t="str">
        <f aca="false">IF(Process_Scope!A46="","",Process_Scope!A46)</f>
        <v/>
      </c>
    </row>
    <row r="47" customFormat="false" ht="15" hidden="false" customHeight="false" outlineLevel="0" collapsed="false">
      <c r="A47" s="20" t="str">
        <f aca="false">IF(Process_Scope!A47="","",Process_Scope!A47)</f>
        <v/>
      </c>
    </row>
    <row r="48" customFormat="false" ht="15" hidden="false" customHeight="false" outlineLevel="0" collapsed="false">
      <c r="A48" s="20" t="str">
        <f aca="false">IF(Process_Scope!A48="","",Process_Scope!A48)</f>
        <v/>
      </c>
    </row>
    <row r="49" customFormat="false" ht="15" hidden="false" customHeight="false" outlineLevel="0" collapsed="false">
      <c r="A49" s="20" t="str">
        <f aca="false">IF(Process_Scope!A49="","",Process_Scope!A49)</f>
        <v/>
      </c>
    </row>
    <row r="50" customFormat="false" ht="15" hidden="false" customHeight="false" outlineLevel="0" collapsed="false">
      <c r="A50" s="20" t="str">
        <f aca="false">IF(Process_Scope!A50="","",Process_Scope!A50)</f>
        <v/>
      </c>
    </row>
    <row r="51" customFormat="false" ht="15" hidden="false" customHeight="false" outlineLevel="0" collapsed="false">
      <c r="A51" s="20" t="str">
        <f aca="false">IF(Process_Scope!A51="","",Process_Scope!A51)</f>
        <v/>
      </c>
    </row>
    <row r="52" customFormat="false" ht="15" hidden="false" customHeight="false" outlineLevel="0" collapsed="false">
      <c r="A52" s="20" t="str">
        <f aca="false">IF(Process_Scope!A52="","",Process_Scope!A52)</f>
        <v/>
      </c>
    </row>
    <row r="53" customFormat="false" ht="15" hidden="false" customHeight="false" outlineLevel="0" collapsed="false">
      <c r="A53" s="20" t="str">
        <f aca="false">IF(Process_Scope!A53="","",Process_Scope!A53)</f>
        <v/>
      </c>
    </row>
    <row r="54" customFormat="false" ht="15" hidden="false" customHeight="false" outlineLevel="0" collapsed="false">
      <c r="A54" s="20" t="str">
        <f aca="false">IF(Process_Scope!A54="","",Process_Scope!A54)</f>
        <v/>
      </c>
    </row>
    <row r="55" customFormat="false" ht="15" hidden="false" customHeight="false" outlineLevel="0" collapsed="false">
      <c r="A55" s="20" t="str">
        <f aca="false">IF(Process_Scope!A55="","",Process_Scope!A55)</f>
        <v/>
      </c>
    </row>
    <row r="56" customFormat="false" ht="15" hidden="false" customHeight="false" outlineLevel="0" collapsed="false">
      <c r="A56" s="20" t="str">
        <f aca="false">IF(Process_Scope!A56="","",Process_Scope!A56)</f>
        <v/>
      </c>
    </row>
    <row r="57" customFormat="false" ht="15" hidden="false" customHeight="false" outlineLevel="0" collapsed="false">
      <c r="A57" s="20" t="str">
        <f aca="false">IF(Process_Scope!A57="","",Process_Scope!A57)</f>
        <v/>
      </c>
    </row>
    <row r="58" customFormat="false" ht="15" hidden="false" customHeight="false" outlineLevel="0" collapsed="false">
      <c r="A58" s="20" t="str">
        <f aca="false">IF(Process_Scope!A58="","",Process_Scope!A58)</f>
        <v/>
      </c>
    </row>
    <row r="59" customFormat="false" ht="15" hidden="false" customHeight="false" outlineLevel="0" collapsed="false">
      <c r="A59" s="20" t="str">
        <f aca="false">IF(Process_Scope!A59="","",Process_Scope!A59)</f>
        <v/>
      </c>
    </row>
    <row r="60" customFormat="false" ht="15" hidden="false" customHeight="false" outlineLevel="0" collapsed="false">
      <c r="A60" s="20" t="str">
        <f aca="false">IF(Process_Scope!A60="","",Process_Scope!A60)</f>
        <v/>
      </c>
    </row>
    <row r="61" customFormat="false" ht="15" hidden="false" customHeight="false" outlineLevel="0" collapsed="false">
      <c r="A61" s="20" t="str">
        <f aca="false">IF(Process_Scope!A61="","",Process_Scope!A61)</f>
        <v/>
      </c>
    </row>
    <row r="62" customFormat="false" ht="15" hidden="false" customHeight="false" outlineLevel="0" collapsed="false">
      <c r="A62" s="20" t="str">
        <f aca="false">IF(Process_Scope!A62="","",Process_Scope!A62)</f>
        <v/>
      </c>
    </row>
    <row r="63" customFormat="false" ht="15" hidden="false" customHeight="false" outlineLevel="0" collapsed="false">
      <c r="A63" s="20" t="str">
        <f aca="false">IF(Process_Scope!A63="","",Process_Scope!A63)</f>
        <v/>
      </c>
    </row>
    <row r="64" customFormat="false" ht="15" hidden="false" customHeight="false" outlineLevel="0" collapsed="false">
      <c r="A64" s="20" t="str">
        <f aca="false">IF(Process_Scope!A64="","",Process_Scope!A64)</f>
        <v/>
      </c>
    </row>
    <row r="65" customFormat="false" ht="15" hidden="false" customHeight="false" outlineLevel="0" collapsed="false">
      <c r="A65" s="20" t="str">
        <f aca="false">IF(Process_Scope!A65="","",Process_Scope!A65)</f>
        <v/>
      </c>
    </row>
    <row r="66" customFormat="false" ht="15" hidden="false" customHeight="false" outlineLevel="0" collapsed="false">
      <c r="A66" s="20" t="str">
        <f aca="false">IF(Process_Scope!A66="","",Process_Scope!A66)</f>
        <v/>
      </c>
    </row>
    <row r="67" customFormat="false" ht="15" hidden="false" customHeight="false" outlineLevel="0" collapsed="false">
      <c r="A67" s="20" t="str">
        <f aca="false">IF(Process_Scope!A67="","",Process_Scope!A67)</f>
        <v/>
      </c>
    </row>
    <row r="68" customFormat="false" ht="15" hidden="false" customHeight="false" outlineLevel="0" collapsed="false">
      <c r="A68" s="20" t="str">
        <f aca="false">IF(Process_Scope!A68="","",Process_Scope!A68)</f>
        <v/>
      </c>
    </row>
    <row r="69" customFormat="false" ht="15" hidden="false" customHeight="false" outlineLevel="0" collapsed="false">
      <c r="A69" s="20" t="str">
        <f aca="false">IF(Process_Scope!A69="","",Process_Scope!A69)</f>
        <v/>
      </c>
    </row>
    <row r="70" customFormat="false" ht="15" hidden="false" customHeight="false" outlineLevel="0" collapsed="false">
      <c r="A70" s="20" t="str">
        <f aca="false">IF(Process_Scope!A70="","",Process_Scope!A70)</f>
        <v/>
      </c>
    </row>
    <row r="71" customFormat="false" ht="15" hidden="false" customHeight="false" outlineLevel="0" collapsed="false">
      <c r="A71" s="20" t="str">
        <f aca="false">IF(Process_Scope!A71="","",Process_Scope!A71)</f>
        <v/>
      </c>
    </row>
    <row r="72" customFormat="false" ht="15" hidden="false" customHeight="false" outlineLevel="0" collapsed="false">
      <c r="A72" s="20" t="str">
        <f aca="false">IF(Process_Scope!A72="","",Process_Scope!A72)</f>
        <v/>
      </c>
    </row>
    <row r="73" customFormat="false" ht="15" hidden="false" customHeight="false" outlineLevel="0" collapsed="false">
      <c r="A73" s="20" t="str">
        <f aca="false">IF(Process_Scope!A73="","",Process_Scope!A73)</f>
        <v/>
      </c>
    </row>
    <row r="74" customFormat="false" ht="15" hidden="false" customHeight="false" outlineLevel="0" collapsed="false">
      <c r="A74" s="20" t="str">
        <f aca="false">IF(Process_Scope!A74="","",Process_Scope!A74)</f>
        <v/>
      </c>
    </row>
    <row r="75" customFormat="false" ht="15" hidden="false" customHeight="false" outlineLevel="0" collapsed="false">
      <c r="A75" s="20" t="str">
        <f aca="false">IF(Process_Scope!A75="","",Process_Scope!A75)</f>
        <v/>
      </c>
    </row>
    <row r="76" customFormat="false" ht="15" hidden="false" customHeight="false" outlineLevel="0" collapsed="false">
      <c r="A76" s="20" t="str">
        <f aca="false">IF(Process_Scope!A76="","",Process_Scope!A76)</f>
        <v/>
      </c>
    </row>
    <row r="77" customFormat="false" ht="15" hidden="false" customHeight="false" outlineLevel="0" collapsed="false">
      <c r="A77" s="20" t="str">
        <f aca="false">IF(Process_Scope!A77="","",Process_Scope!A77)</f>
        <v/>
      </c>
    </row>
    <row r="78" customFormat="false" ht="15" hidden="false" customHeight="false" outlineLevel="0" collapsed="false">
      <c r="A78" s="20" t="str">
        <f aca="false">IF(Process_Scope!A78="","",Process_Scope!A78)</f>
        <v/>
      </c>
    </row>
    <row r="79" customFormat="false" ht="15" hidden="false" customHeight="false" outlineLevel="0" collapsed="false">
      <c r="A79" s="20" t="str">
        <f aca="false">IF(Process_Scope!A79="","",Process_Scope!A79)</f>
        <v/>
      </c>
    </row>
    <row r="80" customFormat="false" ht="15" hidden="false" customHeight="false" outlineLevel="0" collapsed="false">
      <c r="A80" s="20" t="str">
        <f aca="false">IF(Process_Scope!A80="","",Process_Scope!A80)</f>
        <v/>
      </c>
    </row>
    <row r="81" customFormat="false" ht="15" hidden="false" customHeight="false" outlineLevel="0" collapsed="false">
      <c r="A81" s="20" t="str">
        <f aca="false">IF(Process_Scope!A81="","",Process_Scope!A81)</f>
        <v/>
      </c>
    </row>
    <row r="82" customFormat="false" ht="15" hidden="false" customHeight="false" outlineLevel="0" collapsed="false">
      <c r="A82" s="20" t="str">
        <f aca="false">IF(Process_Scope!A82="","",Process_Scope!A82)</f>
        <v/>
      </c>
    </row>
    <row r="83" customFormat="false" ht="15" hidden="false" customHeight="false" outlineLevel="0" collapsed="false">
      <c r="A83" s="20" t="str">
        <f aca="false">IF(Process_Scope!A83="","",Process_Scope!A83)</f>
        <v/>
      </c>
    </row>
    <row r="84" customFormat="false" ht="15" hidden="false" customHeight="false" outlineLevel="0" collapsed="false">
      <c r="A84" s="20" t="str">
        <f aca="false">IF(Process_Scope!A84="","",Process_Scope!A84)</f>
        <v/>
      </c>
    </row>
    <row r="85" customFormat="false" ht="15" hidden="false" customHeight="false" outlineLevel="0" collapsed="false">
      <c r="A85" s="20" t="str">
        <f aca="false">IF(Process_Scope!A85="","",Process_Scope!A85)</f>
        <v/>
      </c>
    </row>
    <row r="86" customFormat="false" ht="15" hidden="false" customHeight="false" outlineLevel="0" collapsed="false">
      <c r="A86" s="20" t="str">
        <f aca="false">IF(Process_Scope!A86="","",Process_Scope!A86)</f>
        <v/>
      </c>
    </row>
    <row r="87" customFormat="false" ht="15" hidden="false" customHeight="false" outlineLevel="0" collapsed="false">
      <c r="A87" s="20" t="str">
        <f aca="false">IF(Process_Scope!A87="","",Process_Scope!A87)</f>
        <v/>
      </c>
    </row>
    <row r="88" customFormat="false" ht="15" hidden="false" customHeight="false" outlineLevel="0" collapsed="false">
      <c r="A88" s="20" t="str">
        <f aca="false">IF(Process_Scope!A88="","",Process_Scope!A88)</f>
        <v/>
      </c>
    </row>
    <row r="89" customFormat="false" ht="15" hidden="false" customHeight="false" outlineLevel="0" collapsed="false">
      <c r="A89" s="20" t="str">
        <f aca="false">IF(Process_Scope!A89="","",Process_Scope!A89)</f>
        <v/>
      </c>
    </row>
    <row r="90" customFormat="false" ht="15" hidden="false" customHeight="false" outlineLevel="0" collapsed="false">
      <c r="A90" s="20" t="str">
        <f aca="false">IF(Process_Scope!A90="","",Process_Scope!A90)</f>
        <v/>
      </c>
    </row>
    <row r="91" customFormat="false" ht="15" hidden="false" customHeight="false" outlineLevel="0" collapsed="false">
      <c r="A91" s="20" t="str">
        <f aca="false">IF(Process_Scope!A91="","",Process_Scope!A91)</f>
        <v/>
      </c>
    </row>
    <row r="92" customFormat="false" ht="15" hidden="false" customHeight="false" outlineLevel="0" collapsed="false">
      <c r="A92" s="20" t="str">
        <f aca="false">IF(Process_Scope!A92="","",Process_Scope!A92)</f>
        <v/>
      </c>
    </row>
    <row r="93" customFormat="false" ht="15" hidden="false" customHeight="false" outlineLevel="0" collapsed="false">
      <c r="A93" s="20" t="str">
        <f aca="false">IF(Process_Scope!A93="","",Process_Scope!A93)</f>
        <v/>
      </c>
    </row>
    <row r="94" customFormat="false" ht="15" hidden="false" customHeight="false" outlineLevel="0" collapsed="false">
      <c r="A94" s="20" t="str">
        <f aca="false">IF(Process_Scope!A94="","",Process_Scope!A94)</f>
        <v/>
      </c>
    </row>
    <row r="95" customFormat="false" ht="15" hidden="false" customHeight="false" outlineLevel="0" collapsed="false">
      <c r="A95" s="20" t="str">
        <f aca="false">IF(Process_Scope!A95="","",Process_Scope!A95)</f>
        <v/>
      </c>
    </row>
    <row r="96" customFormat="false" ht="15" hidden="false" customHeight="false" outlineLevel="0" collapsed="false">
      <c r="A96" s="20" t="str">
        <f aca="false">IF(Process_Scope!A96="","",Process_Scope!A96)</f>
        <v/>
      </c>
    </row>
    <row r="97" customFormat="false" ht="15" hidden="false" customHeight="false" outlineLevel="0" collapsed="false">
      <c r="A97" s="20" t="str">
        <f aca="false">IF(Process_Scope!A97="","",Process_Scope!A97)</f>
        <v/>
      </c>
    </row>
    <row r="98" customFormat="false" ht="15" hidden="false" customHeight="false" outlineLevel="0" collapsed="false">
      <c r="A98" s="20" t="str">
        <f aca="false">IF(Process_Scope!A98="","",Process_Scope!A98)</f>
        <v/>
      </c>
    </row>
    <row r="99" customFormat="false" ht="15" hidden="false" customHeight="false" outlineLevel="0" collapsed="false">
      <c r="A99" s="20" t="str">
        <f aca="false">IF(Process_Scope!A99="","",Process_Scope!A99)</f>
        <v/>
      </c>
    </row>
    <row r="100" customFormat="false" ht="15" hidden="false" customHeight="false" outlineLevel="0" collapsed="false">
      <c r="A100" s="20" t="str">
        <f aca="false">IF(Process_Scope!A100="","",Process_Scope!A100)</f>
        <v/>
      </c>
    </row>
    <row r="101" customFormat="false" ht="15" hidden="false" customHeight="false" outlineLevel="0" collapsed="false">
      <c r="A101" s="20" t="str">
        <f aca="false">IF(Process_Scope!A101="","",Process_Scope!A101)</f>
        <v/>
      </c>
    </row>
    <row r="102" customFormat="false" ht="15" hidden="false" customHeight="false" outlineLevel="0" collapsed="false">
      <c r="A102" s="20" t="str">
        <f aca="false">IF(Process_Scope!A102="","",Process_Scope!A102)</f>
        <v/>
      </c>
    </row>
    <row r="103" customFormat="false" ht="15" hidden="false" customHeight="false" outlineLevel="0" collapsed="false">
      <c r="A103" s="20" t="str">
        <f aca="false">IF(Process_Scope!A103="","",Process_Scope!A103)</f>
        <v/>
      </c>
    </row>
    <row r="104" customFormat="false" ht="15" hidden="false" customHeight="false" outlineLevel="0" collapsed="false">
      <c r="A104" s="20" t="str">
        <f aca="false">IF(Process_Scope!A104="","",Process_Scope!A104)</f>
        <v/>
      </c>
    </row>
    <row r="105" customFormat="false" ht="15" hidden="false" customHeight="false" outlineLevel="0" collapsed="false">
      <c r="A105" s="20" t="str">
        <f aca="false">IF(Process_Scope!A105="","",Process_Scope!A105)</f>
        <v/>
      </c>
    </row>
    <row r="106" customFormat="false" ht="15" hidden="false" customHeight="false" outlineLevel="0" collapsed="false">
      <c r="A106" s="20" t="str">
        <f aca="false">IF(Process_Scope!A106="","",Process_Scope!A106)</f>
        <v/>
      </c>
    </row>
    <row r="107" customFormat="false" ht="15" hidden="false" customHeight="false" outlineLevel="0" collapsed="false">
      <c r="A107" s="20" t="str">
        <f aca="false">IF(Process_Scope!A107="","",Process_Scope!A107)</f>
        <v/>
      </c>
    </row>
    <row r="108" customFormat="false" ht="15" hidden="false" customHeight="false" outlineLevel="0" collapsed="false">
      <c r="A108" s="20" t="str">
        <f aca="false">IF(Process_Scope!A108="","",Process_Scope!A108)</f>
        <v/>
      </c>
    </row>
    <row r="109" customFormat="false" ht="15" hidden="false" customHeight="false" outlineLevel="0" collapsed="false">
      <c r="A109" s="20" t="str">
        <f aca="false">IF(Process_Scope!A109="","",Process_Scope!A109)</f>
        <v/>
      </c>
    </row>
    <row r="110" customFormat="false" ht="15" hidden="false" customHeight="false" outlineLevel="0" collapsed="false">
      <c r="A110" s="20" t="str">
        <f aca="false">IF(Process_Scope!A110="","",Process_Scope!A110)</f>
        <v/>
      </c>
    </row>
    <row r="111" customFormat="false" ht="15" hidden="false" customHeight="false" outlineLevel="0" collapsed="false">
      <c r="A111" s="20" t="str">
        <f aca="false">IF(Process_Scope!A111="","",Process_Scope!A111)</f>
        <v/>
      </c>
    </row>
    <row r="112" customFormat="false" ht="15" hidden="false" customHeight="false" outlineLevel="0" collapsed="false">
      <c r="A112" s="20" t="str">
        <f aca="false">IF(Process_Scope!A112="","",Process_Scope!A112)</f>
        <v/>
      </c>
    </row>
    <row r="113" customFormat="false" ht="15" hidden="false" customHeight="false" outlineLevel="0" collapsed="false">
      <c r="A113" s="20" t="str">
        <f aca="false">IF(Process_Scope!A113="","",Process_Scope!A113)</f>
        <v/>
      </c>
    </row>
    <row r="114" customFormat="false" ht="15" hidden="false" customHeight="false" outlineLevel="0" collapsed="false">
      <c r="A114" s="20" t="str">
        <f aca="false">IF(Process_Scope!A114="","",Process_Scope!A114)</f>
        <v/>
      </c>
    </row>
    <row r="115" customFormat="false" ht="15" hidden="false" customHeight="false" outlineLevel="0" collapsed="false">
      <c r="A115" s="20" t="str">
        <f aca="false">IF(Process_Scope!A115="","",Process_Scope!A115)</f>
        <v/>
      </c>
    </row>
    <row r="116" customFormat="false" ht="15" hidden="false" customHeight="false" outlineLevel="0" collapsed="false">
      <c r="A116" s="20" t="str">
        <f aca="false">IF(Process_Scope!A116="","",Process_Scope!A116)</f>
        <v/>
      </c>
    </row>
    <row r="117" customFormat="false" ht="15" hidden="false" customHeight="false" outlineLevel="0" collapsed="false">
      <c r="A117" s="20" t="str">
        <f aca="false">IF(Process_Scope!A117="","",Process_Scope!A117)</f>
        <v/>
      </c>
    </row>
    <row r="118" customFormat="false" ht="15" hidden="false" customHeight="false" outlineLevel="0" collapsed="false">
      <c r="A118" s="20" t="str">
        <f aca="false">IF(Process_Scope!A118="","",Process_Scope!A118)</f>
        <v/>
      </c>
    </row>
    <row r="119" customFormat="false" ht="15" hidden="false" customHeight="false" outlineLevel="0" collapsed="false">
      <c r="A119" s="20" t="str">
        <f aca="false">IF(Process_Scope!A119="","",Process_Scope!A119)</f>
        <v/>
      </c>
    </row>
    <row r="120" customFormat="false" ht="15" hidden="false" customHeight="false" outlineLevel="0" collapsed="false">
      <c r="A120" s="20" t="str">
        <f aca="false">IF(Process_Scope!A120="","",Process_Scope!A120)</f>
        <v/>
      </c>
    </row>
    <row r="121" customFormat="false" ht="15" hidden="false" customHeight="false" outlineLevel="0" collapsed="false">
      <c r="A121" s="20" t="str">
        <f aca="false">IF(Process_Scope!A121="","",Process_Scope!A121)</f>
        <v/>
      </c>
    </row>
    <row r="122" customFormat="false" ht="15" hidden="false" customHeight="false" outlineLevel="0" collapsed="false">
      <c r="A122" s="20" t="str">
        <f aca="false">IF(Process_Scope!A122="","",Process_Scope!A122)</f>
        <v/>
      </c>
    </row>
    <row r="123" customFormat="false" ht="15" hidden="false" customHeight="false" outlineLevel="0" collapsed="false">
      <c r="A123" s="20" t="str">
        <f aca="false">IF(Process_Scope!A123="","",Process_Scope!A123)</f>
        <v/>
      </c>
    </row>
    <row r="124" customFormat="false" ht="15" hidden="false" customHeight="false" outlineLevel="0" collapsed="false">
      <c r="A124" s="20" t="str">
        <f aca="false">IF(Process_Scope!A124="","",Process_Scope!A124)</f>
        <v/>
      </c>
    </row>
    <row r="125" customFormat="false" ht="15" hidden="false" customHeight="false" outlineLevel="0" collapsed="false">
      <c r="A125" s="20" t="str">
        <f aca="false">IF(Process_Scope!A125="","",Process_Scope!A125)</f>
        <v/>
      </c>
    </row>
    <row r="126" customFormat="false" ht="15" hidden="false" customHeight="false" outlineLevel="0" collapsed="false">
      <c r="A126" s="20" t="str">
        <f aca="false">IF(Process_Scope!A126="","",Process_Scope!A126)</f>
        <v/>
      </c>
    </row>
    <row r="127" customFormat="false" ht="15" hidden="false" customHeight="false" outlineLevel="0" collapsed="false">
      <c r="A127" s="20" t="str">
        <f aca="false">IF(Process_Scope!A127="","",Process_Scope!A127)</f>
        <v/>
      </c>
    </row>
    <row r="128" customFormat="false" ht="15" hidden="false" customHeight="false" outlineLevel="0" collapsed="false">
      <c r="A128" s="20" t="str">
        <f aca="false">IF(Process_Scope!A128="","",Process_Scope!A128)</f>
        <v/>
      </c>
    </row>
    <row r="129" customFormat="false" ht="15" hidden="false" customHeight="false" outlineLevel="0" collapsed="false">
      <c r="A129" s="20" t="str">
        <f aca="false">IF(Process_Scope!A129="","",Process_Scope!A129)</f>
        <v/>
      </c>
    </row>
    <row r="130" customFormat="false" ht="15" hidden="false" customHeight="false" outlineLevel="0" collapsed="false">
      <c r="A130" s="20" t="str">
        <f aca="false">IF(Process_Scope!A130="","",Process_Scope!A130)</f>
        <v/>
      </c>
    </row>
    <row r="131" customFormat="false" ht="15" hidden="false" customHeight="false" outlineLevel="0" collapsed="false">
      <c r="A131" s="20" t="str">
        <f aca="false">IF(Process_Scope!A131="","",Process_Scope!A131)</f>
        <v/>
      </c>
    </row>
    <row r="132" customFormat="false" ht="15" hidden="false" customHeight="false" outlineLevel="0" collapsed="false">
      <c r="A132" s="20" t="str">
        <f aca="false">IF(Process_Scope!A132="","",Process_Scope!A132)</f>
        <v/>
      </c>
    </row>
    <row r="133" customFormat="false" ht="15" hidden="false" customHeight="false" outlineLevel="0" collapsed="false">
      <c r="A133" s="20" t="str">
        <f aca="false">IF(Process_Scope!A133="","",Process_Scope!A133)</f>
        <v/>
      </c>
    </row>
    <row r="134" customFormat="false" ht="15" hidden="false" customHeight="false" outlineLevel="0" collapsed="false">
      <c r="A134" s="20" t="str">
        <f aca="false">IF(Process_Scope!A134="","",Process_Scope!A134)</f>
        <v/>
      </c>
    </row>
    <row r="135" customFormat="false" ht="15" hidden="false" customHeight="false" outlineLevel="0" collapsed="false">
      <c r="A135" s="20" t="str">
        <f aca="false">IF(Process_Scope!A135="","",Process_Scope!A135)</f>
        <v/>
      </c>
    </row>
    <row r="136" customFormat="false" ht="15" hidden="false" customHeight="false" outlineLevel="0" collapsed="false">
      <c r="A136" s="20" t="str">
        <f aca="false">IF(Process_Scope!A136="","",Process_Scope!A136)</f>
        <v/>
      </c>
    </row>
    <row r="137" customFormat="false" ht="15" hidden="false" customHeight="false" outlineLevel="0" collapsed="false">
      <c r="A137" s="20" t="str">
        <f aca="false">IF(Process_Scope!A137="","",Process_Scope!A137)</f>
        <v/>
      </c>
    </row>
    <row r="138" customFormat="false" ht="15" hidden="false" customHeight="false" outlineLevel="0" collapsed="false">
      <c r="A138" s="20" t="str">
        <f aca="false">IF(Process_Scope!A138="","",Process_Scope!A138)</f>
        <v/>
      </c>
    </row>
    <row r="139" customFormat="false" ht="15" hidden="false" customHeight="false" outlineLevel="0" collapsed="false">
      <c r="A139" s="20" t="str">
        <f aca="false">IF(Process_Scope!A139="","",Process_Scope!A139)</f>
        <v/>
      </c>
    </row>
    <row r="140" customFormat="false" ht="15" hidden="false" customHeight="false" outlineLevel="0" collapsed="false">
      <c r="A140" s="20" t="str">
        <f aca="false">IF(Process_Scope!A140="","",Process_Scope!A140)</f>
        <v/>
      </c>
    </row>
    <row r="141" customFormat="false" ht="15" hidden="false" customHeight="false" outlineLevel="0" collapsed="false">
      <c r="A141" s="20" t="str">
        <f aca="false">IF(Process_Scope!A141="","",Process_Scope!A141)</f>
        <v/>
      </c>
    </row>
    <row r="142" customFormat="false" ht="15" hidden="false" customHeight="false" outlineLevel="0" collapsed="false">
      <c r="A142" s="20" t="str">
        <f aca="false">IF(Process_Scope!A142="","",Process_Scope!A142)</f>
        <v/>
      </c>
    </row>
    <row r="143" customFormat="false" ht="15" hidden="false" customHeight="false" outlineLevel="0" collapsed="false">
      <c r="A143" s="20" t="str">
        <f aca="false">IF(Process_Scope!A143="","",Process_Scope!A143)</f>
        <v/>
      </c>
    </row>
    <row r="144" customFormat="false" ht="15" hidden="false" customHeight="false" outlineLevel="0" collapsed="false">
      <c r="A144" s="20" t="str">
        <f aca="false">IF(Process_Scope!A144="","",Process_Scope!A144)</f>
        <v/>
      </c>
    </row>
    <row r="145" customFormat="false" ht="15" hidden="false" customHeight="false" outlineLevel="0" collapsed="false">
      <c r="A145" s="20" t="str">
        <f aca="false">IF(Process_Scope!A145="","",Process_Scope!A145)</f>
        <v/>
      </c>
    </row>
    <row r="146" customFormat="false" ht="15" hidden="false" customHeight="false" outlineLevel="0" collapsed="false">
      <c r="A146" s="20" t="str">
        <f aca="false">IF(Process_Scope!A146="","",Process_Scope!A146)</f>
        <v/>
      </c>
    </row>
    <row r="147" customFormat="false" ht="15" hidden="false" customHeight="false" outlineLevel="0" collapsed="false">
      <c r="A147" s="20" t="str">
        <f aca="false">IF(Process_Scope!A147="","",Process_Scope!A147)</f>
        <v/>
      </c>
    </row>
    <row r="148" customFormat="false" ht="15" hidden="false" customHeight="false" outlineLevel="0" collapsed="false">
      <c r="A148" s="20" t="str">
        <f aca="false">IF(Process_Scope!A148="","",Process_Scope!A148)</f>
        <v/>
      </c>
    </row>
    <row r="149" customFormat="false" ht="15" hidden="false" customHeight="false" outlineLevel="0" collapsed="false">
      <c r="A149" s="20" t="str">
        <f aca="false">IF(Process_Scope!A149="","",Process_Scope!A149)</f>
        <v/>
      </c>
    </row>
    <row r="150" customFormat="false" ht="15" hidden="false" customHeight="false" outlineLevel="0" collapsed="false">
      <c r="A150" s="20" t="str">
        <f aca="false">IF(Process_Scope!A150="","",Process_Scope!A150)</f>
        <v/>
      </c>
    </row>
    <row r="151" customFormat="false" ht="15" hidden="false" customHeight="false" outlineLevel="0" collapsed="false">
      <c r="A151" s="20" t="str">
        <f aca="false">IF(Process_Scope!A151="","",Process_Scope!A151)</f>
        <v/>
      </c>
    </row>
    <row r="152" customFormat="false" ht="15" hidden="false" customHeight="false" outlineLevel="0" collapsed="false">
      <c r="A152" s="20" t="str">
        <f aca="false">IF(Process_Scope!A152="","",Process_Scope!A152)</f>
        <v/>
      </c>
    </row>
    <row r="153" customFormat="false" ht="15" hidden="false" customHeight="false" outlineLevel="0" collapsed="false">
      <c r="A153" s="20" t="str">
        <f aca="false">IF(Process_Scope!A153="","",Process_Scope!A153)</f>
        <v/>
      </c>
    </row>
    <row r="154" customFormat="false" ht="15" hidden="false" customHeight="false" outlineLevel="0" collapsed="false">
      <c r="A154" s="20" t="str">
        <f aca="false">IF(Process_Scope!A154="","",Process_Scope!A154)</f>
        <v/>
      </c>
    </row>
    <row r="155" customFormat="false" ht="15" hidden="false" customHeight="false" outlineLevel="0" collapsed="false">
      <c r="A155" s="20" t="str">
        <f aca="false">IF(Technical_Areas!A5="","",Technical_Areas!A5)</f>
        <v>BP-TECH-01</v>
      </c>
    </row>
    <row r="156" customFormat="false" ht="15" hidden="false" customHeight="false" outlineLevel="0" collapsed="false">
      <c r="A156" s="20" t="str">
        <f aca="false">IF(Technical_Areas!A6="","",Technical_Areas!A6)</f>
        <v/>
      </c>
    </row>
    <row r="157" customFormat="false" ht="15" hidden="false" customHeight="false" outlineLevel="0" collapsed="false">
      <c r="A157" s="20" t="str">
        <f aca="false">IF(Technical_Areas!A7="","",Technical_Areas!A7)</f>
        <v/>
      </c>
    </row>
    <row r="158" customFormat="false" ht="15" hidden="false" customHeight="false" outlineLevel="0" collapsed="false">
      <c r="A158" s="20" t="str">
        <f aca="false">IF(Technical_Areas!A8="","",Technical_Areas!A8)</f>
        <v/>
      </c>
    </row>
    <row r="159" customFormat="false" ht="15" hidden="false" customHeight="false" outlineLevel="0" collapsed="false">
      <c r="A159" s="20" t="str">
        <f aca="false">IF(Technical_Areas!A9="","",Technical_Areas!A9)</f>
        <v/>
      </c>
    </row>
    <row r="160" customFormat="false" ht="15" hidden="false" customHeight="false" outlineLevel="0" collapsed="false">
      <c r="A160" s="20" t="str">
        <f aca="false">IF(Technical_Areas!A10="","",Technical_Areas!A10)</f>
        <v/>
      </c>
    </row>
    <row r="161" customFormat="false" ht="15" hidden="false" customHeight="false" outlineLevel="0" collapsed="false">
      <c r="A161" s="20" t="str">
        <f aca="false">IF(Technical_Areas!A11="","",Technical_Areas!A11)</f>
        <v/>
      </c>
    </row>
    <row r="162" customFormat="false" ht="15" hidden="false" customHeight="false" outlineLevel="0" collapsed="false">
      <c r="A162" s="20" t="str">
        <f aca="false">IF(Technical_Areas!A12="","",Technical_Areas!A12)</f>
        <v/>
      </c>
    </row>
    <row r="163" customFormat="false" ht="15" hidden="false" customHeight="false" outlineLevel="0" collapsed="false">
      <c r="A163" s="20" t="str">
        <f aca="false">IF(Technical_Areas!A13="","",Technical_Areas!A13)</f>
        <v/>
      </c>
    </row>
    <row r="164" customFormat="false" ht="15" hidden="false" customHeight="false" outlineLevel="0" collapsed="false">
      <c r="A164" s="20" t="str">
        <f aca="false">IF(Technical_Areas!A14="","",Technical_Areas!A14)</f>
        <v/>
      </c>
    </row>
    <row r="165" customFormat="false" ht="15" hidden="false" customHeight="false" outlineLevel="0" collapsed="false">
      <c r="A165" s="20" t="str">
        <f aca="false">IF(Technical_Areas!A15="","",Technical_Areas!A15)</f>
        <v/>
      </c>
    </row>
    <row r="166" customFormat="false" ht="15" hidden="false" customHeight="false" outlineLevel="0" collapsed="false">
      <c r="A166" s="20" t="str">
        <f aca="false">IF(Technical_Areas!A16="","",Technical_Areas!A16)</f>
        <v/>
      </c>
    </row>
    <row r="167" customFormat="false" ht="15" hidden="false" customHeight="false" outlineLevel="0" collapsed="false">
      <c r="A167" s="20" t="str">
        <f aca="false">IF(Technical_Areas!A17="","",Technical_Areas!A17)</f>
        <v/>
      </c>
    </row>
    <row r="168" customFormat="false" ht="15" hidden="false" customHeight="false" outlineLevel="0" collapsed="false">
      <c r="A168" s="20" t="str">
        <f aca="false">IF(Technical_Areas!A18="","",Technical_Areas!A18)</f>
        <v/>
      </c>
    </row>
    <row r="169" customFormat="false" ht="15" hidden="false" customHeight="false" outlineLevel="0" collapsed="false">
      <c r="A169" s="20" t="str">
        <f aca="false">IF(Technical_Areas!A19="","",Technical_Areas!A19)</f>
        <v/>
      </c>
    </row>
    <row r="170" customFormat="false" ht="15" hidden="false" customHeight="false" outlineLevel="0" collapsed="false">
      <c r="A170" s="20" t="str">
        <f aca="false">IF(Technical_Areas!A20="","",Technical_Areas!A20)</f>
        <v/>
      </c>
    </row>
    <row r="171" customFormat="false" ht="15" hidden="false" customHeight="false" outlineLevel="0" collapsed="false">
      <c r="A171" s="20" t="str">
        <f aca="false">IF(Technical_Areas!A21="","",Technical_Areas!A21)</f>
        <v/>
      </c>
    </row>
    <row r="172" customFormat="false" ht="15" hidden="false" customHeight="false" outlineLevel="0" collapsed="false">
      <c r="A172" s="20" t="str">
        <f aca="false">IF(Technical_Areas!A22="","",Technical_Areas!A22)</f>
        <v/>
      </c>
    </row>
    <row r="173" customFormat="false" ht="15" hidden="false" customHeight="false" outlineLevel="0" collapsed="false">
      <c r="A173" s="20" t="str">
        <f aca="false">IF(Technical_Areas!A23="","",Technical_Areas!A23)</f>
        <v/>
      </c>
    </row>
    <row r="174" customFormat="false" ht="15" hidden="false" customHeight="false" outlineLevel="0" collapsed="false">
      <c r="A174" s="20" t="str">
        <f aca="false">IF(Technical_Areas!A24="","",Technical_Areas!A24)</f>
        <v/>
      </c>
    </row>
    <row r="175" customFormat="false" ht="15" hidden="false" customHeight="false" outlineLevel="0" collapsed="false">
      <c r="A175" s="20" t="str">
        <f aca="false">IF(Technical_Areas!A25="","",Technical_Areas!A25)</f>
        <v/>
      </c>
    </row>
    <row r="176" customFormat="false" ht="15" hidden="false" customHeight="false" outlineLevel="0" collapsed="false">
      <c r="A176" s="20" t="str">
        <f aca="false">IF(Technical_Areas!A26="","",Technical_Areas!A26)</f>
        <v/>
      </c>
    </row>
    <row r="177" customFormat="false" ht="15" hidden="false" customHeight="false" outlineLevel="0" collapsed="false">
      <c r="A177" s="20" t="str">
        <f aca="false">IF(Technical_Areas!A27="","",Technical_Areas!A27)</f>
        <v/>
      </c>
    </row>
    <row r="178" customFormat="false" ht="15" hidden="false" customHeight="false" outlineLevel="0" collapsed="false">
      <c r="A178" s="20" t="str">
        <f aca="false">IF(Technical_Areas!A28="","",Technical_Areas!A28)</f>
        <v/>
      </c>
    </row>
    <row r="179" customFormat="false" ht="15" hidden="false" customHeight="false" outlineLevel="0" collapsed="false">
      <c r="A179" s="20" t="str">
        <f aca="false">IF(Technical_Areas!A29="","",Technical_Areas!A29)</f>
        <v/>
      </c>
    </row>
    <row r="180" customFormat="false" ht="15" hidden="false" customHeight="false" outlineLevel="0" collapsed="false">
      <c r="A180" s="20" t="str">
        <f aca="false">IF(Technical_Areas!A30="","",Technical_Areas!A30)</f>
        <v/>
      </c>
    </row>
    <row r="181" customFormat="false" ht="15" hidden="false" customHeight="false" outlineLevel="0" collapsed="false">
      <c r="A181" s="20" t="str">
        <f aca="false">IF(Technical_Areas!A31="","",Technical_Areas!A31)</f>
        <v/>
      </c>
    </row>
    <row r="182" customFormat="false" ht="15" hidden="false" customHeight="false" outlineLevel="0" collapsed="false">
      <c r="A182" s="20" t="str">
        <f aca="false">IF(Technical_Areas!A32="","",Technical_Areas!A32)</f>
        <v/>
      </c>
    </row>
    <row r="183" customFormat="false" ht="15" hidden="false" customHeight="false" outlineLevel="0" collapsed="false">
      <c r="A183" s="20" t="str">
        <f aca="false">IF(Technical_Areas!A33="","",Technical_Areas!A33)</f>
        <v/>
      </c>
    </row>
    <row r="184" customFormat="false" ht="15" hidden="false" customHeight="false" outlineLevel="0" collapsed="false">
      <c r="A184" s="20" t="str">
        <f aca="false">IF(Technical_Areas!A34="","",Technical_Areas!A34)</f>
        <v/>
      </c>
    </row>
    <row r="185" customFormat="false" ht="15" hidden="false" customHeight="false" outlineLevel="0" collapsed="false">
      <c r="A185" s="20" t="str">
        <f aca="false">IF(Technical_Areas!A35="","",Technical_Areas!A35)</f>
        <v/>
      </c>
    </row>
    <row r="186" customFormat="false" ht="15" hidden="false" customHeight="false" outlineLevel="0" collapsed="false">
      <c r="A186" s="20" t="str">
        <f aca="false">IF(Technical_Areas!A36="","",Technical_Areas!A36)</f>
        <v/>
      </c>
    </row>
    <row r="187" customFormat="false" ht="15" hidden="false" customHeight="false" outlineLevel="0" collapsed="false">
      <c r="A187" s="20" t="str">
        <f aca="false">IF(Technical_Areas!A37="","",Technical_Areas!A37)</f>
        <v/>
      </c>
    </row>
    <row r="188" customFormat="false" ht="15" hidden="false" customHeight="false" outlineLevel="0" collapsed="false">
      <c r="A188" s="20" t="str">
        <f aca="false">IF(Technical_Areas!A38="","",Technical_Areas!A38)</f>
        <v/>
      </c>
    </row>
    <row r="189" customFormat="false" ht="15" hidden="false" customHeight="false" outlineLevel="0" collapsed="false">
      <c r="A189" s="20" t="str">
        <f aca="false">IF(Technical_Areas!A39="","",Technical_Areas!A39)</f>
        <v/>
      </c>
    </row>
    <row r="190" customFormat="false" ht="15" hidden="false" customHeight="false" outlineLevel="0" collapsed="false">
      <c r="A190" s="20" t="str">
        <f aca="false">IF(Technical_Areas!A40="","",Technical_Areas!A40)</f>
        <v/>
      </c>
    </row>
    <row r="191" customFormat="false" ht="15" hidden="false" customHeight="false" outlineLevel="0" collapsed="false">
      <c r="A191" s="20" t="str">
        <f aca="false">IF(Technical_Areas!A41="","",Technical_Areas!A41)</f>
        <v/>
      </c>
    </row>
    <row r="192" customFormat="false" ht="15" hidden="false" customHeight="false" outlineLevel="0" collapsed="false">
      <c r="A192" s="20" t="str">
        <f aca="false">IF(Technical_Areas!A42="","",Technical_Areas!A42)</f>
        <v/>
      </c>
    </row>
    <row r="193" customFormat="false" ht="15" hidden="false" customHeight="false" outlineLevel="0" collapsed="false">
      <c r="A193" s="20" t="str">
        <f aca="false">IF(Technical_Areas!A43="","",Technical_Areas!A43)</f>
        <v/>
      </c>
    </row>
    <row r="194" customFormat="false" ht="15" hidden="false" customHeight="false" outlineLevel="0" collapsed="false">
      <c r="A194" s="20" t="str">
        <f aca="false">IF(Technical_Areas!A44="","",Technical_Areas!A44)</f>
        <v/>
      </c>
    </row>
    <row r="195" customFormat="false" ht="15" hidden="false" customHeight="false" outlineLevel="0" collapsed="false">
      <c r="A195" s="20" t="str">
        <f aca="false">IF(Technical_Areas!A45="","",Technical_Areas!A45)</f>
        <v/>
      </c>
    </row>
    <row r="196" customFormat="false" ht="15" hidden="false" customHeight="false" outlineLevel="0" collapsed="false">
      <c r="A196" s="20" t="str">
        <f aca="false">IF(Technical_Areas!A46="","",Technical_Areas!A46)</f>
        <v/>
      </c>
    </row>
    <row r="197" customFormat="false" ht="15" hidden="false" customHeight="false" outlineLevel="0" collapsed="false">
      <c r="A197" s="20" t="str">
        <f aca="false">IF(Technical_Areas!A47="","",Technical_Areas!A47)</f>
        <v/>
      </c>
    </row>
    <row r="198" customFormat="false" ht="15" hidden="false" customHeight="false" outlineLevel="0" collapsed="false">
      <c r="A198" s="20" t="str">
        <f aca="false">IF(Technical_Areas!A48="","",Technical_Areas!A48)</f>
        <v/>
      </c>
    </row>
    <row r="199" customFormat="false" ht="15" hidden="false" customHeight="false" outlineLevel="0" collapsed="false">
      <c r="A199" s="20" t="str">
        <f aca="false">IF(Technical_Areas!A49="","",Technical_Areas!A49)</f>
        <v/>
      </c>
    </row>
    <row r="200" customFormat="false" ht="15" hidden="false" customHeight="false" outlineLevel="0" collapsed="false">
      <c r="A200" s="20" t="str">
        <f aca="false">IF(Technical_Areas!A50="","",Technical_Areas!A50)</f>
        <v/>
      </c>
    </row>
    <row r="201" customFormat="false" ht="15" hidden="false" customHeight="false" outlineLevel="0" collapsed="false">
      <c r="A201" s="20" t="str">
        <f aca="false">IF(Technical_Areas!A51="","",Technical_Areas!A51)</f>
        <v/>
      </c>
    </row>
    <row r="202" customFormat="false" ht="15" hidden="false" customHeight="false" outlineLevel="0" collapsed="false">
      <c r="A202" s="20" t="str">
        <f aca="false">IF(Technical_Areas!A52="","",Technical_Areas!A52)</f>
        <v/>
      </c>
    </row>
    <row r="203" customFormat="false" ht="15" hidden="false" customHeight="false" outlineLevel="0" collapsed="false">
      <c r="A203" s="20" t="str">
        <f aca="false">IF(Technical_Areas!A53="","",Technical_Areas!A53)</f>
        <v/>
      </c>
    </row>
    <row r="204" customFormat="false" ht="15" hidden="false" customHeight="false" outlineLevel="0" collapsed="false">
      <c r="A204" s="20" t="str">
        <f aca="false">IF(Technical_Areas!A54="","",Technical_Areas!A54)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5" hidden="false" customHeight="false" outlineLevel="0" collapsed="false">
      <c r="A1" s="21" t="s">
        <v>159</v>
      </c>
      <c r="B1" s="21" t="s">
        <v>160</v>
      </c>
      <c r="C1" s="21" t="s">
        <v>161</v>
      </c>
      <c r="D1" s="21" t="s">
        <v>162</v>
      </c>
      <c r="E1" s="21" t="s">
        <v>163</v>
      </c>
      <c r="F1" s="21" t="s">
        <v>164</v>
      </c>
    </row>
    <row r="2" customFormat="false" ht="15" hidden="false" customHeight="false" outlineLevel="0" collapsed="false">
      <c r="A2" s="20" t="s">
        <v>165</v>
      </c>
      <c r="B2" s="20" t="s">
        <v>127</v>
      </c>
      <c r="C2" s="20" t="s">
        <v>128</v>
      </c>
      <c r="D2" s="20" t="s">
        <v>128</v>
      </c>
      <c r="E2" s="20" t="s">
        <v>131</v>
      </c>
      <c r="F2" s="20" t="s">
        <v>156</v>
      </c>
    </row>
    <row r="3" customFormat="false" ht="15" hidden="false" customHeight="false" outlineLevel="0" collapsed="false">
      <c r="A3" s="20" t="s">
        <v>122</v>
      </c>
      <c r="B3" s="20" t="s">
        <v>166</v>
      </c>
      <c r="C3" s="20" t="s">
        <v>167</v>
      </c>
      <c r="D3" s="20" t="s">
        <v>167</v>
      </c>
      <c r="E3" s="20" t="s">
        <v>143</v>
      </c>
      <c r="F3" s="20" t="s">
        <v>168</v>
      </c>
    </row>
    <row r="4" customFormat="false" ht="15" hidden="false" customHeight="false" outlineLevel="0" collapsed="false">
      <c r="A4" s="20" t="s">
        <v>169</v>
      </c>
      <c r="B4" s="20" t="s">
        <v>170</v>
      </c>
      <c r="D4" s="20" t="s">
        <v>171</v>
      </c>
      <c r="E4" s="20" t="s">
        <v>172</v>
      </c>
      <c r="F4" s="20" t="s">
        <v>173</v>
      </c>
    </row>
    <row r="5" customFormat="false" ht="15" hidden="false" customHeight="false" outlineLevel="0" collapsed="false">
      <c r="A5" s="20" t="s">
        <v>174</v>
      </c>
      <c r="E5" s="20" t="s">
        <v>175</v>
      </c>
    </row>
    <row r="6" customFormat="false" ht="15" hidden="false" customHeight="false" outlineLevel="0" collapsed="false">
      <c r="A6" s="20" t="s">
        <v>176</v>
      </c>
    </row>
    <row r="7" customFormat="false" ht="15" hidden="false" customHeight="false" outlineLevel="0" collapsed="false">
      <c r="A7" s="2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9" t="s">
        <v>177</v>
      </c>
    </row>
    <row r="2" customFormat="false" ht="15" hidden="false" customHeight="false" outlineLevel="0" collapsed="false">
      <c r="A2" s="10" t="s">
        <v>178</v>
      </c>
    </row>
    <row r="3" customFormat="false" ht="15" hidden="false" customHeight="false" outlineLevel="0" collapsed="false">
      <c r="A3" s="21" t="s">
        <v>179</v>
      </c>
      <c r="B3" s="22" t="str">
        <f aca="false">IF(COUNTIF(C6:C15,"REVIEW")=0,"ALL CHECKS PASS","REVIEW ITEMS: "&amp;COUNTIF(C6:C15,"REVIEW"))</f>
        <v>ALL CHECKS PASS</v>
      </c>
    </row>
    <row r="5" customFormat="false" ht="15" hidden="false" customHeight="false" outlineLevel="0" collapsed="false">
      <c r="A5" s="5" t="s">
        <v>92</v>
      </c>
      <c r="B5" s="5" t="s">
        <v>180</v>
      </c>
      <c r="C5" s="5" t="s">
        <v>111</v>
      </c>
      <c r="D5" s="5" t="s">
        <v>181</v>
      </c>
    </row>
    <row r="6" customFormat="false" ht="15" hidden="false" customHeight="false" outlineLevel="0" collapsed="false">
      <c r="A6" s="23" t="s">
        <v>182</v>
      </c>
      <c r="B6" s="23" t="n">
        <f aca="false">COUNTA(Process_Scope!A5:A204)</f>
        <v>1</v>
      </c>
      <c r="C6" s="23" t="s">
        <v>183</v>
      </c>
      <c r="D6" s="23" t="s">
        <v>184</v>
      </c>
    </row>
    <row r="7" customFormat="false" ht="15" hidden="false" customHeight="false" outlineLevel="0" collapsed="false">
      <c r="A7" s="23" t="s">
        <v>185</v>
      </c>
      <c r="B7" s="23" t="n">
        <f aca="false">COUNTA(Technical_Areas!A5:A204)</f>
        <v>1</v>
      </c>
      <c r="C7" s="23" t="str">
        <f aca="false">IF(B7&gt;0,"PASS","REVIEW")</f>
        <v>PASS</v>
      </c>
      <c r="D7" s="23" t="s">
        <v>186</v>
      </c>
    </row>
    <row r="8" customFormat="false" ht="15" hidden="false" customHeight="false" outlineLevel="0" collapsed="false">
      <c r="A8" s="23" t="s">
        <v>187</v>
      </c>
      <c r="B8" s="23" t="n">
        <f aca="false">SUMPRODUCT((Process_Scope!A5:A204&lt;&gt;"")*(COUNTIF(Process_Scope!A5:A204,Process_Scope!A5:A204)&gt;1))</f>
        <v>0</v>
      </c>
      <c r="C8" s="23" t="str">
        <f aca="false">IF(B8=0,"PASS","REVIEW")</f>
        <v>PASS</v>
      </c>
      <c r="D8" s="23" t="s">
        <v>188</v>
      </c>
    </row>
    <row r="9" customFormat="false" ht="15" hidden="false" customHeight="false" outlineLevel="0" collapsed="false">
      <c r="A9" s="23" t="s">
        <v>189</v>
      </c>
      <c r="B9" s="23" t="n">
        <f aca="false">SUMPRODUCT((Technical_Areas!A5:A204&lt;&gt;"")*(COUNTIF(Technical_Areas!A5:A204,Technical_Areas!A5:A204)&gt;1))</f>
        <v>0</v>
      </c>
      <c r="C9" s="23" t="str">
        <f aca="false">IF(B9=0,"PASS","REVIEW")</f>
        <v>PASS</v>
      </c>
      <c r="D9" s="23" t="s">
        <v>188</v>
      </c>
    </row>
    <row r="10" customFormat="false" ht="15" hidden="false" customHeight="false" outlineLevel="0" collapsed="false">
      <c r="A10" s="23" t="s">
        <v>190</v>
      </c>
      <c r="B10" s="23" t="n">
        <f aca="false">SUMPRODUCT((Process_Scope!N5:N204&lt;&gt;"")*(Process_Scope!N5:N204&lt;&gt;"OK")*(LEFT(Process_Scope!N5:N204,2)&lt;&gt;"OK"))</f>
        <v>0</v>
      </c>
      <c r="C10" s="23" t="str">
        <f aca="false">IF(B10=0,"PASS","REVIEW")</f>
        <v>PASS</v>
      </c>
      <c r="D10" s="23" t="s">
        <v>191</v>
      </c>
    </row>
    <row r="11" customFormat="false" ht="15" hidden="false" customHeight="false" outlineLevel="0" collapsed="false">
      <c r="A11" s="23" t="s">
        <v>192</v>
      </c>
      <c r="B11" s="23" t="n">
        <f aca="false">SUMPRODUCT((Technical_Areas!N5:N204&lt;&gt;"")*(Technical_Areas!N5:N204&lt;&gt;"OK")*(LEFT(Technical_Areas!N5:N204,2)&lt;&gt;"OK"))</f>
        <v>0</v>
      </c>
      <c r="C11" s="23" t="str">
        <f aca="false">IF(B11=0,"PASS","REVIEW")</f>
        <v>PASS</v>
      </c>
      <c r="D11" s="23" t="s">
        <v>191</v>
      </c>
    </row>
    <row r="12" customFormat="false" ht="15" hidden="false" customHeight="false" outlineLevel="0" collapsed="false">
      <c r="A12" s="23" t="s">
        <v>193</v>
      </c>
      <c r="B12" s="23" t="n">
        <f aca="false">SUMPRODUCT((Process_Scope!I5:I204="Y")*(Process_Scope!E5:E204=""))</f>
        <v>0</v>
      </c>
      <c r="C12" s="23" t="str">
        <f aca="false">IF(B12=0,"PASS","REVIEW")</f>
        <v>PASS</v>
      </c>
      <c r="D12" s="23" t="s">
        <v>194</v>
      </c>
    </row>
    <row r="13" customFormat="false" ht="15" hidden="false" customHeight="false" outlineLevel="0" collapsed="false">
      <c r="A13" s="23" t="s">
        <v>195</v>
      </c>
      <c r="B13" s="23" t="n">
        <f aca="false">COUNTIF(Process_Scope!L5:L204,"Outstanding")+COUNTIF(Process_Scope!I5:I204,"TBC")</f>
        <v>0</v>
      </c>
      <c r="C13" s="23" t="s">
        <v>183</v>
      </c>
      <c r="D13" s="23" t="s">
        <v>196</v>
      </c>
    </row>
    <row r="14" customFormat="false" ht="15" hidden="false" customHeight="false" outlineLevel="0" collapsed="false">
      <c r="A14" s="23" t="s">
        <v>197</v>
      </c>
      <c r="B14" s="23" t="n">
        <f aca="false">COUNTIF(FSLI_Map!H5:H204,"Map*")</f>
        <v>0</v>
      </c>
      <c r="C14" s="23" t="str">
        <f aca="false">IF(B14=0,"PASS","REVIEW")</f>
        <v>PASS</v>
      </c>
      <c r="D14" s="23" t="s">
        <v>198</v>
      </c>
    </row>
    <row r="15" customFormat="false" ht="15" hidden="false" customHeight="false" outlineLevel="0" collapsed="false">
      <c r="A15" s="23" t="s">
        <v>199</v>
      </c>
      <c r="B15" s="23" t="n">
        <f aca="false">COUNTA(FSLI_Map!A5:A204)</f>
        <v>1</v>
      </c>
      <c r="C15" s="23" t="str">
        <f aca="false">IF(B15&gt;0,"PASS","REVIEW")</f>
        <v>PASS</v>
      </c>
      <c r="D15" s="2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2026-10-03T01:34:30Z</dcterms:created>
  <dc:creator>openpyxl</dc:creator>
  <dc:description/>
  <dc:language>en-US</dc:language>
  <cp:lastModifiedBy/>
  <dcterms:modified xsi:type="dcterms:W3CDTF">2026-10-03T01:34:31Z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