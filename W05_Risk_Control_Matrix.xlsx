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Control_Register" sheetId="2" state="visible" r:id="rId4"/>
    <sheet name="Risk_Control_Map" sheetId="3" state="visible" r:id="rId5"/>
    <sheet name="ITGC_Dependency" sheetId="4" state="visible" r:id="rId6"/>
    <sheet name="Coverage_Check" sheetId="5" state="visible" r:id="rId7"/>
    <sheet name="Control_Areas" sheetId="6" state="visible" r:id="rId8"/>
    <sheet name="Ref_RISK" sheetId="7" state="visible" r:id="rId9"/>
    <sheet name="Lists" sheetId="8" state="hidden" r:id="rId10"/>
    <sheet name="Checks" sheetId="9" state="visible" r:id="rId11"/>
  </sheets>
  <definedNames>
    <definedName function="false" hidden="true" localSheetId="1" name="_xlnm._FilterDatabase" vbProcedure="false">Control_Register!$A$4:$T$204</definedName>
    <definedName function="false" hidden="true" localSheetId="3" name="_xlnm._FilterDatabase" vbProcedure="false">ITGC_Dependency!$A$4:$I$204</definedName>
    <definedName function="false" hidden="true" localSheetId="2" name="_xlnm._FilterDatabase" vbProcedure="false">Risk_Control_Map!$A$4:$H$204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<sst xmlns="http://schemas.openxmlformats.org/spreadsheetml/2006/main" count="407" uniqueCount="251">
  <si>
    <t xml:space="preserve">TIB SYSTEMS LLC  |  SAP Controls Project Foundation Workbook Set</t>
  </si>
  <si>
    <t xml:space="preserve">W05 — Risk &amp; Control Matrix (RCM)</t>
  </si>
  <si>
    <t xml:space="preserve">Purpose</t>
  </si>
  <si>
    <t xml:space="preserve">The centre of the foundation. Defines the specific control that answers each risk, classifies it, names its owner, and records the SAP mechanism, expected evidence and test approach. Everything in the Test phase (W10 to W12) is generated from RCM rows.</t>
  </si>
  <si>
    <t xml:space="preserve">How to use this workbook</t>
  </si>
  <si>
    <t xml:space="preserve">1. Paste RISK-IDs and SOX flags from W04 into the Ref_RISK tab.</t>
  </si>
  <si>
    <t xml:space="preserve">2. For each risk, record what actually prevents or detects it. Write each control in the five-part form in Control_Register.</t>
  </si>
  <si>
    <t xml:space="preserve">3. Link controls to risks in Risk_Control_Map (one row per pair; the register is many-to-many).</t>
  </si>
  <si>
    <t xml:space="preserve">4. For every ITAC, IPE and ITDM control, list the ITGCs it relies on in ITGC_Dependency.</t>
  </si>
  <si>
    <t xml:space="preserve">5. Read Coverage_Check: any SOX risk without a key control is a design gap.</t>
  </si>
  <si>
    <t xml:space="preserve">Colour legend</t>
  </si>
  <si>
    <t xml:space="preserve">Yellow cells with blue text = you enter data here.   Grey cells = formulas (do not overwrite).   Row 5 of each register is a worked ABC Manufacturing example: overwrite it with your first record.</t>
  </si>
  <si>
    <t xml:space="preserve">Completion gate</t>
  </si>
  <si>
    <t xml:space="preserve">Every risk in W04 maps to at least one control; every SOX-relevant risk maps to at least one key control.</t>
  </si>
  <si>
    <t xml:space="preserve">Every control has a five-part description, single category, nature, frequency and owner.</t>
  </si>
  <si>
    <t xml:space="preserve">Every ITAC, IPE and ITDM control lists its dependent ITGCs.</t>
  </si>
  <si>
    <t xml:space="preserve">Expected evidence is defined for every control, ready to drive W08.</t>
  </si>
  <si>
    <t xml:space="preserve">Manual reference</t>
  </si>
  <si>
    <t xml:space="preserve">Part 1, Session 6 (W05); Part 3B, Session 33 (reliance).</t>
  </si>
  <si>
    <t xml:space="preserve">Column dictionary</t>
  </si>
  <si>
    <t xml:space="preserve">Tab</t>
  </si>
  <si>
    <t xml:space="preserve">Field</t>
  </si>
  <si>
    <t xml:space="preserve">Definition</t>
  </si>
  <si>
    <t xml:space="preserve">Allowed values / rule</t>
  </si>
  <si>
    <t xml:space="preserve">Type</t>
  </si>
  <si>
    <t xml:space="preserve">Control_Register</t>
  </si>
  <si>
    <t xml:space="preserve">CTRL-ID</t>
  </si>
  <si>
    <t xml:space="preserve">Unique key</t>
  </si>
  <si>
    <t xml:space="preserve">C-&lt;category&gt;-nnn, e.g. C-ITGC-AC-002, C-ITAC-004</t>
  </si>
  <si>
    <t xml:space="preserve">Input</t>
  </si>
  <si>
    <t xml:space="preserve">Control title</t>
  </si>
  <si>
    <t xml:space="preserve">Short name</t>
  </si>
  <si>
    <t xml:space="preserve">e.g. Timely removal of leavers</t>
  </si>
  <si>
    <t xml:space="preserve">Control description</t>
  </si>
  <si>
    <t xml:space="preserve">Who does what, when, how, with what evidence</t>
  </si>
  <si>
    <t xml:space="preserve">Five-part description: who / what / when / how / evidence</t>
  </si>
  <si>
    <t xml:space="preserve">Control area</t>
  </si>
  <si>
    <t xml:space="preserve">Grouping</t>
  </si>
  <si>
    <t xml:space="preserve">From Control_Areas tab</t>
  </si>
  <si>
    <t xml:space="preserve">Control category</t>
  </si>
  <si>
    <t xml:space="preserve">Classification</t>
  </si>
  <si>
    <t xml:space="preserve">One value only</t>
  </si>
  <si>
    <t xml:space="preserve">When it acts</t>
  </si>
  <si>
    <t xml:space="preserve">Preventive / Detective</t>
  </si>
  <si>
    <t xml:space="preserve">Nature</t>
  </si>
  <si>
    <t xml:space="preserve">How it operates</t>
  </si>
  <si>
    <t xml:space="preserve">Must agree with category; ITAC = Automated</t>
  </si>
  <si>
    <t xml:space="preserve">Frequency</t>
  </si>
  <si>
    <t xml:space="preserve">How often it operates; drives sample size in W10</t>
  </si>
  <si>
    <t xml:space="preserve">Dropdown</t>
  </si>
  <si>
    <t xml:space="preserve">Key control?</t>
  </si>
  <si>
    <t xml:space="preserve">Relied on to address a SOX risk</t>
  </si>
  <si>
    <t xml:space="preserve">Y / N</t>
  </si>
  <si>
    <t xml:space="preserve">SOX in scope?</t>
  </si>
  <si>
    <t xml:space="preserve">Requires formal TOD and TOE</t>
  </si>
  <si>
    <t xml:space="preserve">Y if key control for a SOX-relevant risk</t>
  </si>
  <si>
    <t xml:space="preserve">Control owner</t>
  </si>
  <si>
    <t xml:space="preserve">Person or role performing the control</t>
  </si>
  <si>
    <t xml:space="preserve">Name / role; carried into W07</t>
  </si>
  <si>
    <t xml:space="preserve">SYS-ID</t>
  </si>
  <si>
    <t xml:space="preserve">Where the control operates</t>
  </si>
  <si>
    <t xml:space="preserve">From W01</t>
  </si>
  <si>
    <t xml:space="preserve">SAP mechanism</t>
  </si>
  <si>
    <t xml:space="preserve">Where the control lives in SAP</t>
  </si>
  <si>
    <t xml:space="preserve">t-code, config path, table, GRC component</t>
  </si>
  <si>
    <t xml:space="preserve">Dependent ITGCs</t>
  </si>
  <si>
    <t xml:space="preserve">ITGCs this control relies on</t>
  </si>
  <si>
    <t xml:space="preserve">CTRL-ID list; mandatory for ITAC, IPE, ITDM</t>
  </si>
  <si>
    <t xml:space="preserve">IPE used</t>
  </si>
  <si>
    <t xml:space="preserve">Reports the control relies on</t>
  </si>
  <si>
    <t xml:space="preserve">Each IPE needs completeness &amp; accuracy testing</t>
  </si>
  <si>
    <t xml:space="preserve">Expected evidence</t>
  </si>
  <si>
    <t xml:space="preserve">What the control produces</t>
  </si>
  <si>
    <t xml:space="preserve">Feeds W08 PBC requests</t>
  </si>
  <si>
    <t xml:space="preserve">Test approach</t>
  </si>
  <si>
    <t xml:space="preserve">Planned procedure</t>
  </si>
  <si>
    <t xml:space="preserve">Inquiry / Observation / Inspection / Reperformance; TOD + TOE</t>
  </si>
  <si>
    <t xml:space="preserve">Planned session</t>
  </si>
  <si>
    <t xml:space="preserve">Where it is tested in the course</t>
  </si>
  <si>
    <t xml:space="preserve">Part 3 session reference</t>
  </si>
  <si>
    <t xml:space="preserve">Risks mapped</t>
  </si>
  <si>
    <t xml:space="preserve">Number of risks linked in Risk_Control_Map</t>
  </si>
  <si>
    <t xml:space="preserve">Formula</t>
  </si>
  <si>
    <t xml:space="preserve">Row check</t>
  </si>
  <si>
    <t xml:space="preserve">Automatic completeness test</t>
  </si>
  <si>
    <t xml:space="preserve">Risk_Control_Map</t>
  </si>
  <si>
    <t xml:space="preserve">Map ID</t>
  </si>
  <si>
    <t xml:space="preserve">Unique key for the link</t>
  </si>
  <si>
    <t xml:space="preserve">M-nn</t>
  </si>
  <si>
    <t xml:space="preserve">RISK-ID</t>
  </si>
  <si>
    <t xml:space="preserve">Risk from W04</t>
  </si>
  <si>
    <t xml:space="preserve">Must exist in Ref_RISK</t>
  </si>
  <si>
    <t xml:space="preserve">Control from Control_Register</t>
  </si>
  <si>
    <t xml:space="preserve">Must exist in Control_Register</t>
  </si>
  <si>
    <t xml:space="preserve">Coverage</t>
  </si>
  <si>
    <t xml:space="preserve">Does the control fully address the risk</t>
  </si>
  <si>
    <t xml:space="preserve">Full / Partial</t>
  </si>
  <si>
    <t xml:space="preserve">Rationale</t>
  </si>
  <si>
    <t xml:space="preserve">Why this control answers this risk</t>
  </si>
  <si>
    <t xml:space="preserve">Free text</t>
  </si>
  <si>
    <t xml:space="preserve">Risk SOX? (lookup)</t>
  </si>
  <si>
    <t xml:space="preserve">SOX flag of the risk (W04)</t>
  </si>
  <si>
    <t xml:space="preserve">Key control? (lookup)</t>
  </si>
  <si>
    <t xml:space="preserve">Key flag of the control</t>
  </si>
  <si>
    <t xml:space="preserve">Check</t>
  </si>
  <si>
    <t xml:space="preserve">ITGC_Dependency</t>
  </si>
  <si>
    <t xml:space="preserve">Dep ID</t>
  </si>
  <si>
    <t xml:space="preserve">D-nn</t>
  </si>
  <si>
    <t xml:space="preserve">Dependent CTRL-ID</t>
  </si>
  <si>
    <t xml:space="preserve">ITAC / IPE / ITDM control that relies on an ITGC</t>
  </si>
  <si>
    <t xml:space="preserve">Dependent category</t>
  </si>
  <si>
    <t xml:space="preserve">Category (lookup)</t>
  </si>
  <si>
    <t xml:space="preserve">ITGC CTRL-ID</t>
  </si>
  <si>
    <t xml:space="preserve">ITGC being relied on</t>
  </si>
  <si>
    <t xml:space="preserve">CTRL-ID beginning C-ITGC</t>
  </si>
  <si>
    <t xml:space="preserve">ITGC?</t>
  </si>
  <si>
    <t xml:space="preserve">Is the dependency really an ITGC</t>
  </si>
  <si>
    <t xml:space="preserve">ITGC test result</t>
  </si>
  <si>
    <t xml:space="preserve">Result from W10 / W11</t>
  </si>
  <si>
    <t xml:space="preserve">Updated in Part 3 sessions</t>
  </si>
  <si>
    <t xml:space="preserve">Additional procedures</t>
  </si>
  <si>
    <t xml:space="preserve">Logs, usage analysis, etc. used to restore reliance</t>
  </si>
  <si>
    <t xml:space="preserve">Free text; see Session 33</t>
  </si>
  <si>
    <t xml:space="preserve">Reliance decision</t>
  </si>
  <si>
    <t xml:space="preserve">Outcome for the dependent control</t>
  </si>
  <si>
    <t xml:space="preserve">Pending until ITGC tested</t>
  </si>
  <si>
    <t xml:space="preserve">Version history</t>
  </si>
  <si>
    <t xml:space="preserve">0.1 — October 2026 — initial template (TIB Systems LLC)</t>
  </si>
  <si>
    <t xml:space="preserve">Cross-workbook links: keys from other workbooks are pasted as values into the Ref_ tabs, so this file works on its own and never breaks when files are moved.</t>
  </si>
  <si>
    <t xml:space="preserve">W05 — Control Register</t>
  </si>
  <si>
    <t xml:space="preserve">One row per control. Row 5 is a worked example (C-ITAC-004). Overwrite it.</t>
  </si>
  <si>
    <t xml:space="preserve">C-ITAC-004</t>
  </si>
  <si>
    <t xml:space="preserve">Three-way match blocks out-of-tolerance invoices</t>
  </si>
  <si>
    <t xml:space="preserve">The system (who) automatically blocks payment of any vendor invoice outside the OMR6 tolerance limits (what) on every invoice posting (when), comparing PO, goods receipt and invoice quantity and price (how). Evidence is the OMR6 configuration and blocked-invoice records (RBKP, MRBR) (evidence).</t>
  </si>
  <si>
    <t xml:space="preserve">Configuration (ITAC)</t>
  </si>
  <si>
    <t xml:space="preserve">ITAC</t>
  </si>
  <si>
    <t xml:space="preserve">Preventive</t>
  </si>
  <si>
    <t xml:space="preserve">Automated</t>
  </si>
  <si>
    <t xml:space="preserve">Continuous</t>
  </si>
  <si>
    <t xml:space="preserve">Y</t>
  </si>
  <si>
    <t xml:space="preserve">Head of AP</t>
  </si>
  <si>
    <t xml:space="preserve">SYS-03</t>
  </si>
  <si>
    <t xml:space="preserve">OMR6 / table T169G; MRBR</t>
  </si>
  <si>
    <t xml:space="preserve">C-ITGC-PC-001, C-ITGC-PC-002, C-ITGC-AC-003</t>
  </si>
  <si>
    <t xml:space="preserve">OMR6 screenshot, table change log, blocked invoice sample</t>
  </si>
  <si>
    <t xml:space="preserve">Inspection + Reperformance; TOD + TOE</t>
  </si>
  <si>
    <t xml:space="preserve">Session 32</t>
  </si>
  <si>
    <t xml:space="preserve">W05 — Risk to Control Map</t>
  </si>
  <si>
    <t xml:space="preserve">The authoritative many-to-many link between W04 risks and controls.</t>
  </si>
  <si>
    <t xml:space="preserve">M-01</t>
  </si>
  <si>
    <t xml:space="preserve">R-P2P-002</t>
  </si>
  <si>
    <t xml:space="preserve">Full</t>
  </si>
  <si>
    <t xml:space="preserve">Blocks invoices outside tolerance before payment</t>
  </si>
  <si>
    <t xml:space="preserve">W05 — ITGC Dependency</t>
  </si>
  <si>
    <t xml:space="preserve">For each ITAC / IPE / ITDM control, the ITGCs it relies on and the reliance decision.</t>
  </si>
  <si>
    <t xml:space="preserve">D-01</t>
  </si>
  <si>
    <t xml:space="preserve">C-ITGC-PC-001</t>
  </si>
  <si>
    <t xml:space="preserve">Not tested</t>
  </si>
  <si>
    <t xml:space="preserve">Pending</t>
  </si>
  <si>
    <t xml:space="preserve">Coverage check — risks versus key controls</t>
  </si>
  <si>
    <t xml:space="preserve">Every SOX-relevant risk must map to at least one key control. All cells are formulas over Ref_RISK and Risk_Control_Map.</t>
  </si>
  <si>
    <t xml:space="preserve">SOX relevant?</t>
  </si>
  <si>
    <t xml:space="preserve">Mapped controls</t>
  </si>
  <si>
    <t xml:space="preserve">Mapped KEY controls</t>
  </si>
  <si>
    <t xml:space="preserve">Status</t>
  </si>
  <si>
    <t xml:space="preserve">Control areas (editable grouping list)</t>
  </si>
  <si>
    <t xml:space="preserve">User provisioning</t>
  </si>
  <si>
    <t xml:space="preserve">Termination</t>
  </si>
  <si>
    <t xml:space="preserve">User access review</t>
  </si>
  <si>
    <t xml:space="preserve">Privileged access</t>
  </si>
  <si>
    <t xml:space="preserve">Emergency access</t>
  </si>
  <si>
    <t xml:space="preserve">Segregation of duties</t>
  </si>
  <si>
    <t xml:space="preserve">Password / logon parameters</t>
  </si>
  <si>
    <t xml:space="preserve">Transport management</t>
  </si>
  <si>
    <t xml:space="preserve">System / client settings</t>
  </si>
  <si>
    <t xml:space="preserve">Direct change / debugging</t>
  </si>
  <si>
    <t xml:space="preserve">Batch jobs</t>
  </si>
  <si>
    <t xml:space="preserve">Interfaces</t>
  </si>
  <si>
    <t xml:space="preserve">Backup and recovery</t>
  </si>
  <si>
    <t xml:space="preserve">Reports (IPE)</t>
  </si>
  <si>
    <t xml:space="preserve">Business process control</t>
  </si>
  <si>
    <t xml:space="preserve">RISK-ID (paste from W04)</t>
  </si>
  <si>
    <t xml:space="preserve">SOX relevant? (Y/N, from W04)</t>
  </si>
  <si>
    <t xml:space="preserve">R-P2P-001</t>
  </si>
  <si>
    <t xml:space="preserve">R-P2P-003</t>
  </si>
  <si>
    <t xml:space="preserve">R-R2R-001</t>
  </si>
  <si>
    <t xml:space="preserve">R-O2C-001</t>
  </si>
  <si>
    <t xml:space="preserve">R-O2C-002</t>
  </si>
  <si>
    <t xml:space="preserve">N</t>
  </si>
  <si>
    <t xml:space="preserve">R-TECH-001</t>
  </si>
  <si>
    <t xml:space="preserve">R-TECH-002</t>
  </si>
  <si>
    <t xml:space="preserve">R-TECH-003</t>
  </si>
  <si>
    <t xml:space="preserve">R-TECH-004</t>
  </si>
  <si>
    <t xml:space="preserve">R-TECH-005</t>
  </si>
  <si>
    <t xml:space="preserve">R-TECH-006</t>
  </si>
  <si>
    <t xml:space="preserve">Cat</t>
  </si>
  <si>
    <t xml:space="preserve">Freq</t>
  </si>
  <si>
    <t xml:space="preserve">YN</t>
  </si>
  <si>
    <t xml:space="preserve">Cov</t>
  </si>
  <si>
    <t xml:space="preserve">Res</t>
  </si>
  <si>
    <t xml:space="preserve">Rel</t>
  </si>
  <si>
    <t xml:space="preserve">ITGC-APD</t>
  </si>
  <si>
    <t xml:space="preserve">ITGC-PC</t>
  </si>
  <si>
    <t xml:space="preserve">Detective</t>
  </si>
  <si>
    <t xml:space="preserve">IT-dependent manual</t>
  </si>
  <si>
    <t xml:space="preserve">Event-driven</t>
  </si>
  <si>
    <t xml:space="preserve">Partial</t>
  </si>
  <si>
    <t xml:space="preserve">Effective</t>
  </si>
  <si>
    <t xml:space="preserve">Supported</t>
  </si>
  <si>
    <t xml:space="preserve">ITGC-CO</t>
  </si>
  <si>
    <t xml:space="preserve">Manual</t>
  </si>
  <si>
    <t xml:space="preserve">Daily</t>
  </si>
  <si>
    <t xml:space="preserve">Exception noted</t>
  </si>
  <si>
    <t xml:space="preserve">Supported with additional procedures</t>
  </si>
  <si>
    <t xml:space="preserve">ITGC-PD</t>
  </si>
  <si>
    <t xml:space="preserve">Weekly</t>
  </si>
  <si>
    <t xml:space="preserve">Ineffective</t>
  </si>
  <si>
    <t xml:space="preserve">Not supported</t>
  </si>
  <si>
    <t xml:space="preserve">Monthly</t>
  </si>
  <si>
    <t xml:space="preserve">IPE</t>
  </si>
  <si>
    <t xml:space="preserve">Quarterly</t>
  </si>
  <si>
    <t xml:space="preserve">ITDM</t>
  </si>
  <si>
    <t xml:space="preserve">Annual</t>
  </si>
  <si>
    <t xml:space="preserve">Manual BPC</t>
  </si>
  <si>
    <t xml:space="preserve">W05 — Completion checks</t>
  </si>
  <si>
    <t xml:space="preserve">All checks are formulas. A workbook passes its gate when every status reads PASS (INFO rows are counts for your information).</t>
  </si>
  <si>
    <t xml:space="preserve">Overall</t>
  </si>
  <si>
    <t xml:space="preserve">Count</t>
  </si>
  <si>
    <t xml:space="preserve">What to do if REVIEW</t>
  </si>
  <si>
    <t xml:space="preserve">Controls in register</t>
  </si>
  <si>
    <t xml:space="preserve">INFO</t>
  </si>
  <si>
    <t xml:space="preserve">—</t>
  </si>
  <si>
    <t xml:space="preserve">Duplicate CTRL-IDs</t>
  </si>
  <si>
    <t xml:space="preserve">Keys must be unique.</t>
  </si>
  <si>
    <t xml:space="preserve">Control rows needing attention</t>
  </si>
  <si>
    <t xml:space="preserve">Read the Row check column.</t>
  </si>
  <si>
    <t xml:space="preserve">Risk-to-control links needing attention</t>
  </si>
  <si>
    <t xml:space="preserve">Read the Check column.</t>
  </si>
  <si>
    <t xml:space="preserve">SOX-relevant risks with NO key control (design gap)</t>
  </si>
  <si>
    <t xml:space="preserve">Report as a potential design deficiency, to be confirmed in testing (not a scoping conclusion).</t>
  </si>
  <si>
    <t xml:space="preserve">Risks with no control at all (any rating)</t>
  </si>
  <si>
    <t xml:space="preserve">Confirm non-SOX risks are accepted or add controls.</t>
  </si>
  <si>
    <t xml:space="preserve">ITAC / IPE / ITDM controls with no ITGC_Dependency row</t>
  </si>
  <si>
    <t xml:space="preserve">Record the ITGCs each automated or system-dependent control relies on.</t>
  </si>
  <si>
    <t xml:space="preserve">Dependency rows needing attention</t>
  </si>
  <si>
    <t xml:space="preserve">Dependent controls where reliance is NOT supported</t>
  </si>
  <si>
    <t xml:space="preserve">Plan substantive or alternative procedures.</t>
  </si>
  <si>
    <t xml:space="preserve">Dependencies with reliance still Pending</t>
  </si>
  <si>
    <t xml:space="preserve">Resolve after ITGC testing (Session 33).</t>
  </si>
  <si>
    <t xml:space="preserve">Key controls</t>
  </si>
  <si>
    <t xml:space="preserve">Each gets a TOD and TOE row in W10.</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</si>
</sst>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9"/>
      <color rgb="FF0E7C86"/>
      <name val="Arial"/>
      <family val="0"/>
      <charset val="1"/>
    </font>
    <font>
      <b val="true"/>
      <sz val="16"/>
      <color rgb="FF1F3864"/>
      <name val="Arial"/>
      <family val="0"/>
      <charset val="1"/>
    </font>
    <font>
      <b val="true"/>
      <sz val="11"/>
      <color rgb="FF0E7C86"/>
      <name val="Arial"/>
      <family val="0"/>
      <charset val="1"/>
    </font>
    <font>
      <sz val="10"/>
      <name val="Arial"/>
      <family val="0"/>
      <charset val="1"/>
    </font>
    <font>
      <b val="true"/>
      <sz val="10"/>
      <color rgb="FFFFFFFF"/>
      <name val="Arial"/>
      <family val="0"/>
      <charset val="1"/>
    </font>
    <font>
      <sz val="9"/>
      <name val="Arial"/>
      <family val="0"/>
      <charset val="1"/>
    </font>
    <font>
      <i val="true"/>
      <sz val="9"/>
      <name val="Arial"/>
      <family val="0"/>
      <charset val="1"/>
    </font>
    <font>
      <b val="true"/>
      <sz val="14"/>
      <color rgb="FF1F3864"/>
      <name val="Arial"/>
      <family val="0"/>
      <charset val="1"/>
    </font>
    <font>
      <i val="true"/>
      <sz val="9"/>
      <color rgb="FF555555"/>
      <name val="Arial"/>
      <family val="0"/>
      <charset val="1"/>
    </font>
    <font>
      <i val="true"/>
      <sz val="10"/>
      <color rgb="FF0000FF"/>
      <name val="Arial"/>
      <family val="0"/>
      <charset val="1"/>
    </font>
    <font>
      <sz val="10"/>
      <color rgb="FF000000"/>
      <name val="Arial"/>
      <family val="0"/>
      <charset val="1"/>
    </font>
    <font>
      <sz val="10"/>
      <color rgb="FF0000FF"/>
      <name val="Arial"/>
      <family val="0"/>
      <charset val="1"/>
    </font>
    <font>
      <b val="true"/>
      <sz val="10"/>
      <name val="Arial"/>
      <family val="0"/>
      <charset val="1"/>
    </font>
    <font>
      <b val="true"/>
      <sz val="10"/>
      <color rgb="FF0E7C86"/>
      <name val="Arial"/>
      <family val="0"/>
      <charset val="1"/>
    </font>
  </fonts>
  <fills count="7">
    <fill>
      <patternFill patternType="none"/>
    </fill>
    <fill>
      <patternFill patternType="gray125"/>
    </fill>
    <fill>
      <patternFill patternType="solid">
        <fgColor rgb="FF1F3864"/>
        <bgColor rgb="FF333399"/>
      </patternFill>
    </fill>
    <fill>
      <patternFill patternType="solid">
        <fgColor rgb="FF5B6B82"/>
        <bgColor rgb="FF555555"/>
      </patternFill>
    </fill>
    <fill>
      <patternFill patternType="solid">
        <fgColor rgb="FFFFF2CC"/>
        <bgColor rgb="FFEDEFF3"/>
      </patternFill>
    </fill>
    <fill>
      <patternFill patternType="solid">
        <fgColor rgb="FFEDEFF3"/>
        <bgColor rgb="FFFFFFFF"/>
      </patternFill>
    </fill>
    <fill>
      <patternFill patternType="solid">
        <fgColor rgb="FF0E7C86"/>
        <bgColor rgb="FF008080"/>
      </patternFill>
    </fill>
  </fills>
  <borders count="2">
    <border diagonalUp="false" diagonalDown="false">
      <left/>
      <right/>
      <top/>
      <bottom/>
      <diagonal/>
    </border>
    <border diagonalUp="false" diagonalDown="false">
      <left style="thin">
        <color rgb="FFBFC7D5"/>
      </left>
      <right style="thin">
        <color rgb="FFBFC7D5"/>
      </right>
      <top style="thin">
        <color rgb="FFBFC7D5"/>
      </top>
      <bottom style="thin">
        <color rgb="FFBFC7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5" fontId="14" fillId="5" borderId="1"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8" fillId="6" borderId="0" xfId="0" applyFont="true" applyBorder="false" applyAlignment="true" applyProtection="false">
      <alignment horizontal="general" vertical="top" textRotation="0" wrapText="tru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5B6B82"/>
          <bgColor rgb="FF000000"/>
        </patternFill>
      </fill>
    </dxf>
    <dxf>
      <fill>
        <patternFill patternType="solid">
          <fgColor rgb="FFEDEFF3"/>
          <bgColor rgb="FF000000"/>
        </patternFill>
      </fill>
    </dxf>
    <dxf>
      <fill>
        <patternFill patternType="solid">
          <fgColor rgb="FF000000"/>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BFC7D5"/>
      <rgbColor rgb="FF808080"/>
      <rgbColor rgb="FF9999FF"/>
      <rgbColor rgb="FF993366"/>
      <rgbColor rgb="FFFFF2CC"/>
      <rgbColor rgb="FFEDEF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B82"/>
      <rgbColor rgb="FF969696"/>
      <rgbColor rgb="FF1F3864"/>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60"/>
    <col collapsed="false" customWidth="true" hidden="false" outlineLevel="0" max="4" min="4" style="0" width="44"/>
    <col collapsed="false" customWidth="true" hidden="false" outlineLevel="0" max="5" min="5" style="0" width="10"/>
  </cols>
  <sheetData>
    <row r="1" customFormat="false" ht="15" hidden="false" customHeight="false" outlineLevel="0" collapsed="false">
      <c r="A1" s="1" t="s">
        <v>0</v>
      </c>
    </row>
    <row r="2" customFormat="false" ht="19.7" hidden="false" customHeight="false" outlineLevel="0" collapsed="false">
      <c r="A2" s="2" t="s">
        <v>1</v>
      </c>
    </row>
    <row r="4" customFormat="false" ht="15" hidden="false" customHeight="false" outlineLevel="0" collapsed="false">
      <c r="A4" s="3" t="s">
        <v>2</v>
      </c>
    </row>
    <row r="5" customFormat="false" ht="45" hidden="false" customHeight="true" outlineLevel="0" collapsed="false">
      <c r="A5" s="4" t="s">
        <v>3</v>
      </c>
      <c r="B5" s="4"/>
      <c r="C5" s="4"/>
      <c r="D5" s="4"/>
    </row>
    <row r="7" customFormat="false" ht="15" hidden="false" customHeight="false" outlineLevel="0" collapsed="false">
      <c r="A7" s="3" t="s">
        <v>4</v>
      </c>
    </row>
    <row r="8" customFormat="false" ht="15" hidden="false" customHeight="true" outlineLevel="0" collapsed="false">
      <c r="A8" s="4" t="s">
        <v>5</v>
      </c>
      <c r="B8" s="4"/>
      <c r="C8" s="4"/>
      <c r="D8" s="4"/>
    </row>
    <row r="9" customFormat="false" ht="30" hidden="false" customHeight="true" outlineLevel="0" collapsed="false">
      <c r="A9" s="4" t="s">
        <v>6</v>
      </c>
      <c r="B9" s="4"/>
      <c r="C9" s="4"/>
      <c r="D9" s="4"/>
    </row>
    <row r="10" customFormat="false" ht="15" hidden="false" customHeight="true" outlineLevel="0" collapsed="false">
      <c r="A10" s="4" t="s">
        <v>7</v>
      </c>
      <c r="B10" s="4"/>
      <c r="C10" s="4"/>
      <c r="D10" s="4"/>
    </row>
    <row r="11" customFormat="false" ht="15" hidden="false" customHeight="true" outlineLevel="0" collapsed="false">
      <c r="A11" s="4" t="s">
        <v>8</v>
      </c>
      <c r="B11" s="4"/>
      <c r="C11" s="4"/>
      <c r="D11" s="4"/>
    </row>
    <row r="12" customFormat="false" ht="15" hidden="false" customHeight="true" outlineLevel="0" collapsed="false">
      <c r="A12" s="4" t="s">
        <v>9</v>
      </c>
      <c r="B12" s="4"/>
      <c r="C12" s="4"/>
      <c r="D12" s="4"/>
    </row>
    <row r="14" customFormat="false" ht="15" hidden="false" customHeight="false" outlineLevel="0" collapsed="false">
      <c r="A14" s="3" t="s">
        <v>10</v>
      </c>
    </row>
    <row r="15" customFormat="false" ht="30" hidden="false" customHeight="true" outlineLevel="0" collapsed="false">
      <c r="A15" s="4" t="s">
        <v>11</v>
      </c>
      <c r="B15" s="4"/>
      <c r="C15" s="4"/>
      <c r="D15" s="4"/>
    </row>
    <row r="17" customFormat="false" ht="15" hidden="false" customHeight="false" outlineLevel="0" collapsed="false">
      <c r="A17" s="3" t="s">
        <v>12</v>
      </c>
    </row>
    <row r="18" customFormat="false" ht="15" hidden="false" customHeight="true" outlineLevel="0" collapsed="false">
      <c r="A18" s="4" t="s">
        <v>13</v>
      </c>
      <c r="B18" s="4"/>
      <c r="C18" s="4"/>
      <c r="D18" s="4"/>
    </row>
    <row r="19" customFormat="false" ht="15" hidden="false" customHeight="true" outlineLevel="0" collapsed="false">
      <c r="A19" s="4" t="s">
        <v>14</v>
      </c>
      <c r="B19" s="4"/>
      <c r="C19" s="4"/>
      <c r="D19" s="4"/>
    </row>
    <row r="20" customFormat="false" ht="15" hidden="false" customHeight="true" outlineLevel="0" collapsed="false">
      <c r="A20" s="4" t="s">
        <v>15</v>
      </c>
      <c r="B20" s="4"/>
      <c r="C20" s="4"/>
      <c r="D20" s="4"/>
    </row>
    <row r="21" customFormat="false" ht="15" hidden="false" customHeight="true" outlineLevel="0" collapsed="false">
      <c r="A21" s="4" t="s">
        <v>16</v>
      </c>
      <c r="B21" s="4"/>
      <c r="C21" s="4"/>
      <c r="D21" s="4"/>
    </row>
    <row r="23" customFormat="false" ht="15" hidden="false" customHeight="false" outlineLevel="0" collapsed="false">
      <c r="A23" s="3" t="s">
        <v>17</v>
      </c>
    </row>
    <row r="24" customFormat="false" ht="15" hidden="false" customHeight="true" outlineLevel="0" collapsed="false">
      <c r="A24" s="4" t="s">
        <v>18</v>
      </c>
      <c r="B24" s="4"/>
      <c r="C24" s="4"/>
      <c r="D24" s="4"/>
    </row>
    <row r="26" customFormat="false" ht="15" hidden="false" customHeight="false" outlineLevel="0" collapsed="false">
      <c r="A26" s="3" t="s">
        <v>19</v>
      </c>
    </row>
    <row r="27" customFormat="false" ht="15" hidden="false" customHeight="false" outlineLevel="0" collapsed="false">
      <c r="A27" s="5" t="s">
        <v>20</v>
      </c>
      <c r="B27" s="5" t="s">
        <v>21</v>
      </c>
      <c r="C27" s="5" t="s">
        <v>22</v>
      </c>
      <c r="D27" s="5" t="s">
        <v>23</v>
      </c>
      <c r="E27" s="5" t="s">
        <v>24</v>
      </c>
    </row>
    <row r="28" customFormat="false" ht="15" hidden="false" customHeight="false" outlineLevel="0" collapsed="false">
      <c r="A28" s="6" t="s">
        <v>25</v>
      </c>
      <c r="B28" s="6" t="s">
        <v>26</v>
      </c>
      <c r="C28" s="6" t="s">
        <v>27</v>
      </c>
      <c r="D28" s="6" t="s">
        <v>28</v>
      </c>
      <c r="E28" s="6" t="s">
        <v>29</v>
      </c>
    </row>
    <row r="29" customFormat="false" ht="15" hidden="false" customHeight="false" outlineLevel="0" collapsed="false">
      <c r="A29" s="6" t="s">
        <v>25</v>
      </c>
      <c r="B29" s="6" t="s">
        <v>30</v>
      </c>
      <c r="C29" s="6" t="s">
        <v>31</v>
      </c>
      <c r="D29" s="6" t="s">
        <v>32</v>
      </c>
      <c r="E29" s="6" t="s">
        <v>29</v>
      </c>
    </row>
    <row r="30" customFormat="false" ht="15" hidden="false" customHeight="false" outlineLevel="0" collapsed="false">
      <c r="A30" s="6" t="s">
        <v>25</v>
      </c>
      <c r="B30" s="6" t="s">
        <v>33</v>
      </c>
      <c r="C30" s="6" t="s">
        <v>34</v>
      </c>
      <c r="D30" s="6" t="s">
        <v>35</v>
      </c>
      <c r="E30" s="6" t="s">
        <v>29</v>
      </c>
    </row>
    <row r="31" customFormat="false" ht="15" hidden="false" customHeight="false" outlineLevel="0" collapsed="false">
      <c r="A31" s="6" t="s">
        <v>25</v>
      </c>
      <c r="B31" s="6" t="s">
        <v>36</v>
      </c>
      <c r="C31" s="6" t="s">
        <v>37</v>
      </c>
      <c r="D31" s="6" t="s">
        <v>38</v>
      </c>
      <c r="E31" s="6" t="s">
        <v>29</v>
      </c>
    </row>
    <row r="32" customFormat="false" ht="15" hidden="false" customHeight="false" outlineLevel="0" collapsed="false">
      <c r="A32" s="6" t="s">
        <v>25</v>
      </c>
      <c r="B32" s="6" t="s">
        <v>39</v>
      </c>
      <c r="C32" s="6" t="s">
        <v>40</v>
      </c>
      <c r="D32" s="6" t="s">
        <v>41</v>
      </c>
      <c r="E32" s="6" t="s">
        <v>29</v>
      </c>
    </row>
    <row r="33" customFormat="false" ht="15" hidden="false" customHeight="false" outlineLevel="0" collapsed="false">
      <c r="A33" s="6" t="s">
        <v>25</v>
      </c>
      <c r="B33" s="6" t="s">
        <v>24</v>
      </c>
      <c r="C33" s="6" t="s">
        <v>42</v>
      </c>
      <c r="D33" s="6" t="s">
        <v>43</v>
      </c>
      <c r="E33" s="6" t="s">
        <v>29</v>
      </c>
    </row>
    <row r="34" customFormat="false" ht="15" hidden="false" customHeight="false" outlineLevel="0" collapsed="false">
      <c r="A34" s="6" t="s">
        <v>25</v>
      </c>
      <c r="B34" s="6" t="s">
        <v>44</v>
      </c>
      <c r="C34" s="6" t="s">
        <v>45</v>
      </c>
      <c r="D34" s="6" t="s">
        <v>46</v>
      </c>
      <c r="E34" s="6" t="s">
        <v>29</v>
      </c>
    </row>
    <row r="35" customFormat="false" ht="15" hidden="false" customHeight="false" outlineLevel="0" collapsed="false">
      <c r="A35" s="6" t="s">
        <v>25</v>
      </c>
      <c r="B35" s="6" t="s">
        <v>47</v>
      </c>
      <c r="C35" s="6" t="s">
        <v>48</v>
      </c>
      <c r="D35" s="6" t="s">
        <v>49</v>
      </c>
      <c r="E35" s="6" t="s">
        <v>29</v>
      </c>
    </row>
    <row r="36" customFormat="false" ht="15" hidden="false" customHeight="false" outlineLevel="0" collapsed="false">
      <c r="A36" s="6" t="s">
        <v>25</v>
      </c>
      <c r="B36" s="6" t="s">
        <v>50</v>
      </c>
      <c r="C36" s="6" t="s">
        <v>51</v>
      </c>
      <c r="D36" s="6" t="s">
        <v>52</v>
      </c>
      <c r="E36" s="6" t="s">
        <v>29</v>
      </c>
    </row>
    <row r="37" customFormat="false" ht="15" hidden="false" customHeight="false" outlineLevel="0" collapsed="false">
      <c r="A37" s="6" t="s">
        <v>25</v>
      </c>
      <c r="B37" s="6" t="s">
        <v>53</v>
      </c>
      <c r="C37" s="6" t="s">
        <v>54</v>
      </c>
      <c r="D37" s="6" t="s">
        <v>55</v>
      </c>
      <c r="E37" s="6" t="s">
        <v>29</v>
      </c>
    </row>
    <row r="38" customFormat="false" ht="15" hidden="false" customHeight="false" outlineLevel="0" collapsed="false">
      <c r="A38" s="6" t="s">
        <v>25</v>
      </c>
      <c r="B38" s="6" t="s">
        <v>56</v>
      </c>
      <c r="C38" s="6" t="s">
        <v>57</v>
      </c>
      <c r="D38" s="6" t="s">
        <v>58</v>
      </c>
      <c r="E38" s="6" t="s">
        <v>29</v>
      </c>
    </row>
    <row r="39" customFormat="false" ht="15" hidden="false" customHeight="false" outlineLevel="0" collapsed="false">
      <c r="A39" s="6" t="s">
        <v>25</v>
      </c>
      <c r="B39" s="6" t="s">
        <v>59</v>
      </c>
      <c r="C39" s="6" t="s">
        <v>60</v>
      </c>
      <c r="D39" s="6" t="s">
        <v>61</v>
      </c>
      <c r="E39" s="6" t="s">
        <v>29</v>
      </c>
    </row>
    <row r="40" customFormat="false" ht="15" hidden="false" customHeight="false" outlineLevel="0" collapsed="false">
      <c r="A40" s="6" t="s">
        <v>25</v>
      </c>
      <c r="B40" s="6" t="s">
        <v>62</v>
      </c>
      <c r="C40" s="6" t="s">
        <v>63</v>
      </c>
      <c r="D40" s="6" t="s">
        <v>64</v>
      </c>
      <c r="E40" s="6" t="s">
        <v>29</v>
      </c>
    </row>
    <row r="41" customFormat="false" ht="15" hidden="false" customHeight="false" outlineLevel="0" collapsed="false">
      <c r="A41" s="6" t="s">
        <v>25</v>
      </c>
      <c r="B41" s="6" t="s">
        <v>65</v>
      </c>
      <c r="C41" s="6" t="s">
        <v>66</v>
      </c>
      <c r="D41" s="6" t="s">
        <v>67</v>
      </c>
      <c r="E41" s="6" t="s">
        <v>29</v>
      </c>
    </row>
    <row r="42" customFormat="false" ht="15" hidden="false" customHeight="false" outlineLevel="0" collapsed="false">
      <c r="A42" s="6" t="s">
        <v>25</v>
      </c>
      <c r="B42" s="6" t="s">
        <v>68</v>
      </c>
      <c r="C42" s="6" t="s">
        <v>69</v>
      </c>
      <c r="D42" s="6" t="s">
        <v>70</v>
      </c>
      <c r="E42" s="6" t="s">
        <v>29</v>
      </c>
    </row>
    <row r="43" customFormat="false" ht="15" hidden="false" customHeight="false" outlineLevel="0" collapsed="false">
      <c r="A43" s="6" t="s">
        <v>25</v>
      </c>
      <c r="B43" s="6" t="s">
        <v>71</v>
      </c>
      <c r="C43" s="6" t="s">
        <v>72</v>
      </c>
      <c r="D43" s="6" t="s">
        <v>73</v>
      </c>
      <c r="E43" s="6" t="s">
        <v>29</v>
      </c>
    </row>
    <row r="44" customFormat="false" ht="22.35" hidden="false" customHeight="false" outlineLevel="0" collapsed="false">
      <c r="A44" s="6" t="s">
        <v>25</v>
      </c>
      <c r="B44" s="6" t="s">
        <v>74</v>
      </c>
      <c r="C44" s="6" t="s">
        <v>75</v>
      </c>
      <c r="D44" s="6" t="s">
        <v>76</v>
      </c>
      <c r="E44" s="6" t="s">
        <v>29</v>
      </c>
    </row>
    <row r="45" customFormat="false" ht="15" hidden="false" customHeight="false" outlineLevel="0" collapsed="false">
      <c r="A45" s="6" t="s">
        <v>25</v>
      </c>
      <c r="B45" s="6" t="s">
        <v>77</v>
      </c>
      <c r="C45" s="6" t="s">
        <v>78</v>
      </c>
      <c r="D45" s="6" t="s">
        <v>79</v>
      </c>
      <c r="E45" s="6" t="s">
        <v>29</v>
      </c>
    </row>
    <row r="46" customFormat="false" ht="15" hidden="false" customHeight="false" outlineLevel="0" collapsed="false">
      <c r="A46" s="6" t="s">
        <v>25</v>
      </c>
      <c r="B46" s="6" t="s">
        <v>80</v>
      </c>
      <c r="C46" s="6" t="s">
        <v>81</v>
      </c>
      <c r="D46" s="6" t="s">
        <v>82</v>
      </c>
      <c r="E46" s="6" t="s">
        <v>82</v>
      </c>
    </row>
    <row r="47" customFormat="false" ht="15" hidden="false" customHeight="false" outlineLevel="0" collapsed="false">
      <c r="A47" s="6" t="s">
        <v>25</v>
      </c>
      <c r="B47" s="6" t="s">
        <v>83</v>
      </c>
      <c r="C47" s="6" t="s">
        <v>84</v>
      </c>
      <c r="D47" s="6" t="s">
        <v>82</v>
      </c>
      <c r="E47" s="6" t="s">
        <v>82</v>
      </c>
    </row>
    <row r="48" customFormat="false" ht="15" hidden="false" customHeight="false" outlineLevel="0" collapsed="false">
      <c r="A48" s="6" t="s">
        <v>85</v>
      </c>
      <c r="B48" s="6" t="s">
        <v>86</v>
      </c>
      <c r="C48" s="6" t="s">
        <v>87</v>
      </c>
      <c r="D48" s="6" t="s">
        <v>88</v>
      </c>
      <c r="E48" s="6" t="s">
        <v>29</v>
      </c>
    </row>
    <row r="49" customFormat="false" ht="15" hidden="false" customHeight="false" outlineLevel="0" collapsed="false">
      <c r="A49" s="6" t="s">
        <v>85</v>
      </c>
      <c r="B49" s="6" t="s">
        <v>89</v>
      </c>
      <c r="C49" s="6" t="s">
        <v>90</v>
      </c>
      <c r="D49" s="6" t="s">
        <v>91</v>
      </c>
      <c r="E49" s="6" t="s">
        <v>29</v>
      </c>
    </row>
    <row r="50" customFormat="false" ht="15" hidden="false" customHeight="false" outlineLevel="0" collapsed="false">
      <c r="A50" s="6" t="s">
        <v>85</v>
      </c>
      <c r="B50" s="6" t="s">
        <v>26</v>
      </c>
      <c r="C50" s="6" t="s">
        <v>92</v>
      </c>
      <c r="D50" s="6" t="s">
        <v>93</v>
      </c>
      <c r="E50" s="6" t="s">
        <v>29</v>
      </c>
    </row>
    <row r="51" customFormat="false" ht="15" hidden="false" customHeight="false" outlineLevel="0" collapsed="false">
      <c r="A51" s="6" t="s">
        <v>85</v>
      </c>
      <c r="B51" s="6" t="s">
        <v>94</v>
      </c>
      <c r="C51" s="6" t="s">
        <v>95</v>
      </c>
      <c r="D51" s="6" t="s">
        <v>96</v>
      </c>
      <c r="E51" s="6" t="s">
        <v>29</v>
      </c>
    </row>
    <row r="52" customFormat="false" ht="15" hidden="false" customHeight="false" outlineLevel="0" collapsed="false">
      <c r="A52" s="6" t="s">
        <v>85</v>
      </c>
      <c r="B52" s="6" t="s">
        <v>97</v>
      </c>
      <c r="C52" s="6" t="s">
        <v>98</v>
      </c>
      <c r="D52" s="6" t="s">
        <v>99</v>
      </c>
      <c r="E52" s="6" t="s">
        <v>29</v>
      </c>
    </row>
    <row r="53" customFormat="false" ht="15" hidden="false" customHeight="false" outlineLevel="0" collapsed="false">
      <c r="A53" s="6" t="s">
        <v>85</v>
      </c>
      <c r="B53" s="6" t="s">
        <v>100</v>
      </c>
      <c r="C53" s="6" t="s">
        <v>101</v>
      </c>
      <c r="D53" s="6" t="s">
        <v>82</v>
      </c>
      <c r="E53" s="6" t="s">
        <v>82</v>
      </c>
    </row>
    <row r="54" customFormat="false" ht="15" hidden="false" customHeight="false" outlineLevel="0" collapsed="false">
      <c r="A54" s="6" t="s">
        <v>85</v>
      </c>
      <c r="B54" s="6" t="s">
        <v>102</v>
      </c>
      <c r="C54" s="6" t="s">
        <v>103</v>
      </c>
      <c r="D54" s="6" t="s">
        <v>82</v>
      </c>
      <c r="E54" s="6" t="s">
        <v>82</v>
      </c>
    </row>
    <row r="55" customFormat="false" ht="15" hidden="false" customHeight="false" outlineLevel="0" collapsed="false">
      <c r="A55" s="6" t="s">
        <v>85</v>
      </c>
      <c r="B55" s="6" t="s">
        <v>104</v>
      </c>
      <c r="C55" s="6" t="s">
        <v>84</v>
      </c>
      <c r="D55" s="6" t="s">
        <v>82</v>
      </c>
      <c r="E55" s="6" t="s">
        <v>82</v>
      </c>
    </row>
    <row r="56" customFormat="false" ht="15" hidden="false" customHeight="false" outlineLevel="0" collapsed="false">
      <c r="A56" s="6" t="s">
        <v>105</v>
      </c>
      <c r="B56" s="6" t="s">
        <v>106</v>
      </c>
      <c r="C56" s="6" t="s">
        <v>27</v>
      </c>
      <c r="D56" s="6" t="s">
        <v>107</v>
      </c>
      <c r="E56" s="6" t="s">
        <v>29</v>
      </c>
    </row>
    <row r="57" customFormat="false" ht="15" hidden="false" customHeight="false" outlineLevel="0" collapsed="false">
      <c r="A57" s="6" t="s">
        <v>105</v>
      </c>
      <c r="B57" s="6" t="s">
        <v>108</v>
      </c>
      <c r="C57" s="6" t="s">
        <v>109</v>
      </c>
      <c r="D57" s="6" t="s">
        <v>93</v>
      </c>
      <c r="E57" s="6" t="s">
        <v>29</v>
      </c>
    </row>
    <row r="58" customFormat="false" ht="15" hidden="false" customHeight="false" outlineLevel="0" collapsed="false">
      <c r="A58" s="6" t="s">
        <v>105</v>
      </c>
      <c r="B58" s="6" t="s">
        <v>110</v>
      </c>
      <c r="C58" s="6" t="s">
        <v>111</v>
      </c>
      <c r="D58" s="6" t="s">
        <v>82</v>
      </c>
      <c r="E58" s="6" t="s">
        <v>82</v>
      </c>
    </row>
    <row r="59" customFormat="false" ht="15" hidden="false" customHeight="false" outlineLevel="0" collapsed="false">
      <c r="A59" s="6" t="s">
        <v>105</v>
      </c>
      <c r="B59" s="6" t="s">
        <v>112</v>
      </c>
      <c r="C59" s="6" t="s">
        <v>113</v>
      </c>
      <c r="D59" s="6" t="s">
        <v>114</v>
      </c>
      <c r="E59" s="6" t="s">
        <v>29</v>
      </c>
    </row>
    <row r="60" customFormat="false" ht="15" hidden="false" customHeight="false" outlineLevel="0" collapsed="false">
      <c r="A60" s="6" t="s">
        <v>105</v>
      </c>
      <c r="B60" s="6" t="s">
        <v>115</v>
      </c>
      <c r="C60" s="6" t="s">
        <v>116</v>
      </c>
      <c r="D60" s="6" t="s">
        <v>82</v>
      </c>
      <c r="E60" s="6" t="s">
        <v>82</v>
      </c>
    </row>
    <row r="61" customFormat="false" ht="15" hidden="false" customHeight="false" outlineLevel="0" collapsed="false">
      <c r="A61" s="6" t="s">
        <v>105</v>
      </c>
      <c r="B61" s="6" t="s">
        <v>117</v>
      </c>
      <c r="C61" s="6" t="s">
        <v>118</v>
      </c>
      <c r="D61" s="6" t="s">
        <v>119</v>
      </c>
      <c r="E61" s="6" t="s">
        <v>29</v>
      </c>
    </row>
    <row r="62" customFormat="false" ht="15" hidden="false" customHeight="false" outlineLevel="0" collapsed="false">
      <c r="A62" s="6" t="s">
        <v>105</v>
      </c>
      <c r="B62" s="6" t="s">
        <v>120</v>
      </c>
      <c r="C62" s="6" t="s">
        <v>121</v>
      </c>
      <c r="D62" s="6" t="s">
        <v>122</v>
      </c>
      <c r="E62" s="6" t="s">
        <v>29</v>
      </c>
    </row>
    <row r="63" customFormat="false" ht="15" hidden="false" customHeight="false" outlineLevel="0" collapsed="false">
      <c r="A63" s="6" t="s">
        <v>105</v>
      </c>
      <c r="B63" s="6" t="s">
        <v>123</v>
      </c>
      <c r="C63" s="6" t="s">
        <v>124</v>
      </c>
      <c r="D63" s="6" t="s">
        <v>125</v>
      </c>
      <c r="E63" s="6" t="s">
        <v>29</v>
      </c>
    </row>
    <row r="64" customFormat="false" ht="15" hidden="false" customHeight="false" outlineLevel="0" collapsed="false">
      <c r="A64" s="6" t="s">
        <v>105</v>
      </c>
      <c r="B64" s="6" t="s">
        <v>104</v>
      </c>
      <c r="C64" s="6" t="s">
        <v>84</v>
      </c>
      <c r="D64" s="6" t="s">
        <v>82</v>
      </c>
      <c r="E64" s="6" t="s">
        <v>82</v>
      </c>
    </row>
    <row r="66" customFormat="false" ht="15" hidden="false" customHeight="false" outlineLevel="0" collapsed="false">
      <c r="A66" s="3" t="s">
        <v>126</v>
      </c>
    </row>
    <row r="67" customFormat="false" ht="15" hidden="false" customHeight="false" outlineLevel="0" collapsed="false">
      <c r="A67" s="7" t="s">
        <v>127</v>
      </c>
    </row>
    <row r="68" customFormat="false" ht="15" hidden="false" customHeight="false" outlineLevel="0" collapsed="false">
      <c r="A68" s="8" t="s">
        <v>128</v>
      </c>
    </row>
  </sheetData>
  <mergeCells count="12">
    <mergeCell ref="A5:D5"/>
    <mergeCell ref="A8:D8"/>
    <mergeCell ref="A9:D9"/>
    <mergeCell ref="A10:D10"/>
    <mergeCell ref="A11:D11"/>
    <mergeCell ref="A12:D12"/>
    <mergeCell ref="A15:D15"/>
    <mergeCell ref="A18:D18"/>
    <mergeCell ref="A19:D19"/>
    <mergeCell ref="A20:D20"/>
    <mergeCell ref="A21:D21"/>
    <mergeCell ref="A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60"/>
    <col collapsed="false" customWidth="true" hidden="false" outlineLevel="0" max="4" min="4" style="0" width="20"/>
    <col collapsed="false" customWidth="true" hidden="false" outlineLevel="0" max="5" min="5" style="0" width="14"/>
    <col collapsed="false" customWidth="true" hidden="false" outlineLevel="0" max="6" min="6" style="0" width="12"/>
    <col collapsed="false" customWidth="true" hidden="false" outlineLevel="0" max="7" min="7" style="0" width="18"/>
    <col collapsed="false" customWidth="true" hidden="false" outlineLevel="0" max="8" min="8" style="0" width="13"/>
    <col collapsed="false" customWidth="true" hidden="false" outlineLevel="0" max="10" min="9" style="0" width="9"/>
    <col collapsed="false" customWidth="true" hidden="false" outlineLevel="0" max="11" min="11" style="0" width="18"/>
    <col collapsed="false" customWidth="true" hidden="false" outlineLevel="0" max="12" min="12" style="0" width="10"/>
    <col collapsed="false" customWidth="true" hidden="false" outlineLevel="0" max="14" min="13" style="0" width="24"/>
    <col collapsed="false" customWidth="true" hidden="false" outlineLevel="0" max="15" min="15" style="0" width="20"/>
    <col collapsed="false" customWidth="true" hidden="false" outlineLevel="0" max="16" min="16" style="0" width="30"/>
    <col collapsed="false" customWidth="true" hidden="false" outlineLevel="0" max="17" min="17" style="0" width="24"/>
    <col collapsed="false" customWidth="true" hidden="false" outlineLevel="0" max="18" min="18" style="0" width="12"/>
    <col collapsed="false" customWidth="true" hidden="false" outlineLevel="0" max="19" min="19" style="0" width="9"/>
    <col collapsed="false" customWidth="true" hidden="false" outlineLevel="0" max="20" min="20" style="0" width="32"/>
  </cols>
  <sheetData>
    <row r="1" customFormat="false" ht="17.35" hidden="false" customHeight="false" outlineLevel="0" collapsed="false">
      <c r="A1" s="9" t="s">
        <v>129</v>
      </c>
    </row>
    <row r="2" customFormat="false" ht="15" hidden="false" customHeight="false" outlineLevel="0" collapsed="false">
      <c r="A2" s="10" t="s">
        <v>130</v>
      </c>
    </row>
    <row r="4" customFormat="false" ht="31.5" hidden="false" customHeight="true" outlineLevel="0" collapsed="false">
      <c r="A4" s="11" t="s">
        <v>26</v>
      </c>
      <c r="B4" s="11" t="s">
        <v>30</v>
      </c>
      <c r="C4" s="11" t="s">
        <v>33</v>
      </c>
      <c r="D4" s="11" t="s">
        <v>36</v>
      </c>
      <c r="E4" s="11" t="s">
        <v>39</v>
      </c>
      <c r="F4" s="11" t="s">
        <v>24</v>
      </c>
      <c r="G4" s="11" t="s">
        <v>44</v>
      </c>
      <c r="H4" s="11" t="s">
        <v>47</v>
      </c>
      <c r="I4" s="11" t="s">
        <v>50</v>
      </c>
      <c r="J4" s="11" t="s">
        <v>53</v>
      </c>
      <c r="K4" s="11" t="s">
        <v>56</v>
      </c>
      <c r="L4" s="11" t="s">
        <v>59</v>
      </c>
      <c r="M4" s="11" t="s">
        <v>62</v>
      </c>
      <c r="N4" s="11" t="s">
        <v>65</v>
      </c>
      <c r="O4" s="11" t="s">
        <v>68</v>
      </c>
      <c r="P4" s="11" t="s">
        <v>71</v>
      </c>
      <c r="Q4" s="11" t="s">
        <v>74</v>
      </c>
      <c r="R4" s="11" t="s">
        <v>77</v>
      </c>
      <c r="S4" s="12" t="s">
        <v>80</v>
      </c>
      <c r="T4" s="12" t="s">
        <v>83</v>
      </c>
    </row>
    <row r="5" customFormat="false" ht="57.45" hidden="false" customHeight="false" outlineLevel="0" collapsed="false">
      <c r="A5" s="13" t="s">
        <v>131</v>
      </c>
      <c r="B5" s="13" t="s">
        <v>132</v>
      </c>
      <c r="C5" s="13" t="s">
        <v>133</v>
      </c>
      <c r="D5" s="13" t="s">
        <v>134</v>
      </c>
      <c r="E5" s="13" t="s">
        <v>135</v>
      </c>
      <c r="F5" s="13" t="s">
        <v>136</v>
      </c>
      <c r="G5" s="13" t="s">
        <v>137</v>
      </c>
      <c r="H5" s="13" t="s">
        <v>138</v>
      </c>
      <c r="I5" s="13" t="s">
        <v>139</v>
      </c>
      <c r="J5" s="13" t="s">
        <v>139</v>
      </c>
      <c r="K5" s="13" t="s">
        <v>140</v>
      </c>
      <c r="L5" s="13" t="s">
        <v>141</v>
      </c>
      <c r="M5" s="13" t="s">
        <v>142</v>
      </c>
      <c r="N5" s="13" t="s">
        <v>143</v>
      </c>
      <c r="O5" s="13"/>
      <c r="P5" s="13" t="s">
        <v>144</v>
      </c>
      <c r="Q5" s="13" t="s">
        <v>145</v>
      </c>
      <c r="R5" s="13" t="s">
        <v>146</v>
      </c>
      <c r="S5" s="14" t="n">
        <f aca="false">IF(A5="","",COUNTIF(Risk_Control_Map!$C$5:$C$204,A5))</f>
        <v>1</v>
      </c>
      <c r="T5" s="14" t="str">
        <f aca="false">IF(A5="","",IF(OR(B5="",C5="",E5="",G5="",H5="",K5=""),"Title, description, category, nature, frequency, owner needed",IF(LEN(C5)&lt;80,"Description too short: who, what, when, how, evidence",IF(AND(E5="ITAC",G5&lt;&gt;"Automated"),"ITAC must be Automated",IF(AND(OR(E5="ITAC",E5="IPE",E5="ITDM"),N5=""),"Dependent ITGCs needed",IF(S5=0,"No risk mapped (Risk_Control_Map)",IF(AND(I5="Y",J5&lt;&gt;"Y"),"Key control should be SOX in scope","OK")))))))</f>
        <v>OK</v>
      </c>
    </row>
    <row r="6" customFormat="false" ht="15" hidden="false" customHeight="false" outlineLevel="0" collapsed="false">
      <c r="A6" s="15"/>
      <c r="B6" s="15"/>
      <c r="C6" s="15"/>
      <c r="D6" s="15"/>
      <c r="E6" s="15"/>
      <c r="F6" s="15"/>
      <c r="G6" s="15"/>
      <c r="H6" s="15"/>
      <c r="I6" s="15"/>
      <c r="J6" s="15"/>
      <c r="K6" s="15"/>
      <c r="L6" s="15"/>
      <c r="M6" s="15"/>
      <c r="N6" s="15"/>
      <c r="O6" s="15"/>
      <c r="P6" s="15"/>
      <c r="Q6" s="15"/>
      <c r="R6" s="15"/>
      <c r="S6" s="16" t="str">
        <f aca="false">IF(A6="","",COUNTIF(Risk_Control_Map!$C$5:$C$204,A6))</f>
        <v/>
      </c>
      <c r="T6" s="16" t="str">
        <f aca="false">IF(A6="","",IF(OR(B6="",C6="",E6="",G6="",H6="",K6=""),"Title, description, category, nature, frequency, owner needed",IF(LEN(C6)&lt;80,"Description too short: who, what, when, how, evidence",IF(AND(E6="ITAC",G6&lt;&gt;"Automated"),"ITAC must be Automated",IF(AND(OR(E6="ITAC",E6="IPE",E6="ITDM"),N6=""),"Dependent ITGCs needed",IF(S6=0,"No risk mapped (Risk_Control_Map)",IF(AND(I6="Y",J6&lt;&gt;"Y"),"Key control should be SOX in scope","OK")))))))</f>
        <v/>
      </c>
    </row>
    <row r="7" customFormat="false" ht="15" hidden="false" customHeight="false" outlineLevel="0" collapsed="false">
      <c r="A7" s="15"/>
      <c r="B7" s="15"/>
      <c r="C7" s="15"/>
      <c r="D7" s="15"/>
      <c r="E7" s="15"/>
      <c r="F7" s="15"/>
      <c r="G7" s="15"/>
      <c r="H7" s="15"/>
      <c r="I7" s="15"/>
      <c r="J7" s="15"/>
      <c r="K7" s="15"/>
      <c r="L7" s="15"/>
      <c r="M7" s="15"/>
      <c r="N7" s="15"/>
      <c r="O7" s="15"/>
      <c r="P7" s="15"/>
      <c r="Q7" s="15"/>
      <c r="R7" s="15"/>
      <c r="S7" s="16" t="str">
        <f aca="false">IF(A7="","",COUNTIF(Risk_Control_Map!$C$5:$C$204,A7))</f>
        <v/>
      </c>
      <c r="T7" s="16" t="str">
        <f aca="false">IF(A7="","",IF(OR(B7="",C7="",E7="",G7="",H7="",K7=""),"Title, description, category, nature, frequency, owner needed",IF(LEN(C7)&lt;80,"Description too short: who, what, when, how, evidence",IF(AND(E7="ITAC",G7&lt;&gt;"Automated"),"ITAC must be Automated",IF(AND(OR(E7="ITAC",E7="IPE",E7="ITDM"),N7=""),"Dependent ITGCs needed",IF(S7=0,"No risk mapped (Risk_Control_Map)",IF(AND(I7="Y",J7&lt;&gt;"Y"),"Key control should be SOX in scope","OK")))))))</f>
        <v/>
      </c>
    </row>
    <row r="8" customFormat="false" ht="15" hidden="false" customHeight="false" outlineLevel="0" collapsed="false">
      <c r="A8" s="15"/>
      <c r="B8" s="15"/>
      <c r="C8" s="15"/>
      <c r="D8" s="15"/>
      <c r="E8" s="15"/>
      <c r="F8" s="15"/>
      <c r="G8" s="15"/>
      <c r="H8" s="15"/>
      <c r="I8" s="15"/>
      <c r="J8" s="15"/>
      <c r="K8" s="15"/>
      <c r="L8" s="15"/>
      <c r="M8" s="15"/>
      <c r="N8" s="15"/>
      <c r="O8" s="15"/>
      <c r="P8" s="15"/>
      <c r="Q8" s="15"/>
      <c r="R8" s="15"/>
      <c r="S8" s="16" t="str">
        <f aca="false">IF(A8="","",COUNTIF(Risk_Control_Map!$C$5:$C$204,A8))</f>
        <v/>
      </c>
      <c r="T8" s="16" t="str">
        <f aca="false">IF(A8="","",IF(OR(B8="",C8="",E8="",G8="",H8="",K8=""),"Title, description, category, nature, frequency, owner needed",IF(LEN(C8)&lt;80,"Description too short: who, what, when, how, evidence",IF(AND(E8="ITAC",G8&lt;&gt;"Automated"),"ITAC must be Automated",IF(AND(OR(E8="ITAC",E8="IPE",E8="ITDM"),N8=""),"Dependent ITGCs needed",IF(S8=0,"No risk mapped (Risk_Control_Map)",IF(AND(I8="Y",J8&lt;&gt;"Y"),"Key control should be SOX in scope","OK")))))))</f>
        <v/>
      </c>
    </row>
    <row r="9" customFormat="false" ht="15" hidden="false" customHeight="false" outlineLevel="0" collapsed="false">
      <c r="A9" s="15"/>
      <c r="B9" s="15"/>
      <c r="C9" s="15"/>
      <c r="D9" s="15"/>
      <c r="E9" s="15"/>
      <c r="F9" s="15"/>
      <c r="G9" s="15"/>
      <c r="H9" s="15"/>
      <c r="I9" s="15"/>
      <c r="J9" s="15"/>
      <c r="K9" s="15"/>
      <c r="L9" s="15"/>
      <c r="M9" s="15"/>
      <c r="N9" s="15"/>
      <c r="O9" s="15"/>
      <c r="P9" s="15"/>
      <c r="Q9" s="15"/>
      <c r="R9" s="15"/>
      <c r="S9" s="16" t="str">
        <f aca="false">IF(A9="","",COUNTIF(Risk_Control_Map!$C$5:$C$204,A9))</f>
        <v/>
      </c>
      <c r="T9" s="16" t="str">
        <f aca="false">IF(A9="","",IF(OR(B9="",C9="",E9="",G9="",H9="",K9=""),"Title, description, category, nature, frequency, owner needed",IF(LEN(C9)&lt;80,"Description too short: who, what, when, how, evidence",IF(AND(E9="ITAC",G9&lt;&gt;"Automated"),"ITAC must be Automated",IF(AND(OR(E9="ITAC",E9="IPE",E9="ITDM"),N9=""),"Dependent ITGCs needed",IF(S9=0,"No risk mapped (Risk_Control_Map)",IF(AND(I9="Y",J9&lt;&gt;"Y"),"Key control should be SOX in scope","OK")))))))</f>
        <v/>
      </c>
    </row>
    <row r="10" customFormat="false" ht="15" hidden="false" customHeight="false" outlineLevel="0" collapsed="false">
      <c r="A10" s="15"/>
      <c r="B10" s="15"/>
      <c r="C10" s="15"/>
      <c r="D10" s="15"/>
      <c r="E10" s="15"/>
      <c r="F10" s="15"/>
      <c r="G10" s="15"/>
      <c r="H10" s="15"/>
      <c r="I10" s="15"/>
      <c r="J10" s="15"/>
      <c r="K10" s="15"/>
      <c r="L10" s="15"/>
      <c r="M10" s="15"/>
      <c r="N10" s="15"/>
      <c r="O10" s="15"/>
      <c r="P10" s="15"/>
      <c r="Q10" s="15"/>
      <c r="R10" s="15"/>
      <c r="S10" s="16" t="str">
        <f aca="false">IF(A10="","",COUNTIF(Risk_Control_Map!$C$5:$C$204,A10))</f>
        <v/>
      </c>
      <c r="T10" s="16" t="str">
        <f aca="false">IF(A10="","",IF(OR(B10="",C10="",E10="",G10="",H10="",K10=""),"Title, description, category, nature, frequency, owner needed",IF(LEN(C10)&lt;80,"Description too short: who, what, when, how, evidence",IF(AND(E10="ITAC",G10&lt;&gt;"Automated"),"ITAC must be Automated",IF(AND(OR(E10="ITAC",E10="IPE",E10="ITDM"),N10=""),"Dependent ITGCs needed",IF(S10=0,"No risk mapped (Risk_Control_Map)",IF(AND(I10="Y",J10&lt;&gt;"Y"),"Key control should be SOX in scope","OK")))))))</f>
        <v/>
      </c>
    </row>
    <row r="11" customFormat="false" ht="15" hidden="false" customHeight="false" outlineLevel="0" collapsed="false">
      <c r="A11" s="15"/>
      <c r="B11" s="15"/>
      <c r="C11" s="15"/>
      <c r="D11" s="15"/>
      <c r="E11" s="15"/>
      <c r="F11" s="15"/>
      <c r="G11" s="15"/>
      <c r="H11" s="15"/>
      <c r="I11" s="15"/>
      <c r="J11" s="15"/>
      <c r="K11" s="15"/>
      <c r="L11" s="15"/>
      <c r="M11" s="15"/>
      <c r="N11" s="15"/>
      <c r="O11" s="15"/>
      <c r="P11" s="15"/>
      <c r="Q11" s="15"/>
      <c r="R11" s="15"/>
      <c r="S11" s="16" t="str">
        <f aca="false">IF(A11="","",COUNTIF(Risk_Control_Map!$C$5:$C$204,A11))</f>
        <v/>
      </c>
      <c r="T11" s="16" t="str">
        <f aca="false">IF(A11="","",IF(OR(B11="",C11="",E11="",G11="",H11="",K11=""),"Title, description, category, nature, frequency, owner needed",IF(LEN(C11)&lt;80,"Description too short: who, what, when, how, evidence",IF(AND(E11="ITAC",G11&lt;&gt;"Automated"),"ITAC must be Automated",IF(AND(OR(E11="ITAC",E11="IPE",E11="ITDM"),N11=""),"Dependent ITGCs needed",IF(S11=0,"No risk mapped (Risk_Control_Map)",IF(AND(I11="Y",J11&lt;&gt;"Y"),"Key control should be SOX in scope","OK")))))))</f>
        <v/>
      </c>
    </row>
    <row r="12" customFormat="false" ht="15" hidden="false" customHeight="false" outlineLevel="0" collapsed="false">
      <c r="A12" s="15"/>
      <c r="B12" s="15"/>
      <c r="C12" s="15"/>
      <c r="D12" s="15"/>
      <c r="E12" s="15"/>
      <c r="F12" s="15"/>
      <c r="G12" s="15"/>
      <c r="H12" s="15"/>
      <c r="I12" s="15"/>
      <c r="J12" s="15"/>
      <c r="K12" s="15"/>
      <c r="L12" s="15"/>
      <c r="M12" s="15"/>
      <c r="N12" s="15"/>
      <c r="O12" s="15"/>
      <c r="P12" s="15"/>
      <c r="Q12" s="15"/>
      <c r="R12" s="15"/>
      <c r="S12" s="16" t="str">
        <f aca="false">IF(A12="","",COUNTIF(Risk_Control_Map!$C$5:$C$204,A12))</f>
        <v/>
      </c>
      <c r="T12" s="16" t="str">
        <f aca="false">IF(A12="","",IF(OR(B12="",C12="",E12="",G12="",H12="",K12=""),"Title, description, category, nature, frequency, owner needed",IF(LEN(C12)&lt;80,"Description too short: who, what, when, how, evidence",IF(AND(E12="ITAC",G12&lt;&gt;"Automated"),"ITAC must be Automated",IF(AND(OR(E12="ITAC",E12="IPE",E12="ITDM"),N12=""),"Dependent ITGCs needed",IF(S12=0,"No risk mapped (Risk_Control_Map)",IF(AND(I12="Y",J12&lt;&gt;"Y"),"Key control should be SOX in scope","OK")))))))</f>
        <v/>
      </c>
    </row>
    <row r="13" customFormat="false" ht="15" hidden="false" customHeight="false" outlineLevel="0" collapsed="false">
      <c r="A13" s="15"/>
      <c r="B13" s="15"/>
      <c r="C13" s="15"/>
      <c r="D13" s="15"/>
      <c r="E13" s="15"/>
      <c r="F13" s="15"/>
      <c r="G13" s="15"/>
      <c r="H13" s="15"/>
      <c r="I13" s="15"/>
      <c r="J13" s="15"/>
      <c r="K13" s="15"/>
      <c r="L13" s="15"/>
      <c r="M13" s="15"/>
      <c r="N13" s="15"/>
      <c r="O13" s="15"/>
      <c r="P13" s="15"/>
      <c r="Q13" s="15"/>
      <c r="R13" s="15"/>
      <c r="S13" s="16" t="str">
        <f aca="false">IF(A13="","",COUNTIF(Risk_Control_Map!$C$5:$C$204,A13))</f>
        <v/>
      </c>
      <c r="T13" s="16" t="str">
        <f aca="false">IF(A13="","",IF(OR(B13="",C13="",E13="",G13="",H13="",K13=""),"Title, description, category, nature, frequency, owner needed",IF(LEN(C13)&lt;80,"Description too short: who, what, when, how, evidence",IF(AND(E13="ITAC",G13&lt;&gt;"Automated"),"ITAC must be Automated",IF(AND(OR(E13="ITAC",E13="IPE",E13="ITDM"),N13=""),"Dependent ITGCs needed",IF(S13=0,"No risk mapped (Risk_Control_Map)",IF(AND(I13="Y",J13&lt;&gt;"Y"),"Key control should be SOX in scope","OK")))))))</f>
        <v/>
      </c>
    </row>
    <row r="14" customFormat="false" ht="15" hidden="false" customHeight="false" outlineLevel="0" collapsed="false">
      <c r="A14" s="15"/>
      <c r="B14" s="15"/>
      <c r="C14" s="15"/>
      <c r="D14" s="15"/>
      <c r="E14" s="15"/>
      <c r="F14" s="15"/>
      <c r="G14" s="15"/>
      <c r="H14" s="15"/>
      <c r="I14" s="15"/>
      <c r="J14" s="15"/>
      <c r="K14" s="15"/>
      <c r="L14" s="15"/>
      <c r="M14" s="15"/>
      <c r="N14" s="15"/>
      <c r="O14" s="15"/>
      <c r="P14" s="15"/>
      <c r="Q14" s="15"/>
      <c r="R14" s="15"/>
      <c r="S14" s="16" t="str">
        <f aca="false">IF(A14="","",COUNTIF(Risk_Control_Map!$C$5:$C$204,A14))</f>
        <v/>
      </c>
      <c r="T14" s="16" t="str">
        <f aca="false">IF(A14="","",IF(OR(B14="",C14="",E14="",G14="",H14="",K14=""),"Title, description, category, nature, frequency, owner needed",IF(LEN(C14)&lt;80,"Description too short: who, what, when, how, evidence",IF(AND(E14="ITAC",G14&lt;&gt;"Automated"),"ITAC must be Automated",IF(AND(OR(E14="ITAC",E14="IPE",E14="ITDM"),N14=""),"Dependent ITGCs needed",IF(S14=0,"No risk mapped (Risk_Control_Map)",IF(AND(I14="Y",J14&lt;&gt;"Y"),"Key control should be SOX in scope","OK")))))))</f>
        <v/>
      </c>
    </row>
    <row r="15" customFormat="false" ht="15" hidden="false" customHeight="false" outlineLevel="0" collapsed="false">
      <c r="A15" s="15"/>
      <c r="B15" s="15"/>
      <c r="C15" s="15"/>
      <c r="D15" s="15"/>
      <c r="E15" s="15"/>
      <c r="F15" s="15"/>
      <c r="G15" s="15"/>
      <c r="H15" s="15"/>
      <c r="I15" s="15"/>
      <c r="J15" s="15"/>
      <c r="K15" s="15"/>
      <c r="L15" s="15"/>
      <c r="M15" s="15"/>
      <c r="N15" s="15"/>
      <c r="O15" s="15"/>
      <c r="P15" s="15"/>
      <c r="Q15" s="15"/>
      <c r="R15" s="15"/>
      <c r="S15" s="16" t="str">
        <f aca="false">IF(A15="","",COUNTIF(Risk_Control_Map!$C$5:$C$204,A15))</f>
        <v/>
      </c>
      <c r="T15" s="16" t="str">
        <f aca="false">IF(A15="","",IF(OR(B15="",C15="",E15="",G15="",H15="",K15=""),"Title, description, category, nature, frequency, owner needed",IF(LEN(C15)&lt;80,"Description too short: who, what, when, how, evidence",IF(AND(E15="ITAC",G15&lt;&gt;"Automated"),"ITAC must be Automated",IF(AND(OR(E15="ITAC",E15="IPE",E15="ITDM"),N15=""),"Dependent ITGCs needed",IF(S15=0,"No risk mapped (Risk_Control_Map)",IF(AND(I15="Y",J15&lt;&gt;"Y"),"Key control should be SOX in scope","OK")))))))</f>
        <v/>
      </c>
    </row>
    <row r="16" customFormat="false" ht="15" hidden="false" customHeight="false" outlineLevel="0" collapsed="false">
      <c r="A16" s="15"/>
      <c r="B16" s="15"/>
      <c r="C16" s="15"/>
      <c r="D16" s="15"/>
      <c r="E16" s="15"/>
      <c r="F16" s="15"/>
      <c r="G16" s="15"/>
      <c r="H16" s="15"/>
      <c r="I16" s="15"/>
      <c r="J16" s="15"/>
      <c r="K16" s="15"/>
      <c r="L16" s="15"/>
      <c r="M16" s="15"/>
      <c r="N16" s="15"/>
      <c r="O16" s="15"/>
      <c r="P16" s="15"/>
      <c r="Q16" s="15"/>
      <c r="R16" s="15"/>
      <c r="S16" s="16" t="str">
        <f aca="false">IF(A16="","",COUNTIF(Risk_Control_Map!$C$5:$C$204,A16))</f>
        <v/>
      </c>
      <c r="T16" s="16" t="str">
        <f aca="false">IF(A16="","",IF(OR(B16="",C16="",E16="",G16="",H16="",K16=""),"Title, description, category, nature, frequency, owner needed",IF(LEN(C16)&lt;80,"Description too short: who, what, when, how, evidence",IF(AND(E16="ITAC",G16&lt;&gt;"Automated"),"ITAC must be Automated",IF(AND(OR(E16="ITAC",E16="IPE",E16="ITDM"),N16=""),"Dependent ITGCs needed",IF(S16=0,"No risk mapped (Risk_Control_Map)",IF(AND(I16="Y",J16&lt;&gt;"Y"),"Key control should be SOX in scope","OK")))))))</f>
        <v/>
      </c>
    </row>
    <row r="17" customFormat="false" ht="15" hidden="false" customHeight="false" outlineLevel="0" collapsed="false">
      <c r="A17" s="15"/>
      <c r="B17" s="15"/>
      <c r="C17" s="15"/>
      <c r="D17" s="15"/>
      <c r="E17" s="15"/>
      <c r="F17" s="15"/>
      <c r="G17" s="15"/>
      <c r="H17" s="15"/>
      <c r="I17" s="15"/>
      <c r="J17" s="15"/>
      <c r="K17" s="15"/>
      <c r="L17" s="15"/>
      <c r="M17" s="15"/>
      <c r="N17" s="15"/>
      <c r="O17" s="15"/>
      <c r="P17" s="15"/>
      <c r="Q17" s="15"/>
      <c r="R17" s="15"/>
      <c r="S17" s="16" t="str">
        <f aca="false">IF(A17="","",COUNTIF(Risk_Control_Map!$C$5:$C$204,A17))</f>
        <v/>
      </c>
      <c r="T17" s="16" t="str">
        <f aca="false">IF(A17="","",IF(OR(B17="",C17="",E17="",G17="",H17="",K17=""),"Title, description, category, nature, frequency, owner needed",IF(LEN(C17)&lt;80,"Description too short: who, what, when, how, evidence",IF(AND(E17="ITAC",G17&lt;&gt;"Automated"),"ITAC must be Automated",IF(AND(OR(E17="ITAC",E17="IPE",E17="ITDM"),N17=""),"Dependent ITGCs needed",IF(S17=0,"No risk mapped (Risk_Control_Map)",IF(AND(I17="Y",J17&lt;&gt;"Y"),"Key control should be SOX in scope","OK")))))))</f>
        <v/>
      </c>
    </row>
    <row r="18" customFormat="false" ht="15" hidden="false" customHeight="false" outlineLevel="0" collapsed="false">
      <c r="A18" s="15"/>
      <c r="B18" s="15"/>
      <c r="C18" s="15"/>
      <c r="D18" s="15"/>
      <c r="E18" s="15"/>
      <c r="F18" s="15"/>
      <c r="G18" s="15"/>
      <c r="H18" s="15"/>
      <c r="I18" s="15"/>
      <c r="J18" s="15"/>
      <c r="K18" s="15"/>
      <c r="L18" s="15"/>
      <c r="M18" s="15"/>
      <c r="N18" s="15"/>
      <c r="O18" s="15"/>
      <c r="P18" s="15"/>
      <c r="Q18" s="15"/>
      <c r="R18" s="15"/>
      <c r="S18" s="16" t="str">
        <f aca="false">IF(A18="","",COUNTIF(Risk_Control_Map!$C$5:$C$204,A18))</f>
        <v/>
      </c>
      <c r="T18" s="16" t="str">
        <f aca="false">IF(A18="","",IF(OR(B18="",C18="",E18="",G18="",H18="",K18=""),"Title, description, category, nature, frequency, owner needed",IF(LEN(C18)&lt;80,"Description too short: who, what, when, how, evidence",IF(AND(E18="ITAC",G18&lt;&gt;"Automated"),"ITAC must be Automated",IF(AND(OR(E18="ITAC",E18="IPE",E18="ITDM"),N18=""),"Dependent ITGCs needed",IF(S18=0,"No risk mapped (Risk_Control_Map)",IF(AND(I18="Y",J18&lt;&gt;"Y"),"Key control should be SOX in scope","OK")))))))</f>
        <v/>
      </c>
    </row>
    <row r="19" customFormat="false" ht="15" hidden="false" customHeight="false" outlineLevel="0" collapsed="false">
      <c r="A19" s="15"/>
      <c r="B19" s="15"/>
      <c r="C19" s="15"/>
      <c r="D19" s="15"/>
      <c r="E19" s="15"/>
      <c r="F19" s="15"/>
      <c r="G19" s="15"/>
      <c r="H19" s="15"/>
      <c r="I19" s="15"/>
      <c r="J19" s="15"/>
      <c r="K19" s="15"/>
      <c r="L19" s="15"/>
      <c r="M19" s="15"/>
      <c r="N19" s="15"/>
      <c r="O19" s="15"/>
      <c r="P19" s="15"/>
      <c r="Q19" s="15"/>
      <c r="R19" s="15"/>
      <c r="S19" s="16" t="str">
        <f aca="false">IF(A19="","",COUNTIF(Risk_Control_Map!$C$5:$C$204,A19))</f>
        <v/>
      </c>
      <c r="T19" s="16" t="str">
        <f aca="false">IF(A19="","",IF(OR(B19="",C19="",E19="",G19="",H19="",K19=""),"Title, description, category, nature, frequency, owner needed",IF(LEN(C19)&lt;80,"Description too short: who, what, when, how, evidence",IF(AND(E19="ITAC",G19&lt;&gt;"Automated"),"ITAC must be Automated",IF(AND(OR(E19="ITAC",E19="IPE",E19="ITDM"),N19=""),"Dependent ITGCs needed",IF(S19=0,"No risk mapped (Risk_Control_Map)",IF(AND(I19="Y",J19&lt;&gt;"Y"),"Key control should be SOX in scope","OK")))))))</f>
        <v/>
      </c>
    </row>
    <row r="20" customFormat="false" ht="15" hidden="false" customHeight="false" outlineLevel="0" collapsed="false">
      <c r="A20" s="15"/>
      <c r="B20" s="15"/>
      <c r="C20" s="15"/>
      <c r="D20" s="15"/>
      <c r="E20" s="15"/>
      <c r="F20" s="15"/>
      <c r="G20" s="15"/>
      <c r="H20" s="15"/>
      <c r="I20" s="15"/>
      <c r="J20" s="15"/>
      <c r="K20" s="15"/>
      <c r="L20" s="15"/>
      <c r="M20" s="15"/>
      <c r="N20" s="15"/>
      <c r="O20" s="15"/>
      <c r="P20" s="15"/>
      <c r="Q20" s="15"/>
      <c r="R20" s="15"/>
      <c r="S20" s="16" t="str">
        <f aca="false">IF(A20="","",COUNTIF(Risk_Control_Map!$C$5:$C$204,A20))</f>
        <v/>
      </c>
      <c r="T20" s="16" t="str">
        <f aca="false">IF(A20="","",IF(OR(B20="",C20="",E20="",G20="",H20="",K20=""),"Title, description, category, nature, frequency, owner needed",IF(LEN(C20)&lt;80,"Description too short: who, what, when, how, evidence",IF(AND(E20="ITAC",G20&lt;&gt;"Automated"),"ITAC must be Automated",IF(AND(OR(E20="ITAC",E20="IPE",E20="ITDM"),N20=""),"Dependent ITGCs needed",IF(S20=0,"No risk mapped (Risk_Control_Map)",IF(AND(I20="Y",J20&lt;&gt;"Y"),"Key control should be SOX in scope","OK")))))))</f>
        <v/>
      </c>
    </row>
    <row r="21" customFormat="false" ht="15" hidden="false" customHeight="false" outlineLevel="0" collapsed="false">
      <c r="A21" s="15"/>
      <c r="B21" s="15"/>
      <c r="C21" s="15"/>
      <c r="D21" s="15"/>
      <c r="E21" s="15"/>
      <c r="F21" s="15"/>
      <c r="G21" s="15"/>
      <c r="H21" s="15"/>
      <c r="I21" s="15"/>
      <c r="J21" s="15"/>
      <c r="K21" s="15"/>
      <c r="L21" s="15"/>
      <c r="M21" s="15"/>
      <c r="N21" s="15"/>
      <c r="O21" s="15"/>
      <c r="P21" s="15"/>
      <c r="Q21" s="15"/>
      <c r="R21" s="15"/>
      <c r="S21" s="16" t="str">
        <f aca="false">IF(A21="","",COUNTIF(Risk_Control_Map!$C$5:$C$204,A21))</f>
        <v/>
      </c>
      <c r="T21" s="16" t="str">
        <f aca="false">IF(A21="","",IF(OR(B21="",C21="",E21="",G21="",H21="",K21=""),"Title, description, category, nature, frequency, owner needed",IF(LEN(C21)&lt;80,"Description too short: who, what, when, how, evidence",IF(AND(E21="ITAC",G21&lt;&gt;"Automated"),"ITAC must be Automated",IF(AND(OR(E21="ITAC",E21="IPE",E21="ITDM"),N21=""),"Dependent ITGCs needed",IF(S21=0,"No risk mapped (Risk_Control_Map)",IF(AND(I21="Y",J21&lt;&gt;"Y"),"Key control should be SOX in scope","OK")))))))</f>
        <v/>
      </c>
    </row>
    <row r="22" customFormat="false" ht="15" hidden="false" customHeight="false" outlineLevel="0" collapsed="false">
      <c r="A22" s="15"/>
      <c r="B22" s="15"/>
      <c r="C22" s="15"/>
      <c r="D22" s="15"/>
      <c r="E22" s="15"/>
      <c r="F22" s="15"/>
      <c r="G22" s="15"/>
      <c r="H22" s="15"/>
      <c r="I22" s="15"/>
      <c r="J22" s="15"/>
      <c r="K22" s="15"/>
      <c r="L22" s="15"/>
      <c r="M22" s="15"/>
      <c r="N22" s="15"/>
      <c r="O22" s="15"/>
      <c r="P22" s="15"/>
      <c r="Q22" s="15"/>
      <c r="R22" s="15"/>
      <c r="S22" s="16" t="str">
        <f aca="false">IF(A22="","",COUNTIF(Risk_Control_Map!$C$5:$C$204,A22))</f>
        <v/>
      </c>
      <c r="T22" s="16" t="str">
        <f aca="false">IF(A22="","",IF(OR(B22="",C22="",E22="",G22="",H22="",K22=""),"Title, description, category, nature, frequency, owner needed",IF(LEN(C22)&lt;80,"Description too short: who, what, when, how, evidence",IF(AND(E22="ITAC",G22&lt;&gt;"Automated"),"ITAC must be Automated",IF(AND(OR(E22="ITAC",E22="IPE",E22="ITDM"),N22=""),"Dependent ITGCs needed",IF(S22=0,"No risk mapped (Risk_Control_Map)",IF(AND(I22="Y",J22&lt;&gt;"Y"),"Key control should be SOX in scope","OK")))))))</f>
        <v/>
      </c>
    </row>
    <row r="23" customFormat="false" ht="15" hidden="false" customHeight="false" outlineLevel="0" collapsed="false">
      <c r="A23" s="15"/>
      <c r="B23" s="15"/>
      <c r="C23" s="15"/>
      <c r="D23" s="15"/>
      <c r="E23" s="15"/>
      <c r="F23" s="15"/>
      <c r="G23" s="15"/>
      <c r="H23" s="15"/>
      <c r="I23" s="15"/>
      <c r="J23" s="15"/>
      <c r="K23" s="15"/>
      <c r="L23" s="15"/>
      <c r="M23" s="15"/>
      <c r="N23" s="15"/>
      <c r="O23" s="15"/>
      <c r="P23" s="15"/>
      <c r="Q23" s="15"/>
      <c r="R23" s="15"/>
      <c r="S23" s="16" t="str">
        <f aca="false">IF(A23="","",COUNTIF(Risk_Control_Map!$C$5:$C$204,A23))</f>
        <v/>
      </c>
      <c r="T23" s="16" t="str">
        <f aca="false">IF(A23="","",IF(OR(B23="",C23="",E23="",G23="",H23="",K23=""),"Title, description, category, nature, frequency, owner needed",IF(LEN(C23)&lt;80,"Description too short: who, what, when, how, evidence",IF(AND(E23="ITAC",G23&lt;&gt;"Automated"),"ITAC must be Automated",IF(AND(OR(E23="ITAC",E23="IPE",E23="ITDM"),N23=""),"Dependent ITGCs needed",IF(S23=0,"No risk mapped (Risk_Control_Map)",IF(AND(I23="Y",J23&lt;&gt;"Y"),"Key control should be SOX in scope","OK")))))))</f>
        <v/>
      </c>
    </row>
    <row r="24" customFormat="false" ht="15" hidden="false" customHeight="false" outlineLevel="0" collapsed="false">
      <c r="A24" s="15"/>
      <c r="B24" s="15"/>
      <c r="C24" s="15"/>
      <c r="D24" s="15"/>
      <c r="E24" s="15"/>
      <c r="F24" s="15"/>
      <c r="G24" s="15"/>
      <c r="H24" s="15"/>
      <c r="I24" s="15"/>
      <c r="J24" s="15"/>
      <c r="K24" s="15"/>
      <c r="L24" s="15"/>
      <c r="M24" s="15"/>
      <c r="N24" s="15"/>
      <c r="O24" s="15"/>
      <c r="P24" s="15"/>
      <c r="Q24" s="15"/>
      <c r="R24" s="15"/>
      <c r="S24" s="16" t="str">
        <f aca="false">IF(A24="","",COUNTIF(Risk_Control_Map!$C$5:$C$204,A24))</f>
        <v/>
      </c>
      <c r="T24" s="16" t="str">
        <f aca="false">IF(A24="","",IF(OR(B24="",C24="",E24="",G24="",H24="",K24=""),"Title, description, category, nature, frequency, owner needed",IF(LEN(C24)&lt;80,"Description too short: who, what, when, how, evidence",IF(AND(E24="ITAC",G24&lt;&gt;"Automated"),"ITAC must be Automated",IF(AND(OR(E24="ITAC",E24="IPE",E24="ITDM"),N24=""),"Dependent ITGCs needed",IF(S24=0,"No risk mapped (Risk_Control_Map)",IF(AND(I24="Y",J24&lt;&gt;"Y"),"Key control should be SOX in scope","OK")))))))</f>
        <v/>
      </c>
    </row>
    <row r="25" customFormat="false" ht="15" hidden="false" customHeight="false" outlineLevel="0" collapsed="false">
      <c r="A25" s="15"/>
      <c r="B25" s="15"/>
      <c r="C25" s="15"/>
      <c r="D25" s="15"/>
      <c r="E25" s="15"/>
      <c r="F25" s="15"/>
      <c r="G25" s="15"/>
      <c r="H25" s="15"/>
      <c r="I25" s="15"/>
      <c r="J25" s="15"/>
      <c r="K25" s="15"/>
      <c r="L25" s="15"/>
      <c r="M25" s="15"/>
      <c r="N25" s="15"/>
      <c r="O25" s="15"/>
      <c r="P25" s="15"/>
      <c r="Q25" s="15"/>
      <c r="R25" s="15"/>
      <c r="S25" s="16" t="str">
        <f aca="false">IF(A25="","",COUNTIF(Risk_Control_Map!$C$5:$C$204,A25))</f>
        <v/>
      </c>
      <c r="T25" s="16" t="str">
        <f aca="false">IF(A25="","",IF(OR(B25="",C25="",E25="",G25="",H25="",K25=""),"Title, description, category, nature, frequency, owner needed",IF(LEN(C25)&lt;80,"Description too short: who, what, when, how, evidence",IF(AND(E25="ITAC",G25&lt;&gt;"Automated"),"ITAC must be Automated",IF(AND(OR(E25="ITAC",E25="IPE",E25="ITDM"),N25=""),"Dependent ITGCs needed",IF(S25=0,"No risk mapped (Risk_Control_Map)",IF(AND(I25="Y",J25&lt;&gt;"Y"),"Key control should be SOX in scope","OK")))))))</f>
        <v/>
      </c>
    </row>
    <row r="26" customFormat="false" ht="15" hidden="false" customHeight="false" outlineLevel="0" collapsed="false">
      <c r="A26" s="15"/>
      <c r="B26" s="15"/>
      <c r="C26" s="15"/>
      <c r="D26" s="15"/>
      <c r="E26" s="15"/>
      <c r="F26" s="15"/>
      <c r="G26" s="15"/>
      <c r="H26" s="15"/>
      <c r="I26" s="15"/>
      <c r="J26" s="15"/>
      <c r="K26" s="15"/>
      <c r="L26" s="15"/>
      <c r="M26" s="15"/>
      <c r="N26" s="15"/>
      <c r="O26" s="15"/>
      <c r="P26" s="15"/>
      <c r="Q26" s="15"/>
      <c r="R26" s="15"/>
      <c r="S26" s="16" t="str">
        <f aca="false">IF(A26="","",COUNTIF(Risk_Control_Map!$C$5:$C$204,A26))</f>
        <v/>
      </c>
      <c r="T26" s="16" t="str">
        <f aca="false">IF(A26="","",IF(OR(B26="",C26="",E26="",G26="",H26="",K26=""),"Title, description, category, nature, frequency, owner needed",IF(LEN(C26)&lt;80,"Description too short: who, what, when, how, evidence",IF(AND(E26="ITAC",G26&lt;&gt;"Automated"),"ITAC must be Automated",IF(AND(OR(E26="ITAC",E26="IPE",E26="ITDM"),N26=""),"Dependent ITGCs needed",IF(S26=0,"No risk mapped (Risk_Control_Map)",IF(AND(I26="Y",J26&lt;&gt;"Y"),"Key control should be SOX in scope","OK")))))))</f>
        <v/>
      </c>
    </row>
    <row r="27" customFormat="false" ht="15" hidden="false" customHeight="false" outlineLevel="0" collapsed="false">
      <c r="A27" s="15"/>
      <c r="B27" s="15"/>
      <c r="C27" s="15"/>
      <c r="D27" s="15"/>
      <c r="E27" s="15"/>
      <c r="F27" s="15"/>
      <c r="G27" s="15"/>
      <c r="H27" s="15"/>
      <c r="I27" s="15"/>
      <c r="J27" s="15"/>
      <c r="K27" s="15"/>
      <c r="L27" s="15"/>
      <c r="M27" s="15"/>
      <c r="N27" s="15"/>
      <c r="O27" s="15"/>
      <c r="P27" s="15"/>
      <c r="Q27" s="15"/>
      <c r="R27" s="15"/>
      <c r="S27" s="16" t="str">
        <f aca="false">IF(A27="","",COUNTIF(Risk_Control_Map!$C$5:$C$204,A27))</f>
        <v/>
      </c>
      <c r="T27" s="16" t="str">
        <f aca="false">IF(A27="","",IF(OR(B27="",C27="",E27="",G27="",H27="",K27=""),"Title, description, category, nature, frequency, owner needed",IF(LEN(C27)&lt;80,"Description too short: who, what, when, how, evidence",IF(AND(E27="ITAC",G27&lt;&gt;"Automated"),"ITAC must be Automated",IF(AND(OR(E27="ITAC",E27="IPE",E27="ITDM"),N27=""),"Dependent ITGCs needed",IF(S27=0,"No risk mapped (Risk_Control_Map)",IF(AND(I27="Y",J27&lt;&gt;"Y"),"Key control should be SOX in scope","OK")))))))</f>
        <v/>
      </c>
    </row>
    <row r="28" customFormat="false" ht="15" hidden="false" customHeight="false" outlineLevel="0" collapsed="false">
      <c r="A28" s="15"/>
      <c r="B28" s="15"/>
      <c r="C28" s="15"/>
      <c r="D28" s="15"/>
      <c r="E28" s="15"/>
      <c r="F28" s="15"/>
      <c r="G28" s="15"/>
      <c r="H28" s="15"/>
      <c r="I28" s="15"/>
      <c r="J28" s="15"/>
      <c r="K28" s="15"/>
      <c r="L28" s="15"/>
      <c r="M28" s="15"/>
      <c r="N28" s="15"/>
      <c r="O28" s="15"/>
      <c r="P28" s="15"/>
      <c r="Q28" s="15"/>
      <c r="R28" s="15"/>
      <c r="S28" s="16" t="str">
        <f aca="false">IF(A28="","",COUNTIF(Risk_Control_Map!$C$5:$C$204,A28))</f>
        <v/>
      </c>
      <c r="T28" s="16" t="str">
        <f aca="false">IF(A28="","",IF(OR(B28="",C28="",E28="",G28="",H28="",K28=""),"Title, description, category, nature, frequency, owner needed",IF(LEN(C28)&lt;80,"Description too short: who, what, when, how, evidence",IF(AND(E28="ITAC",G28&lt;&gt;"Automated"),"ITAC must be Automated",IF(AND(OR(E28="ITAC",E28="IPE",E28="ITDM"),N28=""),"Dependent ITGCs needed",IF(S28=0,"No risk mapped (Risk_Control_Map)",IF(AND(I28="Y",J28&lt;&gt;"Y"),"Key control should be SOX in scope","OK")))))))</f>
        <v/>
      </c>
    </row>
    <row r="29" customFormat="false" ht="15" hidden="false" customHeight="false" outlineLevel="0" collapsed="false">
      <c r="A29" s="15"/>
      <c r="B29" s="15"/>
      <c r="C29" s="15"/>
      <c r="D29" s="15"/>
      <c r="E29" s="15"/>
      <c r="F29" s="15"/>
      <c r="G29" s="15"/>
      <c r="H29" s="15"/>
      <c r="I29" s="15"/>
      <c r="J29" s="15"/>
      <c r="K29" s="15"/>
      <c r="L29" s="15"/>
      <c r="M29" s="15"/>
      <c r="N29" s="15"/>
      <c r="O29" s="15"/>
      <c r="P29" s="15"/>
      <c r="Q29" s="15"/>
      <c r="R29" s="15"/>
      <c r="S29" s="16" t="str">
        <f aca="false">IF(A29="","",COUNTIF(Risk_Control_Map!$C$5:$C$204,A29))</f>
        <v/>
      </c>
      <c r="T29" s="16" t="str">
        <f aca="false">IF(A29="","",IF(OR(B29="",C29="",E29="",G29="",H29="",K29=""),"Title, description, category, nature, frequency, owner needed",IF(LEN(C29)&lt;80,"Description too short: who, what, when, how, evidence",IF(AND(E29="ITAC",G29&lt;&gt;"Automated"),"ITAC must be Automated",IF(AND(OR(E29="ITAC",E29="IPE",E29="ITDM"),N29=""),"Dependent ITGCs needed",IF(S29=0,"No risk mapped (Risk_Control_Map)",IF(AND(I29="Y",J29&lt;&gt;"Y"),"Key control should be SOX in scope","OK")))))))</f>
        <v/>
      </c>
    </row>
    <row r="30" customFormat="false" ht="15" hidden="false" customHeight="false" outlineLevel="0" collapsed="false">
      <c r="A30" s="15"/>
      <c r="B30" s="15"/>
      <c r="C30" s="15"/>
      <c r="D30" s="15"/>
      <c r="E30" s="15"/>
      <c r="F30" s="15"/>
      <c r="G30" s="15"/>
      <c r="H30" s="15"/>
      <c r="I30" s="15"/>
      <c r="J30" s="15"/>
      <c r="K30" s="15"/>
      <c r="L30" s="15"/>
      <c r="M30" s="15"/>
      <c r="N30" s="15"/>
      <c r="O30" s="15"/>
      <c r="P30" s="15"/>
      <c r="Q30" s="15"/>
      <c r="R30" s="15"/>
      <c r="S30" s="16" t="str">
        <f aca="false">IF(A30="","",COUNTIF(Risk_Control_Map!$C$5:$C$204,A30))</f>
        <v/>
      </c>
      <c r="T30" s="16" t="str">
        <f aca="false">IF(A30="","",IF(OR(B30="",C30="",E30="",G30="",H30="",K30=""),"Title, description, category, nature, frequency, owner needed",IF(LEN(C30)&lt;80,"Description too short: who, what, when, how, evidence",IF(AND(E30="ITAC",G30&lt;&gt;"Automated"),"ITAC must be Automated",IF(AND(OR(E30="ITAC",E30="IPE",E30="ITDM"),N30=""),"Dependent ITGCs needed",IF(S30=0,"No risk mapped (Risk_Control_Map)",IF(AND(I30="Y",J30&lt;&gt;"Y"),"Key control should be SOX in scope","OK")))))))</f>
        <v/>
      </c>
    </row>
    <row r="31" customFormat="false" ht="15" hidden="false" customHeight="false" outlineLevel="0" collapsed="false">
      <c r="A31" s="15"/>
      <c r="B31" s="15"/>
      <c r="C31" s="15"/>
      <c r="D31" s="15"/>
      <c r="E31" s="15"/>
      <c r="F31" s="15"/>
      <c r="G31" s="15"/>
      <c r="H31" s="15"/>
      <c r="I31" s="15"/>
      <c r="J31" s="15"/>
      <c r="K31" s="15"/>
      <c r="L31" s="15"/>
      <c r="M31" s="15"/>
      <c r="N31" s="15"/>
      <c r="O31" s="15"/>
      <c r="P31" s="15"/>
      <c r="Q31" s="15"/>
      <c r="R31" s="15"/>
      <c r="S31" s="16" t="str">
        <f aca="false">IF(A31="","",COUNTIF(Risk_Control_Map!$C$5:$C$204,A31))</f>
        <v/>
      </c>
      <c r="T31" s="16" t="str">
        <f aca="false">IF(A31="","",IF(OR(B31="",C31="",E31="",G31="",H31="",K31=""),"Title, description, category, nature, frequency, owner needed",IF(LEN(C31)&lt;80,"Description too short: who, what, when, how, evidence",IF(AND(E31="ITAC",G31&lt;&gt;"Automated"),"ITAC must be Automated",IF(AND(OR(E31="ITAC",E31="IPE",E31="ITDM"),N31=""),"Dependent ITGCs needed",IF(S31=0,"No risk mapped (Risk_Control_Map)",IF(AND(I31="Y",J31&lt;&gt;"Y"),"Key control should be SOX in scope","OK")))))))</f>
        <v/>
      </c>
    </row>
    <row r="32" customFormat="false" ht="15" hidden="false" customHeight="false" outlineLevel="0" collapsed="false">
      <c r="A32" s="15"/>
      <c r="B32" s="15"/>
      <c r="C32" s="15"/>
      <c r="D32" s="15"/>
      <c r="E32" s="15"/>
      <c r="F32" s="15"/>
      <c r="G32" s="15"/>
      <c r="H32" s="15"/>
      <c r="I32" s="15"/>
      <c r="J32" s="15"/>
      <c r="K32" s="15"/>
      <c r="L32" s="15"/>
      <c r="M32" s="15"/>
      <c r="N32" s="15"/>
      <c r="O32" s="15"/>
      <c r="P32" s="15"/>
      <c r="Q32" s="15"/>
      <c r="R32" s="15"/>
      <c r="S32" s="16" t="str">
        <f aca="false">IF(A32="","",COUNTIF(Risk_Control_Map!$C$5:$C$204,A32))</f>
        <v/>
      </c>
      <c r="T32" s="16" t="str">
        <f aca="false">IF(A32="","",IF(OR(B32="",C32="",E32="",G32="",H32="",K32=""),"Title, description, category, nature, frequency, owner needed",IF(LEN(C32)&lt;80,"Description too short: who, what, when, how, evidence",IF(AND(E32="ITAC",G32&lt;&gt;"Automated"),"ITAC must be Automated",IF(AND(OR(E32="ITAC",E32="IPE",E32="ITDM"),N32=""),"Dependent ITGCs needed",IF(S32=0,"No risk mapped (Risk_Control_Map)",IF(AND(I32="Y",J32&lt;&gt;"Y"),"Key control should be SOX in scope","OK")))))))</f>
        <v/>
      </c>
    </row>
    <row r="33" customFormat="false" ht="15" hidden="false" customHeight="false" outlineLevel="0" collapsed="false">
      <c r="A33" s="15"/>
      <c r="B33" s="15"/>
      <c r="C33" s="15"/>
      <c r="D33" s="15"/>
      <c r="E33" s="15"/>
      <c r="F33" s="15"/>
      <c r="G33" s="15"/>
      <c r="H33" s="15"/>
      <c r="I33" s="15"/>
      <c r="J33" s="15"/>
      <c r="K33" s="15"/>
      <c r="L33" s="15"/>
      <c r="M33" s="15"/>
      <c r="N33" s="15"/>
      <c r="O33" s="15"/>
      <c r="P33" s="15"/>
      <c r="Q33" s="15"/>
      <c r="R33" s="15"/>
      <c r="S33" s="16" t="str">
        <f aca="false">IF(A33="","",COUNTIF(Risk_Control_Map!$C$5:$C$204,A33))</f>
        <v/>
      </c>
      <c r="T33" s="16" t="str">
        <f aca="false">IF(A33="","",IF(OR(B33="",C33="",E33="",G33="",H33="",K33=""),"Title, description, category, nature, frequency, owner needed",IF(LEN(C33)&lt;80,"Description too short: who, what, when, how, evidence",IF(AND(E33="ITAC",G33&lt;&gt;"Automated"),"ITAC must be Automated",IF(AND(OR(E33="ITAC",E33="IPE",E33="ITDM"),N33=""),"Dependent ITGCs needed",IF(S33=0,"No risk mapped (Risk_Control_Map)",IF(AND(I33="Y",J33&lt;&gt;"Y"),"Key control should be SOX in scope","OK")))))))</f>
        <v/>
      </c>
    </row>
    <row r="34" customFormat="false" ht="15" hidden="false" customHeight="false" outlineLevel="0" collapsed="false">
      <c r="A34" s="15"/>
      <c r="B34" s="15"/>
      <c r="C34" s="15"/>
      <c r="D34" s="15"/>
      <c r="E34" s="15"/>
      <c r="F34" s="15"/>
      <c r="G34" s="15"/>
      <c r="H34" s="15"/>
      <c r="I34" s="15"/>
      <c r="J34" s="15"/>
      <c r="K34" s="15"/>
      <c r="L34" s="15"/>
      <c r="M34" s="15"/>
      <c r="N34" s="15"/>
      <c r="O34" s="15"/>
      <c r="P34" s="15"/>
      <c r="Q34" s="15"/>
      <c r="R34" s="15"/>
      <c r="S34" s="16" t="str">
        <f aca="false">IF(A34="","",COUNTIF(Risk_Control_Map!$C$5:$C$204,A34))</f>
        <v/>
      </c>
      <c r="T34" s="16" t="str">
        <f aca="false">IF(A34="","",IF(OR(B34="",C34="",E34="",G34="",H34="",K34=""),"Title, description, category, nature, frequency, owner needed",IF(LEN(C34)&lt;80,"Description too short: who, what, when, how, evidence",IF(AND(E34="ITAC",G34&lt;&gt;"Automated"),"ITAC must be Automated",IF(AND(OR(E34="ITAC",E34="IPE",E34="ITDM"),N34=""),"Dependent ITGCs needed",IF(S34=0,"No risk mapped (Risk_Control_Map)",IF(AND(I34="Y",J34&lt;&gt;"Y"),"Key control should be SOX in scope","OK")))))))</f>
        <v/>
      </c>
    </row>
    <row r="35" customFormat="false" ht="15" hidden="false" customHeight="false" outlineLevel="0" collapsed="false">
      <c r="A35" s="15"/>
      <c r="B35" s="15"/>
      <c r="C35" s="15"/>
      <c r="D35" s="15"/>
      <c r="E35" s="15"/>
      <c r="F35" s="15"/>
      <c r="G35" s="15"/>
      <c r="H35" s="15"/>
      <c r="I35" s="15"/>
      <c r="J35" s="15"/>
      <c r="K35" s="15"/>
      <c r="L35" s="15"/>
      <c r="M35" s="15"/>
      <c r="N35" s="15"/>
      <c r="O35" s="15"/>
      <c r="P35" s="15"/>
      <c r="Q35" s="15"/>
      <c r="R35" s="15"/>
      <c r="S35" s="16" t="str">
        <f aca="false">IF(A35="","",COUNTIF(Risk_Control_Map!$C$5:$C$204,A35))</f>
        <v/>
      </c>
      <c r="T35" s="16" t="str">
        <f aca="false">IF(A35="","",IF(OR(B35="",C35="",E35="",G35="",H35="",K35=""),"Title, description, category, nature, frequency, owner needed",IF(LEN(C35)&lt;80,"Description too short: who, what, when, how, evidence",IF(AND(E35="ITAC",G35&lt;&gt;"Automated"),"ITAC must be Automated",IF(AND(OR(E35="ITAC",E35="IPE",E35="ITDM"),N35=""),"Dependent ITGCs needed",IF(S35=0,"No risk mapped (Risk_Control_Map)",IF(AND(I35="Y",J35&lt;&gt;"Y"),"Key control should be SOX in scope","OK")))))))</f>
        <v/>
      </c>
    </row>
    <row r="36" customFormat="false" ht="15" hidden="false" customHeight="false" outlineLevel="0" collapsed="false">
      <c r="A36" s="15"/>
      <c r="B36" s="15"/>
      <c r="C36" s="15"/>
      <c r="D36" s="15"/>
      <c r="E36" s="15"/>
      <c r="F36" s="15"/>
      <c r="G36" s="15"/>
      <c r="H36" s="15"/>
      <c r="I36" s="15"/>
      <c r="J36" s="15"/>
      <c r="K36" s="15"/>
      <c r="L36" s="15"/>
      <c r="M36" s="15"/>
      <c r="N36" s="15"/>
      <c r="O36" s="15"/>
      <c r="P36" s="15"/>
      <c r="Q36" s="15"/>
      <c r="R36" s="15"/>
      <c r="S36" s="16" t="str">
        <f aca="false">IF(A36="","",COUNTIF(Risk_Control_Map!$C$5:$C$204,A36))</f>
        <v/>
      </c>
      <c r="T36" s="16" t="str">
        <f aca="false">IF(A36="","",IF(OR(B36="",C36="",E36="",G36="",H36="",K36=""),"Title, description, category, nature, frequency, owner needed",IF(LEN(C36)&lt;80,"Description too short: who, what, when, how, evidence",IF(AND(E36="ITAC",G36&lt;&gt;"Automated"),"ITAC must be Automated",IF(AND(OR(E36="ITAC",E36="IPE",E36="ITDM"),N36=""),"Dependent ITGCs needed",IF(S36=0,"No risk mapped (Risk_Control_Map)",IF(AND(I36="Y",J36&lt;&gt;"Y"),"Key control should be SOX in scope","OK")))))))</f>
        <v/>
      </c>
    </row>
    <row r="37" customFormat="false" ht="15" hidden="false" customHeight="false" outlineLevel="0" collapsed="false">
      <c r="A37" s="15"/>
      <c r="B37" s="15"/>
      <c r="C37" s="15"/>
      <c r="D37" s="15"/>
      <c r="E37" s="15"/>
      <c r="F37" s="15"/>
      <c r="G37" s="15"/>
      <c r="H37" s="15"/>
      <c r="I37" s="15"/>
      <c r="J37" s="15"/>
      <c r="K37" s="15"/>
      <c r="L37" s="15"/>
      <c r="M37" s="15"/>
      <c r="N37" s="15"/>
      <c r="O37" s="15"/>
      <c r="P37" s="15"/>
      <c r="Q37" s="15"/>
      <c r="R37" s="15"/>
      <c r="S37" s="16" t="str">
        <f aca="false">IF(A37="","",COUNTIF(Risk_Control_Map!$C$5:$C$204,A37))</f>
        <v/>
      </c>
      <c r="T37" s="16" t="str">
        <f aca="false">IF(A37="","",IF(OR(B37="",C37="",E37="",G37="",H37="",K37=""),"Title, description, category, nature, frequency, owner needed",IF(LEN(C37)&lt;80,"Description too short: who, what, when, how, evidence",IF(AND(E37="ITAC",G37&lt;&gt;"Automated"),"ITAC must be Automated",IF(AND(OR(E37="ITAC",E37="IPE",E37="ITDM"),N37=""),"Dependent ITGCs needed",IF(S37=0,"No risk mapped (Risk_Control_Map)",IF(AND(I37="Y",J37&lt;&gt;"Y"),"Key control should be SOX in scope","OK")))))))</f>
        <v/>
      </c>
    </row>
    <row r="38" customFormat="false" ht="15" hidden="false" customHeight="false" outlineLevel="0" collapsed="false">
      <c r="A38" s="15"/>
      <c r="B38" s="15"/>
      <c r="C38" s="15"/>
      <c r="D38" s="15"/>
      <c r="E38" s="15"/>
      <c r="F38" s="15"/>
      <c r="G38" s="15"/>
      <c r="H38" s="15"/>
      <c r="I38" s="15"/>
      <c r="J38" s="15"/>
      <c r="K38" s="15"/>
      <c r="L38" s="15"/>
      <c r="M38" s="15"/>
      <c r="N38" s="15"/>
      <c r="O38" s="15"/>
      <c r="P38" s="15"/>
      <c r="Q38" s="15"/>
      <c r="R38" s="15"/>
      <c r="S38" s="16" t="str">
        <f aca="false">IF(A38="","",COUNTIF(Risk_Control_Map!$C$5:$C$204,A38))</f>
        <v/>
      </c>
      <c r="T38" s="16" t="str">
        <f aca="false">IF(A38="","",IF(OR(B38="",C38="",E38="",G38="",H38="",K38=""),"Title, description, category, nature, frequency, owner needed",IF(LEN(C38)&lt;80,"Description too short: who, what, when, how, evidence",IF(AND(E38="ITAC",G38&lt;&gt;"Automated"),"ITAC must be Automated",IF(AND(OR(E38="ITAC",E38="IPE",E38="ITDM"),N38=""),"Dependent ITGCs needed",IF(S38=0,"No risk mapped (Risk_Control_Map)",IF(AND(I38="Y",J38&lt;&gt;"Y"),"Key control should be SOX in scope","OK")))))))</f>
        <v/>
      </c>
    </row>
    <row r="39" customFormat="false" ht="15" hidden="false" customHeight="false" outlineLevel="0" collapsed="false">
      <c r="A39" s="15"/>
      <c r="B39" s="15"/>
      <c r="C39" s="15"/>
      <c r="D39" s="15"/>
      <c r="E39" s="15"/>
      <c r="F39" s="15"/>
      <c r="G39" s="15"/>
      <c r="H39" s="15"/>
      <c r="I39" s="15"/>
      <c r="J39" s="15"/>
      <c r="K39" s="15"/>
      <c r="L39" s="15"/>
      <c r="M39" s="15"/>
      <c r="N39" s="15"/>
      <c r="O39" s="15"/>
      <c r="P39" s="15"/>
      <c r="Q39" s="15"/>
      <c r="R39" s="15"/>
      <c r="S39" s="16" t="str">
        <f aca="false">IF(A39="","",COUNTIF(Risk_Control_Map!$C$5:$C$204,A39))</f>
        <v/>
      </c>
      <c r="T39" s="16" t="str">
        <f aca="false">IF(A39="","",IF(OR(B39="",C39="",E39="",G39="",H39="",K39=""),"Title, description, category, nature, frequency, owner needed",IF(LEN(C39)&lt;80,"Description too short: who, what, when, how, evidence",IF(AND(E39="ITAC",G39&lt;&gt;"Automated"),"ITAC must be Automated",IF(AND(OR(E39="ITAC",E39="IPE",E39="ITDM"),N39=""),"Dependent ITGCs needed",IF(S39=0,"No risk mapped (Risk_Control_Map)",IF(AND(I39="Y",J39&lt;&gt;"Y"),"Key control should be SOX in scope","OK")))))))</f>
        <v/>
      </c>
    </row>
    <row r="40" customFormat="false" ht="15" hidden="false" customHeight="false" outlineLevel="0" collapsed="false">
      <c r="A40" s="15"/>
      <c r="B40" s="15"/>
      <c r="C40" s="15"/>
      <c r="D40" s="15"/>
      <c r="E40" s="15"/>
      <c r="F40" s="15"/>
      <c r="G40" s="15"/>
      <c r="H40" s="15"/>
      <c r="I40" s="15"/>
      <c r="J40" s="15"/>
      <c r="K40" s="15"/>
      <c r="L40" s="15"/>
      <c r="M40" s="15"/>
      <c r="N40" s="15"/>
      <c r="O40" s="15"/>
      <c r="P40" s="15"/>
      <c r="Q40" s="15"/>
      <c r="R40" s="15"/>
      <c r="S40" s="16" t="str">
        <f aca="false">IF(A40="","",COUNTIF(Risk_Control_Map!$C$5:$C$204,A40))</f>
        <v/>
      </c>
      <c r="T40" s="16" t="str">
        <f aca="false">IF(A40="","",IF(OR(B40="",C40="",E40="",G40="",H40="",K40=""),"Title, description, category, nature, frequency, owner needed",IF(LEN(C40)&lt;80,"Description too short: who, what, when, how, evidence",IF(AND(E40="ITAC",G40&lt;&gt;"Automated"),"ITAC must be Automated",IF(AND(OR(E40="ITAC",E40="IPE",E40="ITDM"),N40=""),"Dependent ITGCs needed",IF(S40=0,"No risk mapped (Risk_Control_Map)",IF(AND(I40="Y",J40&lt;&gt;"Y"),"Key control should be SOX in scope","OK")))))))</f>
        <v/>
      </c>
    </row>
    <row r="41" customFormat="false" ht="15" hidden="false" customHeight="false" outlineLevel="0" collapsed="false">
      <c r="A41" s="15"/>
      <c r="B41" s="15"/>
      <c r="C41" s="15"/>
      <c r="D41" s="15"/>
      <c r="E41" s="15"/>
      <c r="F41" s="15"/>
      <c r="G41" s="15"/>
      <c r="H41" s="15"/>
      <c r="I41" s="15"/>
      <c r="J41" s="15"/>
      <c r="K41" s="15"/>
      <c r="L41" s="15"/>
      <c r="M41" s="15"/>
      <c r="N41" s="15"/>
      <c r="O41" s="15"/>
      <c r="P41" s="15"/>
      <c r="Q41" s="15"/>
      <c r="R41" s="15"/>
      <c r="S41" s="16" t="str">
        <f aca="false">IF(A41="","",COUNTIF(Risk_Control_Map!$C$5:$C$204,A41))</f>
        <v/>
      </c>
      <c r="T41" s="16" t="str">
        <f aca="false">IF(A41="","",IF(OR(B41="",C41="",E41="",G41="",H41="",K41=""),"Title, description, category, nature, frequency, owner needed",IF(LEN(C41)&lt;80,"Description too short: who, what, when, how, evidence",IF(AND(E41="ITAC",G41&lt;&gt;"Automated"),"ITAC must be Automated",IF(AND(OR(E41="ITAC",E41="IPE",E41="ITDM"),N41=""),"Dependent ITGCs needed",IF(S41=0,"No risk mapped (Risk_Control_Map)",IF(AND(I41="Y",J41&lt;&gt;"Y"),"Key control should be SOX in scope","OK")))))))</f>
        <v/>
      </c>
    </row>
    <row r="42" customFormat="false" ht="15" hidden="false" customHeight="false" outlineLevel="0" collapsed="false">
      <c r="A42" s="15"/>
      <c r="B42" s="15"/>
      <c r="C42" s="15"/>
      <c r="D42" s="15"/>
      <c r="E42" s="15"/>
      <c r="F42" s="15"/>
      <c r="G42" s="15"/>
      <c r="H42" s="15"/>
      <c r="I42" s="15"/>
      <c r="J42" s="15"/>
      <c r="K42" s="15"/>
      <c r="L42" s="15"/>
      <c r="M42" s="15"/>
      <c r="N42" s="15"/>
      <c r="O42" s="15"/>
      <c r="P42" s="15"/>
      <c r="Q42" s="15"/>
      <c r="R42" s="15"/>
      <c r="S42" s="16" t="str">
        <f aca="false">IF(A42="","",COUNTIF(Risk_Control_Map!$C$5:$C$204,A42))</f>
        <v/>
      </c>
      <c r="T42" s="16" t="str">
        <f aca="false">IF(A42="","",IF(OR(B42="",C42="",E42="",G42="",H42="",K42=""),"Title, description, category, nature, frequency, owner needed",IF(LEN(C42)&lt;80,"Description too short: who, what, when, how, evidence",IF(AND(E42="ITAC",G42&lt;&gt;"Automated"),"ITAC must be Automated",IF(AND(OR(E42="ITAC",E42="IPE",E42="ITDM"),N42=""),"Dependent ITGCs needed",IF(S42=0,"No risk mapped (Risk_Control_Map)",IF(AND(I42="Y",J42&lt;&gt;"Y"),"Key control should be SOX in scope","OK")))))))</f>
        <v/>
      </c>
    </row>
    <row r="43" customFormat="false" ht="15" hidden="false" customHeight="false" outlineLevel="0" collapsed="false">
      <c r="A43" s="15"/>
      <c r="B43" s="15"/>
      <c r="C43" s="15"/>
      <c r="D43" s="15"/>
      <c r="E43" s="15"/>
      <c r="F43" s="15"/>
      <c r="G43" s="15"/>
      <c r="H43" s="15"/>
      <c r="I43" s="15"/>
      <c r="J43" s="15"/>
      <c r="K43" s="15"/>
      <c r="L43" s="15"/>
      <c r="M43" s="15"/>
      <c r="N43" s="15"/>
      <c r="O43" s="15"/>
      <c r="P43" s="15"/>
      <c r="Q43" s="15"/>
      <c r="R43" s="15"/>
      <c r="S43" s="16" t="str">
        <f aca="false">IF(A43="","",COUNTIF(Risk_Control_Map!$C$5:$C$204,A43))</f>
        <v/>
      </c>
      <c r="T43" s="16" t="str">
        <f aca="false">IF(A43="","",IF(OR(B43="",C43="",E43="",G43="",H43="",K43=""),"Title, description, category, nature, frequency, owner needed",IF(LEN(C43)&lt;80,"Description too short: who, what, when, how, evidence",IF(AND(E43="ITAC",G43&lt;&gt;"Automated"),"ITAC must be Automated",IF(AND(OR(E43="ITAC",E43="IPE",E43="ITDM"),N43=""),"Dependent ITGCs needed",IF(S43=0,"No risk mapped (Risk_Control_Map)",IF(AND(I43="Y",J43&lt;&gt;"Y"),"Key control should be SOX in scope","OK")))))))</f>
        <v/>
      </c>
    </row>
    <row r="44" customFormat="false" ht="15" hidden="false" customHeight="false" outlineLevel="0" collapsed="false">
      <c r="A44" s="15"/>
      <c r="B44" s="15"/>
      <c r="C44" s="15"/>
      <c r="D44" s="15"/>
      <c r="E44" s="15"/>
      <c r="F44" s="15"/>
      <c r="G44" s="15"/>
      <c r="H44" s="15"/>
      <c r="I44" s="15"/>
      <c r="J44" s="15"/>
      <c r="K44" s="15"/>
      <c r="L44" s="15"/>
      <c r="M44" s="15"/>
      <c r="N44" s="15"/>
      <c r="O44" s="15"/>
      <c r="P44" s="15"/>
      <c r="Q44" s="15"/>
      <c r="R44" s="15"/>
      <c r="S44" s="16" t="str">
        <f aca="false">IF(A44="","",COUNTIF(Risk_Control_Map!$C$5:$C$204,A44))</f>
        <v/>
      </c>
      <c r="T44" s="16" t="str">
        <f aca="false">IF(A44="","",IF(OR(B44="",C44="",E44="",G44="",H44="",K44=""),"Title, description, category, nature, frequency, owner needed",IF(LEN(C44)&lt;80,"Description too short: who, what, when, how, evidence",IF(AND(E44="ITAC",G44&lt;&gt;"Automated"),"ITAC must be Automated",IF(AND(OR(E44="ITAC",E44="IPE",E44="ITDM"),N44=""),"Dependent ITGCs needed",IF(S44=0,"No risk mapped (Risk_Control_Map)",IF(AND(I44="Y",J44&lt;&gt;"Y"),"Key control should be SOX in scope","OK")))))))</f>
        <v/>
      </c>
    </row>
    <row r="45" customFormat="false" ht="15" hidden="false" customHeight="false" outlineLevel="0" collapsed="false">
      <c r="A45" s="15"/>
      <c r="B45" s="15"/>
      <c r="C45" s="15"/>
      <c r="D45" s="15"/>
      <c r="E45" s="15"/>
      <c r="F45" s="15"/>
      <c r="G45" s="15"/>
      <c r="H45" s="15"/>
      <c r="I45" s="15"/>
      <c r="J45" s="15"/>
      <c r="K45" s="15"/>
      <c r="L45" s="15"/>
      <c r="M45" s="15"/>
      <c r="N45" s="15"/>
      <c r="O45" s="15"/>
      <c r="P45" s="15"/>
      <c r="Q45" s="15"/>
      <c r="R45" s="15"/>
      <c r="S45" s="16" t="str">
        <f aca="false">IF(A45="","",COUNTIF(Risk_Control_Map!$C$5:$C$204,A45))</f>
        <v/>
      </c>
      <c r="T45" s="16" t="str">
        <f aca="false">IF(A45="","",IF(OR(B45="",C45="",E45="",G45="",H45="",K45=""),"Title, description, category, nature, frequency, owner needed",IF(LEN(C45)&lt;80,"Description too short: who, what, when, how, evidence",IF(AND(E45="ITAC",G45&lt;&gt;"Automated"),"ITAC must be Automated",IF(AND(OR(E45="ITAC",E45="IPE",E45="ITDM"),N45=""),"Dependent ITGCs needed",IF(S45=0,"No risk mapped (Risk_Control_Map)",IF(AND(I45="Y",J45&lt;&gt;"Y"),"Key control should be SOX in scope","OK")))))))</f>
        <v/>
      </c>
    </row>
    <row r="46" customFormat="false" ht="15" hidden="false" customHeight="false" outlineLevel="0" collapsed="false">
      <c r="A46" s="15"/>
      <c r="B46" s="15"/>
      <c r="C46" s="15"/>
      <c r="D46" s="15"/>
      <c r="E46" s="15"/>
      <c r="F46" s="15"/>
      <c r="G46" s="15"/>
      <c r="H46" s="15"/>
      <c r="I46" s="15"/>
      <c r="J46" s="15"/>
      <c r="K46" s="15"/>
      <c r="L46" s="15"/>
      <c r="M46" s="15"/>
      <c r="N46" s="15"/>
      <c r="O46" s="15"/>
      <c r="P46" s="15"/>
      <c r="Q46" s="15"/>
      <c r="R46" s="15"/>
      <c r="S46" s="16" t="str">
        <f aca="false">IF(A46="","",COUNTIF(Risk_Control_Map!$C$5:$C$204,A46))</f>
        <v/>
      </c>
      <c r="T46" s="16" t="str">
        <f aca="false">IF(A46="","",IF(OR(B46="",C46="",E46="",G46="",H46="",K46=""),"Title, description, category, nature, frequency, owner needed",IF(LEN(C46)&lt;80,"Description too short: who, what, when, how, evidence",IF(AND(E46="ITAC",G46&lt;&gt;"Automated"),"ITAC must be Automated",IF(AND(OR(E46="ITAC",E46="IPE",E46="ITDM"),N46=""),"Dependent ITGCs needed",IF(S46=0,"No risk mapped (Risk_Control_Map)",IF(AND(I46="Y",J46&lt;&gt;"Y"),"Key control should be SOX in scope","OK")))))))</f>
        <v/>
      </c>
    </row>
    <row r="47" customFormat="false" ht="15" hidden="false" customHeight="false" outlineLevel="0" collapsed="false">
      <c r="A47" s="15"/>
      <c r="B47" s="15"/>
      <c r="C47" s="15"/>
      <c r="D47" s="15"/>
      <c r="E47" s="15"/>
      <c r="F47" s="15"/>
      <c r="G47" s="15"/>
      <c r="H47" s="15"/>
      <c r="I47" s="15"/>
      <c r="J47" s="15"/>
      <c r="K47" s="15"/>
      <c r="L47" s="15"/>
      <c r="M47" s="15"/>
      <c r="N47" s="15"/>
      <c r="O47" s="15"/>
      <c r="P47" s="15"/>
      <c r="Q47" s="15"/>
      <c r="R47" s="15"/>
      <c r="S47" s="16" t="str">
        <f aca="false">IF(A47="","",COUNTIF(Risk_Control_Map!$C$5:$C$204,A47))</f>
        <v/>
      </c>
      <c r="T47" s="16" t="str">
        <f aca="false">IF(A47="","",IF(OR(B47="",C47="",E47="",G47="",H47="",K47=""),"Title, description, category, nature, frequency, owner needed",IF(LEN(C47)&lt;80,"Description too short: who, what, when, how, evidence",IF(AND(E47="ITAC",G47&lt;&gt;"Automated"),"ITAC must be Automated",IF(AND(OR(E47="ITAC",E47="IPE",E47="ITDM"),N47=""),"Dependent ITGCs needed",IF(S47=0,"No risk mapped (Risk_Control_Map)",IF(AND(I47="Y",J47&lt;&gt;"Y"),"Key control should be SOX in scope","OK")))))))</f>
        <v/>
      </c>
    </row>
    <row r="48" customFormat="false" ht="15" hidden="false" customHeight="false" outlineLevel="0" collapsed="false">
      <c r="A48" s="15"/>
      <c r="B48" s="15"/>
      <c r="C48" s="15"/>
      <c r="D48" s="15"/>
      <c r="E48" s="15"/>
      <c r="F48" s="15"/>
      <c r="G48" s="15"/>
      <c r="H48" s="15"/>
      <c r="I48" s="15"/>
      <c r="J48" s="15"/>
      <c r="K48" s="15"/>
      <c r="L48" s="15"/>
      <c r="M48" s="15"/>
      <c r="N48" s="15"/>
      <c r="O48" s="15"/>
      <c r="P48" s="15"/>
      <c r="Q48" s="15"/>
      <c r="R48" s="15"/>
      <c r="S48" s="16" t="str">
        <f aca="false">IF(A48="","",COUNTIF(Risk_Control_Map!$C$5:$C$204,A48))</f>
        <v/>
      </c>
      <c r="T48" s="16" t="str">
        <f aca="false">IF(A48="","",IF(OR(B48="",C48="",E48="",G48="",H48="",K48=""),"Title, description, category, nature, frequency, owner needed",IF(LEN(C48)&lt;80,"Description too short: who, what, when, how, evidence",IF(AND(E48="ITAC",G48&lt;&gt;"Automated"),"ITAC must be Automated",IF(AND(OR(E48="ITAC",E48="IPE",E48="ITDM"),N48=""),"Dependent ITGCs needed",IF(S48=0,"No risk mapped (Risk_Control_Map)",IF(AND(I48="Y",J48&lt;&gt;"Y"),"Key control should be SOX in scope","OK")))))))</f>
        <v/>
      </c>
    </row>
    <row r="49" customFormat="false" ht="15" hidden="false" customHeight="false" outlineLevel="0" collapsed="false">
      <c r="A49" s="15"/>
      <c r="B49" s="15"/>
      <c r="C49" s="15"/>
      <c r="D49" s="15"/>
      <c r="E49" s="15"/>
      <c r="F49" s="15"/>
      <c r="G49" s="15"/>
      <c r="H49" s="15"/>
      <c r="I49" s="15"/>
      <c r="J49" s="15"/>
      <c r="K49" s="15"/>
      <c r="L49" s="15"/>
      <c r="M49" s="15"/>
      <c r="N49" s="15"/>
      <c r="O49" s="15"/>
      <c r="P49" s="15"/>
      <c r="Q49" s="15"/>
      <c r="R49" s="15"/>
      <c r="S49" s="16" t="str">
        <f aca="false">IF(A49="","",COUNTIF(Risk_Control_Map!$C$5:$C$204,A49))</f>
        <v/>
      </c>
      <c r="T49" s="16" t="str">
        <f aca="false">IF(A49="","",IF(OR(B49="",C49="",E49="",G49="",H49="",K49=""),"Title, description, category, nature, frequency, owner needed",IF(LEN(C49)&lt;80,"Description too short: who, what, when, how, evidence",IF(AND(E49="ITAC",G49&lt;&gt;"Automated"),"ITAC must be Automated",IF(AND(OR(E49="ITAC",E49="IPE",E49="ITDM"),N49=""),"Dependent ITGCs needed",IF(S49=0,"No risk mapped (Risk_Control_Map)",IF(AND(I49="Y",J49&lt;&gt;"Y"),"Key control should be SOX in scope","OK")))))))</f>
        <v/>
      </c>
    </row>
    <row r="50" customFormat="false" ht="15" hidden="false" customHeight="false" outlineLevel="0" collapsed="false">
      <c r="A50" s="15"/>
      <c r="B50" s="15"/>
      <c r="C50" s="15"/>
      <c r="D50" s="15"/>
      <c r="E50" s="15"/>
      <c r="F50" s="15"/>
      <c r="G50" s="15"/>
      <c r="H50" s="15"/>
      <c r="I50" s="15"/>
      <c r="J50" s="15"/>
      <c r="K50" s="15"/>
      <c r="L50" s="15"/>
      <c r="M50" s="15"/>
      <c r="N50" s="15"/>
      <c r="O50" s="15"/>
      <c r="P50" s="15"/>
      <c r="Q50" s="15"/>
      <c r="R50" s="15"/>
      <c r="S50" s="16" t="str">
        <f aca="false">IF(A50="","",COUNTIF(Risk_Control_Map!$C$5:$C$204,A50))</f>
        <v/>
      </c>
      <c r="T50" s="16" t="str">
        <f aca="false">IF(A50="","",IF(OR(B50="",C50="",E50="",G50="",H50="",K50=""),"Title, description, category, nature, frequency, owner needed",IF(LEN(C50)&lt;80,"Description too short: who, what, when, how, evidence",IF(AND(E50="ITAC",G50&lt;&gt;"Automated"),"ITAC must be Automated",IF(AND(OR(E50="ITAC",E50="IPE",E50="ITDM"),N50=""),"Dependent ITGCs needed",IF(S50=0,"No risk mapped (Risk_Control_Map)",IF(AND(I50="Y",J50&lt;&gt;"Y"),"Key control should be SOX in scope","OK")))))))</f>
        <v/>
      </c>
    </row>
    <row r="51" customFormat="false" ht="15" hidden="false" customHeight="false" outlineLevel="0" collapsed="false">
      <c r="A51" s="15"/>
      <c r="B51" s="15"/>
      <c r="C51" s="15"/>
      <c r="D51" s="15"/>
      <c r="E51" s="15"/>
      <c r="F51" s="15"/>
      <c r="G51" s="15"/>
      <c r="H51" s="15"/>
      <c r="I51" s="15"/>
      <c r="J51" s="15"/>
      <c r="K51" s="15"/>
      <c r="L51" s="15"/>
      <c r="M51" s="15"/>
      <c r="N51" s="15"/>
      <c r="O51" s="15"/>
      <c r="P51" s="15"/>
      <c r="Q51" s="15"/>
      <c r="R51" s="15"/>
      <c r="S51" s="16" t="str">
        <f aca="false">IF(A51="","",COUNTIF(Risk_Control_Map!$C$5:$C$204,A51))</f>
        <v/>
      </c>
      <c r="T51" s="16" t="str">
        <f aca="false">IF(A51="","",IF(OR(B51="",C51="",E51="",G51="",H51="",K51=""),"Title, description, category, nature, frequency, owner needed",IF(LEN(C51)&lt;80,"Description too short: who, what, when, how, evidence",IF(AND(E51="ITAC",G51&lt;&gt;"Automated"),"ITAC must be Automated",IF(AND(OR(E51="ITAC",E51="IPE",E51="ITDM"),N51=""),"Dependent ITGCs needed",IF(S51=0,"No risk mapped (Risk_Control_Map)",IF(AND(I51="Y",J51&lt;&gt;"Y"),"Key control should be SOX in scope","OK")))))))</f>
        <v/>
      </c>
    </row>
    <row r="52" customFormat="false" ht="15" hidden="false" customHeight="false" outlineLevel="0" collapsed="false">
      <c r="A52" s="15"/>
      <c r="B52" s="15"/>
      <c r="C52" s="15"/>
      <c r="D52" s="15"/>
      <c r="E52" s="15"/>
      <c r="F52" s="15"/>
      <c r="G52" s="15"/>
      <c r="H52" s="15"/>
      <c r="I52" s="15"/>
      <c r="J52" s="15"/>
      <c r="K52" s="15"/>
      <c r="L52" s="15"/>
      <c r="M52" s="15"/>
      <c r="N52" s="15"/>
      <c r="O52" s="15"/>
      <c r="P52" s="15"/>
      <c r="Q52" s="15"/>
      <c r="R52" s="15"/>
      <c r="S52" s="16" t="str">
        <f aca="false">IF(A52="","",COUNTIF(Risk_Control_Map!$C$5:$C$204,A52))</f>
        <v/>
      </c>
      <c r="T52" s="16" t="str">
        <f aca="false">IF(A52="","",IF(OR(B52="",C52="",E52="",G52="",H52="",K52=""),"Title, description, category, nature, frequency, owner needed",IF(LEN(C52)&lt;80,"Description too short: who, what, when, how, evidence",IF(AND(E52="ITAC",G52&lt;&gt;"Automated"),"ITAC must be Automated",IF(AND(OR(E52="ITAC",E52="IPE",E52="ITDM"),N52=""),"Dependent ITGCs needed",IF(S52=0,"No risk mapped (Risk_Control_Map)",IF(AND(I52="Y",J52&lt;&gt;"Y"),"Key control should be SOX in scope","OK")))))))</f>
        <v/>
      </c>
    </row>
    <row r="53" customFormat="false" ht="15" hidden="false" customHeight="false" outlineLevel="0" collapsed="false">
      <c r="A53" s="15"/>
      <c r="B53" s="15"/>
      <c r="C53" s="15"/>
      <c r="D53" s="15"/>
      <c r="E53" s="15"/>
      <c r="F53" s="15"/>
      <c r="G53" s="15"/>
      <c r="H53" s="15"/>
      <c r="I53" s="15"/>
      <c r="J53" s="15"/>
      <c r="K53" s="15"/>
      <c r="L53" s="15"/>
      <c r="M53" s="15"/>
      <c r="N53" s="15"/>
      <c r="O53" s="15"/>
      <c r="P53" s="15"/>
      <c r="Q53" s="15"/>
      <c r="R53" s="15"/>
      <c r="S53" s="16" t="str">
        <f aca="false">IF(A53="","",COUNTIF(Risk_Control_Map!$C$5:$C$204,A53))</f>
        <v/>
      </c>
      <c r="T53" s="16" t="str">
        <f aca="false">IF(A53="","",IF(OR(B53="",C53="",E53="",G53="",H53="",K53=""),"Title, description, category, nature, frequency, owner needed",IF(LEN(C53)&lt;80,"Description too short: who, what, when, how, evidence",IF(AND(E53="ITAC",G53&lt;&gt;"Automated"),"ITAC must be Automated",IF(AND(OR(E53="ITAC",E53="IPE",E53="ITDM"),N53=""),"Dependent ITGCs needed",IF(S53=0,"No risk mapped (Risk_Control_Map)",IF(AND(I53="Y",J53&lt;&gt;"Y"),"Key control should be SOX in scope","OK")))))))</f>
        <v/>
      </c>
    </row>
    <row r="54" customFormat="false" ht="15" hidden="false" customHeight="false" outlineLevel="0" collapsed="false">
      <c r="A54" s="15"/>
      <c r="B54" s="15"/>
      <c r="C54" s="15"/>
      <c r="D54" s="15"/>
      <c r="E54" s="15"/>
      <c r="F54" s="15"/>
      <c r="G54" s="15"/>
      <c r="H54" s="15"/>
      <c r="I54" s="15"/>
      <c r="J54" s="15"/>
      <c r="K54" s="15"/>
      <c r="L54" s="15"/>
      <c r="M54" s="15"/>
      <c r="N54" s="15"/>
      <c r="O54" s="15"/>
      <c r="P54" s="15"/>
      <c r="Q54" s="15"/>
      <c r="R54" s="15"/>
      <c r="S54" s="16" t="str">
        <f aca="false">IF(A54="","",COUNTIF(Risk_Control_Map!$C$5:$C$204,A54))</f>
        <v/>
      </c>
      <c r="T54" s="16" t="str">
        <f aca="false">IF(A54="","",IF(OR(B54="",C54="",E54="",G54="",H54="",K54=""),"Title, description, category, nature, frequency, owner needed",IF(LEN(C54)&lt;80,"Description too short: who, what, when, how, evidence",IF(AND(E54="ITAC",G54&lt;&gt;"Automated"),"ITAC must be Automated",IF(AND(OR(E54="ITAC",E54="IPE",E54="ITDM"),N54=""),"Dependent ITGCs needed",IF(S54=0,"No risk mapped (Risk_Control_Map)",IF(AND(I54="Y",J54&lt;&gt;"Y"),"Key control should be SOX in scope","OK")))))))</f>
        <v/>
      </c>
    </row>
    <row r="55" customFormat="false" ht="15" hidden="false" customHeight="false" outlineLevel="0" collapsed="false">
      <c r="A55" s="15"/>
      <c r="B55" s="15"/>
      <c r="C55" s="15"/>
      <c r="D55" s="15"/>
      <c r="E55" s="15"/>
      <c r="F55" s="15"/>
      <c r="G55" s="15"/>
      <c r="H55" s="15"/>
      <c r="I55" s="15"/>
      <c r="J55" s="15"/>
      <c r="K55" s="15"/>
      <c r="L55" s="15"/>
      <c r="M55" s="15"/>
      <c r="N55" s="15"/>
      <c r="O55" s="15"/>
      <c r="P55" s="15"/>
      <c r="Q55" s="15"/>
      <c r="R55" s="15"/>
      <c r="S55" s="16" t="str">
        <f aca="false">IF(A55="","",COUNTIF(Risk_Control_Map!$C$5:$C$204,A55))</f>
        <v/>
      </c>
      <c r="T55" s="16" t="str">
        <f aca="false">IF(A55="","",IF(OR(B55="",C55="",E55="",G55="",H55="",K55=""),"Title, description, category, nature, frequency, owner needed",IF(LEN(C55)&lt;80,"Description too short: who, what, when, how, evidence",IF(AND(E55="ITAC",G55&lt;&gt;"Automated"),"ITAC must be Automated",IF(AND(OR(E55="ITAC",E55="IPE",E55="ITDM"),N55=""),"Dependent ITGCs needed",IF(S55=0,"No risk mapped (Risk_Control_Map)",IF(AND(I55="Y",J55&lt;&gt;"Y"),"Key control should be SOX in scope","OK")))))))</f>
        <v/>
      </c>
    </row>
    <row r="56" customFormat="false" ht="15" hidden="false" customHeight="false" outlineLevel="0" collapsed="false">
      <c r="A56" s="15"/>
      <c r="B56" s="15"/>
      <c r="C56" s="15"/>
      <c r="D56" s="15"/>
      <c r="E56" s="15"/>
      <c r="F56" s="15"/>
      <c r="G56" s="15"/>
      <c r="H56" s="15"/>
      <c r="I56" s="15"/>
      <c r="J56" s="15"/>
      <c r="K56" s="15"/>
      <c r="L56" s="15"/>
      <c r="M56" s="15"/>
      <c r="N56" s="15"/>
      <c r="O56" s="15"/>
      <c r="P56" s="15"/>
      <c r="Q56" s="15"/>
      <c r="R56" s="15"/>
      <c r="S56" s="16" t="str">
        <f aca="false">IF(A56="","",COUNTIF(Risk_Control_Map!$C$5:$C$204,A56))</f>
        <v/>
      </c>
      <c r="T56" s="16" t="str">
        <f aca="false">IF(A56="","",IF(OR(B56="",C56="",E56="",G56="",H56="",K56=""),"Title, description, category, nature, frequency, owner needed",IF(LEN(C56)&lt;80,"Description too short: who, what, when, how, evidence",IF(AND(E56="ITAC",G56&lt;&gt;"Automated"),"ITAC must be Automated",IF(AND(OR(E56="ITAC",E56="IPE",E56="ITDM"),N56=""),"Dependent ITGCs needed",IF(S56=0,"No risk mapped (Risk_Control_Map)",IF(AND(I56="Y",J56&lt;&gt;"Y"),"Key control should be SOX in scope","OK")))))))</f>
        <v/>
      </c>
    </row>
    <row r="57" customFormat="false" ht="15" hidden="false" customHeight="false" outlineLevel="0" collapsed="false">
      <c r="A57" s="15"/>
      <c r="B57" s="15"/>
      <c r="C57" s="15"/>
      <c r="D57" s="15"/>
      <c r="E57" s="15"/>
      <c r="F57" s="15"/>
      <c r="G57" s="15"/>
      <c r="H57" s="15"/>
      <c r="I57" s="15"/>
      <c r="J57" s="15"/>
      <c r="K57" s="15"/>
      <c r="L57" s="15"/>
      <c r="M57" s="15"/>
      <c r="N57" s="15"/>
      <c r="O57" s="15"/>
      <c r="P57" s="15"/>
      <c r="Q57" s="15"/>
      <c r="R57" s="15"/>
      <c r="S57" s="16" t="str">
        <f aca="false">IF(A57="","",COUNTIF(Risk_Control_Map!$C$5:$C$204,A57))</f>
        <v/>
      </c>
      <c r="T57" s="16" t="str">
        <f aca="false">IF(A57="","",IF(OR(B57="",C57="",E57="",G57="",H57="",K57=""),"Title, description, category, nature, frequency, owner needed",IF(LEN(C57)&lt;80,"Description too short: who, what, when, how, evidence",IF(AND(E57="ITAC",G57&lt;&gt;"Automated"),"ITAC must be Automated",IF(AND(OR(E57="ITAC",E57="IPE",E57="ITDM"),N57=""),"Dependent ITGCs needed",IF(S57=0,"No risk mapped (Risk_Control_Map)",IF(AND(I57="Y",J57&lt;&gt;"Y"),"Key control should be SOX in scope","OK")))))))</f>
        <v/>
      </c>
    </row>
    <row r="58" customFormat="false" ht="15" hidden="false" customHeight="false" outlineLevel="0" collapsed="false">
      <c r="A58" s="15"/>
      <c r="B58" s="15"/>
      <c r="C58" s="15"/>
      <c r="D58" s="15"/>
      <c r="E58" s="15"/>
      <c r="F58" s="15"/>
      <c r="G58" s="15"/>
      <c r="H58" s="15"/>
      <c r="I58" s="15"/>
      <c r="J58" s="15"/>
      <c r="K58" s="15"/>
      <c r="L58" s="15"/>
      <c r="M58" s="15"/>
      <c r="N58" s="15"/>
      <c r="O58" s="15"/>
      <c r="P58" s="15"/>
      <c r="Q58" s="15"/>
      <c r="R58" s="15"/>
      <c r="S58" s="16" t="str">
        <f aca="false">IF(A58="","",COUNTIF(Risk_Control_Map!$C$5:$C$204,A58))</f>
        <v/>
      </c>
      <c r="T58" s="16" t="str">
        <f aca="false">IF(A58="","",IF(OR(B58="",C58="",E58="",G58="",H58="",K58=""),"Title, description, category, nature, frequency, owner needed",IF(LEN(C58)&lt;80,"Description too short: who, what, when, how, evidence",IF(AND(E58="ITAC",G58&lt;&gt;"Automated"),"ITAC must be Automated",IF(AND(OR(E58="ITAC",E58="IPE",E58="ITDM"),N58=""),"Dependent ITGCs needed",IF(S58=0,"No risk mapped (Risk_Control_Map)",IF(AND(I58="Y",J58&lt;&gt;"Y"),"Key control should be SOX in scope","OK")))))))</f>
        <v/>
      </c>
    </row>
    <row r="59" customFormat="false" ht="15" hidden="false" customHeight="false" outlineLevel="0" collapsed="false">
      <c r="A59" s="15"/>
      <c r="B59" s="15"/>
      <c r="C59" s="15"/>
      <c r="D59" s="15"/>
      <c r="E59" s="15"/>
      <c r="F59" s="15"/>
      <c r="G59" s="15"/>
      <c r="H59" s="15"/>
      <c r="I59" s="15"/>
      <c r="J59" s="15"/>
      <c r="K59" s="15"/>
      <c r="L59" s="15"/>
      <c r="M59" s="15"/>
      <c r="N59" s="15"/>
      <c r="O59" s="15"/>
      <c r="P59" s="15"/>
      <c r="Q59" s="15"/>
      <c r="R59" s="15"/>
      <c r="S59" s="16" t="str">
        <f aca="false">IF(A59="","",COUNTIF(Risk_Control_Map!$C$5:$C$204,A59))</f>
        <v/>
      </c>
      <c r="T59" s="16" t="str">
        <f aca="false">IF(A59="","",IF(OR(B59="",C59="",E59="",G59="",H59="",K59=""),"Title, description, category, nature, frequency, owner needed",IF(LEN(C59)&lt;80,"Description too short: who, what, when, how, evidence",IF(AND(E59="ITAC",G59&lt;&gt;"Automated"),"ITAC must be Automated",IF(AND(OR(E59="ITAC",E59="IPE",E59="ITDM"),N59=""),"Dependent ITGCs needed",IF(S59=0,"No risk mapped (Risk_Control_Map)",IF(AND(I59="Y",J59&lt;&gt;"Y"),"Key control should be SOX in scope","OK")))))))</f>
        <v/>
      </c>
    </row>
    <row r="60" customFormat="false" ht="15" hidden="false" customHeight="false" outlineLevel="0" collapsed="false">
      <c r="A60" s="15"/>
      <c r="B60" s="15"/>
      <c r="C60" s="15"/>
      <c r="D60" s="15"/>
      <c r="E60" s="15"/>
      <c r="F60" s="15"/>
      <c r="G60" s="15"/>
      <c r="H60" s="15"/>
      <c r="I60" s="15"/>
      <c r="J60" s="15"/>
      <c r="K60" s="15"/>
      <c r="L60" s="15"/>
      <c r="M60" s="15"/>
      <c r="N60" s="15"/>
      <c r="O60" s="15"/>
      <c r="P60" s="15"/>
      <c r="Q60" s="15"/>
      <c r="R60" s="15"/>
      <c r="S60" s="16" t="str">
        <f aca="false">IF(A60="","",COUNTIF(Risk_Control_Map!$C$5:$C$204,A60))</f>
        <v/>
      </c>
      <c r="T60" s="16" t="str">
        <f aca="false">IF(A60="","",IF(OR(B60="",C60="",E60="",G60="",H60="",K60=""),"Title, description, category, nature, frequency, owner needed",IF(LEN(C60)&lt;80,"Description too short: who, what, when, how, evidence",IF(AND(E60="ITAC",G60&lt;&gt;"Automated"),"ITAC must be Automated",IF(AND(OR(E60="ITAC",E60="IPE",E60="ITDM"),N60=""),"Dependent ITGCs needed",IF(S60=0,"No risk mapped (Risk_Control_Map)",IF(AND(I60="Y",J60&lt;&gt;"Y"),"Key control should be SOX in scope","OK")))))))</f>
        <v/>
      </c>
    </row>
    <row r="61" customFormat="false" ht="15" hidden="false" customHeight="false" outlineLevel="0" collapsed="false">
      <c r="A61" s="15"/>
      <c r="B61" s="15"/>
      <c r="C61" s="15"/>
      <c r="D61" s="15"/>
      <c r="E61" s="15"/>
      <c r="F61" s="15"/>
      <c r="G61" s="15"/>
      <c r="H61" s="15"/>
      <c r="I61" s="15"/>
      <c r="J61" s="15"/>
      <c r="K61" s="15"/>
      <c r="L61" s="15"/>
      <c r="M61" s="15"/>
      <c r="N61" s="15"/>
      <c r="O61" s="15"/>
      <c r="P61" s="15"/>
      <c r="Q61" s="15"/>
      <c r="R61" s="15"/>
      <c r="S61" s="16" t="str">
        <f aca="false">IF(A61="","",COUNTIF(Risk_Control_Map!$C$5:$C$204,A61))</f>
        <v/>
      </c>
      <c r="T61" s="16" t="str">
        <f aca="false">IF(A61="","",IF(OR(B61="",C61="",E61="",G61="",H61="",K61=""),"Title, description, category, nature, frequency, owner needed",IF(LEN(C61)&lt;80,"Description too short: who, what, when, how, evidence",IF(AND(E61="ITAC",G61&lt;&gt;"Automated"),"ITAC must be Automated",IF(AND(OR(E61="ITAC",E61="IPE",E61="ITDM"),N61=""),"Dependent ITGCs needed",IF(S61=0,"No risk mapped (Risk_Control_Map)",IF(AND(I61="Y",J61&lt;&gt;"Y"),"Key control should be SOX in scope","OK")))))))</f>
        <v/>
      </c>
    </row>
    <row r="62" customFormat="false" ht="15" hidden="false" customHeight="false" outlineLevel="0" collapsed="false">
      <c r="A62" s="15"/>
      <c r="B62" s="15"/>
      <c r="C62" s="15"/>
      <c r="D62" s="15"/>
      <c r="E62" s="15"/>
      <c r="F62" s="15"/>
      <c r="G62" s="15"/>
      <c r="H62" s="15"/>
      <c r="I62" s="15"/>
      <c r="J62" s="15"/>
      <c r="K62" s="15"/>
      <c r="L62" s="15"/>
      <c r="M62" s="15"/>
      <c r="N62" s="15"/>
      <c r="O62" s="15"/>
      <c r="P62" s="15"/>
      <c r="Q62" s="15"/>
      <c r="R62" s="15"/>
      <c r="S62" s="16" t="str">
        <f aca="false">IF(A62="","",COUNTIF(Risk_Control_Map!$C$5:$C$204,A62))</f>
        <v/>
      </c>
      <c r="T62" s="16" t="str">
        <f aca="false">IF(A62="","",IF(OR(B62="",C62="",E62="",G62="",H62="",K62=""),"Title, description, category, nature, frequency, owner needed",IF(LEN(C62)&lt;80,"Description too short: who, what, when, how, evidence",IF(AND(E62="ITAC",G62&lt;&gt;"Automated"),"ITAC must be Automated",IF(AND(OR(E62="ITAC",E62="IPE",E62="ITDM"),N62=""),"Dependent ITGCs needed",IF(S62=0,"No risk mapped (Risk_Control_Map)",IF(AND(I62="Y",J62&lt;&gt;"Y"),"Key control should be SOX in scope","OK")))))))</f>
        <v/>
      </c>
    </row>
    <row r="63" customFormat="false" ht="15" hidden="false" customHeight="false" outlineLevel="0" collapsed="false">
      <c r="A63" s="15"/>
      <c r="B63" s="15"/>
      <c r="C63" s="15"/>
      <c r="D63" s="15"/>
      <c r="E63" s="15"/>
      <c r="F63" s="15"/>
      <c r="G63" s="15"/>
      <c r="H63" s="15"/>
      <c r="I63" s="15"/>
      <c r="J63" s="15"/>
      <c r="K63" s="15"/>
      <c r="L63" s="15"/>
      <c r="M63" s="15"/>
      <c r="N63" s="15"/>
      <c r="O63" s="15"/>
      <c r="P63" s="15"/>
      <c r="Q63" s="15"/>
      <c r="R63" s="15"/>
      <c r="S63" s="16" t="str">
        <f aca="false">IF(A63="","",COUNTIF(Risk_Control_Map!$C$5:$C$204,A63))</f>
        <v/>
      </c>
      <c r="T63" s="16" t="str">
        <f aca="false">IF(A63="","",IF(OR(B63="",C63="",E63="",G63="",H63="",K63=""),"Title, description, category, nature, frequency, owner needed",IF(LEN(C63)&lt;80,"Description too short: who, what, when, how, evidence",IF(AND(E63="ITAC",G63&lt;&gt;"Automated"),"ITAC must be Automated",IF(AND(OR(E63="ITAC",E63="IPE",E63="ITDM"),N63=""),"Dependent ITGCs needed",IF(S63=0,"No risk mapped (Risk_Control_Map)",IF(AND(I63="Y",J63&lt;&gt;"Y"),"Key control should be SOX in scope","OK")))))))</f>
        <v/>
      </c>
    </row>
    <row r="64" customFormat="false" ht="15" hidden="false" customHeight="false" outlineLevel="0" collapsed="false">
      <c r="A64" s="15"/>
      <c r="B64" s="15"/>
      <c r="C64" s="15"/>
      <c r="D64" s="15"/>
      <c r="E64" s="15"/>
      <c r="F64" s="15"/>
      <c r="G64" s="15"/>
      <c r="H64" s="15"/>
      <c r="I64" s="15"/>
      <c r="J64" s="15"/>
      <c r="K64" s="15"/>
      <c r="L64" s="15"/>
      <c r="M64" s="15"/>
      <c r="N64" s="15"/>
      <c r="O64" s="15"/>
      <c r="P64" s="15"/>
      <c r="Q64" s="15"/>
      <c r="R64" s="15"/>
      <c r="S64" s="16" t="str">
        <f aca="false">IF(A64="","",COUNTIF(Risk_Control_Map!$C$5:$C$204,A64))</f>
        <v/>
      </c>
      <c r="T64" s="16" t="str">
        <f aca="false">IF(A64="","",IF(OR(B64="",C64="",E64="",G64="",H64="",K64=""),"Title, description, category, nature, frequency, owner needed",IF(LEN(C64)&lt;80,"Description too short: who, what, when, how, evidence",IF(AND(E64="ITAC",G64&lt;&gt;"Automated"),"ITAC must be Automated",IF(AND(OR(E64="ITAC",E64="IPE",E64="ITDM"),N64=""),"Dependent ITGCs needed",IF(S64=0,"No risk mapped (Risk_Control_Map)",IF(AND(I64="Y",J64&lt;&gt;"Y"),"Key control should be SOX in scope","OK")))))))</f>
        <v/>
      </c>
    </row>
    <row r="65" customFormat="false" ht="15" hidden="false" customHeight="false" outlineLevel="0" collapsed="false">
      <c r="A65" s="15"/>
      <c r="B65" s="15"/>
      <c r="C65" s="15"/>
      <c r="D65" s="15"/>
      <c r="E65" s="15"/>
      <c r="F65" s="15"/>
      <c r="G65" s="15"/>
      <c r="H65" s="15"/>
      <c r="I65" s="15"/>
      <c r="J65" s="15"/>
      <c r="K65" s="15"/>
      <c r="L65" s="15"/>
      <c r="M65" s="15"/>
      <c r="N65" s="15"/>
      <c r="O65" s="15"/>
      <c r="P65" s="15"/>
      <c r="Q65" s="15"/>
      <c r="R65" s="15"/>
      <c r="S65" s="16" t="str">
        <f aca="false">IF(A65="","",COUNTIF(Risk_Control_Map!$C$5:$C$204,A65))</f>
        <v/>
      </c>
      <c r="T65" s="16" t="str">
        <f aca="false">IF(A65="","",IF(OR(B65="",C65="",E65="",G65="",H65="",K65=""),"Title, description, category, nature, frequency, owner needed",IF(LEN(C65)&lt;80,"Description too short: who, what, when, how, evidence",IF(AND(E65="ITAC",G65&lt;&gt;"Automated"),"ITAC must be Automated",IF(AND(OR(E65="ITAC",E65="IPE",E65="ITDM"),N65=""),"Dependent ITGCs needed",IF(S65=0,"No risk mapped (Risk_Control_Map)",IF(AND(I65="Y",J65&lt;&gt;"Y"),"Key control should be SOX in scope","OK")))))))</f>
        <v/>
      </c>
    </row>
    <row r="66" customFormat="false" ht="15" hidden="false" customHeight="false" outlineLevel="0" collapsed="false">
      <c r="A66" s="15"/>
      <c r="B66" s="15"/>
      <c r="C66" s="15"/>
      <c r="D66" s="15"/>
      <c r="E66" s="15"/>
      <c r="F66" s="15"/>
      <c r="G66" s="15"/>
      <c r="H66" s="15"/>
      <c r="I66" s="15"/>
      <c r="J66" s="15"/>
      <c r="K66" s="15"/>
      <c r="L66" s="15"/>
      <c r="M66" s="15"/>
      <c r="N66" s="15"/>
      <c r="O66" s="15"/>
      <c r="P66" s="15"/>
      <c r="Q66" s="15"/>
      <c r="R66" s="15"/>
      <c r="S66" s="16" t="str">
        <f aca="false">IF(A66="","",COUNTIF(Risk_Control_Map!$C$5:$C$204,A66))</f>
        <v/>
      </c>
      <c r="T66" s="16" t="str">
        <f aca="false">IF(A66="","",IF(OR(B66="",C66="",E66="",G66="",H66="",K66=""),"Title, description, category, nature, frequency, owner needed",IF(LEN(C66)&lt;80,"Description too short: who, what, when, how, evidence",IF(AND(E66="ITAC",G66&lt;&gt;"Automated"),"ITAC must be Automated",IF(AND(OR(E66="ITAC",E66="IPE",E66="ITDM"),N66=""),"Dependent ITGCs needed",IF(S66=0,"No risk mapped (Risk_Control_Map)",IF(AND(I66="Y",J66&lt;&gt;"Y"),"Key control should be SOX in scope","OK")))))))</f>
        <v/>
      </c>
    </row>
    <row r="67" customFormat="false" ht="15" hidden="false" customHeight="false" outlineLevel="0" collapsed="false">
      <c r="A67" s="15"/>
      <c r="B67" s="15"/>
      <c r="C67" s="15"/>
      <c r="D67" s="15"/>
      <c r="E67" s="15"/>
      <c r="F67" s="15"/>
      <c r="G67" s="15"/>
      <c r="H67" s="15"/>
      <c r="I67" s="15"/>
      <c r="J67" s="15"/>
      <c r="K67" s="15"/>
      <c r="L67" s="15"/>
      <c r="M67" s="15"/>
      <c r="N67" s="15"/>
      <c r="O67" s="15"/>
      <c r="P67" s="15"/>
      <c r="Q67" s="15"/>
      <c r="R67" s="15"/>
      <c r="S67" s="16" t="str">
        <f aca="false">IF(A67="","",COUNTIF(Risk_Control_Map!$C$5:$C$204,A67))</f>
        <v/>
      </c>
      <c r="T67" s="16" t="str">
        <f aca="false">IF(A67="","",IF(OR(B67="",C67="",E67="",G67="",H67="",K67=""),"Title, description, category, nature, frequency, owner needed",IF(LEN(C67)&lt;80,"Description too short: who, what, when, how, evidence",IF(AND(E67="ITAC",G67&lt;&gt;"Automated"),"ITAC must be Automated",IF(AND(OR(E67="ITAC",E67="IPE",E67="ITDM"),N67=""),"Dependent ITGCs needed",IF(S67=0,"No risk mapped (Risk_Control_Map)",IF(AND(I67="Y",J67&lt;&gt;"Y"),"Key control should be SOX in scope","OK")))))))</f>
        <v/>
      </c>
    </row>
    <row r="68" customFormat="false" ht="15" hidden="false" customHeight="false" outlineLevel="0" collapsed="false">
      <c r="A68" s="15"/>
      <c r="B68" s="15"/>
      <c r="C68" s="15"/>
      <c r="D68" s="15"/>
      <c r="E68" s="15"/>
      <c r="F68" s="15"/>
      <c r="G68" s="15"/>
      <c r="H68" s="15"/>
      <c r="I68" s="15"/>
      <c r="J68" s="15"/>
      <c r="K68" s="15"/>
      <c r="L68" s="15"/>
      <c r="M68" s="15"/>
      <c r="N68" s="15"/>
      <c r="O68" s="15"/>
      <c r="P68" s="15"/>
      <c r="Q68" s="15"/>
      <c r="R68" s="15"/>
      <c r="S68" s="16" t="str">
        <f aca="false">IF(A68="","",COUNTIF(Risk_Control_Map!$C$5:$C$204,A68))</f>
        <v/>
      </c>
      <c r="T68" s="16" t="str">
        <f aca="false">IF(A68="","",IF(OR(B68="",C68="",E68="",G68="",H68="",K68=""),"Title, description, category, nature, frequency, owner needed",IF(LEN(C68)&lt;80,"Description too short: who, what, when, how, evidence",IF(AND(E68="ITAC",G68&lt;&gt;"Automated"),"ITAC must be Automated",IF(AND(OR(E68="ITAC",E68="IPE",E68="ITDM"),N68=""),"Dependent ITGCs needed",IF(S68=0,"No risk mapped (Risk_Control_Map)",IF(AND(I68="Y",J68&lt;&gt;"Y"),"Key control should be SOX in scope","OK")))))))</f>
        <v/>
      </c>
    </row>
    <row r="69" customFormat="false" ht="15" hidden="false" customHeight="false" outlineLevel="0" collapsed="false">
      <c r="A69" s="15"/>
      <c r="B69" s="15"/>
      <c r="C69" s="15"/>
      <c r="D69" s="15"/>
      <c r="E69" s="15"/>
      <c r="F69" s="15"/>
      <c r="G69" s="15"/>
      <c r="H69" s="15"/>
      <c r="I69" s="15"/>
      <c r="J69" s="15"/>
      <c r="K69" s="15"/>
      <c r="L69" s="15"/>
      <c r="M69" s="15"/>
      <c r="N69" s="15"/>
      <c r="O69" s="15"/>
      <c r="P69" s="15"/>
      <c r="Q69" s="15"/>
      <c r="R69" s="15"/>
      <c r="S69" s="16" t="str">
        <f aca="false">IF(A69="","",COUNTIF(Risk_Control_Map!$C$5:$C$204,A69))</f>
        <v/>
      </c>
      <c r="T69" s="16" t="str">
        <f aca="false">IF(A69="","",IF(OR(B69="",C69="",E69="",G69="",H69="",K69=""),"Title, description, category, nature, frequency, owner needed",IF(LEN(C69)&lt;80,"Description too short: who, what, when, how, evidence",IF(AND(E69="ITAC",G69&lt;&gt;"Automated"),"ITAC must be Automated",IF(AND(OR(E69="ITAC",E69="IPE",E69="ITDM"),N69=""),"Dependent ITGCs needed",IF(S69=0,"No risk mapped (Risk_Control_Map)",IF(AND(I69="Y",J69&lt;&gt;"Y"),"Key control should be SOX in scope","OK")))))))</f>
        <v/>
      </c>
    </row>
    <row r="70" customFormat="false" ht="15" hidden="false" customHeight="false" outlineLevel="0" collapsed="false">
      <c r="A70" s="15"/>
      <c r="B70" s="15"/>
      <c r="C70" s="15"/>
      <c r="D70" s="15"/>
      <c r="E70" s="15"/>
      <c r="F70" s="15"/>
      <c r="G70" s="15"/>
      <c r="H70" s="15"/>
      <c r="I70" s="15"/>
      <c r="J70" s="15"/>
      <c r="K70" s="15"/>
      <c r="L70" s="15"/>
      <c r="M70" s="15"/>
      <c r="N70" s="15"/>
      <c r="O70" s="15"/>
      <c r="P70" s="15"/>
      <c r="Q70" s="15"/>
      <c r="R70" s="15"/>
      <c r="S70" s="16" t="str">
        <f aca="false">IF(A70="","",COUNTIF(Risk_Control_Map!$C$5:$C$204,A70))</f>
        <v/>
      </c>
      <c r="T70" s="16" t="str">
        <f aca="false">IF(A70="","",IF(OR(B70="",C70="",E70="",G70="",H70="",K70=""),"Title, description, category, nature, frequency, owner needed",IF(LEN(C70)&lt;80,"Description too short: who, what, when, how, evidence",IF(AND(E70="ITAC",G70&lt;&gt;"Automated"),"ITAC must be Automated",IF(AND(OR(E70="ITAC",E70="IPE",E70="ITDM"),N70=""),"Dependent ITGCs needed",IF(S70=0,"No risk mapped (Risk_Control_Map)",IF(AND(I70="Y",J70&lt;&gt;"Y"),"Key control should be SOX in scope","OK")))))))</f>
        <v/>
      </c>
    </row>
    <row r="71" customFormat="false" ht="15" hidden="false" customHeight="false" outlineLevel="0" collapsed="false">
      <c r="A71" s="15"/>
      <c r="B71" s="15"/>
      <c r="C71" s="15"/>
      <c r="D71" s="15"/>
      <c r="E71" s="15"/>
      <c r="F71" s="15"/>
      <c r="G71" s="15"/>
      <c r="H71" s="15"/>
      <c r="I71" s="15"/>
      <c r="J71" s="15"/>
      <c r="K71" s="15"/>
      <c r="L71" s="15"/>
      <c r="M71" s="15"/>
      <c r="N71" s="15"/>
      <c r="O71" s="15"/>
      <c r="P71" s="15"/>
      <c r="Q71" s="15"/>
      <c r="R71" s="15"/>
      <c r="S71" s="16" t="str">
        <f aca="false">IF(A71="","",COUNTIF(Risk_Control_Map!$C$5:$C$204,A71))</f>
        <v/>
      </c>
      <c r="T71" s="16" t="str">
        <f aca="false">IF(A71="","",IF(OR(B71="",C71="",E71="",G71="",H71="",K71=""),"Title, description, category, nature, frequency, owner needed",IF(LEN(C71)&lt;80,"Description too short: who, what, when, how, evidence",IF(AND(E71="ITAC",G71&lt;&gt;"Automated"),"ITAC must be Automated",IF(AND(OR(E71="ITAC",E71="IPE",E71="ITDM"),N71=""),"Dependent ITGCs needed",IF(S71=0,"No risk mapped (Risk_Control_Map)",IF(AND(I71="Y",J71&lt;&gt;"Y"),"Key control should be SOX in scope","OK")))))))</f>
        <v/>
      </c>
    </row>
    <row r="72" customFormat="false" ht="15" hidden="false" customHeight="false" outlineLevel="0" collapsed="false">
      <c r="A72" s="15"/>
      <c r="B72" s="15"/>
      <c r="C72" s="15"/>
      <c r="D72" s="15"/>
      <c r="E72" s="15"/>
      <c r="F72" s="15"/>
      <c r="G72" s="15"/>
      <c r="H72" s="15"/>
      <c r="I72" s="15"/>
      <c r="J72" s="15"/>
      <c r="K72" s="15"/>
      <c r="L72" s="15"/>
      <c r="M72" s="15"/>
      <c r="N72" s="15"/>
      <c r="O72" s="15"/>
      <c r="P72" s="15"/>
      <c r="Q72" s="15"/>
      <c r="R72" s="15"/>
      <c r="S72" s="16" t="str">
        <f aca="false">IF(A72="","",COUNTIF(Risk_Control_Map!$C$5:$C$204,A72))</f>
        <v/>
      </c>
      <c r="T72" s="16" t="str">
        <f aca="false">IF(A72="","",IF(OR(B72="",C72="",E72="",G72="",H72="",K72=""),"Title, description, category, nature, frequency, owner needed",IF(LEN(C72)&lt;80,"Description too short: who, what, when, how, evidence",IF(AND(E72="ITAC",G72&lt;&gt;"Automated"),"ITAC must be Automated",IF(AND(OR(E72="ITAC",E72="IPE",E72="ITDM"),N72=""),"Dependent ITGCs needed",IF(S72=0,"No risk mapped (Risk_Control_Map)",IF(AND(I72="Y",J72&lt;&gt;"Y"),"Key control should be SOX in scope","OK")))))))</f>
        <v/>
      </c>
    </row>
    <row r="73" customFormat="false" ht="15" hidden="false" customHeight="false" outlineLevel="0" collapsed="false">
      <c r="A73" s="15"/>
      <c r="B73" s="15"/>
      <c r="C73" s="15"/>
      <c r="D73" s="15"/>
      <c r="E73" s="15"/>
      <c r="F73" s="15"/>
      <c r="G73" s="15"/>
      <c r="H73" s="15"/>
      <c r="I73" s="15"/>
      <c r="J73" s="15"/>
      <c r="K73" s="15"/>
      <c r="L73" s="15"/>
      <c r="M73" s="15"/>
      <c r="N73" s="15"/>
      <c r="O73" s="15"/>
      <c r="P73" s="15"/>
      <c r="Q73" s="15"/>
      <c r="R73" s="15"/>
      <c r="S73" s="16" t="str">
        <f aca="false">IF(A73="","",COUNTIF(Risk_Control_Map!$C$5:$C$204,A73))</f>
        <v/>
      </c>
      <c r="T73" s="16" t="str">
        <f aca="false">IF(A73="","",IF(OR(B73="",C73="",E73="",G73="",H73="",K73=""),"Title, description, category, nature, frequency, owner needed",IF(LEN(C73)&lt;80,"Description too short: who, what, when, how, evidence",IF(AND(E73="ITAC",G73&lt;&gt;"Automated"),"ITAC must be Automated",IF(AND(OR(E73="ITAC",E73="IPE",E73="ITDM"),N73=""),"Dependent ITGCs needed",IF(S73=0,"No risk mapped (Risk_Control_Map)",IF(AND(I73="Y",J73&lt;&gt;"Y"),"Key control should be SOX in scope","OK")))))))</f>
        <v/>
      </c>
    </row>
    <row r="74" customFormat="false" ht="15" hidden="false" customHeight="false" outlineLevel="0" collapsed="false">
      <c r="A74" s="15"/>
      <c r="B74" s="15"/>
      <c r="C74" s="15"/>
      <c r="D74" s="15"/>
      <c r="E74" s="15"/>
      <c r="F74" s="15"/>
      <c r="G74" s="15"/>
      <c r="H74" s="15"/>
      <c r="I74" s="15"/>
      <c r="J74" s="15"/>
      <c r="K74" s="15"/>
      <c r="L74" s="15"/>
      <c r="M74" s="15"/>
      <c r="N74" s="15"/>
      <c r="O74" s="15"/>
      <c r="P74" s="15"/>
      <c r="Q74" s="15"/>
      <c r="R74" s="15"/>
      <c r="S74" s="16" t="str">
        <f aca="false">IF(A74="","",COUNTIF(Risk_Control_Map!$C$5:$C$204,A74))</f>
        <v/>
      </c>
      <c r="T74" s="16" t="str">
        <f aca="false">IF(A74="","",IF(OR(B74="",C74="",E74="",G74="",H74="",K74=""),"Title, description, category, nature, frequency, owner needed",IF(LEN(C74)&lt;80,"Description too short: who, what, when, how, evidence",IF(AND(E74="ITAC",G74&lt;&gt;"Automated"),"ITAC must be Automated",IF(AND(OR(E74="ITAC",E74="IPE",E74="ITDM"),N74=""),"Dependent ITGCs needed",IF(S74=0,"No risk mapped (Risk_Control_Map)",IF(AND(I74="Y",J74&lt;&gt;"Y"),"Key control should be SOX in scope","OK")))))))</f>
        <v/>
      </c>
    </row>
    <row r="75" customFormat="false" ht="15" hidden="false" customHeight="false" outlineLevel="0" collapsed="false">
      <c r="A75" s="15"/>
      <c r="B75" s="15"/>
      <c r="C75" s="15"/>
      <c r="D75" s="15"/>
      <c r="E75" s="15"/>
      <c r="F75" s="15"/>
      <c r="G75" s="15"/>
      <c r="H75" s="15"/>
      <c r="I75" s="15"/>
      <c r="J75" s="15"/>
      <c r="K75" s="15"/>
      <c r="L75" s="15"/>
      <c r="M75" s="15"/>
      <c r="N75" s="15"/>
      <c r="O75" s="15"/>
      <c r="P75" s="15"/>
      <c r="Q75" s="15"/>
      <c r="R75" s="15"/>
      <c r="S75" s="16" t="str">
        <f aca="false">IF(A75="","",COUNTIF(Risk_Control_Map!$C$5:$C$204,A75))</f>
        <v/>
      </c>
      <c r="T75" s="16" t="str">
        <f aca="false">IF(A75="","",IF(OR(B75="",C75="",E75="",G75="",H75="",K75=""),"Title, description, category, nature, frequency, owner needed",IF(LEN(C75)&lt;80,"Description too short: who, what, when, how, evidence",IF(AND(E75="ITAC",G75&lt;&gt;"Automated"),"ITAC must be Automated",IF(AND(OR(E75="ITAC",E75="IPE",E75="ITDM"),N75=""),"Dependent ITGCs needed",IF(S75=0,"No risk mapped (Risk_Control_Map)",IF(AND(I75="Y",J75&lt;&gt;"Y"),"Key control should be SOX in scope","OK")))))))</f>
        <v/>
      </c>
    </row>
    <row r="76" customFormat="false" ht="15" hidden="false" customHeight="false" outlineLevel="0" collapsed="false">
      <c r="A76" s="15"/>
      <c r="B76" s="15"/>
      <c r="C76" s="15"/>
      <c r="D76" s="15"/>
      <c r="E76" s="15"/>
      <c r="F76" s="15"/>
      <c r="G76" s="15"/>
      <c r="H76" s="15"/>
      <c r="I76" s="15"/>
      <c r="J76" s="15"/>
      <c r="K76" s="15"/>
      <c r="L76" s="15"/>
      <c r="M76" s="15"/>
      <c r="N76" s="15"/>
      <c r="O76" s="15"/>
      <c r="P76" s="15"/>
      <c r="Q76" s="15"/>
      <c r="R76" s="15"/>
      <c r="S76" s="16" t="str">
        <f aca="false">IF(A76="","",COUNTIF(Risk_Control_Map!$C$5:$C$204,A76))</f>
        <v/>
      </c>
      <c r="T76" s="16" t="str">
        <f aca="false">IF(A76="","",IF(OR(B76="",C76="",E76="",G76="",H76="",K76=""),"Title, description, category, nature, frequency, owner needed",IF(LEN(C76)&lt;80,"Description too short: who, what, when, how, evidence",IF(AND(E76="ITAC",G76&lt;&gt;"Automated"),"ITAC must be Automated",IF(AND(OR(E76="ITAC",E76="IPE",E76="ITDM"),N76=""),"Dependent ITGCs needed",IF(S76=0,"No risk mapped (Risk_Control_Map)",IF(AND(I76="Y",J76&lt;&gt;"Y"),"Key control should be SOX in scope","OK")))))))</f>
        <v/>
      </c>
    </row>
    <row r="77" customFormat="false" ht="15" hidden="false" customHeight="false" outlineLevel="0" collapsed="false">
      <c r="A77" s="15"/>
      <c r="B77" s="15"/>
      <c r="C77" s="15"/>
      <c r="D77" s="15"/>
      <c r="E77" s="15"/>
      <c r="F77" s="15"/>
      <c r="G77" s="15"/>
      <c r="H77" s="15"/>
      <c r="I77" s="15"/>
      <c r="J77" s="15"/>
      <c r="K77" s="15"/>
      <c r="L77" s="15"/>
      <c r="M77" s="15"/>
      <c r="N77" s="15"/>
      <c r="O77" s="15"/>
      <c r="P77" s="15"/>
      <c r="Q77" s="15"/>
      <c r="R77" s="15"/>
      <c r="S77" s="16" t="str">
        <f aca="false">IF(A77="","",COUNTIF(Risk_Control_Map!$C$5:$C$204,A77))</f>
        <v/>
      </c>
      <c r="T77" s="16" t="str">
        <f aca="false">IF(A77="","",IF(OR(B77="",C77="",E77="",G77="",H77="",K77=""),"Title, description, category, nature, frequency, owner needed",IF(LEN(C77)&lt;80,"Description too short: who, what, when, how, evidence",IF(AND(E77="ITAC",G77&lt;&gt;"Automated"),"ITAC must be Automated",IF(AND(OR(E77="ITAC",E77="IPE",E77="ITDM"),N77=""),"Dependent ITGCs needed",IF(S77=0,"No risk mapped (Risk_Control_Map)",IF(AND(I77="Y",J77&lt;&gt;"Y"),"Key control should be SOX in scope","OK")))))))</f>
        <v/>
      </c>
    </row>
    <row r="78" customFormat="false" ht="15" hidden="false" customHeight="false" outlineLevel="0" collapsed="false">
      <c r="A78" s="15"/>
      <c r="B78" s="15"/>
      <c r="C78" s="15"/>
      <c r="D78" s="15"/>
      <c r="E78" s="15"/>
      <c r="F78" s="15"/>
      <c r="G78" s="15"/>
      <c r="H78" s="15"/>
      <c r="I78" s="15"/>
      <c r="J78" s="15"/>
      <c r="K78" s="15"/>
      <c r="L78" s="15"/>
      <c r="M78" s="15"/>
      <c r="N78" s="15"/>
      <c r="O78" s="15"/>
      <c r="P78" s="15"/>
      <c r="Q78" s="15"/>
      <c r="R78" s="15"/>
      <c r="S78" s="16" t="str">
        <f aca="false">IF(A78="","",COUNTIF(Risk_Control_Map!$C$5:$C$204,A78))</f>
        <v/>
      </c>
      <c r="T78" s="16" t="str">
        <f aca="false">IF(A78="","",IF(OR(B78="",C78="",E78="",G78="",H78="",K78=""),"Title, description, category, nature, frequency, owner needed",IF(LEN(C78)&lt;80,"Description too short: who, what, when, how, evidence",IF(AND(E78="ITAC",G78&lt;&gt;"Automated"),"ITAC must be Automated",IF(AND(OR(E78="ITAC",E78="IPE",E78="ITDM"),N78=""),"Dependent ITGCs needed",IF(S78=0,"No risk mapped (Risk_Control_Map)",IF(AND(I78="Y",J78&lt;&gt;"Y"),"Key control should be SOX in scope","OK")))))))</f>
        <v/>
      </c>
    </row>
    <row r="79" customFormat="false" ht="15" hidden="false" customHeight="false" outlineLevel="0" collapsed="false">
      <c r="A79" s="15"/>
      <c r="B79" s="15"/>
      <c r="C79" s="15"/>
      <c r="D79" s="15"/>
      <c r="E79" s="15"/>
      <c r="F79" s="15"/>
      <c r="G79" s="15"/>
      <c r="H79" s="15"/>
      <c r="I79" s="15"/>
      <c r="J79" s="15"/>
      <c r="K79" s="15"/>
      <c r="L79" s="15"/>
      <c r="M79" s="15"/>
      <c r="N79" s="15"/>
      <c r="O79" s="15"/>
      <c r="P79" s="15"/>
      <c r="Q79" s="15"/>
      <c r="R79" s="15"/>
      <c r="S79" s="16" t="str">
        <f aca="false">IF(A79="","",COUNTIF(Risk_Control_Map!$C$5:$C$204,A79))</f>
        <v/>
      </c>
      <c r="T79" s="16" t="str">
        <f aca="false">IF(A79="","",IF(OR(B79="",C79="",E79="",G79="",H79="",K79=""),"Title, description, category, nature, frequency, owner needed",IF(LEN(C79)&lt;80,"Description too short: who, what, when, how, evidence",IF(AND(E79="ITAC",G79&lt;&gt;"Automated"),"ITAC must be Automated",IF(AND(OR(E79="ITAC",E79="IPE",E79="ITDM"),N79=""),"Dependent ITGCs needed",IF(S79=0,"No risk mapped (Risk_Control_Map)",IF(AND(I79="Y",J79&lt;&gt;"Y"),"Key control should be SOX in scope","OK")))))))</f>
        <v/>
      </c>
    </row>
    <row r="80" customFormat="false" ht="15" hidden="false" customHeight="false" outlineLevel="0" collapsed="false">
      <c r="A80" s="15"/>
      <c r="B80" s="15"/>
      <c r="C80" s="15"/>
      <c r="D80" s="15"/>
      <c r="E80" s="15"/>
      <c r="F80" s="15"/>
      <c r="G80" s="15"/>
      <c r="H80" s="15"/>
      <c r="I80" s="15"/>
      <c r="J80" s="15"/>
      <c r="K80" s="15"/>
      <c r="L80" s="15"/>
      <c r="M80" s="15"/>
      <c r="N80" s="15"/>
      <c r="O80" s="15"/>
      <c r="P80" s="15"/>
      <c r="Q80" s="15"/>
      <c r="R80" s="15"/>
      <c r="S80" s="16" t="str">
        <f aca="false">IF(A80="","",COUNTIF(Risk_Control_Map!$C$5:$C$204,A80))</f>
        <v/>
      </c>
      <c r="T80" s="16" t="str">
        <f aca="false">IF(A80="","",IF(OR(B80="",C80="",E80="",G80="",H80="",K80=""),"Title, description, category, nature, frequency, owner needed",IF(LEN(C80)&lt;80,"Description too short: who, what, when, how, evidence",IF(AND(E80="ITAC",G80&lt;&gt;"Automated"),"ITAC must be Automated",IF(AND(OR(E80="ITAC",E80="IPE",E80="ITDM"),N80=""),"Dependent ITGCs needed",IF(S80=0,"No risk mapped (Risk_Control_Map)",IF(AND(I80="Y",J80&lt;&gt;"Y"),"Key control should be SOX in scope","OK")))))))</f>
        <v/>
      </c>
    </row>
    <row r="81" customFormat="false" ht="15" hidden="false" customHeight="false" outlineLevel="0" collapsed="false">
      <c r="A81" s="15"/>
      <c r="B81" s="15"/>
      <c r="C81" s="15"/>
      <c r="D81" s="15"/>
      <c r="E81" s="15"/>
      <c r="F81" s="15"/>
      <c r="G81" s="15"/>
      <c r="H81" s="15"/>
      <c r="I81" s="15"/>
      <c r="J81" s="15"/>
      <c r="K81" s="15"/>
      <c r="L81" s="15"/>
      <c r="M81" s="15"/>
      <c r="N81" s="15"/>
      <c r="O81" s="15"/>
      <c r="P81" s="15"/>
      <c r="Q81" s="15"/>
      <c r="R81" s="15"/>
      <c r="S81" s="16" t="str">
        <f aca="false">IF(A81="","",COUNTIF(Risk_Control_Map!$C$5:$C$204,A81))</f>
        <v/>
      </c>
      <c r="T81" s="16" t="str">
        <f aca="false">IF(A81="","",IF(OR(B81="",C81="",E81="",G81="",H81="",K81=""),"Title, description, category, nature, frequency, owner needed",IF(LEN(C81)&lt;80,"Description too short: who, what, when, how, evidence",IF(AND(E81="ITAC",G81&lt;&gt;"Automated"),"ITAC must be Automated",IF(AND(OR(E81="ITAC",E81="IPE",E81="ITDM"),N81=""),"Dependent ITGCs needed",IF(S81=0,"No risk mapped (Risk_Control_Map)",IF(AND(I81="Y",J81&lt;&gt;"Y"),"Key control should be SOX in scope","OK")))))))</f>
        <v/>
      </c>
    </row>
    <row r="82" customFormat="false" ht="15" hidden="false" customHeight="false" outlineLevel="0" collapsed="false">
      <c r="A82" s="15"/>
      <c r="B82" s="15"/>
      <c r="C82" s="15"/>
      <c r="D82" s="15"/>
      <c r="E82" s="15"/>
      <c r="F82" s="15"/>
      <c r="G82" s="15"/>
      <c r="H82" s="15"/>
      <c r="I82" s="15"/>
      <c r="J82" s="15"/>
      <c r="K82" s="15"/>
      <c r="L82" s="15"/>
      <c r="M82" s="15"/>
      <c r="N82" s="15"/>
      <c r="O82" s="15"/>
      <c r="P82" s="15"/>
      <c r="Q82" s="15"/>
      <c r="R82" s="15"/>
      <c r="S82" s="16" t="str">
        <f aca="false">IF(A82="","",COUNTIF(Risk_Control_Map!$C$5:$C$204,A82))</f>
        <v/>
      </c>
      <c r="T82" s="16" t="str">
        <f aca="false">IF(A82="","",IF(OR(B82="",C82="",E82="",G82="",H82="",K82=""),"Title, description, category, nature, frequency, owner needed",IF(LEN(C82)&lt;80,"Description too short: who, what, when, how, evidence",IF(AND(E82="ITAC",G82&lt;&gt;"Automated"),"ITAC must be Automated",IF(AND(OR(E82="ITAC",E82="IPE",E82="ITDM"),N82=""),"Dependent ITGCs needed",IF(S82=0,"No risk mapped (Risk_Control_Map)",IF(AND(I82="Y",J82&lt;&gt;"Y"),"Key control should be SOX in scope","OK")))))))</f>
        <v/>
      </c>
    </row>
    <row r="83" customFormat="false" ht="15" hidden="false" customHeight="false" outlineLevel="0" collapsed="false">
      <c r="A83" s="15"/>
      <c r="B83" s="15"/>
      <c r="C83" s="15"/>
      <c r="D83" s="15"/>
      <c r="E83" s="15"/>
      <c r="F83" s="15"/>
      <c r="G83" s="15"/>
      <c r="H83" s="15"/>
      <c r="I83" s="15"/>
      <c r="J83" s="15"/>
      <c r="K83" s="15"/>
      <c r="L83" s="15"/>
      <c r="M83" s="15"/>
      <c r="N83" s="15"/>
      <c r="O83" s="15"/>
      <c r="P83" s="15"/>
      <c r="Q83" s="15"/>
      <c r="R83" s="15"/>
      <c r="S83" s="16" t="str">
        <f aca="false">IF(A83="","",COUNTIF(Risk_Control_Map!$C$5:$C$204,A83))</f>
        <v/>
      </c>
      <c r="T83" s="16" t="str">
        <f aca="false">IF(A83="","",IF(OR(B83="",C83="",E83="",G83="",H83="",K83=""),"Title, description, category, nature, frequency, owner needed",IF(LEN(C83)&lt;80,"Description too short: who, what, when, how, evidence",IF(AND(E83="ITAC",G83&lt;&gt;"Automated"),"ITAC must be Automated",IF(AND(OR(E83="ITAC",E83="IPE",E83="ITDM"),N83=""),"Dependent ITGCs needed",IF(S83=0,"No risk mapped (Risk_Control_Map)",IF(AND(I83="Y",J83&lt;&gt;"Y"),"Key control should be SOX in scope","OK")))))))</f>
        <v/>
      </c>
    </row>
    <row r="84" customFormat="false" ht="15" hidden="false" customHeight="false" outlineLevel="0" collapsed="false">
      <c r="A84" s="15"/>
      <c r="B84" s="15"/>
      <c r="C84" s="15"/>
      <c r="D84" s="15"/>
      <c r="E84" s="15"/>
      <c r="F84" s="15"/>
      <c r="G84" s="15"/>
      <c r="H84" s="15"/>
      <c r="I84" s="15"/>
      <c r="J84" s="15"/>
      <c r="K84" s="15"/>
      <c r="L84" s="15"/>
      <c r="M84" s="15"/>
      <c r="N84" s="15"/>
      <c r="O84" s="15"/>
      <c r="P84" s="15"/>
      <c r="Q84" s="15"/>
      <c r="R84" s="15"/>
      <c r="S84" s="16" t="str">
        <f aca="false">IF(A84="","",COUNTIF(Risk_Control_Map!$C$5:$C$204,A84))</f>
        <v/>
      </c>
      <c r="T84" s="16" t="str">
        <f aca="false">IF(A84="","",IF(OR(B84="",C84="",E84="",G84="",H84="",K84=""),"Title, description, category, nature, frequency, owner needed",IF(LEN(C84)&lt;80,"Description too short: who, what, when, how, evidence",IF(AND(E84="ITAC",G84&lt;&gt;"Automated"),"ITAC must be Automated",IF(AND(OR(E84="ITAC",E84="IPE",E84="ITDM"),N84=""),"Dependent ITGCs needed",IF(S84=0,"No risk mapped (Risk_Control_Map)",IF(AND(I84="Y",J84&lt;&gt;"Y"),"Key control should be SOX in scope","OK")))))))</f>
        <v/>
      </c>
    </row>
    <row r="85" customFormat="false" ht="15" hidden="false" customHeight="false" outlineLevel="0" collapsed="false">
      <c r="A85" s="15"/>
      <c r="B85" s="15"/>
      <c r="C85" s="15"/>
      <c r="D85" s="15"/>
      <c r="E85" s="15"/>
      <c r="F85" s="15"/>
      <c r="G85" s="15"/>
      <c r="H85" s="15"/>
      <c r="I85" s="15"/>
      <c r="J85" s="15"/>
      <c r="K85" s="15"/>
      <c r="L85" s="15"/>
      <c r="M85" s="15"/>
      <c r="N85" s="15"/>
      <c r="O85" s="15"/>
      <c r="P85" s="15"/>
      <c r="Q85" s="15"/>
      <c r="R85" s="15"/>
      <c r="S85" s="16" t="str">
        <f aca="false">IF(A85="","",COUNTIF(Risk_Control_Map!$C$5:$C$204,A85))</f>
        <v/>
      </c>
      <c r="T85" s="16" t="str">
        <f aca="false">IF(A85="","",IF(OR(B85="",C85="",E85="",G85="",H85="",K85=""),"Title, description, category, nature, frequency, owner needed",IF(LEN(C85)&lt;80,"Description too short: who, what, when, how, evidence",IF(AND(E85="ITAC",G85&lt;&gt;"Automated"),"ITAC must be Automated",IF(AND(OR(E85="ITAC",E85="IPE",E85="ITDM"),N85=""),"Dependent ITGCs needed",IF(S85=0,"No risk mapped (Risk_Control_Map)",IF(AND(I85="Y",J85&lt;&gt;"Y"),"Key control should be SOX in scope","OK")))))))</f>
        <v/>
      </c>
    </row>
    <row r="86" customFormat="false" ht="15" hidden="false" customHeight="false" outlineLevel="0" collapsed="false">
      <c r="A86" s="15"/>
      <c r="B86" s="15"/>
      <c r="C86" s="15"/>
      <c r="D86" s="15"/>
      <c r="E86" s="15"/>
      <c r="F86" s="15"/>
      <c r="G86" s="15"/>
      <c r="H86" s="15"/>
      <c r="I86" s="15"/>
      <c r="J86" s="15"/>
      <c r="K86" s="15"/>
      <c r="L86" s="15"/>
      <c r="M86" s="15"/>
      <c r="N86" s="15"/>
      <c r="O86" s="15"/>
      <c r="P86" s="15"/>
      <c r="Q86" s="15"/>
      <c r="R86" s="15"/>
      <c r="S86" s="16" t="str">
        <f aca="false">IF(A86="","",COUNTIF(Risk_Control_Map!$C$5:$C$204,A86))</f>
        <v/>
      </c>
      <c r="T86" s="16" t="str">
        <f aca="false">IF(A86="","",IF(OR(B86="",C86="",E86="",G86="",H86="",K86=""),"Title, description, category, nature, frequency, owner needed",IF(LEN(C86)&lt;80,"Description too short: who, what, when, how, evidence",IF(AND(E86="ITAC",G86&lt;&gt;"Automated"),"ITAC must be Automated",IF(AND(OR(E86="ITAC",E86="IPE",E86="ITDM"),N86=""),"Dependent ITGCs needed",IF(S86=0,"No risk mapped (Risk_Control_Map)",IF(AND(I86="Y",J86&lt;&gt;"Y"),"Key control should be SOX in scope","OK")))))))</f>
        <v/>
      </c>
    </row>
    <row r="87" customFormat="false" ht="15" hidden="false" customHeight="false" outlineLevel="0" collapsed="false">
      <c r="A87" s="15"/>
      <c r="B87" s="15"/>
      <c r="C87" s="15"/>
      <c r="D87" s="15"/>
      <c r="E87" s="15"/>
      <c r="F87" s="15"/>
      <c r="G87" s="15"/>
      <c r="H87" s="15"/>
      <c r="I87" s="15"/>
      <c r="J87" s="15"/>
      <c r="K87" s="15"/>
      <c r="L87" s="15"/>
      <c r="M87" s="15"/>
      <c r="N87" s="15"/>
      <c r="O87" s="15"/>
      <c r="P87" s="15"/>
      <c r="Q87" s="15"/>
      <c r="R87" s="15"/>
      <c r="S87" s="16" t="str">
        <f aca="false">IF(A87="","",COUNTIF(Risk_Control_Map!$C$5:$C$204,A87))</f>
        <v/>
      </c>
      <c r="T87" s="16" t="str">
        <f aca="false">IF(A87="","",IF(OR(B87="",C87="",E87="",G87="",H87="",K87=""),"Title, description, category, nature, frequency, owner needed",IF(LEN(C87)&lt;80,"Description too short: who, what, when, how, evidence",IF(AND(E87="ITAC",G87&lt;&gt;"Automated"),"ITAC must be Automated",IF(AND(OR(E87="ITAC",E87="IPE",E87="ITDM"),N87=""),"Dependent ITGCs needed",IF(S87=0,"No risk mapped (Risk_Control_Map)",IF(AND(I87="Y",J87&lt;&gt;"Y"),"Key control should be SOX in scope","OK")))))))</f>
        <v/>
      </c>
    </row>
    <row r="88" customFormat="false" ht="15" hidden="false" customHeight="false" outlineLevel="0" collapsed="false">
      <c r="A88" s="15"/>
      <c r="B88" s="15"/>
      <c r="C88" s="15"/>
      <c r="D88" s="15"/>
      <c r="E88" s="15"/>
      <c r="F88" s="15"/>
      <c r="G88" s="15"/>
      <c r="H88" s="15"/>
      <c r="I88" s="15"/>
      <c r="J88" s="15"/>
      <c r="K88" s="15"/>
      <c r="L88" s="15"/>
      <c r="M88" s="15"/>
      <c r="N88" s="15"/>
      <c r="O88" s="15"/>
      <c r="P88" s="15"/>
      <c r="Q88" s="15"/>
      <c r="R88" s="15"/>
      <c r="S88" s="16" t="str">
        <f aca="false">IF(A88="","",COUNTIF(Risk_Control_Map!$C$5:$C$204,A88))</f>
        <v/>
      </c>
      <c r="T88" s="16" t="str">
        <f aca="false">IF(A88="","",IF(OR(B88="",C88="",E88="",G88="",H88="",K88=""),"Title, description, category, nature, frequency, owner needed",IF(LEN(C88)&lt;80,"Description too short: who, what, when, how, evidence",IF(AND(E88="ITAC",G88&lt;&gt;"Automated"),"ITAC must be Automated",IF(AND(OR(E88="ITAC",E88="IPE",E88="ITDM"),N88=""),"Dependent ITGCs needed",IF(S88=0,"No risk mapped (Risk_Control_Map)",IF(AND(I88="Y",J88&lt;&gt;"Y"),"Key control should be SOX in scope","OK")))))))</f>
        <v/>
      </c>
    </row>
    <row r="89" customFormat="false" ht="15" hidden="false" customHeight="false" outlineLevel="0" collapsed="false">
      <c r="A89" s="15"/>
      <c r="B89" s="15"/>
      <c r="C89" s="15"/>
      <c r="D89" s="15"/>
      <c r="E89" s="15"/>
      <c r="F89" s="15"/>
      <c r="G89" s="15"/>
      <c r="H89" s="15"/>
      <c r="I89" s="15"/>
      <c r="J89" s="15"/>
      <c r="K89" s="15"/>
      <c r="L89" s="15"/>
      <c r="M89" s="15"/>
      <c r="N89" s="15"/>
      <c r="O89" s="15"/>
      <c r="P89" s="15"/>
      <c r="Q89" s="15"/>
      <c r="R89" s="15"/>
      <c r="S89" s="16" t="str">
        <f aca="false">IF(A89="","",COUNTIF(Risk_Control_Map!$C$5:$C$204,A89))</f>
        <v/>
      </c>
      <c r="T89" s="16" t="str">
        <f aca="false">IF(A89="","",IF(OR(B89="",C89="",E89="",G89="",H89="",K89=""),"Title, description, category, nature, frequency, owner needed",IF(LEN(C89)&lt;80,"Description too short: who, what, when, how, evidence",IF(AND(E89="ITAC",G89&lt;&gt;"Automated"),"ITAC must be Automated",IF(AND(OR(E89="ITAC",E89="IPE",E89="ITDM"),N89=""),"Dependent ITGCs needed",IF(S89=0,"No risk mapped (Risk_Control_Map)",IF(AND(I89="Y",J89&lt;&gt;"Y"),"Key control should be SOX in scope","OK")))))))</f>
        <v/>
      </c>
    </row>
    <row r="90" customFormat="false" ht="15" hidden="false" customHeight="false" outlineLevel="0" collapsed="false">
      <c r="A90" s="15"/>
      <c r="B90" s="15"/>
      <c r="C90" s="15"/>
      <c r="D90" s="15"/>
      <c r="E90" s="15"/>
      <c r="F90" s="15"/>
      <c r="G90" s="15"/>
      <c r="H90" s="15"/>
      <c r="I90" s="15"/>
      <c r="J90" s="15"/>
      <c r="K90" s="15"/>
      <c r="L90" s="15"/>
      <c r="M90" s="15"/>
      <c r="N90" s="15"/>
      <c r="O90" s="15"/>
      <c r="P90" s="15"/>
      <c r="Q90" s="15"/>
      <c r="R90" s="15"/>
      <c r="S90" s="16" t="str">
        <f aca="false">IF(A90="","",COUNTIF(Risk_Control_Map!$C$5:$C$204,A90))</f>
        <v/>
      </c>
      <c r="T90" s="16" t="str">
        <f aca="false">IF(A90="","",IF(OR(B90="",C90="",E90="",G90="",H90="",K90=""),"Title, description, category, nature, frequency, owner needed",IF(LEN(C90)&lt;80,"Description too short: who, what, when, how, evidence",IF(AND(E90="ITAC",G90&lt;&gt;"Automated"),"ITAC must be Automated",IF(AND(OR(E90="ITAC",E90="IPE",E90="ITDM"),N90=""),"Dependent ITGCs needed",IF(S90=0,"No risk mapped (Risk_Control_Map)",IF(AND(I90="Y",J90&lt;&gt;"Y"),"Key control should be SOX in scope","OK")))))))</f>
        <v/>
      </c>
    </row>
    <row r="91" customFormat="false" ht="15" hidden="false" customHeight="false" outlineLevel="0" collapsed="false">
      <c r="A91" s="15"/>
      <c r="B91" s="15"/>
      <c r="C91" s="15"/>
      <c r="D91" s="15"/>
      <c r="E91" s="15"/>
      <c r="F91" s="15"/>
      <c r="G91" s="15"/>
      <c r="H91" s="15"/>
      <c r="I91" s="15"/>
      <c r="J91" s="15"/>
      <c r="K91" s="15"/>
      <c r="L91" s="15"/>
      <c r="M91" s="15"/>
      <c r="N91" s="15"/>
      <c r="O91" s="15"/>
      <c r="P91" s="15"/>
      <c r="Q91" s="15"/>
      <c r="R91" s="15"/>
      <c r="S91" s="16" t="str">
        <f aca="false">IF(A91="","",COUNTIF(Risk_Control_Map!$C$5:$C$204,A91))</f>
        <v/>
      </c>
      <c r="T91" s="16" t="str">
        <f aca="false">IF(A91="","",IF(OR(B91="",C91="",E91="",G91="",H91="",K91=""),"Title, description, category, nature, frequency, owner needed",IF(LEN(C91)&lt;80,"Description too short: who, what, when, how, evidence",IF(AND(E91="ITAC",G91&lt;&gt;"Automated"),"ITAC must be Automated",IF(AND(OR(E91="ITAC",E91="IPE",E91="ITDM"),N91=""),"Dependent ITGCs needed",IF(S91=0,"No risk mapped (Risk_Control_Map)",IF(AND(I91="Y",J91&lt;&gt;"Y"),"Key control should be SOX in scope","OK")))))))</f>
        <v/>
      </c>
    </row>
    <row r="92" customFormat="false" ht="15" hidden="false" customHeight="false" outlineLevel="0" collapsed="false">
      <c r="A92" s="15"/>
      <c r="B92" s="15"/>
      <c r="C92" s="15"/>
      <c r="D92" s="15"/>
      <c r="E92" s="15"/>
      <c r="F92" s="15"/>
      <c r="G92" s="15"/>
      <c r="H92" s="15"/>
      <c r="I92" s="15"/>
      <c r="J92" s="15"/>
      <c r="K92" s="15"/>
      <c r="L92" s="15"/>
      <c r="M92" s="15"/>
      <c r="N92" s="15"/>
      <c r="O92" s="15"/>
      <c r="P92" s="15"/>
      <c r="Q92" s="15"/>
      <c r="R92" s="15"/>
      <c r="S92" s="16" t="str">
        <f aca="false">IF(A92="","",COUNTIF(Risk_Control_Map!$C$5:$C$204,A92))</f>
        <v/>
      </c>
      <c r="T92" s="16" t="str">
        <f aca="false">IF(A92="","",IF(OR(B92="",C92="",E92="",G92="",H92="",K92=""),"Title, description, category, nature, frequency, owner needed",IF(LEN(C92)&lt;80,"Description too short: who, what, when, how, evidence",IF(AND(E92="ITAC",G92&lt;&gt;"Automated"),"ITAC must be Automated",IF(AND(OR(E92="ITAC",E92="IPE",E92="ITDM"),N92=""),"Dependent ITGCs needed",IF(S92=0,"No risk mapped (Risk_Control_Map)",IF(AND(I92="Y",J92&lt;&gt;"Y"),"Key control should be SOX in scope","OK")))))))</f>
        <v/>
      </c>
    </row>
    <row r="93" customFormat="false" ht="15" hidden="false" customHeight="false" outlineLevel="0" collapsed="false">
      <c r="A93" s="15"/>
      <c r="B93" s="15"/>
      <c r="C93" s="15"/>
      <c r="D93" s="15"/>
      <c r="E93" s="15"/>
      <c r="F93" s="15"/>
      <c r="G93" s="15"/>
      <c r="H93" s="15"/>
      <c r="I93" s="15"/>
      <c r="J93" s="15"/>
      <c r="K93" s="15"/>
      <c r="L93" s="15"/>
      <c r="M93" s="15"/>
      <c r="N93" s="15"/>
      <c r="O93" s="15"/>
      <c r="P93" s="15"/>
      <c r="Q93" s="15"/>
      <c r="R93" s="15"/>
      <c r="S93" s="16" t="str">
        <f aca="false">IF(A93="","",COUNTIF(Risk_Control_Map!$C$5:$C$204,A93))</f>
        <v/>
      </c>
      <c r="T93" s="16" t="str">
        <f aca="false">IF(A93="","",IF(OR(B93="",C93="",E93="",G93="",H93="",K93=""),"Title, description, category, nature, frequency, owner needed",IF(LEN(C93)&lt;80,"Description too short: who, what, when, how, evidence",IF(AND(E93="ITAC",G93&lt;&gt;"Automated"),"ITAC must be Automated",IF(AND(OR(E93="ITAC",E93="IPE",E93="ITDM"),N93=""),"Dependent ITGCs needed",IF(S93=0,"No risk mapped (Risk_Control_Map)",IF(AND(I93="Y",J93&lt;&gt;"Y"),"Key control should be SOX in scope","OK")))))))</f>
        <v/>
      </c>
    </row>
    <row r="94" customFormat="false" ht="15" hidden="false" customHeight="false" outlineLevel="0" collapsed="false">
      <c r="A94" s="15"/>
      <c r="B94" s="15"/>
      <c r="C94" s="15"/>
      <c r="D94" s="15"/>
      <c r="E94" s="15"/>
      <c r="F94" s="15"/>
      <c r="G94" s="15"/>
      <c r="H94" s="15"/>
      <c r="I94" s="15"/>
      <c r="J94" s="15"/>
      <c r="K94" s="15"/>
      <c r="L94" s="15"/>
      <c r="M94" s="15"/>
      <c r="N94" s="15"/>
      <c r="O94" s="15"/>
      <c r="P94" s="15"/>
      <c r="Q94" s="15"/>
      <c r="R94" s="15"/>
      <c r="S94" s="16" t="str">
        <f aca="false">IF(A94="","",COUNTIF(Risk_Control_Map!$C$5:$C$204,A94))</f>
        <v/>
      </c>
      <c r="T94" s="16" t="str">
        <f aca="false">IF(A94="","",IF(OR(B94="",C94="",E94="",G94="",H94="",K94=""),"Title, description, category, nature, frequency, owner needed",IF(LEN(C94)&lt;80,"Description too short: who, what, when, how, evidence",IF(AND(E94="ITAC",G94&lt;&gt;"Automated"),"ITAC must be Automated",IF(AND(OR(E94="ITAC",E94="IPE",E94="ITDM"),N94=""),"Dependent ITGCs needed",IF(S94=0,"No risk mapped (Risk_Control_Map)",IF(AND(I94="Y",J94&lt;&gt;"Y"),"Key control should be SOX in scope","OK")))))))</f>
        <v/>
      </c>
    </row>
    <row r="95" customFormat="false" ht="15" hidden="false" customHeight="false" outlineLevel="0" collapsed="false">
      <c r="A95" s="15"/>
      <c r="B95" s="15"/>
      <c r="C95" s="15"/>
      <c r="D95" s="15"/>
      <c r="E95" s="15"/>
      <c r="F95" s="15"/>
      <c r="G95" s="15"/>
      <c r="H95" s="15"/>
      <c r="I95" s="15"/>
      <c r="J95" s="15"/>
      <c r="K95" s="15"/>
      <c r="L95" s="15"/>
      <c r="M95" s="15"/>
      <c r="N95" s="15"/>
      <c r="O95" s="15"/>
      <c r="P95" s="15"/>
      <c r="Q95" s="15"/>
      <c r="R95" s="15"/>
      <c r="S95" s="16" t="str">
        <f aca="false">IF(A95="","",COUNTIF(Risk_Control_Map!$C$5:$C$204,A95))</f>
        <v/>
      </c>
      <c r="T95" s="16" t="str">
        <f aca="false">IF(A95="","",IF(OR(B95="",C95="",E95="",G95="",H95="",K95=""),"Title, description, category, nature, frequency, owner needed",IF(LEN(C95)&lt;80,"Description too short: who, what, when, how, evidence",IF(AND(E95="ITAC",G95&lt;&gt;"Automated"),"ITAC must be Automated",IF(AND(OR(E95="ITAC",E95="IPE",E95="ITDM"),N95=""),"Dependent ITGCs needed",IF(S95=0,"No risk mapped (Risk_Control_Map)",IF(AND(I95="Y",J95&lt;&gt;"Y"),"Key control should be SOX in scope","OK")))))))</f>
        <v/>
      </c>
    </row>
    <row r="96" customFormat="false" ht="15" hidden="false" customHeight="false" outlineLevel="0" collapsed="false">
      <c r="A96" s="15"/>
      <c r="B96" s="15"/>
      <c r="C96" s="15"/>
      <c r="D96" s="15"/>
      <c r="E96" s="15"/>
      <c r="F96" s="15"/>
      <c r="G96" s="15"/>
      <c r="H96" s="15"/>
      <c r="I96" s="15"/>
      <c r="J96" s="15"/>
      <c r="K96" s="15"/>
      <c r="L96" s="15"/>
      <c r="M96" s="15"/>
      <c r="N96" s="15"/>
      <c r="O96" s="15"/>
      <c r="P96" s="15"/>
      <c r="Q96" s="15"/>
      <c r="R96" s="15"/>
      <c r="S96" s="16" t="str">
        <f aca="false">IF(A96="","",COUNTIF(Risk_Control_Map!$C$5:$C$204,A96))</f>
        <v/>
      </c>
      <c r="T96" s="16" t="str">
        <f aca="false">IF(A96="","",IF(OR(B96="",C96="",E96="",G96="",H96="",K96=""),"Title, description, category, nature, frequency, owner needed",IF(LEN(C96)&lt;80,"Description too short: who, what, when, how, evidence",IF(AND(E96="ITAC",G96&lt;&gt;"Automated"),"ITAC must be Automated",IF(AND(OR(E96="ITAC",E96="IPE",E96="ITDM"),N96=""),"Dependent ITGCs needed",IF(S96=0,"No risk mapped (Risk_Control_Map)",IF(AND(I96="Y",J96&lt;&gt;"Y"),"Key control should be SOX in scope","OK")))))))</f>
        <v/>
      </c>
    </row>
    <row r="97" customFormat="false" ht="15" hidden="false" customHeight="false" outlineLevel="0" collapsed="false">
      <c r="A97" s="15"/>
      <c r="B97" s="15"/>
      <c r="C97" s="15"/>
      <c r="D97" s="15"/>
      <c r="E97" s="15"/>
      <c r="F97" s="15"/>
      <c r="G97" s="15"/>
      <c r="H97" s="15"/>
      <c r="I97" s="15"/>
      <c r="J97" s="15"/>
      <c r="K97" s="15"/>
      <c r="L97" s="15"/>
      <c r="M97" s="15"/>
      <c r="N97" s="15"/>
      <c r="O97" s="15"/>
      <c r="P97" s="15"/>
      <c r="Q97" s="15"/>
      <c r="R97" s="15"/>
      <c r="S97" s="16" t="str">
        <f aca="false">IF(A97="","",COUNTIF(Risk_Control_Map!$C$5:$C$204,A97))</f>
        <v/>
      </c>
      <c r="T97" s="16" t="str">
        <f aca="false">IF(A97="","",IF(OR(B97="",C97="",E97="",G97="",H97="",K97=""),"Title, description, category, nature, frequency, owner needed",IF(LEN(C97)&lt;80,"Description too short: who, what, when, how, evidence",IF(AND(E97="ITAC",G97&lt;&gt;"Automated"),"ITAC must be Automated",IF(AND(OR(E97="ITAC",E97="IPE",E97="ITDM"),N97=""),"Dependent ITGCs needed",IF(S97=0,"No risk mapped (Risk_Control_Map)",IF(AND(I97="Y",J97&lt;&gt;"Y"),"Key control should be SOX in scope","OK")))))))</f>
        <v/>
      </c>
    </row>
    <row r="98" customFormat="false" ht="15" hidden="false" customHeight="false" outlineLevel="0" collapsed="false">
      <c r="A98" s="15"/>
      <c r="B98" s="15"/>
      <c r="C98" s="15"/>
      <c r="D98" s="15"/>
      <c r="E98" s="15"/>
      <c r="F98" s="15"/>
      <c r="G98" s="15"/>
      <c r="H98" s="15"/>
      <c r="I98" s="15"/>
      <c r="J98" s="15"/>
      <c r="K98" s="15"/>
      <c r="L98" s="15"/>
      <c r="M98" s="15"/>
      <c r="N98" s="15"/>
      <c r="O98" s="15"/>
      <c r="P98" s="15"/>
      <c r="Q98" s="15"/>
      <c r="R98" s="15"/>
      <c r="S98" s="16" t="str">
        <f aca="false">IF(A98="","",COUNTIF(Risk_Control_Map!$C$5:$C$204,A98))</f>
        <v/>
      </c>
      <c r="T98" s="16" t="str">
        <f aca="false">IF(A98="","",IF(OR(B98="",C98="",E98="",G98="",H98="",K98=""),"Title, description, category, nature, frequency, owner needed",IF(LEN(C98)&lt;80,"Description too short: who, what, when, how, evidence",IF(AND(E98="ITAC",G98&lt;&gt;"Automated"),"ITAC must be Automated",IF(AND(OR(E98="ITAC",E98="IPE",E98="ITDM"),N98=""),"Dependent ITGCs needed",IF(S98=0,"No risk mapped (Risk_Control_Map)",IF(AND(I98="Y",J98&lt;&gt;"Y"),"Key control should be SOX in scope","OK")))))))</f>
        <v/>
      </c>
    </row>
    <row r="99" customFormat="false" ht="15" hidden="false" customHeight="false" outlineLevel="0" collapsed="false">
      <c r="A99" s="15"/>
      <c r="B99" s="15"/>
      <c r="C99" s="15"/>
      <c r="D99" s="15"/>
      <c r="E99" s="15"/>
      <c r="F99" s="15"/>
      <c r="G99" s="15"/>
      <c r="H99" s="15"/>
      <c r="I99" s="15"/>
      <c r="J99" s="15"/>
      <c r="K99" s="15"/>
      <c r="L99" s="15"/>
      <c r="M99" s="15"/>
      <c r="N99" s="15"/>
      <c r="O99" s="15"/>
      <c r="P99" s="15"/>
      <c r="Q99" s="15"/>
      <c r="R99" s="15"/>
      <c r="S99" s="16" t="str">
        <f aca="false">IF(A99="","",COUNTIF(Risk_Control_Map!$C$5:$C$204,A99))</f>
        <v/>
      </c>
      <c r="T99" s="16" t="str">
        <f aca="false">IF(A99="","",IF(OR(B99="",C99="",E99="",G99="",H99="",K99=""),"Title, description, category, nature, frequency, owner needed",IF(LEN(C99)&lt;80,"Description too short: who, what, when, how, evidence",IF(AND(E99="ITAC",G99&lt;&gt;"Automated"),"ITAC must be Automated",IF(AND(OR(E99="ITAC",E99="IPE",E99="ITDM"),N99=""),"Dependent ITGCs needed",IF(S99=0,"No risk mapped (Risk_Control_Map)",IF(AND(I99="Y",J99&lt;&gt;"Y"),"Key control should be SOX in scope","OK")))))))</f>
        <v/>
      </c>
    </row>
    <row r="100" customFormat="false" ht="15" hidden="false" customHeight="false" outlineLevel="0" collapsed="false">
      <c r="A100" s="15"/>
      <c r="B100" s="15"/>
      <c r="C100" s="15"/>
      <c r="D100" s="15"/>
      <c r="E100" s="15"/>
      <c r="F100" s="15"/>
      <c r="G100" s="15"/>
      <c r="H100" s="15"/>
      <c r="I100" s="15"/>
      <c r="J100" s="15"/>
      <c r="K100" s="15"/>
      <c r="L100" s="15"/>
      <c r="M100" s="15"/>
      <c r="N100" s="15"/>
      <c r="O100" s="15"/>
      <c r="P100" s="15"/>
      <c r="Q100" s="15"/>
      <c r="R100" s="15"/>
      <c r="S100" s="16" t="str">
        <f aca="false">IF(A100="","",COUNTIF(Risk_Control_Map!$C$5:$C$204,A100))</f>
        <v/>
      </c>
      <c r="T100" s="16" t="str">
        <f aca="false">IF(A100="","",IF(OR(B100="",C100="",E100="",G100="",H100="",K100=""),"Title, description, category, nature, frequency, owner needed",IF(LEN(C100)&lt;80,"Description too short: who, what, when, how, evidence",IF(AND(E100="ITAC",G100&lt;&gt;"Automated"),"ITAC must be Automated",IF(AND(OR(E100="ITAC",E100="IPE",E100="ITDM"),N100=""),"Dependent ITGCs needed",IF(S100=0,"No risk mapped (Risk_Control_Map)",IF(AND(I100="Y",J100&lt;&gt;"Y"),"Key control should be SOX in scope","OK")))))))</f>
        <v/>
      </c>
    </row>
    <row r="101" customFormat="false" ht="15" hidden="false" customHeight="false" outlineLevel="0" collapsed="false">
      <c r="A101" s="15"/>
      <c r="B101" s="15"/>
      <c r="C101" s="15"/>
      <c r="D101" s="15"/>
      <c r="E101" s="15"/>
      <c r="F101" s="15"/>
      <c r="G101" s="15"/>
      <c r="H101" s="15"/>
      <c r="I101" s="15"/>
      <c r="J101" s="15"/>
      <c r="K101" s="15"/>
      <c r="L101" s="15"/>
      <c r="M101" s="15"/>
      <c r="N101" s="15"/>
      <c r="O101" s="15"/>
      <c r="P101" s="15"/>
      <c r="Q101" s="15"/>
      <c r="R101" s="15"/>
      <c r="S101" s="16" t="str">
        <f aca="false">IF(A101="","",COUNTIF(Risk_Control_Map!$C$5:$C$204,A101))</f>
        <v/>
      </c>
      <c r="T101" s="16" t="str">
        <f aca="false">IF(A101="","",IF(OR(B101="",C101="",E101="",G101="",H101="",K101=""),"Title, description, category, nature, frequency, owner needed",IF(LEN(C101)&lt;80,"Description too short: who, what, when, how, evidence",IF(AND(E101="ITAC",G101&lt;&gt;"Automated"),"ITAC must be Automated",IF(AND(OR(E101="ITAC",E101="IPE",E101="ITDM"),N101=""),"Dependent ITGCs needed",IF(S101=0,"No risk mapped (Risk_Control_Map)",IF(AND(I101="Y",J101&lt;&gt;"Y"),"Key control should be SOX in scope","OK")))))))</f>
        <v/>
      </c>
    </row>
    <row r="102" customFormat="false" ht="15" hidden="false" customHeight="false" outlineLevel="0" collapsed="false">
      <c r="A102" s="15"/>
      <c r="B102" s="15"/>
      <c r="C102" s="15"/>
      <c r="D102" s="15"/>
      <c r="E102" s="15"/>
      <c r="F102" s="15"/>
      <c r="G102" s="15"/>
      <c r="H102" s="15"/>
      <c r="I102" s="15"/>
      <c r="J102" s="15"/>
      <c r="K102" s="15"/>
      <c r="L102" s="15"/>
      <c r="M102" s="15"/>
      <c r="N102" s="15"/>
      <c r="O102" s="15"/>
      <c r="P102" s="15"/>
      <c r="Q102" s="15"/>
      <c r="R102" s="15"/>
      <c r="S102" s="16" t="str">
        <f aca="false">IF(A102="","",COUNTIF(Risk_Control_Map!$C$5:$C$204,A102))</f>
        <v/>
      </c>
      <c r="T102" s="16" t="str">
        <f aca="false">IF(A102="","",IF(OR(B102="",C102="",E102="",G102="",H102="",K102=""),"Title, description, category, nature, frequency, owner needed",IF(LEN(C102)&lt;80,"Description too short: who, what, when, how, evidence",IF(AND(E102="ITAC",G102&lt;&gt;"Automated"),"ITAC must be Automated",IF(AND(OR(E102="ITAC",E102="IPE",E102="ITDM"),N102=""),"Dependent ITGCs needed",IF(S102=0,"No risk mapped (Risk_Control_Map)",IF(AND(I102="Y",J102&lt;&gt;"Y"),"Key control should be SOX in scope","OK")))))))</f>
        <v/>
      </c>
    </row>
    <row r="103" customFormat="false" ht="15" hidden="false" customHeight="false" outlineLevel="0" collapsed="false">
      <c r="A103" s="15"/>
      <c r="B103" s="15"/>
      <c r="C103" s="15"/>
      <c r="D103" s="15"/>
      <c r="E103" s="15"/>
      <c r="F103" s="15"/>
      <c r="G103" s="15"/>
      <c r="H103" s="15"/>
      <c r="I103" s="15"/>
      <c r="J103" s="15"/>
      <c r="K103" s="15"/>
      <c r="L103" s="15"/>
      <c r="M103" s="15"/>
      <c r="N103" s="15"/>
      <c r="O103" s="15"/>
      <c r="P103" s="15"/>
      <c r="Q103" s="15"/>
      <c r="R103" s="15"/>
      <c r="S103" s="16" t="str">
        <f aca="false">IF(A103="","",COUNTIF(Risk_Control_Map!$C$5:$C$204,A103))</f>
        <v/>
      </c>
      <c r="T103" s="16" t="str">
        <f aca="false">IF(A103="","",IF(OR(B103="",C103="",E103="",G103="",H103="",K103=""),"Title, description, category, nature, frequency, owner needed",IF(LEN(C103)&lt;80,"Description too short: who, what, when, how, evidence",IF(AND(E103="ITAC",G103&lt;&gt;"Automated"),"ITAC must be Automated",IF(AND(OR(E103="ITAC",E103="IPE",E103="ITDM"),N103=""),"Dependent ITGCs needed",IF(S103=0,"No risk mapped (Risk_Control_Map)",IF(AND(I103="Y",J103&lt;&gt;"Y"),"Key control should be SOX in scope","OK")))))))</f>
        <v/>
      </c>
    </row>
    <row r="104" customFormat="false" ht="15" hidden="false" customHeight="false" outlineLevel="0" collapsed="false">
      <c r="A104" s="15"/>
      <c r="B104" s="15"/>
      <c r="C104" s="15"/>
      <c r="D104" s="15"/>
      <c r="E104" s="15"/>
      <c r="F104" s="15"/>
      <c r="G104" s="15"/>
      <c r="H104" s="15"/>
      <c r="I104" s="15"/>
      <c r="J104" s="15"/>
      <c r="K104" s="15"/>
      <c r="L104" s="15"/>
      <c r="M104" s="15"/>
      <c r="N104" s="15"/>
      <c r="O104" s="15"/>
      <c r="P104" s="15"/>
      <c r="Q104" s="15"/>
      <c r="R104" s="15"/>
      <c r="S104" s="16" t="str">
        <f aca="false">IF(A104="","",COUNTIF(Risk_Control_Map!$C$5:$C$204,A104))</f>
        <v/>
      </c>
      <c r="T104" s="16" t="str">
        <f aca="false">IF(A104="","",IF(OR(B104="",C104="",E104="",G104="",H104="",K104=""),"Title, description, category, nature, frequency, owner needed",IF(LEN(C104)&lt;80,"Description too short: who, what, when, how, evidence",IF(AND(E104="ITAC",G104&lt;&gt;"Automated"),"ITAC must be Automated",IF(AND(OR(E104="ITAC",E104="IPE",E104="ITDM"),N104=""),"Dependent ITGCs needed",IF(S104=0,"No risk mapped (Risk_Control_Map)",IF(AND(I104="Y",J104&lt;&gt;"Y"),"Key control should be SOX in scope","OK")))))))</f>
        <v/>
      </c>
    </row>
    <row r="105" customFormat="false" ht="15" hidden="false" customHeight="false" outlineLevel="0" collapsed="false">
      <c r="A105" s="15"/>
      <c r="B105" s="15"/>
      <c r="C105" s="15"/>
      <c r="D105" s="15"/>
      <c r="E105" s="15"/>
      <c r="F105" s="15"/>
      <c r="G105" s="15"/>
      <c r="H105" s="15"/>
      <c r="I105" s="15"/>
      <c r="J105" s="15"/>
      <c r="K105" s="15"/>
      <c r="L105" s="15"/>
      <c r="M105" s="15"/>
      <c r="N105" s="15"/>
      <c r="O105" s="15"/>
      <c r="P105" s="15"/>
      <c r="Q105" s="15"/>
      <c r="R105" s="15"/>
      <c r="S105" s="16" t="str">
        <f aca="false">IF(A105="","",COUNTIF(Risk_Control_Map!$C$5:$C$204,A105))</f>
        <v/>
      </c>
      <c r="T105" s="16" t="str">
        <f aca="false">IF(A105="","",IF(OR(B105="",C105="",E105="",G105="",H105="",K105=""),"Title, description, category, nature, frequency, owner needed",IF(LEN(C105)&lt;80,"Description too short: who, what, when, how, evidence",IF(AND(E105="ITAC",G105&lt;&gt;"Automated"),"ITAC must be Automated",IF(AND(OR(E105="ITAC",E105="IPE",E105="ITDM"),N105=""),"Dependent ITGCs needed",IF(S105=0,"No risk mapped (Risk_Control_Map)",IF(AND(I105="Y",J105&lt;&gt;"Y"),"Key control should be SOX in scope","OK")))))))</f>
        <v/>
      </c>
    </row>
    <row r="106" customFormat="false" ht="15" hidden="false" customHeight="false" outlineLevel="0" collapsed="false">
      <c r="A106" s="15"/>
      <c r="B106" s="15"/>
      <c r="C106" s="15"/>
      <c r="D106" s="15"/>
      <c r="E106" s="15"/>
      <c r="F106" s="15"/>
      <c r="G106" s="15"/>
      <c r="H106" s="15"/>
      <c r="I106" s="15"/>
      <c r="J106" s="15"/>
      <c r="K106" s="15"/>
      <c r="L106" s="15"/>
      <c r="M106" s="15"/>
      <c r="N106" s="15"/>
      <c r="O106" s="15"/>
      <c r="P106" s="15"/>
      <c r="Q106" s="15"/>
      <c r="R106" s="15"/>
      <c r="S106" s="16" t="str">
        <f aca="false">IF(A106="","",COUNTIF(Risk_Control_Map!$C$5:$C$204,A106))</f>
        <v/>
      </c>
      <c r="T106" s="16" t="str">
        <f aca="false">IF(A106="","",IF(OR(B106="",C106="",E106="",G106="",H106="",K106=""),"Title, description, category, nature, frequency, owner needed",IF(LEN(C106)&lt;80,"Description too short: who, what, when, how, evidence",IF(AND(E106="ITAC",G106&lt;&gt;"Automated"),"ITAC must be Automated",IF(AND(OR(E106="ITAC",E106="IPE",E106="ITDM"),N106=""),"Dependent ITGCs needed",IF(S106=0,"No risk mapped (Risk_Control_Map)",IF(AND(I106="Y",J106&lt;&gt;"Y"),"Key control should be SOX in scope","OK")))))))</f>
        <v/>
      </c>
    </row>
    <row r="107" customFormat="false" ht="15" hidden="false" customHeight="false" outlineLevel="0" collapsed="false">
      <c r="A107" s="15"/>
      <c r="B107" s="15"/>
      <c r="C107" s="15"/>
      <c r="D107" s="15"/>
      <c r="E107" s="15"/>
      <c r="F107" s="15"/>
      <c r="G107" s="15"/>
      <c r="H107" s="15"/>
      <c r="I107" s="15"/>
      <c r="J107" s="15"/>
      <c r="K107" s="15"/>
      <c r="L107" s="15"/>
      <c r="M107" s="15"/>
      <c r="N107" s="15"/>
      <c r="O107" s="15"/>
      <c r="P107" s="15"/>
      <c r="Q107" s="15"/>
      <c r="R107" s="15"/>
      <c r="S107" s="16" t="str">
        <f aca="false">IF(A107="","",COUNTIF(Risk_Control_Map!$C$5:$C$204,A107))</f>
        <v/>
      </c>
      <c r="T107" s="16" t="str">
        <f aca="false">IF(A107="","",IF(OR(B107="",C107="",E107="",G107="",H107="",K107=""),"Title, description, category, nature, frequency, owner needed",IF(LEN(C107)&lt;80,"Description too short: who, what, when, how, evidence",IF(AND(E107="ITAC",G107&lt;&gt;"Automated"),"ITAC must be Automated",IF(AND(OR(E107="ITAC",E107="IPE",E107="ITDM"),N107=""),"Dependent ITGCs needed",IF(S107=0,"No risk mapped (Risk_Control_Map)",IF(AND(I107="Y",J107&lt;&gt;"Y"),"Key control should be SOX in scope","OK")))))))</f>
        <v/>
      </c>
    </row>
    <row r="108" customFormat="false" ht="15" hidden="false" customHeight="false" outlineLevel="0" collapsed="false">
      <c r="A108" s="15"/>
      <c r="B108" s="15"/>
      <c r="C108" s="15"/>
      <c r="D108" s="15"/>
      <c r="E108" s="15"/>
      <c r="F108" s="15"/>
      <c r="G108" s="15"/>
      <c r="H108" s="15"/>
      <c r="I108" s="15"/>
      <c r="J108" s="15"/>
      <c r="K108" s="15"/>
      <c r="L108" s="15"/>
      <c r="M108" s="15"/>
      <c r="N108" s="15"/>
      <c r="O108" s="15"/>
      <c r="P108" s="15"/>
      <c r="Q108" s="15"/>
      <c r="R108" s="15"/>
      <c r="S108" s="16" t="str">
        <f aca="false">IF(A108="","",COUNTIF(Risk_Control_Map!$C$5:$C$204,A108))</f>
        <v/>
      </c>
      <c r="T108" s="16" t="str">
        <f aca="false">IF(A108="","",IF(OR(B108="",C108="",E108="",G108="",H108="",K108=""),"Title, description, category, nature, frequency, owner needed",IF(LEN(C108)&lt;80,"Description too short: who, what, when, how, evidence",IF(AND(E108="ITAC",G108&lt;&gt;"Automated"),"ITAC must be Automated",IF(AND(OR(E108="ITAC",E108="IPE",E108="ITDM"),N108=""),"Dependent ITGCs needed",IF(S108=0,"No risk mapped (Risk_Control_Map)",IF(AND(I108="Y",J108&lt;&gt;"Y"),"Key control should be SOX in scope","OK")))))))</f>
        <v/>
      </c>
    </row>
    <row r="109" customFormat="false" ht="15" hidden="false" customHeight="false" outlineLevel="0" collapsed="false">
      <c r="A109" s="15"/>
      <c r="B109" s="15"/>
      <c r="C109" s="15"/>
      <c r="D109" s="15"/>
      <c r="E109" s="15"/>
      <c r="F109" s="15"/>
      <c r="G109" s="15"/>
      <c r="H109" s="15"/>
      <c r="I109" s="15"/>
      <c r="J109" s="15"/>
      <c r="K109" s="15"/>
      <c r="L109" s="15"/>
      <c r="M109" s="15"/>
      <c r="N109" s="15"/>
      <c r="O109" s="15"/>
      <c r="P109" s="15"/>
      <c r="Q109" s="15"/>
      <c r="R109" s="15"/>
      <c r="S109" s="16" t="str">
        <f aca="false">IF(A109="","",COUNTIF(Risk_Control_Map!$C$5:$C$204,A109))</f>
        <v/>
      </c>
      <c r="T109" s="16" t="str">
        <f aca="false">IF(A109="","",IF(OR(B109="",C109="",E109="",G109="",H109="",K109=""),"Title, description, category, nature, frequency, owner needed",IF(LEN(C109)&lt;80,"Description too short: who, what, when, how, evidence",IF(AND(E109="ITAC",G109&lt;&gt;"Automated"),"ITAC must be Automated",IF(AND(OR(E109="ITAC",E109="IPE",E109="ITDM"),N109=""),"Dependent ITGCs needed",IF(S109=0,"No risk mapped (Risk_Control_Map)",IF(AND(I109="Y",J109&lt;&gt;"Y"),"Key control should be SOX in scope","OK")))))))</f>
        <v/>
      </c>
    </row>
    <row r="110" customFormat="false" ht="15" hidden="false" customHeight="false" outlineLevel="0" collapsed="false">
      <c r="A110" s="15"/>
      <c r="B110" s="15"/>
      <c r="C110" s="15"/>
      <c r="D110" s="15"/>
      <c r="E110" s="15"/>
      <c r="F110" s="15"/>
      <c r="G110" s="15"/>
      <c r="H110" s="15"/>
      <c r="I110" s="15"/>
      <c r="J110" s="15"/>
      <c r="K110" s="15"/>
      <c r="L110" s="15"/>
      <c r="M110" s="15"/>
      <c r="N110" s="15"/>
      <c r="O110" s="15"/>
      <c r="P110" s="15"/>
      <c r="Q110" s="15"/>
      <c r="R110" s="15"/>
      <c r="S110" s="16" t="str">
        <f aca="false">IF(A110="","",COUNTIF(Risk_Control_Map!$C$5:$C$204,A110))</f>
        <v/>
      </c>
      <c r="T110" s="16" t="str">
        <f aca="false">IF(A110="","",IF(OR(B110="",C110="",E110="",G110="",H110="",K110=""),"Title, description, category, nature, frequency, owner needed",IF(LEN(C110)&lt;80,"Description too short: who, what, when, how, evidence",IF(AND(E110="ITAC",G110&lt;&gt;"Automated"),"ITAC must be Automated",IF(AND(OR(E110="ITAC",E110="IPE",E110="ITDM"),N110=""),"Dependent ITGCs needed",IF(S110=0,"No risk mapped (Risk_Control_Map)",IF(AND(I110="Y",J110&lt;&gt;"Y"),"Key control should be SOX in scope","OK")))))))</f>
        <v/>
      </c>
    </row>
    <row r="111" customFormat="false" ht="15" hidden="false" customHeight="false" outlineLevel="0" collapsed="false">
      <c r="A111" s="15"/>
      <c r="B111" s="15"/>
      <c r="C111" s="15"/>
      <c r="D111" s="15"/>
      <c r="E111" s="15"/>
      <c r="F111" s="15"/>
      <c r="G111" s="15"/>
      <c r="H111" s="15"/>
      <c r="I111" s="15"/>
      <c r="J111" s="15"/>
      <c r="K111" s="15"/>
      <c r="L111" s="15"/>
      <c r="M111" s="15"/>
      <c r="N111" s="15"/>
      <c r="O111" s="15"/>
      <c r="P111" s="15"/>
      <c r="Q111" s="15"/>
      <c r="R111" s="15"/>
      <c r="S111" s="16" t="str">
        <f aca="false">IF(A111="","",COUNTIF(Risk_Control_Map!$C$5:$C$204,A111))</f>
        <v/>
      </c>
      <c r="T111" s="16" t="str">
        <f aca="false">IF(A111="","",IF(OR(B111="",C111="",E111="",G111="",H111="",K111=""),"Title, description, category, nature, frequency, owner needed",IF(LEN(C111)&lt;80,"Description too short: who, what, when, how, evidence",IF(AND(E111="ITAC",G111&lt;&gt;"Automated"),"ITAC must be Automated",IF(AND(OR(E111="ITAC",E111="IPE",E111="ITDM"),N111=""),"Dependent ITGCs needed",IF(S111=0,"No risk mapped (Risk_Control_Map)",IF(AND(I111="Y",J111&lt;&gt;"Y"),"Key control should be SOX in scope","OK")))))))</f>
        <v/>
      </c>
    </row>
    <row r="112" customFormat="false" ht="15" hidden="false" customHeight="false" outlineLevel="0" collapsed="false">
      <c r="A112" s="15"/>
      <c r="B112" s="15"/>
      <c r="C112" s="15"/>
      <c r="D112" s="15"/>
      <c r="E112" s="15"/>
      <c r="F112" s="15"/>
      <c r="G112" s="15"/>
      <c r="H112" s="15"/>
      <c r="I112" s="15"/>
      <c r="J112" s="15"/>
      <c r="K112" s="15"/>
      <c r="L112" s="15"/>
      <c r="M112" s="15"/>
      <c r="N112" s="15"/>
      <c r="O112" s="15"/>
      <c r="P112" s="15"/>
      <c r="Q112" s="15"/>
      <c r="R112" s="15"/>
      <c r="S112" s="16" t="str">
        <f aca="false">IF(A112="","",COUNTIF(Risk_Control_Map!$C$5:$C$204,A112))</f>
        <v/>
      </c>
      <c r="T112" s="16" t="str">
        <f aca="false">IF(A112="","",IF(OR(B112="",C112="",E112="",G112="",H112="",K112=""),"Title, description, category, nature, frequency, owner needed",IF(LEN(C112)&lt;80,"Description too short: who, what, when, how, evidence",IF(AND(E112="ITAC",G112&lt;&gt;"Automated"),"ITAC must be Automated",IF(AND(OR(E112="ITAC",E112="IPE",E112="ITDM"),N112=""),"Dependent ITGCs needed",IF(S112=0,"No risk mapped (Risk_Control_Map)",IF(AND(I112="Y",J112&lt;&gt;"Y"),"Key control should be SOX in scope","OK")))))))</f>
        <v/>
      </c>
    </row>
    <row r="113" customFormat="false" ht="15" hidden="false" customHeight="false" outlineLevel="0" collapsed="false">
      <c r="A113" s="15"/>
      <c r="B113" s="15"/>
      <c r="C113" s="15"/>
      <c r="D113" s="15"/>
      <c r="E113" s="15"/>
      <c r="F113" s="15"/>
      <c r="G113" s="15"/>
      <c r="H113" s="15"/>
      <c r="I113" s="15"/>
      <c r="J113" s="15"/>
      <c r="K113" s="15"/>
      <c r="L113" s="15"/>
      <c r="M113" s="15"/>
      <c r="N113" s="15"/>
      <c r="O113" s="15"/>
      <c r="P113" s="15"/>
      <c r="Q113" s="15"/>
      <c r="R113" s="15"/>
      <c r="S113" s="16" t="str">
        <f aca="false">IF(A113="","",COUNTIF(Risk_Control_Map!$C$5:$C$204,A113))</f>
        <v/>
      </c>
      <c r="T113" s="16" t="str">
        <f aca="false">IF(A113="","",IF(OR(B113="",C113="",E113="",G113="",H113="",K113=""),"Title, description, category, nature, frequency, owner needed",IF(LEN(C113)&lt;80,"Description too short: who, what, when, how, evidence",IF(AND(E113="ITAC",G113&lt;&gt;"Automated"),"ITAC must be Automated",IF(AND(OR(E113="ITAC",E113="IPE",E113="ITDM"),N113=""),"Dependent ITGCs needed",IF(S113=0,"No risk mapped (Risk_Control_Map)",IF(AND(I113="Y",J113&lt;&gt;"Y"),"Key control should be SOX in scope","OK")))))))</f>
        <v/>
      </c>
    </row>
    <row r="114" customFormat="false" ht="15" hidden="false" customHeight="false" outlineLevel="0" collapsed="false">
      <c r="A114" s="15"/>
      <c r="B114" s="15"/>
      <c r="C114" s="15"/>
      <c r="D114" s="15"/>
      <c r="E114" s="15"/>
      <c r="F114" s="15"/>
      <c r="G114" s="15"/>
      <c r="H114" s="15"/>
      <c r="I114" s="15"/>
      <c r="J114" s="15"/>
      <c r="K114" s="15"/>
      <c r="L114" s="15"/>
      <c r="M114" s="15"/>
      <c r="N114" s="15"/>
      <c r="O114" s="15"/>
      <c r="P114" s="15"/>
      <c r="Q114" s="15"/>
      <c r="R114" s="15"/>
      <c r="S114" s="16" t="str">
        <f aca="false">IF(A114="","",COUNTIF(Risk_Control_Map!$C$5:$C$204,A114))</f>
        <v/>
      </c>
      <c r="T114" s="16" t="str">
        <f aca="false">IF(A114="","",IF(OR(B114="",C114="",E114="",G114="",H114="",K114=""),"Title, description, category, nature, frequency, owner needed",IF(LEN(C114)&lt;80,"Description too short: who, what, when, how, evidence",IF(AND(E114="ITAC",G114&lt;&gt;"Automated"),"ITAC must be Automated",IF(AND(OR(E114="ITAC",E114="IPE",E114="ITDM"),N114=""),"Dependent ITGCs needed",IF(S114=0,"No risk mapped (Risk_Control_Map)",IF(AND(I114="Y",J114&lt;&gt;"Y"),"Key control should be SOX in scope","OK")))))))</f>
        <v/>
      </c>
    </row>
    <row r="115" customFormat="false" ht="15" hidden="false" customHeight="false" outlineLevel="0" collapsed="false">
      <c r="A115" s="15"/>
      <c r="B115" s="15"/>
      <c r="C115" s="15"/>
      <c r="D115" s="15"/>
      <c r="E115" s="15"/>
      <c r="F115" s="15"/>
      <c r="G115" s="15"/>
      <c r="H115" s="15"/>
      <c r="I115" s="15"/>
      <c r="J115" s="15"/>
      <c r="K115" s="15"/>
      <c r="L115" s="15"/>
      <c r="M115" s="15"/>
      <c r="N115" s="15"/>
      <c r="O115" s="15"/>
      <c r="P115" s="15"/>
      <c r="Q115" s="15"/>
      <c r="R115" s="15"/>
      <c r="S115" s="16" t="str">
        <f aca="false">IF(A115="","",COUNTIF(Risk_Control_Map!$C$5:$C$204,A115))</f>
        <v/>
      </c>
      <c r="T115" s="16" t="str">
        <f aca="false">IF(A115="","",IF(OR(B115="",C115="",E115="",G115="",H115="",K115=""),"Title, description, category, nature, frequency, owner needed",IF(LEN(C115)&lt;80,"Description too short: who, what, when, how, evidence",IF(AND(E115="ITAC",G115&lt;&gt;"Automated"),"ITAC must be Automated",IF(AND(OR(E115="ITAC",E115="IPE",E115="ITDM"),N115=""),"Dependent ITGCs needed",IF(S115=0,"No risk mapped (Risk_Control_Map)",IF(AND(I115="Y",J115&lt;&gt;"Y"),"Key control should be SOX in scope","OK")))))))</f>
        <v/>
      </c>
    </row>
    <row r="116" customFormat="false" ht="15" hidden="false" customHeight="false" outlineLevel="0" collapsed="false">
      <c r="A116" s="15"/>
      <c r="B116" s="15"/>
      <c r="C116" s="15"/>
      <c r="D116" s="15"/>
      <c r="E116" s="15"/>
      <c r="F116" s="15"/>
      <c r="G116" s="15"/>
      <c r="H116" s="15"/>
      <c r="I116" s="15"/>
      <c r="J116" s="15"/>
      <c r="K116" s="15"/>
      <c r="L116" s="15"/>
      <c r="M116" s="15"/>
      <c r="N116" s="15"/>
      <c r="O116" s="15"/>
      <c r="P116" s="15"/>
      <c r="Q116" s="15"/>
      <c r="R116" s="15"/>
      <c r="S116" s="16" t="str">
        <f aca="false">IF(A116="","",COUNTIF(Risk_Control_Map!$C$5:$C$204,A116))</f>
        <v/>
      </c>
      <c r="T116" s="16" t="str">
        <f aca="false">IF(A116="","",IF(OR(B116="",C116="",E116="",G116="",H116="",K116=""),"Title, description, category, nature, frequency, owner needed",IF(LEN(C116)&lt;80,"Description too short: who, what, when, how, evidence",IF(AND(E116="ITAC",G116&lt;&gt;"Automated"),"ITAC must be Automated",IF(AND(OR(E116="ITAC",E116="IPE",E116="ITDM"),N116=""),"Dependent ITGCs needed",IF(S116=0,"No risk mapped (Risk_Control_Map)",IF(AND(I116="Y",J116&lt;&gt;"Y"),"Key control should be SOX in scope","OK")))))))</f>
        <v/>
      </c>
    </row>
    <row r="117" customFormat="false" ht="15" hidden="false" customHeight="false" outlineLevel="0" collapsed="false">
      <c r="A117" s="15"/>
      <c r="B117" s="15"/>
      <c r="C117" s="15"/>
      <c r="D117" s="15"/>
      <c r="E117" s="15"/>
      <c r="F117" s="15"/>
      <c r="G117" s="15"/>
      <c r="H117" s="15"/>
      <c r="I117" s="15"/>
      <c r="J117" s="15"/>
      <c r="K117" s="15"/>
      <c r="L117" s="15"/>
      <c r="M117" s="15"/>
      <c r="N117" s="15"/>
      <c r="O117" s="15"/>
      <c r="P117" s="15"/>
      <c r="Q117" s="15"/>
      <c r="R117" s="15"/>
      <c r="S117" s="16" t="str">
        <f aca="false">IF(A117="","",COUNTIF(Risk_Control_Map!$C$5:$C$204,A117))</f>
        <v/>
      </c>
      <c r="T117" s="16" t="str">
        <f aca="false">IF(A117="","",IF(OR(B117="",C117="",E117="",G117="",H117="",K117=""),"Title, description, category, nature, frequency, owner needed",IF(LEN(C117)&lt;80,"Description too short: who, what, when, how, evidence",IF(AND(E117="ITAC",G117&lt;&gt;"Automated"),"ITAC must be Automated",IF(AND(OR(E117="ITAC",E117="IPE",E117="ITDM"),N117=""),"Dependent ITGCs needed",IF(S117=0,"No risk mapped (Risk_Control_Map)",IF(AND(I117="Y",J117&lt;&gt;"Y"),"Key control should be SOX in scope","OK")))))))</f>
        <v/>
      </c>
    </row>
    <row r="118" customFormat="false" ht="15" hidden="false" customHeight="false" outlineLevel="0" collapsed="false">
      <c r="A118" s="15"/>
      <c r="B118" s="15"/>
      <c r="C118" s="15"/>
      <c r="D118" s="15"/>
      <c r="E118" s="15"/>
      <c r="F118" s="15"/>
      <c r="G118" s="15"/>
      <c r="H118" s="15"/>
      <c r="I118" s="15"/>
      <c r="J118" s="15"/>
      <c r="K118" s="15"/>
      <c r="L118" s="15"/>
      <c r="M118" s="15"/>
      <c r="N118" s="15"/>
      <c r="O118" s="15"/>
      <c r="P118" s="15"/>
      <c r="Q118" s="15"/>
      <c r="R118" s="15"/>
      <c r="S118" s="16" t="str">
        <f aca="false">IF(A118="","",COUNTIF(Risk_Control_Map!$C$5:$C$204,A118))</f>
        <v/>
      </c>
      <c r="T118" s="16" t="str">
        <f aca="false">IF(A118="","",IF(OR(B118="",C118="",E118="",G118="",H118="",K118=""),"Title, description, category, nature, frequency, owner needed",IF(LEN(C118)&lt;80,"Description too short: who, what, when, how, evidence",IF(AND(E118="ITAC",G118&lt;&gt;"Automated"),"ITAC must be Automated",IF(AND(OR(E118="ITAC",E118="IPE",E118="ITDM"),N118=""),"Dependent ITGCs needed",IF(S118=0,"No risk mapped (Risk_Control_Map)",IF(AND(I118="Y",J118&lt;&gt;"Y"),"Key control should be SOX in scope","OK")))))))</f>
        <v/>
      </c>
    </row>
    <row r="119" customFormat="false" ht="15" hidden="false" customHeight="false" outlineLevel="0" collapsed="false">
      <c r="A119" s="15"/>
      <c r="B119" s="15"/>
      <c r="C119" s="15"/>
      <c r="D119" s="15"/>
      <c r="E119" s="15"/>
      <c r="F119" s="15"/>
      <c r="G119" s="15"/>
      <c r="H119" s="15"/>
      <c r="I119" s="15"/>
      <c r="J119" s="15"/>
      <c r="K119" s="15"/>
      <c r="L119" s="15"/>
      <c r="M119" s="15"/>
      <c r="N119" s="15"/>
      <c r="O119" s="15"/>
      <c r="P119" s="15"/>
      <c r="Q119" s="15"/>
      <c r="R119" s="15"/>
      <c r="S119" s="16" t="str">
        <f aca="false">IF(A119="","",COUNTIF(Risk_Control_Map!$C$5:$C$204,A119))</f>
        <v/>
      </c>
      <c r="T119" s="16" t="str">
        <f aca="false">IF(A119="","",IF(OR(B119="",C119="",E119="",G119="",H119="",K119=""),"Title, description, category, nature, frequency, owner needed",IF(LEN(C119)&lt;80,"Description too short: who, what, when, how, evidence",IF(AND(E119="ITAC",G119&lt;&gt;"Automated"),"ITAC must be Automated",IF(AND(OR(E119="ITAC",E119="IPE",E119="ITDM"),N119=""),"Dependent ITGCs needed",IF(S119=0,"No risk mapped (Risk_Control_Map)",IF(AND(I119="Y",J119&lt;&gt;"Y"),"Key control should be SOX in scope","OK")))))))</f>
        <v/>
      </c>
    </row>
    <row r="120" customFormat="false" ht="15" hidden="false" customHeight="false" outlineLevel="0" collapsed="false">
      <c r="A120" s="15"/>
      <c r="B120" s="15"/>
      <c r="C120" s="15"/>
      <c r="D120" s="15"/>
      <c r="E120" s="15"/>
      <c r="F120" s="15"/>
      <c r="G120" s="15"/>
      <c r="H120" s="15"/>
      <c r="I120" s="15"/>
      <c r="J120" s="15"/>
      <c r="K120" s="15"/>
      <c r="L120" s="15"/>
      <c r="M120" s="15"/>
      <c r="N120" s="15"/>
      <c r="O120" s="15"/>
      <c r="P120" s="15"/>
      <c r="Q120" s="15"/>
      <c r="R120" s="15"/>
      <c r="S120" s="16" t="str">
        <f aca="false">IF(A120="","",COUNTIF(Risk_Control_Map!$C$5:$C$204,A120))</f>
        <v/>
      </c>
      <c r="T120" s="16" t="str">
        <f aca="false">IF(A120="","",IF(OR(B120="",C120="",E120="",G120="",H120="",K120=""),"Title, description, category, nature, frequency, owner needed",IF(LEN(C120)&lt;80,"Description too short: who, what, when, how, evidence",IF(AND(E120="ITAC",G120&lt;&gt;"Automated"),"ITAC must be Automated",IF(AND(OR(E120="ITAC",E120="IPE",E120="ITDM"),N120=""),"Dependent ITGCs needed",IF(S120=0,"No risk mapped (Risk_Control_Map)",IF(AND(I120="Y",J120&lt;&gt;"Y"),"Key control should be SOX in scope","OK")))))))</f>
        <v/>
      </c>
    </row>
    <row r="121" customFormat="false" ht="15" hidden="false" customHeight="false" outlineLevel="0" collapsed="false">
      <c r="A121" s="15"/>
      <c r="B121" s="15"/>
      <c r="C121" s="15"/>
      <c r="D121" s="15"/>
      <c r="E121" s="15"/>
      <c r="F121" s="15"/>
      <c r="G121" s="15"/>
      <c r="H121" s="15"/>
      <c r="I121" s="15"/>
      <c r="J121" s="15"/>
      <c r="K121" s="15"/>
      <c r="L121" s="15"/>
      <c r="M121" s="15"/>
      <c r="N121" s="15"/>
      <c r="O121" s="15"/>
      <c r="P121" s="15"/>
      <c r="Q121" s="15"/>
      <c r="R121" s="15"/>
      <c r="S121" s="16" t="str">
        <f aca="false">IF(A121="","",COUNTIF(Risk_Control_Map!$C$5:$C$204,A121))</f>
        <v/>
      </c>
      <c r="T121" s="16" t="str">
        <f aca="false">IF(A121="","",IF(OR(B121="",C121="",E121="",G121="",H121="",K121=""),"Title, description, category, nature, frequency, owner needed",IF(LEN(C121)&lt;80,"Description too short: who, what, when, how, evidence",IF(AND(E121="ITAC",G121&lt;&gt;"Automated"),"ITAC must be Automated",IF(AND(OR(E121="ITAC",E121="IPE",E121="ITDM"),N121=""),"Dependent ITGCs needed",IF(S121=0,"No risk mapped (Risk_Control_Map)",IF(AND(I121="Y",J121&lt;&gt;"Y"),"Key control should be SOX in scope","OK")))))))</f>
        <v/>
      </c>
    </row>
    <row r="122" customFormat="false" ht="15" hidden="false" customHeight="false" outlineLevel="0" collapsed="false">
      <c r="A122" s="15"/>
      <c r="B122" s="15"/>
      <c r="C122" s="15"/>
      <c r="D122" s="15"/>
      <c r="E122" s="15"/>
      <c r="F122" s="15"/>
      <c r="G122" s="15"/>
      <c r="H122" s="15"/>
      <c r="I122" s="15"/>
      <c r="J122" s="15"/>
      <c r="K122" s="15"/>
      <c r="L122" s="15"/>
      <c r="M122" s="15"/>
      <c r="N122" s="15"/>
      <c r="O122" s="15"/>
      <c r="P122" s="15"/>
      <c r="Q122" s="15"/>
      <c r="R122" s="15"/>
      <c r="S122" s="16" t="str">
        <f aca="false">IF(A122="","",COUNTIF(Risk_Control_Map!$C$5:$C$204,A122))</f>
        <v/>
      </c>
      <c r="T122" s="16" t="str">
        <f aca="false">IF(A122="","",IF(OR(B122="",C122="",E122="",G122="",H122="",K122=""),"Title, description, category, nature, frequency, owner needed",IF(LEN(C122)&lt;80,"Description too short: who, what, when, how, evidence",IF(AND(E122="ITAC",G122&lt;&gt;"Automated"),"ITAC must be Automated",IF(AND(OR(E122="ITAC",E122="IPE",E122="ITDM"),N122=""),"Dependent ITGCs needed",IF(S122=0,"No risk mapped (Risk_Control_Map)",IF(AND(I122="Y",J122&lt;&gt;"Y"),"Key control should be SOX in scope","OK")))))))</f>
        <v/>
      </c>
    </row>
    <row r="123" customFormat="false" ht="15" hidden="false" customHeight="false" outlineLevel="0" collapsed="false">
      <c r="A123" s="15"/>
      <c r="B123" s="15"/>
      <c r="C123" s="15"/>
      <c r="D123" s="15"/>
      <c r="E123" s="15"/>
      <c r="F123" s="15"/>
      <c r="G123" s="15"/>
      <c r="H123" s="15"/>
      <c r="I123" s="15"/>
      <c r="J123" s="15"/>
      <c r="K123" s="15"/>
      <c r="L123" s="15"/>
      <c r="M123" s="15"/>
      <c r="N123" s="15"/>
      <c r="O123" s="15"/>
      <c r="P123" s="15"/>
      <c r="Q123" s="15"/>
      <c r="R123" s="15"/>
      <c r="S123" s="16" t="str">
        <f aca="false">IF(A123="","",COUNTIF(Risk_Control_Map!$C$5:$C$204,A123))</f>
        <v/>
      </c>
      <c r="T123" s="16" t="str">
        <f aca="false">IF(A123="","",IF(OR(B123="",C123="",E123="",G123="",H123="",K123=""),"Title, description, category, nature, frequency, owner needed",IF(LEN(C123)&lt;80,"Description too short: who, what, when, how, evidence",IF(AND(E123="ITAC",G123&lt;&gt;"Automated"),"ITAC must be Automated",IF(AND(OR(E123="ITAC",E123="IPE",E123="ITDM"),N123=""),"Dependent ITGCs needed",IF(S123=0,"No risk mapped (Risk_Control_Map)",IF(AND(I123="Y",J123&lt;&gt;"Y"),"Key control should be SOX in scope","OK")))))))</f>
        <v/>
      </c>
    </row>
    <row r="124" customFormat="false" ht="15" hidden="false" customHeight="false" outlineLevel="0" collapsed="false">
      <c r="A124" s="15"/>
      <c r="B124" s="15"/>
      <c r="C124" s="15"/>
      <c r="D124" s="15"/>
      <c r="E124" s="15"/>
      <c r="F124" s="15"/>
      <c r="G124" s="15"/>
      <c r="H124" s="15"/>
      <c r="I124" s="15"/>
      <c r="J124" s="15"/>
      <c r="K124" s="15"/>
      <c r="L124" s="15"/>
      <c r="M124" s="15"/>
      <c r="N124" s="15"/>
      <c r="O124" s="15"/>
      <c r="P124" s="15"/>
      <c r="Q124" s="15"/>
      <c r="R124" s="15"/>
      <c r="S124" s="16" t="str">
        <f aca="false">IF(A124="","",COUNTIF(Risk_Control_Map!$C$5:$C$204,A124))</f>
        <v/>
      </c>
      <c r="T124" s="16" t="str">
        <f aca="false">IF(A124="","",IF(OR(B124="",C124="",E124="",G124="",H124="",K124=""),"Title, description, category, nature, frequency, owner needed",IF(LEN(C124)&lt;80,"Description too short: who, what, when, how, evidence",IF(AND(E124="ITAC",G124&lt;&gt;"Automated"),"ITAC must be Automated",IF(AND(OR(E124="ITAC",E124="IPE",E124="ITDM"),N124=""),"Dependent ITGCs needed",IF(S124=0,"No risk mapped (Risk_Control_Map)",IF(AND(I124="Y",J124&lt;&gt;"Y"),"Key control should be SOX in scope","OK")))))))</f>
        <v/>
      </c>
    </row>
    <row r="125" customFormat="false" ht="15" hidden="false" customHeight="false" outlineLevel="0" collapsed="false">
      <c r="A125" s="15"/>
      <c r="B125" s="15"/>
      <c r="C125" s="15"/>
      <c r="D125" s="15"/>
      <c r="E125" s="15"/>
      <c r="F125" s="15"/>
      <c r="G125" s="15"/>
      <c r="H125" s="15"/>
      <c r="I125" s="15"/>
      <c r="J125" s="15"/>
      <c r="K125" s="15"/>
      <c r="L125" s="15"/>
      <c r="M125" s="15"/>
      <c r="N125" s="15"/>
      <c r="O125" s="15"/>
      <c r="P125" s="15"/>
      <c r="Q125" s="15"/>
      <c r="R125" s="15"/>
      <c r="S125" s="16" t="str">
        <f aca="false">IF(A125="","",COUNTIF(Risk_Control_Map!$C$5:$C$204,A125))</f>
        <v/>
      </c>
      <c r="T125" s="16" t="str">
        <f aca="false">IF(A125="","",IF(OR(B125="",C125="",E125="",G125="",H125="",K125=""),"Title, description, category, nature, frequency, owner needed",IF(LEN(C125)&lt;80,"Description too short: who, what, when, how, evidence",IF(AND(E125="ITAC",G125&lt;&gt;"Automated"),"ITAC must be Automated",IF(AND(OR(E125="ITAC",E125="IPE",E125="ITDM"),N125=""),"Dependent ITGCs needed",IF(S125=0,"No risk mapped (Risk_Control_Map)",IF(AND(I125="Y",J125&lt;&gt;"Y"),"Key control should be SOX in scope","OK")))))))</f>
        <v/>
      </c>
    </row>
    <row r="126" customFormat="false" ht="15" hidden="false" customHeight="false" outlineLevel="0" collapsed="false">
      <c r="A126" s="15"/>
      <c r="B126" s="15"/>
      <c r="C126" s="15"/>
      <c r="D126" s="15"/>
      <c r="E126" s="15"/>
      <c r="F126" s="15"/>
      <c r="G126" s="15"/>
      <c r="H126" s="15"/>
      <c r="I126" s="15"/>
      <c r="J126" s="15"/>
      <c r="K126" s="15"/>
      <c r="L126" s="15"/>
      <c r="M126" s="15"/>
      <c r="N126" s="15"/>
      <c r="O126" s="15"/>
      <c r="P126" s="15"/>
      <c r="Q126" s="15"/>
      <c r="R126" s="15"/>
      <c r="S126" s="16" t="str">
        <f aca="false">IF(A126="","",COUNTIF(Risk_Control_Map!$C$5:$C$204,A126))</f>
        <v/>
      </c>
      <c r="T126" s="16" t="str">
        <f aca="false">IF(A126="","",IF(OR(B126="",C126="",E126="",G126="",H126="",K126=""),"Title, description, category, nature, frequency, owner needed",IF(LEN(C126)&lt;80,"Description too short: who, what, when, how, evidence",IF(AND(E126="ITAC",G126&lt;&gt;"Automated"),"ITAC must be Automated",IF(AND(OR(E126="ITAC",E126="IPE",E126="ITDM"),N126=""),"Dependent ITGCs needed",IF(S126=0,"No risk mapped (Risk_Control_Map)",IF(AND(I126="Y",J126&lt;&gt;"Y"),"Key control should be SOX in scope","OK")))))))</f>
        <v/>
      </c>
    </row>
    <row r="127" customFormat="false" ht="15" hidden="false" customHeight="false" outlineLevel="0" collapsed="false">
      <c r="A127" s="15"/>
      <c r="B127" s="15"/>
      <c r="C127" s="15"/>
      <c r="D127" s="15"/>
      <c r="E127" s="15"/>
      <c r="F127" s="15"/>
      <c r="G127" s="15"/>
      <c r="H127" s="15"/>
      <c r="I127" s="15"/>
      <c r="J127" s="15"/>
      <c r="K127" s="15"/>
      <c r="L127" s="15"/>
      <c r="M127" s="15"/>
      <c r="N127" s="15"/>
      <c r="O127" s="15"/>
      <c r="P127" s="15"/>
      <c r="Q127" s="15"/>
      <c r="R127" s="15"/>
      <c r="S127" s="16" t="str">
        <f aca="false">IF(A127="","",COUNTIF(Risk_Control_Map!$C$5:$C$204,A127))</f>
        <v/>
      </c>
      <c r="T127" s="16" t="str">
        <f aca="false">IF(A127="","",IF(OR(B127="",C127="",E127="",G127="",H127="",K127=""),"Title, description, category, nature, frequency, owner needed",IF(LEN(C127)&lt;80,"Description too short: who, what, when, how, evidence",IF(AND(E127="ITAC",G127&lt;&gt;"Automated"),"ITAC must be Automated",IF(AND(OR(E127="ITAC",E127="IPE",E127="ITDM"),N127=""),"Dependent ITGCs needed",IF(S127=0,"No risk mapped (Risk_Control_Map)",IF(AND(I127="Y",J127&lt;&gt;"Y"),"Key control should be SOX in scope","OK")))))))</f>
        <v/>
      </c>
    </row>
    <row r="128" customFormat="false" ht="15" hidden="false" customHeight="false" outlineLevel="0" collapsed="false">
      <c r="A128" s="15"/>
      <c r="B128" s="15"/>
      <c r="C128" s="15"/>
      <c r="D128" s="15"/>
      <c r="E128" s="15"/>
      <c r="F128" s="15"/>
      <c r="G128" s="15"/>
      <c r="H128" s="15"/>
      <c r="I128" s="15"/>
      <c r="J128" s="15"/>
      <c r="K128" s="15"/>
      <c r="L128" s="15"/>
      <c r="M128" s="15"/>
      <c r="N128" s="15"/>
      <c r="O128" s="15"/>
      <c r="P128" s="15"/>
      <c r="Q128" s="15"/>
      <c r="R128" s="15"/>
      <c r="S128" s="16" t="str">
        <f aca="false">IF(A128="","",COUNTIF(Risk_Control_Map!$C$5:$C$204,A128))</f>
        <v/>
      </c>
      <c r="T128" s="16" t="str">
        <f aca="false">IF(A128="","",IF(OR(B128="",C128="",E128="",G128="",H128="",K128=""),"Title, description, category, nature, frequency, owner needed",IF(LEN(C128)&lt;80,"Description too short: who, what, when, how, evidence",IF(AND(E128="ITAC",G128&lt;&gt;"Automated"),"ITAC must be Automated",IF(AND(OR(E128="ITAC",E128="IPE",E128="ITDM"),N128=""),"Dependent ITGCs needed",IF(S128=0,"No risk mapped (Risk_Control_Map)",IF(AND(I128="Y",J128&lt;&gt;"Y"),"Key control should be SOX in scope","OK")))))))</f>
        <v/>
      </c>
    </row>
    <row r="129" customFormat="false" ht="15" hidden="false" customHeight="false" outlineLevel="0" collapsed="false">
      <c r="A129" s="15"/>
      <c r="B129" s="15"/>
      <c r="C129" s="15"/>
      <c r="D129" s="15"/>
      <c r="E129" s="15"/>
      <c r="F129" s="15"/>
      <c r="G129" s="15"/>
      <c r="H129" s="15"/>
      <c r="I129" s="15"/>
      <c r="J129" s="15"/>
      <c r="K129" s="15"/>
      <c r="L129" s="15"/>
      <c r="M129" s="15"/>
      <c r="N129" s="15"/>
      <c r="O129" s="15"/>
      <c r="P129" s="15"/>
      <c r="Q129" s="15"/>
      <c r="R129" s="15"/>
      <c r="S129" s="16" t="str">
        <f aca="false">IF(A129="","",COUNTIF(Risk_Control_Map!$C$5:$C$204,A129))</f>
        <v/>
      </c>
      <c r="T129" s="16" t="str">
        <f aca="false">IF(A129="","",IF(OR(B129="",C129="",E129="",G129="",H129="",K129=""),"Title, description, category, nature, frequency, owner needed",IF(LEN(C129)&lt;80,"Description too short: who, what, when, how, evidence",IF(AND(E129="ITAC",G129&lt;&gt;"Automated"),"ITAC must be Automated",IF(AND(OR(E129="ITAC",E129="IPE",E129="ITDM"),N129=""),"Dependent ITGCs needed",IF(S129=0,"No risk mapped (Risk_Control_Map)",IF(AND(I129="Y",J129&lt;&gt;"Y"),"Key control should be SOX in scope","OK")))))))</f>
        <v/>
      </c>
    </row>
    <row r="130" customFormat="false" ht="15" hidden="false" customHeight="false" outlineLevel="0" collapsed="false">
      <c r="A130" s="15"/>
      <c r="B130" s="15"/>
      <c r="C130" s="15"/>
      <c r="D130" s="15"/>
      <c r="E130" s="15"/>
      <c r="F130" s="15"/>
      <c r="G130" s="15"/>
      <c r="H130" s="15"/>
      <c r="I130" s="15"/>
      <c r="J130" s="15"/>
      <c r="K130" s="15"/>
      <c r="L130" s="15"/>
      <c r="M130" s="15"/>
      <c r="N130" s="15"/>
      <c r="O130" s="15"/>
      <c r="P130" s="15"/>
      <c r="Q130" s="15"/>
      <c r="R130" s="15"/>
      <c r="S130" s="16" t="str">
        <f aca="false">IF(A130="","",COUNTIF(Risk_Control_Map!$C$5:$C$204,A130))</f>
        <v/>
      </c>
      <c r="T130" s="16" t="str">
        <f aca="false">IF(A130="","",IF(OR(B130="",C130="",E130="",G130="",H130="",K130=""),"Title, description, category, nature, frequency, owner needed",IF(LEN(C130)&lt;80,"Description too short: who, what, when, how, evidence",IF(AND(E130="ITAC",G130&lt;&gt;"Automated"),"ITAC must be Automated",IF(AND(OR(E130="ITAC",E130="IPE",E130="ITDM"),N130=""),"Dependent ITGCs needed",IF(S130=0,"No risk mapped (Risk_Control_Map)",IF(AND(I130="Y",J130&lt;&gt;"Y"),"Key control should be SOX in scope","OK")))))))</f>
        <v/>
      </c>
    </row>
    <row r="131" customFormat="false" ht="15" hidden="false" customHeight="false" outlineLevel="0" collapsed="false">
      <c r="A131" s="15"/>
      <c r="B131" s="15"/>
      <c r="C131" s="15"/>
      <c r="D131" s="15"/>
      <c r="E131" s="15"/>
      <c r="F131" s="15"/>
      <c r="G131" s="15"/>
      <c r="H131" s="15"/>
      <c r="I131" s="15"/>
      <c r="J131" s="15"/>
      <c r="K131" s="15"/>
      <c r="L131" s="15"/>
      <c r="M131" s="15"/>
      <c r="N131" s="15"/>
      <c r="O131" s="15"/>
      <c r="P131" s="15"/>
      <c r="Q131" s="15"/>
      <c r="R131" s="15"/>
      <c r="S131" s="16" t="str">
        <f aca="false">IF(A131="","",COUNTIF(Risk_Control_Map!$C$5:$C$204,A131))</f>
        <v/>
      </c>
      <c r="T131" s="16" t="str">
        <f aca="false">IF(A131="","",IF(OR(B131="",C131="",E131="",G131="",H131="",K131=""),"Title, description, category, nature, frequency, owner needed",IF(LEN(C131)&lt;80,"Description too short: who, what, when, how, evidence",IF(AND(E131="ITAC",G131&lt;&gt;"Automated"),"ITAC must be Automated",IF(AND(OR(E131="ITAC",E131="IPE",E131="ITDM"),N131=""),"Dependent ITGCs needed",IF(S131=0,"No risk mapped (Risk_Control_Map)",IF(AND(I131="Y",J131&lt;&gt;"Y"),"Key control should be SOX in scope","OK")))))))</f>
        <v/>
      </c>
    </row>
    <row r="132" customFormat="false" ht="15" hidden="false" customHeight="false" outlineLevel="0" collapsed="false">
      <c r="A132" s="15"/>
      <c r="B132" s="15"/>
      <c r="C132" s="15"/>
      <c r="D132" s="15"/>
      <c r="E132" s="15"/>
      <c r="F132" s="15"/>
      <c r="G132" s="15"/>
      <c r="H132" s="15"/>
      <c r="I132" s="15"/>
      <c r="J132" s="15"/>
      <c r="K132" s="15"/>
      <c r="L132" s="15"/>
      <c r="M132" s="15"/>
      <c r="N132" s="15"/>
      <c r="O132" s="15"/>
      <c r="P132" s="15"/>
      <c r="Q132" s="15"/>
      <c r="R132" s="15"/>
      <c r="S132" s="16" t="str">
        <f aca="false">IF(A132="","",COUNTIF(Risk_Control_Map!$C$5:$C$204,A132))</f>
        <v/>
      </c>
      <c r="T132" s="16" t="str">
        <f aca="false">IF(A132="","",IF(OR(B132="",C132="",E132="",G132="",H132="",K132=""),"Title, description, category, nature, frequency, owner needed",IF(LEN(C132)&lt;80,"Description too short: who, what, when, how, evidence",IF(AND(E132="ITAC",G132&lt;&gt;"Automated"),"ITAC must be Automated",IF(AND(OR(E132="ITAC",E132="IPE",E132="ITDM"),N132=""),"Dependent ITGCs needed",IF(S132=0,"No risk mapped (Risk_Control_Map)",IF(AND(I132="Y",J132&lt;&gt;"Y"),"Key control should be SOX in scope","OK")))))))</f>
        <v/>
      </c>
    </row>
    <row r="133" customFormat="false" ht="15" hidden="false" customHeight="false" outlineLevel="0" collapsed="false">
      <c r="A133" s="15"/>
      <c r="B133" s="15"/>
      <c r="C133" s="15"/>
      <c r="D133" s="15"/>
      <c r="E133" s="15"/>
      <c r="F133" s="15"/>
      <c r="G133" s="15"/>
      <c r="H133" s="15"/>
      <c r="I133" s="15"/>
      <c r="J133" s="15"/>
      <c r="K133" s="15"/>
      <c r="L133" s="15"/>
      <c r="M133" s="15"/>
      <c r="N133" s="15"/>
      <c r="O133" s="15"/>
      <c r="P133" s="15"/>
      <c r="Q133" s="15"/>
      <c r="R133" s="15"/>
      <c r="S133" s="16" t="str">
        <f aca="false">IF(A133="","",COUNTIF(Risk_Control_Map!$C$5:$C$204,A133))</f>
        <v/>
      </c>
      <c r="T133" s="16" t="str">
        <f aca="false">IF(A133="","",IF(OR(B133="",C133="",E133="",G133="",H133="",K133=""),"Title, description, category, nature, frequency, owner needed",IF(LEN(C133)&lt;80,"Description too short: who, what, when, how, evidence",IF(AND(E133="ITAC",G133&lt;&gt;"Automated"),"ITAC must be Automated",IF(AND(OR(E133="ITAC",E133="IPE",E133="ITDM"),N133=""),"Dependent ITGCs needed",IF(S133=0,"No risk mapped (Risk_Control_Map)",IF(AND(I133="Y",J133&lt;&gt;"Y"),"Key control should be SOX in scope","OK")))))))</f>
        <v/>
      </c>
    </row>
    <row r="134" customFormat="false" ht="15" hidden="false" customHeight="false" outlineLevel="0" collapsed="false">
      <c r="A134" s="15"/>
      <c r="B134" s="15"/>
      <c r="C134" s="15"/>
      <c r="D134" s="15"/>
      <c r="E134" s="15"/>
      <c r="F134" s="15"/>
      <c r="G134" s="15"/>
      <c r="H134" s="15"/>
      <c r="I134" s="15"/>
      <c r="J134" s="15"/>
      <c r="K134" s="15"/>
      <c r="L134" s="15"/>
      <c r="M134" s="15"/>
      <c r="N134" s="15"/>
      <c r="O134" s="15"/>
      <c r="P134" s="15"/>
      <c r="Q134" s="15"/>
      <c r="R134" s="15"/>
      <c r="S134" s="16" t="str">
        <f aca="false">IF(A134="","",COUNTIF(Risk_Control_Map!$C$5:$C$204,A134))</f>
        <v/>
      </c>
      <c r="T134" s="16" t="str">
        <f aca="false">IF(A134="","",IF(OR(B134="",C134="",E134="",G134="",H134="",K134=""),"Title, description, category, nature, frequency, owner needed",IF(LEN(C134)&lt;80,"Description too short: who, what, when, how, evidence",IF(AND(E134="ITAC",G134&lt;&gt;"Automated"),"ITAC must be Automated",IF(AND(OR(E134="ITAC",E134="IPE",E134="ITDM"),N134=""),"Dependent ITGCs needed",IF(S134=0,"No risk mapped (Risk_Control_Map)",IF(AND(I134="Y",J134&lt;&gt;"Y"),"Key control should be SOX in scope","OK")))))))</f>
        <v/>
      </c>
    </row>
    <row r="135" customFormat="false" ht="15" hidden="false" customHeight="false" outlineLevel="0" collapsed="false">
      <c r="A135" s="15"/>
      <c r="B135" s="15"/>
      <c r="C135" s="15"/>
      <c r="D135" s="15"/>
      <c r="E135" s="15"/>
      <c r="F135" s="15"/>
      <c r="G135" s="15"/>
      <c r="H135" s="15"/>
      <c r="I135" s="15"/>
      <c r="J135" s="15"/>
      <c r="K135" s="15"/>
      <c r="L135" s="15"/>
      <c r="M135" s="15"/>
      <c r="N135" s="15"/>
      <c r="O135" s="15"/>
      <c r="P135" s="15"/>
      <c r="Q135" s="15"/>
      <c r="R135" s="15"/>
      <c r="S135" s="16" t="str">
        <f aca="false">IF(A135="","",COUNTIF(Risk_Control_Map!$C$5:$C$204,A135))</f>
        <v/>
      </c>
      <c r="T135" s="16" t="str">
        <f aca="false">IF(A135="","",IF(OR(B135="",C135="",E135="",G135="",H135="",K135=""),"Title, description, category, nature, frequency, owner needed",IF(LEN(C135)&lt;80,"Description too short: who, what, when, how, evidence",IF(AND(E135="ITAC",G135&lt;&gt;"Automated"),"ITAC must be Automated",IF(AND(OR(E135="ITAC",E135="IPE",E135="ITDM"),N135=""),"Dependent ITGCs needed",IF(S135=0,"No risk mapped (Risk_Control_Map)",IF(AND(I135="Y",J135&lt;&gt;"Y"),"Key control should be SOX in scope","OK")))))))</f>
        <v/>
      </c>
    </row>
    <row r="136" customFormat="false" ht="15" hidden="false" customHeight="false" outlineLevel="0" collapsed="false">
      <c r="A136" s="15"/>
      <c r="B136" s="15"/>
      <c r="C136" s="15"/>
      <c r="D136" s="15"/>
      <c r="E136" s="15"/>
      <c r="F136" s="15"/>
      <c r="G136" s="15"/>
      <c r="H136" s="15"/>
      <c r="I136" s="15"/>
      <c r="J136" s="15"/>
      <c r="K136" s="15"/>
      <c r="L136" s="15"/>
      <c r="M136" s="15"/>
      <c r="N136" s="15"/>
      <c r="O136" s="15"/>
      <c r="P136" s="15"/>
      <c r="Q136" s="15"/>
      <c r="R136" s="15"/>
      <c r="S136" s="16" t="str">
        <f aca="false">IF(A136="","",COUNTIF(Risk_Control_Map!$C$5:$C$204,A136))</f>
        <v/>
      </c>
      <c r="T136" s="16" t="str">
        <f aca="false">IF(A136="","",IF(OR(B136="",C136="",E136="",G136="",H136="",K136=""),"Title, description, category, nature, frequency, owner needed",IF(LEN(C136)&lt;80,"Description too short: who, what, when, how, evidence",IF(AND(E136="ITAC",G136&lt;&gt;"Automated"),"ITAC must be Automated",IF(AND(OR(E136="ITAC",E136="IPE",E136="ITDM"),N136=""),"Dependent ITGCs needed",IF(S136=0,"No risk mapped (Risk_Control_Map)",IF(AND(I136="Y",J136&lt;&gt;"Y"),"Key control should be SOX in scope","OK")))))))</f>
        <v/>
      </c>
    </row>
    <row r="137" customFormat="false" ht="15" hidden="false" customHeight="false" outlineLevel="0" collapsed="false">
      <c r="A137" s="15"/>
      <c r="B137" s="15"/>
      <c r="C137" s="15"/>
      <c r="D137" s="15"/>
      <c r="E137" s="15"/>
      <c r="F137" s="15"/>
      <c r="G137" s="15"/>
      <c r="H137" s="15"/>
      <c r="I137" s="15"/>
      <c r="J137" s="15"/>
      <c r="K137" s="15"/>
      <c r="L137" s="15"/>
      <c r="M137" s="15"/>
      <c r="N137" s="15"/>
      <c r="O137" s="15"/>
      <c r="P137" s="15"/>
      <c r="Q137" s="15"/>
      <c r="R137" s="15"/>
      <c r="S137" s="16" t="str">
        <f aca="false">IF(A137="","",COUNTIF(Risk_Control_Map!$C$5:$C$204,A137))</f>
        <v/>
      </c>
      <c r="T137" s="16" t="str">
        <f aca="false">IF(A137="","",IF(OR(B137="",C137="",E137="",G137="",H137="",K137=""),"Title, description, category, nature, frequency, owner needed",IF(LEN(C137)&lt;80,"Description too short: who, what, when, how, evidence",IF(AND(E137="ITAC",G137&lt;&gt;"Automated"),"ITAC must be Automated",IF(AND(OR(E137="ITAC",E137="IPE",E137="ITDM"),N137=""),"Dependent ITGCs needed",IF(S137=0,"No risk mapped (Risk_Control_Map)",IF(AND(I137="Y",J137&lt;&gt;"Y"),"Key control should be SOX in scope","OK")))))))</f>
        <v/>
      </c>
    </row>
    <row r="138" customFormat="false" ht="15" hidden="false" customHeight="false" outlineLevel="0" collapsed="false">
      <c r="A138" s="15"/>
      <c r="B138" s="15"/>
      <c r="C138" s="15"/>
      <c r="D138" s="15"/>
      <c r="E138" s="15"/>
      <c r="F138" s="15"/>
      <c r="G138" s="15"/>
      <c r="H138" s="15"/>
      <c r="I138" s="15"/>
      <c r="J138" s="15"/>
      <c r="K138" s="15"/>
      <c r="L138" s="15"/>
      <c r="M138" s="15"/>
      <c r="N138" s="15"/>
      <c r="O138" s="15"/>
      <c r="P138" s="15"/>
      <c r="Q138" s="15"/>
      <c r="R138" s="15"/>
      <c r="S138" s="16" t="str">
        <f aca="false">IF(A138="","",COUNTIF(Risk_Control_Map!$C$5:$C$204,A138))</f>
        <v/>
      </c>
      <c r="T138" s="16" t="str">
        <f aca="false">IF(A138="","",IF(OR(B138="",C138="",E138="",G138="",H138="",K138=""),"Title, description, category, nature, frequency, owner needed",IF(LEN(C138)&lt;80,"Description too short: who, what, when, how, evidence",IF(AND(E138="ITAC",G138&lt;&gt;"Automated"),"ITAC must be Automated",IF(AND(OR(E138="ITAC",E138="IPE",E138="ITDM"),N138=""),"Dependent ITGCs needed",IF(S138=0,"No risk mapped (Risk_Control_Map)",IF(AND(I138="Y",J138&lt;&gt;"Y"),"Key control should be SOX in scope","OK")))))))</f>
        <v/>
      </c>
    </row>
    <row r="139" customFormat="false" ht="15" hidden="false" customHeight="false" outlineLevel="0" collapsed="false">
      <c r="A139" s="15"/>
      <c r="B139" s="15"/>
      <c r="C139" s="15"/>
      <c r="D139" s="15"/>
      <c r="E139" s="15"/>
      <c r="F139" s="15"/>
      <c r="G139" s="15"/>
      <c r="H139" s="15"/>
      <c r="I139" s="15"/>
      <c r="J139" s="15"/>
      <c r="K139" s="15"/>
      <c r="L139" s="15"/>
      <c r="M139" s="15"/>
      <c r="N139" s="15"/>
      <c r="O139" s="15"/>
      <c r="P139" s="15"/>
      <c r="Q139" s="15"/>
      <c r="R139" s="15"/>
      <c r="S139" s="16" t="str">
        <f aca="false">IF(A139="","",COUNTIF(Risk_Control_Map!$C$5:$C$204,A139))</f>
        <v/>
      </c>
      <c r="T139" s="16" t="str">
        <f aca="false">IF(A139="","",IF(OR(B139="",C139="",E139="",G139="",H139="",K139=""),"Title, description, category, nature, frequency, owner needed",IF(LEN(C139)&lt;80,"Description too short: who, what, when, how, evidence",IF(AND(E139="ITAC",G139&lt;&gt;"Automated"),"ITAC must be Automated",IF(AND(OR(E139="ITAC",E139="IPE",E139="ITDM"),N139=""),"Dependent ITGCs needed",IF(S139=0,"No risk mapped (Risk_Control_Map)",IF(AND(I139="Y",J139&lt;&gt;"Y"),"Key control should be SOX in scope","OK")))))))</f>
        <v/>
      </c>
    </row>
    <row r="140" customFormat="false" ht="15" hidden="false" customHeight="false" outlineLevel="0" collapsed="false">
      <c r="A140" s="15"/>
      <c r="B140" s="15"/>
      <c r="C140" s="15"/>
      <c r="D140" s="15"/>
      <c r="E140" s="15"/>
      <c r="F140" s="15"/>
      <c r="G140" s="15"/>
      <c r="H140" s="15"/>
      <c r="I140" s="15"/>
      <c r="J140" s="15"/>
      <c r="K140" s="15"/>
      <c r="L140" s="15"/>
      <c r="M140" s="15"/>
      <c r="N140" s="15"/>
      <c r="O140" s="15"/>
      <c r="P140" s="15"/>
      <c r="Q140" s="15"/>
      <c r="R140" s="15"/>
      <c r="S140" s="16" t="str">
        <f aca="false">IF(A140="","",COUNTIF(Risk_Control_Map!$C$5:$C$204,A140))</f>
        <v/>
      </c>
      <c r="T140" s="16" t="str">
        <f aca="false">IF(A140="","",IF(OR(B140="",C140="",E140="",G140="",H140="",K140=""),"Title, description, category, nature, frequency, owner needed",IF(LEN(C140)&lt;80,"Description too short: who, what, when, how, evidence",IF(AND(E140="ITAC",G140&lt;&gt;"Automated"),"ITAC must be Automated",IF(AND(OR(E140="ITAC",E140="IPE",E140="ITDM"),N140=""),"Dependent ITGCs needed",IF(S140=0,"No risk mapped (Risk_Control_Map)",IF(AND(I140="Y",J140&lt;&gt;"Y"),"Key control should be SOX in scope","OK")))))))</f>
        <v/>
      </c>
    </row>
    <row r="141" customFormat="false" ht="15" hidden="false" customHeight="false" outlineLevel="0" collapsed="false">
      <c r="A141" s="15"/>
      <c r="B141" s="15"/>
      <c r="C141" s="15"/>
      <c r="D141" s="15"/>
      <c r="E141" s="15"/>
      <c r="F141" s="15"/>
      <c r="G141" s="15"/>
      <c r="H141" s="15"/>
      <c r="I141" s="15"/>
      <c r="J141" s="15"/>
      <c r="K141" s="15"/>
      <c r="L141" s="15"/>
      <c r="M141" s="15"/>
      <c r="N141" s="15"/>
      <c r="O141" s="15"/>
      <c r="P141" s="15"/>
      <c r="Q141" s="15"/>
      <c r="R141" s="15"/>
      <c r="S141" s="16" t="str">
        <f aca="false">IF(A141="","",COUNTIF(Risk_Control_Map!$C$5:$C$204,A141))</f>
        <v/>
      </c>
      <c r="T141" s="16" t="str">
        <f aca="false">IF(A141="","",IF(OR(B141="",C141="",E141="",G141="",H141="",K141=""),"Title, description, category, nature, frequency, owner needed",IF(LEN(C141)&lt;80,"Description too short: who, what, when, how, evidence",IF(AND(E141="ITAC",G141&lt;&gt;"Automated"),"ITAC must be Automated",IF(AND(OR(E141="ITAC",E141="IPE",E141="ITDM"),N141=""),"Dependent ITGCs needed",IF(S141=0,"No risk mapped (Risk_Control_Map)",IF(AND(I141="Y",J141&lt;&gt;"Y"),"Key control should be SOX in scope","OK")))))))</f>
        <v/>
      </c>
    </row>
    <row r="142" customFormat="false" ht="15" hidden="false" customHeight="false" outlineLevel="0" collapsed="false">
      <c r="A142" s="15"/>
      <c r="B142" s="15"/>
      <c r="C142" s="15"/>
      <c r="D142" s="15"/>
      <c r="E142" s="15"/>
      <c r="F142" s="15"/>
      <c r="G142" s="15"/>
      <c r="H142" s="15"/>
      <c r="I142" s="15"/>
      <c r="J142" s="15"/>
      <c r="K142" s="15"/>
      <c r="L142" s="15"/>
      <c r="M142" s="15"/>
      <c r="N142" s="15"/>
      <c r="O142" s="15"/>
      <c r="P142" s="15"/>
      <c r="Q142" s="15"/>
      <c r="R142" s="15"/>
      <c r="S142" s="16" t="str">
        <f aca="false">IF(A142="","",COUNTIF(Risk_Control_Map!$C$5:$C$204,A142))</f>
        <v/>
      </c>
      <c r="T142" s="16" t="str">
        <f aca="false">IF(A142="","",IF(OR(B142="",C142="",E142="",G142="",H142="",K142=""),"Title, description, category, nature, frequency, owner needed",IF(LEN(C142)&lt;80,"Description too short: who, what, when, how, evidence",IF(AND(E142="ITAC",G142&lt;&gt;"Automated"),"ITAC must be Automated",IF(AND(OR(E142="ITAC",E142="IPE",E142="ITDM"),N142=""),"Dependent ITGCs needed",IF(S142=0,"No risk mapped (Risk_Control_Map)",IF(AND(I142="Y",J142&lt;&gt;"Y"),"Key control should be SOX in scope","OK")))))))</f>
        <v/>
      </c>
    </row>
    <row r="143" customFormat="false" ht="15" hidden="false" customHeight="false" outlineLevel="0" collapsed="false">
      <c r="A143" s="15"/>
      <c r="B143" s="15"/>
      <c r="C143" s="15"/>
      <c r="D143" s="15"/>
      <c r="E143" s="15"/>
      <c r="F143" s="15"/>
      <c r="G143" s="15"/>
      <c r="H143" s="15"/>
      <c r="I143" s="15"/>
      <c r="J143" s="15"/>
      <c r="K143" s="15"/>
      <c r="L143" s="15"/>
      <c r="M143" s="15"/>
      <c r="N143" s="15"/>
      <c r="O143" s="15"/>
      <c r="P143" s="15"/>
      <c r="Q143" s="15"/>
      <c r="R143" s="15"/>
      <c r="S143" s="16" t="str">
        <f aca="false">IF(A143="","",COUNTIF(Risk_Control_Map!$C$5:$C$204,A143))</f>
        <v/>
      </c>
      <c r="T143" s="16" t="str">
        <f aca="false">IF(A143="","",IF(OR(B143="",C143="",E143="",G143="",H143="",K143=""),"Title, description, category, nature, frequency, owner needed",IF(LEN(C143)&lt;80,"Description too short: who, what, when, how, evidence",IF(AND(E143="ITAC",G143&lt;&gt;"Automated"),"ITAC must be Automated",IF(AND(OR(E143="ITAC",E143="IPE",E143="ITDM"),N143=""),"Dependent ITGCs needed",IF(S143=0,"No risk mapped (Risk_Control_Map)",IF(AND(I143="Y",J143&lt;&gt;"Y"),"Key control should be SOX in scope","OK")))))))</f>
        <v/>
      </c>
    </row>
    <row r="144" customFormat="false" ht="15" hidden="false" customHeight="false" outlineLevel="0" collapsed="false">
      <c r="A144" s="15"/>
      <c r="B144" s="15"/>
      <c r="C144" s="15"/>
      <c r="D144" s="15"/>
      <c r="E144" s="15"/>
      <c r="F144" s="15"/>
      <c r="G144" s="15"/>
      <c r="H144" s="15"/>
      <c r="I144" s="15"/>
      <c r="J144" s="15"/>
      <c r="K144" s="15"/>
      <c r="L144" s="15"/>
      <c r="M144" s="15"/>
      <c r="N144" s="15"/>
      <c r="O144" s="15"/>
      <c r="P144" s="15"/>
      <c r="Q144" s="15"/>
      <c r="R144" s="15"/>
      <c r="S144" s="16" t="str">
        <f aca="false">IF(A144="","",COUNTIF(Risk_Control_Map!$C$5:$C$204,A144))</f>
        <v/>
      </c>
      <c r="T144" s="16" t="str">
        <f aca="false">IF(A144="","",IF(OR(B144="",C144="",E144="",G144="",H144="",K144=""),"Title, description, category, nature, frequency, owner needed",IF(LEN(C144)&lt;80,"Description too short: who, what, when, how, evidence",IF(AND(E144="ITAC",G144&lt;&gt;"Automated"),"ITAC must be Automated",IF(AND(OR(E144="ITAC",E144="IPE",E144="ITDM"),N144=""),"Dependent ITGCs needed",IF(S144=0,"No risk mapped (Risk_Control_Map)",IF(AND(I144="Y",J144&lt;&gt;"Y"),"Key control should be SOX in scope","OK")))))))</f>
        <v/>
      </c>
    </row>
    <row r="145" customFormat="false" ht="15" hidden="false" customHeight="false" outlineLevel="0" collapsed="false">
      <c r="A145" s="15"/>
      <c r="B145" s="15"/>
      <c r="C145" s="15"/>
      <c r="D145" s="15"/>
      <c r="E145" s="15"/>
      <c r="F145" s="15"/>
      <c r="G145" s="15"/>
      <c r="H145" s="15"/>
      <c r="I145" s="15"/>
      <c r="J145" s="15"/>
      <c r="K145" s="15"/>
      <c r="L145" s="15"/>
      <c r="M145" s="15"/>
      <c r="N145" s="15"/>
      <c r="O145" s="15"/>
      <c r="P145" s="15"/>
      <c r="Q145" s="15"/>
      <c r="R145" s="15"/>
      <c r="S145" s="16" t="str">
        <f aca="false">IF(A145="","",COUNTIF(Risk_Control_Map!$C$5:$C$204,A145))</f>
        <v/>
      </c>
      <c r="T145" s="16" t="str">
        <f aca="false">IF(A145="","",IF(OR(B145="",C145="",E145="",G145="",H145="",K145=""),"Title, description, category, nature, frequency, owner needed",IF(LEN(C145)&lt;80,"Description too short: who, what, when, how, evidence",IF(AND(E145="ITAC",G145&lt;&gt;"Automated"),"ITAC must be Automated",IF(AND(OR(E145="ITAC",E145="IPE",E145="ITDM"),N145=""),"Dependent ITGCs needed",IF(S145=0,"No risk mapped (Risk_Control_Map)",IF(AND(I145="Y",J145&lt;&gt;"Y"),"Key control should be SOX in scope","OK")))))))</f>
        <v/>
      </c>
    </row>
    <row r="146" customFormat="false" ht="15" hidden="false" customHeight="false" outlineLevel="0" collapsed="false">
      <c r="A146" s="15"/>
      <c r="B146" s="15"/>
      <c r="C146" s="15"/>
      <c r="D146" s="15"/>
      <c r="E146" s="15"/>
      <c r="F146" s="15"/>
      <c r="G146" s="15"/>
      <c r="H146" s="15"/>
      <c r="I146" s="15"/>
      <c r="J146" s="15"/>
      <c r="K146" s="15"/>
      <c r="L146" s="15"/>
      <c r="M146" s="15"/>
      <c r="N146" s="15"/>
      <c r="O146" s="15"/>
      <c r="P146" s="15"/>
      <c r="Q146" s="15"/>
      <c r="R146" s="15"/>
      <c r="S146" s="16" t="str">
        <f aca="false">IF(A146="","",COUNTIF(Risk_Control_Map!$C$5:$C$204,A146))</f>
        <v/>
      </c>
      <c r="T146" s="16" t="str">
        <f aca="false">IF(A146="","",IF(OR(B146="",C146="",E146="",G146="",H146="",K146=""),"Title, description, category, nature, frequency, owner needed",IF(LEN(C146)&lt;80,"Description too short: who, what, when, how, evidence",IF(AND(E146="ITAC",G146&lt;&gt;"Automated"),"ITAC must be Automated",IF(AND(OR(E146="ITAC",E146="IPE",E146="ITDM"),N146=""),"Dependent ITGCs needed",IF(S146=0,"No risk mapped (Risk_Control_Map)",IF(AND(I146="Y",J146&lt;&gt;"Y"),"Key control should be SOX in scope","OK")))))))</f>
        <v/>
      </c>
    </row>
    <row r="147" customFormat="false" ht="15" hidden="false" customHeight="false" outlineLevel="0" collapsed="false">
      <c r="A147" s="15"/>
      <c r="B147" s="15"/>
      <c r="C147" s="15"/>
      <c r="D147" s="15"/>
      <c r="E147" s="15"/>
      <c r="F147" s="15"/>
      <c r="G147" s="15"/>
      <c r="H147" s="15"/>
      <c r="I147" s="15"/>
      <c r="J147" s="15"/>
      <c r="K147" s="15"/>
      <c r="L147" s="15"/>
      <c r="M147" s="15"/>
      <c r="N147" s="15"/>
      <c r="O147" s="15"/>
      <c r="P147" s="15"/>
      <c r="Q147" s="15"/>
      <c r="R147" s="15"/>
      <c r="S147" s="16" t="str">
        <f aca="false">IF(A147="","",COUNTIF(Risk_Control_Map!$C$5:$C$204,A147))</f>
        <v/>
      </c>
      <c r="T147" s="16" t="str">
        <f aca="false">IF(A147="","",IF(OR(B147="",C147="",E147="",G147="",H147="",K147=""),"Title, description, category, nature, frequency, owner needed",IF(LEN(C147)&lt;80,"Description too short: who, what, when, how, evidence",IF(AND(E147="ITAC",G147&lt;&gt;"Automated"),"ITAC must be Automated",IF(AND(OR(E147="ITAC",E147="IPE",E147="ITDM"),N147=""),"Dependent ITGCs needed",IF(S147=0,"No risk mapped (Risk_Control_Map)",IF(AND(I147="Y",J147&lt;&gt;"Y"),"Key control should be SOX in scope","OK")))))))</f>
        <v/>
      </c>
    </row>
    <row r="148" customFormat="false" ht="15" hidden="false" customHeight="false" outlineLevel="0" collapsed="false">
      <c r="A148" s="15"/>
      <c r="B148" s="15"/>
      <c r="C148" s="15"/>
      <c r="D148" s="15"/>
      <c r="E148" s="15"/>
      <c r="F148" s="15"/>
      <c r="G148" s="15"/>
      <c r="H148" s="15"/>
      <c r="I148" s="15"/>
      <c r="J148" s="15"/>
      <c r="K148" s="15"/>
      <c r="L148" s="15"/>
      <c r="M148" s="15"/>
      <c r="N148" s="15"/>
      <c r="O148" s="15"/>
      <c r="P148" s="15"/>
      <c r="Q148" s="15"/>
      <c r="R148" s="15"/>
      <c r="S148" s="16" t="str">
        <f aca="false">IF(A148="","",COUNTIF(Risk_Control_Map!$C$5:$C$204,A148))</f>
        <v/>
      </c>
      <c r="T148" s="16" t="str">
        <f aca="false">IF(A148="","",IF(OR(B148="",C148="",E148="",G148="",H148="",K148=""),"Title, description, category, nature, frequency, owner needed",IF(LEN(C148)&lt;80,"Description too short: who, what, when, how, evidence",IF(AND(E148="ITAC",G148&lt;&gt;"Automated"),"ITAC must be Automated",IF(AND(OR(E148="ITAC",E148="IPE",E148="ITDM"),N148=""),"Dependent ITGCs needed",IF(S148=0,"No risk mapped (Risk_Control_Map)",IF(AND(I148="Y",J148&lt;&gt;"Y"),"Key control should be SOX in scope","OK")))))))</f>
        <v/>
      </c>
    </row>
    <row r="149" customFormat="false" ht="15" hidden="false" customHeight="false" outlineLevel="0" collapsed="false">
      <c r="A149" s="15"/>
      <c r="B149" s="15"/>
      <c r="C149" s="15"/>
      <c r="D149" s="15"/>
      <c r="E149" s="15"/>
      <c r="F149" s="15"/>
      <c r="G149" s="15"/>
      <c r="H149" s="15"/>
      <c r="I149" s="15"/>
      <c r="J149" s="15"/>
      <c r="K149" s="15"/>
      <c r="L149" s="15"/>
      <c r="M149" s="15"/>
      <c r="N149" s="15"/>
      <c r="O149" s="15"/>
      <c r="P149" s="15"/>
      <c r="Q149" s="15"/>
      <c r="R149" s="15"/>
      <c r="S149" s="16" t="str">
        <f aca="false">IF(A149="","",COUNTIF(Risk_Control_Map!$C$5:$C$204,A149))</f>
        <v/>
      </c>
      <c r="T149" s="16" t="str">
        <f aca="false">IF(A149="","",IF(OR(B149="",C149="",E149="",G149="",H149="",K149=""),"Title, description, category, nature, frequency, owner needed",IF(LEN(C149)&lt;80,"Description too short: who, what, when, how, evidence",IF(AND(E149="ITAC",G149&lt;&gt;"Automated"),"ITAC must be Automated",IF(AND(OR(E149="ITAC",E149="IPE",E149="ITDM"),N149=""),"Dependent ITGCs needed",IF(S149=0,"No risk mapped (Risk_Control_Map)",IF(AND(I149="Y",J149&lt;&gt;"Y"),"Key control should be SOX in scope","OK")))))))</f>
        <v/>
      </c>
    </row>
    <row r="150" customFormat="false" ht="15" hidden="false" customHeight="false" outlineLevel="0" collapsed="false">
      <c r="A150" s="15"/>
      <c r="B150" s="15"/>
      <c r="C150" s="15"/>
      <c r="D150" s="15"/>
      <c r="E150" s="15"/>
      <c r="F150" s="15"/>
      <c r="G150" s="15"/>
      <c r="H150" s="15"/>
      <c r="I150" s="15"/>
      <c r="J150" s="15"/>
      <c r="K150" s="15"/>
      <c r="L150" s="15"/>
      <c r="M150" s="15"/>
      <c r="N150" s="15"/>
      <c r="O150" s="15"/>
      <c r="P150" s="15"/>
      <c r="Q150" s="15"/>
      <c r="R150" s="15"/>
      <c r="S150" s="16" t="str">
        <f aca="false">IF(A150="","",COUNTIF(Risk_Control_Map!$C$5:$C$204,A150))</f>
        <v/>
      </c>
      <c r="T150" s="16" t="str">
        <f aca="false">IF(A150="","",IF(OR(B150="",C150="",E150="",G150="",H150="",K150=""),"Title, description, category, nature, frequency, owner needed",IF(LEN(C150)&lt;80,"Description too short: who, what, when, how, evidence",IF(AND(E150="ITAC",G150&lt;&gt;"Automated"),"ITAC must be Automated",IF(AND(OR(E150="ITAC",E150="IPE",E150="ITDM"),N150=""),"Dependent ITGCs needed",IF(S150=0,"No risk mapped (Risk_Control_Map)",IF(AND(I150="Y",J150&lt;&gt;"Y"),"Key control should be SOX in scope","OK")))))))</f>
        <v/>
      </c>
    </row>
    <row r="151" customFormat="false" ht="15" hidden="false" customHeight="false" outlineLevel="0" collapsed="false">
      <c r="A151" s="15"/>
      <c r="B151" s="15"/>
      <c r="C151" s="15"/>
      <c r="D151" s="15"/>
      <c r="E151" s="15"/>
      <c r="F151" s="15"/>
      <c r="G151" s="15"/>
      <c r="H151" s="15"/>
      <c r="I151" s="15"/>
      <c r="J151" s="15"/>
      <c r="K151" s="15"/>
      <c r="L151" s="15"/>
      <c r="M151" s="15"/>
      <c r="N151" s="15"/>
      <c r="O151" s="15"/>
      <c r="P151" s="15"/>
      <c r="Q151" s="15"/>
      <c r="R151" s="15"/>
      <c r="S151" s="16" t="str">
        <f aca="false">IF(A151="","",COUNTIF(Risk_Control_Map!$C$5:$C$204,A151))</f>
        <v/>
      </c>
      <c r="T151" s="16" t="str">
        <f aca="false">IF(A151="","",IF(OR(B151="",C151="",E151="",G151="",H151="",K151=""),"Title, description, category, nature, frequency, owner needed",IF(LEN(C151)&lt;80,"Description too short: who, what, when, how, evidence",IF(AND(E151="ITAC",G151&lt;&gt;"Automated"),"ITAC must be Automated",IF(AND(OR(E151="ITAC",E151="IPE",E151="ITDM"),N151=""),"Dependent ITGCs needed",IF(S151=0,"No risk mapped (Risk_Control_Map)",IF(AND(I151="Y",J151&lt;&gt;"Y"),"Key control should be SOX in scope","OK")))))))</f>
        <v/>
      </c>
    </row>
    <row r="152" customFormat="false" ht="15" hidden="false" customHeight="false" outlineLevel="0" collapsed="false">
      <c r="A152" s="15"/>
      <c r="B152" s="15"/>
      <c r="C152" s="15"/>
      <c r="D152" s="15"/>
      <c r="E152" s="15"/>
      <c r="F152" s="15"/>
      <c r="G152" s="15"/>
      <c r="H152" s="15"/>
      <c r="I152" s="15"/>
      <c r="J152" s="15"/>
      <c r="K152" s="15"/>
      <c r="L152" s="15"/>
      <c r="M152" s="15"/>
      <c r="N152" s="15"/>
      <c r="O152" s="15"/>
      <c r="P152" s="15"/>
      <c r="Q152" s="15"/>
      <c r="R152" s="15"/>
      <c r="S152" s="16" t="str">
        <f aca="false">IF(A152="","",COUNTIF(Risk_Control_Map!$C$5:$C$204,A152))</f>
        <v/>
      </c>
      <c r="T152" s="16" t="str">
        <f aca="false">IF(A152="","",IF(OR(B152="",C152="",E152="",G152="",H152="",K152=""),"Title, description, category, nature, frequency, owner needed",IF(LEN(C152)&lt;80,"Description too short: who, what, when, how, evidence",IF(AND(E152="ITAC",G152&lt;&gt;"Automated"),"ITAC must be Automated",IF(AND(OR(E152="ITAC",E152="IPE",E152="ITDM"),N152=""),"Dependent ITGCs needed",IF(S152=0,"No risk mapped (Risk_Control_Map)",IF(AND(I152="Y",J152&lt;&gt;"Y"),"Key control should be SOX in scope","OK")))))))</f>
        <v/>
      </c>
    </row>
    <row r="153" customFormat="false" ht="15" hidden="false" customHeight="false" outlineLevel="0" collapsed="false">
      <c r="A153" s="15"/>
      <c r="B153" s="15"/>
      <c r="C153" s="15"/>
      <c r="D153" s="15"/>
      <c r="E153" s="15"/>
      <c r="F153" s="15"/>
      <c r="G153" s="15"/>
      <c r="H153" s="15"/>
      <c r="I153" s="15"/>
      <c r="J153" s="15"/>
      <c r="K153" s="15"/>
      <c r="L153" s="15"/>
      <c r="M153" s="15"/>
      <c r="N153" s="15"/>
      <c r="O153" s="15"/>
      <c r="P153" s="15"/>
      <c r="Q153" s="15"/>
      <c r="R153" s="15"/>
      <c r="S153" s="16" t="str">
        <f aca="false">IF(A153="","",COUNTIF(Risk_Control_Map!$C$5:$C$204,A153))</f>
        <v/>
      </c>
      <c r="T153" s="16" t="str">
        <f aca="false">IF(A153="","",IF(OR(B153="",C153="",E153="",G153="",H153="",K153=""),"Title, description, category, nature, frequency, owner needed",IF(LEN(C153)&lt;80,"Description too short: who, what, when, how, evidence",IF(AND(E153="ITAC",G153&lt;&gt;"Automated"),"ITAC must be Automated",IF(AND(OR(E153="ITAC",E153="IPE",E153="ITDM"),N153=""),"Dependent ITGCs needed",IF(S153=0,"No risk mapped (Risk_Control_Map)",IF(AND(I153="Y",J153&lt;&gt;"Y"),"Key control should be SOX in scope","OK")))))))</f>
        <v/>
      </c>
    </row>
    <row r="154" customFormat="false" ht="15" hidden="false" customHeight="false" outlineLevel="0" collapsed="false">
      <c r="A154" s="15"/>
      <c r="B154" s="15"/>
      <c r="C154" s="15"/>
      <c r="D154" s="15"/>
      <c r="E154" s="15"/>
      <c r="F154" s="15"/>
      <c r="G154" s="15"/>
      <c r="H154" s="15"/>
      <c r="I154" s="15"/>
      <c r="J154" s="15"/>
      <c r="K154" s="15"/>
      <c r="L154" s="15"/>
      <c r="M154" s="15"/>
      <c r="N154" s="15"/>
      <c r="O154" s="15"/>
      <c r="P154" s="15"/>
      <c r="Q154" s="15"/>
      <c r="R154" s="15"/>
      <c r="S154" s="16" t="str">
        <f aca="false">IF(A154="","",COUNTIF(Risk_Control_Map!$C$5:$C$204,A154))</f>
        <v/>
      </c>
      <c r="T154" s="16" t="str">
        <f aca="false">IF(A154="","",IF(OR(B154="",C154="",E154="",G154="",H154="",K154=""),"Title, description, category, nature, frequency, owner needed",IF(LEN(C154)&lt;80,"Description too short: who, what, when, how, evidence",IF(AND(E154="ITAC",G154&lt;&gt;"Automated"),"ITAC must be Automated",IF(AND(OR(E154="ITAC",E154="IPE",E154="ITDM"),N154=""),"Dependent ITGCs needed",IF(S154=0,"No risk mapped (Risk_Control_Map)",IF(AND(I154="Y",J154&lt;&gt;"Y"),"Key control should be SOX in scope","OK")))))))</f>
        <v/>
      </c>
    </row>
    <row r="155" customFormat="false" ht="15" hidden="false" customHeight="false" outlineLevel="0" collapsed="false">
      <c r="A155" s="15"/>
      <c r="B155" s="15"/>
      <c r="C155" s="15"/>
      <c r="D155" s="15"/>
      <c r="E155" s="15"/>
      <c r="F155" s="15"/>
      <c r="G155" s="15"/>
      <c r="H155" s="15"/>
      <c r="I155" s="15"/>
      <c r="J155" s="15"/>
      <c r="K155" s="15"/>
      <c r="L155" s="15"/>
      <c r="M155" s="15"/>
      <c r="N155" s="15"/>
      <c r="O155" s="15"/>
      <c r="P155" s="15"/>
      <c r="Q155" s="15"/>
      <c r="R155" s="15"/>
      <c r="S155" s="16" t="str">
        <f aca="false">IF(A155="","",COUNTIF(Risk_Control_Map!$C$5:$C$204,A155))</f>
        <v/>
      </c>
      <c r="T155" s="16" t="str">
        <f aca="false">IF(A155="","",IF(OR(B155="",C155="",E155="",G155="",H155="",K155=""),"Title, description, category, nature, frequency, owner needed",IF(LEN(C155)&lt;80,"Description too short: who, what, when, how, evidence",IF(AND(E155="ITAC",G155&lt;&gt;"Automated"),"ITAC must be Automated",IF(AND(OR(E155="ITAC",E155="IPE",E155="ITDM"),N155=""),"Dependent ITGCs needed",IF(S155=0,"No risk mapped (Risk_Control_Map)",IF(AND(I155="Y",J155&lt;&gt;"Y"),"Key control should be SOX in scope","OK")))))))</f>
        <v/>
      </c>
    </row>
    <row r="156" customFormat="false" ht="15" hidden="false" customHeight="false" outlineLevel="0" collapsed="false">
      <c r="A156" s="15"/>
      <c r="B156" s="15"/>
      <c r="C156" s="15"/>
      <c r="D156" s="15"/>
      <c r="E156" s="15"/>
      <c r="F156" s="15"/>
      <c r="G156" s="15"/>
      <c r="H156" s="15"/>
      <c r="I156" s="15"/>
      <c r="J156" s="15"/>
      <c r="K156" s="15"/>
      <c r="L156" s="15"/>
      <c r="M156" s="15"/>
      <c r="N156" s="15"/>
      <c r="O156" s="15"/>
      <c r="P156" s="15"/>
      <c r="Q156" s="15"/>
      <c r="R156" s="15"/>
      <c r="S156" s="16" t="str">
        <f aca="false">IF(A156="","",COUNTIF(Risk_Control_Map!$C$5:$C$204,A156))</f>
        <v/>
      </c>
      <c r="T156" s="16" t="str">
        <f aca="false">IF(A156="","",IF(OR(B156="",C156="",E156="",G156="",H156="",K156=""),"Title, description, category, nature, frequency, owner needed",IF(LEN(C156)&lt;80,"Description too short: who, what, when, how, evidence",IF(AND(E156="ITAC",G156&lt;&gt;"Automated"),"ITAC must be Automated",IF(AND(OR(E156="ITAC",E156="IPE",E156="ITDM"),N156=""),"Dependent ITGCs needed",IF(S156=0,"No risk mapped (Risk_Control_Map)",IF(AND(I156="Y",J156&lt;&gt;"Y"),"Key control should be SOX in scope","OK")))))))</f>
        <v/>
      </c>
    </row>
    <row r="157" customFormat="false" ht="15" hidden="false" customHeight="false" outlineLevel="0" collapsed="false">
      <c r="A157" s="15"/>
      <c r="B157" s="15"/>
      <c r="C157" s="15"/>
      <c r="D157" s="15"/>
      <c r="E157" s="15"/>
      <c r="F157" s="15"/>
      <c r="G157" s="15"/>
      <c r="H157" s="15"/>
      <c r="I157" s="15"/>
      <c r="J157" s="15"/>
      <c r="K157" s="15"/>
      <c r="L157" s="15"/>
      <c r="M157" s="15"/>
      <c r="N157" s="15"/>
      <c r="O157" s="15"/>
      <c r="P157" s="15"/>
      <c r="Q157" s="15"/>
      <c r="R157" s="15"/>
      <c r="S157" s="16" t="str">
        <f aca="false">IF(A157="","",COUNTIF(Risk_Control_Map!$C$5:$C$204,A157))</f>
        <v/>
      </c>
      <c r="T157" s="16" t="str">
        <f aca="false">IF(A157="","",IF(OR(B157="",C157="",E157="",G157="",H157="",K157=""),"Title, description, category, nature, frequency, owner needed",IF(LEN(C157)&lt;80,"Description too short: who, what, when, how, evidence",IF(AND(E157="ITAC",G157&lt;&gt;"Automated"),"ITAC must be Automated",IF(AND(OR(E157="ITAC",E157="IPE",E157="ITDM"),N157=""),"Dependent ITGCs needed",IF(S157=0,"No risk mapped (Risk_Control_Map)",IF(AND(I157="Y",J157&lt;&gt;"Y"),"Key control should be SOX in scope","OK")))))))</f>
        <v/>
      </c>
    </row>
    <row r="158" customFormat="false" ht="15" hidden="false" customHeight="false" outlineLevel="0" collapsed="false">
      <c r="A158" s="15"/>
      <c r="B158" s="15"/>
      <c r="C158" s="15"/>
      <c r="D158" s="15"/>
      <c r="E158" s="15"/>
      <c r="F158" s="15"/>
      <c r="G158" s="15"/>
      <c r="H158" s="15"/>
      <c r="I158" s="15"/>
      <c r="J158" s="15"/>
      <c r="K158" s="15"/>
      <c r="L158" s="15"/>
      <c r="M158" s="15"/>
      <c r="N158" s="15"/>
      <c r="O158" s="15"/>
      <c r="P158" s="15"/>
      <c r="Q158" s="15"/>
      <c r="R158" s="15"/>
      <c r="S158" s="16" t="str">
        <f aca="false">IF(A158="","",COUNTIF(Risk_Control_Map!$C$5:$C$204,A158))</f>
        <v/>
      </c>
      <c r="T158" s="16" t="str">
        <f aca="false">IF(A158="","",IF(OR(B158="",C158="",E158="",G158="",H158="",K158=""),"Title, description, category, nature, frequency, owner needed",IF(LEN(C158)&lt;80,"Description too short: who, what, when, how, evidence",IF(AND(E158="ITAC",G158&lt;&gt;"Automated"),"ITAC must be Automated",IF(AND(OR(E158="ITAC",E158="IPE",E158="ITDM"),N158=""),"Dependent ITGCs needed",IF(S158=0,"No risk mapped (Risk_Control_Map)",IF(AND(I158="Y",J158&lt;&gt;"Y"),"Key control should be SOX in scope","OK")))))))</f>
        <v/>
      </c>
    </row>
    <row r="159" customFormat="false" ht="15" hidden="false" customHeight="false" outlineLevel="0" collapsed="false">
      <c r="A159" s="15"/>
      <c r="B159" s="15"/>
      <c r="C159" s="15"/>
      <c r="D159" s="15"/>
      <c r="E159" s="15"/>
      <c r="F159" s="15"/>
      <c r="G159" s="15"/>
      <c r="H159" s="15"/>
      <c r="I159" s="15"/>
      <c r="J159" s="15"/>
      <c r="K159" s="15"/>
      <c r="L159" s="15"/>
      <c r="M159" s="15"/>
      <c r="N159" s="15"/>
      <c r="O159" s="15"/>
      <c r="P159" s="15"/>
      <c r="Q159" s="15"/>
      <c r="R159" s="15"/>
      <c r="S159" s="16" t="str">
        <f aca="false">IF(A159="","",COUNTIF(Risk_Control_Map!$C$5:$C$204,A159))</f>
        <v/>
      </c>
      <c r="T159" s="16" t="str">
        <f aca="false">IF(A159="","",IF(OR(B159="",C159="",E159="",G159="",H159="",K159=""),"Title, description, category, nature, frequency, owner needed",IF(LEN(C159)&lt;80,"Description too short: who, what, when, how, evidence",IF(AND(E159="ITAC",G159&lt;&gt;"Automated"),"ITAC must be Automated",IF(AND(OR(E159="ITAC",E159="IPE",E159="ITDM"),N159=""),"Dependent ITGCs needed",IF(S159=0,"No risk mapped (Risk_Control_Map)",IF(AND(I159="Y",J159&lt;&gt;"Y"),"Key control should be SOX in scope","OK")))))))</f>
        <v/>
      </c>
    </row>
    <row r="160" customFormat="false" ht="15" hidden="false" customHeight="false" outlineLevel="0" collapsed="false">
      <c r="A160" s="15"/>
      <c r="B160" s="15"/>
      <c r="C160" s="15"/>
      <c r="D160" s="15"/>
      <c r="E160" s="15"/>
      <c r="F160" s="15"/>
      <c r="G160" s="15"/>
      <c r="H160" s="15"/>
      <c r="I160" s="15"/>
      <c r="J160" s="15"/>
      <c r="K160" s="15"/>
      <c r="L160" s="15"/>
      <c r="M160" s="15"/>
      <c r="N160" s="15"/>
      <c r="O160" s="15"/>
      <c r="P160" s="15"/>
      <c r="Q160" s="15"/>
      <c r="R160" s="15"/>
      <c r="S160" s="16" t="str">
        <f aca="false">IF(A160="","",COUNTIF(Risk_Control_Map!$C$5:$C$204,A160))</f>
        <v/>
      </c>
      <c r="T160" s="16" t="str">
        <f aca="false">IF(A160="","",IF(OR(B160="",C160="",E160="",G160="",H160="",K160=""),"Title, description, category, nature, frequency, owner needed",IF(LEN(C160)&lt;80,"Description too short: who, what, when, how, evidence",IF(AND(E160="ITAC",G160&lt;&gt;"Automated"),"ITAC must be Automated",IF(AND(OR(E160="ITAC",E160="IPE",E160="ITDM"),N160=""),"Dependent ITGCs needed",IF(S160=0,"No risk mapped (Risk_Control_Map)",IF(AND(I160="Y",J160&lt;&gt;"Y"),"Key control should be SOX in scope","OK")))))))</f>
        <v/>
      </c>
    </row>
    <row r="161" customFormat="false" ht="15" hidden="false" customHeight="false" outlineLevel="0" collapsed="false">
      <c r="A161" s="15"/>
      <c r="B161" s="15"/>
      <c r="C161" s="15"/>
      <c r="D161" s="15"/>
      <c r="E161" s="15"/>
      <c r="F161" s="15"/>
      <c r="G161" s="15"/>
      <c r="H161" s="15"/>
      <c r="I161" s="15"/>
      <c r="J161" s="15"/>
      <c r="K161" s="15"/>
      <c r="L161" s="15"/>
      <c r="M161" s="15"/>
      <c r="N161" s="15"/>
      <c r="O161" s="15"/>
      <c r="P161" s="15"/>
      <c r="Q161" s="15"/>
      <c r="R161" s="15"/>
      <c r="S161" s="16" t="str">
        <f aca="false">IF(A161="","",COUNTIF(Risk_Control_Map!$C$5:$C$204,A161))</f>
        <v/>
      </c>
      <c r="T161" s="16" t="str">
        <f aca="false">IF(A161="","",IF(OR(B161="",C161="",E161="",G161="",H161="",K161=""),"Title, description, category, nature, frequency, owner needed",IF(LEN(C161)&lt;80,"Description too short: who, what, when, how, evidence",IF(AND(E161="ITAC",G161&lt;&gt;"Automated"),"ITAC must be Automated",IF(AND(OR(E161="ITAC",E161="IPE",E161="ITDM"),N161=""),"Dependent ITGCs needed",IF(S161=0,"No risk mapped (Risk_Control_Map)",IF(AND(I161="Y",J161&lt;&gt;"Y"),"Key control should be SOX in scope","OK")))))))</f>
        <v/>
      </c>
    </row>
    <row r="162" customFormat="false" ht="15" hidden="false" customHeight="false" outlineLevel="0" collapsed="false">
      <c r="A162" s="15"/>
      <c r="B162" s="15"/>
      <c r="C162" s="15"/>
      <c r="D162" s="15"/>
      <c r="E162" s="15"/>
      <c r="F162" s="15"/>
      <c r="G162" s="15"/>
      <c r="H162" s="15"/>
      <c r="I162" s="15"/>
      <c r="J162" s="15"/>
      <c r="K162" s="15"/>
      <c r="L162" s="15"/>
      <c r="M162" s="15"/>
      <c r="N162" s="15"/>
      <c r="O162" s="15"/>
      <c r="P162" s="15"/>
      <c r="Q162" s="15"/>
      <c r="R162" s="15"/>
      <c r="S162" s="16" t="str">
        <f aca="false">IF(A162="","",COUNTIF(Risk_Control_Map!$C$5:$C$204,A162))</f>
        <v/>
      </c>
      <c r="T162" s="16" t="str">
        <f aca="false">IF(A162="","",IF(OR(B162="",C162="",E162="",G162="",H162="",K162=""),"Title, description, category, nature, frequency, owner needed",IF(LEN(C162)&lt;80,"Description too short: who, what, when, how, evidence",IF(AND(E162="ITAC",G162&lt;&gt;"Automated"),"ITAC must be Automated",IF(AND(OR(E162="ITAC",E162="IPE",E162="ITDM"),N162=""),"Dependent ITGCs needed",IF(S162=0,"No risk mapped (Risk_Control_Map)",IF(AND(I162="Y",J162&lt;&gt;"Y"),"Key control should be SOX in scope","OK")))))))</f>
        <v/>
      </c>
    </row>
    <row r="163" customFormat="false" ht="15" hidden="false" customHeight="false" outlineLevel="0" collapsed="false">
      <c r="A163" s="15"/>
      <c r="B163" s="15"/>
      <c r="C163" s="15"/>
      <c r="D163" s="15"/>
      <c r="E163" s="15"/>
      <c r="F163" s="15"/>
      <c r="G163" s="15"/>
      <c r="H163" s="15"/>
      <c r="I163" s="15"/>
      <c r="J163" s="15"/>
      <c r="K163" s="15"/>
      <c r="L163" s="15"/>
      <c r="M163" s="15"/>
      <c r="N163" s="15"/>
      <c r="O163" s="15"/>
      <c r="P163" s="15"/>
      <c r="Q163" s="15"/>
      <c r="R163" s="15"/>
      <c r="S163" s="16" t="str">
        <f aca="false">IF(A163="","",COUNTIF(Risk_Control_Map!$C$5:$C$204,A163))</f>
        <v/>
      </c>
      <c r="T163" s="16" t="str">
        <f aca="false">IF(A163="","",IF(OR(B163="",C163="",E163="",G163="",H163="",K163=""),"Title, description, category, nature, frequency, owner needed",IF(LEN(C163)&lt;80,"Description too short: who, what, when, how, evidence",IF(AND(E163="ITAC",G163&lt;&gt;"Automated"),"ITAC must be Automated",IF(AND(OR(E163="ITAC",E163="IPE",E163="ITDM"),N163=""),"Dependent ITGCs needed",IF(S163=0,"No risk mapped (Risk_Control_Map)",IF(AND(I163="Y",J163&lt;&gt;"Y"),"Key control should be SOX in scope","OK")))))))</f>
        <v/>
      </c>
    </row>
    <row r="164" customFormat="false" ht="15" hidden="false" customHeight="false" outlineLevel="0" collapsed="false">
      <c r="A164" s="15"/>
      <c r="B164" s="15"/>
      <c r="C164" s="15"/>
      <c r="D164" s="15"/>
      <c r="E164" s="15"/>
      <c r="F164" s="15"/>
      <c r="G164" s="15"/>
      <c r="H164" s="15"/>
      <c r="I164" s="15"/>
      <c r="J164" s="15"/>
      <c r="K164" s="15"/>
      <c r="L164" s="15"/>
      <c r="M164" s="15"/>
      <c r="N164" s="15"/>
      <c r="O164" s="15"/>
      <c r="P164" s="15"/>
      <c r="Q164" s="15"/>
      <c r="R164" s="15"/>
      <c r="S164" s="16" t="str">
        <f aca="false">IF(A164="","",COUNTIF(Risk_Control_Map!$C$5:$C$204,A164))</f>
        <v/>
      </c>
      <c r="T164" s="16" t="str">
        <f aca="false">IF(A164="","",IF(OR(B164="",C164="",E164="",G164="",H164="",K164=""),"Title, description, category, nature, frequency, owner needed",IF(LEN(C164)&lt;80,"Description too short: who, what, when, how, evidence",IF(AND(E164="ITAC",G164&lt;&gt;"Automated"),"ITAC must be Automated",IF(AND(OR(E164="ITAC",E164="IPE",E164="ITDM"),N164=""),"Dependent ITGCs needed",IF(S164=0,"No risk mapped (Risk_Control_Map)",IF(AND(I164="Y",J164&lt;&gt;"Y"),"Key control should be SOX in scope","OK")))))))</f>
        <v/>
      </c>
    </row>
    <row r="165" customFormat="false" ht="15" hidden="false" customHeight="false" outlineLevel="0" collapsed="false">
      <c r="A165" s="15"/>
      <c r="B165" s="15"/>
      <c r="C165" s="15"/>
      <c r="D165" s="15"/>
      <c r="E165" s="15"/>
      <c r="F165" s="15"/>
      <c r="G165" s="15"/>
      <c r="H165" s="15"/>
      <c r="I165" s="15"/>
      <c r="J165" s="15"/>
      <c r="K165" s="15"/>
      <c r="L165" s="15"/>
      <c r="M165" s="15"/>
      <c r="N165" s="15"/>
      <c r="O165" s="15"/>
      <c r="P165" s="15"/>
      <c r="Q165" s="15"/>
      <c r="R165" s="15"/>
      <c r="S165" s="16" t="str">
        <f aca="false">IF(A165="","",COUNTIF(Risk_Control_Map!$C$5:$C$204,A165))</f>
        <v/>
      </c>
      <c r="T165" s="16" t="str">
        <f aca="false">IF(A165="","",IF(OR(B165="",C165="",E165="",G165="",H165="",K165=""),"Title, description, category, nature, frequency, owner needed",IF(LEN(C165)&lt;80,"Description too short: who, what, when, how, evidence",IF(AND(E165="ITAC",G165&lt;&gt;"Automated"),"ITAC must be Automated",IF(AND(OR(E165="ITAC",E165="IPE",E165="ITDM"),N165=""),"Dependent ITGCs needed",IF(S165=0,"No risk mapped (Risk_Control_Map)",IF(AND(I165="Y",J165&lt;&gt;"Y"),"Key control should be SOX in scope","OK")))))))</f>
        <v/>
      </c>
    </row>
    <row r="166" customFormat="false" ht="15" hidden="false" customHeight="false" outlineLevel="0" collapsed="false">
      <c r="A166" s="15"/>
      <c r="B166" s="15"/>
      <c r="C166" s="15"/>
      <c r="D166" s="15"/>
      <c r="E166" s="15"/>
      <c r="F166" s="15"/>
      <c r="G166" s="15"/>
      <c r="H166" s="15"/>
      <c r="I166" s="15"/>
      <c r="J166" s="15"/>
      <c r="K166" s="15"/>
      <c r="L166" s="15"/>
      <c r="M166" s="15"/>
      <c r="N166" s="15"/>
      <c r="O166" s="15"/>
      <c r="P166" s="15"/>
      <c r="Q166" s="15"/>
      <c r="R166" s="15"/>
      <c r="S166" s="16" t="str">
        <f aca="false">IF(A166="","",COUNTIF(Risk_Control_Map!$C$5:$C$204,A166))</f>
        <v/>
      </c>
      <c r="T166" s="16" t="str">
        <f aca="false">IF(A166="","",IF(OR(B166="",C166="",E166="",G166="",H166="",K166=""),"Title, description, category, nature, frequency, owner needed",IF(LEN(C166)&lt;80,"Description too short: who, what, when, how, evidence",IF(AND(E166="ITAC",G166&lt;&gt;"Automated"),"ITAC must be Automated",IF(AND(OR(E166="ITAC",E166="IPE",E166="ITDM"),N166=""),"Dependent ITGCs needed",IF(S166=0,"No risk mapped (Risk_Control_Map)",IF(AND(I166="Y",J166&lt;&gt;"Y"),"Key control should be SOX in scope","OK")))))))</f>
        <v/>
      </c>
    </row>
    <row r="167" customFormat="false" ht="15" hidden="false" customHeight="false" outlineLevel="0" collapsed="false">
      <c r="A167" s="15"/>
      <c r="B167" s="15"/>
      <c r="C167" s="15"/>
      <c r="D167" s="15"/>
      <c r="E167" s="15"/>
      <c r="F167" s="15"/>
      <c r="G167" s="15"/>
      <c r="H167" s="15"/>
      <c r="I167" s="15"/>
      <c r="J167" s="15"/>
      <c r="K167" s="15"/>
      <c r="L167" s="15"/>
      <c r="M167" s="15"/>
      <c r="N167" s="15"/>
      <c r="O167" s="15"/>
      <c r="P167" s="15"/>
      <c r="Q167" s="15"/>
      <c r="R167" s="15"/>
      <c r="S167" s="16" t="str">
        <f aca="false">IF(A167="","",COUNTIF(Risk_Control_Map!$C$5:$C$204,A167))</f>
        <v/>
      </c>
      <c r="T167" s="16" t="str">
        <f aca="false">IF(A167="","",IF(OR(B167="",C167="",E167="",G167="",H167="",K167=""),"Title, description, category, nature, frequency, owner needed",IF(LEN(C167)&lt;80,"Description too short: who, what, when, how, evidence",IF(AND(E167="ITAC",G167&lt;&gt;"Automated"),"ITAC must be Automated",IF(AND(OR(E167="ITAC",E167="IPE",E167="ITDM"),N167=""),"Dependent ITGCs needed",IF(S167=0,"No risk mapped (Risk_Control_Map)",IF(AND(I167="Y",J167&lt;&gt;"Y"),"Key control should be SOX in scope","OK")))))))</f>
        <v/>
      </c>
    </row>
    <row r="168" customFormat="false" ht="15" hidden="false" customHeight="false" outlineLevel="0" collapsed="false">
      <c r="A168" s="15"/>
      <c r="B168" s="15"/>
      <c r="C168" s="15"/>
      <c r="D168" s="15"/>
      <c r="E168" s="15"/>
      <c r="F168" s="15"/>
      <c r="G168" s="15"/>
      <c r="H168" s="15"/>
      <c r="I168" s="15"/>
      <c r="J168" s="15"/>
      <c r="K168" s="15"/>
      <c r="L168" s="15"/>
      <c r="M168" s="15"/>
      <c r="N168" s="15"/>
      <c r="O168" s="15"/>
      <c r="P168" s="15"/>
      <c r="Q168" s="15"/>
      <c r="R168" s="15"/>
      <c r="S168" s="16" t="str">
        <f aca="false">IF(A168="","",COUNTIF(Risk_Control_Map!$C$5:$C$204,A168))</f>
        <v/>
      </c>
      <c r="T168" s="16" t="str">
        <f aca="false">IF(A168="","",IF(OR(B168="",C168="",E168="",G168="",H168="",K168=""),"Title, description, category, nature, frequency, owner needed",IF(LEN(C168)&lt;80,"Description too short: who, what, when, how, evidence",IF(AND(E168="ITAC",G168&lt;&gt;"Automated"),"ITAC must be Automated",IF(AND(OR(E168="ITAC",E168="IPE",E168="ITDM"),N168=""),"Dependent ITGCs needed",IF(S168=0,"No risk mapped (Risk_Control_Map)",IF(AND(I168="Y",J168&lt;&gt;"Y"),"Key control should be SOX in scope","OK")))))))</f>
        <v/>
      </c>
    </row>
    <row r="169" customFormat="false" ht="15" hidden="false" customHeight="false" outlineLevel="0" collapsed="false">
      <c r="A169" s="15"/>
      <c r="B169" s="15"/>
      <c r="C169" s="15"/>
      <c r="D169" s="15"/>
      <c r="E169" s="15"/>
      <c r="F169" s="15"/>
      <c r="G169" s="15"/>
      <c r="H169" s="15"/>
      <c r="I169" s="15"/>
      <c r="J169" s="15"/>
      <c r="K169" s="15"/>
      <c r="L169" s="15"/>
      <c r="M169" s="15"/>
      <c r="N169" s="15"/>
      <c r="O169" s="15"/>
      <c r="P169" s="15"/>
      <c r="Q169" s="15"/>
      <c r="R169" s="15"/>
      <c r="S169" s="16" t="str">
        <f aca="false">IF(A169="","",COUNTIF(Risk_Control_Map!$C$5:$C$204,A169))</f>
        <v/>
      </c>
      <c r="T169" s="16" t="str">
        <f aca="false">IF(A169="","",IF(OR(B169="",C169="",E169="",G169="",H169="",K169=""),"Title, description, category, nature, frequency, owner needed",IF(LEN(C169)&lt;80,"Description too short: who, what, when, how, evidence",IF(AND(E169="ITAC",G169&lt;&gt;"Automated"),"ITAC must be Automated",IF(AND(OR(E169="ITAC",E169="IPE",E169="ITDM"),N169=""),"Dependent ITGCs needed",IF(S169=0,"No risk mapped (Risk_Control_Map)",IF(AND(I169="Y",J169&lt;&gt;"Y"),"Key control should be SOX in scope","OK")))))))</f>
        <v/>
      </c>
    </row>
    <row r="170" customFormat="false" ht="15" hidden="false" customHeight="false" outlineLevel="0" collapsed="false">
      <c r="A170" s="15"/>
      <c r="B170" s="15"/>
      <c r="C170" s="15"/>
      <c r="D170" s="15"/>
      <c r="E170" s="15"/>
      <c r="F170" s="15"/>
      <c r="G170" s="15"/>
      <c r="H170" s="15"/>
      <c r="I170" s="15"/>
      <c r="J170" s="15"/>
      <c r="K170" s="15"/>
      <c r="L170" s="15"/>
      <c r="M170" s="15"/>
      <c r="N170" s="15"/>
      <c r="O170" s="15"/>
      <c r="P170" s="15"/>
      <c r="Q170" s="15"/>
      <c r="R170" s="15"/>
      <c r="S170" s="16" t="str">
        <f aca="false">IF(A170="","",COUNTIF(Risk_Control_Map!$C$5:$C$204,A170))</f>
        <v/>
      </c>
      <c r="T170" s="16" t="str">
        <f aca="false">IF(A170="","",IF(OR(B170="",C170="",E170="",G170="",H170="",K170=""),"Title, description, category, nature, frequency, owner needed",IF(LEN(C170)&lt;80,"Description too short: who, what, when, how, evidence",IF(AND(E170="ITAC",G170&lt;&gt;"Automated"),"ITAC must be Automated",IF(AND(OR(E170="ITAC",E170="IPE",E170="ITDM"),N170=""),"Dependent ITGCs needed",IF(S170=0,"No risk mapped (Risk_Control_Map)",IF(AND(I170="Y",J170&lt;&gt;"Y"),"Key control should be SOX in scope","OK")))))))</f>
        <v/>
      </c>
    </row>
    <row r="171" customFormat="false" ht="15" hidden="false" customHeight="false" outlineLevel="0" collapsed="false">
      <c r="A171" s="15"/>
      <c r="B171" s="15"/>
      <c r="C171" s="15"/>
      <c r="D171" s="15"/>
      <c r="E171" s="15"/>
      <c r="F171" s="15"/>
      <c r="G171" s="15"/>
      <c r="H171" s="15"/>
      <c r="I171" s="15"/>
      <c r="J171" s="15"/>
      <c r="K171" s="15"/>
      <c r="L171" s="15"/>
      <c r="M171" s="15"/>
      <c r="N171" s="15"/>
      <c r="O171" s="15"/>
      <c r="P171" s="15"/>
      <c r="Q171" s="15"/>
      <c r="R171" s="15"/>
      <c r="S171" s="16" t="str">
        <f aca="false">IF(A171="","",COUNTIF(Risk_Control_Map!$C$5:$C$204,A171))</f>
        <v/>
      </c>
      <c r="T171" s="16" t="str">
        <f aca="false">IF(A171="","",IF(OR(B171="",C171="",E171="",G171="",H171="",K171=""),"Title, description, category, nature, frequency, owner needed",IF(LEN(C171)&lt;80,"Description too short: who, what, when, how, evidence",IF(AND(E171="ITAC",G171&lt;&gt;"Automated"),"ITAC must be Automated",IF(AND(OR(E171="ITAC",E171="IPE",E171="ITDM"),N171=""),"Dependent ITGCs needed",IF(S171=0,"No risk mapped (Risk_Control_Map)",IF(AND(I171="Y",J171&lt;&gt;"Y"),"Key control should be SOX in scope","OK")))))))</f>
        <v/>
      </c>
    </row>
    <row r="172" customFormat="false" ht="15" hidden="false" customHeight="false" outlineLevel="0" collapsed="false">
      <c r="A172" s="15"/>
      <c r="B172" s="15"/>
      <c r="C172" s="15"/>
      <c r="D172" s="15"/>
      <c r="E172" s="15"/>
      <c r="F172" s="15"/>
      <c r="G172" s="15"/>
      <c r="H172" s="15"/>
      <c r="I172" s="15"/>
      <c r="J172" s="15"/>
      <c r="K172" s="15"/>
      <c r="L172" s="15"/>
      <c r="M172" s="15"/>
      <c r="N172" s="15"/>
      <c r="O172" s="15"/>
      <c r="P172" s="15"/>
      <c r="Q172" s="15"/>
      <c r="R172" s="15"/>
      <c r="S172" s="16" t="str">
        <f aca="false">IF(A172="","",COUNTIF(Risk_Control_Map!$C$5:$C$204,A172))</f>
        <v/>
      </c>
      <c r="T172" s="16" t="str">
        <f aca="false">IF(A172="","",IF(OR(B172="",C172="",E172="",G172="",H172="",K172=""),"Title, description, category, nature, frequency, owner needed",IF(LEN(C172)&lt;80,"Description too short: who, what, when, how, evidence",IF(AND(E172="ITAC",G172&lt;&gt;"Automated"),"ITAC must be Automated",IF(AND(OR(E172="ITAC",E172="IPE",E172="ITDM"),N172=""),"Dependent ITGCs needed",IF(S172=0,"No risk mapped (Risk_Control_Map)",IF(AND(I172="Y",J172&lt;&gt;"Y"),"Key control should be SOX in scope","OK")))))))</f>
        <v/>
      </c>
    </row>
    <row r="173" customFormat="false" ht="15" hidden="false" customHeight="false" outlineLevel="0" collapsed="false">
      <c r="A173" s="15"/>
      <c r="B173" s="15"/>
      <c r="C173" s="15"/>
      <c r="D173" s="15"/>
      <c r="E173" s="15"/>
      <c r="F173" s="15"/>
      <c r="G173" s="15"/>
      <c r="H173" s="15"/>
      <c r="I173" s="15"/>
      <c r="J173" s="15"/>
      <c r="K173" s="15"/>
      <c r="L173" s="15"/>
      <c r="M173" s="15"/>
      <c r="N173" s="15"/>
      <c r="O173" s="15"/>
      <c r="P173" s="15"/>
      <c r="Q173" s="15"/>
      <c r="R173" s="15"/>
      <c r="S173" s="16" t="str">
        <f aca="false">IF(A173="","",COUNTIF(Risk_Control_Map!$C$5:$C$204,A173))</f>
        <v/>
      </c>
      <c r="T173" s="16" t="str">
        <f aca="false">IF(A173="","",IF(OR(B173="",C173="",E173="",G173="",H173="",K173=""),"Title, description, category, nature, frequency, owner needed",IF(LEN(C173)&lt;80,"Description too short: who, what, when, how, evidence",IF(AND(E173="ITAC",G173&lt;&gt;"Automated"),"ITAC must be Automated",IF(AND(OR(E173="ITAC",E173="IPE",E173="ITDM"),N173=""),"Dependent ITGCs needed",IF(S173=0,"No risk mapped (Risk_Control_Map)",IF(AND(I173="Y",J173&lt;&gt;"Y"),"Key control should be SOX in scope","OK")))))))</f>
        <v/>
      </c>
    </row>
    <row r="174" customFormat="false" ht="15" hidden="false" customHeight="false" outlineLevel="0" collapsed="false">
      <c r="A174" s="15"/>
      <c r="B174" s="15"/>
      <c r="C174" s="15"/>
      <c r="D174" s="15"/>
      <c r="E174" s="15"/>
      <c r="F174" s="15"/>
      <c r="G174" s="15"/>
      <c r="H174" s="15"/>
      <c r="I174" s="15"/>
      <c r="J174" s="15"/>
      <c r="K174" s="15"/>
      <c r="L174" s="15"/>
      <c r="M174" s="15"/>
      <c r="N174" s="15"/>
      <c r="O174" s="15"/>
      <c r="P174" s="15"/>
      <c r="Q174" s="15"/>
      <c r="R174" s="15"/>
      <c r="S174" s="16" t="str">
        <f aca="false">IF(A174="","",COUNTIF(Risk_Control_Map!$C$5:$C$204,A174))</f>
        <v/>
      </c>
      <c r="T174" s="16" t="str">
        <f aca="false">IF(A174="","",IF(OR(B174="",C174="",E174="",G174="",H174="",K174=""),"Title, description, category, nature, frequency, owner needed",IF(LEN(C174)&lt;80,"Description too short: who, what, when, how, evidence",IF(AND(E174="ITAC",G174&lt;&gt;"Automated"),"ITAC must be Automated",IF(AND(OR(E174="ITAC",E174="IPE",E174="ITDM"),N174=""),"Dependent ITGCs needed",IF(S174=0,"No risk mapped (Risk_Control_Map)",IF(AND(I174="Y",J174&lt;&gt;"Y"),"Key control should be SOX in scope","OK")))))))</f>
        <v/>
      </c>
    </row>
    <row r="175" customFormat="false" ht="15" hidden="false" customHeight="false" outlineLevel="0" collapsed="false">
      <c r="A175" s="15"/>
      <c r="B175" s="15"/>
      <c r="C175" s="15"/>
      <c r="D175" s="15"/>
      <c r="E175" s="15"/>
      <c r="F175" s="15"/>
      <c r="G175" s="15"/>
      <c r="H175" s="15"/>
      <c r="I175" s="15"/>
      <c r="J175" s="15"/>
      <c r="K175" s="15"/>
      <c r="L175" s="15"/>
      <c r="M175" s="15"/>
      <c r="N175" s="15"/>
      <c r="O175" s="15"/>
      <c r="P175" s="15"/>
      <c r="Q175" s="15"/>
      <c r="R175" s="15"/>
      <c r="S175" s="16" t="str">
        <f aca="false">IF(A175="","",COUNTIF(Risk_Control_Map!$C$5:$C$204,A175))</f>
        <v/>
      </c>
      <c r="T175" s="16" t="str">
        <f aca="false">IF(A175="","",IF(OR(B175="",C175="",E175="",G175="",H175="",K175=""),"Title, description, category, nature, frequency, owner needed",IF(LEN(C175)&lt;80,"Description too short: who, what, when, how, evidence",IF(AND(E175="ITAC",G175&lt;&gt;"Automated"),"ITAC must be Automated",IF(AND(OR(E175="ITAC",E175="IPE",E175="ITDM"),N175=""),"Dependent ITGCs needed",IF(S175=0,"No risk mapped (Risk_Control_Map)",IF(AND(I175="Y",J175&lt;&gt;"Y"),"Key control should be SOX in scope","OK")))))))</f>
        <v/>
      </c>
    </row>
    <row r="176" customFormat="false" ht="15" hidden="false" customHeight="false" outlineLevel="0" collapsed="false">
      <c r="A176" s="15"/>
      <c r="B176" s="15"/>
      <c r="C176" s="15"/>
      <c r="D176" s="15"/>
      <c r="E176" s="15"/>
      <c r="F176" s="15"/>
      <c r="G176" s="15"/>
      <c r="H176" s="15"/>
      <c r="I176" s="15"/>
      <c r="J176" s="15"/>
      <c r="K176" s="15"/>
      <c r="L176" s="15"/>
      <c r="M176" s="15"/>
      <c r="N176" s="15"/>
      <c r="O176" s="15"/>
      <c r="P176" s="15"/>
      <c r="Q176" s="15"/>
      <c r="R176" s="15"/>
      <c r="S176" s="16" t="str">
        <f aca="false">IF(A176="","",COUNTIF(Risk_Control_Map!$C$5:$C$204,A176))</f>
        <v/>
      </c>
      <c r="T176" s="16" t="str">
        <f aca="false">IF(A176="","",IF(OR(B176="",C176="",E176="",G176="",H176="",K176=""),"Title, description, category, nature, frequency, owner needed",IF(LEN(C176)&lt;80,"Description too short: who, what, when, how, evidence",IF(AND(E176="ITAC",G176&lt;&gt;"Automated"),"ITAC must be Automated",IF(AND(OR(E176="ITAC",E176="IPE",E176="ITDM"),N176=""),"Dependent ITGCs needed",IF(S176=0,"No risk mapped (Risk_Control_Map)",IF(AND(I176="Y",J176&lt;&gt;"Y"),"Key control should be SOX in scope","OK")))))))</f>
        <v/>
      </c>
    </row>
    <row r="177" customFormat="false" ht="15" hidden="false" customHeight="false" outlineLevel="0" collapsed="false">
      <c r="A177" s="15"/>
      <c r="B177" s="15"/>
      <c r="C177" s="15"/>
      <c r="D177" s="15"/>
      <c r="E177" s="15"/>
      <c r="F177" s="15"/>
      <c r="G177" s="15"/>
      <c r="H177" s="15"/>
      <c r="I177" s="15"/>
      <c r="J177" s="15"/>
      <c r="K177" s="15"/>
      <c r="L177" s="15"/>
      <c r="M177" s="15"/>
      <c r="N177" s="15"/>
      <c r="O177" s="15"/>
      <c r="P177" s="15"/>
      <c r="Q177" s="15"/>
      <c r="R177" s="15"/>
      <c r="S177" s="16" t="str">
        <f aca="false">IF(A177="","",COUNTIF(Risk_Control_Map!$C$5:$C$204,A177))</f>
        <v/>
      </c>
      <c r="T177" s="16" t="str">
        <f aca="false">IF(A177="","",IF(OR(B177="",C177="",E177="",G177="",H177="",K177=""),"Title, description, category, nature, frequency, owner needed",IF(LEN(C177)&lt;80,"Description too short: who, what, when, how, evidence",IF(AND(E177="ITAC",G177&lt;&gt;"Automated"),"ITAC must be Automated",IF(AND(OR(E177="ITAC",E177="IPE",E177="ITDM"),N177=""),"Dependent ITGCs needed",IF(S177=0,"No risk mapped (Risk_Control_Map)",IF(AND(I177="Y",J177&lt;&gt;"Y"),"Key control should be SOX in scope","OK")))))))</f>
        <v/>
      </c>
    </row>
    <row r="178" customFormat="false" ht="15" hidden="false" customHeight="false" outlineLevel="0" collapsed="false">
      <c r="A178" s="15"/>
      <c r="B178" s="15"/>
      <c r="C178" s="15"/>
      <c r="D178" s="15"/>
      <c r="E178" s="15"/>
      <c r="F178" s="15"/>
      <c r="G178" s="15"/>
      <c r="H178" s="15"/>
      <c r="I178" s="15"/>
      <c r="J178" s="15"/>
      <c r="K178" s="15"/>
      <c r="L178" s="15"/>
      <c r="M178" s="15"/>
      <c r="N178" s="15"/>
      <c r="O178" s="15"/>
      <c r="P178" s="15"/>
      <c r="Q178" s="15"/>
      <c r="R178" s="15"/>
      <c r="S178" s="16" t="str">
        <f aca="false">IF(A178="","",COUNTIF(Risk_Control_Map!$C$5:$C$204,A178))</f>
        <v/>
      </c>
      <c r="T178" s="16" t="str">
        <f aca="false">IF(A178="","",IF(OR(B178="",C178="",E178="",G178="",H178="",K178=""),"Title, description, category, nature, frequency, owner needed",IF(LEN(C178)&lt;80,"Description too short: who, what, when, how, evidence",IF(AND(E178="ITAC",G178&lt;&gt;"Automated"),"ITAC must be Automated",IF(AND(OR(E178="ITAC",E178="IPE",E178="ITDM"),N178=""),"Dependent ITGCs needed",IF(S178=0,"No risk mapped (Risk_Control_Map)",IF(AND(I178="Y",J178&lt;&gt;"Y"),"Key control should be SOX in scope","OK")))))))</f>
        <v/>
      </c>
    </row>
    <row r="179" customFormat="false" ht="15" hidden="false" customHeight="false" outlineLevel="0" collapsed="false">
      <c r="A179" s="15"/>
      <c r="B179" s="15"/>
      <c r="C179" s="15"/>
      <c r="D179" s="15"/>
      <c r="E179" s="15"/>
      <c r="F179" s="15"/>
      <c r="G179" s="15"/>
      <c r="H179" s="15"/>
      <c r="I179" s="15"/>
      <c r="J179" s="15"/>
      <c r="K179" s="15"/>
      <c r="L179" s="15"/>
      <c r="M179" s="15"/>
      <c r="N179" s="15"/>
      <c r="O179" s="15"/>
      <c r="P179" s="15"/>
      <c r="Q179" s="15"/>
      <c r="R179" s="15"/>
      <c r="S179" s="16" t="str">
        <f aca="false">IF(A179="","",COUNTIF(Risk_Control_Map!$C$5:$C$204,A179))</f>
        <v/>
      </c>
      <c r="T179" s="16" t="str">
        <f aca="false">IF(A179="","",IF(OR(B179="",C179="",E179="",G179="",H179="",K179=""),"Title, description, category, nature, frequency, owner needed",IF(LEN(C179)&lt;80,"Description too short: who, what, when, how, evidence",IF(AND(E179="ITAC",G179&lt;&gt;"Automated"),"ITAC must be Automated",IF(AND(OR(E179="ITAC",E179="IPE",E179="ITDM"),N179=""),"Dependent ITGCs needed",IF(S179=0,"No risk mapped (Risk_Control_Map)",IF(AND(I179="Y",J179&lt;&gt;"Y"),"Key control should be SOX in scope","OK")))))))</f>
        <v/>
      </c>
    </row>
    <row r="180" customFormat="false" ht="15" hidden="false" customHeight="false" outlineLevel="0" collapsed="false">
      <c r="A180" s="15"/>
      <c r="B180" s="15"/>
      <c r="C180" s="15"/>
      <c r="D180" s="15"/>
      <c r="E180" s="15"/>
      <c r="F180" s="15"/>
      <c r="G180" s="15"/>
      <c r="H180" s="15"/>
      <c r="I180" s="15"/>
      <c r="J180" s="15"/>
      <c r="K180" s="15"/>
      <c r="L180" s="15"/>
      <c r="M180" s="15"/>
      <c r="N180" s="15"/>
      <c r="O180" s="15"/>
      <c r="P180" s="15"/>
      <c r="Q180" s="15"/>
      <c r="R180" s="15"/>
      <c r="S180" s="16" t="str">
        <f aca="false">IF(A180="","",COUNTIF(Risk_Control_Map!$C$5:$C$204,A180))</f>
        <v/>
      </c>
      <c r="T180" s="16" t="str">
        <f aca="false">IF(A180="","",IF(OR(B180="",C180="",E180="",G180="",H180="",K180=""),"Title, description, category, nature, frequency, owner needed",IF(LEN(C180)&lt;80,"Description too short: who, what, when, how, evidence",IF(AND(E180="ITAC",G180&lt;&gt;"Automated"),"ITAC must be Automated",IF(AND(OR(E180="ITAC",E180="IPE",E180="ITDM"),N180=""),"Dependent ITGCs needed",IF(S180=0,"No risk mapped (Risk_Control_Map)",IF(AND(I180="Y",J180&lt;&gt;"Y"),"Key control should be SOX in scope","OK")))))))</f>
        <v/>
      </c>
    </row>
    <row r="181" customFormat="false" ht="15" hidden="false" customHeight="false" outlineLevel="0" collapsed="false">
      <c r="A181" s="15"/>
      <c r="B181" s="15"/>
      <c r="C181" s="15"/>
      <c r="D181" s="15"/>
      <c r="E181" s="15"/>
      <c r="F181" s="15"/>
      <c r="G181" s="15"/>
      <c r="H181" s="15"/>
      <c r="I181" s="15"/>
      <c r="J181" s="15"/>
      <c r="K181" s="15"/>
      <c r="L181" s="15"/>
      <c r="M181" s="15"/>
      <c r="N181" s="15"/>
      <c r="O181" s="15"/>
      <c r="P181" s="15"/>
      <c r="Q181" s="15"/>
      <c r="R181" s="15"/>
      <c r="S181" s="16" t="str">
        <f aca="false">IF(A181="","",COUNTIF(Risk_Control_Map!$C$5:$C$204,A181))</f>
        <v/>
      </c>
      <c r="T181" s="16" t="str">
        <f aca="false">IF(A181="","",IF(OR(B181="",C181="",E181="",G181="",H181="",K181=""),"Title, description, category, nature, frequency, owner needed",IF(LEN(C181)&lt;80,"Description too short: who, what, when, how, evidence",IF(AND(E181="ITAC",G181&lt;&gt;"Automated"),"ITAC must be Automated",IF(AND(OR(E181="ITAC",E181="IPE",E181="ITDM"),N181=""),"Dependent ITGCs needed",IF(S181=0,"No risk mapped (Risk_Control_Map)",IF(AND(I181="Y",J181&lt;&gt;"Y"),"Key control should be SOX in scope","OK")))))))</f>
        <v/>
      </c>
    </row>
    <row r="182" customFormat="false" ht="15" hidden="false" customHeight="false" outlineLevel="0" collapsed="false">
      <c r="A182" s="15"/>
      <c r="B182" s="15"/>
      <c r="C182" s="15"/>
      <c r="D182" s="15"/>
      <c r="E182" s="15"/>
      <c r="F182" s="15"/>
      <c r="G182" s="15"/>
      <c r="H182" s="15"/>
      <c r="I182" s="15"/>
      <c r="J182" s="15"/>
      <c r="K182" s="15"/>
      <c r="L182" s="15"/>
      <c r="M182" s="15"/>
      <c r="N182" s="15"/>
      <c r="O182" s="15"/>
      <c r="P182" s="15"/>
      <c r="Q182" s="15"/>
      <c r="R182" s="15"/>
      <c r="S182" s="16" t="str">
        <f aca="false">IF(A182="","",COUNTIF(Risk_Control_Map!$C$5:$C$204,A182))</f>
        <v/>
      </c>
      <c r="T182" s="16" t="str">
        <f aca="false">IF(A182="","",IF(OR(B182="",C182="",E182="",G182="",H182="",K182=""),"Title, description, category, nature, frequency, owner needed",IF(LEN(C182)&lt;80,"Description too short: who, what, when, how, evidence",IF(AND(E182="ITAC",G182&lt;&gt;"Automated"),"ITAC must be Automated",IF(AND(OR(E182="ITAC",E182="IPE",E182="ITDM"),N182=""),"Dependent ITGCs needed",IF(S182=0,"No risk mapped (Risk_Control_Map)",IF(AND(I182="Y",J182&lt;&gt;"Y"),"Key control should be SOX in scope","OK")))))))</f>
        <v/>
      </c>
    </row>
    <row r="183" customFormat="false" ht="15" hidden="false" customHeight="false" outlineLevel="0" collapsed="false">
      <c r="A183" s="15"/>
      <c r="B183" s="15"/>
      <c r="C183" s="15"/>
      <c r="D183" s="15"/>
      <c r="E183" s="15"/>
      <c r="F183" s="15"/>
      <c r="G183" s="15"/>
      <c r="H183" s="15"/>
      <c r="I183" s="15"/>
      <c r="J183" s="15"/>
      <c r="K183" s="15"/>
      <c r="L183" s="15"/>
      <c r="M183" s="15"/>
      <c r="N183" s="15"/>
      <c r="O183" s="15"/>
      <c r="P183" s="15"/>
      <c r="Q183" s="15"/>
      <c r="R183" s="15"/>
      <c r="S183" s="16" t="str">
        <f aca="false">IF(A183="","",COUNTIF(Risk_Control_Map!$C$5:$C$204,A183))</f>
        <v/>
      </c>
      <c r="T183" s="16" t="str">
        <f aca="false">IF(A183="","",IF(OR(B183="",C183="",E183="",G183="",H183="",K183=""),"Title, description, category, nature, frequency, owner needed",IF(LEN(C183)&lt;80,"Description too short: who, what, when, how, evidence",IF(AND(E183="ITAC",G183&lt;&gt;"Automated"),"ITAC must be Automated",IF(AND(OR(E183="ITAC",E183="IPE",E183="ITDM"),N183=""),"Dependent ITGCs needed",IF(S183=0,"No risk mapped (Risk_Control_Map)",IF(AND(I183="Y",J183&lt;&gt;"Y"),"Key control should be SOX in scope","OK")))))))</f>
        <v/>
      </c>
    </row>
    <row r="184" customFormat="false" ht="15" hidden="false" customHeight="false" outlineLevel="0" collapsed="false">
      <c r="A184" s="15"/>
      <c r="B184" s="15"/>
      <c r="C184" s="15"/>
      <c r="D184" s="15"/>
      <c r="E184" s="15"/>
      <c r="F184" s="15"/>
      <c r="G184" s="15"/>
      <c r="H184" s="15"/>
      <c r="I184" s="15"/>
      <c r="J184" s="15"/>
      <c r="K184" s="15"/>
      <c r="L184" s="15"/>
      <c r="M184" s="15"/>
      <c r="N184" s="15"/>
      <c r="O184" s="15"/>
      <c r="P184" s="15"/>
      <c r="Q184" s="15"/>
      <c r="R184" s="15"/>
      <c r="S184" s="16" t="str">
        <f aca="false">IF(A184="","",COUNTIF(Risk_Control_Map!$C$5:$C$204,A184))</f>
        <v/>
      </c>
      <c r="T184" s="16" t="str">
        <f aca="false">IF(A184="","",IF(OR(B184="",C184="",E184="",G184="",H184="",K184=""),"Title, description, category, nature, frequency, owner needed",IF(LEN(C184)&lt;80,"Description too short: who, what, when, how, evidence",IF(AND(E184="ITAC",G184&lt;&gt;"Automated"),"ITAC must be Automated",IF(AND(OR(E184="ITAC",E184="IPE",E184="ITDM"),N184=""),"Dependent ITGCs needed",IF(S184=0,"No risk mapped (Risk_Control_Map)",IF(AND(I184="Y",J184&lt;&gt;"Y"),"Key control should be SOX in scope","OK")))))))</f>
        <v/>
      </c>
    </row>
    <row r="185" customFormat="false" ht="15" hidden="false" customHeight="false" outlineLevel="0" collapsed="false">
      <c r="A185" s="15"/>
      <c r="B185" s="15"/>
      <c r="C185" s="15"/>
      <c r="D185" s="15"/>
      <c r="E185" s="15"/>
      <c r="F185" s="15"/>
      <c r="G185" s="15"/>
      <c r="H185" s="15"/>
      <c r="I185" s="15"/>
      <c r="J185" s="15"/>
      <c r="K185" s="15"/>
      <c r="L185" s="15"/>
      <c r="M185" s="15"/>
      <c r="N185" s="15"/>
      <c r="O185" s="15"/>
      <c r="P185" s="15"/>
      <c r="Q185" s="15"/>
      <c r="R185" s="15"/>
      <c r="S185" s="16" t="str">
        <f aca="false">IF(A185="","",COUNTIF(Risk_Control_Map!$C$5:$C$204,A185))</f>
        <v/>
      </c>
      <c r="T185" s="16" t="str">
        <f aca="false">IF(A185="","",IF(OR(B185="",C185="",E185="",G185="",H185="",K185=""),"Title, description, category, nature, frequency, owner needed",IF(LEN(C185)&lt;80,"Description too short: who, what, when, how, evidence",IF(AND(E185="ITAC",G185&lt;&gt;"Automated"),"ITAC must be Automated",IF(AND(OR(E185="ITAC",E185="IPE",E185="ITDM"),N185=""),"Dependent ITGCs needed",IF(S185=0,"No risk mapped (Risk_Control_Map)",IF(AND(I185="Y",J185&lt;&gt;"Y"),"Key control should be SOX in scope","OK")))))))</f>
        <v/>
      </c>
    </row>
    <row r="186" customFormat="false" ht="15" hidden="false" customHeight="false" outlineLevel="0" collapsed="false">
      <c r="A186" s="15"/>
      <c r="B186" s="15"/>
      <c r="C186" s="15"/>
      <c r="D186" s="15"/>
      <c r="E186" s="15"/>
      <c r="F186" s="15"/>
      <c r="G186" s="15"/>
      <c r="H186" s="15"/>
      <c r="I186" s="15"/>
      <c r="J186" s="15"/>
      <c r="K186" s="15"/>
      <c r="L186" s="15"/>
      <c r="M186" s="15"/>
      <c r="N186" s="15"/>
      <c r="O186" s="15"/>
      <c r="P186" s="15"/>
      <c r="Q186" s="15"/>
      <c r="R186" s="15"/>
      <c r="S186" s="16" t="str">
        <f aca="false">IF(A186="","",COUNTIF(Risk_Control_Map!$C$5:$C$204,A186))</f>
        <v/>
      </c>
      <c r="T186" s="16" t="str">
        <f aca="false">IF(A186="","",IF(OR(B186="",C186="",E186="",G186="",H186="",K186=""),"Title, description, category, nature, frequency, owner needed",IF(LEN(C186)&lt;80,"Description too short: who, what, when, how, evidence",IF(AND(E186="ITAC",G186&lt;&gt;"Automated"),"ITAC must be Automated",IF(AND(OR(E186="ITAC",E186="IPE",E186="ITDM"),N186=""),"Dependent ITGCs needed",IF(S186=0,"No risk mapped (Risk_Control_Map)",IF(AND(I186="Y",J186&lt;&gt;"Y"),"Key control should be SOX in scope","OK")))))))</f>
        <v/>
      </c>
    </row>
    <row r="187" customFormat="false" ht="15" hidden="false" customHeight="false" outlineLevel="0" collapsed="false">
      <c r="A187" s="15"/>
      <c r="B187" s="15"/>
      <c r="C187" s="15"/>
      <c r="D187" s="15"/>
      <c r="E187" s="15"/>
      <c r="F187" s="15"/>
      <c r="G187" s="15"/>
      <c r="H187" s="15"/>
      <c r="I187" s="15"/>
      <c r="J187" s="15"/>
      <c r="K187" s="15"/>
      <c r="L187" s="15"/>
      <c r="M187" s="15"/>
      <c r="N187" s="15"/>
      <c r="O187" s="15"/>
      <c r="P187" s="15"/>
      <c r="Q187" s="15"/>
      <c r="R187" s="15"/>
      <c r="S187" s="16" t="str">
        <f aca="false">IF(A187="","",COUNTIF(Risk_Control_Map!$C$5:$C$204,A187))</f>
        <v/>
      </c>
      <c r="T187" s="16" t="str">
        <f aca="false">IF(A187="","",IF(OR(B187="",C187="",E187="",G187="",H187="",K187=""),"Title, description, category, nature, frequency, owner needed",IF(LEN(C187)&lt;80,"Description too short: who, what, when, how, evidence",IF(AND(E187="ITAC",G187&lt;&gt;"Automated"),"ITAC must be Automated",IF(AND(OR(E187="ITAC",E187="IPE",E187="ITDM"),N187=""),"Dependent ITGCs needed",IF(S187=0,"No risk mapped (Risk_Control_Map)",IF(AND(I187="Y",J187&lt;&gt;"Y"),"Key control should be SOX in scope","OK")))))))</f>
        <v/>
      </c>
    </row>
    <row r="188" customFormat="false" ht="15" hidden="false" customHeight="false" outlineLevel="0" collapsed="false">
      <c r="A188" s="15"/>
      <c r="B188" s="15"/>
      <c r="C188" s="15"/>
      <c r="D188" s="15"/>
      <c r="E188" s="15"/>
      <c r="F188" s="15"/>
      <c r="G188" s="15"/>
      <c r="H188" s="15"/>
      <c r="I188" s="15"/>
      <c r="J188" s="15"/>
      <c r="K188" s="15"/>
      <c r="L188" s="15"/>
      <c r="M188" s="15"/>
      <c r="N188" s="15"/>
      <c r="O188" s="15"/>
      <c r="P188" s="15"/>
      <c r="Q188" s="15"/>
      <c r="R188" s="15"/>
      <c r="S188" s="16" t="str">
        <f aca="false">IF(A188="","",COUNTIF(Risk_Control_Map!$C$5:$C$204,A188))</f>
        <v/>
      </c>
      <c r="T188" s="16" t="str">
        <f aca="false">IF(A188="","",IF(OR(B188="",C188="",E188="",G188="",H188="",K188=""),"Title, description, category, nature, frequency, owner needed",IF(LEN(C188)&lt;80,"Description too short: who, what, when, how, evidence",IF(AND(E188="ITAC",G188&lt;&gt;"Automated"),"ITAC must be Automated",IF(AND(OR(E188="ITAC",E188="IPE",E188="ITDM"),N188=""),"Dependent ITGCs needed",IF(S188=0,"No risk mapped (Risk_Control_Map)",IF(AND(I188="Y",J188&lt;&gt;"Y"),"Key control should be SOX in scope","OK")))))))</f>
        <v/>
      </c>
    </row>
    <row r="189" customFormat="false" ht="15" hidden="false" customHeight="false" outlineLevel="0" collapsed="false">
      <c r="A189" s="15"/>
      <c r="B189" s="15"/>
      <c r="C189" s="15"/>
      <c r="D189" s="15"/>
      <c r="E189" s="15"/>
      <c r="F189" s="15"/>
      <c r="G189" s="15"/>
      <c r="H189" s="15"/>
      <c r="I189" s="15"/>
      <c r="J189" s="15"/>
      <c r="K189" s="15"/>
      <c r="L189" s="15"/>
      <c r="M189" s="15"/>
      <c r="N189" s="15"/>
      <c r="O189" s="15"/>
      <c r="P189" s="15"/>
      <c r="Q189" s="15"/>
      <c r="R189" s="15"/>
      <c r="S189" s="16" t="str">
        <f aca="false">IF(A189="","",COUNTIF(Risk_Control_Map!$C$5:$C$204,A189))</f>
        <v/>
      </c>
      <c r="T189" s="16" t="str">
        <f aca="false">IF(A189="","",IF(OR(B189="",C189="",E189="",G189="",H189="",K189=""),"Title, description, category, nature, frequency, owner needed",IF(LEN(C189)&lt;80,"Description too short: who, what, when, how, evidence",IF(AND(E189="ITAC",G189&lt;&gt;"Automated"),"ITAC must be Automated",IF(AND(OR(E189="ITAC",E189="IPE",E189="ITDM"),N189=""),"Dependent ITGCs needed",IF(S189=0,"No risk mapped (Risk_Control_Map)",IF(AND(I189="Y",J189&lt;&gt;"Y"),"Key control should be SOX in scope","OK")))))))</f>
        <v/>
      </c>
    </row>
    <row r="190" customFormat="false" ht="15" hidden="false" customHeight="false" outlineLevel="0" collapsed="false">
      <c r="A190" s="15"/>
      <c r="B190" s="15"/>
      <c r="C190" s="15"/>
      <c r="D190" s="15"/>
      <c r="E190" s="15"/>
      <c r="F190" s="15"/>
      <c r="G190" s="15"/>
      <c r="H190" s="15"/>
      <c r="I190" s="15"/>
      <c r="J190" s="15"/>
      <c r="K190" s="15"/>
      <c r="L190" s="15"/>
      <c r="M190" s="15"/>
      <c r="N190" s="15"/>
      <c r="O190" s="15"/>
      <c r="P190" s="15"/>
      <c r="Q190" s="15"/>
      <c r="R190" s="15"/>
      <c r="S190" s="16" t="str">
        <f aca="false">IF(A190="","",COUNTIF(Risk_Control_Map!$C$5:$C$204,A190))</f>
        <v/>
      </c>
      <c r="T190" s="16" t="str">
        <f aca="false">IF(A190="","",IF(OR(B190="",C190="",E190="",G190="",H190="",K190=""),"Title, description, category, nature, frequency, owner needed",IF(LEN(C190)&lt;80,"Description too short: who, what, when, how, evidence",IF(AND(E190="ITAC",G190&lt;&gt;"Automated"),"ITAC must be Automated",IF(AND(OR(E190="ITAC",E190="IPE",E190="ITDM"),N190=""),"Dependent ITGCs needed",IF(S190=0,"No risk mapped (Risk_Control_Map)",IF(AND(I190="Y",J190&lt;&gt;"Y"),"Key control should be SOX in scope","OK")))))))</f>
        <v/>
      </c>
    </row>
    <row r="191" customFormat="false" ht="15" hidden="false" customHeight="false" outlineLevel="0" collapsed="false">
      <c r="A191" s="15"/>
      <c r="B191" s="15"/>
      <c r="C191" s="15"/>
      <c r="D191" s="15"/>
      <c r="E191" s="15"/>
      <c r="F191" s="15"/>
      <c r="G191" s="15"/>
      <c r="H191" s="15"/>
      <c r="I191" s="15"/>
      <c r="J191" s="15"/>
      <c r="K191" s="15"/>
      <c r="L191" s="15"/>
      <c r="M191" s="15"/>
      <c r="N191" s="15"/>
      <c r="O191" s="15"/>
      <c r="P191" s="15"/>
      <c r="Q191" s="15"/>
      <c r="R191" s="15"/>
      <c r="S191" s="16" t="str">
        <f aca="false">IF(A191="","",COUNTIF(Risk_Control_Map!$C$5:$C$204,A191))</f>
        <v/>
      </c>
      <c r="T191" s="16" t="str">
        <f aca="false">IF(A191="","",IF(OR(B191="",C191="",E191="",G191="",H191="",K191=""),"Title, description, category, nature, frequency, owner needed",IF(LEN(C191)&lt;80,"Description too short: who, what, when, how, evidence",IF(AND(E191="ITAC",G191&lt;&gt;"Automated"),"ITAC must be Automated",IF(AND(OR(E191="ITAC",E191="IPE",E191="ITDM"),N191=""),"Dependent ITGCs needed",IF(S191=0,"No risk mapped (Risk_Control_Map)",IF(AND(I191="Y",J191&lt;&gt;"Y"),"Key control should be SOX in scope","OK")))))))</f>
        <v/>
      </c>
    </row>
    <row r="192" customFormat="false" ht="15" hidden="false" customHeight="false" outlineLevel="0" collapsed="false">
      <c r="A192" s="15"/>
      <c r="B192" s="15"/>
      <c r="C192" s="15"/>
      <c r="D192" s="15"/>
      <c r="E192" s="15"/>
      <c r="F192" s="15"/>
      <c r="G192" s="15"/>
      <c r="H192" s="15"/>
      <c r="I192" s="15"/>
      <c r="J192" s="15"/>
      <c r="K192" s="15"/>
      <c r="L192" s="15"/>
      <c r="M192" s="15"/>
      <c r="N192" s="15"/>
      <c r="O192" s="15"/>
      <c r="P192" s="15"/>
      <c r="Q192" s="15"/>
      <c r="R192" s="15"/>
      <c r="S192" s="16" t="str">
        <f aca="false">IF(A192="","",COUNTIF(Risk_Control_Map!$C$5:$C$204,A192))</f>
        <v/>
      </c>
      <c r="T192" s="16" t="str">
        <f aca="false">IF(A192="","",IF(OR(B192="",C192="",E192="",G192="",H192="",K192=""),"Title, description, category, nature, frequency, owner needed",IF(LEN(C192)&lt;80,"Description too short: who, what, when, how, evidence",IF(AND(E192="ITAC",G192&lt;&gt;"Automated"),"ITAC must be Automated",IF(AND(OR(E192="ITAC",E192="IPE",E192="ITDM"),N192=""),"Dependent ITGCs needed",IF(S192=0,"No risk mapped (Risk_Control_Map)",IF(AND(I192="Y",J192&lt;&gt;"Y"),"Key control should be SOX in scope","OK")))))))</f>
        <v/>
      </c>
    </row>
    <row r="193" customFormat="false" ht="15" hidden="false" customHeight="false" outlineLevel="0" collapsed="false">
      <c r="A193" s="15"/>
      <c r="B193" s="15"/>
      <c r="C193" s="15"/>
      <c r="D193" s="15"/>
      <c r="E193" s="15"/>
      <c r="F193" s="15"/>
      <c r="G193" s="15"/>
      <c r="H193" s="15"/>
      <c r="I193" s="15"/>
      <c r="J193" s="15"/>
      <c r="K193" s="15"/>
      <c r="L193" s="15"/>
      <c r="M193" s="15"/>
      <c r="N193" s="15"/>
      <c r="O193" s="15"/>
      <c r="P193" s="15"/>
      <c r="Q193" s="15"/>
      <c r="R193" s="15"/>
      <c r="S193" s="16" t="str">
        <f aca="false">IF(A193="","",COUNTIF(Risk_Control_Map!$C$5:$C$204,A193))</f>
        <v/>
      </c>
      <c r="T193" s="16" t="str">
        <f aca="false">IF(A193="","",IF(OR(B193="",C193="",E193="",G193="",H193="",K193=""),"Title, description, category, nature, frequency, owner needed",IF(LEN(C193)&lt;80,"Description too short: who, what, when, how, evidence",IF(AND(E193="ITAC",G193&lt;&gt;"Automated"),"ITAC must be Automated",IF(AND(OR(E193="ITAC",E193="IPE",E193="ITDM"),N193=""),"Dependent ITGCs needed",IF(S193=0,"No risk mapped (Risk_Control_Map)",IF(AND(I193="Y",J193&lt;&gt;"Y"),"Key control should be SOX in scope","OK")))))))</f>
        <v/>
      </c>
    </row>
    <row r="194" customFormat="false" ht="15" hidden="false" customHeight="false" outlineLevel="0" collapsed="false">
      <c r="A194" s="15"/>
      <c r="B194" s="15"/>
      <c r="C194" s="15"/>
      <c r="D194" s="15"/>
      <c r="E194" s="15"/>
      <c r="F194" s="15"/>
      <c r="G194" s="15"/>
      <c r="H194" s="15"/>
      <c r="I194" s="15"/>
      <c r="J194" s="15"/>
      <c r="K194" s="15"/>
      <c r="L194" s="15"/>
      <c r="M194" s="15"/>
      <c r="N194" s="15"/>
      <c r="O194" s="15"/>
      <c r="P194" s="15"/>
      <c r="Q194" s="15"/>
      <c r="R194" s="15"/>
      <c r="S194" s="16" t="str">
        <f aca="false">IF(A194="","",COUNTIF(Risk_Control_Map!$C$5:$C$204,A194))</f>
        <v/>
      </c>
      <c r="T194" s="16" t="str">
        <f aca="false">IF(A194="","",IF(OR(B194="",C194="",E194="",G194="",H194="",K194=""),"Title, description, category, nature, frequency, owner needed",IF(LEN(C194)&lt;80,"Description too short: who, what, when, how, evidence",IF(AND(E194="ITAC",G194&lt;&gt;"Automated"),"ITAC must be Automated",IF(AND(OR(E194="ITAC",E194="IPE",E194="ITDM"),N194=""),"Dependent ITGCs needed",IF(S194=0,"No risk mapped (Risk_Control_Map)",IF(AND(I194="Y",J194&lt;&gt;"Y"),"Key control should be SOX in scope","OK")))))))</f>
        <v/>
      </c>
    </row>
    <row r="195" customFormat="false" ht="15" hidden="false" customHeight="false" outlineLevel="0" collapsed="false">
      <c r="A195" s="15"/>
      <c r="B195" s="15"/>
      <c r="C195" s="15"/>
      <c r="D195" s="15"/>
      <c r="E195" s="15"/>
      <c r="F195" s="15"/>
      <c r="G195" s="15"/>
      <c r="H195" s="15"/>
      <c r="I195" s="15"/>
      <c r="J195" s="15"/>
      <c r="K195" s="15"/>
      <c r="L195" s="15"/>
      <c r="M195" s="15"/>
      <c r="N195" s="15"/>
      <c r="O195" s="15"/>
      <c r="P195" s="15"/>
      <c r="Q195" s="15"/>
      <c r="R195" s="15"/>
      <c r="S195" s="16" t="str">
        <f aca="false">IF(A195="","",COUNTIF(Risk_Control_Map!$C$5:$C$204,A195))</f>
        <v/>
      </c>
      <c r="T195" s="16" t="str">
        <f aca="false">IF(A195="","",IF(OR(B195="",C195="",E195="",G195="",H195="",K195=""),"Title, description, category, nature, frequency, owner needed",IF(LEN(C195)&lt;80,"Description too short: who, what, when, how, evidence",IF(AND(E195="ITAC",G195&lt;&gt;"Automated"),"ITAC must be Automated",IF(AND(OR(E195="ITAC",E195="IPE",E195="ITDM"),N195=""),"Dependent ITGCs needed",IF(S195=0,"No risk mapped (Risk_Control_Map)",IF(AND(I195="Y",J195&lt;&gt;"Y"),"Key control should be SOX in scope","OK")))))))</f>
        <v/>
      </c>
    </row>
    <row r="196" customFormat="false" ht="15" hidden="false" customHeight="false" outlineLevel="0" collapsed="false">
      <c r="A196" s="15"/>
      <c r="B196" s="15"/>
      <c r="C196" s="15"/>
      <c r="D196" s="15"/>
      <c r="E196" s="15"/>
      <c r="F196" s="15"/>
      <c r="G196" s="15"/>
      <c r="H196" s="15"/>
      <c r="I196" s="15"/>
      <c r="J196" s="15"/>
      <c r="K196" s="15"/>
      <c r="L196" s="15"/>
      <c r="M196" s="15"/>
      <c r="N196" s="15"/>
      <c r="O196" s="15"/>
      <c r="P196" s="15"/>
      <c r="Q196" s="15"/>
      <c r="R196" s="15"/>
      <c r="S196" s="16" t="str">
        <f aca="false">IF(A196="","",COUNTIF(Risk_Control_Map!$C$5:$C$204,A196))</f>
        <v/>
      </c>
      <c r="T196" s="16" t="str">
        <f aca="false">IF(A196="","",IF(OR(B196="",C196="",E196="",G196="",H196="",K196=""),"Title, description, category, nature, frequency, owner needed",IF(LEN(C196)&lt;80,"Description too short: who, what, when, how, evidence",IF(AND(E196="ITAC",G196&lt;&gt;"Automated"),"ITAC must be Automated",IF(AND(OR(E196="ITAC",E196="IPE",E196="ITDM"),N196=""),"Dependent ITGCs needed",IF(S196=0,"No risk mapped (Risk_Control_Map)",IF(AND(I196="Y",J196&lt;&gt;"Y"),"Key control should be SOX in scope","OK")))))))</f>
        <v/>
      </c>
    </row>
    <row r="197" customFormat="false" ht="15" hidden="false" customHeight="false" outlineLevel="0" collapsed="false">
      <c r="A197" s="15"/>
      <c r="B197" s="15"/>
      <c r="C197" s="15"/>
      <c r="D197" s="15"/>
      <c r="E197" s="15"/>
      <c r="F197" s="15"/>
      <c r="G197" s="15"/>
      <c r="H197" s="15"/>
      <c r="I197" s="15"/>
      <c r="J197" s="15"/>
      <c r="K197" s="15"/>
      <c r="L197" s="15"/>
      <c r="M197" s="15"/>
      <c r="N197" s="15"/>
      <c r="O197" s="15"/>
      <c r="P197" s="15"/>
      <c r="Q197" s="15"/>
      <c r="R197" s="15"/>
      <c r="S197" s="16" t="str">
        <f aca="false">IF(A197="","",COUNTIF(Risk_Control_Map!$C$5:$C$204,A197))</f>
        <v/>
      </c>
      <c r="T197" s="16" t="str">
        <f aca="false">IF(A197="","",IF(OR(B197="",C197="",E197="",G197="",H197="",K197=""),"Title, description, category, nature, frequency, owner needed",IF(LEN(C197)&lt;80,"Description too short: who, what, when, how, evidence",IF(AND(E197="ITAC",G197&lt;&gt;"Automated"),"ITAC must be Automated",IF(AND(OR(E197="ITAC",E197="IPE",E197="ITDM"),N197=""),"Dependent ITGCs needed",IF(S197=0,"No risk mapped (Risk_Control_Map)",IF(AND(I197="Y",J197&lt;&gt;"Y"),"Key control should be SOX in scope","OK")))))))</f>
        <v/>
      </c>
    </row>
    <row r="198" customFormat="false" ht="15" hidden="false" customHeight="false" outlineLevel="0" collapsed="false">
      <c r="A198" s="15"/>
      <c r="B198" s="15"/>
      <c r="C198" s="15"/>
      <c r="D198" s="15"/>
      <c r="E198" s="15"/>
      <c r="F198" s="15"/>
      <c r="G198" s="15"/>
      <c r="H198" s="15"/>
      <c r="I198" s="15"/>
      <c r="J198" s="15"/>
      <c r="K198" s="15"/>
      <c r="L198" s="15"/>
      <c r="M198" s="15"/>
      <c r="N198" s="15"/>
      <c r="O198" s="15"/>
      <c r="P198" s="15"/>
      <c r="Q198" s="15"/>
      <c r="R198" s="15"/>
      <c r="S198" s="16" t="str">
        <f aca="false">IF(A198="","",COUNTIF(Risk_Control_Map!$C$5:$C$204,A198))</f>
        <v/>
      </c>
      <c r="T198" s="16" t="str">
        <f aca="false">IF(A198="","",IF(OR(B198="",C198="",E198="",G198="",H198="",K198=""),"Title, description, category, nature, frequency, owner needed",IF(LEN(C198)&lt;80,"Description too short: who, what, when, how, evidence",IF(AND(E198="ITAC",G198&lt;&gt;"Automated"),"ITAC must be Automated",IF(AND(OR(E198="ITAC",E198="IPE",E198="ITDM"),N198=""),"Dependent ITGCs needed",IF(S198=0,"No risk mapped (Risk_Control_Map)",IF(AND(I198="Y",J198&lt;&gt;"Y"),"Key control should be SOX in scope","OK")))))))</f>
        <v/>
      </c>
    </row>
    <row r="199" customFormat="false" ht="15" hidden="false" customHeight="false" outlineLevel="0" collapsed="false">
      <c r="A199" s="15"/>
      <c r="B199" s="15"/>
      <c r="C199" s="15"/>
      <c r="D199" s="15"/>
      <c r="E199" s="15"/>
      <c r="F199" s="15"/>
      <c r="G199" s="15"/>
      <c r="H199" s="15"/>
      <c r="I199" s="15"/>
      <c r="J199" s="15"/>
      <c r="K199" s="15"/>
      <c r="L199" s="15"/>
      <c r="M199" s="15"/>
      <c r="N199" s="15"/>
      <c r="O199" s="15"/>
      <c r="P199" s="15"/>
      <c r="Q199" s="15"/>
      <c r="R199" s="15"/>
      <c r="S199" s="16" t="str">
        <f aca="false">IF(A199="","",COUNTIF(Risk_Control_Map!$C$5:$C$204,A199))</f>
        <v/>
      </c>
      <c r="T199" s="16" t="str">
        <f aca="false">IF(A199="","",IF(OR(B199="",C199="",E199="",G199="",H199="",K199=""),"Title, description, category, nature, frequency, owner needed",IF(LEN(C199)&lt;80,"Description too short: who, what, when, how, evidence",IF(AND(E199="ITAC",G199&lt;&gt;"Automated"),"ITAC must be Automated",IF(AND(OR(E199="ITAC",E199="IPE",E199="ITDM"),N199=""),"Dependent ITGCs needed",IF(S199=0,"No risk mapped (Risk_Control_Map)",IF(AND(I199="Y",J199&lt;&gt;"Y"),"Key control should be SOX in scope","OK")))))))</f>
        <v/>
      </c>
    </row>
    <row r="200" customFormat="false" ht="15" hidden="false" customHeight="false" outlineLevel="0" collapsed="false">
      <c r="A200" s="15"/>
      <c r="B200" s="15"/>
      <c r="C200" s="15"/>
      <c r="D200" s="15"/>
      <c r="E200" s="15"/>
      <c r="F200" s="15"/>
      <c r="G200" s="15"/>
      <c r="H200" s="15"/>
      <c r="I200" s="15"/>
      <c r="J200" s="15"/>
      <c r="K200" s="15"/>
      <c r="L200" s="15"/>
      <c r="M200" s="15"/>
      <c r="N200" s="15"/>
      <c r="O200" s="15"/>
      <c r="P200" s="15"/>
      <c r="Q200" s="15"/>
      <c r="R200" s="15"/>
      <c r="S200" s="16" t="str">
        <f aca="false">IF(A200="","",COUNTIF(Risk_Control_Map!$C$5:$C$204,A200))</f>
        <v/>
      </c>
      <c r="T200" s="16" t="str">
        <f aca="false">IF(A200="","",IF(OR(B200="",C200="",E200="",G200="",H200="",K200=""),"Title, description, category, nature, frequency, owner needed",IF(LEN(C200)&lt;80,"Description too short: who, what, when, how, evidence",IF(AND(E200="ITAC",G200&lt;&gt;"Automated"),"ITAC must be Automated",IF(AND(OR(E200="ITAC",E200="IPE",E200="ITDM"),N200=""),"Dependent ITGCs needed",IF(S200=0,"No risk mapped (Risk_Control_Map)",IF(AND(I200="Y",J200&lt;&gt;"Y"),"Key control should be SOX in scope","OK")))))))</f>
        <v/>
      </c>
    </row>
    <row r="201" customFormat="false" ht="15" hidden="false" customHeight="false" outlineLevel="0" collapsed="false">
      <c r="A201" s="15"/>
      <c r="B201" s="15"/>
      <c r="C201" s="15"/>
      <c r="D201" s="15"/>
      <c r="E201" s="15"/>
      <c r="F201" s="15"/>
      <c r="G201" s="15"/>
      <c r="H201" s="15"/>
      <c r="I201" s="15"/>
      <c r="J201" s="15"/>
      <c r="K201" s="15"/>
      <c r="L201" s="15"/>
      <c r="M201" s="15"/>
      <c r="N201" s="15"/>
      <c r="O201" s="15"/>
      <c r="P201" s="15"/>
      <c r="Q201" s="15"/>
      <c r="R201" s="15"/>
      <c r="S201" s="16" t="str">
        <f aca="false">IF(A201="","",COUNTIF(Risk_Control_Map!$C$5:$C$204,A201))</f>
        <v/>
      </c>
      <c r="T201" s="16" t="str">
        <f aca="false">IF(A201="","",IF(OR(B201="",C201="",E201="",G201="",H201="",K201=""),"Title, description, category, nature, frequency, owner needed",IF(LEN(C201)&lt;80,"Description too short: who, what, when, how, evidence",IF(AND(E201="ITAC",G201&lt;&gt;"Automated"),"ITAC must be Automated",IF(AND(OR(E201="ITAC",E201="IPE",E201="ITDM"),N201=""),"Dependent ITGCs needed",IF(S201=0,"No risk mapped (Risk_Control_Map)",IF(AND(I201="Y",J201&lt;&gt;"Y"),"Key control should be SOX in scope","OK")))))))</f>
        <v/>
      </c>
    </row>
    <row r="202" customFormat="false" ht="15" hidden="false" customHeight="false" outlineLevel="0" collapsed="false">
      <c r="A202" s="15"/>
      <c r="B202" s="15"/>
      <c r="C202" s="15"/>
      <c r="D202" s="15"/>
      <c r="E202" s="15"/>
      <c r="F202" s="15"/>
      <c r="G202" s="15"/>
      <c r="H202" s="15"/>
      <c r="I202" s="15"/>
      <c r="J202" s="15"/>
      <c r="K202" s="15"/>
      <c r="L202" s="15"/>
      <c r="M202" s="15"/>
      <c r="N202" s="15"/>
      <c r="O202" s="15"/>
      <c r="P202" s="15"/>
      <c r="Q202" s="15"/>
      <c r="R202" s="15"/>
      <c r="S202" s="16" t="str">
        <f aca="false">IF(A202="","",COUNTIF(Risk_Control_Map!$C$5:$C$204,A202))</f>
        <v/>
      </c>
      <c r="T202" s="16" t="str">
        <f aca="false">IF(A202="","",IF(OR(B202="",C202="",E202="",G202="",H202="",K202=""),"Title, description, category, nature, frequency, owner needed",IF(LEN(C202)&lt;80,"Description too short: who, what, when, how, evidence",IF(AND(E202="ITAC",G202&lt;&gt;"Automated"),"ITAC must be Automated",IF(AND(OR(E202="ITAC",E202="IPE",E202="ITDM"),N202=""),"Dependent ITGCs needed",IF(S202=0,"No risk mapped (Risk_Control_Map)",IF(AND(I202="Y",J202&lt;&gt;"Y"),"Key control should be SOX in scope","OK")))))))</f>
        <v/>
      </c>
    </row>
    <row r="203" customFormat="false" ht="15" hidden="false" customHeight="false" outlineLevel="0" collapsed="false">
      <c r="A203" s="15"/>
      <c r="B203" s="15"/>
      <c r="C203" s="15"/>
      <c r="D203" s="15"/>
      <c r="E203" s="15"/>
      <c r="F203" s="15"/>
      <c r="G203" s="15"/>
      <c r="H203" s="15"/>
      <c r="I203" s="15"/>
      <c r="J203" s="15"/>
      <c r="K203" s="15"/>
      <c r="L203" s="15"/>
      <c r="M203" s="15"/>
      <c r="N203" s="15"/>
      <c r="O203" s="15"/>
      <c r="P203" s="15"/>
      <c r="Q203" s="15"/>
      <c r="R203" s="15"/>
      <c r="S203" s="16" t="str">
        <f aca="false">IF(A203="","",COUNTIF(Risk_Control_Map!$C$5:$C$204,A203))</f>
        <v/>
      </c>
      <c r="T203" s="16" t="str">
        <f aca="false">IF(A203="","",IF(OR(B203="",C203="",E203="",G203="",H203="",K203=""),"Title, description, category, nature, frequency, owner needed",IF(LEN(C203)&lt;80,"Description too short: who, what, when, how, evidence",IF(AND(E203="ITAC",G203&lt;&gt;"Automated"),"ITAC must be Automated",IF(AND(OR(E203="ITAC",E203="IPE",E203="ITDM"),N203=""),"Dependent ITGCs needed",IF(S203=0,"No risk mapped (Risk_Control_Map)",IF(AND(I203="Y",J203&lt;&gt;"Y"),"Key control should be SOX in scope","OK")))))))</f>
        <v/>
      </c>
    </row>
    <row r="204" customFormat="false" ht="15" hidden="false" customHeight="false" outlineLevel="0" collapsed="false">
      <c r="A204" s="15"/>
      <c r="B204" s="15"/>
      <c r="C204" s="15"/>
      <c r="D204" s="15"/>
      <c r="E204" s="15"/>
      <c r="F204" s="15"/>
      <c r="G204" s="15"/>
      <c r="H204" s="15"/>
      <c r="I204" s="15"/>
      <c r="J204" s="15"/>
      <c r="K204" s="15"/>
      <c r="L204" s="15"/>
      <c r="M204" s="15"/>
      <c r="N204" s="15"/>
      <c r="O204" s="15"/>
      <c r="P204" s="15"/>
      <c r="Q204" s="15"/>
      <c r="R204" s="15"/>
      <c r="S204" s="16" t="str">
        <f aca="false">IF(A204="","",COUNTIF(Risk_Control_Map!$C$5:$C$204,A204))</f>
        <v/>
      </c>
      <c r="T204" s="16" t="str">
        <f aca="false">IF(A204="","",IF(OR(B204="",C204="",E204="",G204="",H204="",K204=""),"Title, description, category, nature, frequency, owner needed",IF(LEN(C204)&lt;80,"Description too short: who, what, when, how, evidence",IF(AND(E204="ITAC",G204&lt;&gt;"Automated"),"ITAC must be Automated",IF(AND(OR(E204="ITAC",E204="IPE",E204="ITDM"),N204=""),"Dependent ITGCs needed",IF(S204=0,"No risk mapped (Risk_Control_Map)",IF(AND(I204="Y",J204&lt;&gt;"Y"),"Key control should be SOX in scope","OK")))))))</f>
        <v/>
      </c>
    </row>
  </sheetData>
  <autoFilter ref="A4:T204"/>
  <dataValidations count="7">
    <dataValidation allowBlank="true" error="Pick a value from the list." errorStyle="warning" operator="between" showDropDown="false" showErrorMessage="true" showInputMessage="false" sqref="D5:D204" type="list">
      <formula1>Control_Areas!$A$2:$A$101</formula1>
      <formula2>0</formula2>
    </dataValidation>
    <dataValidation allowBlank="true" error="Pick a value from the list." errorStyle="stop" operator="between" showDropDown="false" showErrorMessage="true" showInputMessage="false" sqref="E5:E204" type="list">
      <formula1>Lists!$A$2:$A$9</formula1>
      <formula2>0</formula2>
    </dataValidation>
    <dataValidation allowBlank="true" error="Pick a value from the list." errorStyle="stop" operator="between" showDropDown="false" showErrorMessage="true" showInputMessage="false" sqref="F5:F204" type="list">
      <formula1>Lists!$B$2:$B$3</formula1>
      <formula2>0</formula2>
    </dataValidation>
    <dataValidation allowBlank="true" error="Pick a value from the list." errorStyle="stop" operator="between" showDropDown="false" showErrorMessage="true" showInputMessage="false" sqref="G5:G204" type="list">
      <formula1>Lists!$C$2:$C$4</formula1>
      <formula2>0</formula2>
    </dataValidation>
    <dataValidation allowBlank="true" error="Pick a value from the list." errorStyle="stop" operator="between" showDropDown="false" showErrorMessage="true" showInputMessage="false" sqref="H5:H204" type="list">
      <formula1>Lists!$D$2:$D$8</formula1>
      <formula2>0</formula2>
    </dataValidation>
    <dataValidation allowBlank="true" error="Pick a value from the list." errorStyle="stop" operator="between" showDropDown="false" showErrorMessage="true" showInputMessage="false" sqref="I5:I204" type="list">
      <formula1>Lists!$E$2:$E$3</formula1>
      <formula2>0</formula2>
    </dataValidation>
    <dataValidation allowBlank="true" error="Pick a value from the list." errorStyle="stop" operator="between" showDropDown="false" showErrorMessage="true" showInputMessage="false" sqref="J5:J204" type="list">
      <formula1>Lists!$E$2:$E$3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6"/>
    <col collapsed="false" customWidth="true" hidden="false" outlineLevel="0" max="4" min="4" style="0" width="10"/>
    <col collapsed="false" customWidth="true" hidden="false" outlineLevel="0" max="5" min="5" style="0" width="40"/>
    <col collapsed="false" customWidth="true" hidden="false" outlineLevel="0" max="7" min="6" style="0" width="10"/>
    <col collapsed="false" customWidth="true" hidden="false" outlineLevel="0" max="8" min="8" style="0" width="28"/>
  </cols>
  <sheetData>
    <row r="1" customFormat="false" ht="17.35" hidden="false" customHeight="false" outlineLevel="0" collapsed="false">
      <c r="A1" s="9" t="s">
        <v>147</v>
      </c>
    </row>
    <row r="2" customFormat="false" ht="15" hidden="false" customHeight="false" outlineLevel="0" collapsed="false">
      <c r="A2" s="10" t="s">
        <v>148</v>
      </c>
    </row>
    <row r="4" customFormat="false" ht="31.5" hidden="false" customHeight="true" outlineLevel="0" collapsed="false">
      <c r="A4" s="11" t="s">
        <v>86</v>
      </c>
      <c r="B4" s="11" t="s">
        <v>89</v>
      </c>
      <c r="C4" s="11" t="s">
        <v>26</v>
      </c>
      <c r="D4" s="11" t="s">
        <v>94</v>
      </c>
      <c r="E4" s="11" t="s">
        <v>97</v>
      </c>
      <c r="F4" s="12" t="s">
        <v>100</v>
      </c>
      <c r="G4" s="12" t="s">
        <v>102</v>
      </c>
      <c r="H4" s="12" t="s">
        <v>104</v>
      </c>
    </row>
    <row r="5" customFormat="false" ht="23.85" hidden="false" customHeight="false" outlineLevel="0" collapsed="false">
      <c r="A5" s="13" t="s">
        <v>149</v>
      </c>
      <c r="B5" s="13" t="s">
        <v>150</v>
      </c>
      <c r="C5" s="13" t="s">
        <v>131</v>
      </c>
      <c r="D5" s="13" t="s">
        <v>151</v>
      </c>
      <c r="E5" s="13" t="s">
        <v>152</v>
      </c>
      <c r="F5" s="14" t="str">
        <f aca="false">IFERROR(INDEX(Ref_RISK!$B$2:$B$201,MATCH(B5,Ref_RISK!$A$2:$A$201,0)),"")</f>
        <v>Y</v>
      </c>
      <c r="G5" s="14" t="str">
        <f aca="false">IFERROR(INDEX(Control_Register!$I$5:$I$204,MATCH(C5,Control_Register!$A$5:$A$204,0)),"")</f>
        <v>Y</v>
      </c>
      <c r="H5" s="14" t="str">
        <f aca="false">IF(A5="","",IF(OR(B5="",C5="",D5=""),"Risk, control and coverage needed",IF(COUNTIF(Ref_RISK!$A$2:$A$201,B5)=0,"RISK-ID not in W04",IF(COUNTIF(Control_Register!$A$5:$A$204,C5)=0,"CTRL-ID not in register","OK"))))</f>
        <v>OK</v>
      </c>
    </row>
    <row r="6" customFormat="false" ht="15" hidden="false" customHeight="false" outlineLevel="0" collapsed="false">
      <c r="A6" s="15"/>
      <c r="B6" s="15"/>
      <c r="C6" s="15"/>
      <c r="D6" s="15"/>
      <c r="E6" s="15"/>
      <c r="F6" s="16" t="str">
        <f aca="false">IFERROR(INDEX(Ref_RISK!$B$2:$B$201,MATCH(B6,Ref_RISK!$A$2:$A$201,0)),"")</f>
        <v/>
      </c>
      <c r="G6" s="16" t="str">
        <f aca="false">IFERROR(INDEX(Control_Register!$I$5:$I$204,MATCH(C6,Control_Register!$A$5:$A$204,0)),"")</f>
        <v/>
      </c>
      <c r="H6" s="16" t="str">
        <f aca="false">IF(A6="","",IF(OR(B6="",C6="",D6=""),"Risk, control and coverage needed",IF(COUNTIF(Ref_RISK!$A$2:$A$201,B6)=0,"RISK-ID not in W04",IF(COUNTIF(Control_Register!$A$5:$A$204,C6)=0,"CTRL-ID not in register","OK"))))</f>
        <v/>
      </c>
    </row>
    <row r="7" customFormat="false" ht="15" hidden="false" customHeight="false" outlineLevel="0" collapsed="false">
      <c r="A7" s="15"/>
      <c r="B7" s="15"/>
      <c r="C7" s="15"/>
      <c r="D7" s="15"/>
      <c r="E7" s="15"/>
      <c r="F7" s="16" t="str">
        <f aca="false">IFERROR(INDEX(Ref_RISK!$B$2:$B$201,MATCH(B7,Ref_RISK!$A$2:$A$201,0)),"")</f>
        <v/>
      </c>
      <c r="G7" s="16" t="str">
        <f aca="false">IFERROR(INDEX(Control_Register!$I$5:$I$204,MATCH(C7,Control_Register!$A$5:$A$204,0)),"")</f>
        <v/>
      </c>
      <c r="H7" s="16" t="str">
        <f aca="false">IF(A7="","",IF(OR(B7="",C7="",D7=""),"Risk, control and coverage needed",IF(COUNTIF(Ref_RISK!$A$2:$A$201,B7)=0,"RISK-ID not in W04",IF(COUNTIF(Control_Register!$A$5:$A$204,C7)=0,"CTRL-ID not in register","OK"))))</f>
        <v/>
      </c>
    </row>
    <row r="8" customFormat="false" ht="15" hidden="false" customHeight="false" outlineLevel="0" collapsed="false">
      <c r="A8" s="15"/>
      <c r="B8" s="15"/>
      <c r="C8" s="15"/>
      <c r="D8" s="15"/>
      <c r="E8" s="15"/>
      <c r="F8" s="16" t="str">
        <f aca="false">IFERROR(INDEX(Ref_RISK!$B$2:$B$201,MATCH(B8,Ref_RISK!$A$2:$A$201,0)),"")</f>
        <v/>
      </c>
      <c r="G8" s="16" t="str">
        <f aca="false">IFERROR(INDEX(Control_Register!$I$5:$I$204,MATCH(C8,Control_Register!$A$5:$A$204,0)),"")</f>
        <v/>
      </c>
      <c r="H8" s="16" t="str">
        <f aca="false">IF(A8="","",IF(OR(B8="",C8="",D8=""),"Risk, control and coverage needed",IF(COUNTIF(Ref_RISK!$A$2:$A$201,B8)=0,"RISK-ID not in W04",IF(COUNTIF(Control_Register!$A$5:$A$204,C8)=0,"CTRL-ID not in register","OK"))))</f>
        <v/>
      </c>
    </row>
    <row r="9" customFormat="false" ht="15" hidden="false" customHeight="false" outlineLevel="0" collapsed="false">
      <c r="A9" s="15"/>
      <c r="B9" s="15"/>
      <c r="C9" s="15"/>
      <c r="D9" s="15"/>
      <c r="E9" s="15"/>
      <c r="F9" s="16" t="str">
        <f aca="false">IFERROR(INDEX(Ref_RISK!$B$2:$B$201,MATCH(B9,Ref_RISK!$A$2:$A$201,0)),"")</f>
        <v/>
      </c>
      <c r="G9" s="16" t="str">
        <f aca="false">IFERROR(INDEX(Control_Register!$I$5:$I$204,MATCH(C9,Control_Register!$A$5:$A$204,0)),"")</f>
        <v/>
      </c>
      <c r="H9" s="16" t="str">
        <f aca="false">IF(A9="","",IF(OR(B9="",C9="",D9=""),"Risk, control and coverage needed",IF(COUNTIF(Ref_RISK!$A$2:$A$201,B9)=0,"RISK-ID not in W04",IF(COUNTIF(Control_Register!$A$5:$A$204,C9)=0,"CTRL-ID not in register","OK"))))</f>
        <v/>
      </c>
    </row>
    <row r="10" customFormat="false" ht="15" hidden="false" customHeight="false" outlineLevel="0" collapsed="false">
      <c r="A10" s="15"/>
      <c r="B10" s="15"/>
      <c r="C10" s="15"/>
      <c r="D10" s="15"/>
      <c r="E10" s="15"/>
      <c r="F10" s="16" t="str">
        <f aca="false">IFERROR(INDEX(Ref_RISK!$B$2:$B$201,MATCH(B10,Ref_RISK!$A$2:$A$201,0)),"")</f>
        <v/>
      </c>
      <c r="G10" s="16" t="str">
        <f aca="false">IFERROR(INDEX(Control_Register!$I$5:$I$204,MATCH(C10,Control_Register!$A$5:$A$204,0)),"")</f>
        <v/>
      </c>
      <c r="H10" s="16" t="str">
        <f aca="false">IF(A10="","",IF(OR(B10="",C10="",D10=""),"Risk, control and coverage needed",IF(COUNTIF(Ref_RISK!$A$2:$A$201,B10)=0,"RISK-ID not in W04",IF(COUNTIF(Control_Register!$A$5:$A$204,C10)=0,"CTRL-ID not in register","OK"))))</f>
        <v/>
      </c>
    </row>
    <row r="11" customFormat="false" ht="15" hidden="false" customHeight="false" outlineLevel="0" collapsed="false">
      <c r="A11" s="15"/>
      <c r="B11" s="15"/>
      <c r="C11" s="15"/>
      <c r="D11" s="15"/>
      <c r="E11" s="15"/>
      <c r="F11" s="16" t="str">
        <f aca="false">IFERROR(INDEX(Ref_RISK!$B$2:$B$201,MATCH(B11,Ref_RISK!$A$2:$A$201,0)),"")</f>
        <v/>
      </c>
      <c r="G11" s="16" t="str">
        <f aca="false">IFERROR(INDEX(Control_Register!$I$5:$I$204,MATCH(C11,Control_Register!$A$5:$A$204,0)),"")</f>
        <v/>
      </c>
      <c r="H11" s="16" t="str">
        <f aca="false">IF(A11="","",IF(OR(B11="",C11="",D11=""),"Risk, control and coverage needed",IF(COUNTIF(Ref_RISK!$A$2:$A$201,B11)=0,"RISK-ID not in W04",IF(COUNTIF(Control_Register!$A$5:$A$204,C11)=0,"CTRL-ID not in register","OK"))))</f>
        <v/>
      </c>
    </row>
    <row r="12" customFormat="false" ht="15" hidden="false" customHeight="false" outlineLevel="0" collapsed="false">
      <c r="A12" s="15"/>
      <c r="B12" s="15"/>
      <c r="C12" s="15"/>
      <c r="D12" s="15"/>
      <c r="E12" s="15"/>
      <c r="F12" s="16" t="str">
        <f aca="false">IFERROR(INDEX(Ref_RISK!$B$2:$B$201,MATCH(B12,Ref_RISK!$A$2:$A$201,0)),"")</f>
        <v/>
      </c>
      <c r="G12" s="16" t="str">
        <f aca="false">IFERROR(INDEX(Control_Register!$I$5:$I$204,MATCH(C12,Control_Register!$A$5:$A$204,0)),"")</f>
        <v/>
      </c>
      <c r="H12" s="16" t="str">
        <f aca="false">IF(A12="","",IF(OR(B12="",C12="",D12=""),"Risk, control and coverage needed",IF(COUNTIF(Ref_RISK!$A$2:$A$201,B12)=0,"RISK-ID not in W04",IF(COUNTIF(Control_Register!$A$5:$A$204,C12)=0,"CTRL-ID not in register","OK"))))</f>
        <v/>
      </c>
    </row>
    <row r="13" customFormat="false" ht="15" hidden="false" customHeight="false" outlineLevel="0" collapsed="false">
      <c r="A13" s="15"/>
      <c r="B13" s="15"/>
      <c r="C13" s="15"/>
      <c r="D13" s="15"/>
      <c r="E13" s="15"/>
      <c r="F13" s="16" t="str">
        <f aca="false">IFERROR(INDEX(Ref_RISK!$B$2:$B$201,MATCH(B13,Ref_RISK!$A$2:$A$201,0)),"")</f>
        <v/>
      </c>
      <c r="G13" s="16" t="str">
        <f aca="false">IFERROR(INDEX(Control_Register!$I$5:$I$204,MATCH(C13,Control_Register!$A$5:$A$204,0)),"")</f>
        <v/>
      </c>
      <c r="H13" s="16" t="str">
        <f aca="false">IF(A13="","",IF(OR(B13="",C13="",D13=""),"Risk, control and coverage needed",IF(COUNTIF(Ref_RISK!$A$2:$A$201,B13)=0,"RISK-ID not in W04",IF(COUNTIF(Control_Register!$A$5:$A$204,C13)=0,"CTRL-ID not in register","OK"))))</f>
        <v/>
      </c>
    </row>
    <row r="14" customFormat="false" ht="15" hidden="false" customHeight="false" outlineLevel="0" collapsed="false">
      <c r="A14" s="15"/>
      <c r="B14" s="15"/>
      <c r="C14" s="15"/>
      <c r="D14" s="15"/>
      <c r="E14" s="15"/>
      <c r="F14" s="16" t="str">
        <f aca="false">IFERROR(INDEX(Ref_RISK!$B$2:$B$201,MATCH(B14,Ref_RISK!$A$2:$A$201,0)),"")</f>
        <v/>
      </c>
      <c r="G14" s="16" t="str">
        <f aca="false">IFERROR(INDEX(Control_Register!$I$5:$I$204,MATCH(C14,Control_Register!$A$5:$A$204,0)),"")</f>
        <v/>
      </c>
      <c r="H14" s="16" t="str">
        <f aca="false">IF(A14="","",IF(OR(B14="",C14="",D14=""),"Risk, control and coverage needed",IF(COUNTIF(Ref_RISK!$A$2:$A$201,B14)=0,"RISK-ID not in W04",IF(COUNTIF(Control_Register!$A$5:$A$204,C14)=0,"CTRL-ID not in register","OK"))))</f>
        <v/>
      </c>
    </row>
    <row r="15" customFormat="false" ht="15" hidden="false" customHeight="false" outlineLevel="0" collapsed="false">
      <c r="A15" s="15"/>
      <c r="B15" s="15"/>
      <c r="C15" s="15"/>
      <c r="D15" s="15"/>
      <c r="E15" s="15"/>
      <c r="F15" s="16" t="str">
        <f aca="false">IFERROR(INDEX(Ref_RISK!$B$2:$B$201,MATCH(B15,Ref_RISK!$A$2:$A$201,0)),"")</f>
        <v/>
      </c>
      <c r="G15" s="16" t="str">
        <f aca="false">IFERROR(INDEX(Control_Register!$I$5:$I$204,MATCH(C15,Control_Register!$A$5:$A$204,0)),"")</f>
        <v/>
      </c>
      <c r="H15" s="16" t="str">
        <f aca="false">IF(A15="","",IF(OR(B15="",C15="",D15=""),"Risk, control and coverage needed",IF(COUNTIF(Ref_RISK!$A$2:$A$201,B15)=0,"RISK-ID not in W04",IF(COUNTIF(Control_Register!$A$5:$A$204,C15)=0,"CTRL-ID not in register","OK"))))</f>
        <v/>
      </c>
    </row>
    <row r="16" customFormat="false" ht="15" hidden="false" customHeight="false" outlineLevel="0" collapsed="false">
      <c r="A16" s="15"/>
      <c r="B16" s="15"/>
      <c r="C16" s="15"/>
      <c r="D16" s="15"/>
      <c r="E16" s="15"/>
      <c r="F16" s="16" t="str">
        <f aca="false">IFERROR(INDEX(Ref_RISK!$B$2:$B$201,MATCH(B16,Ref_RISK!$A$2:$A$201,0)),"")</f>
        <v/>
      </c>
      <c r="G16" s="16" t="str">
        <f aca="false">IFERROR(INDEX(Control_Register!$I$5:$I$204,MATCH(C16,Control_Register!$A$5:$A$204,0)),"")</f>
        <v/>
      </c>
      <c r="H16" s="16" t="str">
        <f aca="false">IF(A16="","",IF(OR(B16="",C16="",D16=""),"Risk, control and coverage needed",IF(COUNTIF(Ref_RISK!$A$2:$A$201,B16)=0,"RISK-ID not in W04",IF(COUNTIF(Control_Register!$A$5:$A$204,C16)=0,"CTRL-ID not in register","OK"))))</f>
        <v/>
      </c>
    </row>
    <row r="17" customFormat="false" ht="15" hidden="false" customHeight="false" outlineLevel="0" collapsed="false">
      <c r="A17" s="15"/>
      <c r="B17" s="15"/>
      <c r="C17" s="15"/>
      <c r="D17" s="15"/>
      <c r="E17" s="15"/>
      <c r="F17" s="16" t="str">
        <f aca="false">IFERROR(INDEX(Ref_RISK!$B$2:$B$201,MATCH(B17,Ref_RISK!$A$2:$A$201,0)),"")</f>
        <v/>
      </c>
      <c r="G17" s="16" t="str">
        <f aca="false">IFERROR(INDEX(Control_Register!$I$5:$I$204,MATCH(C17,Control_Register!$A$5:$A$204,0)),"")</f>
        <v/>
      </c>
      <c r="H17" s="16" t="str">
        <f aca="false">IF(A17="","",IF(OR(B17="",C17="",D17=""),"Risk, control and coverage needed",IF(COUNTIF(Ref_RISK!$A$2:$A$201,B17)=0,"RISK-ID not in W04",IF(COUNTIF(Control_Register!$A$5:$A$204,C17)=0,"CTRL-ID not in register","OK"))))</f>
        <v/>
      </c>
    </row>
    <row r="18" customFormat="false" ht="15" hidden="false" customHeight="false" outlineLevel="0" collapsed="false">
      <c r="A18" s="15"/>
      <c r="B18" s="15"/>
      <c r="C18" s="15"/>
      <c r="D18" s="15"/>
      <c r="E18" s="15"/>
      <c r="F18" s="16" t="str">
        <f aca="false">IFERROR(INDEX(Ref_RISK!$B$2:$B$201,MATCH(B18,Ref_RISK!$A$2:$A$201,0)),"")</f>
        <v/>
      </c>
      <c r="G18" s="16" t="str">
        <f aca="false">IFERROR(INDEX(Control_Register!$I$5:$I$204,MATCH(C18,Control_Register!$A$5:$A$204,0)),"")</f>
        <v/>
      </c>
      <c r="H18" s="16" t="str">
        <f aca="false">IF(A18="","",IF(OR(B18="",C18="",D18=""),"Risk, control and coverage needed",IF(COUNTIF(Ref_RISK!$A$2:$A$201,B18)=0,"RISK-ID not in W04",IF(COUNTIF(Control_Register!$A$5:$A$204,C18)=0,"CTRL-ID not in register","OK"))))</f>
        <v/>
      </c>
    </row>
    <row r="19" customFormat="false" ht="15" hidden="false" customHeight="false" outlineLevel="0" collapsed="false">
      <c r="A19" s="15"/>
      <c r="B19" s="15"/>
      <c r="C19" s="15"/>
      <c r="D19" s="15"/>
      <c r="E19" s="15"/>
      <c r="F19" s="16" t="str">
        <f aca="false">IFERROR(INDEX(Ref_RISK!$B$2:$B$201,MATCH(B19,Ref_RISK!$A$2:$A$201,0)),"")</f>
        <v/>
      </c>
      <c r="G19" s="16" t="str">
        <f aca="false">IFERROR(INDEX(Control_Register!$I$5:$I$204,MATCH(C19,Control_Register!$A$5:$A$204,0)),"")</f>
        <v/>
      </c>
      <c r="H19" s="16" t="str">
        <f aca="false">IF(A19="","",IF(OR(B19="",C19="",D19=""),"Risk, control and coverage needed",IF(COUNTIF(Ref_RISK!$A$2:$A$201,B19)=0,"RISK-ID not in W04",IF(COUNTIF(Control_Register!$A$5:$A$204,C19)=0,"CTRL-ID not in register","OK"))))</f>
        <v/>
      </c>
    </row>
    <row r="20" customFormat="false" ht="15" hidden="false" customHeight="false" outlineLevel="0" collapsed="false">
      <c r="A20" s="15"/>
      <c r="B20" s="15"/>
      <c r="C20" s="15"/>
      <c r="D20" s="15"/>
      <c r="E20" s="15"/>
      <c r="F20" s="16" t="str">
        <f aca="false">IFERROR(INDEX(Ref_RISK!$B$2:$B$201,MATCH(B20,Ref_RISK!$A$2:$A$201,0)),"")</f>
        <v/>
      </c>
      <c r="G20" s="16" t="str">
        <f aca="false">IFERROR(INDEX(Control_Register!$I$5:$I$204,MATCH(C20,Control_Register!$A$5:$A$204,0)),"")</f>
        <v/>
      </c>
      <c r="H20" s="16" t="str">
        <f aca="false">IF(A20="","",IF(OR(B20="",C20="",D20=""),"Risk, control and coverage needed",IF(COUNTIF(Ref_RISK!$A$2:$A$201,B20)=0,"RISK-ID not in W04",IF(COUNTIF(Control_Register!$A$5:$A$204,C20)=0,"CTRL-ID not in register","OK"))))</f>
        <v/>
      </c>
    </row>
    <row r="21" customFormat="false" ht="15" hidden="false" customHeight="false" outlineLevel="0" collapsed="false">
      <c r="A21" s="15"/>
      <c r="B21" s="15"/>
      <c r="C21" s="15"/>
      <c r="D21" s="15"/>
      <c r="E21" s="15"/>
      <c r="F21" s="16" t="str">
        <f aca="false">IFERROR(INDEX(Ref_RISK!$B$2:$B$201,MATCH(B21,Ref_RISK!$A$2:$A$201,0)),"")</f>
        <v/>
      </c>
      <c r="G21" s="16" t="str">
        <f aca="false">IFERROR(INDEX(Control_Register!$I$5:$I$204,MATCH(C21,Control_Register!$A$5:$A$204,0)),"")</f>
        <v/>
      </c>
      <c r="H21" s="16" t="str">
        <f aca="false">IF(A21="","",IF(OR(B21="",C21="",D21=""),"Risk, control and coverage needed",IF(COUNTIF(Ref_RISK!$A$2:$A$201,B21)=0,"RISK-ID not in W04",IF(COUNTIF(Control_Register!$A$5:$A$204,C21)=0,"CTRL-ID not in register","OK"))))</f>
        <v/>
      </c>
    </row>
    <row r="22" customFormat="false" ht="15" hidden="false" customHeight="false" outlineLevel="0" collapsed="false">
      <c r="A22" s="15"/>
      <c r="B22" s="15"/>
      <c r="C22" s="15"/>
      <c r="D22" s="15"/>
      <c r="E22" s="15"/>
      <c r="F22" s="16" t="str">
        <f aca="false">IFERROR(INDEX(Ref_RISK!$B$2:$B$201,MATCH(B22,Ref_RISK!$A$2:$A$201,0)),"")</f>
        <v/>
      </c>
      <c r="G22" s="16" t="str">
        <f aca="false">IFERROR(INDEX(Control_Register!$I$5:$I$204,MATCH(C22,Control_Register!$A$5:$A$204,0)),"")</f>
        <v/>
      </c>
      <c r="H22" s="16" t="str">
        <f aca="false">IF(A22="","",IF(OR(B22="",C22="",D22=""),"Risk, control and coverage needed",IF(COUNTIF(Ref_RISK!$A$2:$A$201,B22)=0,"RISK-ID not in W04",IF(COUNTIF(Control_Register!$A$5:$A$204,C22)=0,"CTRL-ID not in register","OK"))))</f>
        <v/>
      </c>
    </row>
    <row r="23" customFormat="false" ht="15" hidden="false" customHeight="false" outlineLevel="0" collapsed="false">
      <c r="A23" s="15"/>
      <c r="B23" s="15"/>
      <c r="C23" s="15"/>
      <c r="D23" s="15"/>
      <c r="E23" s="15"/>
      <c r="F23" s="16" t="str">
        <f aca="false">IFERROR(INDEX(Ref_RISK!$B$2:$B$201,MATCH(B23,Ref_RISK!$A$2:$A$201,0)),"")</f>
        <v/>
      </c>
      <c r="G23" s="16" t="str">
        <f aca="false">IFERROR(INDEX(Control_Register!$I$5:$I$204,MATCH(C23,Control_Register!$A$5:$A$204,0)),"")</f>
        <v/>
      </c>
      <c r="H23" s="16" t="str">
        <f aca="false">IF(A23="","",IF(OR(B23="",C23="",D23=""),"Risk, control and coverage needed",IF(COUNTIF(Ref_RISK!$A$2:$A$201,B23)=0,"RISK-ID not in W04",IF(COUNTIF(Control_Register!$A$5:$A$204,C23)=0,"CTRL-ID not in register","OK"))))</f>
        <v/>
      </c>
    </row>
    <row r="24" customFormat="false" ht="15" hidden="false" customHeight="false" outlineLevel="0" collapsed="false">
      <c r="A24" s="15"/>
      <c r="B24" s="15"/>
      <c r="C24" s="15"/>
      <c r="D24" s="15"/>
      <c r="E24" s="15"/>
      <c r="F24" s="16" t="str">
        <f aca="false">IFERROR(INDEX(Ref_RISK!$B$2:$B$201,MATCH(B24,Ref_RISK!$A$2:$A$201,0)),"")</f>
        <v/>
      </c>
      <c r="G24" s="16" t="str">
        <f aca="false">IFERROR(INDEX(Control_Register!$I$5:$I$204,MATCH(C24,Control_Register!$A$5:$A$204,0)),"")</f>
        <v/>
      </c>
      <c r="H24" s="16" t="str">
        <f aca="false">IF(A24="","",IF(OR(B24="",C24="",D24=""),"Risk, control and coverage needed",IF(COUNTIF(Ref_RISK!$A$2:$A$201,B24)=0,"RISK-ID not in W04",IF(COUNTIF(Control_Register!$A$5:$A$204,C24)=0,"CTRL-ID not in register","OK"))))</f>
        <v/>
      </c>
    </row>
    <row r="25" customFormat="false" ht="15" hidden="false" customHeight="false" outlineLevel="0" collapsed="false">
      <c r="A25" s="15"/>
      <c r="B25" s="15"/>
      <c r="C25" s="15"/>
      <c r="D25" s="15"/>
      <c r="E25" s="15"/>
      <c r="F25" s="16" t="str">
        <f aca="false">IFERROR(INDEX(Ref_RISK!$B$2:$B$201,MATCH(B25,Ref_RISK!$A$2:$A$201,0)),"")</f>
        <v/>
      </c>
      <c r="G25" s="16" t="str">
        <f aca="false">IFERROR(INDEX(Control_Register!$I$5:$I$204,MATCH(C25,Control_Register!$A$5:$A$204,0)),"")</f>
        <v/>
      </c>
      <c r="H25" s="16" t="str">
        <f aca="false">IF(A25="","",IF(OR(B25="",C25="",D25=""),"Risk, control and coverage needed",IF(COUNTIF(Ref_RISK!$A$2:$A$201,B25)=0,"RISK-ID not in W04",IF(COUNTIF(Control_Register!$A$5:$A$204,C25)=0,"CTRL-ID not in register","OK"))))</f>
        <v/>
      </c>
    </row>
    <row r="26" customFormat="false" ht="15" hidden="false" customHeight="false" outlineLevel="0" collapsed="false">
      <c r="A26" s="15"/>
      <c r="B26" s="15"/>
      <c r="C26" s="15"/>
      <c r="D26" s="15"/>
      <c r="E26" s="15"/>
      <c r="F26" s="16" t="str">
        <f aca="false">IFERROR(INDEX(Ref_RISK!$B$2:$B$201,MATCH(B26,Ref_RISK!$A$2:$A$201,0)),"")</f>
        <v/>
      </c>
      <c r="G26" s="16" t="str">
        <f aca="false">IFERROR(INDEX(Control_Register!$I$5:$I$204,MATCH(C26,Control_Register!$A$5:$A$204,0)),"")</f>
        <v/>
      </c>
      <c r="H26" s="16" t="str">
        <f aca="false">IF(A26="","",IF(OR(B26="",C26="",D26=""),"Risk, control and coverage needed",IF(COUNTIF(Ref_RISK!$A$2:$A$201,B26)=0,"RISK-ID not in W04",IF(COUNTIF(Control_Register!$A$5:$A$204,C26)=0,"CTRL-ID not in register","OK"))))</f>
        <v/>
      </c>
    </row>
    <row r="27" customFormat="false" ht="15" hidden="false" customHeight="false" outlineLevel="0" collapsed="false">
      <c r="A27" s="15"/>
      <c r="B27" s="15"/>
      <c r="C27" s="15"/>
      <c r="D27" s="15"/>
      <c r="E27" s="15"/>
      <c r="F27" s="16" t="str">
        <f aca="false">IFERROR(INDEX(Ref_RISK!$B$2:$B$201,MATCH(B27,Ref_RISK!$A$2:$A$201,0)),"")</f>
        <v/>
      </c>
      <c r="G27" s="16" t="str">
        <f aca="false">IFERROR(INDEX(Control_Register!$I$5:$I$204,MATCH(C27,Control_Register!$A$5:$A$204,0)),"")</f>
        <v/>
      </c>
      <c r="H27" s="16" t="str">
        <f aca="false">IF(A27="","",IF(OR(B27="",C27="",D27=""),"Risk, control and coverage needed",IF(COUNTIF(Ref_RISK!$A$2:$A$201,B27)=0,"RISK-ID not in W04",IF(COUNTIF(Control_Register!$A$5:$A$204,C27)=0,"CTRL-ID not in register","OK"))))</f>
        <v/>
      </c>
    </row>
    <row r="28" customFormat="false" ht="15" hidden="false" customHeight="false" outlineLevel="0" collapsed="false">
      <c r="A28" s="15"/>
      <c r="B28" s="15"/>
      <c r="C28" s="15"/>
      <c r="D28" s="15"/>
      <c r="E28" s="15"/>
      <c r="F28" s="16" t="str">
        <f aca="false">IFERROR(INDEX(Ref_RISK!$B$2:$B$201,MATCH(B28,Ref_RISK!$A$2:$A$201,0)),"")</f>
        <v/>
      </c>
      <c r="G28" s="16" t="str">
        <f aca="false">IFERROR(INDEX(Control_Register!$I$5:$I$204,MATCH(C28,Control_Register!$A$5:$A$204,0)),"")</f>
        <v/>
      </c>
      <c r="H28" s="16" t="str">
        <f aca="false">IF(A28="","",IF(OR(B28="",C28="",D28=""),"Risk, control and coverage needed",IF(COUNTIF(Ref_RISK!$A$2:$A$201,B28)=0,"RISK-ID not in W04",IF(COUNTIF(Control_Register!$A$5:$A$204,C28)=0,"CTRL-ID not in register","OK"))))</f>
        <v/>
      </c>
    </row>
    <row r="29" customFormat="false" ht="15" hidden="false" customHeight="false" outlineLevel="0" collapsed="false">
      <c r="A29" s="15"/>
      <c r="B29" s="15"/>
      <c r="C29" s="15"/>
      <c r="D29" s="15"/>
      <c r="E29" s="15"/>
      <c r="F29" s="16" t="str">
        <f aca="false">IFERROR(INDEX(Ref_RISK!$B$2:$B$201,MATCH(B29,Ref_RISK!$A$2:$A$201,0)),"")</f>
        <v/>
      </c>
      <c r="G29" s="16" t="str">
        <f aca="false">IFERROR(INDEX(Control_Register!$I$5:$I$204,MATCH(C29,Control_Register!$A$5:$A$204,0)),"")</f>
        <v/>
      </c>
      <c r="H29" s="16" t="str">
        <f aca="false">IF(A29="","",IF(OR(B29="",C29="",D29=""),"Risk, control and coverage needed",IF(COUNTIF(Ref_RISK!$A$2:$A$201,B29)=0,"RISK-ID not in W04",IF(COUNTIF(Control_Register!$A$5:$A$204,C29)=0,"CTRL-ID not in register","OK"))))</f>
        <v/>
      </c>
    </row>
    <row r="30" customFormat="false" ht="15" hidden="false" customHeight="false" outlineLevel="0" collapsed="false">
      <c r="A30" s="15"/>
      <c r="B30" s="15"/>
      <c r="C30" s="15"/>
      <c r="D30" s="15"/>
      <c r="E30" s="15"/>
      <c r="F30" s="16" t="str">
        <f aca="false">IFERROR(INDEX(Ref_RISK!$B$2:$B$201,MATCH(B30,Ref_RISK!$A$2:$A$201,0)),"")</f>
        <v/>
      </c>
      <c r="G30" s="16" t="str">
        <f aca="false">IFERROR(INDEX(Control_Register!$I$5:$I$204,MATCH(C30,Control_Register!$A$5:$A$204,0)),"")</f>
        <v/>
      </c>
      <c r="H30" s="16" t="str">
        <f aca="false">IF(A30="","",IF(OR(B30="",C30="",D30=""),"Risk, control and coverage needed",IF(COUNTIF(Ref_RISK!$A$2:$A$201,B30)=0,"RISK-ID not in W04",IF(COUNTIF(Control_Register!$A$5:$A$204,C30)=0,"CTRL-ID not in register","OK"))))</f>
        <v/>
      </c>
    </row>
    <row r="31" customFormat="false" ht="15" hidden="false" customHeight="false" outlineLevel="0" collapsed="false">
      <c r="A31" s="15"/>
      <c r="B31" s="15"/>
      <c r="C31" s="15"/>
      <c r="D31" s="15"/>
      <c r="E31" s="15"/>
      <c r="F31" s="16" t="str">
        <f aca="false">IFERROR(INDEX(Ref_RISK!$B$2:$B$201,MATCH(B31,Ref_RISK!$A$2:$A$201,0)),"")</f>
        <v/>
      </c>
      <c r="G31" s="16" t="str">
        <f aca="false">IFERROR(INDEX(Control_Register!$I$5:$I$204,MATCH(C31,Control_Register!$A$5:$A$204,0)),"")</f>
        <v/>
      </c>
      <c r="H31" s="16" t="str">
        <f aca="false">IF(A31="","",IF(OR(B31="",C31="",D31=""),"Risk, control and coverage needed",IF(COUNTIF(Ref_RISK!$A$2:$A$201,B31)=0,"RISK-ID not in W04",IF(COUNTIF(Control_Register!$A$5:$A$204,C31)=0,"CTRL-ID not in register","OK"))))</f>
        <v/>
      </c>
    </row>
    <row r="32" customFormat="false" ht="15" hidden="false" customHeight="false" outlineLevel="0" collapsed="false">
      <c r="A32" s="15"/>
      <c r="B32" s="15"/>
      <c r="C32" s="15"/>
      <c r="D32" s="15"/>
      <c r="E32" s="15"/>
      <c r="F32" s="16" t="str">
        <f aca="false">IFERROR(INDEX(Ref_RISK!$B$2:$B$201,MATCH(B32,Ref_RISK!$A$2:$A$201,0)),"")</f>
        <v/>
      </c>
      <c r="G32" s="16" t="str">
        <f aca="false">IFERROR(INDEX(Control_Register!$I$5:$I$204,MATCH(C32,Control_Register!$A$5:$A$204,0)),"")</f>
        <v/>
      </c>
      <c r="H32" s="16" t="str">
        <f aca="false">IF(A32="","",IF(OR(B32="",C32="",D32=""),"Risk, control and coverage needed",IF(COUNTIF(Ref_RISK!$A$2:$A$201,B32)=0,"RISK-ID not in W04",IF(COUNTIF(Control_Register!$A$5:$A$204,C32)=0,"CTRL-ID not in register","OK"))))</f>
        <v/>
      </c>
    </row>
    <row r="33" customFormat="false" ht="15" hidden="false" customHeight="false" outlineLevel="0" collapsed="false">
      <c r="A33" s="15"/>
      <c r="B33" s="15"/>
      <c r="C33" s="15"/>
      <c r="D33" s="15"/>
      <c r="E33" s="15"/>
      <c r="F33" s="16" t="str">
        <f aca="false">IFERROR(INDEX(Ref_RISK!$B$2:$B$201,MATCH(B33,Ref_RISK!$A$2:$A$201,0)),"")</f>
        <v/>
      </c>
      <c r="G33" s="16" t="str">
        <f aca="false">IFERROR(INDEX(Control_Register!$I$5:$I$204,MATCH(C33,Control_Register!$A$5:$A$204,0)),"")</f>
        <v/>
      </c>
      <c r="H33" s="16" t="str">
        <f aca="false">IF(A33="","",IF(OR(B33="",C33="",D33=""),"Risk, control and coverage needed",IF(COUNTIF(Ref_RISK!$A$2:$A$201,B33)=0,"RISK-ID not in W04",IF(COUNTIF(Control_Register!$A$5:$A$204,C33)=0,"CTRL-ID not in register","OK"))))</f>
        <v/>
      </c>
    </row>
    <row r="34" customFormat="false" ht="15" hidden="false" customHeight="false" outlineLevel="0" collapsed="false">
      <c r="A34" s="15"/>
      <c r="B34" s="15"/>
      <c r="C34" s="15"/>
      <c r="D34" s="15"/>
      <c r="E34" s="15"/>
      <c r="F34" s="16" t="str">
        <f aca="false">IFERROR(INDEX(Ref_RISK!$B$2:$B$201,MATCH(B34,Ref_RISK!$A$2:$A$201,0)),"")</f>
        <v/>
      </c>
      <c r="G34" s="16" t="str">
        <f aca="false">IFERROR(INDEX(Control_Register!$I$5:$I$204,MATCH(C34,Control_Register!$A$5:$A$204,0)),"")</f>
        <v/>
      </c>
      <c r="H34" s="16" t="str">
        <f aca="false">IF(A34="","",IF(OR(B34="",C34="",D34=""),"Risk, control and coverage needed",IF(COUNTIF(Ref_RISK!$A$2:$A$201,B34)=0,"RISK-ID not in W04",IF(COUNTIF(Control_Register!$A$5:$A$204,C34)=0,"CTRL-ID not in register","OK"))))</f>
        <v/>
      </c>
    </row>
    <row r="35" customFormat="false" ht="15" hidden="false" customHeight="false" outlineLevel="0" collapsed="false">
      <c r="A35" s="15"/>
      <c r="B35" s="15"/>
      <c r="C35" s="15"/>
      <c r="D35" s="15"/>
      <c r="E35" s="15"/>
      <c r="F35" s="16" t="str">
        <f aca="false">IFERROR(INDEX(Ref_RISK!$B$2:$B$201,MATCH(B35,Ref_RISK!$A$2:$A$201,0)),"")</f>
        <v/>
      </c>
      <c r="G35" s="16" t="str">
        <f aca="false">IFERROR(INDEX(Control_Register!$I$5:$I$204,MATCH(C35,Control_Register!$A$5:$A$204,0)),"")</f>
        <v/>
      </c>
      <c r="H35" s="16" t="str">
        <f aca="false">IF(A35="","",IF(OR(B35="",C35="",D35=""),"Risk, control and coverage needed",IF(COUNTIF(Ref_RISK!$A$2:$A$201,B35)=0,"RISK-ID not in W04",IF(COUNTIF(Control_Register!$A$5:$A$204,C35)=0,"CTRL-ID not in register","OK"))))</f>
        <v/>
      </c>
    </row>
    <row r="36" customFormat="false" ht="15" hidden="false" customHeight="false" outlineLevel="0" collapsed="false">
      <c r="A36" s="15"/>
      <c r="B36" s="15"/>
      <c r="C36" s="15"/>
      <c r="D36" s="15"/>
      <c r="E36" s="15"/>
      <c r="F36" s="16" t="str">
        <f aca="false">IFERROR(INDEX(Ref_RISK!$B$2:$B$201,MATCH(B36,Ref_RISK!$A$2:$A$201,0)),"")</f>
        <v/>
      </c>
      <c r="G36" s="16" t="str">
        <f aca="false">IFERROR(INDEX(Control_Register!$I$5:$I$204,MATCH(C36,Control_Register!$A$5:$A$204,0)),"")</f>
        <v/>
      </c>
      <c r="H36" s="16" t="str">
        <f aca="false">IF(A36="","",IF(OR(B36="",C36="",D36=""),"Risk, control and coverage needed",IF(COUNTIF(Ref_RISK!$A$2:$A$201,B36)=0,"RISK-ID not in W04",IF(COUNTIF(Control_Register!$A$5:$A$204,C36)=0,"CTRL-ID not in register","OK"))))</f>
        <v/>
      </c>
    </row>
    <row r="37" customFormat="false" ht="15" hidden="false" customHeight="false" outlineLevel="0" collapsed="false">
      <c r="A37" s="15"/>
      <c r="B37" s="15"/>
      <c r="C37" s="15"/>
      <c r="D37" s="15"/>
      <c r="E37" s="15"/>
      <c r="F37" s="16" t="str">
        <f aca="false">IFERROR(INDEX(Ref_RISK!$B$2:$B$201,MATCH(B37,Ref_RISK!$A$2:$A$201,0)),"")</f>
        <v/>
      </c>
      <c r="G37" s="16" t="str">
        <f aca="false">IFERROR(INDEX(Control_Register!$I$5:$I$204,MATCH(C37,Control_Register!$A$5:$A$204,0)),"")</f>
        <v/>
      </c>
      <c r="H37" s="16" t="str">
        <f aca="false">IF(A37="","",IF(OR(B37="",C37="",D37=""),"Risk, control and coverage needed",IF(COUNTIF(Ref_RISK!$A$2:$A$201,B37)=0,"RISK-ID not in W04",IF(COUNTIF(Control_Register!$A$5:$A$204,C37)=0,"CTRL-ID not in register","OK"))))</f>
        <v/>
      </c>
    </row>
    <row r="38" customFormat="false" ht="15" hidden="false" customHeight="false" outlineLevel="0" collapsed="false">
      <c r="A38" s="15"/>
      <c r="B38" s="15"/>
      <c r="C38" s="15"/>
      <c r="D38" s="15"/>
      <c r="E38" s="15"/>
      <c r="F38" s="16" t="str">
        <f aca="false">IFERROR(INDEX(Ref_RISK!$B$2:$B$201,MATCH(B38,Ref_RISK!$A$2:$A$201,0)),"")</f>
        <v/>
      </c>
      <c r="G38" s="16" t="str">
        <f aca="false">IFERROR(INDEX(Control_Register!$I$5:$I$204,MATCH(C38,Control_Register!$A$5:$A$204,0)),"")</f>
        <v/>
      </c>
      <c r="H38" s="16" t="str">
        <f aca="false">IF(A38="","",IF(OR(B38="",C38="",D38=""),"Risk, control and coverage needed",IF(COUNTIF(Ref_RISK!$A$2:$A$201,B38)=0,"RISK-ID not in W04",IF(COUNTIF(Control_Register!$A$5:$A$204,C38)=0,"CTRL-ID not in register","OK"))))</f>
        <v/>
      </c>
    </row>
    <row r="39" customFormat="false" ht="15" hidden="false" customHeight="false" outlineLevel="0" collapsed="false">
      <c r="A39" s="15"/>
      <c r="B39" s="15"/>
      <c r="C39" s="15"/>
      <c r="D39" s="15"/>
      <c r="E39" s="15"/>
      <c r="F39" s="16" t="str">
        <f aca="false">IFERROR(INDEX(Ref_RISK!$B$2:$B$201,MATCH(B39,Ref_RISK!$A$2:$A$201,0)),"")</f>
        <v/>
      </c>
      <c r="G39" s="16" t="str">
        <f aca="false">IFERROR(INDEX(Control_Register!$I$5:$I$204,MATCH(C39,Control_Register!$A$5:$A$204,0)),"")</f>
        <v/>
      </c>
      <c r="H39" s="16" t="str">
        <f aca="false">IF(A39="","",IF(OR(B39="",C39="",D39=""),"Risk, control and coverage needed",IF(COUNTIF(Ref_RISK!$A$2:$A$201,B39)=0,"RISK-ID not in W04",IF(COUNTIF(Control_Register!$A$5:$A$204,C39)=0,"CTRL-ID not in register","OK"))))</f>
        <v/>
      </c>
    </row>
    <row r="40" customFormat="false" ht="15" hidden="false" customHeight="false" outlineLevel="0" collapsed="false">
      <c r="A40" s="15"/>
      <c r="B40" s="15"/>
      <c r="C40" s="15"/>
      <c r="D40" s="15"/>
      <c r="E40" s="15"/>
      <c r="F40" s="16" t="str">
        <f aca="false">IFERROR(INDEX(Ref_RISK!$B$2:$B$201,MATCH(B40,Ref_RISK!$A$2:$A$201,0)),"")</f>
        <v/>
      </c>
      <c r="G40" s="16" t="str">
        <f aca="false">IFERROR(INDEX(Control_Register!$I$5:$I$204,MATCH(C40,Control_Register!$A$5:$A$204,0)),"")</f>
        <v/>
      </c>
      <c r="H40" s="16" t="str">
        <f aca="false">IF(A40="","",IF(OR(B40="",C40="",D40=""),"Risk, control and coverage needed",IF(COUNTIF(Ref_RISK!$A$2:$A$201,B40)=0,"RISK-ID not in W04",IF(COUNTIF(Control_Register!$A$5:$A$204,C40)=0,"CTRL-ID not in register","OK"))))</f>
        <v/>
      </c>
    </row>
    <row r="41" customFormat="false" ht="15" hidden="false" customHeight="false" outlineLevel="0" collapsed="false">
      <c r="A41" s="15"/>
      <c r="B41" s="15"/>
      <c r="C41" s="15"/>
      <c r="D41" s="15"/>
      <c r="E41" s="15"/>
      <c r="F41" s="16" t="str">
        <f aca="false">IFERROR(INDEX(Ref_RISK!$B$2:$B$201,MATCH(B41,Ref_RISK!$A$2:$A$201,0)),"")</f>
        <v/>
      </c>
      <c r="G41" s="16" t="str">
        <f aca="false">IFERROR(INDEX(Control_Register!$I$5:$I$204,MATCH(C41,Control_Register!$A$5:$A$204,0)),"")</f>
        <v/>
      </c>
      <c r="H41" s="16" t="str">
        <f aca="false">IF(A41="","",IF(OR(B41="",C41="",D41=""),"Risk, control and coverage needed",IF(COUNTIF(Ref_RISK!$A$2:$A$201,B41)=0,"RISK-ID not in W04",IF(COUNTIF(Control_Register!$A$5:$A$204,C41)=0,"CTRL-ID not in register","OK"))))</f>
        <v/>
      </c>
    </row>
    <row r="42" customFormat="false" ht="15" hidden="false" customHeight="false" outlineLevel="0" collapsed="false">
      <c r="A42" s="15"/>
      <c r="B42" s="15"/>
      <c r="C42" s="15"/>
      <c r="D42" s="15"/>
      <c r="E42" s="15"/>
      <c r="F42" s="16" t="str">
        <f aca="false">IFERROR(INDEX(Ref_RISK!$B$2:$B$201,MATCH(B42,Ref_RISK!$A$2:$A$201,0)),"")</f>
        <v/>
      </c>
      <c r="G42" s="16" t="str">
        <f aca="false">IFERROR(INDEX(Control_Register!$I$5:$I$204,MATCH(C42,Control_Register!$A$5:$A$204,0)),"")</f>
        <v/>
      </c>
      <c r="H42" s="16" t="str">
        <f aca="false">IF(A42="","",IF(OR(B42="",C42="",D42=""),"Risk, control and coverage needed",IF(COUNTIF(Ref_RISK!$A$2:$A$201,B42)=0,"RISK-ID not in W04",IF(COUNTIF(Control_Register!$A$5:$A$204,C42)=0,"CTRL-ID not in register","OK"))))</f>
        <v/>
      </c>
    </row>
    <row r="43" customFormat="false" ht="15" hidden="false" customHeight="false" outlineLevel="0" collapsed="false">
      <c r="A43" s="15"/>
      <c r="B43" s="15"/>
      <c r="C43" s="15"/>
      <c r="D43" s="15"/>
      <c r="E43" s="15"/>
      <c r="F43" s="16" t="str">
        <f aca="false">IFERROR(INDEX(Ref_RISK!$B$2:$B$201,MATCH(B43,Ref_RISK!$A$2:$A$201,0)),"")</f>
        <v/>
      </c>
      <c r="G43" s="16" t="str">
        <f aca="false">IFERROR(INDEX(Control_Register!$I$5:$I$204,MATCH(C43,Control_Register!$A$5:$A$204,0)),"")</f>
        <v/>
      </c>
      <c r="H43" s="16" t="str">
        <f aca="false">IF(A43="","",IF(OR(B43="",C43="",D43=""),"Risk, control and coverage needed",IF(COUNTIF(Ref_RISK!$A$2:$A$201,B43)=0,"RISK-ID not in W04",IF(COUNTIF(Control_Register!$A$5:$A$204,C43)=0,"CTRL-ID not in register","OK"))))</f>
        <v/>
      </c>
    </row>
    <row r="44" customFormat="false" ht="15" hidden="false" customHeight="false" outlineLevel="0" collapsed="false">
      <c r="A44" s="15"/>
      <c r="B44" s="15"/>
      <c r="C44" s="15"/>
      <c r="D44" s="15"/>
      <c r="E44" s="15"/>
      <c r="F44" s="16" t="str">
        <f aca="false">IFERROR(INDEX(Ref_RISK!$B$2:$B$201,MATCH(B44,Ref_RISK!$A$2:$A$201,0)),"")</f>
        <v/>
      </c>
      <c r="G44" s="16" t="str">
        <f aca="false">IFERROR(INDEX(Control_Register!$I$5:$I$204,MATCH(C44,Control_Register!$A$5:$A$204,0)),"")</f>
        <v/>
      </c>
      <c r="H44" s="16" t="str">
        <f aca="false">IF(A44="","",IF(OR(B44="",C44="",D44=""),"Risk, control and coverage needed",IF(COUNTIF(Ref_RISK!$A$2:$A$201,B44)=0,"RISK-ID not in W04",IF(COUNTIF(Control_Register!$A$5:$A$204,C44)=0,"CTRL-ID not in register","OK"))))</f>
        <v/>
      </c>
    </row>
    <row r="45" customFormat="false" ht="15" hidden="false" customHeight="false" outlineLevel="0" collapsed="false">
      <c r="A45" s="15"/>
      <c r="B45" s="15"/>
      <c r="C45" s="15"/>
      <c r="D45" s="15"/>
      <c r="E45" s="15"/>
      <c r="F45" s="16" t="str">
        <f aca="false">IFERROR(INDEX(Ref_RISK!$B$2:$B$201,MATCH(B45,Ref_RISK!$A$2:$A$201,0)),"")</f>
        <v/>
      </c>
      <c r="G45" s="16" t="str">
        <f aca="false">IFERROR(INDEX(Control_Register!$I$5:$I$204,MATCH(C45,Control_Register!$A$5:$A$204,0)),"")</f>
        <v/>
      </c>
      <c r="H45" s="16" t="str">
        <f aca="false">IF(A45="","",IF(OR(B45="",C45="",D45=""),"Risk, control and coverage needed",IF(COUNTIF(Ref_RISK!$A$2:$A$201,B45)=0,"RISK-ID not in W04",IF(COUNTIF(Control_Register!$A$5:$A$204,C45)=0,"CTRL-ID not in register","OK"))))</f>
        <v/>
      </c>
    </row>
    <row r="46" customFormat="false" ht="15" hidden="false" customHeight="false" outlineLevel="0" collapsed="false">
      <c r="A46" s="15"/>
      <c r="B46" s="15"/>
      <c r="C46" s="15"/>
      <c r="D46" s="15"/>
      <c r="E46" s="15"/>
      <c r="F46" s="16" t="str">
        <f aca="false">IFERROR(INDEX(Ref_RISK!$B$2:$B$201,MATCH(B46,Ref_RISK!$A$2:$A$201,0)),"")</f>
        <v/>
      </c>
      <c r="G46" s="16" t="str">
        <f aca="false">IFERROR(INDEX(Control_Register!$I$5:$I$204,MATCH(C46,Control_Register!$A$5:$A$204,0)),"")</f>
        <v/>
      </c>
      <c r="H46" s="16" t="str">
        <f aca="false">IF(A46="","",IF(OR(B46="",C46="",D46=""),"Risk, control and coverage needed",IF(COUNTIF(Ref_RISK!$A$2:$A$201,B46)=0,"RISK-ID not in W04",IF(COUNTIF(Control_Register!$A$5:$A$204,C46)=0,"CTRL-ID not in register","OK"))))</f>
        <v/>
      </c>
    </row>
    <row r="47" customFormat="false" ht="15" hidden="false" customHeight="false" outlineLevel="0" collapsed="false">
      <c r="A47" s="15"/>
      <c r="B47" s="15"/>
      <c r="C47" s="15"/>
      <c r="D47" s="15"/>
      <c r="E47" s="15"/>
      <c r="F47" s="16" t="str">
        <f aca="false">IFERROR(INDEX(Ref_RISK!$B$2:$B$201,MATCH(B47,Ref_RISK!$A$2:$A$201,0)),"")</f>
        <v/>
      </c>
      <c r="G47" s="16" t="str">
        <f aca="false">IFERROR(INDEX(Control_Register!$I$5:$I$204,MATCH(C47,Control_Register!$A$5:$A$204,0)),"")</f>
        <v/>
      </c>
      <c r="H47" s="16" t="str">
        <f aca="false">IF(A47="","",IF(OR(B47="",C47="",D47=""),"Risk, control and coverage needed",IF(COUNTIF(Ref_RISK!$A$2:$A$201,B47)=0,"RISK-ID not in W04",IF(COUNTIF(Control_Register!$A$5:$A$204,C47)=0,"CTRL-ID not in register","OK"))))</f>
        <v/>
      </c>
    </row>
    <row r="48" customFormat="false" ht="15" hidden="false" customHeight="false" outlineLevel="0" collapsed="false">
      <c r="A48" s="15"/>
      <c r="B48" s="15"/>
      <c r="C48" s="15"/>
      <c r="D48" s="15"/>
      <c r="E48" s="15"/>
      <c r="F48" s="16" t="str">
        <f aca="false">IFERROR(INDEX(Ref_RISK!$B$2:$B$201,MATCH(B48,Ref_RISK!$A$2:$A$201,0)),"")</f>
        <v/>
      </c>
      <c r="G48" s="16" t="str">
        <f aca="false">IFERROR(INDEX(Control_Register!$I$5:$I$204,MATCH(C48,Control_Register!$A$5:$A$204,0)),"")</f>
        <v/>
      </c>
      <c r="H48" s="16" t="str">
        <f aca="false">IF(A48="","",IF(OR(B48="",C48="",D48=""),"Risk, control and coverage needed",IF(COUNTIF(Ref_RISK!$A$2:$A$201,B48)=0,"RISK-ID not in W04",IF(COUNTIF(Control_Register!$A$5:$A$204,C48)=0,"CTRL-ID not in register","OK"))))</f>
        <v/>
      </c>
    </row>
    <row r="49" customFormat="false" ht="15" hidden="false" customHeight="false" outlineLevel="0" collapsed="false">
      <c r="A49" s="15"/>
      <c r="B49" s="15"/>
      <c r="C49" s="15"/>
      <c r="D49" s="15"/>
      <c r="E49" s="15"/>
      <c r="F49" s="16" t="str">
        <f aca="false">IFERROR(INDEX(Ref_RISK!$B$2:$B$201,MATCH(B49,Ref_RISK!$A$2:$A$201,0)),"")</f>
        <v/>
      </c>
      <c r="G49" s="16" t="str">
        <f aca="false">IFERROR(INDEX(Control_Register!$I$5:$I$204,MATCH(C49,Control_Register!$A$5:$A$204,0)),"")</f>
        <v/>
      </c>
      <c r="H49" s="16" t="str">
        <f aca="false">IF(A49="","",IF(OR(B49="",C49="",D49=""),"Risk, control and coverage needed",IF(COUNTIF(Ref_RISK!$A$2:$A$201,B49)=0,"RISK-ID not in W04",IF(COUNTIF(Control_Register!$A$5:$A$204,C49)=0,"CTRL-ID not in register","OK"))))</f>
        <v/>
      </c>
    </row>
    <row r="50" customFormat="false" ht="15" hidden="false" customHeight="false" outlineLevel="0" collapsed="false">
      <c r="A50" s="15"/>
      <c r="B50" s="15"/>
      <c r="C50" s="15"/>
      <c r="D50" s="15"/>
      <c r="E50" s="15"/>
      <c r="F50" s="16" t="str">
        <f aca="false">IFERROR(INDEX(Ref_RISK!$B$2:$B$201,MATCH(B50,Ref_RISK!$A$2:$A$201,0)),"")</f>
        <v/>
      </c>
      <c r="G50" s="16" t="str">
        <f aca="false">IFERROR(INDEX(Control_Register!$I$5:$I$204,MATCH(C50,Control_Register!$A$5:$A$204,0)),"")</f>
        <v/>
      </c>
      <c r="H50" s="16" t="str">
        <f aca="false">IF(A50="","",IF(OR(B50="",C50="",D50=""),"Risk, control and coverage needed",IF(COUNTIF(Ref_RISK!$A$2:$A$201,B50)=0,"RISK-ID not in W04",IF(COUNTIF(Control_Register!$A$5:$A$204,C50)=0,"CTRL-ID not in register","OK"))))</f>
        <v/>
      </c>
    </row>
    <row r="51" customFormat="false" ht="15" hidden="false" customHeight="false" outlineLevel="0" collapsed="false">
      <c r="A51" s="15"/>
      <c r="B51" s="15"/>
      <c r="C51" s="15"/>
      <c r="D51" s="15"/>
      <c r="E51" s="15"/>
      <c r="F51" s="16" t="str">
        <f aca="false">IFERROR(INDEX(Ref_RISK!$B$2:$B$201,MATCH(B51,Ref_RISK!$A$2:$A$201,0)),"")</f>
        <v/>
      </c>
      <c r="G51" s="16" t="str">
        <f aca="false">IFERROR(INDEX(Control_Register!$I$5:$I$204,MATCH(C51,Control_Register!$A$5:$A$204,0)),"")</f>
        <v/>
      </c>
      <c r="H51" s="16" t="str">
        <f aca="false">IF(A51="","",IF(OR(B51="",C51="",D51=""),"Risk, control and coverage needed",IF(COUNTIF(Ref_RISK!$A$2:$A$201,B51)=0,"RISK-ID not in W04",IF(COUNTIF(Control_Register!$A$5:$A$204,C51)=0,"CTRL-ID not in register","OK"))))</f>
        <v/>
      </c>
    </row>
    <row r="52" customFormat="false" ht="15" hidden="false" customHeight="false" outlineLevel="0" collapsed="false">
      <c r="A52" s="15"/>
      <c r="B52" s="15"/>
      <c r="C52" s="15"/>
      <c r="D52" s="15"/>
      <c r="E52" s="15"/>
      <c r="F52" s="16" t="str">
        <f aca="false">IFERROR(INDEX(Ref_RISK!$B$2:$B$201,MATCH(B52,Ref_RISK!$A$2:$A$201,0)),"")</f>
        <v/>
      </c>
      <c r="G52" s="16" t="str">
        <f aca="false">IFERROR(INDEX(Control_Register!$I$5:$I$204,MATCH(C52,Control_Register!$A$5:$A$204,0)),"")</f>
        <v/>
      </c>
      <c r="H52" s="16" t="str">
        <f aca="false">IF(A52="","",IF(OR(B52="",C52="",D52=""),"Risk, control and coverage needed",IF(COUNTIF(Ref_RISK!$A$2:$A$201,B52)=0,"RISK-ID not in W04",IF(COUNTIF(Control_Register!$A$5:$A$204,C52)=0,"CTRL-ID not in register","OK"))))</f>
        <v/>
      </c>
    </row>
    <row r="53" customFormat="false" ht="15" hidden="false" customHeight="false" outlineLevel="0" collapsed="false">
      <c r="A53" s="15"/>
      <c r="B53" s="15"/>
      <c r="C53" s="15"/>
      <c r="D53" s="15"/>
      <c r="E53" s="15"/>
      <c r="F53" s="16" t="str">
        <f aca="false">IFERROR(INDEX(Ref_RISK!$B$2:$B$201,MATCH(B53,Ref_RISK!$A$2:$A$201,0)),"")</f>
        <v/>
      </c>
      <c r="G53" s="16" t="str">
        <f aca="false">IFERROR(INDEX(Control_Register!$I$5:$I$204,MATCH(C53,Control_Register!$A$5:$A$204,0)),"")</f>
        <v/>
      </c>
      <c r="H53" s="16" t="str">
        <f aca="false">IF(A53="","",IF(OR(B53="",C53="",D53=""),"Risk, control and coverage needed",IF(COUNTIF(Ref_RISK!$A$2:$A$201,B53)=0,"RISK-ID not in W04",IF(COUNTIF(Control_Register!$A$5:$A$204,C53)=0,"CTRL-ID not in register","OK"))))</f>
        <v/>
      </c>
    </row>
    <row r="54" customFormat="false" ht="15" hidden="false" customHeight="false" outlineLevel="0" collapsed="false">
      <c r="A54" s="15"/>
      <c r="B54" s="15"/>
      <c r="C54" s="15"/>
      <c r="D54" s="15"/>
      <c r="E54" s="15"/>
      <c r="F54" s="16" t="str">
        <f aca="false">IFERROR(INDEX(Ref_RISK!$B$2:$B$201,MATCH(B54,Ref_RISK!$A$2:$A$201,0)),"")</f>
        <v/>
      </c>
      <c r="G54" s="16" t="str">
        <f aca="false">IFERROR(INDEX(Control_Register!$I$5:$I$204,MATCH(C54,Control_Register!$A$5:$A$204,0)),"")</f>
        <v/>
      </c>
      <c r="H54" s="16" t="str">
        <f aca="false">IF(A54="","",IF(OR(B54="",C54="",D54=""),"Risk, control and coverage needed",IF(COUNTIF(Ref_RISK!$A$2:$A$201,B54)=0,"RISK-ID not in W04",IF(COUNTIF(Control_Register!$A$5:$A$204,C54)=0,"CTRL-ID not in register","OK"))))</f>
        <v/>
      </c>
    </row>
    <row r="55" customFormat="false" ht="15" hidden="false" customHeight="false" outlineLevel="0" collapsed="false">
      <c r="A55" s="15"/>
      <c r="B55" s="15"/>
      <c r="C55" s="15"/>
      <c r="D55" s="15"/>
      <c r="E55" s="15"/>
      <c r="F55" s="16" t="str">
        <f aca="false">IFERROR(INDEX(Ref_RISK!$B$2:$B$201,MATCH(B55,Ref_RISK!$A$2:$A$201,0)),"")</f>
        <v/>
      </c>
      <c r="G55" s="16" t="str">
        <f aca="false">IFERROR(INDEX(Control_Register!$I$5:$I$204,MATCH(C55,Control_Register!$A$5:$A$204,0)),"")</f>
        <v/>
      </c>
      <c r="H55" s="16" t="str">
        <f aca="false">IF(A55="","",IF(OR(B55="",C55="",D55=""),"Risk, control and coverage needed",IF(COUNTIF(Ref_RISK!$A$2:$A$201,B55)=0,"RISK-ID not in W04",IF(COUNTIF(Control_Register!$A$5:$A$204,C55)=0,"CTRL-ID not in register","OK"))))</f>
        <v/>
      </c>
    </row>
    <row r="56" customFormat="false" ht="15" hidden="false" customHeight="false" outlineLevel="0" collapsed="false">
      <c r="A56" s="15"/>
      <c r="B56" s="15"/>
      <c r="C56" s="15"/>
      <c r="D56" s="15"/>
      <c r="E56" s="15"/>
      <c r="F56" s="16" t="str">
        <f aca="false">IFERROR(INDEX(Ref_RISK!$B$2:$B$201,MATCH(B56,Ref_RISK!$A$2:$A$201,0)),"")</f>
        <v/>
      </c>
      <c r="G56" s="16" t="str">
        <f aca="false">IFERROR(INDEX(Control_Register!$I$5:$I$204,MATCH(C56,Control_Register!$A$5:$A$204,0)),"")</f>
        <v/>
      </c>
      <c r="H56" s="16" t="str">
        <f aca="false">IF(A56="","",IF(OR(B56="",C56="",D56=""),"Risk, control and coverage needed",IF(COUNTIF(Ref_RISK!$A$2:$A$201,B56)=0,"RISK-ID not in W04",IF(COUNTIF(Control_Register!$A$5:$A$204,C56)=0,"CTRL-ID not in register","OK"))))</f>
        <v/>
      </c>
    </row>
    <row r="57" customFormat="false" ht="15" hidden="false" customHeight="false" outlineLevel="0" collapsed="false">
      <c r="A57" s="15"/>
      <c r="B57" s="15"/>
      <c r="C57" s="15"/>
      <c r="D57" s="15"/>
      <c r="E57" s="15"/>
      <c r="F57" s="16" t="str">
        <f aca="false">IFERROR(INDEX(Ref_RISK!$B$2:$B$201,MATCH(B57,Ref_RISK!$A$2:$A$201,0)),"")</f>
        <v/>
      </c>
      <c r="G57" s="16" t="str">
        <f aca="false">IFERROR(INDEX(Control_Register!$I$5:$I$204,MATCH(C57,Control_Register!$A$5:$A$204,0)),"")</f>
        <v/>
      </c>
      <c r="H57" s="16" t="str">
        <f aca="false">IF(A57="","",IF(OR(B57="",C57="",D57=""),"Risk, control and coverage needed",IF(COUNTIF(Ref_RISK!$A$2:$A$201,B57)=0,"RISK-ID not in W04",IF(COUNTIF(Control_Register!$A$5:$A$204,C57)=0,"CTRL-ID not in register","OK"))))</f>
        <v/>
      </c>
    </row>
    <row r="58" customFormat="false" ht="15" hidden="false" customHeight="false" outlineLevel="0" collapsed="false">
      <c r="A58" s="15"/>
      <c r="B58" s="15"/>
      <c r="C58" s="15"/>
      <c r="D58" s="15"/>
      <c r="E58" s="15"/>
      <c r="F58" s="16" t="str">
        <f aca="false">IFERROR(INDEX(Ref_RISK!$B$2:$B$201,MATCH(B58,Ref_RISK!$A$2:$A$201,0)),"")</f>
        <v/>
      </c>
      <c r="G58" s="16" t="str">
        <f aca="false">IFERROR(INDEX(Control_Register!$I$5:$I$204,MATCH(C58,Control_Register!$A$5:$A$204,0)),"")</f>
        <v/>
      </c>
      <c r="H58" s="16" t="str">
        <f aca="false">IF(A58="","",IF(OR(B58="",C58="",D58=""),"Risk, control and coverage needed",IF(COUNTIF(Ref_RISK!$A$2:$A$201,B58)=0,"RISK-ID not in W04",IF(COUNTIF(Control_Register!$A$5:$A$204,C58)=0,"CTRL-ID not in register","OK"))))</f>
        <v/>
      </c>
    </row>
    <row r="59" customFormat="false" ht="15" hidden="false" customHeight="false" outlineLevel="0" collapsed="false">
      <c r="A59" s="15"/>
      <c r="B59" s="15"/>
      <c r="C59" s="15"/>
      <c r="D59" s="15"/>
      <c r="E59" s="15"/>
      <c r="F59" s="16" t="str">
        <f aca="false">IFERROR(INDEX(Ref_RISK!$B$2:$B$201,MATCH(B59,Ref_RISK!$A$2:$A$201,0)),"")</f>
        <v/>
      </c>
      <c r="G59" s="16" t="str">
        <f aca="false">IFERROR(INDEX(Control_Register!$I$5:$I$204,MATCH(C59,Control_Register!$A$5:$A$204,0)),"")</f>
        <v/>
      </c>
      <c r="H59" s="16" t="str">
        <f aca="false">IF(A59="","",IF(OR(B59="",C59="",D59=""),"Risk, control and coverage needed",IF(COUNTIF(Ref_RISK!$A$2:$A$201,B59)=0,"RISK-ID not in W04",IF(COUNTIF(Control_Register!$A$5:$A$204,C59)=0,"CTRL-ID not in register","OK"))))</f>
        <v/>
      </c>
    </row>
    <row r="60" customFormat="false" ht="15" hidden="false" customHeight="false" outlineLevel="0" collapsed="false">
      <c r="A60" s="15"/>
      <c r="B60" s="15"/>
      <c r="C60" s="15"/>
      <c r="D60" s="15"/>
      <c r="E60" s="15"/>
      <c r="F60" s="16" t="str">
        <f aca="false">IFERROR(INDEX(Ref_RISK!$B$2:$B$201,MATCH(B60,Ref_RISK!$A$2:$A$201,0)),"")</f>
        <v/>
      </c>
      <c r="G60" s="16" t="str">
        <f aca="false">IFERROR(INDEX(Control_Register!$I$5:$I$204,MATCH(C60,Control_Register!$A$5:$A$204,0)),"")</f>
        <v/>
      </c>
      <c r="H60" s="16" t="str">
        <f aca="false">IF(A60="","",IF(OR(B60="",C60="",D60=""),"Risk, control and coverage needed",IF(COUNTIF(Ref_RISK!$A$2:$A$201,B60)=0,"RISK-ID not in W04",IF(COUNTIF(Control_Register!$A$5:$A$204,C60)=0,"CTRL-ID not in register","OK"))))</f>
        <v/>
      </c>
    </row>
    <row r="61" customFormat="false" ht="15" hidden="false" customHeight="false" outlineLevel="0" collapsed="false">
      <c r="A61" s="15"/>
      <c r="B61" s="15"/>
      <c r="C61" s="15"/>
      <c r="D61" s="15"/>
      <c r="E61" s="15"/>
      <c r="F61" s="16" t="str">
        <f aca="false">IFERROR(INDEX(Ref_RISK!$B$2:$B$201,MATCH(B61,Ref_RISK!$A$2:$A$201,0)),"")</f>
        <v/>
      </c>
      <c r="G61" s="16" t="str">
        <f aca="false">IFERROR(INDEX(Control_Register!$I$5:$I$204,MATCH(C61,Control_Register!$A$5:$A$204,0)),"")</f>
        <v/>
      </c>
      <c r="H61" s="16" t="str">
        <f aca="false">IF(A61="","",IF(OR(B61="",C61="",D61=""),"Risk, control and coverage needed",IF(COUNTIF(Ref_RISK!$A$2:$A$201,B61)=0,"RISK-ID not in W04",IF(COUNTIF(Control_Register!$A$5:$A$204,C61)=0,"CTRL-ID not in register","OK"))))</f>
        <v/>
      </c>
    </row>
    <row r="62" customFormat="false" ht="15" hidden="false" customHeight="false" outlineLevel="0" collapsed="false">
      <c r="A62" s="15"/>
      <c r="B62" s="15"/>
      <c r="C62" s="15"/>
      <c r="D62" s="15"/>
      <c r="E62" s="15"/>
      <c r="F62" s="16" t="str">
        <f aca="false">IFERROR(INDEX(Ref_RISK!$B$2:$B$201,MATCH(B62,Ref_RISK!$A$2:$A$201,0)),"")</f>
        <v/>
      </c>
      <c r="G62" s="16" t="str">
        <f aca="false">IFERROR(INDEX(Control_Register!$I$5:$I$204,MATCH(C62,Control_Register!$A$5:$A$204,0)),"")</f>
        <v/>
      </c>
      <c r="H62" s="16" t="str">
        <f aca="false">IF(A62="","",IF(OR(B62="",C62="",D62=""),"Risk, control and coverage needed",IF(COUNTIF(Ref_RISK!$A$2:$A$201,B62)=0,"RISK-ID not in W04",IF(COUNTIF(Control_Register!$A$5:$A$204,C62)=0,"CTRL-ID not in register","OK"))))</f>
        <v/>
      </c>
    </row>
    <row r="63" customFormat="false" ht="15" hidden="false" customHeight="false" outlineLevel="0" collapsed="false">
      <c r="A63" s="15"/>
      <c r="B63" s="15"/>
      <c r="C63" s="15"/>
      <c r="D63" s="15"/>
      <c r="E63" s="15"/>
      <c r="F63" s="16" t="str">
        <f aca="false">IFERROR(INDEX(Ref_RISK!$B$2:$B$201,MATCH(B63,Ref_RISK!$A$2:$A$201,0)),"")</f>
        <v/>
      </c>
      <c r="G63" s="16" t="str">
        <f aca="false">IFERROR(INDEX(Control_Register!$I$5:$I$204,MATCH(C63,Control_Register!$A$5:$A$204,0)),"")</f>
        <v/>
      </c>
      <c r="H63" s="16" t="str">
        <f aca="false">IF(A63="","",IF(OR(B63="",C63="",D63=""),"Risk, control and coverage needed",IF(COUNTIF(Ref_RISK!$A$2:$A$201,B63)=0,"RISK-ID not in W04",IF(COUNTIF(Control_Register!$A$5:$A$204,C63)=0,"CTRL-ID not in register","OK"))))</f>
        <v/>
      </c>
    </row>
    <row r="64" customFormat="false" ht="15" hidden="false" customHeight="false" outlineLevel="0" collapsed="false">
      <c r="A64" s="15"/>
      <c r="B64" s="15"/>
      <c r="C64" s="15"/>
      <c r="D64" s="15"/>
      <c r="E64" s="15"/>
      <c r="F64" s="16" t="str">
        <f aca="false">IFERROR(INDEX(Ref_RISK!$B$2:$B$201,MATCH(B64,Ref_RISK!$A$2:$A$201,0)),"")</f>
        <v/>
      </c>
      <c r="G64" s="16" t="str">
        <f aca="false">IFERROR(INDEX(Control_Register!$I$5:$I$204,MATCH(C64,Control_Register!$A$5:$A$204,0)),"")</f>
        <v/>
      </c>
      <c r="H64" s="16" t="str">
        <f aca="false">IF(A64="","",IF(OR(B64="",C64="",D64=""),"Risk, control and coverage needed",IF(COUNTIF(Ref_RISK!$A$2:$A$201,B64)=0,"RISK-ID not in W04",IF(COUNTIF(Control_Register!$A$5:$A$204,C64)=0,"CTRL-ID not in register","OK"))))</f>
        <v/>
      </c>
    </row>
    <row r="65" customFormat="false" ht="15" hidden="false" customHeight="false" outlineLevel="0" collapsed="false">
      <c r="A65" s="15"/>
      <c r="B65" s="15"/>
      <c r="C65" s="15"/>
      <c r="D65" s="15"/>
      <c r="E65" s="15"/>
      <c r="F65" s="16" t="str">
        <f aca="false">IFERROR(INDEX(Ref_RISK!$B$2:$B$201,MATCH(B65,Ref_RISK!$A$2:$A$201,0)),"")</f>
        <v/>
      </c>
      <c r="G65" s="16" t="str">
        <f aca="false">IFERROR(INDEX(Control_Register!$I$5:$I$204,MATCH(C65,Control_Register!$A$5:$A$204,0)),"")</f>
        <v/>
      </c>
      <c r="H65" s="16" t="str">
        <f aca="false">IF(A65="","",IF(OR(B65="",C65="",D65=""),"Risk, control and coverage needed",IF(COUNTIF(Ref_RISK!$A$2:$A$201,B65)=0,"RISK-ID not in W04",IF(COUNTIF(Control_Register!$A$5:$A$204,C65)=0,"CTRL-ID not in register","OK"))))</f>
        <v/>
      </c>
    </row>
    <row r="66" customFormat="false" ht="15" hidden="false" customHeight="false" outlineLevel="0" collapsed="false">
      <c r="A66" s="15"/>
      <c r="B66" s="15"/>
      <c r="C66" s="15"/>
      <c r="D66" s="15"/>
      <c r="E66" s="15"/>
      <c r="F66" s="16" t="str">
        <f aca="false">IFERROR(INDEX(Ref_RISK!$B$2:$B$201,MATCH(B66,Ref_RISK!$A$2:$A$201,0)),"")</f>
        <v/>
      </c>
      <c r="G66" s="16" t="str">
        <f aca="false">IFERROR(INDEX(Control_Register!$I$5:$I$204,MATCH(C66,Control_Register!$A$5:$A$204,0)),"")</f>
        <v/>
      </c>
      <c r="H66" s="16" t="str">
        <f aca="false">IF(A66="","",IF(OR(B66="",C66="",D66=""),"Risk, control and coverage needed",IF(COUNTIF(Ref_RISK!$A$2:$A$201,B66)=0,"RISK-ID not in W04",IF(COUNTIF(Control_Register!$A$5:$A$204,C66)=0,"CTRL-ID not in register","OK"))))</f>
        <v/>
      </c>
    </row>
    <row r="67" customFormat="false" ht="15" hidden="false" customHeight="false" outlineLevel="0" collapsed="false">
      <c r="A67" s="15"/>
      <c r="B67" s="15"/>
      <c r="C67" s="15"/>
      <c r="D67" s="15"/>
      <c r="E67" s="15"/>
      <c r="F67" s="16" t="str">
        <f aca="false">IFERROR(INDEX(Ref_RISK!$B$2:$B$201,MATCH(B67,Ref_RISK!$A$2:$A$201,0)),"")</f>
        <v/>
      </c>
      <c r="G67" s="16" t="str">
        <f aca="false">IFERROR(INDEX(Control_Register!$I$5:$I$204,MATCH(C67,Control_Register!$A$5:$A$204,0)),"")</f>
        <v/>
      </c>
      <c r="H67" s="16" t="str">
        <f aca="false">IF(A67="","",IF(OR(B67="",C67="",D67=""),"Risk, control and coverage needed",IF(COUNTIF(Ref_RISK!$A$2:$A$201,B67)=0,"RISK-ID not in W04",IF(COUNTIF(Control_Register!$A$5:$A$204,C67)=0,"CTRL-ID not in register","OK"))))</f>
        <v/>
      </c>
    </row>
    <row r="68" customFormat="false" ht="15" hidden="false" customHeight="false" outlineLevel="0" collapsed="false">
      <c r="A68" s="15"/>
      <c r="B68" s="15"/>
      <c r="C68" s="15"/>
      <c r="D68" s="15"/>
      <c r="E68" s="15"/>
      <c r="F68" s="16" t="str">
        <f aca="false">IFERROR(INDEX(Ref_RISK!$B$2:$B$201,MATCH(B68,Ref_RISK!$A$2:$A$201,0)),"")</f>
        <v/>
      </c>
      <c r="G68" s="16" t="str">
        <f aca="false">IFERROR(INDEX(Control_Register!$I$5:$I$204,MATCH(C68,Control_Register!$A$5:$A$204,0)),"")</f>
        <v/>
      </c>
      <c r="H68" s="16" t="str">
        <f aca="false">IF(A68="","",IF(OR(B68="",C68="",D68=""),"Risk, control and coverage needed",IF(COUNTIF(Ref_RISK!$A$2:$A$201,B68)=0,"RISK-ID not in W04",IF(COUNTIF(Control_Register!$A$5:$A$204,C68)=0,"CTRL-ID not in register","OK"))))</f>
        <v/>
      </c>
    </row>
    <row r="69" customFormat="false" ht="15" hidden="false" customHeight="false" outlineLevel="0" collapsed="false">
      <c r="A69" s="15"/>
      <c r="B69" s="15"/>
      <c r="C69" s="15"/>
      <c r="D69" s="15"/>
      <c r="E69" s="15"/>
      <c r="F69" s="16" t="str">
        <f aca="false">IFERROR(INDEX(Ref_RISK!$B$2:$B$201,MATCH(B69,Ref_RISK!$A$2:$A$201,0)),"")</f>
        <v/>
      </c>
      <c r="G69" s="16" t="str">
        <f aca="false">IFERROR(INDEX(Control_Register!$I$5:$I$204,MATCH(C69,Control_Register!$A$5:$A$204,0)),"")</f>
        <v/>
      </c>
      <c r="H69" s="16" t="str">
        <f aca="false">IF(A69="","",IF(OR(B69="",C69="",D69=""),"Risk, control and coverage needed",IF(COUNTIF(Ref_RISK!$A$2:$A$201,B69)=0,"RISK-ID not in W04",IF(COUNTIF(Control_Register!$A$5:$A$204,C69)=0,"CTRL-ID not in register","OK"))))</f>
        <v/>
      </c>
    </row>
    <row r="70" customFormat="false" ht="15" hidden="false" customHeight="false" outlineLevel="0" collapsed="false">
      <c r="A70" s="15"/>
      <c r="B70" s="15"/>
      <c r="C70" s="15"/>
      <c r="D70" s="15"/>
      <c r="E70" s="15"/>
      <c r="F70" s="16" t="str">
        <f aca="false">IFERROR(INDEX(Ref_RISK!$B$2:$B$201,MATCH(B70,Ref_RISK!$A$2:$A$201,0)),"")</f>
        <v/>
      </c>
      <c r="G70" s="16" t="str">
        <f aca="false">IFERROR(INDEX(Control_Register!$I$5:$I$204,MATCH(C70,Control_Register!$A$5:$A$204,0)),"")</f>
        <v/>
      </c>
      <c r="H70" s="16" t="str">
        <f aca="false">IF(A70="","",IF(OR(B70="",C70="",D70=""),"Risk, control and coverage needed",IF(COUNTIF(Ref_RISK!$A$2:$A$201,B70)=0,"RISK-ID not in W04",IF(COUNTIF(Control_Register!$A$5:$A$204,C70)=0,"CTRL-ID not in register","OK"))))</f>
        <v/>
      </c>
    </row>
    <row r="71" customFormat="false" ht="15" hidden="false" customHeight="false" outlineLevel="0" collapsed="false">
      <c r="A71" s="15"/>
      <c r="B71" s="15"/>
      <c r="C71" s="15"/>
      <c r="D71" s="15"/>
      <c r="E71" s="15"/>
      <c r="F71" s="16" t="str">
        <f aca="false">IFERROR(INDEX(Ref_RISK!$B$2:$B$201,MATCH(B71,Ref_RISK!$A$2:$A$201,0)),"")</f>
        <v/>
      </c>
      <c r="G71" s="16" t="str">
        <f aca="false">IFERROR(INDEX(Control_Register!$I$5:$I$204,MATCH(C71,Control_Register!$A$5:$A$204,0)),"")</f>
        <v/>
      </c>
      <c r="H71" s="16" t="str">
        <f aca="false">IF(A71="","",IF(OR(B71="",C71="",D71=""),"Risk, control and coverage needed",IF(COUNTIF(Ref_RISK!$A$2:$A$201,B71)=0,"RISK-ID not in W04",IF(COUNTIF(Control_Register!$A$5:$A$204,C71)=0,"CTRL-ID not in register","OK"))))</f>
        <v/>
      </c>
    </row>
    <row r="72" customFormat="false" ht="15" hidden="false" customHeight="false" outlineLevel="0" collapsed="false">
      <c r="A72" s="15"/>
      <c r="B72" s="15"/>
      <c r="C72" s="15"/>
      <c r="D72" s="15"/>
      <c r="E72" s="15"/>
      <c r="F72" s="16" t="str">
        <f aca="false">IFERROR(INDEX(Ref_RISK!$B$2:$B$201,MATCH(B72,Ref_RISK!$A$2:$A$201,0)),"")</f>
        <v/>
      </c>
      <c r="G72" s="16" t="str">
        <f aca="false">IFERROR(INDEX(Control_Register!$I$5:$I$204,MATCH(C72,Control_Register!$A$5:$A$204,0)),"")</f>
        <v/>
      </c>
      <c r="H72" s="16" t="str">
        <f aca="false">IF(A72="","",IF(OR(B72="",C72="",D72=""),"Risk, control and coverage needed",IF(COUNTIF(Ref_RISK!$A$2:$A$201,B72)=0,"RISK-ID not in W04",IF(COUNTIF(Control_Register!$A$5:$A$204,C72)=0,"CTRL-ID not in register","OK"))))</f>
        <v/>
      </c>
    </row>
    <row r="73" customFormat="false" ht="15" hidden="false" customHeight="false" outlineLevel="0" collapsed="false">
      <c r="A73" s="15"/>
      <c r="B73" s="15"/>
      <c r="C73" s="15"/>
      <c r="D73" s="15"/>
      <c r="E73" s="15"/>
      <c r="F73" s="16" t="str">
        <f aca="false">IFERROR(INDEX(Ref_RISK!$B$2:$B$201,MATCH(B73,Ref_RISK!$A$2:$A$201,0)),"")</f>
        <v/>
      </c>
      <c r="G73" s="16" t="str">
        <f aca="false">IFERROR(INDEX(Control_Register!$I$5:$I$204,MATCH(C73,Control_Register!$A$5:$A$204,0)),"")</f>
        <v/>
      </c>
      <c r="H73" s="16" t="str">
        <f aca="false">IF(A73="","",IF(OR(B73="",C73="",D73=""),"Risk, control and coverage needed",IF(COUNTIF(Ref_RISK!$A$2:$A$201,B73)=0,"RISK-ID not in W04",IF(COUNTIF(Control_Register!$A$5:$A$204,C73)=0,"CTRL-ID not in register","OK"))))</f>
        <v/>
      </c>
    </row>
    <row r="74" customFormat="false" ht="15" hidden="false" customHeight="false" outlineLevel="0" collapsed="false">
      <c r="A74" s="15"/>
      <c r="B74" s="15"/>
      <c r="C74" s="15"/>
      <c r="D74" s="15"/>
      <c r="E74" s="15"/>
      <c r="F74" s="16" t="str">
        <f aca="false">IFERROR(INDEX(Ref_RISK!$B$2:$B$201,MATCH(B74,Ref_RISK!$A$2:$A$201,0)),"")</f>
        <v/>
      </c>
      <c r="G74" s="16" t="str">
        <f aca="false">IFERROR(INDEX(Control_Register!$I$5:$I$204,MATCH(C74,Control_Register!$A$5:$A$204,0)),"")</f>
        <v/>
      </c>
      <c r="H74" s="16" t="str">
        <f aca="false">IF(A74="","",IF(OR(B74="",C74="",D74=""),"Risk, control and coverage needed",IF(COUNTIF(Ref_RISK!$A$2:$A$201,B74)=0,"RISK-ID not in W04",IF(COUNTIF(Control_Register!$A$5:$A$204,C74)=0,"CTRL-ID not in register","OK"))))</f>
        <v/>
      </c>
    </row>
    <row r="75" customFormat="false" ht="15" hidden="false" customHeight="false" outlineLevel="0" collapsed="false">
      <c r="A75" s="15"/>
      <c r="B75" s="15"/>
      <c r="C75" s="15"/>
      <c r="D75" s="15"/>
      <c r="E75" s="15"/>
      <c r="F75" s="16" t="str">
        <f aca="false">IFERROR(INDEX(Ref_RISK!$B$2:$B$201,MATCH(B75,Ref_RISK!$A$2:$A$201,0)),"")</f>
        <v/>
      </c>
      <c r="G75" s="16" t="str">
        <f aca="false">IFERROR(INDEX(Control_Register!$I$5:$I$204,MATCH(C75,Control_Register!$A$5:$A$204,0)),"")</f>
        <v/>
      </c>
      <c r="H75" s="16" t="str">
        <f aca="false">IF(A75="","",IF(OR(B75="",C75="",D75=""),"Risk, control and coverage needed",IF(COUNTIF(Ref_RISK!$A$2:$A$201,B75)=0,"RISK-ID not in W04",IF(COUNTIF(Control_Register!$A$5:$A$204,C75)=0,"CTRL-ID not in register","OK"))))</f>
        <v/>
      </c>
    </row>
    <row r="76" customFormat="false" ht="15" hidden="false" customHeight="false" outlineLevel="0" collapsed="false">
      <c r="A76" s="15"/>
      <c r="B76" s="15"/>
      <c r="C76" s="15"/>
      <c r="D76" s="15"/>
      <c r="E76" s="15"/>
      <c r="F76" s="16" t="str">
        <f aca="false">IFERROR(INDEX(Ref_RISK!$B$2:$B$201,MATCH(B76,Ref_RISK!$A$2:$A$201,0)),"")</f>
        <v/>
      </c>
      <c r="G76" s="16" t="str">
        <f aca="false">IFERROR(INDEX(Control_Register!$I$5:$I$204,MATCH(C76,Control_Register!$A$5:$A$204,0)),"")</f>
        <v/>
      </c>
      <c r="H76" s="16" t="str">
        <f aca="false">IF(A76="","",IF(OR(B76="",C76="",D76=""),"Risk, control and coverage needed",IF(COUNTIF(Ref_RISK!$A$2:$A$201,B76)=0,"RISK-ID not in W04",IF(COUNTIF(Control_Register!$A$5:$A$204,C76)=0,"CTRL-ID not in register","OK"))))</f>
        <v/>
      </c>
    </row>
    <row r="77" customFormat="false" ht="15" hidden="false" customHeight="false" outlineLevel="0" collapsed="false">
      <c r="A77" s="15"/>
      <c r="B77" s="15"/>
      <c r="C77" s="15"/>
      <c r="D77" s="15"/>
      <c r="E77" s="15"/>
      <c r="F77" s="16" t="str">
        <f aca="false">IFERROR(INDEX(Ref_RISK!$B$2:$B$201,MATCH(B77,Ref_RISK!$A$2:$A$201,0)),"")</f>
        <v/>
      </c>
      <c r="G77" s="16" t="str">
        <f aca="false">IFERROR(INDEX(Control_Register!$I$5:$I$204,MATCH(C77,Control_Register!$A$5:$A$204,0)),"")</f>
        <v/>
      </c>
      <c r="H77" s="16" t="str">
        <f aca="false">IF(A77="","",IF(OR(B77="",C77="",D77=""),"Risk, control and coverage needed",IF(COUNTIF(Ref_RISK!$A$2:$A$201,B77)=0,"RISK-ID not in W04",IF(COUNTIF(Control_Register!$A$5:$A$204,C77)=0,"CTRL-ID not in register","OK"))))</f>
        <v/>
      </c>
    </row>
    <row r="78" customFormat="false" ht="15" hidden="false" customHeight="false" outlineLevel="0" collapsed="false">
      <c r="A78" s="15"/>
      <c r="B78" s="15"/>
      <c r="C78" s="15"/>
      <c r="D78" s="15"/>
      <c r="E78" s="15"/>
      <c r="F78" s="16" t="str">
        <f aca="false">IFERROR(INDEX(Ref_RISK!$B$2:$B$201,MATCH(B78,Ref_RISK!$A$2:$A$201,0)),"")</f>
        <v/>
      </c>
      <c r="G78" s="16" t="str">
        <f aca="false">IFERROR(INDEX(Control_Register!$I$5:$I$204,MATCH(C78,Control_Register!$A$5:$A$204,0)),"")</f>
        <v/>
      </c>
      <c r="H78" s="16" t="str">
        <f aca="false">IF(A78="","",IF(OR(B78="",C78="",D78=""),"Risk, control and coverage needed",IF(COUNTIF(Ref_RISK!$A$2:$A$201,B78)=0,"RISK-ID not in W04",IF(COUNTIF(Control_Register!$A$5:$A$204,C78)=0,"CTRL-ID not in register","OK"))))</f>
        <v/>
      </c>
    </row>
    <row r="79" customFormat="false" ht="15" hidden="false" customHeight="false" outlineLevel="0" collapsed="false">
      <c r="A79" s="15"/>
      <c r="B79" s="15"/>
      <c r="C79" s="15"/>
      <c r="D79" s="15"/>
      <c r="E79" s="15"/>
      <c r="F79" s="16" t="str">
        <f aca="false">IFERROR(INDEX(Ref_RISK!$B$2:$B$201,MATCH(B79,Ref_RISK!$A$2:$A$201,0)),"")</f>
        <v/>
      </c>
      <c r="G79" s="16" t="str">
        <f aca="false">IFERROR(INDEX(Control_Register!$I$5:$I$204,MATCH(C79,Control_Register!$A$5:$A$204,0)),"")</f>
        <v/>
      </c>
      <c r="H79" s="16" t="str">
        <f aca="false">IF(A79="","",IF(OR(B79="",C79="",D79=""),"Risk, control and coverage needed",IF(COUNTIF(Ref_RISK!$A$2:$A$201,B79)=0,"RISK-ID not in W04",IF(COUNTIF(Control_Register!$A$5:$A$204,C79)=0,"CTRL-ID not in register","OK"))))</f>
        <v/>
      </c>
    </row>
    <row r="80" customFormat="false" ht="15" hidden="false" customHeight="false" outlineLevel="0" collapsed="false">
      <c r="A80" s="15"/>
      <c r="B80" s="15"/>
      <c r="C80" s="15"/>
      <c r="D80" s="15"/>
      <c r="E80" s="15"/>
      <c r="F80" s="16" t="str">
        <f aca="false">IFERROR(INDEX(Ref_RISK!$B$2:$B$201,MATCH(B80,Ref_RISK!$A$2:$A$201,0)),"")</f>
        <v/>
      </c>
      <c r="G80" s="16" t="str">
        <f aca="false">IFERROR(INDEX(Control_Register!$I$5:$I$204,MATCH(C80,Control_Register!$A$5:$A$204,0)),"")</f>
        <v/>
      </c>
      <c r="H80" s="16" t="str">
        <f aca="false">IF(A80="","",IF(OR(B80="",C80="",D80=""),"Risk, control and coverage needed",IF(COUNTIF(Ref_RISK!$A$2:$A$201,B80)=0,"RISK-ID not in W04",IF(COUNTIF(Control_Register!$A$5:$A$204,C80)=0,"CTRL-ID not in register","OK"))))</f>
        <v/>
      </c>
    </row>
    <row r="81" customFormat="false" ht="15" hidden="false" customHeight="false" outlineLevel="0" collapsed="false">
      <c r="A81" s="15"/>
      <c r="B81" s="15"/>
      <c r="C81" s="15"/>
      <c r="D81" s="15"/>
      <c r="E81" s="15"/>
      <c r="F81" s="16" t="str">
        <f aca="false">IFERROR(INDEX(Ref_RISK!$B$2:$B$201,MATCH(B81,Ref_RISK!$A$2:$A$201,0)),"")</f>
        <v/>
      </c>
      <c r="G81" s="16" t="str">
        <f aca="false">IFERROR(INDEX(Control_Register!$I$5:$I$204,MATCH(C81,Control_Register!$A$5:$A$204,0)),"")</f>
        <v/>
      </c>
      <c r="H81" s="16" t="str">
        <f aca="false">IF(A81="","",IF(OR(B81="",C81="",D81=""),"Risk, control and coverage needed",IF(COUNTIF(Ref_RISK!$A$2:$A$201,B81)=0,"RISK-ID not in W04",IF(COUNTIF(Control_Register!$A$5:$A$204,C81)=0,"CTRL-ID not in register","OK"))))</f>
        <v/>
      </c>
    </row>
    <row r="82" customFormat="false" ht="15" hidden="false" customHeight="false" outlineLevel="0" collapsed="false">
      <c r="A82" s="15"/>
      <c r="B82" s="15"/>
      <c r="C82" s="15"/>
      <c r="D82" s="15"/>
      <c r="E82" s="15"/>
      <c r="F82" s="16" t="str">
        <f aca="false">IFERROR(INDEX(Ref_RISK!$B$2:$B$201,MATCH(B82,Ref_RISK!$A$2:$A$201,0)),"")</f>
        <v/>
      </c>
      <c r="G82" s="16" t="str">
        <f aca="false">IFERROR(INDEX(Control_Register!$I$5:$I$204,MATCH(C82,Control_Register!$A$5:$A$204,0)),"")</f>
        <v/>
      </c>
      <c r="H82" s="16" t="str">
        <f aca="false">IF(A82="","",IF(OR(B82="",C82="",D82=""),"Risk, control and coverage needed",IF(COUNTIF(Ref_RISK!$A$2:$A$201,B82)=0,"RISK-ID not in W04",IF(COUNTIF(Control_Register!$A$5:$A$204,C82)=0,"CTRL-ID not in register","OK"))))</f>
        <v/>
      </c>
    </row>
    <row r="83" customFormat="false" ht="15" hidden="false" customHeight="false" outlineLevel="0" collapsed="false">
      <c r="A83" s="15"/>
      <c r="B83" s="15"/>
      <c r="C83" s="15"/>
      <c r="D83" s="15"/>
      <c r="E83" s="15"/>
      <c r="F83" s="16" t="str">
        <f aca="false">IFERROR(INDEX(Ref_RISK!$B$2:$B$201,MATCH(B83,Ref_RISK!$A$2:$A$201,0)),"")</f>
        <v/>
      </c>
      <c r="G83" s="16" t="str">
        <f aca="false">IFERROR(INDEX(Control_Register!$I$5:$I$204,MATCH(C83,Control_Register!$A$5:$A$204,0)),"")</f>
        <v/>
      </c>
      <c r="H83" s="16" t="str">
        <f aca="false">IF(A83="","",IF(OR(B83="",C83="",D83=""),"Risk, control and coverage needed",IF(COUNTIF(Ref_RISK!$A$2:$A$201,B83)=0,"RISK-ID not in W04",IF(COUNTIF(Control_Register!$A$5:$A$204,C83)=0,"CTRL-ID not in register","OK"))))</f>
        <v/>
      </c>
    </row>
    <row r="84" customFormat="false" ht="15" hidden="false" customHeight="false" outlineLevel="0" collapsed="false">
      <c r="A84" s="15"/>
      <c r="B84" s="15"/>
      <c r="C84" s="15"/>
      <c r="D84" s="15"/>
      <c r="E84" s="15"/>
      <c r="F84" s="16" t="str">
        <f aca="false">IFERROR(INDEX(Ref_RISK!$B$2:$B$201,MATCH(B84,Ref_RISK!$A$2:$A$201,0)),"")</f>
        <v/>
      </c>
      <c r="G84" s="16" t="str">
        <f aca="false">IFERROR(INDEX(Control_Register!$I$5:$I$204,MATCH(C84,Control_Register!$A$5:$A$204,0)),"")</f>
        <v/>
      </c>
      <c r="H84" s="16" t="str">
        <f aca="false">IF(A84="","",IF(OR(B84="",C84="",D84=""),"Risk, control and coverage needed",IF(COUNTIF(Ref_RISK!$A$2:$A$201,B84)=0,"RISK-ID not in W04",IF(COUNTIF(Control_Register!$A$5:$A$204,C84)=0,"CTRL-ID not in register","OK"))))</f>
        <v/>
      </c>
    </row>
    <row r="85" customFormat="false" ht="15" hidden="false" customHeight="false" outlineLevel="0" collapsed="false">
      <c r="A85" s="15"/>
      <c r="B85" s="15"/>
      <c r="C85" s="15"/>
      <c r="D85" s="15"/>
      <c r="E85" s="15"/>
      <c r="F85" s="16" t="str">
        <f aca="false">IFERROR(INDEX(Ref_RISK!$B$2:$B$201,MATCH(B85,Ref_RISK!$A$2:$A$201,0)),"")</f>
        <v/>
      </c>
      <c r="G85" s="16" t="str">
        <f aca="false">IFERROR(INDEX(Control_Register!$I$5:$I$204,MATCH(C85,Control_Register!$A$5:$A$204,0)),"")</f>
        <v/>
      </c>
      <c r="H85" s="16" t="str">
        <f aca="false">IF(A85="","",IF(OR(B85="",C85="",D85=""),"Risk, control and coverage needed",IF(COUNTIF(Ref_RISK!$A$2:$A$201,B85)=0,"RISK-ID not in W04",IF(COUNTIF(Control_Register!$A$5:$A$204,C85)=0,"CTRL-ID not in register","OK"))))</f>
        <v/>
      </c>
    </row>
    <row r="86" customFormat="false" ht="15" hidden="false" customHeight="false" outlineLevel="0" collapsed="false">
      <c r="A86" s="15"/>
      <c r="B86" s="15"/>
      <c r="C86" s="15"/>
      <c r="D86" s="15"/>
      <c r="E86" s="15"/>
      <c r="F86" s="16" t="str">
        <f aca="false">IFERROR(INDEX(Ref_RISK!$B$2:$B$201,MATCH(B86,Ref_RISK!$A$2:$A$201,0)),"")</f>
        <v/>
      </c>
      <c r="G86" s="16" t="str">
        <f aca="false">IFERROR(INDEX(Control_Register!$I$5:$I$204,MATCH(C86,Control_Register!$A$5:$A$204,0)),"")</f>
        <v/>
      </c>
      <c r="H86" s="16" t="str">
        <f aca="false">IF(A86="","",IF(OR(B86="",C86="",D86=""),"Risk, control and coverage needed",IF(COUNTIF(Ref_RISK!$A$2:$A$201,B86)=0,"RISK-ID not in W04",IF(COUNTIF(Control_Register!$A$5:$A$204,C86)=0,"CTRL-ID not in register","OK"))))</f>
        <v/>
      </c>
    </row>
    <row r="87" customFormat="false" ht="15" hidden="false" customHeight="false" outlineLevel="0" collapsed="false">
      <c r="A87" s="15"/>
      <c r="B87" s="15"/>
      <c r="C87" s="15"/>
      <c r="D87" s="15"/>
      <c r="E87" s="15"/>
      <c r="F87" s="16" t="str">
        <f aca="false">IFERROR(INDEX(Ref_RISK!$B$2:$B$201,MATCH(B87,Ref_RISK!$A$2:$A$201,0)),"")</f>
        <v/>
      </c>
      <c r="G87" s="16" t="str">
        <f aca="false">IFERROR(INDEX(Control_Register!$I$5:$I$204,MATCH(C87,Control_Register!$A$5:$A$204,0)),"")</f>
        <v/>
      </c>
      <c r="H87" s="16" t="str">
        <f aca="false">IF(A87="","",IF(OR(B87="",C87="",D87=""),"Risk, control and coverage needed",IF(COUNTIF(Ref_RISK!$A$2:$A$201,B87)=0,"RISK-ID not in W04",IF(COUNTIF(Control_Register!$A$5:$A$204,C87)=0,"CTRL-ID not in register","OK"))))</f>
        <v/>
      </c>
    </row>
    <row r="88" customFormat="false" ht="15" hidden="false" customHeight="false" outlineLevel="0" collapsed="false">
      <c r="A88" s="15"/>
      <c r="B88" s="15"/>
      <c r="C88" s="15"/>
      <c r="D88" s="15"/>
      <c r="E88" s="15"/>
      <c r="F88" s="16" t="str">
        <f aca="false">IFERROR(INDEX(Ref_RISK!$B$2:$B$201,MATCH(B88,Ref_RISK!$A$2:$A$201,0)),"")</f>
        <v/>
      </c>
      <c r="G88" s="16" t="str">
        <f aca="false">IFERROR(INDEX(Control_Register!$I$5:$I$204,MATCH(C88,Control_Register!$A$5:$A$204,0)),"")</f>
        <v/>
      </c>
      <c r="H88" s="16" t="str">
        <f aca="false">IF(A88="","",IF(OR(B88="",C88="",D88=""),"Risk, control and coverage needed",IF(COUNTIF(Ref_RISK!$A$2:$A$201,B88)=0,"RISK-ID not in W04",IF(COUNTIF(Control_Register!$A$5:$A$204,C88)=0,"CTRL-ID not in register","OK"))))</f>
        <v/>
      </c>
    </row>
    <row r="89" customFormat="false" ht="15" hidden="false" customHeight="false" outlineLevel="0" collapsed="false">
      <c r="A89" s="15"/>
      <c r="B89" s="15"/>
      <c r="C89" s="15"/>
      <c r="D89" s="15"/>
      <c r="E89" s="15"/>
      <c r="F89" s="16" t="str">
        <f aca="false">IFERROR(INDEX(Ref_RISK!$B$2:$B$201,MATCH(B89,Ref_RISK!$A$2:$A$201,0)),"")</f>
        <v/>
      </c>
      <c r="G89" s="16" t="str">
        <f aca="false">IFERROR(INDEX(Control_Register!$I$5:$I$204,MATCH(C89,Control_Register!$A$5:$A$204,0)),"")</f>
        <v/>
      </c>
      <c r="H89" s="16" t="str">
        <f aca="false">IF(A89="","",IF(OR(B89="",C89="",D89=""),"Risk, control and coverage needed",IF(COUNTIF(Ref_RISK!$A$2:$A$201,B89)=0,"RISK-ID not in W04",IF(COUNTIF(Control_Register!$A$5:$A$204,C89)=0,"CTRL-ID not in register","OK"))))</f>
        <v/>
      </c>
    </row>
    <row r="90" customFormat="false" ht="15" hidden="false" customHeight="false" outlineLevel="0" collapsed="false">
      <c r="A90" s="15"/>
      <c r="B90" s="15"/>
      <c r="C90" s="15"/>
      <c r="D90" s="15"/>
      <c r="E90" s="15"/>
      <c r="F90" s="16" t="str">
        <f aca="false">IFERROR(INDEX(Ref_RISK!$B$2:$B$201,MATCH(B90,Ref_RISK!$A$2:$A$201,0)),"")</f>
        <v/>
      </c>
      <c r="G90" s="16" t="str">
        <f aca="false">IFERROR(INDEX(Control_Register!$I$5:$I$204,MATCH(C90,Control_Register!$A$5:$A$204,0)),"")</f>
        <v/>
      </c>
      <c r="H90" s="16" t="str">
        <f aca="false">IF(A90="","",IF(OR(B90="",C90="",D90=""),"Risk, control and coverage needed",IF(COUNTIF(Ref_RISK!$A$2:$A$201,B90)=0,"RISK-ID not in W04",IF(COUNTIF(Control_Register!$A$5:$A$204,C90)=0,"CTRL-ID not in register","OK"))))</f>
        <v/>
      </c>
    </row>
    <row r="91" customFormat="false" ht="15" hidden="false" customHeight="false" outlineLevel="0" collapsed="false">
      <c r="A91" s="15"/>
      <c r="B91" s="15"/>
      <c r="C91" s="15"/>
      <c r="D91" s="15"/>
      <c r="E91" s="15"/>
      <c r="F91" s="16" t="str">
        <f aca="false">IFERROR(INDEX(Ref_RISK!$B$2:$B$201,MATCH(B91,Ref_RISK!$A$2:$A$201,0)),"")</f>
        <v/>
      </c>
      <c r="G91" s="16" t="str">
        <f aca="false">IFERROR(INDEX(Control_Register!$I$5:$I$204,MATCH(C91,Control_Register!$A$5:$A$204,0)),"")</f>
        <v/>
      </c>
      <c r="H91" s="16" t="str">
        <f aca="false">IF(A91="","",IF(OR(B91="",C91="",D91=""),"Risk, control and coverage needed",IF(COUNTIF(Ref_RISK!$A$2:$A$201,B91)=0,"RISK-ID not in W04",IF(COUNTIF(Control_Register!$A$5:$A$204,C91)=0,"CTRL-ID not in register","OK"))))</f>
        <v/>
      </c>
    </row>
    <row r="92" customFormat="false" ht="15" hidden="false" customHeight="false" outlineLevel="0" collapsed="false">
      <c r="A92" s="15"/>
      <c r="B92" s="15"/>
      <c r="C92" s="15"/>
      <c r="D92" s="15"/>
      <c r="E92" s="15"/>
      <c r="F92" s="16" t="str">
        <f aca="false">IFERROR(INDEX(Ref_RISK!$B$2:$B$201,MATCH(B92,Ref_RISK!$A$2:$A$201,0)),"")</f>
        <v/>
      </c>
      <c r="G92" s="16" t="str">
        <f aca="false">IFERROR(INDEX(Control_Register!$I$5:$I$204,MATCH(C92,Control_Register!$A$5:$A$204,0)),"")</f>
        <v/>
      </c>
      <c r="H92" s="16" t="str">
        <f aca="false">IF(A92="","",IF(OR(B92="",C92="",D92=""),"Risk, control and coverage needed",IF(COUNTIF(Ref_RISK!$A$2:$A$201,B92)=0,"RISK-ID not in W04",IF(COUNTIF(Control_Register!$A$5:$A$204,C92)=0,"CTRL-ID not in register","OK"))))</f>
        <v/>
      </c>
    </row>
    <row r="93" customFormat="false" ht="15" hidden="false" customHeight="false" outlineLevel="0" collapsed="false">
      <c r="A93" s="15"/>
      <c r="B93" s="15"/>
      <c r="C93" s="15"/>
      <c r="D93" s="15"/>
      <c r="E93" s="15"/>
      <c r="F93" s="16" t="str">
        <f aca="false">IFERROR(INDEX(Ref_RISK!$B$2:$B$201,MATCH(B93,Ref_RISK!$A$2:$A$201,0)),"")</f>
        <v/>
      </c>
      <c r="G93" s="16" t="str">
        <f aca="false">IFERROR(INDEX(Control_Register!$I$5:$I$204,MATCH(C93,Control_Register!$A$5:$A$204,0)),"")</f>
        <v/>
      </c>
      <c r="H93" s="16" t="str">
        <f aca="false">IF(A93="","",IF(OR(B93="",C93="",D93=""),"Risk, control and coverage needed",IF(COUNTIF(Ref_RISK!$A$2:$A$201,B93)=0,"RISK-ID not in W04",IF(COUNTIF(Control_Register!$A$5:$A$204,C93)=0,"CTRL-ID not in register","OK"))))</f>
        <v/>
      </c>
    </row>
    <row r="94" customFormat="false" ht="15" hidden="false" customHeight="false" outlineLevel="0" collapsed="false">
      <c r="A94" s="15"/>
      <c r="B94" s="15"/>
      <c r="C94" s="15"/>
      <c r="D94" s="15"/>
      <c r="E94" s="15"/>
      <c r="F94" s="16" t="str">
        <f aca="false">IFERROR(INDEX(Ref_RISK!$B$2:$B$201,MATCH(B94,Ref_RISK!$A$2:$A$201,0)),"")</f>
        <v/>
      </c>
      <c r="G94" s="16" t="str">
        <f aca="false">IFERROR(INDEX(Control_Register!$I$5:$I$204,MATCH(C94,Control_Register!$A$5:$A$204,0)),"")</f>
        <v/>
      </c>
      <c r="H94" s="16" t="str">
        <f aca="false">IF(A94="","",IF(OR(B94="",C94="",D94=""),"Risk, control and coverage needed",IF(COUNTIF(Ref_RISK!$A$2:$A$201,B94)=0,"RISK-ID not in W04",IF(COUNTIF(Control_Register!$A$5:$A$204,C94)=0,"CTRL-ID not in register","OK"))))</f>
        <v/>
      </c>
    </row>
    <row r="95" customFormat="false" ht="15" hidden="false" customHeight="false" outlineLevel="0" collapsed="false">
      <c r="A95" s="15"/>
      <c r="B95" s="15"/>
      <c r="C95" s="15"/>
      <c r="D95" s="15"/>
      <c r="E95" s="15"/>
      <c r="F95" s="16" t="str">
        <f aca="false">IFERROR(INDEX(Ref_RISK!$B$2:$B$201,MATCH(B95,Ref_RISK!$A$2:$A$201,0)),"")</f>
        <v/>
      </c>
      <c r="G95" s="16" t="str">
        <f aca="false">IFERROR(INDEX(Control_Register!$I$5:$I$204,MATCH(C95,Control_Register!$A$5:$A$204,0)),"")</f>
        <v/>
      </c>
      <c r="H95" s="16" t="str">
        <f aca="false">IF(A95="","",IF(OR(B95="",C95="",D95=""),"Risk, control and coverage needed",IF(COUNTIF(Ref_RISK!$A$2:$A$201,B95)=0,"RISK-ID not in W04",IF(COUNTIF(Control_Register!$A$5:$A$204,C95)=0,"CTRL-ID not in register","OK"))))</f>
        <v/>
      </c>
    </row>
    <row r="96" customFormat="false" ht="15" hidden="false" customHeight="false" outlineLevel="0" collapsed="false">
      <c r="A96" s="15"/>
      <c r="B96" s="15"/>
      <c r="C96" s="15"/>
      <c r="D96" s="15"/>
      <c r="E96" s="15"/>
      <c r="F96" s="16" t="str">
        <f aca="false">IFERROR(INDEX(Ref_RISK!$B$2:$B$201,MATCH(B96,Ref_RISK!$A$2:$A$201,0)),"")</f>
        <v/>
      </c>
      <c r="G96" s="16" t="str">
        <f aca="false">IFERROR(INDEX(Control_Register!$I$5:$I$204,MATCH(C96,Control_Register!$A$5:$A$204,0)),"")</f>
        <v/>
      </c>
      <c r="H96" s="16" t="str">
        <f aca="false">IF(A96="","",IF(OR(B96="",C96="",D96=""),"Risk, control and coverage needed",IF(COUNTIF(Ref_RISK!$A$2:$A$201,B96)=0,"RISK-ID not in W04",IF(COUNTIF(Control_Register!$A$5:$A$204,C96)=0,"CTRL-ID not in register","OK"))))</f>
        <v/>
      </c>
    </row>
    <row r="97" customFormat="false" ht="15" hidden="false" customHeight="false" outlineLevel="0" collapsed="false">
      <c r="A97" s="15"/>
      <c r="B97" s="15"/>
      <c r="C97" s="15"/>
      <c r="D97" s="15"/>
      <c r="E97" s="15"/>
      <c r="F97" s="16" t="str">
        <f aca="false">IFERROR(INDEX(Ref_RISK!$B$2:$B$201,MATCH(B97,Ref_RISK!$A$2:$A$201,0)),"")</f>
        <v/>
      </c>
      <c r="G97" s="16" t="str">
        <f aca="false">IFERROR(INDEX(Control_Register!$I$5:$I$204,MATCH(C97,Control_Register!$A$5:$A$204,0)),"")</f>
        <v/>
      </c>
      <c r="H97" s="16" t="str">
        <f aca="false">IF(A97="","",IF(OR(B97="",C97="",D97=""),"Risk, control and coverage needed",IF(COUNTIF(Ref_RISK!$A$2:$A$201,B97)=0,"RISK-ID not in W04",IF(COUNTIF(Control_Register!$A$5:$A$204,C97)=0,"CTRL-ID not in register","OK"))))</f>
        <v/>
      </c>
    </row>
    <row r="98" customFormat="false" ht="15" hidden="false" customHeight="false" outlineLevel="0" collapsed="false">
      <c r="A98" s="15"/>
      <c r="B98" s="15"/>
      <c r="C98" s="15"/>
      <c r="D98" s="15"/>
      <c r="E98" s="15"/>
      <c r="F98" s="16" t="str">
        <f aca="false">IFERROR(INDEX(Ref_RISK!$B$2:$B$201,MATCH(B98,Ref_RISK!$A$2:$A$201,0)),"")</f>
        <v/>
      </c>
      <c r="G98" s="16" t="str">
        <f aca="false">IFERROR(INDEX(Control_Register!$I$5:$I$204,MATCH(C98,Control_Register!$A$5:$A$204,0)),"")</f>
        <v/>
      </c>
      <c r="H98" s="16" t="str">
        <f aca="false">IF(A98="","",IF(OR(B98="",C98="",D98=""),"Risk, control and coverage needed",IF(COUNTIF(Ref_RISK!$A$2:$A$201,B98)=0,"RISK-ID not in W04",IF(COUNTIF(Control_Register!$A$5:$A$204,C98)=0,"CTRL-ID not in register","OK"))))</f>
        <v/>
      </c>
    </row>
    <row r="99" customFormat="false" ht="15" hidden="false" customHeight="false" outlineLevel="0" collapsed="false">
      <c r="A99" s="15"/>
      <c r="B99" s="15"/>
      <c r="C99" s="15"/>
      <c r="D99" s="15"/>
      <c r="E99" s="15"/>
      <c r="F99" s="16" t="str">
        <f aca="false">IFERROR(INDEX(Ref_RISK!$B$2:$B$201,MATCH(B99,Ref_RISK!$A$2:$A$201,0)),"")</f>
        <v/>
      </c>
      <c r="G99" s="16" t="str">
        <f aca="false">IFERROR(INDEX(Control_Register!$I$5:$I$204,MATCH(C99,Control_Register!$A$5:$A$204,0)),"")</f>
        <v/>
      </c>
      <c r="H99" s="16" t="str">
        <f aca="false">IF(A99="","",IF(OR(B99="",C99="",D99=""),"Risk, control and coverage needed",IF(COUNTIF(Ref_RISK!$A$2:$A$201,B99)=0,"RISK-ID not in W04",IF(COUNTIF(Control_Register!$A$5:$A$204,C99)=0,"CTRL-ID not in register","OK"))))</f>
        <v/>
      </c>
    </row>
    <row r="100" customFormat="false" ht="15" hidden="false" customHeight="false" outlineLevel="0" collapsed="false">
      <c r="A100" s="15"/>
      <c r="B100" s="15"/>
      <c r="C100" s="15"/>
      <c r="D100" s="15"/>
      <c r="E100" s="15"/>
      <c r="F100" s="16" t="str">
        <f aca="false">IFERROR(INDEX(Ref_RISK!$B$2:$B$201,MATCH(B100,Ref_RISK!$A$2:$A$201,0)),"")</f>
        <v/>
      </c>
      <c r="G100" s="16" t="str">
        <f aca="false">IFERROR(INDEX(Control_Register!$I$5:$I$204,MATCH(C100,Control_Register!$A$5:$A$204,0)),"")</f>
        <v/>
      </c>
      <c r="H100" s="16" t="str">
        <f aca="false">IF(A100="","",IF(OR(B100="",C100="",D100=""),"Risk, control and coverage needed",IF(COUNTIF(Ref_RISK!$A$2:$A$201,B100)=0,"RISK-ID not in W04",IF(COUNTIF(Control_Register!$A$5:$A$204,C100)=0,"CTRL-ID not in register","OK"))))</f>
        <v/>
      </c>
    </row>
    <row r="101" customFormat="false" ht="15" hidden="false" customHeight="false" outlineLevel="0" collapsed="false">
      <c r="A101" s="15"/>
      <c r="B101" s="15"/>
      <c r="C101" s="15"/>
      <c r="D101" s="15"/>
      <c r="E101" s="15"/>
      <c r="F101" s="16" t="str">
        <f aca="false">IFERROR(INDEX(Ref_RISK!$B$2:$B$201,MATCH(B101,Ref_RISK!$A$2:$A$201,0)),"")</f>
        <v/>
      </c>
      <c r="G101" s="16" t="str">
        <f aca="false">IFERROR(INDEX(Control_Register!$I$5:$I$204,MATCH(C101,Control_Register!$A$5:$A$204,0)),"")</f>
        <v/>
      </c>
      <c r="H101" s="16" t="str">
        <f aca="false">IF(A101="","",IF(OR(B101="",C101="",D101=""),"Risk, control and coverage needed",IF(COUNTIF(Ref_RISK!$A$2:$A$201,B101)=0,"RISK-ID not in W04",IF(COUNTIF(Control_Register!$A$5:$A$204,C101)=0,"CTRL-ID not in register","OK"))))</f>
        <v/>
      </c>
    </row>
    <row r="102" customFormat="false" ht="15" hidden="false" customHeight="false" outlineLevel="0" collapsed="false">
      <c r="A102" s="15"/>
      <c r="B102" s="15"/>
      <c r="C102" s="15"/>
      <c r="D102" s="15"/>
      <c r="E102" s="15"/>
      <c r="F102" s="16" t="str">
        <f aca="false">IFERROR(INDEX(Ref_RISK!$B$2:$B$201,MATCH(B102,Ref_RISK!$A$2:$A$201,0)),"")</f>
        <v/>
      </c>
      <c r="G102" s="16" t="str">
        <f aca="false">IFERROR(INDEX(Control_Register!$I$5:$I$204,MATCH(C102,Control_Register!$A$5:$A$204,0)),"")</f>
        <v/>
      </c>
      <c r="H102" s="16" t="str">
        <f aca="false">IF(A102="","",IF(OR(B102="",C102="",D102=""),"Risk, control and coverage needed",IF(COUNTIF(Ref_RISK!$A$2:$A$201,B102)=0,"RISK-ID not in W04",IF(COUNTIF(Control_Register!$A$5:$A$204,C102)=0,"CTRL-ID not in register","OK"))))</f>
        <v/>
      </c>
    </row>
    <row r="103" customFormat="false" ht="15" hidden="false" customHeight="false" outlineLevel="0" collapsed="false">
      <c r="A103" s="15"/>
      <c r="B103" s="15"/>
      <c r="C103" s="15"/>
      <c r="D103" s="15"/>
      <c r="E103" s="15"/>
      <c r="F103" s="16" t="str">
        <f aca="false">IFERROR(INDEX(Ref_RISK!$B$2:$B$201,MATCH(B103,Ref_RISK!$A$2:$A$201,0)),"")</f>
        <v/>
      </c>
      <c r="G103" s="16" t="str">
        <f aca="false">IFERROR(INDEX(Control_Register!$I$5:$I$204,MATCH(C103,Control_Register!$A$5:$A$204,0)),"")</f>
        <v/>
      </c>
      <c r="H103" s="16" t="str">
        <f aca="false">IF(A103="","",IF(OR(B103="",C103="",D103=""),"Risk, control and coverage needed",IF(COUNTIF(Ref_RISK!$A$2:$A$201,B103)=0,"RISK-ID not in W04",IF(COUNTIF(Control_Register!$A$5:$A$204,C103)=0,"CTRL-ID not in register","OK"))))</f>
        <v/>
      </c>
    </row>
    <row r="104" customFormat="false" ht="15" hidden="false" customHeight="false" outlineLevel="0" collapsed="false">
      <c r="A104" s="15"/>
      <c r="B104" s="15"/>
      <c r="C104" s="15"/>
      <c r="D104" s="15"/>
      <c r="E104" s="15"/>
      <c r="F104" s="16" t="str">
        <f aca="false">IFERROR(INDEX(Ref_RISK!$B$2:$B$201,MATCH(B104,Ref_RISK!$A$2:$A$201,0)),"")</f>
        <v/>
      </c>
      <c r="G104" s="16" t="str">
        <f aca="false">IFERROR(INDEX(Control_Register!$I$5:$I$204,MATCH(C104,Control_Register!$A$5:$A$204,0)),"")</f>
        <v/>
      </c>
      <c r="H104" s="16" t="str">
        <f aca="false">IF(A104="","",IF(OR(B104="",C104="",D104=""),"Risk, control and coverage needed",IF(COUNTIF(Ref_RISK!$A$2:$A$201,B104)=0,"RISK-ID not in W04",IF(COUNTIF(Control_Register!$A$5:$A$204,C104)=0,"CTRL-ID not in register","OK"))))</f>
        <v/>
      </c>
    </row>
    <row r="105" customFormat="false" ht="15" hidden="false" customHeight="false" outlineLevel="0" collapsed="false">
      <c r="A105" s="15"/>
      <c r="B105" s="15"/>
      <c r="C105" s="15"/>
      <c r="D105" s="15"/>
      <c r="E105" s="15"/>
      <c r="F105" s="16" t="str">
        <f aca="false">IFERROR(INDEX(Ref_RISK!$B$2:$B$201,MATCH(B105,Ref_RISK!$A$2:$A$201,0)),"")</f>
        <v/>
      </c>
      <c r="G105" s="16" t="str">
        <f aca="false">IFERROR(INDEX(Control_Register!$I$5:$I$204,MATCH(C105,Control_Register!$A$5:$A$204,0)),"")</f>
        <v/>
      </c>
      <c r="H105" s="16" t="str">
        <f aca="false">IF(A105="","",IF(OR(B105="",C105="",D105=""),"Risk, control and coverage needed",IF(COUNTIF(Ref_RISK!$A$2:$A$201,B105)=0,"RISK-ID not in W04",IF(COUNTIF(Control_Register!$A$5:$A$204,C105)=0,"CTRL-ID not in register","OK"))))</f>
        <v/>
      </c>
    </row>
    <row r="106" customFormat="false" ht="15" hidden="false" customHeight="false" outlineLevel="0" collapsed="false">
      <c r="A106" s="15"/>
      <c r="B106" s="15"/>
      <c r="C106" s="15"/>
      <c r="D106" s="15"/>
      <c r="E106" s="15"/>
      <c r="F106" s="16" t="str">
        <f aca="false">IFERROR(INDEX(Ref_RISK!$B$2:$B$201,MATCH(B106,Ref_RISK!$A$2:$A$201,0)),"")</f>
        <v/>
      </c>
      <c r="G106" s="16" t="str">
        <f aca="false">IFERROR(INDEX(Control_Register!$I$5:$I$204,MATCH(C106,Control_Register!$A$5:$A$204,0)),"")</f>
        <v/>
      </c>
      <c r="H106" s="16" t="str">
        <f aca="false">IF(A106="","",IF(OR(B106="",C106="",D106=""),"Risk, control and coverage needed",IF(COUNTIF(Ref_RISK!$A$2:$A$201,B106)=0,"RISK-ID not in W04",IF(COUNTIF(Control_Register!$A$5:$A$204,C106)=0,"CTRL-ID not in register","OK"))))</f>
        <v/>
      </c>
    </row>
    <row r="107" customFormat="false" ht="15" hidden="false" customHeight="false" outlineLevel="0" collapsed="false">
      <c r="A107" s="15"/>
      <c r="B107" s="15"/>
      <c r="C107" s="15"/>
      <c r="D107" s="15"/>
      <c r="E107" s="15"/>
      <c r="F107" s="16" t="str">
        <f aca="false">IFERROR(INDEX(Ref_RISK!$B$2:$B$201,MATCH(B107,Ref_RISK!$A$2:$A$201,0)),"")</f>
        <v/>
      </c>
      <c r="G107" s="16" t="str">
        <f aca="false">IFERROR(INDEX(Control_Register!$I$5:$I$204,MATCH(C107,Control_Register!$A$5:$A$204,0)),"")</f>
        <v/>
      </c>
      <c r="H107" s="16" t="str">
        <f aca="false">IF(A107="","",IF(OR(B107="",C107="",D107=""),"Risk, control and coverage needed",IF(COUNTIF(Ref_RISK!$A$2:$A$201,B107)=0,"RISK-ID not in W04",IF(COUNTIF(Control_Register!$A$5:$A$204,C107)=0,"CTRL-ID not in register","OK"))))</f>
        <v/>
      </c>
    </row>
    <row r="108" customFormat="false" ht="15" hidden="false" customHeight="false" outlineLevel="0" collapsed="false">
      <c r="A108" s="15"/>
      <c r="B108" s="15"/>
      <c r="C108" s="15"/>
      <c r="D108" s="15"/>
      <c r="E108" s="15"/>
      <c r="F108" s="16" t="str">
        <f aca="false">IFERROR(INDEX(Ref_RISK!$B$2:$B$201,MATCH(B108,Ref_RISK!$A$2:$A$201,0)),"")</f>
        <v/>
      </c>
      <c r="G108" s="16" t="str">
        <f aca="false">IFERROR(INDEX(Control_Register!$I$5:$I$204,MATCH(C108,Control_Register!$A$5:$A$204,0)),"")</f>
        <v/>
      </c>
      <c r="H108" s="16" t="str">
        <f aca="false">IF(A108="","",IF(OR(B108="",C108="",D108=""),"Risk, control and coverage needed",IF(COUNTIF(Ref_RISK!$A$2:$A$201,B108)=0,"RISK-ID not in W04",IF(COUNTIF(Control_Register!$A$5:$A$204,C108)=0,"CTRL-ID not in register","OK"))))</f>
        <v/>
      </c>
    </row>
    <row r="109" customFormat="false" ht="15" hidden="false" customHeight="false" outlineLevel="0" collapsed="false">
      <c r="A109" s="15"/>
      <c r="B109" s="15"/>
      <c r="C109" s="15"/>
      <c r="D109" s="15"/>
      <c r="E109" s="15"/>
      <c r="F109" s="16" t="str">
        <f aca="false">IFERROR(INDEX(Ref_RISK!$B$2:$B$201,MATCH(B109,Ref_RISK!$A$2:$A$201,0)),"")</f>
        <v/>
      </c>
      <c r="G109" s="16" t="str">
        <f aca="false">IFERROR(INDEX(Control_Register!$I$5:$I$204,MATCH(C109,Control_Register!$A$5:$A$204,0)),"")</f>
        <v/>
      </c>
      <c r="H109" s="16" t="str">
        <f aca="false">IF(A109="","",IF(OR(B109="",C109="",D109=""),"Risk, control and coverage needed",IF(COUNTIF(Ref_RISK!$A$2:$A$201,B109)=0,"RISK-ID not in W04",IF(COUNTIF(Control_Register!$A$5:$A$204,C109)=0,"CTRL-ID not in register","OK"))))</f>
        <v/>
      </c>
    </row>
    <row r="110" customFormat="false" ht="15" hidden="false" customHeight="false" outlineLevel="0" collapsed="false">
      <c r="A110" s="15"/>
      <c r="B110" s="15"/>
      <c r="C110" s="15"/>
      <c r="D110" s="15"/>
      <c r="E110" s="15"/>
      <c r="F110" s="16" t="str">
        <f aca="false">IFERROR(INDEX(Ref_RISK!$B$2:$B$201,MATCH(B110,Ref_RISK!$A$2:$A$201,0)),"")</f>
        <v/>
      </c>
      <c r="G110" s="16" t="str">
        <f aca="false">IFERROR(INDEX(Control_Register!$I$5:$I$204,MATCH(C110,Control_Register!$A$5:$A$204,0)),"")</f>
        <v/>
      </c>
      <c r="H110" s="16" t="str">
        <f aca="false">IF(A110="","",IF(OR(B110="",C110="",D110=""),"Risk, control and coverage needed",IF(COUNTIF(Ref_RISK!$A$2:$A$201,B110)=0,"RISK-ID not in W04",IF(COUNTIF(Control_Register!$A$5:$A$204,C110)=0,"CTRL-ID not in register","OK"))))</f>
        <v/>
      </c>
    </row>
    <row r="111" customFormat="false" ht="15" hidden="false" customHeight="false" outlineLevel="0" collapsed="false">
      <c r="A111" s="15"/>
      <c r="B111" s="15"/>
      <c r="C111" s="15"/>
      <c r="D111" s="15"/>
      <c r="E111" s="15"/>
      <c r="F111" s="16" t="str">
        <f aca="false">IFERROR(INDEX(Ref_RISK!$B$2:$B$201,MATCH(B111,Ref_RISK!$A$2:$A$201,0)),"")</f>
        <v/>
      </c>
      <c r="G111" s="16" t="str">
        <f aca="false">IFERROR(INDEX(Control_Register!$I$5:$I$204,MATCH(C111,Control_Register!$A$5:$A$204,0)),"")</f>
        <v/>
      </c>
      <c r="H111" s="16" t="str">
        <f aca="false">IF(A111="","",IF(OR(B111="",C111="",D111=""),"Risk, control and coverage needed",IF(COUNTIF(Ref_RISK!$A$2:$A$201,B111)=0,"RISK-ID not in W04",IF(COUNTIF(Control_Register!$A$5:$A$204,C111)=0,"CTRL-ID not in register","OK"))))</f>
        <v/>
      </c>
    </row>
    <row r="112" customFormat="false" ht="15" hidden="false" customHeight="false" outlineLevel="0" collapsed="false">
      <c r="A112" s="15"/>
      <c r="B112" s="15"/>
      <c r="C112" s="15"/>
      <c r="D112" s="15"/>
      <c r="E112" s="15"/>
      <c r="F112" s="16" t="str">
        <f aca="false">IFERROR(INDEX(Ref_RISK!$B$2:$B$201,MATCH(B112,Ref_RISK!$A$2:$A$201,0)),"")</f>
        <v/>
      </c>
      <c r="G112" s="16" t="str">
        <f aca="false">IFERROR(INDEX(Control_Register!$I$5:$I$204,MATCH(C112,Control_Register!$A$5:$A$204,0)),"")</f>
        <v/>
      </c>
      <c r="H112" s="16" t="str">
        <f aca="false">IF(A112="","",IF(OR(B112="",C112="",D112=""),"Risk, control and coverage needed",IF(COUNTIF(Ref_RISK!$A$2:$A$201,B112)=0,"RISK-ID not in W04",IF(COUNTIF(Control_Register!$A$5:$A$204,C112)=0,"CTRL-ID not in register","OK"))))</f>
        <v/>
      </c>
    </row>
    <row r="113" customFormat="false" ht="15" hidden="false" customHeight="false" outlineLevel="0" collapsed="false">
      <c r="A113" s="15"/>
      <c r="B113" s="15"/>
      <c r="C113" s="15"/>
      <c r="D113" s="15"/>
      <c r="E113" s="15"/>
      <c r="F113" s="16" t="str">
        <f aca="false">IFERROR(INDEX(Ref_RISK!$B$2:$B$201,MATCH(B113,Ref_RISK!$A$2:$A$201,0)),"")</f>
        <v/>
      </c>
      <c r="G113" s="16" t="str">
        <f aca="false">IFERROR(INDEX(Control_Register!$I$5:$I$204,MATCH(C113,Control_Register!$A$5:$A$204,0)),"")</f>
        <v/>
      </c>
      <c r="H113" s="16" t="str">
        <f aca="false">IF(A113="","",IF(OR(B113="",C113="",D113=""),"Risk, control and coverage needed",IF(COUNTIF(Ref_RISK!$A$2:$A$201,B113)=0,"RISK-ID not in W04",IF(COUNTIF(Control_Register!$A$5:$A$204,C113)=0,"CTRL-ID not in register","OK"))))</f>
        <v/>
      </c>
    </row>
    <row r="114" customFormat="false" ht="15" hidden="false" customHeight="false" outlineLevel="0" collapsed="false">
      <c r="A114" s="15"/>
      <c r="B114" s="15"/>
      <c r="C114" s="15"/>
      <c r="D114" s="15"/>
      <c r="E114" s="15"/>
      <c r="F114" s="16" t="str">
        <f aca="false">IFERROR(INDEX(Ref_RISK!$B$2:$B$201,MATCH(B114,Ref_RISK!$A$2:$A$201,0)),"")</f>
        <v/>
      </c>
      <c r="G114" s="16" t="str">
        <f aca="false">IFERROR(INDEX(Control_Register!$I$5:$I$204,MATCH(C114,Control_Register!$A$5:$A$204,0)),"")</f>
        <v/>
      </c>
      <c r="H114" s="16" t="str">
        <f aca="false">IF(A114="","",IF(OR(B114="",C114="",D114=""),"Risk, control and coverage needed",IF(COUNTIF(Ref_RISK!$A$2:$A$201,B114)=0,"RISK-ID not in W04",IF(COUNTIF(Control_Register!$A$5:$A$204,C114)=0,"CTRL-ID not in register","OK"))))</f>
        <v/>
      </c>
    </row>
    <row r="115" customFormat="false" ht="15" hidden="false" customHeight="false" outlineLevel="0" collapsed="false">
      <c r="A115" s="15"/>
      <c r="B115" s="15"/>
      <c r="C115" s="15"/>
      <c r="D115" s="15"/>
      <c r="E115" s="15"/>
      <c r="F115" s="16" t="str">
        <f aca="false">IFERROR(INDEX(Ref_RISK!$B$2:$B$201,MATCH(B115,Ref_RISK!$A$2:$A$201,0)),"")</f>
        <v/>
      </c>
      <c r="G115" s="16" t="str">
        <f aca="false">IFERROR(INDEX(Control_Register!$I$5:$I$204,MATCH(C115,Control_Register!$A$5:$A$204,0)),"")</f>
        <v/>
      </c>
      <c r="H115" s="16" t="str">
        <f aca="false">IF(A115="","",IF(OR(B115="",C115="",D115=""),"Risk, control and coverage needed",IF(COUNTIF(Ref_RISK!$A$2:$A$201,B115)=0,"RISK-ID not in W04",IF(COUNTIF(Control_Register!$A$5:$A$204,C115)=0,"CTRL-ID not in register","OK"))))</f>
        <v/>
      </c>
    </row>
    <row r="116" customFormat="false" ht="15" hidden="false" customHeight="false" outlineLevel="0" collapsed="false">
      <c r="A116" s="15"/>
      <c r="B116" s="15"/>
      <c r="C116" s="15"/>
      <c r="D116" s="15"/>
      <c r="E116" s="15"/>
      <c r="F116" s="16" t="str">
        <f aca="false">IFERROR(INDEX(Ref_RISK!$B$2:$B$201,MATCH(B116,Ref_RISK!$A$2:$A$201,0)),"")</f>
        <v/>
      </c>
      <c r="G116" s="16" t="str">
        <f aca="false">IFERROR(INDEX(Control_Register!$I$5:$I$204,MATCH(C116,Control_Register!$A$5:$A$204,0)),"")</f>
        <v/>
      </c>
      <c r="H116" s="16" t="str">
        <f aca="false">IF(A116="","",IF(OR(B116="",C116="",D116=""),"Risk, control and coverage needed",IF(COUNTIF(Ref_RISK!$A$2:$A$201,B116)=0,"RISK-ID not in W04",IF(COUNTIF(Control_Register!$A$5:$A$204,C116)=0,"CTRL-ID not in register","OK"))))</f>
        <v/>
      </c>
    </row>
    <row r="117" customFormat="false" ht="15" hidden="false" customHeight="false" outlineLevel="0" collapsed="false">
      <c r="A117" s="15"/>
      <c r="B117" s="15"/>
      <c r="C117" s="15"/>
      <c r="D117" s="15"/>
      <c r="E117" s="15"/>
      <c r="F117" s="16" t="str">
        <f aca="false">IFERROR(INDEX(Ref_RISK!$B$2:$B$201,MATCH(B117,Ref_RISK!$A$2:$A$201,0)),"")</f>
        <v/>
      </c>
      <c r="G117" s="16" t="str">
        <f aca="false">IFERROR(INDEX(Control_Register!$I$5:$I$204,MATCH(C117,Control_Register!$A$5:$A$204,0)),"")</f>
        <v/>
      </c>
      <c r="H117" s="16" t="str">
        <f aca="false">IF(A117="","",IF(OR(B117="",C117="",D117=""),"Risk, control and coverage needed",IF(COUNTIF(Ref_RISK!$A$2:$A$201,B117)=0,"RISK-ID not in W04",IF(COUNTIF(Control_Register!$A$5:$A$204,C117)=0,"CTRL-ID not in register","OK"))))</f>
        <v/>
      </c>
    </row>
    <row r="118" customFormat="false" ht="15" hidden="false" customHeight="false" outlineLevel="0" collapsed="false">
      <c r="A118" s="15"/>
      <c r="B118" s="15"/>
      <c r="C118" s="15"/>
      <c r="D118" s="15"/>
      <c r="E118" s="15"/>
      <c r="F118" s="16" t="str">
        <f aca="false">IFERROR(INDEX(Ref_RISK!$B$2:$B$201,MATCH(B118,Ref_RISK!$A$2:$A$201,0)),"")</f>
        <v/>
      </c>
      <c r="G118" s="16" t="str">
        <f aca="false">IFERROR(INDEX(Control_Register!$I$5:$I$204,MATCH(C118,Control_Register!$A$5:$A$204,0)),"")</f>
        <v/>
      </c>
      <c r="H118" s="16" t="str">
        <f aca="false">IF(A118="","",IF(OR(B118="",C118="",D118=""),"Risk, control and coverage needed",IF(COUNTIF(Ref_RISK!$A$2:$A$201,B118)=0,"RISK-ID not in W04",IF(COUNTIF(Control_Register!$A$5:$A$204,C118)=0,"CTRL-ID not in register","OK"))))</f>
        <v/>
      </c>
    </row>
    <row r="119" customFormat="false" ht="15" hidden="false" customHeight="false" outlineLevel="0" collapsed="false">
      <c r="A119" s="15"/>
      <c r="B119" s="15"/>
      <c r="C119" s="15"/>
      <c r="D119" s="15"/>
      <c r="E119" s="15"/>
      <c r="F119" s="16" t="str">
        <f aca="false">IFERROR(INDEX(Ref_RISK!$B$2:$B$201,MATCH(B119,Ref_RISK!$A$2:$A$201,0)),"")</f>
        <v/>
      </c>
      <c r="G119" s="16" t="str">
        <f aca="false">IFERROR(INDEX(Control_Register!$I$5:$I$204,MATCH(C119,Control_Register!$A$5:$A$204,0)),"")</f>
        <v/>
      </c>
      <c r="H119" s="16" t="str">
        <f aca="false">IF(A119="","",IF(OR(B119="",C119="",D119=""),"Risk, control and coverage needed",IF(COUNTIF(Ref_RISK!$A$2:$A$201,B119)=0,"RISK-ID not in W04",IF(COUNTIF(Control_Register!$A$5:$A$204,C119)=0,"CTRL-ID not in register","OK"))))</f>
        <v/>
      </c>
    </row>
    <row r="120" customFormat="false" ht="15" hidden="false" customHeight="false" outlineLevel="0" collapsed="false">
      <c r="A120" s="15"/>
      <c r="B120" s="15"/>
      <c r="C120" s="15"/>
      <c r="D120" s="15"/>
      <c r="E120" s="15"/>
      <c r="F120" s="16" t="str">
        <f aca="false">IFERROR(INDEX(Ref_RISK!$B$2:$B$201,MATCH(B120,Ref_RISK!$A$2:$A$201,0)),"")</f>
        <v/>
      </c>
      <c r="G120" s="16" t="str">
        <f aca="false">IFERROR(INDEX(Control_Register!$I$5:$I$204,MATCH(C120,Control_Register!$A$5:$A$204,0)),"")</f>
        <v/>
      </c>
      <c r="H120" s="16" t="str">
        <f aca="false">IF(A120="","",IF(OR(B120="",C120="",D120=""),"Risk, control and coverage needed",IF(COUNTIF(Ref_RISK!$A$2:$A$201,B120)=0,"RISK-ID not in W04",IF(COUNTIF(Control_Register!$A$5:$A$204,C120)=0,"CTRL-ID not in register","OK"))))</f>
        <v/>
      </c>
    </row>
    <row r="121" customFormat="false" ht="15" hidden="false" customHeight="false" outlineLevel="0" collapsed="false">
      <c r="A121" s="15"/>
      <c r="B121" s="15"/>
      <c r="C121" s="15"/>
      <c r="D121" s="15"/>
      <c r="E121" s="15"/>
      <c r="F121" s="16" t="str">
        <f aca="false">IFERROR(INDEX(Ref_RISK!$B$2:$B$201,MATCH(B121,Ref_RISK!$A$2:$A$201,0)),"")</f>
        <v/>
      </c>
      <c r="G121" s="16" t="str">
        <f aca="false">IFERROR(INDEX(Control_Register!$I$5:$I$204,MATCH(C121,Control_Register!$A$5:$A$204,0)),"")</f>
        <v/>
      </c>
      <c r="H121" s="16" t="str">
        <f aca="false">IF(A121="","",IF(OR(B121="",C121="",D121=""),"Risk, control and coverage needed",IF(COUNTIF(Ref_RISK!$A$2:$A$201,B121)=0,"RISK-ID not in W04",IF(COUNTIF(Control_Register!$A$5:$A$204,C121)=0,"CTRL-ID not in register","OK"))))</f>
        <v/>
      </c>
    </row>
    <row r="122" customFormat="false" ht="15" hidden="false" customHeight="false" outlineLevel="0" collapsed="false">
      <c r="A122" s="15"/>
      <c r="B122" s="15"/>
      <c r="C122" s="15"/>
      <c r="D122" s="15"/>
      <c r="E122" s="15"/>
      <c r="F122" s="16" t="str">
        <f aca="false">IFERROR(INDEX(Ref_RISK!$B$2:$B$201,MATCH(B122,Ref_RISK!$A$2:$A$201,0)),"")</f>
        <v/>
      </c>
      <c r="G122" s="16" t="str">
        <f aca="false">IFERROR(INDEX(Control_Register!$I$5:$I$204,MATCH(C122,Control_Register!$A$5:$A$204,0)),"")</f>
        <v/>
      </c>
      <c r="H122" s="16" t="str">
        <f aca="false">IF(A122="","",IF(OR(B122="",C122="",D122=""),"Risk, control and coverage needed",IF(COUNTIF(Ref_RISK!$A$2:$A$201,B122)=0,"RISK-ID not in W04",IF(COUNTIF(Control_Register!$A$5:$A$204,C122)=0,"CTRL-ID not in register","OK"))))</f>
        <v/>
      </c>
    </row>
    <row r="123" customFormat="false" ht="15" hidden="false" customHeight="false" outlineLevel="0" collapsed="false">
      <c r="A123" s="15"/>
      <c r="B123" s="15"/>
      <c r="C123" s="15"/>
      <c r="D123" s="15"/>
      <c r="E123" s="15"/>
      <c r="F123" s="16" t="str">
        <f aca="false">IFERROR(INDEX(Ref_RISK!$B$2:$B$201,MATCH(B123,Ref_RISK!$A$2:$A$201,0)),"")</f>
        <v/>
      </c>
      <c r="G123" s="16" t="str">
        <f aca="false">IFERROR(INDEX(Control_Register!$I$5:$I$204,MATCH(C123,Control_Register!$A$5:$A$204,0)),"")</f>
        <v/>
      </c>
      <c r="H123" s="16" t="str">
        <f aca="false">IF(A123="","",IF(OR(B123="",C123="",D123=""),"Risk, control and coverage needed",IF(COUNTIF(Ref_RISK!$A$2:$A$201,B123)=0,"RISK-ID not in W04",IF(COUNTIF(Control_Register!$A$5:$A$204,C123)=0,"CTRL-ID not in register","OK"))))</f>
        <v/>
      </c>
    </row>
    <row r="124" customFormat="false" ht="15" hidden="false" customHeight="false" outlineLevel="0" collapsed="false">
      <c r="A124" s="15"/>
      <c r="B124" s="15"/>
      <c r="C124" s="15"/>
      <c r="D124" s="15"/>
      <c r="E124" s="15"/>
      <c r="F124" s="16" t="str">
        <f aca="false">IFERROR(INDEX(Ref_RISK!$B$2:$B$201,MATCH(B124,Ref_RISK!$A$2:$A$201,0)),"")</f>
        <v/>
      </c>
      <c r="G124" s="16" t="str">
        <f aca="false">IFERROR(INDEX(Control_Register!$I$5:$I$204,MATCH(C124,Control_Register!$A$5:$A$204,0)),"")</f>
        <v/>
      </c>
      <c r="H124" s="16" t="str">
        <f aca="false">IF(A124="","",IF(OR(B124="",C124="",D124=""),"Risk, control and coverage needed",IF(COUNTIF(Ref_RISK!$A$2:$A$201,B124)=0,"RISK-ID not in W04",IF(COUNTIF(Control_Register!$A$5:$A$204,C124)=0,"CTRL-ID not in register","OK"))))</f>
        <v/>
      </c>
    </row>
    <row r="125" customFormat="false" ht="15" hidden="false" customHeight="false" outlineLevel="0" collapsed="false">
      <c r="A125" s="15"/>
      <c r="B125" s="15"/>
      <c r="C125" s="15"/>
      <c r="D125" s="15"/>
      <c r="E125" s="15"/>
      <c r="F125" s="16" t="str">
        <f aca="false">IFERROR(INDEX(Ref_RISK!$B$2:$B$201,MATCH(B125,Ref_RISK!$A$2:$A$201,0)),"")</f>
        <v/>
      </c>
      <c r="G125" s="16" t="str">
        <f aca="false">IFERROR(INDEX(Control_Register!$I$5:$I$204,MATCH(C125,Control_Register!$A$5:$A$204,0)),"")</f>
        <v/>
      </c>
      <c r="H125" s="16" t="str">
        <f aca="false">IF(A125="","",IF(OR(B125="",C125="",D125=""),"Risk, control and coverage needed",IF(COUNTIF(Ref_RISK!$A$2:$A$201,B125)=0,"RISK-ID not in W04",IF(COUNTIF(Control_Register!$A$5:$A$204,C125)=0,"CTRL-ID not in register","OK"))))</f>
        <v/>
      </c>
    </row>
    <row r="126" customFormat="false" ht="15" hidden="false" customHeight="false" outlineLevel="0" collapsed="false">
      <c r="A126" s="15"/>
      <c r="B126" s="15"/>
      <c r="C126" s="15"/>
      <c r="D126" s="15"/>
      <c r="E126" s="15"/>
      <c r="F126" s="16" t="str">
        <f aca="false">IFERROR(INDEX(Ref_RISK!$B$2:$B$201,MATCH(B126,Ref_RISK!$A$2:$A$201,0)),"")</f>
        <v/>
      </c>
      <c r="G126" s="16" t="str">
        <f aca="false">IFERROR(INDEX(Control_Register!$I$5:$I$204,MATCH(C126,Control_Register!$A$5:$A$204,0)),"")</f>
        <v/>
      </c>
      <c r="H126" s="16" t="str">
        <f aca="false">IF(A126="","",IF(OR(B126="",C126="",D126=""),"Risk, control and coverage needed",IF(COUNTIF(Ref_RISK!$A$2:$A$201,B126)=0,"RISK-ID not in W04",IF(COUNTIF(Control_Register!$A$5:$A$204,C126)=0,"CTRL-ID not in register","OK"))))</f>
        <v/>
      </c>
    </row>
    <row r="127" customFormat="false" ht="15" hidden="false" customHeight="false" outlineLevel="0" collapsed="false">
      <c r="A127" s="15"/>
      <c r="B127" s="15"/>
      <c r="C127" s="15"/>
      <c r="D127" s="15"/>
      <c r="E127" s="15"/>
      <c r="F127" s="16" t="str">
        <f aca="false">IFERROR(INDEX(Ref_RISK!$B$2:$B$201,MATCH(B127,Ref_RISK!$A$2:$A$201,0)),"")</f>
        <v/>
      </c>
      <c r="G127" s="16" t="str">
        <f aca="false">IFERROR(INDEX(Control_Register!$I$5:$I$204,MATCH(C127,Control_Register!$A$5:$A$204,0)),"")</f>
        <v/>
      </c>
      <c r="H127" s="16" t="str">
        <f aca="false">IF(A127="","",IF(OR(B127="",C127="",D127=""),"Risk, control and coverage needed",IF(COUNTIF(Ref_RISK!$A$2:$A$201,B127)=0,"RISK-ID not in W04",IF(COUNTIF(Control_Register!$A$5:$A$204,C127)=0,"CTRL-ID not in register","OK"))))</f>
        <v/>
      </c>
    </row>
    <row r="128" customFormat="false" ht="15" hidden="false" customHeight="false" outlineLevel="0" collapsed="false">
      <c r="A128" s="15"/>
      <c r="B128" s="15"/>
      <c r="C128" s="15"/>
      <c r="D128" s="15"/>
      <c r="E128" s="15"/>
      <c r="F128" s="16" t="str">
        <f aca="false">IFERROR(INDEX(Ref_RISK!$B$2:$B$201,MATCH(B128,Ref_RISK!$A$2:$A$201,0)),"")</f>
        <v/>
      </c>
      <c r="G128" s="16" t="str">
        <f aca="false">IFERROR(INDEX(Control_Register!$I$5:$I$204,MATCH(C128,Control_Register!$A$5:$A$204,0)),"")</f>
        <v/>
      </c>
      <c r="H128" s="16" t="str">
        <f aca="false">IF(A128="","",IF(OR(B128="",C128="",D128=""),"Risk, control and coverage needed",IF(COUNTIF(Ref_RISK!$A$2:$A$201,B128)=0,"RISK-ID not in W04",IF(COUNTIF(Control_Register!$A$5:$A$204,C128)=0,"CTRL-ID not in register","OK"))))</f>
        <v/>
      </c>
    </row>
    <row r="129" customFormat="false" ht="15" hidden="false" customHeight="false" outlineLevel="0" collapsed="false">
      <c r="A129" s="15"/>
      <c r="B129" s="15"/>
      <c r="C129" s="15"/>
      <c r="D129" s="15"/>
      <c r="E129" s="15"/>
      <c r="F129" s="16" t="str">
        <f aca="false">IFERROR(INDEX(Ref_RISK!$B$2:$B$201,MATCH(B129,Ref_RISK!$A$2:$A$201,0)),"")</f>
        <v/>
      </c>
      <c r="G129" s="16" t="str">
        <f aca="false">IFERROR(INDEX(Control_Register!$I$5:$I$204,MATCH(C129,Control_Register!$A$5:$A$204,0)),"")</f>
        <v/>
      </c>
      <c r="H129" s="16" t="str">
        <f aca="false">IF(A129="","",IF(OR(B129="",C129="",D129=""),"Risk, control and coverage needed",IF(COUNTIF(Ref_RISK!$A$2:$A$201,B129)=0,"RISK-ID not in W04",IF(COUNTIF(Control_Register!$A$5:$A$204,C129)=0,"CTRL-ID not in register","OK"))))</f>
        <v/>
      </c>
    </row>
    <row r="130" customFormat="false" ht="15" hidden="false" customHeight="false" outlineLevel="0" collapsed="false">
      <c r="A130" s="15"/>
      <c r="B130" s="15"/>
      <c r="C130" s="15"/>
      <c r="D130" s="15"/>
      <c r="E130" s="15"/>
      <c r="F130" s="16" t="str">
        <f aca="false">IFERROR(INDEX(Ref_RISK!$B$2:$B$201,MATCH(B130,Ref_RISK!$A$2:$A$201,0)),"")</f>
        <v/>
      </c>
      <c r="G130" s="16" t="str">
        <f aca="false">IFERROR(INDEX(Control_Register!$I$5:$I$204,MATCH(C130,Control_Register!$A$5:$A$204,0)),"")</f>
        <v/>
      </c>
      <c r="H130" s="16" t="str">
        <f aca="false">IF(A130="","",IF(OR(B130="",C130="",D130=""),"Risk, control and coverage needed",IF(COUNTIF(Ref_RISK!$A$2:$A$201,B130)=0,"RISK-ID not in W04",IF(COUNTIF(Control_Register!$A$5:$A$204,C130)=0,"CTRL-ID not in register","OK"))))</f>
        <v/>
      </c>
    </row>
    <row r="131" customFormat="false" ht="15" hidden="false" customHeight="false" outlineLevel="0" collapsed="false">
      <c r="A131" s="15"/>
      <c r="B131" s="15"/>
      <c r="C131" s="15"/>
      <c r="D131" s="15"/>
      <c r="E131" s="15"/>
      <c r="F131" s="16" t="str">
        <f aca="false">IFERROR(INDEX(Ref_RISK!$B$2:$B$201,MATCH(B131,Ref_RISK!$A$2:$A$201,0)),"")</f>
        <v/>
      </c>
      <c r="G131" s="16" t="str">
        <f aca="false">IFERROR(INDEX(Control_Register!$I$5:$I$204,MATCH(C131,Control_Register!$A$5:$A$204,0)),"")</f>
        <v/>
      </c>
      <c r="H131" s="16" t="str">
        <f aca="false">IF(A131="","",IF(OR(B131="",C131="",D131=""),"Risk, control and coverage needed",IF(COUNTIF(Ref_RISK!$A$2:$A$201,B131)=0,"RISK-ID not in W04",IF(COUNTIF(Control_Register!$A$5:$A$204,C131)=0,"CTRL-ID not in register","OK"))))</f>
        <v/>
      </c>
    </row>
    <row r="132" customFormat="false" ht="15" hidden="false" customHeight="false" outlineLevel="0" collapsed="false">
      <c r="A132" s="15"/>
      <c r="B132" s="15"/>
      <c r="C132" s="15"/>
      <c r="D132" s="15"/>
      <c r="E132" s="15"/>
      <c r="F132" s="16" t="str">
        <f aca="false">IFERROR(INDEX(Ref_RISK!$B$2:$B$201,MATCH(B132,Ref_RISK!$A$2:$A$201,0)),"")</f>
        <v/>
      </c>
      <c r="G132" s="16" t="str">
        <f aca="false">IFERROR(INDEX(Control_Register!$I$5:$I$204,MATCH(C132,Control_Register!$A$5:$A$204,0)),"")</f>
        <v/>
      </c>
      <c r="H132" s="16" t="str">
        <f aca="false">IF(A132="","",IF(OR(B132="",C132="",D132=""),"Risk, control and coverage needed",IF(COUNTIF(Ref_RISK!$A$2:$A$201,B132)=0,"RISK-ID not in W04",IF(COUNTIF(Control_Register!$A$5:$A$204,C132)=0,"CTRL-ID not in register","OK"))))</f>
        <v/>
      </c>
    </row>
    <row r="133" customFormat="false" ht="15" hidden="false" customHeight="false" outlineLevel="0" collapsed="false">
      <c r="A133" s="15"/>
      <c r="B133" s="15"/>
      <c r="C133" s="15"/>
      <c r="D133" s="15"/>
      <c r="E133" s="15"/>
      <c r="F133" s="16" t="str">
        <f aca="false">IFERROR(INDEX(Ref_RISK!$B$2:$B$201,MATCH(B133,Ref_RISK!$A$2:$A$201,0)),"")</f>
        <v/>
      </c>
      <c r="G133" s="16" t="str">
        <f aca="false">IFERROR(INDEX(Control_Register!$I$5:$I$204,MATCH(C133,Control_Register!$A$5:$A$204,0)),"")</f>
        <v/>
      </c>
      <c r="H133" s="16" t="str">
        <f aca="false">IF(A133="","",IF(OR(B133="",C133="",D133=""),"Risk, control and coverage needed",IF(COUNTIF(Ref_RISK!$A$2:$A$201,B133)=0,"RISK-ID not in W04",IF(COUNTIF(Control_Register!$A$5:$A$204,C133)=0,"CTRL-ID not in register","OK"))))</f>
        <v/>
      </c>
    </row>
    <row r="134" customFormat="false" ht="15" hidden="false" customHeight="false" outlineLevel="0" collapsed="false">
      <c r="A134" s="15"/>
      <c r="B134" s="15"/>
      <c r="C134" s="15"/>
      <c r="D134" s="15"/>
      <c r="E134" s="15"/>
      <c r="F134" s="16" t="str">
        <f aca="false">IFERROR(INDEX(Ref_RISK!$B$2:$B$201,MATCH(B134,Ref_RISK!$A$2:$A$201,0)),"")</f>
        <v/>
      </c>
      <c r="G134" s="16" t="str">
        <f aca="false">IFERROR(INDEX(Control_Register!$I$5:$I$204,MATCH(C134,Control_Register!$A$5:$A$204,0)),"")</f>
        <v/>
      </c>
      <c r="H134" s="16" t="str">
        <f aca="false">IF(A134="","",IF(OR(B134="",C134="",D134=""),"Risk, control and coverage needed",IF(COUNTIF(Ref_RISK!$A$2:$A$201,B134)=0,"RISK-ID not in W04",IF(COUNTIF(Control_Register!$A$5:$A$204,C134)=0,"CTRL-ID not in register","OK"))))</f>
        <v/>
      </c>
    </row>
    <row r="135" customFormat="false" ht="15" hidden="false" customHeight="false" outlineLevel="0" collapsed="false">
      <c r="A135" s="15"/>
      <c r="B135" s="15"/>
      <c r="C135" s="15"/>
      <c r="D135" s="15"/>
      <c r="E135" s="15"/>
      <c r="F135" s="16" t="str">
        <f aca="false">IFERROR(INDEX(Ref_RISK!$B$2:$B$201,MATCH(B135,Ref_RISK!$A$2:$A$201,0)),"")</f>
        <v/>
      </c>
      <c r="G135" s="16" t="str">
        <f aca="false">IFERROR(INDEX(Control_Register!$I$5:$I$204,MATCH(C135,Control_Register!$A$5:$A$204,0)),"")</f>
        <v/>
      </c>
      <c r="H135" s="16" t="str">
        <f aca="false">IF(A135="","",IF(OR(B135="",C135="",D135=""),"Risk, control and coverage needed",IF(COUNTIF(Ref_RISK!$A$2:$A$201,B135)=0,"RISK-ID not in W04",IF(COUNTIF(Control_Register!$A$5:$A$204,C135)=0,"CTRL-ID not in register","OK"))))</f>
        <v/>
      </c>
    </row>
    <row r="136" customFormat="false" ht="15" hidden="false" customHeight="false" outlineLevel="0" collapsed="false">
      <c r="A136" s="15"/>
      <c r="B136" s="15"/>
      <c r="C136" s="15"/>
      <c r="D136" s="15"/>
      <c r="E136" s="15"/>
      <c r="F136" s="16" t="str">
        <f aca="false">IFERROR(INDEX(Ref_RISK!$B$2:$B$201,MATCH(B136,Ref_RISK!$A$2:$A$201,0)),"")</f>
        <v/>
      </c>
      <c r="G136" s="16" t="str">
        <f aca="false">IFERROR(INDEX(Control_Register!$I$5:$I$204,MATCH(C136,Control_Register!$A$5:$A$204,0)),"")</f>
        <v/>
      </c>
      <c r="H136" s="16" t="str">
        <f aca="false">IF(A136="","",IF(OR(B136="",C136="",D136=""),"Risk, control and coverage needed",IF(COUNTIF(Ref_RISK!$A$2:$A$201,B136)=0,"RISK-ID not in W04",IF(COUNTIF(Control_Register!$A$5:$A$204,C136)=0,"CTRL-ID not in register","OK"))))</f>
        <v/>
      </c>
    </row>
    <row r="137" customFormat="false" ht="15" hidden="false" customHeight="false" outlineLevel="0" collapsed="false">
      <c r="A137" s="15"/>
      <c r="B137" s="15"/>
      <c r="C137" s="15"/>
      <c r="D137" s="15"/>
      <c r="E137" s="15"/>
      <c r="F137" s="16" t="str">
        <f aca="false">IFERROR(INDEX(Ref_RISK!$B$2:$B$201,MATCH(B137,Ref_RISK!$A$2:$A$201,0)),"")</f>
        <v/>
      </c>
      <c r="G137" s="16" t="str">
        <f aca="false">IFERROR(INDEX(Control_Register!$I$5:$I$204,MATCH(C137,Control_Register!$A$5:$A$204,0)),"")</f>
        <v/>
      </c>
      <c r="H137" s="16" t="str">
        <f aca="false">IF(A137="","",IF(OR(B137="",C137="",D137=""),"Risk, control and coverage needed",IF(COUNTIF(Ref_RISK!$A$2:$A$201,B137)=0,"RISK-ID not in W04",IF(COUNTIF(Control_Register!$A$5:$A$204,C137)=0,"CTRL-ID not in register","OK"))))</f>
        <v/>
      </c>
    </row>
    <row r="138" customFormat="false" ht="15" hidden="false" customHeight="false" outlineLevel="0" collapsed="false">
      <c r="A138" s="15"/>
      <c r="B138" s="15"/>
      <c r="C138" s="15"/>
      <c r="D138" s="15"/>
      <c r="E138" s="15"/>
      <c r="F138" s="16" t="str">
        <f aca="false">IFERROR(INDEX(Ref_RISK!$B$2:$B$201,MATCH(B138,Ref_RISK!$A$2:$A$201,0)),"")</f>
        <v/>
      </c>
      <c r="G138" s="16" t="str">
        <f aca="false">IFERROR(INDEX(Control_Register!$I$5:$I$204,MATCH(C138,Control_Register!$A$5:$A$204,0)),"")</f>
        <v/>
      </c>
      <c r="H138" s="16" t="str">
        <f aca="false">IF(A138="","",IF(OR(B138="",C138="",D138=""),"Risk, control and coverage needed",IF(COUNTIF(Ref_RISK!$A$2:$A$201,B138)=0,"RISK-ID not in W04",IF(COUNTIF(Control_Register!$A$5:$A$204,C138)=0,"CTRL-ID not in register","OK"))))</f>
        <v/>
      </c>
    </row>
    <row r="139" customFormat="false" ht="15" hidden="false" customHeight="false" outlineLevel="0" collapsed="false">
      <c r="A139" s="15"/>
      <c r="B139" s="15"/>
      <c r="C139" s="15"/>
      <c r="D139" s="15"/>
      <c r="E139" s="15"/>
      <c r="F139" s="16" t="str">
        <f aca="false">IFERROR(INDEX(Ref_RISK!$B$2:$B$201,MATCH(B139,Ref_RISK!$A$2:$A$201,0)),"")</f>
        <v/>
      </c>
      <c r="G139" s="16" t="str">
        <f aca="false">IFERROR(INDEX(Control_Register!$I$5:$I$204,MATCH(C139,Control_Register!$A$5:$A$204,0)),"")</f>
        <v/>
      </c>
      <c r="H139" s="16" t="str">
        <f aca="false">IF(A139="","",IF(OR(B139="",C139="",D139=""),"Risk, control and coverage needed",IF(COUNTIF(Ref_RISK!$A$2:$A$201,B139)=0,"RISK-ID not in W04",IF(COUNTIF(Control_Register!$A$5:$A$204,C139)=0,"CTRL-ID not in register","OK"))))</f>
        <v/>
      </c>
    </row>
    <row r="140" customFormat="false" ht="15" hidden="false" customHeight="false" outlineLevel="0" collapsed="false">
      <c r="A140" s="15"/>
      <c r="B140" s="15"/>
      <c r="C140" s="15"/>
      <c r="D140" s="15"/>
      <c r="E140" s="15"/>
      <c r="F140" s="16" t="str">
        <f aca="false">IFERROR(INDEX(Ref_RISK!$B$2:$B$201,MATCH(B140,Ref_RISK!$A$2:$A$201,0)),"")</f>
        <v/>
      </c>
      <c r="G140" s="16" t="str">
        <f aca="false">IFERROR(INDEX(Control_Register!$I$5:$I$204,MATCH(C140,Control_Register!$A$5:$A$204,0)),"")</f>
        <v/>
      </c>
      <c r="H140" s="16" t="str">
        <f aca="false">IF(A140="","",IF(OR(B140="",C140="",D140=""),"Risk, control and coverage needed",IF(COUNTIF(Ref_RISK!$A$2:$A$201,B140)=0,"RISK-ID not in W04",IF(COUNTIF(Control_Register!$A$5:$A$204,C140)=0,"CTRL-ID not in register","OK"))))</f>
        <v/>
      </c>
    </row>
    <row r="141" customFormat="false" ht="15" hidden="false" customHeight="false" outlineLevel="0" collapsed="false">
      <c r="A141" s="15"/>
      <c r="B141" s="15"/>
      <c r="C141" s="15"/>
      <c r="D141" s="15"/>
      <c r="E141" s="15"/>
      <c r="F141" s="16" t="str">
        <f aca="false">IFERROR(INDEX(Ref_RISK!$B$2:$B$201,MATCH(B141,Ref_RISK!$A$2:$A$201,0)),"")</f>
        <v/>
      </c>
      <c r="G141" s="16" t="str">
        <f aca="false">IFERROR(INDEX(Control_Register!$I$5:$I$204,MATCH(C141,Control_Register!$A$5:$A$204,0)),"")</f>
        <v/>
      </c>
      <c r="H141" s="16" t="str">
        <f aca="false">IF(A141="","",IF(OR(B141="",C141="",D141=""),"Risk, control and coverage needed",IF(COUNTIF(Ref_RISK!$A$2:$A$201,B141)=0,"RISK-ID not in W04",IF(COUNTIF(Control_Register!$A$5:$A$204,C141)=0,"CTRL-ID not in register","OK"))))</f>
        <v/>
      </c>
    </row>
    <row r="142" customFormat="false" ht="15" hidden="false" customHeight="false" outlineLevel="0" collapsed="false">
      <c r="A142" s="15"/>
      <c r="B142" s="15"/>
      <c r="C142" s="15"/>
      <c r="D142" s="15"/>
      <c r="E142" s="15"/>
      <c r="F142" s="16" t="str">
        <f aca="false">IFERROR(INDEX(Ref_RISK!$B$2:$B$201,MATCH(B142,Ref_RISK!$A$2:$A$201,0)),"")</f>
        <v/>
      </c>
      <c r="G142" s="16" t="str">
        <f aca="false">IFERROR(INDEX(Control_Register!$I$5:$I$204,MATCH(C142,Control_Register!$A$5:$A$204,0)),"")</f>
        <v/>
      </c>
      <c r="H142" s="16" t="str">
        <f aca="false">IF(A142="","",IF(OR(B142="",C142="",D142=""),"Risk, control and coverage needed",IF(COUNTIF(Ref_RISK!$A$2:$A$201,B142)=0,"RISK-ID not in W04",IF(COUNTIF(Control_Register!$A$5:$A$204,C142)=0,"CTRL-ID not in register","OK"))))</f>
        <v/>
      </c>
    </row>
    <row r="143" customFormat="false" ht="15" hidden="false" customHeight="false" outlineLevel="0" collapsed="false">
      <c r="A143" s="15"/>
      <c r="B143" s="15"/>
      <c r="C143" s="15"/>
      <c r="D143" s="15"/>
      <c r="E143" s="15"/>
      <c r="F143" s="16" t="str">
        <f aca="false">IFERROR(INDEX(Ref_RISK!$B$2:$B$201,MATCH(B143,Ref_RISK!$A$2:$A$201,0)),"")</f>
        <v/>
      </c>
      <c r="G143" s="16" t="str">
        <f aca="false">IFERROR(INDEX(Control_Register!$I$5:$I$204,MATCH(C143,Control_Register!$A$5:$A$204,0)),"")</f>
        <v/>
      </c>
      <c r="H143" s="16" t="str">
        <f aca="false">IF(A143="","",IF(OR(B143="",C143="",D143=""),"Risk, control and coverage needed",IF(COUNTIF(Ref_RISK!$A$2:$A$201,B143)=0,"RISK-ID not in W04",IF(COUNTIF(Control_Register!$A$5:$A$204,C143)=0,"CTRL-ID not in register","OK"))))</f>
        <v/>
      </c>
    </row>
    <row r="144" customFormat="false" ht="15" hidden="false" customHeight="false" outlineLevel="0" collapsed="false">
      <c r="A144" s="15"/>
      <c r="B144" s="15"/>
      <c r="C144" s="15"/>
      <c r="D144" s="15"/>
      <c r="E144" s="15"/>
      <c r="F144" s="16" t="str">
        <f aca="false">IFERROR(INDEX(Ref_RISK!$B$2:$B$201,MATCH(B144,Ref_RISK!$A$2:$A$201,0)),"")</f>
        <v/>
      </c>
      <c r="G144" s="16" t="str">
        <f aca="false">IFERROR(INDEX(Control_Register!$I$5:$I$204,MATCH(C144,Control_Register!$A$5:$A$204,0)),"")</f>
        <v/>
      </c>
      <c r="H144" s="16" t="str">
        <f aca="false">IF(A144="","",IF(OR(B144="",C144="",D144=""),"Risk, control and coverage needed",IF(COUNTIF(Ref_RISK!$A$2:$A$201,B144)=0,"RISK-ID not in W04",IF(COUNTIF(Control_Register!$A$5:$A$204,C144)=0,"CTRL-ID not in register","OK"))))</f>
        <v/>
      </c>
    </row>
    <row r="145" customFormat="false" ht="15" hidden="false" customHeight="false" outlineLevel="0" collapsed="false">
      <c r="A145" s="15"/>
      <c r="B145" s="15"/>
      <c r="C145" s="15"/>
      <c r="D145" s="15"/>
      <c r="E145" s="15"/>
      <c r="F145" s="16" t="str">
        <f aca="false">IFERROR(INDEX(Ref_RISK!$B$2:$B$201,MATCH(B145,Ref_RISK!$A$2:$A$201,0)),"")</f>
        <v/>
      </c>
      <c r="G145" s="16" t="str">
        <f aca="false">IFERROR(INDEX(Control_Register!$I$5:$I$204,MATCH(C145,Control_Register!$A$5:$A$204,0)),"")</f>
        <v/>
      </c>
      <c r="H145" s="16" t="str">
        <f aca="false">IF(A145="","",IF(OR(B145="",C145="",D145=""),"Risk, control and coverage needed",IF(COUNTIF(Ref_RISK!$A$2:$A$201,B145)=0,"RISK-ID not in W04",IF(COUNTIF(Control_Register!$A$5:$A$204,C145)=0,"CTRL-ID not in register","OK"))))</f>
        <v/>
      </c>
    </row>
    <row r="146" customFormat="false" ht="15" hidden="false" customHeight="false" outlineLevel="0" collapsed="false">
      <c r="A146" s="15"/>
      <c r="B146" s="15"/>
      <c r="C146" s="15"/>
      <c r="D146" s="15"/>
      <c r="E146" s="15"/>
      <c r="F146" s="16" t="str">
        <f aca="false">IFERROR(INDEX(Ref_RISK!$B$2:$B$201,MATCH(B146,Ref_RISK!$A$2:$A$201,0)),"")</f>
        <v/>
      </c>
      <c r="G146" s="16" t="str">
        <f aca="false">IFERROR(INDEX(Control_Register!$I$5:$I$204,MATCH(C146,Control_Register!$A$5:$A$204,0)),"")</f>
        <v/>
      </c>
      <c r="H146" s="16" t="str">
        <f aca="false">IF(A146="","",IF(OR(B146="",C146="",D146=""),"Risk, control and coverage needed",IF(COUNTIF(Ref_RISK!$A$2:$A$201,B146)=0,"RISK-ID not in W04",IF(COUNTIF(Control_Register!$A$5:$A$204,C146)=0,"CTRL-ID not in register","OK"))))</f>
        <v/>
      </c>
    </row>
    <row r="147" customFormat="false" ht="15" hidden="false" customHeight="false" outlineLevel="0" collapsed="false">
      <c r="A147" s="15"/>
      <c r="B147" s="15"/>
      <c r="C147" s="15"/>
      <c r="D147" s="15"/>
      <c r="E147" s="15"/>
      <c r="F147" s="16" t="str">
        <f aca="false">IFERROR(INDEX(Ref_RISK!$B$2:$B$201,MATCH(B147,Ref_RISK!$A$2:$A$201,0)),"")</f>
        <v/>
      </c>
      <c r="G147" s="16" t="str">
        <f aca="false">IFERROR(INDEX(Control_Register!$I$5:$I$204,MATCH(C147,Control_Register!$A$5:$A$204,0)),"")</f>
        <v/>
      </c>
      <c r="H147" s="16" t="str">
        <f aca="false">IF(A147="","",IF(OR(B147="",C147="",D147=""),"Risk, control and coverage needed",IF(COUNTIF(Ref_RISK!$A$2:$A$201,B147)=0,"RISK-ID not in W04",IF(COUNTIF(Control_Register!$A$5:$A$204,C147)=0,"CTRL-ID not in register","OK"))))</f>
        <v/>
      </c>
    </row>
    <row r="148" customFormat="false" ht="15" hidden="false" customHeight="false" outlineLevel="0" collapsed="false">
      <c r="A148" s="15"/>
      <c r="B148" s="15"/>
      <c r="C148" s="15"/>
      <c r="D148" s="15"/>
      <c r="E148" s="15"/>
      <c r="F148" s="16" t="str">
        <f aca="false">IFERROR(INDEX(Ref_RISK!$B$2:$B$201,MATCH(B148,Ref_RISK!$A$2:$A$201,0)),"")</f>
        <v/>
      </c>
      <c r="G148" s="16" t="str">
        <f aca="false">IFERROR(INDEX(Control_Register!$I$5:$I$204,MATCH(C148,Control_Register!$A$5:$A$204,0)),"")</f>
        <v/>
      </c>
      <c r="H148" s="16" t="str">
        <f aca="false">IF(A148="","",IF(OR(B148="",C148="",D148=""),"Risk, control and coverage needed",IF(COUNTIF(Ref_RISK!$A$2:$A$201,B148)=0,"RISK-ID not in W04",IF(COUNTIF(Control_Register!$A$5:$A$204,C148)=0,"CTRL-ID not in register","OK"))))</f>
        <v/>
      </c>
    </row>
    <row r="149" customFormat="false" ht="15" hidden="false" customHeight="false" outlineLevel="0" collapsed="false">
      <c r="A149" s="15"/>
      <c r="B149" s="15"/>
      <c r="C149" s="15"/>
      <c r="D149" s="15"/>
      <c r="E149" s="15"/>
      <c r="F149" s="16" t="str">
        <f aca="false">IFERROR(INDEX(Ref_RISK!$B$2:$B$201,MATCH(B149,Ref_RISK!$A$2:$A$201,0)),"")</f>
        <v/>
      </c>
      <c r="G149" s="16" t="str">
        <f aca="false">IFERROR(INDEX(Control_Register!$I$5:$I$204,MATCH(C149,Control_Register!$A$5:$A$204,0)),"")</f>
        <v/>
      </c>
      <c r="H149" s="16" t="str">
        <f aca="false">IF(A149="","",IF(OR(B149="",C149="",D149=""),"Risk, control and coverage needed",IF(COUNTIF(Ref_RISK!$A$2:$A$201,B149)=0,"RISK-ID not in W04",IF(COUNTIF(Control_Register!$A$5:$A$204,C149)=0,"CTRL-ID not in register","OK"))))</f>
        <v/>
      </c>
    </row>
    <row r="150" customFormat="false" ht="15" hidden="false" customHeight="false" outlineLevel="0" collapsed="false">
      <c r="A150" s="15"/>
      <c r="B150" s="15"/>
      <c r="C150" s="15"/>
      <c r="D150" s="15"/>
      <c r="E150" s="15"/>
      <c r="F150" s="16" t="str">
        <f aca="false">IFERROR(INDEX(Ref_RISK!$B$2:$B$201,MATCH(B150,Ref_RISK!$A$2:$A$201,0)),"")</f>
        <v/>
      </c>
      <c r="G150" s="16" t="str">
        <f aca="false">IFERROR(INDEX(Control_Register!$I$5:$I$204,MATCH(C150,Control_Register!$A$5:$A$204,0)),"")</f>
        <v/>
      </c>
      <c r="H150" s="16" t="str">
        <f aca="false">IF(A150="","",IF(OR(B150="",C150="",D150=""),"Risk, control and coverage needed",IF(COUNTIF(Ref_RISK!$A$2:$A$201,B150)=0,"RISK-ID not in W04",IF(COUNTIF(Control_Register!$A$5:$A$204,C150)=0,"CTRL-ID not in register","OK"))))</f>
        <v/>
      </c>
    </row>
    <row r="151" customFormat="false" ht="15" hidden="false" customHeight="false" outlineLevel="0" collapsed="false">
      <c r="A151" s="15"/>
      <c r="B151" s="15"/>
      <c r="C151" s="15"/>
      <c r="D151" s="15"/>
      <c r="E151" s="15"/>
      <c r="F151" s="16" t="str">
        <f aca="false">IFERROR(INDEX(Ref_RISK!$B$2:$B$201,MATCH(B151,Ref_RISK!$A$2:$A$201,0)),"")</f>
        <v/>
      </c>
      <c r="G151" s="16" t="str">
        <f aca="false">IFERROR(INDEX(Control_Register!$I$5:$I$204,MATCH(C151,Control_Register!$A$5:$A$204,0)),"")</f>
        <v/>
      </c>
      <c r="H151" s="16" t="str">
        <f aca="false">IF(A151="","",IF(OR(B151="",C151="",D151=""),"Risk, control and coverage needed",IF(COUNTIF(Ref_RISK!$A$2:$A$201,B151)=0,"RISK-ID not in W04",IF(COUNTIF(Control_Register!$A$5:$A$204,C151)=0,"CTRL-ID not in register","OK"))))</f>
        <v/>
      </c>
    </row>
    <row r="152" customFormat="false" ht="15" hidden="false" customHeight="false" outlineLevel="0" collapsed="false">
      <c r="A152" s="15"/>
      <c r="B152" s="15"/>
      <c r="C152" s="15"/>
      <c r="D152" s="15"/>
      <c r="E152" s="15"/>
      <c r="F152" s="16" t="str">
        <f aca="false">IFERROR(INDEX(Ref_RISK!$B$2:$B$201,MATCH(B152,Ref_RISK!$A$2:$A$201,0)),"")</f>
        <v/>
      </c>
      <c r="G152" s="16" t="str">
        <f aca="false">IFERROR(INDEX(Control_Register!$I$5:$I$204,MATCH(C152,Control_Register!$A$5:$A$204,0)),"")</f>
        <v/>
      </c>
      <c r="H152" s="16" t="str">
        <f aca="false">IF(A152="","",IF(OR(B152="",C152="",D152=""),"Risk, control and coverage needed",IF(COUNTIF(Ref_RISK!$A$2:$A$201,B152)=0,"RISK-ID not in W04",IF(COUNTIF(Control_Register!$A$5:$A$204,C152)=0,"CTRL-ID not in register","OK"))))</f>
        <v/>
      </c>
    </row>
    <row r="153" customFormat="false" ht="15" hidden="false" customHeight="false" outlineLevel="0" collapsed="false">
      <c r="A153" s="15"/>
      <c r="B153" s="15"/>
      <c r="C153" s="15"/>
      <c r="D153" s="15"/>
      <c r="E153" s="15"/>
      <c r="F153" s="16" t="str">
        <f aca="false">IFERROR(INDEX(Ref_RISK!$B$2:$B$201,MATCH(B153,Ref_RISK!$A$2:$A$201,0)),"")</f>
        <v/>
      </c>
      <c r="G153" s="16" t="str">
        <f aca="false">IFERROR(INDEX(Control_Register!$I$5:$I$204,MATCH(C153,Control_Register!$A$5:$A$204,0)),"")</f>
        <v/>
      </c>
      <c r="H153" s="16" t="str">
        <f aca="false">IF(A153="","",IF(OR(B153="",C153="",D153=""),"Risk, control and coverage needed",IF(COUNTIF(Ref_RISK!$A$2:$A$201,B153)=0,"RISK-ID not in W04",IF(COUNTIF(Control_Register!$A$5:$A$204,C153)=0,"CTRL-ID not in register","OK"))))</f>
        <v/>
      </c>
    </row>
    <row r="154" customFormat="false" ht="15" hidden="false" customHeight="false" outlineLevel="0" collapsed="false">
      <c r="A154" s="15"/>
      <c r="B154" s="15"/>
      <c r="C154" s="15"/>
      <c r="D154" s="15"/>
      <c r="E154" s="15"/>
      <c r="F154" s="16" t="str">
        <f aca="false">IFERROR(INDEX(Ref_RISK!$B$2:$B$201,MATCH(B154,Ref_RISK!$A$2:$A$201,0)),"")</f>
        <v/>
      </c>
      <c r="G154" s="16" t="str">
        <f aca="false">IFERROR(INDEX(Control_Register!$I$5:$I$204,MATCH(C154,Control_Register!$A$5:$A$204,0)),"")</f>
        <v/>
      </c>
      <c r="H154" s="16" t="str">
        <f aca="false">IF(A154="","",IF(OR(B154="",C154="",D154=""),"Risk, control and coverage needed",IF(COUNTIF(Ref_RISK!$A$2:$A$201,B154)=0,"RISK-ID not in W04",IF(COUNTIF(Control_Register!$A$5:$A$204,C154)=0,"CTRL-ID not in register","OK"))))</f>
        <v/>
      </c>
    </row>
    <row r="155" customFormat="false" ht="15" hidden="false" customHeight="false" outlineLevel="0" collapsed="false">
      <c r="A155" s="15"/>
      <c r="B155" s="15"/>
      <c r="C155" s="15"/>
      <c r="D155" s="15"/>
      <c r="E155" s="15"/>
      <c r="F155" s="16" t="str">
        <f aca="false">IFERROR(INDEX(Ref_RISK!$B$2:$B$201,MATCH(B155,Ref_RISK!$A$2:$A$201,0)),"")</f>
        <v/>
      </c>
      <c r="G155" s="16" t="str">
        <f aca="false">IFERROR(INDEX(Control_Register!$I$5:$I$204,MATCH(C155,Control_Register!$A$5:$A$204,0)),"")</f>
        <v/>
      </c>
      <c r="H155" s="16" t="str">
        <f aca="false">IF(A155="","",IF(OR(B155="",C155="",D155=""),"Risk, control and coverage needed",IF(COUNTIF(Ref_RISK!$A$2:$A$201,B155)=0,"RISK-ID not in W04",IF(COUNTIF(Control_Register!$A$5:$A$204,C155)=0,"CTRL-ID not in register","OK"))))</f>
        <v/>
      </c>
    </row>
    <row r="156" customFormat="false" ht="15" hidden="false" customHeight="false" outlineLevel="0" collapsed="false">
      <c r="A156" s="15"/>
      <c r="B156" s="15"/>
      <c r="C156" s="15"/>
      <c r="D156" s="15"/>
      <c r="E156" s="15"/>
      <c r="F156" s="16" t="str">
        <f aca="false">IFERROR(INDEX(Ref_RISK!$B$2:$B$201,MATCH(B156,Ref_RISK!$A$2:$A$201,0)),"")</f>
        <v/>
      </c>
      <c r="G156" s="16" t="str">
        <f aca="false">IFERROR(INDEX(Control_Register!$I$5:$I$204,MATCH(C156,Control_Register!$A$5:$A$204,0)),"")</f>
        <v/>
      </c>
      <c r="H156" s="16" t="str">
        <f aca="false">IF(A156="","",IF(OR(B156="",C156="",D156=""),"Risk, control and coverage needed",IF(COUNTIF(Ref_RISK!$A$2:$A$201,B156)=0,"RISK-ID not in W04",IF(COUNTIF(Control_Register!$A$5:$A$204,C156)=0,"CTRL-ID not in register","OK"))))</f>
        <v/>
      </c>
    </row>
    <row r="157" customFormat="false" ht="15" hidden="false" customHeight="false" outlineLevel="0" collapsed="false">
      <c r="A157" s="15"/>
      <c r="B157" s="15"/>
      <c r="C157" s="15"/>
      <c r="D157" s="15"/>
      <c r="E157" s="15"/>
      <c r="F157" s="16" t="str">
        <f aca="false">IFERROR(INDEX(Ref_RISK!$B$2:$B$201,MATCH(B157,Ref_RISK!$A$2:$A$201,0)),"")</f>
        <v/>
      </c>
      <c r="G157" s="16" t="str">
        <f aca="false">IFERROR(INDEX(Control_Register!$I$5:$I$204,MATCH(C157,Control_Register!$A$5:$A$204,0)),"")</f>
        <v/>
      </c>
      <c r="H157" s="16" t="str">
        <f aca="false">IF(A157="","",IF(OR(B157="",C157="",D157=""),"Risk, control and coverage needed",IF(COUNTIF(Ref_RISK!$A$2:$A$201,B157)=0,"RISK-ID not in W04",IF(COUNTIF(Control_Register!$A$5:$A$204,C157)=0,"CTRL-ID not in register","OK"))))</f>
        <v/>
      </c>
    </row>
    <row r="158" customFormat="false" ht="15" hidden="false" customHeight="false" outlineLevel="0" collapsed="false">
      <c r="A158" s="15"/>
      <c r="B158" s="15"/>
      <c r="C158" s="15"/>
      <c r="D158" s="15"/>
      <c r="E158" s="15"/>
      <c r="F158" s="16" t="str">
        <f aca="false">IFERROR(INDEX(Ref_RISK!$B$2:$B$201,MATCH(B158,Ref_RISK!$A$2:$A$201,0)),"")</f>
        <v/>
      </c>
      <c r="G158" s="16" t="str">
        <f aca="false">IFERROR(INDEX(Control_Register!$I$5:$I$204,MATCH(C158,Control_Register!$A$5:$A$204,0)),"")</f>
        <v/>
      </c>
      <c r="H158" s="16" t="str">
        <f aca="false">IF(A158="","",IF(OR(B158="",C158="",D158=""),"Risk, control and coverage needed",IF(COUNTIF(Ref_RISK!$A$2:$A$201,B158)=0,"RISK-ID not in W04",IF(COUNTIF(Control_Register!$A$5:$A$204,C158)=0,"CTRL-ID not in register","OK"))))</f>
        <v/>
      </c>
    </row>
    <row r="159" customFormat="false" ht="15" hidden="false" customHeight="false" outlineLevel="0" collapsed="false">
      <c r="A159" s="15"/>
      <c r="B159" s="15"/>
      <c r="C159" s="15"/>
      <c r="D159" s="15"/>
      <c r="E159" s="15"/>
      <c r="F159" s="16" t="str">
        <f aca="false">IFERROR(INDEX(Ref_RISK!$B$2:$B$201,MATCH(B159,Ref_RISK!$A$2:$A$201,0)),"")</f>
        <v/>
      </c>
      <c r="G159" s="16" t="str">
        <f aca="false">IFERROR(INDEX(Control_Register!$I$5:$I$204,MATCH(C159,Control_Register!$A$5:$A$204,0)),"")</f>
        <v/>
      </c>
      <c r="H159" s="16" t="str">
        <f aca="false">IF(A159="","",IF(OR(B159="",C159="",D159=""),"Risk, control and coverage needed",IF(COUNTIF(Ref_RISK!$A$2:$A$201,B159)=0,"RISK-ID not in W04",IF(COUNTIF(Control_Register!$A$5:$A$204,C159)=0,"CTRL-ID not in register","OK"))))</f>
        <v/>
      </c>
    </row>
    <row r="160" customFormat="false" ht="15" hidden="false" customHeight="false" outlineLevel="0" collapsed="false">
      <c r="A160" s="15"/>
      <c r="B160" s="15"/>
      <c r="C160" s="15"/>
      <c r="D160" s="15"/>
      <c r="E160" s="15"/>
      <c r="F160" s="16" t="str">
        <f aca="false">IFERROR(INDEX(Ref_RISK!$B$2:$B$201,MATCH(B160,Ref_RISK!$A$2:$A$201,0)),"")</f>
        <v/>
      </c>
      <c r="G160" s="16" t="str">
        <f aca="false">IFERROR(INDEX(Control_Register!$I$5:$I$204,MATCH(C160,Control_Register!$A$5:$A$204,0)),"")</f>
        <v/>
      </c>
      <c r="H160" s="16" t="str">
        <f aca="false">IF(A160="","",IF(OR(B160="",C160="",D160=""),"Risk, control and coverage needed",IF(COUNTIF(Ref_RISK!$A$2:$A$201,B160)=0,"RISK-ID not in W04",IF(COUNTIF(Control_Register!$A$5:$A$204,C160)=0,"CTRL-ID not in register","OK"))))</f>
        <v/>
      </c>
    </row>
    <row r="161" customFormat="false" ht="15" hidden="false" customHeight="false" outlineLevel="0" collapsed="false">
      <c r="A161" s="15"/>
      <c r="B161" s="15"/>
      <c r="C161" s="15"/>
      <c r="D161" s="15"/>
      <c r="E161" s="15"/>
      <c r="F161" s="16" t="str">
        <f aca="false">IFERROR(INDEX(Ref_RISK!$B$2:$B$201,MATCH(B161,Ref_RISK!$A$2:$A$201,0)),"")</f>
        <v/>
      </c>
      <c r="G161" s="16" t="str">
        <f aca="false">IFERROR(INDEX(Control_Register!$I$5:$I$204,MATCH(C161,Control_Register!$A$5:$A$204,0)),"")</f>
        <v/>
      </c>
      <c r="H161" s="16" t="str">
        <f aca="false">IF(A161="","",IF(OR(B161="",C161="",D161=""),"Risk, control and coverage needed",IF(COUNTIF(Ref_RISK!$A$2:$A$201,B161)=0,"RISK-ID not in W04",IF(COUNTIF(Control_Register!$A$5:$A$204,C161)=0,"CTRL-ID not in register","OK"))))</f>
        <v/>
      </c>
    </row>
    <row r="162" customFormat="false" ht="15" hidden="false" customHeight="false" outlineLevel="0" collapsed="false">
      <c r="A162" s="15"/>
      <c r="B162" s="15"/>
      <c r="C162" s="15"/>
      <c r="D162" s="15"/>
      <c r="E162" s="15"/>
      <c r="F162" s="16" t="str">
        <f aca="false">IFERROR(INDEX(Ref_RISK!$B$2:$B$201,MATCH(B162,Ref_RISK!$A$2:$A$201,0)),"")</f>
        <v/>
      </c>
      <c r="G162" s="16" t="str">
        <f aca="false">IFERROR(INDEX(Control_Register!$I$5:$I$204,MATCH(C162,Control_Register!$A$5:$A$204,0)),"")</f>
        <v/>
      </c>
      <c r="H162" s="16" t="str">
        <f aca="false">IF(A162="","",IF(OR(B162="",C162="",D162=""),"Risk, control and coverage needed",IF(COUNTIF(Ref_RISK!$A$2:$A$201,B162)=0,"RISK-ID not in W04",IF(COUNTIF(Control_Register!$A$5:$A$204,C162)=0,"CTRL-ID not in register","OK"))))</f>
        <v/>
      </c>
    </row>
    <row r="163" customFormat="false" ht="15" hidden="false" customHeight="false" outlineLevel="0" collapsed="false">
      <c r="A163" s="15"/>
      <c r="B163" s="15"/>
      <c r="C163" s="15"/>
      <c r="D163" s="15"/>
      <c r="E163" s="15"/>
      <c r="F163" s="16" t="str">
        <f aca="false">IFERROR(INDEX(Ref_RISK!$B$2:$B$201,MATCH(B163,Ref_RISK!$A$2:$A$201,0)),"")</f>
        <v/>
      </c>
      <c r="G163" s="16" t="str">
        <f aca="false">IFERROR(INDEX(Control_Register!$I$5:$I$204,MATCH(C163,Control_Register!$A$5:$A$204,0)),"")</f>
        <v/>
      </c>
      <c r="H163" s="16" t="str">
        <f aca="false">IF(A163="","",IF(OR(B163="",C163="",D163=""),"Risk, control and coverage needed",IF(COUNTIF(Ref_RISK!$A$2:$A$201,B163)=0,"RISK-ID not in W04",IF(COUNTIF(Control_Register!$A$5:$A$204,C163)=0,"CTRL-ID not in register","OK"))))</f>
        <v/>
      </c>
    </row>
    <row r="164" customFormat="false" ht="15" hidden="false" customHeight="false" outlineLevel="0" collapsed="false">
      <c r="A164" s="15"/>
      <c r="B164" s="15"/>
      <c r="C164" s="15"/>
      <c r="D164" s="15"/>
      <c r="E164" s="15"/>
      <c r="F164" s="16" t="str">
        <f aca="false">IFERROR(INDEX(Ref_RISK!$B$2:$B$201,MATCH(B164,Ref_RISK!$A$2:$A$201,0)),"")</f>
        <v/>
      </c>
      <c r="G164" s="16" t="str">
        <f aca="false">IFERROR(INDEX(Control_Register!$I$5:$I$204,MATCH(C164,Control_Register!$A$5:$A$204,0)),"")</f>
        <v/>
      </c>
      <c r="H164" s="16" t="str">
        <f aca="false">IF(A164="","",IF(OR(B164="",C164="",D164=""),"Risk, control and coverage needed",IF(COUNTIF(Ref_RISK!$A$2:$A$201,B164)=0,"RISK-ID not in W04",IF(COUNTIF(Control_Register!$A$5:$A$204,C164)=0,"CTRL-ID not in register","OK"))))</f>
        <v/>
      </c>
    </row>
    <row r="165" customFormat="false" ht="15" hidden="false" customHeight="false" outlineLevel="0" collapsed="false">
      <c r="A165" s="15"/>
      <c r="B165" s="15"/>
      <c r="C165" s="15"/>
      <c r="D165" s="15"/>
      <c r="E165" s="15"/>
      <c r="F165" s="16" t="str">
        <f aca="false">IFERROR(INDEX(Ref_RISK!$B$2:$B$201,MATCH(B165,Ref_RISK!$A$2:$A$201,0)),"")</f>
        <v/>
      </c>
      <c r="G165" s="16" t="str">
        <f aca="false">IFERROR(INDEX(Control_Register!$I$5:$I$204,MATCH(C165,Control_Register!$A$5:$A$204,0)),"")</f>
        <v/>
      </c>
      <c r="H165" s="16" t="str">
        <f aca="false">IF(A165="","",IF(OR(B165="",C165="",D165=""),"Risk, control and coverage needed",IF(COUNTIF(Ref_RISK!$A$2:$A$201,B165)=0,"RISK-ID not in W04",IF(COUNTIF(Control_Register!$A$5:$A$204,C165)=0,"CTRL-ID not in register","OK"))))</f>
        <v/>
      </c>
    </row>
    <row r="166" customFormat="false" ht="15" hidden="false" customHeight="false" outlineLevel="0" collapsed="false">
      <c r="A166" s="15"/>
      <c r="B166" s="15"/>
      <c r="C166" s="15"/>
      <c r="D166" s="15"/>
      <c r="E166" s="15"/>
      <c r="F166" s="16" t="str">
        <f aca="false">IFERROR(INDEX(Ref_RISK!$B$2:$B$201,MATCH(B166,Ref_RISK!$A$2:$A$201,0)),"")</f>
        <v/>
      </c>
      <c r="G166" s="16" t="str">
        <f aca="false">IFERROR(INDEX(Control_Register!$I$5:$I$204,MATCH(C166,Control_Register!$A$5:$A$204,0)),"")</f>
        <v/>
      </c>
      <c r="H166" s="16" t="str">
        <f aca="false">IF(A166="","",IF(OR(B166="",C166="",D166=""),"Risk, control and coverage needed",IF(COUNTIF(Ref_RISK!$A$2:$A$201,B166)=0,"RISK-ID not in W04",IF(COUNTIF(Control_Register!$A$5:$A$204,C166)=0,"CTRL-ID not in register","OK"))))</f>
        <v/>
      </c>
    </row>
    <row r="167" customFormat="false" ht="15" hidden="false" customHeight="false" outlineLevel="0" collapsed="false">
      <c r="A167" s="15"/>
      <c r="B167" s="15"/>
      <c r="C167" s="15"/>
      <c r="D167" s="15"/>
      <c r="E167" s="15"/>
      <c r="F167" s="16" t="str">
        <f aca="false">IFERROR(INDEX(Ref_RISK!$B$2:$B$201,MATCH(B167,Ref_RISK!$A$2:$A$201,0)),"")</f>
        <v/>
      </c>
      <c r="G167" s="16" t="str">
        <f aca="false">IFERROR(INDEX(Control_Register!$I$5:$I$204,MATCH(C167,Control_Register!$A$5:$A$204,0)),"")</f>
        <v/>
      </c>
      <c r="H167" s="16" t="str">
        <f aca="false">IF(A167="","",IF(OR(B167="",C167="",D167=""),"Risk, control and coverage needed",IF(COUNTIF(Ref_RISK!$A$2:$A$201,B167)=0,"RISK-ID not in W04",IF(COUNTIF(Control_Register!$A$5:$A$204,C167)=0,"CTRL-ID not in register","OK"))))</f>
        <v/>
      </c>
    </row>
    <row r="168" customFormat="false" ht="15" hidden="false" customHeight="false" outlineLevel="0" collapsed="false">
      <c r="A168" s="15"/>
      <c r="B168" s="15"/>
      <c r="C168" s="15"/>
      <c r="D168" s="15"/>
      <c r="E168" s="15"/>
      <c r="F168" s="16" t="str">
        <f aca="false">IFERROR(INDEX(Ref_RISK!$B$2:$B$201,MATCH(B168,Ref_RISK!$A$2:$A$201,0)),"")</f>
        <v/>
      </c>
      <c r="G168" s="16" t="str">
        <f aca="false">IFERROR(INDEX(Control_Register!$I$5:$I$204,MATCH(C168,Control_Register!$A$5:$A$204,0)),"")</f>
        <v/>
      </c>
      <c r="H168" s="16" t="str">
        <f aca="false">IF(A168="","",IF(OR(B168="",C168="",D168=""),"Risk, control and coverage needed",IF(COUNTIF(Ref_RISK!$A$2:$A$201,B168)=0,"RISK-ID not in W04",IF(COUNTIF(Control_Register!$A$5:$A$204,C168)=0,"CTRL-ID not in register","OK"))))</f>
        <v/>
      </c>
    </row>
    <row r="169" customFormat="false" ht="15" hidden="false" customHeight="false" outlineLevel="0" collapsed="false">
      <c r="A169" s="15"/>
      <c r="B169" s="15"/>
      <c r="C169" s="15"/>
      <c r="D169" s="15"/>
      <c r="E169" s="15"/>
      <c r="F169" s="16" t="str">
        <f aca="false">IFERROR(INDEX(Ref_RISK!$B$2:$B$201,MATCH(B169,Ref_RISK!$A$2:$A$201,0)),"")</f>
        <v/>
      </c>
      <c r="G169" s="16" t="str">
        <f aca="false">IFERROR(INDEX(Control_Register!$I$5:$I$204,MATCH(C169,Control_Register!$A$5:$A$204,0)),"")</f>
        <v/>
      </c>
      <c r="H169" s="16" t="str">
        <f aca="false">IF(A169="","",IF(OR(B169="",C169="",D169=""),"Risk, control and coverage needed",IF(COUNTIF(Ref_RISK!$A$2:$A$201,B169)=0,"RISK-ID not in W04",IF(COUNTIF(Control_Register!$A$5:$A$204,C169)=0,"CTRL-ID not in register","OK"))))</f>
        <v/>
      </c>
    </row>
    <row r="170" customFormat="false" ht="15" hidden="false" customHeight="false" outlineLevel="0" collapsed="false">
      <c r="A170" s="15"/>
      <c r="B170" s="15"/>
      <c r="C170" s="15"/>
      <c r="D170" s="15"/>
      <c r="E170" s="15"/>
      <c r="F170" s="16" t="str">
        <f aca="false">IFERROR(INDEX(Ref_RISK!$B$2:$B$201,MATCH(B170,Ref_RISK!$A$2:$A$201,0)),"")</f>
        <v/>
      </c>
      <c r="G170" s="16" t="str">
        <f aca="false">IFERROR(INDEX(Control_Register!$I$5:$I$204,MATCH(C170,Control_Register!$A$5:$A$204,0)),"")</f>
        <v/>
      </c>
      <c r="H170" s="16" t="str">
        <f aca="false">IF(A170="","",IF(OR(B170="",C170="",D170=""),"Risk, control and coverage needed",IF(COUNTIF(Ref_RISK!$A$2:$A$201,B170)=0,"RISK-ID not in W04",IF(COUNTIF(Control_Register!$A$5:$A$204,C170)=0,"CTRL-ID not in register","OK"))))</f>
        <v/>
      </c>
    </row>
    <row r="171" customFormat="false" ht="15" hidden="false" customHeight="false" outlineLevel="0" collapsed="false">
      <c r="A171" s="15"/>
      <c r="B171" s="15"/>
      <c r="C171" s="15"/>
      <c r="D171" s="15"/>
      <c r="E171" s="15"/>
      <c r="F171" s="16" t="str">
        <f aca="false">IFERROR(INDEX(Ref_RISK!$B$2:$B$201,MATCH(B171,Ref_RISK!$A$2:$A$201,0)),"")</f>
        <v/>
      </c>
      <c r="G171" s="16" t="str">
        <f aca="false">IFERROR(INDEX(Control_Register!$I$5:$I$204,MATCH(C171,Control_Register!$A$5:$A$204,0)),"")</f>
        <v/>
      </c>
      <c r="H171" s="16" t="str">
        <f aca="false">IF(A171="","",IF(OR(B171="",C171="",D171=""),"Risk, control and coverage needed",IF(COUNTIF(Ref_RISK!$A$2:$A$201,B171)=0,"RISK-ID not in W04",IF(COUNTIF(Control_Register!$A$5:$A$204,C171)=0,"CTRL-ID not in register","OK"))))</f>
        <v/>
      </c>
    </row>
    <row r="172" customFormat="false" ht="15" hidden="false" customHeight="false" outlineLevel="0" collapsed="false">
      <c r="A172" s="15"/>
      <c r="B172" s="15"/>
      <c r="C172" s="15"/>
      <c r="D172" s="15"/>
      <c r="E172" s="15"/>
      <c r="F172" s="16" t="str">
        <f aca="false">IFERROR(INDEX(Ref_RISK!$B$2:$B$201,MATCH(B172,Ref_RISK!$A$2:$A$201,0)),"")</f>
        <v/>
      </c>
      <c r="G172" s="16" t="str">
        <f aca="false">IFERROR(INDEX(Control_Register!$I$5:$I$204,MATCH(C172,Control_Register!$A$5:$A$204,0)),"")</f>
        <v/>
      </c>
      <c r="H172" s="16" t="str">
        <f aca="false">IF(A172="","",IF(OR(B172="",C172="",D172=""),"Risk, control and coverage needed",IF(COUNTIF(Ref_RISK!$A$2:$A$201,B172)=0,"RISK-ID not in W04",IF(COUNTIF(Control_Register!$A$5:$A$204,C172)=0,"CTRL-ID not in register","OK"))))</f>
        <v/>
      </c>
    </row>
    <row r="173" customFormat="false" ht="15" hidden="false" customHeight="false" outlineLevel="0" collapsed="false">
      <c r="A173" s="15"/>
      <c r="B173" s="15"/>
      <c r="C173" s="15"/>
      <c r="D173" s="15"/>
      <c r="E173" s="15"/>
      <c r="F173" s="16" t="str">
        <f aca="false">IFERROR(INDEX(Ref_RISK!$B$2:$B$201,MATCH(B173,Ref_RISK!$A$2:$A$201,0)),"")</f>
        <v/>
      </c>
      <c r="G173" s="16" t="str">
        <f aca="false">IFERROR(INDEX(Control_Register!$I$5:$I$204,MATCH(C173,Control_Register!$A$5:$A$204,0)),"")</f>
        <v/>
      </c>
      <c r="H173" s="16" t="str">
        <f aca="false">IF(A173="","",IF(OR(B173="",C173="",D173=""),"Risk, control and coverage needed",IF(COUNTIF(Ref_RISK!$A$2:$A$201,B173)=0,"RISK-ID not in W04",IF(COUNTIF(Control_Register!$A$5:$A$204,C173)=0,"CTRL-ID not in register","OK"))))</f>
        <v/>
      </c>
    </row>
    <row r="174" customFormat="false" ht="15" hidden="false" customHeight="false" outlineLevel="0" collapsed="false">
      <c r="A174" s="15"/>
      <c r="B174" s="15"/>
      <c r="C174" s="15"/>
      <c r="D174" s="15"/>
      <c r="E174" s="15"/>
      <c r="F174" s="16" t="str">
        <f aca="false">IFERROR(INDEX(Ref_RISK!$B$2:$B$201,MATCH(B174,Ref_RISK!$A$2:$A$201,0)),"")</f>
        <v/>
      </c>
      <c r="G174" s="16" t="str">
        <f aca="false">IFERROR(INDEX(Control_Register!$I$5:$I$204,MATCH(C174,Control_Register!$A$5:$A$204,0)),"")</f>
        <v/>
      </c>
      <c r="H174" s="16" t="str">
        <f aca="false">IF(A174="","",IF(OR(B174="",C174="",D174=""),"Risk, control and coverage needed",IF(COUNTIF(Ref_RISK!$A$2:$A$201,B174)=0,"RISK-ID not in W04",IF(COUNTIF(Control_Register!$A$5:$A$204,C174)=0,"CTRL-ID not in register","OK"))))</f>
        <v/>
      </c>
    </row>
    <row r="175" customFormat="false" ht="15" hidden="false" customHeight="false" outlineLevel="0" collapsed="false">
      <c r="A175" s="15"/>
      <c r="B175" s="15"/>
      <c r="C175" s="15"/>
      <c r="D175" s="15"/>
      <c r="E175" s="15"/>
      <c r="F175" s="16" t="str">
        <f aca="false">IFERROR(INDEX(Ref_RISK!$B$2:$B$201,MATCH(B175,Ref_RISK!$A$2:$A$201,0)),"")</f>
        <v/>
      </c>
      <c r="G175" s="16" t="str">
        <f aca="false">IFERROR(INDEX(Control_Register!$I$5:$I$204,MATCH(C175,Control_Register!$A$5:$A$204,0)),"")</f>
        <v/>
      </c>
      <c r="H175" s="16" t="str">
        <f aca="false">IF(A175="","",IF(OR(B175="",C175="",D175=""),"Risk, control and coverage needed",IF(COUNTIF(Ref_RISK!$A$2:$A$201,B175)=0,"RISK-ID not in W04",IF(COUNTIF(Control_Register!$A$5:$A$204,C175)=0,"CTRL-ID not in register","OK"))))</f>
        <v/>
      </c>
    </row>
    <row r="176" customFormat="false" ht="15" hidden="false" customHeight="false" outlineLevel="0" collapsed="false">
      <c r="A176" s="15"/>
      <c r="B176" s="15"/>
      <c r="C176" s="15"/>
      <c r="D176" s="15"/>
      <c r="E176" s="15"/>
      <c r="F176" s="16" t="str">
        <f aca="false">IFERROR(INDEX(Ref_RISK!$B$2:$B$201,MATCH(B176,Ref_RISK!$A$2:$A$201,0)),"")</f>
        <v/>
      </c>
      <c r="G176" s="16" t="str">
        <f aca="false">IFERROR(INDEX(Control_Register!$I$5:$I$204,MATCH(C176,Control_Register!$A$5:$A$204,0)),"")</f>
        <v/>
      </c>
      <c r="H176" s="16" t="str">
        <f aca="false">IF(A176="","",IF(OR(B176="",C176="",D176=""),"Risk, control and coverage needed",IF(COUNTIF(Ref_RISK!$A$2:$A$201,B176)=0,"RISK-ID not in W04",IF(COUNTIF(Control_Register!$A$5:$A$204,C176)=0,"CTRL-ID not in register","OK"))))</f>
        <v/>
      </c>
    </row>
    <row r="177" customFormat="false" ht="15" hidden="false" customHeight="false" outlineLevel="0" collapsed="false">
      <c r="A177" s="15"/>
      <c r="B177" s="15"/>
      <c r="C177" s="15"/>
      <c r="D177" s="15"/>
      <c r="E177" s="15"/>
      <c r="F177" s="16" t="str">
        <f aca="false">IFERROR(INDEX(Ref_RISK!$B$2:$B$201,MATCH(B177,Ref_RISK!$A$2:$A$201,0)),"")</f>
        <v/>
      </c>
      <c r="G177" s="16" t="str">
        <f aca="false">IFERROR(INDEX(Control_Register!$I$5:$I$204,MATCH(C177,Control_Register!$A$5:$A$204,0)),"")</f>
        <v/>
      </c>
      <c r="H177" s="16" t="str">
        <f aca="false">IF(A177="","",IF(OR(B177="",C177="",D177=""),"Risk, control and coverage needed",IF(COUNTIF(Ref_RISK!$A$2:$A$201,B177)=0,"RISK-ID not in W04",IF(COUNTIF(Control_Register!$A$5:$A$204,C177)=0,"CTRL-ID not in register","OK"))))</f>
        <v/>
      </c>
    </row>
    <row r="178" customFormat="false" ht="15" hidden="false" customHeight="false" outlineLevel="0" collapsed="false">
      <c r="A178" s="15"/>
      <c r="B178" s="15"/>
      <c r="C178" s="15"/>
      <c r="D178" s="15"/>
      <c r="E178" s="15"/>
      <c r="F178" s="16" t="str">
        <f aca="false">IFERROR(INDEX(Ref_RISK!$B$2:$B$201,MATCH(B178,Ref_RISK!$A$2:$A$201,0)),"")</f>
        <v/>
      </c>
      <c r="G178" s="16" t="str">
        <f aca="false">IFERROR(INDEX(Control_Register!$I$5:$I$204,MATCH(C178,Control_Register!$A$5:$A$204,0)),"")</f>
        <v/>
      </c>
      <c r="H178" s="16" t="str">
        <f aca="false">IF(A178="","",IF(OR(B178="",C178="",D178=""),"Risk, control and coverage needed",IF(COUNTIF(Ref_RISK!$A$2:$A$201,B178)=0,"RISK-ID not in W04",IF(COUNTIF(Control_Register!$A$5:$A$204,C178)=0,"CTRL-ID not in register","OK"))))</f>
        <v/>
      </c>
    </row>
    <row r="179" customFormat="false" ht="15" hidden="false" customHeight="false" outlineLevel="0" collapsed="false">
      <c r="A179" s="15"/>
      <c r="B179" s="15"/>
      <c r="C179" s="15"/>
      <c r="D179" s="15"/>
      <c r="E179" s="15"/>
      <c r="F179" s="16" t="str">
        <f aca="false">IFERROR(INDEX(Ref_RISK!$B$2:$B$201,MATCH(B179,Ref_RISK!$A$2:$A$201,0)),"")</f>
        <v/>
      </c>
      <c r="G179" s="16" t="str">
        <f aca="false">IFERROR(INDEX(Control_Register!$I$5:$I$204,MATCH(C179,Control_Register!$A$5:$A$204,0)),"")</f>
        <v/>
      </c>
      <c r="H179" s="16" t="str">
        <f aca="false">IF(A179="","",IF(OR(B179="",C179="",D179=""),"Risk, control and coverage needed",IF(COUNTIF(Ref_RISK!$A$2:$A$201,B179)=0,"RISK-ID not in W04",IF(COUNTIF(Control_Register!$A$5:$A$204,C179)=0,"CTRL-ID not in register","OK"))))</f>
        <v/>
      </c>
    </row>
    <row r="180" customFormat="false" ht="15" hidden="false" customHeight="false" outlineLevel="0" collapsed="false">
      <c r="A180" s="15"/>
      <c r="B180" s="15"/>
      <c r="C180" s="15"/>
      <c r="D180" s="15"/>
      <c r="E180" s="15"/>
      <c r="F180" s="16" t="str">
        <f aca="false">IFERROR(INDEX(Ref_RISK!$B$2:$B$201,MATCH(B180,Ref_RISK!$A$2:$A$201,0)),"")</f>
        <v/>
      </c>
      <c r="G180" s="16" t="str">
        <f aca="false">IFERROR(INDEX(Control_Register!$I$5:$I$204,MATCH(C180,Control_Register!$A$5:$A$204,0)),"")</f>
        <v/>
      </c>
      <c r="H180" s="16" t="str">
        <f aca="false">IF(A180="","",IF(OR(B180="",C180="",D180=""),"Risk, control and coverage needed",IF(COUNTIF(Ref_RISK!$A$2:$A$201,B180)=0,"RISK-ID not in W04",IF(COUNTIF(Control_Register!$A$5:$A$204,C180)=0,"CTRL-ID not in register","OK"))))</f>
        <v/>
      </c>
    </row>
    <row r="181" customFormat="false" ht="15" hidden="false" customHeight="false" outlineLevel="0" collapsed="false">
      <c r="A181" s="15"/>
      <c r="B181" s="15"/>
      <c r="C181" s="15"/>
      <c r="D181" s="15"/>
      <c r="E181" s="15"/>
      <c r="F181" s="16" t="str">
        <f aca="false">IFERROR(INDEX(Ref_RISK!$B$2:$B$201,MATCH(B181,Ref_RISK!$A$2:$A$201,0)),"")</f>
        <v/>
      </c>
      <c r="G181" s="16" t="str">
        <f aca="false">IFERROR(INDEX(Control_Register!$I$5:$I$204,MATCH(C181,Control_Register!$A$5:$A$204,0)),"")</f>
        <v/>
      </c>
      <c r="H181" s="16" t="str">
        <f aca="false">IF(A181="","",IF(OR(B181="",C181="",D181=""),"Risk, control and coverage needed",IF(COUNTIF(Ref_RISK!$A$2:$A$201,B181)=0,"RISK-ID not in W04",IF(COUNTIF(Control_Register!$A$5:$A$204,C181)=0,"CTRL-ID not in register","OK"))))</f>
        <v/>
      </c>
    </row>
    <row r="182" customFormat="false" ht="15" hidden="false" customHeight="false" outlineLevel="0" collapsed="false">
      <c r="A182" s="15"/>
      <c r="B182" s="15"/>
      <c r="C182" s="15"/>
      <c r="D182" s="15"/>
      <c r="E182" s="15"/>
      <c r="F182" s="16" t="str">
        <f aca="false">IFERROR(INDEX(Ref_RISK!$B$2:$B$201,MATCH(B182,Ref_RISK!$A$2:$A$201,0)),"")</f>
        <v/>
      </c>
      <c r="G182" s="16" t="str">
        <f aca="false">IFERROR(INDEX(Control_Register!$I$5:$I$204,MATCH(C182,Control_Register!$A$5:$A$204,0)),"")</f>
        <v/>
      </c>
      <c r="H182" s="16" t="str">
        <f aca="false">IF(A182="","",IF(OR(B182="",C182="",D182=""),"Risk, control and coverage needed",IF(COUNTIF(Ref_RISK!$A$2:$A$201,B182)=0,"RISK-ID not in W04",IF(COUNTIF(Control_Register!$A$5:$A$204,C182)=0,"CTRL-ID not in register","OK"))))</f>
        <v/>
      </c>
    </row>
    <row r="183" customFormat="false" ht="15" hidden="false" customHeight="false" outlineLevel="0" collapsed="false">
      <c r="A183" s="15"/>
      <c r="B183" s="15"/>
      <c r="C183" s="15"/>
      <c r="D183" s="15"/>
      <c r="E183" s="15"/>
      <c r="F183" s="16" t="str">
        <f aca="false">IFERROR(INDEX(Ref_RISK!$B$2:$B$201,MATCH(B183,Ref_RISK!$A$2:$A$201,0)),"")</f>
        <v/>
      </c>
      <c r="G183" s="16" t="str">
        <f aca="false">IFERROR(INDEX(Control_Register!$I$5:$I$204,MATCH(C183,Control_Register!$A$5:$A$204,0)),"")</f>
        <v/>
      </c>
      <c r="H183" s="16" t="str">
        <f aca="false">IF(A183="","",IF(OR(B183="",C183="",D183=""),"Risk, control and coverage needed",IF(COUNTIF(Ref_RISK!$A$2:$A$201,B183)=0,"RISK-ID not in W04",IF(COUNTIF(Control_Register!$A$5:$A$204,C183)=0,"CTRL-ID not in register","OK"))))</f>
        <v/>
      </c>
    </row>
    <row r="184" customFormat="false" ht="15" hidden="false" customHeight="false" outlineLevel="0" collapsed="false">
      <c r="A184" s="15"/>
      <c r="B184" s="15"/>
      <c r="C184" s="15"/>
      <c r="D184" s="15"/>
      <c r="E184" s="15"/>
      <c r="F184" s="16" t="str">
        <f aca="false">IFERROR(INDEX(Ref_RISK!$B$2:$B$201,MATCH(B184,Ref_RISK!$A$2:$A$201,0)),"")</f>
        <v/>
      </c>
      <c r="G184" s="16" t="str">
        <f aca="false">IFERROR(INDEX(Control_Register!$I$5:$I$204,MATCH(C184,Control_Register!$A$5:$A$204,0)),"")</f>
        <v/>
      </c>
      <c r="H184" s="16" t="str">
        <f aca="false">IF(A184="","",IF(OR(B184="",C184="",D184=""),"Risk, control and coverage needed",IF(COUNTIF(Ref_RISK!$A$2:$A$201,B184)=0,"RISK-ID not in W04",IF(COUNTIF(Control_Register!$A$5:$A$204,C184)=0,"CTRL-ID not in register","OK"))))</f>
        <v/>
      </c>
    </row>
    <row r="185" customFormat="false" ht="15" hidden="false" customHeight="false" outlineLevel="0" collapsed="false">
      <c r="A185" s="15"/>
      <c r="B185" s="15"/>
      <c r="C185" s="15"/>
      <c r="D185" s="15"/>
      <c r="E185" s="15"/>
      <c r="F185" s="16" t="str">
        <f aca="false">IFERROR(INDEX(Ref_RISK!$B$2:$B$201,MATCH(B185,Ref_RISK!$A$2:$A$201,0)),"")</f>
        <v/>
      </c>
      <c r="G185" s="16" t="str">
        <f aca="false">IFERROR(INDEX(Control_Register!$I$5:$I$204,MATCH(C185,Control_Register!$A$5:$A$204,0)),"")</f>
        <v/>
      </c>
      <c r="H185" s="16" t="str">
        <f aca="false">IF(A185="","",IF(OR(B185="",C185="",D185=""),"Risk, control and coverage needed",IF(COUNTIF(Ref_RISK!$A$2:$A$201,B185)=0,"RISK-ID not in W04",IF(COUNTIF(Control_Register!$A$5:$A$204,C185)=0,"CTRL-ID not in register","OK"))))</f>
        <v/>
      </c>
    </row>
    <row r="186" customFormat="false" ht="15" hidden="false" customHeight="false" outlineLevel="0" collapsed="false">
      <c r="A186" s="15"/>
      <c r="B186" s="15"/>
      <c r="C186" s="15"/>
      <c r="D186" s="15"/>
      <c r="E186" s="15"/>
      <c r="F186" s="16" t="str">
        <f aca="false">IFERROR(INDEX(Ref_RISK!$B$2:$B$201,MATCH(B186,Ref_RISK!$A$2:$A$201,0)),"")</f>
        <v/>
      </c>
      <c r="G186" s="16" t="str">
        <f aca="false">IFERROR(INDEX(Control_Register!$I$5:$I$204,MATCH(C186,Control_Register!$A$5:$A$204,0)),"")</f>
        <v/>
      </c>
      <c r="H186" s="16" t="str">
        <f aca="false">IF(A186="","",IF(OR(B186="",C186="",D186=""),"Risk, control and coverage needed",IF(COUNTIF(Ref_RISK!$A$2:$A$201,B186)=0,"RISK-ID not in W04",IF(COUNTIF(Control_Register!$A$5:$A$204,C186)=0,"CTRL-ID not in register","OK"))))</f>
        <v/>
      </c>
    </row>
    <row r="187" customFormat="false" ht="15" hidden="false" customHeight="false" outlineLevel="0" collapsed="false">
      <c r="A187" s="15"/>
      <c r="B187" s="15"/>
      <c r="C187" s="15"/>
      <c r="D187" s="15"/>
      <c r="E187" s="15"/>
      <c r="F187" s="16" t="str">
        <f aca="false">IFERROR(INDEX(Ref_RISK!$B$2:$B$201,MATCH(B187,Ref_RISK!$A$2:$A$201,0)),"")</f>
        <v/>
      </c>
      <c r="G187" s="16" t="str">
        <f aca="false">IFERROR(INDEX(Control_Register!$I$5:$I$204,MATCH(C187,Control_Register!$A$5:$A$204,0)),"")</f>
        <v/>
      </c>
      <c r="H187" s="16" t="str">
        <f aca="false">IF(A187="","",IF(OR(B187="",C187="",D187=""),"Risk, control and coverage needed",IF(COUNTIF(Ref_RISK!$A$2:$A$201,B187)=0,"RISK-ID not in W04",IF(COUNTIF(Control_Register!$A$5:$A$204,C187)=0,"CTRL-ID not in register","OK"))))</f>
        <v/>
      </c>
    </row>
    <row r="188" customFormat="false" ht="15" hidden="false" customHeight="false" outlineLevel="0" collapsed="false">
      <c r="A188" s="15"/>
      <c r="B188" s="15"/>
      <c r="C188" s="15"/>
      <c r="D188" s="15"/>
      <c r="E188" s="15"/>
      <c r="F188" s="16" t="str">
        <f aca="false">IFERROR(INDEX(Ref_RISK!$B$2:$B$201,MATCH(B188,Ref_RISK!$A$2:$A$201,0)),"")</f>
        <v/>
      </c>
      <c r="G188" s="16" t="str">
        <f aca="false">IFERROR(INDEX(Control_Register!$I$5:$I$204,MATCH(C188,Control_Register!$A$5:$A$204,0)),"")</f>
        <v/>
      </c>
      <c r="H188" s="16" t="str">
        <f aca="false">IF(A188="","",IF(OR(B188="",C188="",D188=""),"Risk, control and coverage needed",IF(COUNTIF(Ref_RISK!$A$2:$A$201,B188)=0,"RISK-ID not in W04",IF(COUNTIF(Control_Register!$A$5:$A$204,C188)=0,"CTRL-ID not in register","OK"))))</f>
        <v/>
      </c>
    </row>
    <row r="189" customFormat="false" ht="15" hidden="false" customHeight="false" outlineLevel="0" collapsed="false">
      <c r="A189" s="15"/>
      <c r="B189" s="15"/>
      <c r="C189" s="15"/>
      <c r="D189" s="15"/>
      <c r="E189" s="15"/>
      <c r="F189" s="16" t="str">
        <f aca="false">IFERROR(INDEX(Ref_RISK!$B$2:$B$201,MATCH(B189,Ref_RISK!$A$2:$A$201,0)),"")</f>
        <v/>
      </c>
      <c r="G189" s="16" t="str">
        <f aca="false">IFERROR(INDEX(Control_Register!$I$5:$I$204,MATCH(C189,Control_Register!$A$5:$A$204,0)),"")</f>
        <v/>
      </c>
      <c r="H189" s="16" t="str">
        <f aca="false">IF(A189="","",IF(OR(B189="",C189="",D189=""),"Risk, control and coverage needed",IF(COUNTIF(Ref_RISK!$A$2:$A$201,B189)=0,"RISK-ID not in W04",IF(COUNTIF(Control_Register!$A$5:$A$204,C189)=0,"CTRL-ID not in register","OK"))))</f>
        <v/>
      </c>
    </row>
    <row r="190" customFormat="false" ht="15" hidden="false" customHeight="false" outlineLevel="0" collapsed="false">
      <c r="A190" s="15"/>
      <c r="B190" s="15"/>
      <c r="C190" s="15"/>
      <c r="D190" s="15"/>
      <c r="E190" s="15"/>
      <c r="F190" s="16" t="str">
        <f aca="false">IFERROR(INDEX(Ref_RISK!$B$2:$B$201,MATCH(B190,Ref_RISK!$A$2:$A$201,0)),"")</f>
        <v/>
      </c>
      <c r="G190" s="16" t="str">
        <f aca="false">IFERROR(INDEX(Control_Register!$I$5:$I$204,MATCH(C190,Control_Register!$A$5:$A$204,0)),"")</f>
        <v/>
      </c>
      <c r="H190" s="16" t="str">
        <f aca="false">IF(A190="","",IF(OR(B190="",C190="",D190=""),"Risk, control and coverage needed",IF(COUNTIF(Ref_RISK!$A$2:$A$201,B190)=0,"RISK-ID not in W04",IF(COUNTIF(Control_Register!$A$5:$A$204,C190)=0,"CTRL-ID not in register","OK"))))</f>
        <v/>
      </c>
    </row>
    <row r="191" customFormat="false" ht="15" hidden="false" customHeight="false" outlineLevel="0" collapsed="false">
      <c r="A191" s="15"/>
      <c r="B191" s="15"/>
      <c r="C191" s="15"/>
      <c r="D191" s="15"/>
      <c r="E191" s="15"/>
      <c r="F191" s="16" t="str">
        <f aca="false">IFERROR(INDEX(Ref_RISK!$B$2:$B$201,MATCH(B191,Ref_RISK!$A$2:$A$201,0)),"")</f>
        <v/>
      </c>
      <c r="G191" s="16" t="str">
        <f aca="false">IFERROR(INDEX(Control_Register!$I$5:$I$204,MATCH(C191,Control_Register!$A$5:$A$204,0)),"")</f>
        <v/>
      </c>
      <c r="H191" s="16" t="str">
        <f aca="false">IF(A191="","",IF(OR(B191="",C191="",D191=""),"Risk, control and coverage needed",IF(COUNTIF(Ref_RISK!$A$2:$A$201,B191)=0,"RISK-ID not in W04",IF(COUNTIF(Control_Register!$A$5:$A$204,C191)=0,"CTRL-ID not in register","OK"))))</f>
        <v/>
      </c>
    </row>
    <row r="192" customFormat="false" ht="15" hidden="false" customHeight="false" outlineLevel="0" collapsed="false">
      <c r="A192" s="15"/>
      <c r="B192" s="15"/>
      <c r="C192" s="15"/>
      <c r="D192" s="15"/>
      <c r="E192" s="15"/>
      <c r="F192" s="16" t="str">
        <f aca="false">IFERROR(INDEX(Ref_RISK!$B$2:$B$201,MATCH(B192,Ref_RISK!$A$2:$A$201,0)),"")</f>
        <v/>
      </c>
      <c r="G192" s="16" t="str">
        <f aca="false">IFERROR(INDEX(Control_Register!$I$5:$I$204,MATCH(C192,Control_Register!$A$5:$A$204,0)),"")</f>
        <v/>
      </c>
      <c r="H192" s="16" t="str">
        <f aca="false">IF(A192="","",IF(OR(B192="",C192="",D192=""),"Risk, control and coverage needed",IF(COUNTIF(Ref_RISK!$A$2:$A$201,B192)=0,"RISK-ID not in W04",IF(COUNTIF(Control_Register!$A$5:$A$204,C192)=0,"CTRL-ID not in register","OK"))))</f>
        <v/>
      </c>
    </row>
    <row r="193" customFormat="false" ht="15" hidden="false" customHeight="false" outlineLevel="0" collapsed="false">
      <c r="A193" s="15"/>
      <c r="B193" s="15"/>
      <c r="C193" s="15"/>
      <c r="D193" s="15"/>
      <c r="E193" s="15"/>
      <c r="F193" s="16" t="str">
        <f aca="false">IFERROR(INDEX(Ref_RISK!$B$2:$B$201,MATCH(B193,Ref_RISK!$A$2:$A$201,0)),"")</f>
        <v/>
      </c>
      <c r="G193" s="16" t="str">
        <f aca="false">IFERROR(INDEX(Control_Register!$I$5:$I$204,MATCH(C193,Control_Register!$A$5:$A$204,0)),"")</f>
        <v/>
      </c>
      <c r="H193" s="16" t="str">
        <f aca="false">IF(A193="","",IF(OR(B193="",C193="",D193=""),"Risk, control and coverage needed",IF(COUNTIF(Ref_RISK!$A$2:$A$201,B193)=0,"RISK-ID not in W04",IF(COUNTIF(Control_Register!$A$5:$A$204,C193)=0,"CTRL-ID not in register","OK"))))</f>
        <v/>
      </c>
    </row>
    <row r="194" customFormat="false" ht="15" hidden="false" customHeight="false" outlineLevel="0" collapsed="false">
      <c r="A194" s="15"/>
      <c r="B194" s="15"/>
      <c r="C194" s="15"/>
      <c r="D194" s="15"/>
      <c r="E194" s="15"/>
      <c r="F194" s="16" t="str">
        <f aca="false">IFERROR(INDEX(Ref_RISK!$B$2:$B$201,MATCH(B194,Ref_RISK!$A$2:$A$201,0)),"")</f>
        <v/>
      </c>
      <c r="G194" s="16" t="str">
        <f aca="false">IFERROR(INDEX(Control_Register!$I$5:$I$204,MATCH(C194,Control_Register!$A$5:$A$204,0)),"")</f>
        <v/>
      </c>
      <c r="H194" s="16" t="str">
        <f aca="false">IF(A194="","",IF(OR(B194="",C194="",D194=""),"Risk, control and coverage needed",IF(COUNTIF(Ref_RISK!$A$2:$A$201,B194)=0,"RISK-ID not in W04",IF(COUNTIF(Control_Register!$A$5:$A$204,C194)=0,"CTRL-ID not in register","OK"))))</f>
        <v/>
      </c>
    </row>
    <row r="195" customFormat="false" ht="15" hidden="false" customHeight="false" outlineLevel="0" collapsed="false">
      <c r="A195" s="15"/>
      <c r="B195" s="15"/>
      <c r="C195" s="15"/>
      <c r="D195" s="15"/>
      <c r="E195" s="15"/>
      <c r="F195" s="16" t="str">
        <f aca="false">IFERROR(INDEX(Ref_RISK!$B$2:$B$201,MATCH(B195,Ref_RISK!$A$2:$A$201,0)),"")</f>
        <v/>
      </c>
      <c r="G195" s="16" t="str">
        <f aca="false">IFERROR(INDEX(Control_Register!$I$5:$I$204,MATCH(C195,Control_Register!$A$5:$A$204,0)),"")</f>
        <v/>
      </c>
      <c r="H195" s="16" t="str">
        <f aca="false">IF(A195="","",IF(OR(B195="",C195="",D195=""),"Risk, control and coverage needed",IF(COUNTIF(Ref_RISK!$A$2:$A$201,B195)=0,"RISK-ID not in W04",IF(COUNTIF(Control_Register!$A$5:$A$204,C195)=0,"CTRL-ID not in register","OK"))))</f>
        <v/>
      </c>
    </row>
    <row r="196" customFormat="false" ht="15" hidden="false" customHeight="false" outlineLevel="0" collapsed="false">
      <c r="A196" s="15"/>
      <c r="B196" s="15"/>
      <c r="C196" s="15"/>
      <c r="D196" s="15"/>
      <c r="E196" s="15"/>
      <c r="F196" s="16" t="str">
        <f aca="false">IFERROR(INDEX(Ref_RISK!$B$2:$B$201,MATCH(B196,Ref_RISK!$A$2:$A$201,0)),"")</f>
        <v/>
      </c>
      <c r="G196" s="16" t="str">
        <f aca="false">IFERROR(INDEX(Control_Register!$I$5:$I$204,MATCH(C196,Control_Register!$A$5:$A$204,0)),"")</f>
        <v/>
      </c>
      <c r="H196" s="16" t="str">
        <f aca="false">IF(A196="","",IF(OR(B196="",C196="",D196=""),"Risk, control and coverage needed",IF(COUNTIF(Ref_RISK!$A$2:$A$201,B196)=0,"RISK-ID not in W04",IF(COUNTIF(Control_Register!$A$5:$A$204,C196)=0,"CTRL-ID not in register","OK"))))</f>
        <v/>
      </c>
    </row>
    <row r="197" customFormat="false" ht="15" hidden="false" customHeight="false" outlineLevel="0" collapsed="false">
      <c r="A197" s="15"/>
      <c r="B197" s="15"/>
      <c r="C197" s="15"/>
      <c r="D197" s="15"/>
      <c r="E197" s="15"/>
      <c r="F197" s="16" t="str">
        <f aca="false">IFERROR(INDEX(Ref_RISK!$B$2:$B$201,MATCH(B197,Ref_RISK!$A$2:$A$201,0)),"")</f>
        <v/>
      </c>
      <c r="G197" s="16" t="str">
        <f aca="false">IFERROR(INDEX(Control_Register!$I$5:$I$204,MATCH(C197,Control_Register!$A$5:$A$204,0)),"")</f>
        <v/>
      </c>
      <c r="H197" s="16" t="str">
        <f aca="false">IF(A197="","",IF(OR(B197="",C197="",D197=""),"Risk, control and coverage needed",IF(COUNTIF(Ref_RISK!$A$2:$A$201,B197)=0,"RISK-ID not in W04",IF(COUNTIF(Control_Register!$A$5:$A$204,C197)=0,"CTRL-ID not in register","OK"))))</f>
        <v/>
      </c>
    </row>
    <row r="198" customFormat="false" ht="15" hidden="false" customHeight="false" outlineLevel="0" collapsed="false">
      <c r="A198" s="15"/>
      <c r="B198" s="15"/>
      <c r="C198" s="15"/>
      <c r="D198" s="15"/>
      <c r="E198" s="15"/>
      <c r="F198" s="16" t="str">
        <f aca="false">IFERROR(INDEX(Ref_RISK!$B$2:$B$201,MATCH(B198,Ref_RISK!$A$2:$A$201,0)),"")</f>
        <v/>
      </c>
      <c r="G198" s="16" t="str">
        <f aca="false">IFERROR(INDEX(Control_Register!$I$5:$I$204,MATCH(C198,Control_Register!$A$5:$A$204,0)),"")</f>
        <v/>
      </c>
      <c r="H198" s="16" t="str">
        <f aca="false">IF(A198="","",IF(OR(B198="",C198="",D198=""),"Risk, control and coverage needed",IF(COUNTIF(Ref_RISK!$A$2:$A$201,B198)=0,"RISK-ID not in W04",IF(COUNTIF(Control_Register!$A$5:$A$204,C198)=0,"CTRL-ID not in register","OK"))))</f>
        <v/>
      </c>
    </row>
    <row r="199" customFormat="false" ht="15" hidden="false" customHeight="false" outlineLevel="0" collapsed="false">
      <c r="A199" s="15"/>
      <c r="B199" s="15"/>
      <c r="C199" s="15"/>
      <c r="D199" s="15"/>
      <c r="E199" s="15"/>
      <c r="F199" s="16" t="str">
        <f aca="false">IFERROR(INDEX(Ref_RISK!$B$2:$B$201,MATCH(B199,Ref_RISK!$A$2:$A$201,0)),"")</f>
        <v/>
      </c>
      <c r="G199" s="16" t="str">
        <f aca="false">IFERROR(INDEX(Control_Register!$I$5:$I$204,MATCH(C199,Control_Register!$A$5:$A$204,0)),"")</f>
        <v/>
      </c>
      <c r="H199" s="16" t="str">
        <f aca="false">IF(A199="","",IF(OR(B199="",C199="",D199=""),"Risk, control and coverage needed",IF(COUNTIF(Ref_RISK!$A$2:$A$201,B199)=0,"RISK-ID not in W04",IF(COUNTIF(Control_Register!$A$5:$A$204,C199)=0,"CTRL-ID not in register","OK"))))</f>
        <v/>
      </c>
    </row>
    <row r="200" customFormat="false" ht="15" hidden="false" customHeight="false" outlineLevel="0" collapsed="false">
      <c r="A200" s="15"/>
      <c r="B200" s="15"/>
      <c r="C200" s="15"/>
      <c r="D200" s="15"/>
      <c r="E200" s="15"/>
      <c r="F200" s="16" t="str">
        <f aca="false">IFERROR(INDEX(Ref_RISK!$B$2:$B$201,MATCH(B200,Ref_RISK!$A$2:$A$201,0)),"")</f>
        <v/>
      </c>
      <c r="G200" s="16" t="str">
        <f aca="false">IFERROR(INDEX(Control_Register!$I$5:$I$204,MATCH(C200,Control_Register!$A$5:$A$204,0)),"")</f>
        <v/>
      </c>
      <c r="H200" s="16" t="str">
        <f aca="false">IF(A200="","",IF(OR(B200="",C200="",D200=""),"Risk, control and coverage needed",IF(COUNTIF(Ref_RISK!$A$2:$A$201,B200)=0,"RISK-ID not in W04",IF(COUNTIF(Control_Register!$A$5:$A$204,C200)=0,"CTRL-ID not in register","OK"))))</f>
        <v/>
      </c>
    </row>
    <row r="201" customFormat="false" ht="15" hidden="false" customHeight="false" outlineLevel="0" collapsed="false">
      <c r="A201" s="15"/>
      <c r="B201" s="15"/>
      <c r="C201" s="15"/>
      <c r="D201" s="15"/>
      <c r="E201" s="15"/>
      <c r="F201" s="16" t="str">
        <f aca="false">IFERROR(INDEX(Ref_RISK!$B$2:$B$201,MATCH(B201,Ref_RISK!$A$2:$A$201,0)),"")</f>
        <v/>
      </c>
      <c r="G201" s="16" t="str">
        <f aca="false">IFERROR(INDEX(Control_Register!$I$5:$I$204,MATCH(C201,Control_Register!$A$5:$A$204,0)),"")</f>
        <v/>
      </c>
      <c r="H201" s="16" t="str">
        <f aca="false">IF(A201="","",IF(OR(B201="",C201="",D201=""),"Risk, control and coverage needed",IF(COUNTIF(Ref_RISK!$A$2:$A$201,B201)=0,"RISK-ID not in W04",IF(COUNTIF(Control_Register!$A$5:$A$204,C201)=0,"CTRL-ID not in register","OK"))))</f>
        <v/>
      </c>
    </row>
    <row r="202" customFormat="false" ht="15" hidden="false" customHeight="false" outlineLevel="0" collapsed="false">
      <c r="A202" s="15"/>
      <c r="B202" s="15"/>
      <c r="C202" s="15"/>
      <c r="D202" s="15"/>
      <c r="E202" s="15"/>
      <c r="F202" s="16" t="str">
        <f aca="false">IFERROR(INDEX(Ref_RISK!$B$2:$B$201,MATCH(B202,Ref_RISK!$A$2:$A$201,0)),"")</f>
        <v/>
      </c>
      <c r="G202" s="16" t="str">
        <f aca="false">IFERROR(INDEX(Control_Register!$I$5:$I$204,MATCH(C202,Control_Register!$A$5:$A$204,0)),"")</f>
        <v/>
      </c>
      <c r="H202" s="16" t="str">
        <f aca="false">IF(A202="","",IF(OR(B202="",C202="",D202=""),"Risk, control and coverage needed",IF(COUNTIF(Ref_RISK!$A$2:$A$201,B202)=0,"RISK-ID not in W04",IF(COUNTIF(Control_Register!$A$5:$A$204,C202)=0,"CTRL-ID not in register","OK"))))</f>
        <v/>
      </c>
    </row>
    <row r="203" customFormat="false" ht="15" hidden="false" customHeight="false" outlineLevel="0" collapsed="false">
      <c r="A203" s="15"/>
      <c r="B203" s="15"/>
      <c r="C203" s="15"/>
      <c r="D203" s="15"/>
      <c r="E203" s="15"/>
      <c r="F203" s="16" t="str">
        <f aca="false">IFERROR(INDEX(Ref_RISK!$B$2:$B$201,MATCH(B203,Ref_RISK!$A$2:$A$201,0)),"")</f>
        <v/>
      </c>
      <c r="G203" s="16" t="str">
        <f aca="false">IFERROR(INDEX(Control_Register!$I$5:$I$204,MATCH(C203,Control_Register!$A$5:$A$204,0)),"")</f>
        <v/>
      </c>
      <c r="H203" s="16" t="str">
        <f aca="false">IF(A203="","",IF(OR(B203="",C203="",D203=""),"Risk, control and coverage needed",IF(COUNTIF(Ref_RISK!$A$2:$A$201,B203)=0,"RISK-ID not in W04",IF(COUNTIF(Control_Register!$A$5:$A$204,C203)=0,"CTRL-ID not in register","OK"))))</f>
        <v/>
      </c>
    </row>
    <row r="204" customFormat="false" ht="15" hidden="false" customHeight="false" outlineLevel="0" collapsed="false">
      <c r="A204" s="15"/>
      <c r="B204" s="15"/>
      <c r="C204" s="15"/>
      <c r="D204" s="15"/>
      <c r="E204" s="15"/>
      <c r="F204" s="16" t="str">
        <f aca="false">IFERROR(INDEX(Ref_RISK!$B$2:$B$201,MATCH(B204,Ref_RISK!$A$2:$A$201,0)),"")</f>
        <v/>
      </c>
      <c r="G204" s="16" t="str">
        <f aca="false">IFERROR(INDEX(Control_Register!$I$5:$I$204,MATCH(C204,Control_Register!$A$5:$A$204,0)),"")</f>
        <v/>
      </c>
      <c r="H204" s="16" t="str">
        <f aca="false">IF(A204="","",IF(OR(B204="",C204="",D204=""),"Risk, control and coverage needed",IF(COUNTIF(Ref_RISK!$A$2:$A$201,B204)=0,"RISK-ID not in W04",IF(COUNTIF(Control_Register!$A$5:$A$204,C204)=0,"CTRL-ID not in register","OK"))))</f>
        <v/>
      </c>
    </row>
  </sheetData>
  <autoFilter ref="A4:H204"/>
  <dataValidations count="3">
    <dataValidation allowBlank="true" error="Pick a value from the list." errorStyle="warning" operator="between" showDropDown="false" showErrorMessage="true" showInputMessage="false" sqref="B5:B204" type="list">
      <formula1>Ref_RISK!$A$2:$A$201</formula1>
      <formula2>0</formula2>
    </dataValidation>
    <dataValidation allowBlank="true" error="Pick a value from the list." errorStyle="warning" operator="between" showDropDown="false" showErrorMessage="true" showInputMessage="false" sqref="C5:C204" type="list">
      <formula1>Control_Register!$A$5:$A$204</formula1>
      <formula2>0</formula2>
    </dataValidation>
    <dataValidation allowBlank="true" error="Pick a value from the list." errorStyle="stop" operator="between" showDropDown="false" showErrorMessage="true" showInputMessage="false" sqref="D5:D204" type="list">
      <formula1>Lists!$F$2:$F$3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12"/>
    <col collapsed="false" customWidth="true" hidden="false" outlineLevel="0" max="4" min="4" style="0" width="16"/>
    <col collapsed="false" customWidth="true" hidden="false" outlineLevel="0" max="5" min="5" style="0" width="10"/>
    <col collapsed="false" customWidth="true" hidden="false" outlineLevel="0" max="6" min="6" style="0" width="16"/>
    <col collapsed="false" customWidth="true" hidden="false" outlineLevel="0" max="7" min="7" style="0" width="40"/>
    <col collapsed="false" customWidth="true" hidden="false" outlineLevel="0" max="8" min="8" style="0" width="22"/>
    <col collapsed="false" customWidth="true" hidden="false" outlineLevel="0" max="9" min="9" style="0" width="32"/>
  </cols>
  <sheetData>
    <row r="1" customFormat="false" ht="17.35" hidden="false" customHeight="false" outlineLevel="0" collapsed="false">
      <c r="A1" s="9" t="s">
        <v>153</v>
      </c>
    </row>
    <row r="2" customFormat="false" ht="15" hidden="false" customHeight="false" outlineLevel="0" collapsed="false">
      <c r="A2" s="10" t="s">
        <v>154</v>
      </c>
    </row>
    <row r="4" customFormat="false" ht="31.5" hidden="false" customHeight="true" outlineLevel="0" collapsed="false">
      <c r="A4" s="11" t="s">
        <v>106</v>
      </c>
      <c r="B4" s="11" t="s">
        <v>108</v>
      </c>
      <c r="C4" s="12" t="s">
        <v>110</v>
      </c>
      <c r="D4" s="11" t="s">
        <v>112</v>
      </c>
      <c r="E4" s="12" t="s">
        <v>115</v>
      </c>
      <c r="F4" s="11" t="s">
        <v>117</v>
      </c>
      <c r="G4" s="11" t="s">
        <v>120</v>
      </c>
      <c r="H4" s="11" t="s">
        <v>123</v>
      </c>
      <c r="I4" s="12" t="s">
        <v>104</v>
      </c>
    </row>
    <row r="5" customFormat="false" ht="15" hidden="false" customHeight="false" outlineLevel="0" collapsed="false">
      <c r="A5" s="13" t="s">
        <v>155</v>
      </c>
      <c r="B5" s="13" t="s">
        <v>131</v>
      </c>
      <c r="C5" s="14" t="str">
        <f aca="false">IFERROR(INDEX(Control_Register!$E$5:$E$204,MATCH(B5,Control_Register!$A$5:$A$204,0)),"")</f>
        <v>ITAC</v>
      </c>
      <c r="D5" s="13" t="s">
        <v>156</v>
      </c>
      <c r="E5" s="14" t="str">
        <f aca="false">IF(D5="","",IF(LEFT(D5,6)="C-ITGC","ITGC","Not an ITGC"))</f>
        <v>ITGC</v>
      </c>
      <c r="F5" s="13" t="s">
        <v>157</v>
      </c>
      <c r="G5" s="13"/>
      <c r="H5" s="13" t="s">
        <v>158</v>
      </c>
      <c r="I5" s="14" t="str">
        <f aca="false">IF(A5="","",IF(COUNTIF(Control_Register!$A$5:$A$204,B5)=0,"Dependent CTRL not in register",IF(E5&lt;&gt;"ITGC","Dependency must be an ITGC",IF(AND(OR(F5="Exception noted",F5="Ineffective"),H5="Supported"),"Exceptions need additional procedures before reliance",IF(AND(H5="Supported with additional procedures",G5=""),"Describe the additional procedures","OK")))))</f>
        <v>OK</v>
      </c>
    </row>
    <row r="6" customFormat="false" ht="15" hidden="false" customHeight="false" outlineLevel="0" collapsed="false">
      <c r="A6" s="15"/>
      <c r="B6" s="15"/>
      <c r="C6" s="16" t="str">
        <f aca="false">IFERROR(INDEX(Control_Register!$E$5:$E$204,MATCH(B6,Control_Register!$A$5:$A$204,0)),"")</f>
        <v/>
      </c>
      <c r="D6" s="15"/>
      <c r="E6" s="16" t="str">
        <f aca="false">IF(D6="","",IF(LEFT(D6,6)="C-ITGC","ITGC","Not an ITGC"))</f>
        <v/>
      </c>
      <c r="F6" s="15"/>
      <c r="G6" s="15"/>
      <c r="H6" s="15"/>
      <c r="I6" s="16" t="str">
        <f aca="false">IF(A6="","",IF(COUNTIF(Control_Register!$A$5:$A$204,B6)=0,"Dependent CTRL not in register",IF(E6&lt;&gt;"ITGC","Dependency must be an ITGC",IF(AND(OR(F6="Exception noted",F6="Ineffective"),H6="Supported"),"Exceptions need additional procedures before reliance",IF(AND(H6="Supported with additional procedures",G6=""),"Describe the additional procedures","OK")))))</f>
        <v/>
      </c>
    </row>
    <row r="7" customFormat="false" ht="15" hidden="false" customHeight="false" outlineLevel="0" collapsed="false">
      <c r="A7" s="15"/>
      <c r="B7" s="15"/>
      <c r="C7" s="16" t="str">
        <f aca="false">IFERROR(INDEX(Control_Register!$E$5:$E$204,MATCH(B7,Control_Register!$A$5:$A$204,0)),"")</f>
        <v/>
      </c>
      <c r="D7" s="15"/>
      <c r="E7" s="16" t="str">
        <f aca="false">IF(D7="","",IF(LEFT(D7,6)="C-ITGC","ITGC","Not an ITGC"))</f>
        <v/>
      </c>
      <c r="F7" s="15"/>
      <c r="G7" s="15"/>
      <c r="H7" s="15"/>
      <c r="I7" s="16" t="str">
        <f aca="false">IF(A7="","",IF(COUNTIF(Control_Register!$A$5:$A$204,B7)=0,"Dependent CTRL not in register",IF(E7&lt;&gt;"ITGC","Dependency must be an ITGC",IF(AND(OR(F7="Exception noted",F7="Ineffective"),H7="Supported"),"Exceptions need additional procedures before reliance",IF(AND(H7="Supported with additional procedures",G7=""),"Describe the additional procedures","OK")))))</f>
        <v/>
      </c>
    </row>
    <row r="8" customFormat="false" ht="15" hidden="false" customHeight="false" outlineLevel="0" collapsed="false">
      <c r="A8" s="15"/>
      <c r="B8" s="15"/>
      <c r="C8" s="16" t="str">
        <f aca="false">IFERROR(INDEX(Control_Register!$E$5:$E$204,MATCH(B8,Control_Register!$A$5:$A$204,0)),"")</f>
        <v/>
      </c>
      <c r="D8" s="15"/>
      <c r="E8" s="16" t="str">
        <f aca="false">IF(D8="","",IF(LEFT(D8,6)="C-ITGC","ITGC","Not an ITGC"))</f>
        <v/>
      </c>
      <c r="F8" s="15"/>
      <c r="G8" s="15"/>
      <c r="H8" s="15"/>
      <c r="I8" s="16" t="str">
        <f aca="false">IF(A8="","",IF(COUNTIF(Control_Register!$A$5:$A$204,B8)=0,"Dependent CTRL not in register",IF(E8&lt;&gt;"ITGC","Dependency must be an ITGC",IF(AND(OR(F8="Exception noted",F8="Ineffective"),H8="Supported"),"Exceptions need additional procedures before reliance",IF(AND(H8="Supported with additional procedures",G8=""),"Describe the additional procedures","OK")))))</f>
        <v/>
      </c>
    </row>
    <row r="9" customFormat="false" ht="15" hidden="false" customHeight="false" outlineLevel="0" collapsed="false">
      <c r="A9" s="15"/>
      <c r="B9" s="15"/>
      <c r="C9" s="16" t="str">
        <f aca="false">IFERROR(INDEX(Control_Register!$E$5:$E$204,MATCH(B9,Control_Register!$A$5:$A$204,0)),"")</f>
        <v/>
      </c>
      <c r="D9" s="15"/>
      <c r="E9" s="16" t="str">
        <f aca="false">IF(D9="","",IF(LEFT(D9,6)="C-ITGC","ITGC","Not an ITGC"))</f>
        <v/>
      </c>
      <c r="F9" s="15"/>
      <c r="G9" s="15"/>
      <c r="H9" s="15"/>
      <c r="I9" s="16" t="str">
        <f aca="false">IF(A9="","",IF(COUNTIF(Control_Register!$A$5:$A$204,B9)=0,"Dependent CTRL not in register",IF(E9&lt;&gt;"ITGC","Dependency must be an ITGC",IF(AND(OR(F9="Exception noted",F9="Ineffective"),H9="Supported"),"Exceptions need additional procedures before reliance",IF(AND(H9="Supported with additional procedures",G9=""),"Describe the additional procedures","OK")))))</f>
        <v/>
      </c>
    </row>
    <row r="10" customFormat="false" ht="15" hidden="false" customHeight="false" outlineLevel="0" collapsed="false">
      <c r="A10" s="15"/>
      <c r="B10" s="15"/>
      <c r="C10" s="16" t="str">
        <f aca="false">IFERROR(INDEX(Control_Register!$E$5:$E$204,MATCH(B10,Control_Register!$A$5:$A$204,0)),"")</f>
        <v/>
      </c>
      <c r="D10" s="15"/>
      <c r="E10" s="16" t="str">
        <f aca="false">IF(D10="","",IF(LEFT(D10,6)="C-ITGC","ITGC","Not an ITGC"))</f>
        <v/>
      </c>
      <c r="F10" s="15"/>
      <c r="G10" s="15"/>
      <c r="H10" s="15"/>
      <c r="I10" s="16" t="str">
        <f aca="false">IF(A10="","",IF(COUNTIF(Control_Register!$A$5:$A$204,B10)=0,"Dependent CTRL not in register",IF(E10&lt;&gt;"ITGC","Dependency must be an ITGC",IF(AND(OR(F10="Exception noted",F10="Ineffective"),H10="Supported"),"Exceptions need additional procedures before reliance",IF(AND(H10="Supported with additional procedures",G10=""),"Describe the additional procedures","OK")))))</f>
        <v/>
      </c>
    </row>
    <row r="11" customFormat="false" ht="15" hidden="false" customHeight="false" outlineLevel="0" collapsed="false">
      <c r="A11" s="15"/>
      <c r="B11" s="15"/>
      <c r="C11" s="16" t="str">
        <f aca="false">IFERROR(INDEX(Control_Register!$E$5:$E$204,MATCH(B11,Control_Register!$A$5:$A$204,0)),"")</f>
        <v/>
      </c>
      <c r="D11" s="15"/>
      <c r="E11" s="16" t="str">
        <f aca="false">IF(D11="","",IF(LEFT(D11,6)="C-ITGC","ITGC","Not an ITGC"))</f>
        <v/>
      </c>
      <c r="F11" s="15"/>
      <c r="G11" s="15"/>
      <c r="H11" s="15"/>
      <c r="I11" s="16" t="str">
        <f aca="false">IF(A11="","",IF(COUNTIF(Control_Register!$A$5:$A$204,B11)=0,"Dependent CTRL not in register",IF(E11&lt;&gt;"ITGC","Dependency must be an ITGC",IF(AND(OR(F11="Exception noted",F11="Ineffective"),H11="Supported"),"Exceptions need additional procedures before reliance",IF(AND(H11="Supported with additional procedures",G11=""),"Describe the additional procedures","OK")))))</f>
        <v/>
      </c>
    </row>
    <row r="12" customFormat="false" ht="15" hidden="false" customHeight="false" outlineLevel="0" collapsed="false">
      <c r="A12" s="15"/>
      <c r="B12" s="15"/>
      <c r="C12" s="16" t="str">
        <f aca="false">IFERROR(INDEX(Control_Register!$E$5:$E$204,MATCH(B12,Control_Register!$A$5:$A$204,0)),"")</f>
        <v/>
      </c>
      <c r="D12" s="15"/>
      <c r="E12" s="16" t="str">
        <f aca="false">IF(D12="","",IF(LEFT(D12,6)="C-ITGC","ITGC","Not an ITGC"))</f>
        <v/>
      </c>
      <c r="F12" s="15"/>
      <c r="G12" s="15"/>
      <c r="H12" s="15"/>
      <c r="I12" s="16" t="str">
        <f aca="false">IF(A12="","",IF(COUNTIF(Control_Register!$A$5:$A$204,B12)=0,"Dependent CTRL not in register",IF(E12&lt;&gt;"ITGC","Dependency must be an ITGC",IF(AND(OR(F12="Exception noted",F12="Ineffective"),H12="Supported"),"Exceptions need additional procedures before reliance",IF(AND(H12="Supported with additional procedures",G12=""),"Describe the additional procedures","OK")))))</f>
        <v/>
      </c>
    </row>
    <row r="13" customFormat="false" ht="15" hidden="false" customHeight="false" outlineLevel="0" collapsed="false">
      <c r="A13" s="15"/>
      <c r="B13" s="15"/>
      <c r="C13" s="16" t="str">
        <f aca="false">IFERROR(INDEX(Control_Register!$E$5:$E$204,MATCH(B13,Control_Register!$A$5:$A$204,0)),"")</f>
        <v/>
      </c>
      <c r="D13" s="15"/>
      <c r="E13" s="16" t="str">
        <f aca="false">IF(D13="","",IF(LEFT(D13,6)="C-ITGC","ITGC","Not an ITGC"))</f>
        <v/>
      </c>
      <c r="F13" s="15"/>
      <c r="G13" s="15"/>
      <c r="H13" s="15"/>
      <c r="I13" s="16" t="str">
        <f aca="false">IF(A13="","",IF(COUNTIF(Control_Register!$A$5:$A$204,B13)=0,"Dependent CTRL not in register",IF(E13&lt;&gt;"ITGC","Dependency must be an ITGC",IF(AND(OR(F13="Exception noted",F13="Ineffective"),H13="Supported"),"Exceptions need additional procedures before reliance",IF(AND(H13="Supported with additional procedures",G13=""),"Describe the additional procedures","OK")))))</f>
        <v/>
      </c>
    </row>
    <row r="14" customFormat="false" ht="15" hidden="false" customHeight="false" outlineLevel="0" collapsed="false">
      <c r="A14" s="15"/>
      <c r="B14" s="15"/>
      <c r="C14" s="16" t="str">
        <f aca="false">IFERROR(INDEX(Control_Register!$E$5:$E$204,MATCH(B14,Control_Register!$A$5:$A$204,0)),"")</f>
        <v/>
      </c>
      <c r="D14" s="15"/>
      <c r="E14" s="16" t="str">
        <f aca="false">IF(D14="","",IF(LEFT(D14,6)="C-ITGC","ITGC","Not an ITGC"))</f>
        <v/>
      </c>
      <c r="F14" s="15"/>
      <c r="G14" s="15"/>
      <c r="H14" s="15"/>
      <c r="I14" s="16" t="str">
        <f aca="false">IF(A14="","",IF(COUNTIF(Control_Register!$A$5:$A$204,B14)=0,"Dependent CTRL not in register",IF(E14&lt;&gt;"ITGC","Dependency must be an ITGC",IF(AND(OR(F14="Exception noted",F14="Ineffective"),H14="Supported"),"Exceptions need additional procedures before reliance",IF(AND(H14="Supported with additional procedures",G14=""),"Describe the additional procedures","OK")))))</f>
        <v/>
      </c>
    </row>
    <row r="15" customFormat="false" ht="15" hidden="false" customHeight="false" outlineLevel="0" collapsed="false">
      <c r="A15" s="15"/>
      <c r="B15" s="15"/>
      <c r="C15" s="16" t="str">
        <f aca="false">IFERROR(INDEX(Control_Register!$E$5:$E$204,MATCH(B15,Control_Register!$A$5:$A$204,0)),"")</f>
        <v/>
      </c>
      <c r="D15" s="15"/>
      <c r="E15" s="16" t="str">
        <f aca="false">IF(D15="","",IF(LEFT(D15,6)="C-ITGC","ITGC","Not an ITGC"))</f>
        <v/>
      </c>
      <c r="F15" s="15"/>
      <c r="G15" s="15"/>
      <c r="H15" s="15"/>
      <c r="I15" s="16" t="str">
        <f aca="false">IF(A15="","",IF(COUNTIF(Control_Register!$A$5:$A$204,B15)=0,"Dependent CTRL not in register",IF(E15&lt;&gt;"ITGC","Dependency must be an ITGC",IF(AND(OR(F15="Exception noted",F15="Ineffective"),H15="Supported"),"Exceptions need additional procedures before reliance",IF(AND(H15="Supported with additional procedures",G15=""),"Describe the additional procedures","OK")))))</f>
        <v/>
      </c>
    </row>
    <row r="16" customFormat="false" ht="15" hidden="false" customHeight="false" outlineLevel="0" collapsed="false">
      <c r="A16" s="15"/>
      <c r="B16" s="15"/>
      <c r="C16" s="16" t="str">
        <f aca="false">IFERROR(INDEX(Control_Register!$E$5:$E$204,MATCH(B16,Control_Register!$A$5:$A$204,0)),"")</f>
        <v/>
      </c>
      <c r="D16" s="15"/>
      <c r="E16" s="16" t="str">
        <f aca="false">IF(D16="","",IF(LEFT(D16,6)="C-ITGC","ITGC","Not an ITGC"))</f>
        <v/>
      </c>
      <c r="F16" s="15"/>
      <c r="G16" s="15"/>
      <c r="H16" s="15"/>
      <c r="I16" s="16" t="str">
        <f aca="false">IF(A16="","",IF(COUNTIF(Control_Register!$A$5:$A$204,B16)=0,"Dependent CTRL not in register",IF(E16&lt;&gt;"ITGC","Dependency must be an ITGC",IF(AND(OR(F16="Exception noted",F16="Ineffective"),H16="Supported"),"Exceptions need additional procedures before reliance",IF(AND(H16="Supported with additional procedures",G16=""),"Describe the additional procedures","OK")))))</f>
        <v/>
      </c>
    </row>
    <row r="17" customFormat="false" ht="15" hidden="false" customHeight="false" outlineLevel="0" collapsed="false">
      <c r="A17" s="15"/>
      <c r="B17" s="15"/>
      <c r="C17" s="16" t="str">
        <f aca="false">IFERROR(INDEX(Control_Register!$E$5:$E$204,MATCH(B17,Control_Register!$A$5:$A$204,0)),"")</f>
        <v/>
      </c>
      <c r="D17" s="15"/>
      <c r="E17" s="16" t="str">
        <f aca="false">IF(D17="","",IF(LEFT(D17,6)="C-ITGC","ITGC","Not an ITGC"))</f>
        <v/>
      </c>
      <c r="F17" s="15"/>
      <c r="G17" s="15"/>
      <c r="H17" s="15"/>
      <c r="I17" s="16" t="str">
        <f aca="false">IF(A17="","",IF(COUNTIF(Control_Register!$A$5:$A$204,B17)=0,"Dependent CTRL not in register",IF(E17&lt;&gt;"ITGC","Dependency must be an ITGC",IF(AND(OR(F17="Exception noted",F17="Ineffective"),H17="Supported"),"Exceptions need additional procedures before reliance",IF(AND(H17="Supported with additional procedures",G17=""),"Describe the additional procedures","OK")))))</f>
        <v/>
      </c>
    </row>
    <row r="18" customFormat="false" ht="15" hidden="false" customHeight="false" outlineLevel="0" collapsed="false">
      <c r="A18" s="15"/>
      <c r="B18" s="15"/>
      <c r="C18" s="16" t="str">
        <f aca="false">IFERROR(INDEX(Control_Register!$E$5:$E$204,MATCH(B18,Control_Register!$A$5:$A$204,0)),"")</f>
        <v/>
      </c>
      <c r="D18" s="15"/>
      <c r="E18" s="16" t="str">
        <f aca="false">IF(D18="","",IF(LEFT(D18,6)="C-ITGC","ITGC","Not an ITGC"))</f>
        <v/>
      </c>
      <c r="F18" s="15"/>
      <c r="G18" s="15"/>
      <c r="H18" s="15"/>
      <c r="I18" s="16" t="str">
        <f aca="false">IF(A18="","",IF(COUNTIF(Control_Register!$A$5:$A$204,B18)=0,"Dependent CTRL not in register",IF(E18&lt;&gt;"ITGC","Dependency must be an ITGC",IF(AND(OR(F18="Exception noted",F18="Ineffective"),H18="Supported"),"Exceptions need additional procedures before reliance",IF(AND(H18="Supported with additional procedures",G18=""),"Describe the additional procedures","OK")))))</f>
        <v/>
      </c>
    </row>
    <row r="19" customFormat="false" ht="15" hidden="false" customHeight="false" outlineLevel="0" collapsed="false">
      <c r="A19" s="15"/>
      <c r="B19" s="15"/>
      <c r="C19" s="16" t="str">
        <f aca="false">IFERROR(INDEX(Control_Register!$E$5:$E$204,MATCH(B19,Control_Register!$A$5:$A$204,0)),"")</f>
        <v/>
      </c>
      <c r="D19" s="15"/>
      <c r="E19" s="16" t="str">
        <f aca="false">IF(D19="","",IF(LEFT(D19,6)="C-ITGC","ITGC","Not an ITGC"))</f>
        <v/>
      </c>
      <c r="F19" s="15"/>
      <c r="G19" s="15"/>
      <c r="H19" s="15"/>
      <c r="I19" s="16" t="str">
        <f aca="false">IF(A19="","",IF(COUNTIF(Control_Register!$A$5:$A$204,B19)=0,"Dependent CTRL not in register",IF(E19&lt;&gt;"ITGC","Dependency must be an ITGC",IF(AND(OR(F19="Exception noted",F19="Ineffective"),H19="Supported"),"Exceptions need additional procedures before reliance",IF(AND(H19="Supported with additional procedures",G19=""),"Describe the additional procedures","OK")))))</f>
        <v/>
      </c>
    </row>
    <row r="20" customFormat="false" ht="15" hidden="false" customHeight="false" outlineLevel="0" collapsed="false">
      <c r="A20" s="15"/>
      <c r="B20" s="15"/>
      <c r="C20" s="16" t="str">
        <f aca="false">IFERROR(INDEX(Control_Register!$E$5:$E$204,MATCH(B20,Control_Register!$A$5:$A$204,0)),"")</f>
        <v/>
      </c>
      <c r="D20" s="15"/>
      <c r="E20" s="16" t="str">
        <f aca="false">IF(D20="","",IF(LEFT(D20,6)="C-ITGC","ITGC","Not an ITGC"))</f>
        <v/>
      </c>
      <c r="F20" s="15"/>
      <c r="G20" s="15"/>
      <c r="H20" s="15"/>
      <c r="I20" s="16" t="str">
        <f aca="false">IF(A20="","",IF(COUNTIF(Control_Register!$A$5:$A$204,B20)=0,"Dependent CTRL not in register",IF(E20&lt;&gt;"ITGC","Dependency must be an ITGC",IF(AND(OR(F20="Exception noted",F20="Ineffective"),H20="Supported"),"Exceptions need additional procedures before reliance",IF(AND(H20="Supported with additional procedures",G20=""),"Describe the additional procedures","OK")))))</f>
        <v/>
      </c>
    </row>
    <row r="21" customFormat="false" ht="15" hidden="false" customHeight="false" outlineLevel="0" collapsed="false">
      <c r="A21" s="15"/>
      <c r="B21" s="15"/>
      <c r="C21" s="16" t="str">
        <f aca="false">IFERROR(INDEX(Control_Register!$E$5:$E$204,MATCH(B21,Control_Register!$A$5:$A$204,0)),"")</f>
        <v/>
      </c>
      <c r="D21" s="15"/>
      <c r="E21" s="16" t="str">
        <f aca="false">IF(D21="","",IF(LEFT(D21,6)="C-ITGC","ITGC","Not an ITGC"))</f>
        <v/>
      </c>
      <c r="F21" s="15"/>
      <c r="G21" s="15"/>
      <c r="H21" s="15"/>
      <c r="I21" s="16" t="str">
        <f aca="false">IF(A21="","",IF(COUNTIF(Control_Register!$A$5:$A$204,B21)=0,"Dependent CTRL not in register",IF(E21&lt;&gt;"ITGC","Dependency must be an ITGC",IF(AND(OR(F21="Exception noted",F21="Ineffective"),H21="Supported"),"Exceptions need additional procedures before reliance",IF(AND(H21="Supported with additional procedures",G21=""),"Describe the additional procedures","OK")))))</f>
        <v/>
      </c>
    </row>
    <row r="22" customFormat="false" ht="15" hidden="false" customHeight="false" outlineLevel="0" collapsed="false">
      <c r="A22" s="15"/>
      <c r="B22" s="15"/>
      <c r="C22" s="16" t="str">
        <f aca="false">IFERROR(INDEX(Control_Register!$E$5:$E$204,MATCH(B22,Control_Register!$A$5:$A$204,0)),"")</f>
        <v/>
      </c>
      <c r="D22" s="15"/>
      <c r="E22" s="16" t="str">
        <f aca="false">IF(D22="","",IF(LEFT(D22,6)="C-ITGC","ITGC","Not an ITGC"))</f>
        <v/>
      </c>
      <c r="F22" s="15"/>
      <c r="G22" s="15"/>
      <c r="H22" s="15"/>
      <c r="I22" s="16" t="str">
        <f aca="false">IF(A22="","",IF(COUNTIF(Control_Register!$A$5:$A$204,B22)=0,"Dependent CTRL not in register",IF(E22&lt;&gt;"ITGC","Dependency must be an ITGC",IF(AND(OR(F22="Exception noted",F22="Ineffective"),H22="Supported"),"Exceptions need additional procedures before reliance",IF(AND(H22="Supported with additional procedures",G22=""),"Describe the additional procedures","OK")))))</f>
        <v/>
      </c>
    </row>
    <row r="23" customFormat="false" ht="15" hidden="false" customHeight="false" outlineLevel="0" collapsed="false">
      <c r="A23" s="15"/>
      <c r="B23" s="15"/>
      <c r="C23" s="16" t="str">
        <f aca="false">IFERROR(INDEX(Control_Register!$E$5:$E$204,MATCH(B23,Control_Register!$A$5:$A$204,0)),"")</f>
        <v/>
      </c>
      <c r="D23" s="15"/>
      <c r="E23" s="16" t="str">
        <f aca="false">IF(D23="","",IF(LEFT(D23,6)="C-ITGC","ITGC","Not an ITGC"))</f>
        <v/>
      </c>
      <c r="F23" s="15"/>
      <c r="G23" s="15"/>
      <c r="H23" s="15"/>
      <c r="I23" s="16" t="str">
        <f aca="false">IF(A23="","",IF(COUNTIF(Control_Register!$A$5:$A$204,B23)=0,"Dependent CTRL not in register",IF(E23&lt;&gt;"ITGC","Dependency must be an ITGC",IF(AND(OR(F23="Exception noted",F23="Ineffective"),H23="Supported"),"Exceptions need additional procedures before reliance",IF(AND(H23="Supported with additional procedures",G23=""),"Describe the additional procedures","OK")))))</f>
        <v/>
      </c>
    </row>
    <row r="24" customFormat="false" ht="15" hidden="false" customHeight="false" outlineLevel="0" collapsed="false">
      <c r="A24" s="15"/>
      <c r="B24" s="15"/>
      <c r="C24" s="16" t="str">
        <f aca="false">IFERROR(INDEX(Control_Register!$E$5:$E$204,MATCH(B24,Control_Register!$A$5:$A$204,0)),"")</f>
        <v/>
      </c>
      <c r="D24" s="15"/>
      <c r="E24" s="16" t="str">
        <f aca="false">IF(D24="","",IF(LEFT(D24,6)="C-ITGC","ITGC","Not an ITGC"))</f>
        <v/>
      </c>
      <c r="F24" s="15"/>
      <c r="G24" s="15"/>
      <c r="H24" s="15"/>
      <c r="I24" s="16" t="str">
        <f aca="false">IF(A24="","",IF(COUNTIF(Control_Register!$A$5:$A$204,B24)=0,"Dependent CTRL not in register",IF(E24&lt;&gt;"ITGC","Dependency must be an ITGC",IF(AND(OR(F24="Exception noted",F24="Ineffective"),H24="Supported"),"Exceptions need additional procedures before reliance",IF(AND(H24="Supported with additional procedures",G24=""),"Describe the additional procedures","OK")))))</f>
        <v/>
      </c>
    </row>
    <row r="25" customFormat="false" ht="15" hidden="false" customHeight="false" outlineLevel="0" collapsed="false">
      <c r="A25" s="15"/>
      <c r="B25" s="15"/>
      <c r="C25" s="16" t="str">
        <f aca="false">IFERROR(INDEX(Control_Register!$E$5:$E$204,MATCH(B25,Control_Register!$A$5:$A$204,0)),"")</f>
        <v/>
      </c>
      <c r="D25" s="15"/>
      <c r="E25" s="16" t="str">
        <f aca="false">IF(D25="","",IF(LEFT(D25,6)="C-ITGC","ITGC","Not an ITGC"))</f>
        <v/>
      </c>
      <c r="F25" s="15"/>
      <c r="G25" s="15"/>
      <c r="H25" s="15"/>
      <c r="I25" s="16" t="str">
        <f aca="false">IF(A25="","",IF(COUNTIF(Control_Register!$A$5:$A$204,B25)=0,"Dependent CTRL not in register",IF(E25&lt;&gt;"ITGC","Dependency must be an ITGC",IF(AND(OR(F25="Exception noted",F25="Ineffective"),H25="Supported"),"Exceptions need additional procedures before reliance",IF(AND(H25="Supported with additional procedures",G25=""),"Describe the additional procedures","OK")))))</f>
        <v/>
      </c>
    </row>
    <row r="26" customFormat="false" ht="15" hidden="false" customHeight="false" outlineLevel="0" collapsed="false">
      <c r="A26" s="15"/>
      <c r="B26" s="15"/>
      <c r="C26" s="16" t="str">
        <f aca="false">IFERROR(INDEX(Control_Register!$E$5:$E$204,MATCH(B26,Control_Register!$A$5:$A$204,0)),"")</f>
        <v/>
      </c>
      <c r="D26" s="15"/>
      <c r="E26" s="16" t="str">
        <f aca="false">IF(D26="","",IF(LEFT(D26,6)="C-ITGC","ITGC","Not an ITGC"))</f>
        <v/>
      </c>
      <c r="F26" s="15"/>
      <c r="G26" s="15"/>
      <c r="H26" s="15"/>
      <c r="I26" s="16" t="str">
        <f aca="false">IF(A26="","",IF(COUNTIF(Control_Register!$A$5:$A$204,B26)=0,"Dependent CTRL not in register",IF(E26&lt;&gt;"ITGC","Dependency must be an ITGC",IF(AND(OR(F26="Exception noted",F26="Ineffective"),H26="Supported"),"Exceptions need additional procedures before reliance",IF(AND(H26="Supported with additional procedures",G26=""),"Describe the additional procedures","OK")))))</f>
        <v/>
      </c>
    </row>
    <row r="27" customFormat="false" ht="15" hidden="false" customHeight="false" outlineLevel="0" collapsed="false">
      <c r="A27" s="15"/>
      <c r="B27" s="15"/>
      <c r="C27" s="16" t="str">
        <f aca="false">IFERROR(INDEX(Control_Register!$E$5:$E$204,MATCH(B27,Control_Register!$A$5:$A$204,0)),"")</f>
        <v/>
      </c>
      <c r="D27" s="15"/>
      <c r="E27" s="16" t="str">
        <f aca="false">IF(D27="","",IF(LEFT(D27,6)="C-ITGC","ITGC","Not an ITGC"))</f>
        <v/>
      </c>
      <c r="F27" s="15"/>
      <c r="G27" s="15"/>
      <c r="H27" s="15"/>
      <c r="I27" s="16" t="str">
        <f aca="false">IF(A27="","",IF(COUNTIF(Control_Register!$A$5:$A$204,B27)=0,"Dependent CTRL not in register",IF(E27&lt;&gt;"ITGC","Dependency must be an ITGC",IF(AND(OR(F27="Exception noted",F27="Ineffective"),H27="Supported"),"Exceptions need additional procedures before reliance",IF(AND(H27="Supported with additional procedures",G27=""),"Describe the additional procedures","OK")))))</f>
        <v/>
      </c>
    </row>
    <row r="28" customFormat="false" ht="15" hidden="false" customHeight="false" outlineLevel="0" collapsed="false">
      <c r="A28" s="15"/>
      <c r="B28" s="15"/>
      <c r="C28" s="16" t="str">
        <f aca="false">IFERROR(INDEX(Control_Register!$E$5:$E$204,MATCH(B28,Control_Register!$A$5:$A$204,0)),"")</f>
        <v/>
      </c>
      <c r="D28" s="15"/>
      <c r="E28" s="16" t="str">
        <f aca="false">IF(D28="","",IF(LEFT(D28,6)="C-ITGC","ITGC","Not an ITGC"))</f>
        <v/>
      </c>
      <c r="F28" s="15"/>
      <c r="G28" s="15"/>
      <c r="H28" s="15"/>
      <c r="I28" s="16" t="str">
        <f aca="false">IF(A28="","",IF(COUNTIF(Control_Register!$A$5:$A$204,B28)=0,"Dependent CTRL not in register",IF(E28&lt;&gt;"ITGC","Dependency must be an ITGC",IF(AND(OR(F28="Exception noted",F28="Ineffective"),H28="Supported"),"Exceptions need additional procedures before reliance",IF(AND(H28="Supported with additional procedures",G28=""),"Describe the additional procedures","OK")))))</f>
        <v/>
      </c>
    </row>
    <row r="29" customFormat="false" ht="15" hidden="false" customHeight="false" outlineLevel="0" collapsed="false">
      <c r="A29" s="15"/>
      <c r="B29" s="15"/>
      <c r="C29" s="16" t="str">
        <f aca="false">IFERROR(INDEX(Control_Register!$E$5:$E$204,MATCH(B29,Control_Register!$A$5:$A$204,0)),"")</f>
        <v/>
      </c>
      <c r="D29" s="15"/>
      <c r="E29" s="16" t="str">
        <f aca="false">IF(D29="","",IF(LEFT(D29,6)="C-ITGC","ITGC","Not an ITGC"))</f>
        <v/>
      </c>
      <c r="F29" s="15"/>
      <c r="G29" s="15"/>
      <c r="H29" s="15"/>
      <c r="I29" s="16" t="str">
        <f aca="false">IF(A29="","",IF(COUNTIF(Control_Register!$A$5:$A$204,B29)=0,"Dependent CTRL not in register",IF(E29&lt;&gt;"ITGC","Dependency must be an ITGC",IF(AND(OR(F29="Exception noted",F29="Ineffective"),H29="Supported"),"Exceptions need additional procedures before reliance",IF(AND(H29="Supported with additional procedures",G29=""),"Describe the additional procedures","OK")))))</f>
        <v/>
      </c>
    </row>
    <row r="30" customFormat="false" ht="15" hidden="false" customHeight="false" outlineLevel="0" collapsed="false">
      <c r="A30" s="15"/>
      <c r="B30" s="15"/>
      <c r="C30" s="16" t="str">
        <f aca="false">IFERROR(INDEX(Control_Register!$E$5:$E$204,MATCH(B30,Control_Register!$A$5:$A$204,0)),"")</f>
        <v/>
      </c>
      <c r="D30" s="15"/>
      <c r="E30" s="16" t="str">
        <f aca="false">IF(D30="","",IF(LEFT(D30,6)="C-ITGC","ITGC","Not an ITGC"))</f>
        <v/>
      </c>
      <c r="F30" s="15"/>
      <c r="G30" s="15"/>
      <c r="H30" s="15"/>
      <c r="I30" s="16" t="str">
        <f aca="false">IF(A30="","",IF(COUNTIF(Control_Register!$A$5:$A$204,B30)=0,"Dependent CTRL not in register",IF(E30&lt;&gt;"ITGC","Dependency must be an ITGC",IF(AND(OR(F30="Exception noted",F30="Ineffective"),H30="Supported"),"Exceptions need additional procedures before reliance",IF(AND(H30="Supported with additional procedures",G30=""),"Describe the additional procedures","OK")))))</f>
        <v/>
      </c>
    </row>
    <row r="31" customFormat="false" ht="15" hidden="false" customHeight="false" outlineLevel="0" collapsed="false">
      <c r="A31" s="15"/>
      <c r="B31" s="15"/>
      <c r="C31" s="16" t="str">
        <f aca="false">IFERROR(INDEX(Control_Register!$E$5:$E$204,MATCH(B31,Control_Register!$A$5:$A$204,0)),"")</f>
        <v/>
      </c>
      <c r="D31" s="15"/>
      <c r="E31" s="16" t="str">
        <f aca="false">IF(D31="","",IF(LEFT(D31,6)="C-ITGC","ITGC","Not an ITGC"))</f>
        <v/>
      </c>
      <c r="F31" s="15"/>
      <c r="G31" s="15"/>
      <c r="H31" s="15"/>
      <c r="I31" s="16" t="str">
        <f aca="false">IF(A31="","",IF(COUNTIF(Control_Register!$A$5:$A$204,B31)=0,"Dependent CTRL not in register",IF(E31&lt;&gt;"ITGC","Dependency must be an ITGC",IF(AND(OR(F31="Exception noted",F31="Ineffective"),H31="Supported"),"Exceptions need additional procedures before reliance",IF(AND(H31="Supported with additional procedures",G31=""),"Describe the additional procedures","OK")))))</f>
        <v/>
      </c>
    </row>
    <row r="32" customFormat="false" ht="15" hidden="false" customHeight="false" outlineLevel="0" collapsed="false">
      <c r="A32" s="15"/>
      <c r="B32" s="15"/>
      <c r="C32" s="16" t="str">
        <f aca="false">IFERROR(INDEX(Control_Register!$E$5:$E$204,MATCH(B32,Control_Register!$A$5:$A$204,0)),"")</f>
        <v/>
      </c>
      <c r="D32" s="15"/>
      <c r="E32" s="16" t="str">
        <f aca="false">IF(D32="","",IF(LEFT(D32,6)="C-ITGC","ITGC","Not an ITGC"))</f>
        <v/>
      </c>
      <c r="F32" s="15"/>
      <c r="G32" s="15"/>
      <c r="H32" s="15"/>
      <c r="I32" s="16" t="str">
        <f aca="false">IF(A32="","",IF(COUNTIF(Control_Register!$A$5:$A$204,B32)=0,"Dependent CTRL not in register",IF(E32&lt;&gt;"ITGC","Dependency must be an ITGC",IF(AND(OR(F32="Exception noted",F32="Ineffective"),H32="Supported"),"Exceptions need additional procedures before reliance",IF(AND(H32="Supported with additional procedures",G32=""),"Describe the additional procedures","OK")))))</f>
        <v/>
      </c>
    </row>
    <row r="33" customFormat="false" ht="15" hidden="false" customHeight="false" outlineLevel="0" collapsed="false">
      <c r="A33" s="15"/>
      <c r="B33" s="15"/>
      <c r="C33" s="16" t="str">
        <f aca="false">IFERROR(INDEX(Control_Register!$E$5:$E$204,MATCH(B33,Control_Register!$A$5:$A$204,0)),"")</f>
        <v/>
      </c>
      <c r="D33" s="15"/>
      <c r="E33" s="16" t="str">
        <f aca="false">IF(D33="","",IF(LEFT(D33,6)="C-ITGC","ITGC","Not an ITGC"))</f>
        <v/>
      </c>
      <c r="F33" s="15"/>
      <c r="G33" s="15"/>
      <c r="H33" s="15"/>
      <c r="I33" s="16" t="str">
        <f aca="false">IF(A33="","",IF(COUNTIF(Control_Register!$A$5:$A$204,B33)=0,"Dependent CTRL not in register",IF(E33&lt;&gt;"ITGC","Dependency must be an ITGC",IF(AND(OR(F33="Exception noted",F33="Ineffective"),H33="Supported"),"Exceptions need additional procedures before reliance",IF(AND(H33="Supported with additional procedures",G33=""),"Describe the additional procedures","OK")))))</f>
        <v/>
      </c>
    </row>
    <row r="34" customFormat="false" ht="15" hidden="false" customHeight="false" outlineLevel="0" collapsed="false">
      <c r="A34" s="15"/>
      <c r="B34" s="15"/>
      <c r="C34" s="16" t="str">
        <f aca="false">IFERROR(INDEX(Control_Register!$E$5:$E$204,MATCH(B34,Control_Register!$A$5:$A$204,0)),"")</f>
        <v/>
      </c>
      <c r="D34" s="15"/>
      <c r="E34" s="16" t="str">
        <f aca="false">IF(D34="","",IF(LEFT(D34,6)="C-ITGC","ITGC","Not an ITGC"))</f>
        <v/>
      </c>
      <c r="F34" s="15"/>
      <c r="G34" s="15"/>
      <c r="H34" s="15"/>
      <c r="I34" s="16" t="str">
        <f aca="false">IF(A34="","",IF(COUNTIF(Control_Register!$A$5:$A$204,B34)=0,"Dependent CTRL not in register",IF(E34&lt;&gt;"ITGC","Dependency must be an ITGC",IF(AND(OR(F34="Exception noted",F34="Ineffective"),H34="Supported"),"Exceptions need additional procedures before reliance",IF(AND(H34="Supported with additional procedures",G34=""),"Describe the additional procedures","OK")))))</f>
        <v/>
      </c>
    </row>
    <row r="35" customFormat="false" ht="15" hidden="false" customHeight="false" outlineLevel="0" collapsed="false">
      <c r="A35" s="15"/>
      <c r="B35" s="15"/>
      <c r="C35" s="16" t="str">
        <f aca="false">IFERROR(INDEX(Control_Register!$E$5:$E$204,MATCH(B35,Control_Register!$A$5:$A$204,0)),"")</f>
        <v/>
      </c>
      <c r="D35" s="15"/>
      <c r="E35" s="16" t="str">
        <f aca="false">IF(D35="","",IF(LEFT(D35,6)="C-ITGC","ITGC","Not an ITGC"))</f>
        <v/>
      </c>
      <c r="F35" s="15"/>
      <c r="G35" s="15"/>
      <c r="H35" s="15"/>
      <c r="I35" s="16" t="str">
        <f aca="false">IF(A35="","",IF(COUNTIF(Control_Register!$A$5:$A$204,B35)=0,"Dependent CTRL not in register",IF(E35&lt;&gt;"ITGC","Dependency must be an ITGC",IF(AND(OR(F35="Exception noted",F35="Ineffective"),H35="Supported"),"Exceptions need additional procedures before reliance",IF(AND(H35="Supported with additional procedures",G35=""),"Describe the additional procedures","OK")))))</f>
        <v/>
      </c>
    </row>
    <row r="36" customFormat="false" ht="15" hidden="false" customHeight="false" outlineLevel="0" collapsed="false">
      <c r="A36" s="15"/>
      <c r="B36" s="15"/>
      <c r="C36" s="16" t="str">
        <f aca="false">IFERROR(INDEX(Control_Register!$E$5:$E$204,MATCH(B36,Control_Register!$A$5:$A$204,0)),"")</f>
        <v/>
      </c>
      <c r="D36" s="15"/>
      <c r="E36" s="16" t="str">
        <f aca="false">IF(D36="","",IF(LEFT(D36,6)="C-ITGC","ITGC","Not an ITGC"))</f>
        <v/>
      </c>
      <c r="F36" s="15"/>
      <c r="G36" s="15"/>
      <c r="H36" s="15"/>
      <c r="I36" s="16" t="str">
        <f aca="false">IF(A36="","",IF(COUNTIF(Control_Register!$A$5:$A$204,B36)=0,"Dependent CTRL not in register",IF(E36&lt;&gt;"ITGC","Dependency must be an ITGC",IF(AND(OR(F36="Exception noted",F36="Ineffective"),H36="Supported"),"Exceptions need additional procedures before reliance",IF(AND(H36="Supported with additional procedures",G36=""),"Describe the additional procedures","OK")))))</f>
        <v/>
      </c>
    </row>
    <row r="37" customFormat="false" ht="15" hidden="false" customHeight="false" outlineLevel="0" collapsed="false">
      <c r="A37" s="15"/>
      <c r="B37" s="15"/>
      <c r="C37" s="16" t="str">
        <f aca="false">IFERROR(INDEX(Control_Register!$E$5:$E$204,MATCH(B37,Control_Register!$A$5:$A$204,0)),"")</f>
        <v/>
      </c>
      <c r="D37" s="15"/>
      <c r="E37" s="16" t="str">
        <f aca="false">IF(D37="","",IF(LEFT(D37,6)="C-ITGC","ITGC","Not an ITGC"))</f>
        <v/>
      </c>
      <c r="F37" s="15"/>
      <c r="G37" s="15"/>
      <c r="H37" s="15"/>
      <c r="I37" s="16" t="str">
        <f aca="false">IF(A37="","",IF(COUNTIF(Control_Register!$A$5:$A$204,B37)=0,"Dependent CTRL not in register",IF(E37&lt;&gt;"ITGC","Dependency must be an ITGC",IF(AND(OR(F37="Exception noted",F37="Ineffective"),H37="Supported"),"Exceptions need additional procedures before reliance",IF(AND(H37="Supported with additional procedures",G37=""),"Describe the additional procedures","OK")))))</f>
        <v/>
      </c>
    </row>
    <row r="38" customFormat="false" ht="15" hidden="false" customHeight="false" outlineLevel="0" collapsed="false">
      <c r="A38" s="15"/>
      <c r="B38" s="15"/>
      <c r="C38" s="16" t="str">
        <f aca="false">IFERROR(INDEX(Control_Register!$E$5:$E$204,MATCH(B38,Control_Register!$A$5:$A$204,0)),"")</f>
        <v/>
      </c>
      <c r="D38" s="15"/>
      <c r="E38" s="16" t="str">
        <f aca="false">IF(D38="","",IF(LEFT(D38,6)="C-ITGC","ITGC","Not an ITGC"))</f>
        <v/>
      </c>
      <c r="F38" s="15"/>
      <c r="G38" s="15"/>
      <c r="H38" s="15"/>
      <c r="I38" s="16" t="str">
        <f aca="false">IF(A38="","",IF(COUNTIF(Control_Register!$A$5:$A$204,B38)=0,"Dependent CTRL not in register",IF(E38&lt;&gt;"ITGC","Dependency must be an ITGC",IF(AND(OR(F38="Exception noted",F38="Ineffective"),H38="Supported"),"Exceptions need additional procedures before reliance",IF(AND(H38="Supported with additional procedures",G38=""),"Describe the additional procedures","OK")))))</f>
        <v/>
      </c>
    </row>
    <row r="39" customFormat="false" ht="15" hidden="false" customHeight="false" outlineLevel="0" collapsed="false">
      <c r="A39" s="15"/>
      <c r="B39" s="15"/>
      <c r="C39" s="16" t="str">
        <f aca="false">IFERROR(INDEX(Control_Register!$E$5:$E$204,MATCH(B39,Control_Register!$A$5:$A$204,0)),"")</f>
        <v/>
      </c>
      <c r="D39" s="15"/>
      <c r="E39" s="16" t="str">
        <f aca="false">IF(D39="","",IF(LEFT(D39,6)="C-ITGC","ITGC","Not an ITGC"))</f>
        <v/>
      </c>
      <c r="F39" s="15"/>
      <c r="G39" s="15"/>
      <c r="H39" s="15"/>
      <c r="I39" s="16" t="str">
        <f aca="false">IF(A39="","",IF(COUNTIF(Control_Register!$A$5:$A$204,B39)=0,"Dependent CTRL not in register",IF(E39&lt;&gt;"ITGC","Dependency must be an ITGC",IF(AND(OR(F39="Exception noted",F39="Ineffective"),H39="Supported"),"Exceptions need additional procedures before reliance",IF(AND(H39="Supported with additional procedures",G39=""),"Describe the additional procedures","OK")))))</f>
        <v/>
      </c>
    </row>
    <row r="40" customFormat="false" ht="15" hidden="false" customHeight="false" outlineLevel="0" collapsed="false">
      <c r="A40" s="15"/>
      <c r="B40" s="15"/>
      <c r="C40" s="16" t="str">
        <f aca="false">IFERROR(INDEX(Control_Register!$E$5:$E$204,MATCH(B40,Control_Register!$A$5:$A$204,0)),"")</f>
        <v/>
      </c>
      <c r="D40" s="15"/>
      <c r="E40" s="16" t="str">
        <f aca="false">IF(D40="","",IF(LEFT(D40,6)="C-ITGC","ITGC","Not an ITGC"))</f>
        <v/>
      </c>
      <c r="F40" s="15"/>
      <c r="G40" s="15"/>
      <c r="H40" s="15"/>
      <c r="I40" s="16" t="str">
        <f aca="false">IF(A40="","",IF(COUNTIF(Control_Register!$A$5:$A$204,B40)=0,"Dependent CTRL not in register",IF(E40&lt;&gt;"ITGC","Dependency must be an ITGC",IF(AND(OR(F40="Exception noted",F40="Ineffective"),H40="Supported"),"Exceptions need additional procedures before reliance",IF(AND(H40="Supported with additional procedures",G40=""),"Describe the additional procedures","OK")))))</f>
        <v/>
      </c>
    </row>
    <row r="41" customFormat="false" ht="15" hidden="false" customHeight="false" outlineLevel="0" collapsed="false">
      <c r="A41" s="15"/>
      <c r="B41" s="15"/>
      <c r="C41" s="16" t="str">
        <f aca="false">IFERROR(INDEX(Control_Register!$E$5:$E$204,MATCH(B41,Control_Register!$A$5:$A$204,0)),"")</f>
        <v/>
      </c>
      <c r="D41" s="15"/>
      <c r="E41" s="16" t="str">
        <f aca="false">IF(D41="","",IF(LEFT(D41,6)="C-ITGC","ITGC","Not an ITGC"))</f>
        <v/>
      </c>
      <c r="F41" s="15"/>
      <c r="G41" s="15"/>
      <c r="H41" s="15"/>
      <c r="I41" s="16" t="str">
        <f aca="false">IF(A41="","",IF(COUNTIF(Control_Register!$A$5:$A$204,B41)=0,"Dependent CTRL not in register",IF(E41&lt;&gt;"ITGC","Dependency must be an ITGC",IF(AND(OR(F41="Exception noted",F41="Ineffective"),H41="Supported"),"Exceptions need additional procedures before reliance",IF(AND(H41="Supported with additional procedures",G41=""),"Describe the additional procedures","OK")))))</f>
        <v/>
      </c>
    </row>
    <row r="42" customFormat="false" ht="15" hidden="false" customHeight="false" outlineLevel="0" collapsed="false">
      <c r="A42" s="15"/>
      <c r="B42" s="15"/>
      <c r="C42" s="16" t="str">
        <f aca="false">IFERROR(INDEX(Control_Register!$E$5:$E$204,MATCH(B42,Control_Register!$A$5:$A$204,0)),"")</f>
        <v/>
      </c>
      <c r="D42" s="15"/>
      <c r="E42" s="16" t="str">
        <f aca="false">IF(D42="","",IF(LEFT(D42,6)="C-ITGC","ITGC","Not an ITGC"))</f>
        <v/>
      </c>
      <c r="F42" s="15"/>
      <c r="G42" s="15"/>
      <c r="H42" s="15"/>
      <c r="I42" s="16" t="str">
        <f aca="false">IF(A42="","",IF(COUNTIF(Control_Register!$A$5:$A$204,B42)=0,"Dependent CTRL not in register",IF(E42&lt;&gt;"ITGC","Dependency must be an ITGC",IF(AND(OR(F42="Exception noted",F42="Ineffective"),H42="Supported"),"Exceptions need additional procedures before reliance",IF(AND(H42="Supported with additional procedures",G42=""),"Describe the additional procedures","OK")))))</f>
        <v/>
      </c>
    </row>
    <row r="43" customFormat="false" ht="15" hidden="false" customHeight="false" outlineLevel="0" collapsed="false">
      <c r="A43" s="15"/>
      <c r="B43" s="15"/>
      <c r="C43" s="16" t="str">
        <f aca="false">IFERROR(INDEX(Control_Register!$E$5:$E$204,MATCH(B43,Control_Register!$A$5:$A$204,0)),"")</f>
        <v/>
      </c>
      <c r="D43" s="15"/>
      <c r="E43" s="16" t="str">
        <f aca="false">IF(D43="","",IF(LEFT(D43,6)="C-ITGC","ITGC","Not an ITGC"))</f>
        <v/>
      </c>
      <c r="F43" s="15"/>
      <c r="G43" s="15"/>
      <c r="H43" s="15"/>
      <c r="I43" s="16" t="str">
        <f aca="false">IF(A43="","",IF(COUNTIF(Control_Register!$A$5:$A$204,B43)=0,"Dependent CTRL not in register",IF(E43&lt;&gt;"ITGC","Dependency must be an ITGC",IF(AND(OR(F43="Exception noted",F43="Ineffective"),H43="Supported"),"Exceptions need additional procedures before reliance",IF(AND(H43="Supported with additional procedures",G43=""),"Describe the additional procedures","OK")))))</f>
        <v/>
      </c>
    </row>
    <row r="44" customFormat="false" ht="15" hidden="false" customHeight="false" outlineLevel="0" collapsed="false">
      <c r="A44" s="15"/>
      <c r="B44" s="15"/>
      <c r="C44" s="16" t="str">
        <f aca="false">IFERROR(INDEX(Control_Register!$E$5:$E$204,MATCH(B44,Control_Register!$A$5:$A$204,0)),"")</f>
        <v/>
      </c>
      <c r="D44" s="15"/>
      <c r="E44" s="16" t="str">
        <f aca="false">IF(D44="","",IF(LEFT(D44,6)="C-ITGC","ITGC","Not an ITGC"))</f>
        <v/>
      </c>
      <c r="F44" s="15"/>
      <c r="G44" s="15"/>
      <c r="H44" s="15"/>
      <c r="I44" s="16" t="str">
        <f aca="false">IF(A44="","",IF(COUNTIF(Control_Register!$A$5:$A$204,B44)=0,"Dependent CTRL not in register",IF(E44&lt;&gt;"ITGC","Dependency must be an ITGC",IF(AND(OR(F44="Exception noted",F44="Ineffective"),H44="Supported"),"Exceptions need additional procedures before reliance",IF(AND(H44="Supported with additional procedures",G44=""),"Describe the additional procedures","OK")))))</f>
        <v/>
      </c>
    </row>
    <row r="45" customFormat="false" ht="15" hidden="false" customHeight="false" outlineLevel="0" collapsed="false">
      <c r="A45" s="15"/>
      <c r="B45" s="15"/>
      <c r="C45" s="16" t="str">
        <f aca="false">IFERROR(INDEX(Control_Register!$E$5:$E$204,MATCH(B45,Control_Register!$A$5:$A$204,0)),"")</f>
        <v/>
      </c>
      <c r="D45" s="15"/>
      <c r="E45" s="16" t="str">
        <f aca="false">IF(D45="","",IF(LEFT(D45,6)="C-ITGC","ITGC","Not an ITGC"))</f>
        <v/>
      </c>
      <c r="F45" s="15"/>
      <c r="G45" s="15"/>
      <c r="H45" s="15"/>
      <c r="I45" s="16" t="str">
        <f aca="false">IF(A45="","",IF(COUNTIF(Control_Register!$A$5:$A$204,B45)=0,"Dependent CTRL not in register",IF(E45&lt;&gt;"ITGC","Dependency must be an ITGC",IF(AND(OR(F45="Exception noted",F45="Ineffective"),H45="Supported"),"Exceptions need additional procedures before reliance",IF(AND(H45="Supported with additional procedures",G45=""),"Describe the additional procedures","OK")))))</f>
        <v/>
      </c>
    </row>
    <row r="46" customFormat="false" ht="15" hidden="false" customHeight="false" outlineLevel="0" collapsed="false">
      <c r="A46" s="15"/>
      <c r="B46" s="15"/>
      <c r="C46" s="16" t="str">
        <f aca="false">IFERROR(INDEX(Control_Register!$E$5:$E$204,MATCH(B46,Control_Register!$A$5:$A$204,0)),"")</f>
        <v/>
      </c>
      <c r="D46" s="15"/>
      <c r="E46" s="16" t="str">
        <f aca="false">IF(D46="","",IF(LEFT(D46,6)="C-ITGC","ITGC","Not an ITGC"))</f>
        <v/>
      </c>
      <c r="F46" s="15"/>
      <c r="G46" s="15"/>
      <c r="H46" s="15"/>
      <c r="I46" s="16" t="str">
        <f aca="false">IF(A46="","",IF(COUNTIF(Control_Register!$A$5:$A$204,B46)=0,"Dependent CTRL not in register",IF(E46&lt;&gt;"ITGC","Dependency must be an ITGC",IF(AND(OR(F46="Exception noted",F46="Ineffective"),H46="Supported"),"Exceptions need additional procedures before reliance",IF(AND(H46="Supported with additional procedures",G46=""),"Describe the additional procedures","OK")))))</f>
        <v/>
      </c>
    </row>
    <row r="47" customFormat="false" ht="15" hidden="false" customHeight="false" outlineLevel="0" collapsed="false">
      <c r="A47" s="15"/>
      <c r="B47" s="15"/>
      <c r="C47" s="16" t="str">
        <f aca="false">IFERROR(INDEX(Control_Register!$E$5:$E$204,MATCH(B47,Control_Register!$A$5:$A$204,0)),"")</f>
        <v/>
      </c>
      <c r="D47" s="15"/>
      <c r="E47" s="16" t="str">
        <f aca="false">IF(D47="","",IF(LEFT(D47,6)="C-ITGC","ITGC","Not an ITGC"))</f>
        <v/>
      </c>
      <c r="F47" s="15"/>
      <c r="G47" s="15"/>
      <c r="H47" s="15"/>
      <c r="I47" s="16" t="str">
        <f aca="false">IF(A47="","",IF(COUNTIF(Control_Register!$A$5:$A$204,B47)=0,"Dependent CTRL not in register",IF(E47&lt;&gt;"ITGC","Dependency must be an ITGC",IF(AND(OR(F47="Exception noted",F47="Ineffective"),H47="Supported"),"Exceptions need additional procedures before reliance",IF(AND(H47="Supported with additional procedures",G47=""),"Describe the additional procedures","OK")))))</f>
        <v/>
      </c>
    </row>
    <row r="48" customFormat="false" ht="15" hidden="false" customHeight="false" outlineLevel="0" collapsed="false">
      <c r="A48" s="15"/>
      <c r="B48" s="15"/>
      <c r="C48" s="16" t="str">
        <f aca="false">IFERROR(INDEX(Control_Register!$E$5:$E$204,MATCH(B48,Control_Register!$A$5:$A$204,0)),"")</f>
        <v/>
      </c>
      <c r="D48" s="15"/>
      <c r="E48" s="16" t="str">
        <f aca="false">IF(D48="","",IF(LEFT(D48,6)="C-ITGC","ITGC","Not an ITGC"))</f>
        <v/>
      </c>
      <c r="F48" s="15"/>
      <c r="G48" s="15"/>
      <c r="H48" s="15"/>
      <c r="I48" s="16" t="str">
        <f aca="false">IF(A48="","",IF(COUNTIF(Control_Register!$A$5:$A$204,B48)=0,"Dependent CTRL not in register",IF(E48&lt;&gt;"ITGC","Dependency must be an ITGC",IF(AND(OR(F48="Exception noted",F48="Ineffective"),H48="Supported"),"Exceptions need additional procedures before reliance",IF(AND(H48="Supported with additional procedures",G48=""),"Describe the additional procedures","OK")))))</f>
        <v/>
      </c>
    </row>
    <row r="49" customFormat="false" ht="15" hidden="false" customHeight="false" outlineLevel="0" collapsed="false">
      <c r="A49" s="15"/>
      <c r="B49" s="15"/>
      <c r="C49" s="16" t="str">
        <f aca="false">IFERROR(INDEX(Control_Register!$E$5:$E$204,MATCH(B49,Control_Register!$A$5:$A$204,0)),"")</f>
        <v/>
      </c>
      <c r="D49" s="15"/>
      <c r="E49" s="16" t="str">
        <f aca="false">IF(D49="","",IF(LEFT(D49,6)="C-ITGC","ITGC","Not an ITGC"))</f>
        <v/>
      </c>
      <c r="F49" s="15"/>
      <c r="G49" s="15"/>
      <c r="H49" s="15"/>
      <c r="I49" s="16" t="str">
        <f aca="false">IF(A49="","",IF(COUNTIF(Control_Register!$A$5:$A$204,B49)=0,"Dependent CTRL not in register",IF(E49&lt;&gt;"ITGC","Dependency must be an ITGC",IF(AND(OR(F49="Exception noted",F49="Ineffective"),H49="Supported"),"Exceptions need additional procedures before reliance",IF(AND(H49="Supported with additional procedures",G49=""),"Describe the additional procedures","OK")))))</f>
        <v/>
      </c>
    </row>
    <row r="50" customFormat="false" ht="15" hidden="false" customHeight="false" outlineLevel="0" collapsed="false">
      <c r="A50" s="15"/>
      <c r="B50" s="15"/>
      <c r="C50" s="16" t="str">
        <f aca="false">IFERROR(INDEX(Control_Register!$E$5:$E$204,MATCH(B50,Control_Register!$A$5:$A$204,0)),"")</f>
        <v/>
      </c>
      <c r="D50" s="15"/>
      <c r="E50" s="16" t="str">
        <f aca="false">IF(D50="","",IF(LEFT(D50,6)="C-ITGC","ITGC","Not an ITGC"))</f>
        <v/>
      </c>
      <c r="F50" s="15"/>
      <c r="G50" s="15"/>
      <c r="H50" s="15"/>
      <c r="I50" s="16" t="str">
        <f aca="false">IF(A50="","",IF(COUNTIF(Control_Register!$A$5:$A$204,B50)=0,"Dependent CTRL not in register",IF(E50&lt;&gt;"ITGC","Dependency must be an ITGC",IF(AND(OR(F50="Exception noted",F50="Ineffective"),H50="Supported"),"Exceptions need additional procedures before reliance",IF(AND(H50="Supported with additional procedures",G50=""),"Describe the additional procedures","OK")))))</f>
        <v/>
      </c>
    </row>
    <row r="51" customFormat="false" ht="15" hidden="false" customHeight="false" outlineLevel="0" collapsed="false">
      <c r="A51" s="15"/>
      <c r="B51" s="15"/>
      <c r="C51" s="16" t="str">
        <f aca="false">IFERROR(INDEX(Control_Register!$E$5:$E$204,MATCH(B51,Control_Register!$A$5:$A$204,0)),"")</f>
        <v/>
      </c>
      <c r="D51" s="15"/>
      <c r="E51" s="16" t="str">
        <f aca="false">IF(D51="","",IF(LEFT(D51,6)="C-ITGC","ITGC","Not an ITGC"))</f>
        <v/>
      </c>
      <c r="F51" s="15"/>
      <c r="G51" s="15"/>
      <c r="H51" s="15"/>
      <c r="I51" s="16" t="str">
        <f aca="false">IF(A51="","",IF(COUNTIF(Control_Register!$A$5:$A$204,B51)=0,"Dependent CTRL not in register",IF(E51&lt;&gt;"ITGC","Dependency must be an ITGC",IF(AND(OR(F51="Exception noted",F51="Ineffective"),H51="Supported"),"Exceptions need additional procedures before reliance",IF(AND(H51="Supported with additional procedures",G51=""),"Describe the additional procedures","OK")))))</f>
        <v/>
      </c>
    </row>
    <row r="52" customFormat="false" ht="15" hidden="false" customHeight="false" outlineLevel="0" collapsed="false">
      <c r="A52" s="15"/>
      <c r="B52" s="15"/>
      <c r="C52" s="16" t="str">
        <f aca="false">IFERROR(INDEX(Control_Register!$E$5:$E$204,MATCH(B52,Control_Register!$A$5:$A$204,0)),"")</f>
        <v/>
      </c>
      <c r="D52" s="15"/>
      <c r="E52" s="16" t="str">
        <f aca="false">IF(D52="","",IF(LEFT(D52,6)="C-ITGC","ITGC","Not an ITGC"))</f>
        <v/>
      </c>
      <c r="F52" s="15"/>
      <c r="G52" s="15"/>
      <c r="H52" s="15"/>
      <c r="I52" s="16" t="str">
        <f aca="false">IF(A52="","",IF(COUNTIF(Control_Register!$A$5:$A$204,B52)=0,"Dependent CTRL not in register",IF(E52&lt;&gt;"ITGC","Dependency must be an ITGC",IF(AND(OR(F52="Exception noted",F52="Ineffective"),H52="Supported"),"Exceptions need additional procedures before reliance",IF(AND(H52="Supported with additional procedures",G52=""),"Describe the additional procedures","OK")))))</f>
        <v/>
      </c>
    </row>
    <row r="53" customFormat="false" ht="15" hidden="false" customHeight="false" outlineLevel="0" collapsed="false">
      <c r="A53" s="15"/>
      <c r="B53" s="15"/>
      <c r="C53" s="16" t="str">
        <f aca="false">IFERROR(INDEX(Control_Register!$E$5:$E$204,MATCH(B53,Control_Register!$A$5:$A$204,0)),"")</f>
        <v/>
      </c>
      <c r="D53" s="15"/>
      <c r="E53" s="16" t="str">
        <f aca="false">IF(D53="","",IF(LEFT(D53,6)="C-ITGC","ITGC","Not an ITGC"))</f>
        <v/>
      </c>
      <c r="F53" s="15"/>
      <c r="G53" s="15"/>
      <c r="H53" s="15"/>
      <c r="I53" s="16" t="str">
        <f aca="false">IF(A53="","",IF(COUNTIF(Control_Register!$A$5:$A$204,B53)=0,"Dependent CTRL not in register",IF(E53&lt;&gt;"ITGC","Dependency must be an ITGC",IF(AND(OR(F53="Exception noted",F53="Ineffective"),H53="Supported"),"Exceptions need additional procedures before reliance",IF(AND(H53="Supported with additional procedures",G53=""),"Describe the additional procedures","OK")))))</f>
        <v/>
      </c>
    </row>
    <row r="54" customFormat="false" ht="15" hidden="false" customHeight="false" outlineLevel="0" collapsed="false">
      <c r="A54" s="15"/>
      <c r="B54" s="15"/>
      <c r="C54" s="16" t="str">
        <f aca="false">IFERROR(INDEX(Control_Register!$E$5:$E$204,MATCH(B54,Control_Register!$A$5:$A$204,0)),"")</f>
        <v/>
      </c>
      <c r="D54" s="15"/>
      <c r="E54" s="16" t="str">
        <f aca="false">IF(D54="","",IF(LEFT(D54,6)="C-ITGC","ITGC","Not an ITGC"))</f>
        <v/>
      </c>
      <c r="F54" s="15"/>
      <c r="G54" s="15"/>
      <c r="H54" s="15"/>
      <c r="I54" s="16" t="str">
        <f aca="false">IF(A54="","",IF(COUNTIF(Control_Register!$A$5:$A$204,B54)=0,"Dependent CTRL not in register",IF(E54&lt;&gt;"ITGC","Dependency must be an ITGC",IF(AND(OR(F54="Exception noted",F54="Ineffective"),H54="Supported"),"Exceptions need additional procedures before reliance",IF(AND(H54="Supported with additional procedures",G54=""),"Describe the additional procedures","OK")))))</f>
        <v/>
      </c>
    </row>
    <row r="55" customFormat="false" ht="15" hidden="false" customHeight="false" outlineLevel="0" collapsed="false">
      <c r="A55" s="15"/>
      <c r="B55" s="15"/>
      <c r="C55" s="16" t="str">
        <f aca="false">IFERROR(INDEX(Control_Register!$E$5:$E$204,MATCH(B55,Control_Register!$A$5:$A$204,0)),"")</f>
        <v/>
      </c>
      <c r="D55" s="15"/>
      <c r="E55" s="16" t="str">
        <f aca="false">IF(D55="","",IF(LEFT(D55,6)="C-ITGC","ITGC","Not an ITGC"))</f>
        <v/>
      </c>
      <c r="F55" s="15"/>
      <c r="G55" s="15"/>
      <c r="H55" s="15"/>
      <c r="I55" s="16" t="str">
        <f aca="false">IF(A55="","",IF(COUNTIF(Control_Register!$A$5:$A$204,B55)=0,"Dependent CTRL not in register",IF(E55&lt;&gt;"ITGC","Dependency must be an ITGC",IF(AND(OR(F55="Exception noted",F55="Ineffective"),H55="Supported"),"Exceptions need additional procedures before reliance",IF(AND(H55="Supported with additional procedures",G55=""),"Describe the additional procedures","OK")))))</f>
        <v/>
      </c>
    </row>
    <row r="56" customFormat="false" ht="15" hidden="false" customHeight="false" outlineLevel="0" collapsed="false">
      <c r="A56" s="15"/>
      <c r="B56" s="15"/>
      <c r="C56" s="16" t="str">
        <f aca="false">IFERROR(INDEX(Control_Register!$E$5:$E$204,MATCH(B56,Control_Register!$A$5:$A$204,0)),"")</f>
        <v/>
      </c>
      <c r="D56" s="15"/>
      <c r="E56" s="16" t="str">
        <f aca="false">IF(D56="","",IF(LEFT(D56,6)="C-ITGC","ITGC","Not an ITGC"))</f>
        <v/>
      </c>
      <c r="F56" s="15"/>
      <c r="G56" s="15"/>
      <c r="H56" s="15"/>
      <c r="I56" s="16" t="str">
        <f aca="false">IF(A56="","",IF(COUNTIF(Control_Register!$A$5:$A$204,B56)=0,"Dependent CTRL not in register",IF(E56&lt;&gt;"ITGC","Dependency must be an ITGC",IF(AND(OR(F56="Exception noted",F56="Ineffective"),H56="Supported"),"Exceptions need additional procedures before reliance",IF(AND(H56="Supported with additional procedures",G56=""),"Describe the additional procedures","OK")))))</f>
        <v/>
      </c>
    </row>
    <row r="57" customFormat="false" ht="15" hidden="false" customHeight="false" outlineLevel="0" collapsed="false">
      <c r="A57" s="15"/>
      <c r="B57" s="15"/>
      <c r="C57" s="16" t="str">
        <f aca="false">IFERROR(INDEX(Control_Register!$E$5:$E$204,MATCH(B57,Control_Register!$A$5:$A$204,0)),"")</f>
        <v/>
      </c>
      <c r="D57" s="15"/>
      <c r="E57" s="16" t="str">
        <f aca="false">IF(D57="","",IF(LEFT(D57,6)="C-ITGC","ITGC","Not an ITGC"))</f>
        <v/>
      </c>
      <c r="F57" s="15"/>
      <c r="G57" s="15"/>
      <c r="H57" s="15"/>
      <c r="I57" s="16" t="str">
        <f aca="false">IF(A57="","",IF(COUNTIF(Control_Register!$A$5:$A$204,B57)=0,"Dependent CTRL not in register",IF(E57&lt;&gt;"ITGC","Dependency must be an ITGC",IF(AND(OR(F57="Exception noted",F57="Ineffective"),H57="Supported"),"Exceptions need additional procedures before reliance",IF(AND(H57="Supported with additional procedures",G57=""),"Describe the additional procedures","OK")))))</f>
        <v/>
      </c>
    </row>
    <row r="58" customFormat="false" ht="15" hidden="false" customHeight="false" outlineLevel="0" collapsed="false">
      <c r="A58" s="15"/>
      <c r="B58" s="15"/>
      <c r="C58" s="16" t="str">
        <f aca="false">IFERROR(INDEX(Control_Register!$E$5:$E$204,MATCH(B58,Control_Register!$A$5:$A$204,0)),"")</f>
        <v/>
      </c>
      <c r="D58" s="15"/>
      <c r="E58" s="16" t="str">
        <f aca="false">IF(D58="","",IF(LEFT(D58,6)="C-ITGC","ITGC","Not an ITGC"))</f>
        <v/>
      </c>
      <c r="F58" s="15"/>
      <c r="G58" s="15"/>
      <c r="H58" s="15"/>
      <c r="I58" s="16" t="str">
        <f aca="false">IF(A58="","",IF(COUNTIF(Control_Register!$A$5:$A$204,B58)=0,"Dependent CTRL not in register",IF(E58&lt;&gt;"ITGC","Dependency must be an ITGC",IF(AND(OR(F58="Exception noted",F58="Ineffective"),H58="Supported"),"Exceptions need additional procedures before reliance",IF(AND(H58="Supported with additional procedures",G58=""),"Describe the additional procedures","OK")))))</f>
        <v/>
      </c>
    </row>
    <row r="59" customFormat="false" ht="15" hidden="false" customHeight="false" outlineLevel="0" collapsed="false">
      <c r="A59" s="15"/>
      <c r="B59" s="15"/>
      <c r="C59" s="16" t="str">
        <f aca="false">IFERROR(INDEX(Control_Register!$E$5:$E$204,MATCH(B59,Control_Register!$A$5:$A$204,0)),"")</f>
        <v/>
      </c>
      <c r="D59" s="15"/>
      <c r="E59" s="16" t="str">
        <f aca="false">IF(D59="","",IF(LEFT(D59,6)="C-ITGC","ITGC","Not an ITGC"))</f>
        <v/>
      </c>
      <c r="F59" s="15"/>
      <c r="G59" s="15"/>
      <c r="H59" s="15"/>
      <c r="I59" s="16" t="str">
        <f aca="false">IF(A59="","",IF(COUNTIF(Control_Register!$A$5:$A$204,B59)=0,"Dependent CTRL not in register",IF(E59&lt;&gt;"ITGC","Dependency must be an ITGC",IF(AND(OR(F59="Exception noted",F59="Ineffective"),H59="Supported"),"Exceptions need additional procedures before reliance",IF(AND(H59="Supported with additional procedures",G59=""),"Describe the additional procedures","OK")))))</f>
        <v/>
      </c>
    </row>
    <row r="60" customFormat="false" ht="15" hidden="false" customHeight="false" outlineLevel="0" collapsed="false">
      <c r="A60" s="15"/>
      <c r="B60" s="15"/>
      <c r="C60" s="16" t="str">
        <f aca="false">IFERROR(INDEX(Control_Register!$E$5:$E$204,MATCH(B60,Control_Register!$A$5:$A$204,0)),"")</f>
        <v/>
      </c>
      <c r="D60" s="15"/>
      <c r="E60" s="16" t="str">
        <f aca="false">IF(D60="","",IF(LEFT(D60,6)="C-ITGC","ITGC","Not an ITGC"))</f>
        <v/>
      </c>
      <c r="F60" s="15"/>
      <c r="G60" s="15"/>
      <c r="H60" s="15"/>
      <c r="I60" s="16" t="str">
        <f aca="false">IF(A60="","",IF(COUNTIF(Control_Register!$A$5:$A$204,B60)=0,"Dependent CTRL not in register",IF(E60&lt;&gt;"ITGC","Dependency must be an ITGC",IF(AND(OR(F60="Exception noted",F60="Ineffective"),H60="Supported"),"Exceptions need additional procedures before reliance",IF(AND(H60="Supported with additional procedures",G60=""),"Describe the additional procedures","OK")))))</f>
        <v/>
      </c>
    </row>
    <row r="61" customFormat="false" ht="15" hidden="false" customHeight="false" outlineLevel="0" collapsed="false">
      <c r="A61" s="15"/>
      <c r="B61" s="15"/>
      <c r="C61" s="16" t="str">
        <f aca="false">IFERROR(INDEX(Control_Register!$E$5:$E$204,MATCH(B61,Control_Register!$A$5:$A$204,0)),"")</f>
        <v/>
      </c>
      <c r="D61" s="15"/>
      <c r="E61" s="16" t="str">
        <f aca="false">IF(D61="","",IF(LEFT(D61,6)="C-ITGC","ITGC","Not an ITGC"))</f>
        <v/>
      </c>
      <c r="F61" s="15"/>
      <c r="G61" s="15"/>
      <c r="H61" s="15"/>
      <c r="I61" s="16" t="str">
        <f aca="false">IF(A61="","",IF(COUNTIF(Control_Register!$A$5:$A$204,B61)=0,"Dependent CTRL not in register",IF(E61&lt;&gt;"ITGC","Dependency must be an ITGC",IF(AND(OR(F61="Exception noted",F61="Ineffective"),H61="Supported"),"Exceptions need additional procedures before reliance",IF(AND(H61="Supported with additional procedures",G61=""),"Describe the additional procedures","OK")))))</f>
        <v/>
      </c>
    </row>
    <row r="62" customFormat="false" ht="15" hidden="false" customHeight="false" outlineLevel="0" collapsed="false">
      <c r="A62" s="15"/>
      <c r="B62" s="15"/>
      <c r="C62" s="16" t="str">
        <f aca="false">IFERROR(INDEX(Control_Register!$E$5:$E$204,MATCH(B62,Control_Register!$A$5:$A$204,0)),"")</f>
        <v/>
      </c>
      <c r="D62" s="15"/>
      <c r="E62" s="16" t="str">
        <f aca="false">IF(D62="","",IF(LEFT(D62,6)="C-ITGC","ITGC","Not an ITGC"))</f>
        <v/>
      </c>
      <c r="F62" s="15"/>
      <c r="G62" s="15"/>
      <c r="H62" s="15"/>
      <c r="I62" s="16" t="str">
        <f aca="false">IF(A62="","",IF(COUNTIF(Control_Register!$A$5:$A$204,B62)=0,"Dependent CTRL not in register",IF(E62&lt;&gt;"ITGC","Dependency must be an ITGC",IF(AND(OR(F62="Exception noted",F62="Ineffective"),H62="Supported"),"Exceptions need additional procedures before reliance",IF(AND(H62="Supported with additional procedures",G62=""),"Describe the additional procedures","OK")))))</f>
        <v/>
      </c>
    </row>
    <row r="63" customFormat="false" ht="15" hidden="false" customHeight="false" outlineLevel="0" collapsed="false">
      <c r="A63" s="15"/>
      <c r="B63" s="15"/>
      <c r="C63" s="16" t="str">
        <f aca="false">IFERROR(INDEX(Control_Register!$E$5:$E$204,MATCH(B63,Control_Register!$A$5:$A$204,0)),"")</f>
        <v/>
      </c>
      <c r="D63" s="15"/>
      <c r="E63" s="16" t="str">
        <f aca="false">IF(D63="","",IF(LEFT(D63,6)="C-ITGC","ITGC","Not an ITGC"))</f>
        <v/>
      </c>
      <c r="F63" s="15"/>
      <c r="G63" s="15"/>
      <c r="H63" s="15"/>
      <c r="I63" s="16" t="str">
        <f aca="false">IF(A63="","",IF(COUNTIF(Control_Register!$A$5:$A$204,B63)=0,"Dependent CTRL not in register",IF(E63&lt;&gt;"ITGC","Dependency must be an ITGC",IF(AND(OR(F63="Exception noted",F63="Ineffective"),H63="Supported"),"Exceptions need additional procedures before reliance",IF(AND(H63="Supported with additional procedures",G63=""),"Describe the additional procedures","OK")))))</f>
        <v/>
      </c>
    </row>
    <row r="64" customFormat="false" ht="15" hidden="false" customHeight="false" outlineLevel="0" collapsed="false">
      <c r="A64" s="15"/>
      <c r="B64" s="15"/>
      <c r="C64" s="16" t="str">
        <f aca="false">IFERROR(INDEX(Control_Register!$E$5:$E$204,MATCH(B64,Control_Register!$A$5:$A$204,0)),"")</f>
        <v/>
      </c>
      <c r="D64" s="15"/>
      <c r="E64" s="16" t="str">
        <f aca="false">IF(D64="","",IF(LEFT(D64,6)="C-ITGC","ITGC","Not an ITGC"))</f>
        <v/>
      </c>
      <c r="F64" s="15"/>
      <c r="G64" s="15"/>
      <c r="H64" s="15"/>
      <c r="I64" s="16" t="str">
        <f aca="false">IF(A64="","",IF(COUNTIF(Control_Register!$A$5:$A$204,B64)=0,"Dependent CTRL not in register",IF(E64&lt;&gt;"ITGC","Dependency must be an ITGC",IF(AND(OR(F64="Exception noted",F64="Ineffective"),H64="Supported"),"Exceptions need additional procedures before reliance",IF(AND(H64="Supported with additional procedures",G64=""),"Describe the additional procedures","OK")))))</f>
        <v/>
      </c>
    </row>
    <row r="65" customFormat="false" ht="15" hidden="false" customHeight="false" outlineLevel="0" collapsed="false">
      <c r="A65" s="15"/>
      <c r="B65" s="15"/>
      <c r="C65" s="16" t="str">
        <f aca="false">IFERROR(INDEX(Control_Register!$E$5:$E$204,MATCH(B65,Control_Register!$A$5:$A$204,0)),"")</f>
        <v/>
      </c>
      <c r="D65" s="15"/>
      <c r="E65" s="16" t="str">
        <f aca="false">IF(D65="","",IF(LEFT(D65,6)="C-ITGC","ITGC","Not an ITGC"))</f>
        <v/>
      </c>
      <c r="F65" s="15"/>
      <c r="G65" s="15"/>
      <c r="H65" s="15"/>
      <c r="I65" s="16" t="str">
        <f aca="false">IF(A65="","",IF(COUNTIF(Control_Register!$A$5:$A$204,B65)=0,"Dependent CTRL not in register",IF(E65&lt;&gt;"ITGC","Dependency must be an ITGC",IF(AND(OR(F65="Exception noted",F65="Ineffective"),H65="Supported"),"Exceptions need additional procedures before reliance",IF(AND(H65="Supported with additional procedures",G65=""),"Describe the additional procedures","OK")))))</f>
        <v/>
      </c>
    </row>
    <row r="66" customFormat="false" ht="15" hidden="false" customHeight="false" outlineLevel="0" collapsed="false">
      <c r="A66" s="15"/>
      <c r="B66" s="15"/>
      <c r="C66" s="16" t="str">
        <f aca="false">IFERROR(INDEX(Control_Register!$E$5:$E$204,MATCH(B66,Control_Register!$A$5:$A$204,0)),"")</f>
        <v/>
      </c>
      <c r="D66" s="15"/>
      <c r="E66" s="16" t="str">
        <f aca="false">IF(D66="","",IF(LEFT(D66,6)="C-ITGC","ITGC","Not an ITGC"))</f>
        <v/>
      </c>
      <c r="F66" s="15"/>
      <c r="G66" s="15"/>
      <c r="H66" s="15"/>
      <c r="I66" s="16" t="str">
        <f aca="false">IF(A66="","",IF(COUNTIF(Control_Register!$A$5:$A$204,B66)=0,"Dependent CTRL not in register",IF(E66&lt;&gt;"ITGC","Dependency must be an ITGC",IF(AND(OR(F66="Exception noted",F66="Ineffective"),H66="Supported"),"Exceptions need additional procedures before reliance",IF(AND(H66="Supported with additional procedures",G66=""),"Describe the additional procedures","OK")))))</f>
        <v/>
      </c>
    </row>
    <row r="67" customFormat="false" ht="15" hidden="false" customHeight="false" outlineLevel="0" collapsed="false">
      <c r="A67" s="15"/>
      <c r="B67" s="15"/>
      <c r="C67" s="16" t="str">
        <f aca="false">IFERROR(INDEX(Control_Register!$E$5:$E$204,MATCH(B67,Control_Register!$A$5:$A$204,0)),"")</f>
        <v/>
      </c>
      <c r="D67" s="15"/>
      <c r="E67" s="16" t="str">
        <f aca="false">IF(D67="","",IF(LEFT(D67,6)="C-ITGC","ITGC","Not an ITGC"))</f>
        <v/>
      </c>
      <c r="F67" s="15"/>
      <c r="G67" s="15"/>
      <c r="H67" s="15"/>
      <c r="I67" s="16" t="str">
        <f aca="false">IF(A67="","",IF(COUNTIF(Control_Register!$A$5:$A$204,B67)=0,"Dependent CTRL not in register",IF(E67&lt;&gt;"ITGC","Dependency must be an ITGC",IF(AND(OR(F67="Exception noted",F67="Ineffective"),H67="Supported"),"Exceptions need additional procedures before reliance",IF(AND(H67="Supported with additional procedures",G67=""),"Describe the additional procedures","OK")))))</f>
        <v/>
      </c>
    </row>
    <row r="68" customFormat="false" ht="15" hidden="false" customHeight="false" outlineLevel="0" collapsed="false">
      <c r="A68" s="15"/>
      <c r="B68" s="15"/>
      <c r="C68" s="16" t="str">
        <f aca="false">IFERROR(INDEX(Control_Register!$E$5:$E$204,MATCH(B68,Control_Register!$A$5:$A$204,0)),"")</f>
        <v/>
      </c>
      <c r="D68" s="15"/>
      <c r="E68" s="16" t="str">
        <f aca="false">IF(D68="","",IF(LEFT(D68,6)="C-ITGC","ITGC","Not an ITGC"))</f>
        <v/>
      </c>
      <c r="F68" s="15"/>
      <c r="G68" s="15"/>
      <c r="H68" s="15"/>
      <c r="I68" s="16" t="str">
        <f aca="false">IF(A68="","",IF(COUNTIF(Control_Register!$A$5:$A$204,B68)=0,"Dependent CTRL not in register",IF(E68&lt;&gt;"ITGC","Dependency must be an ITGC",IF(AND(OR(F68="Exception noted",F68="Ineffective"),H68="Supported"),"Exceptions need additional procedures before reliance",IF(AND(H68="Supported with additional procedures",G68=""),"Describe the additional procedures","OK")))))</f>
        <v/>
      </c>
    </row>
    <row r="69" customFormat="false" ht="15" hidden="false" customHeight="false" outlineLevel="0" collapsed="false">
      <c r="A69" s="15"/>
      <c r="B69" s="15"/>
      <c r="C69" s="16" t="str">
        <f aca="false">IFERROR(INDEX(Control_Register!$E$5:$E$204,MATCH(B69,Control_Register!$A$5:$A$204,0)),"")</f>
        <v/>
      </c>
      <c r="D69" s="15"/>
      <c r="E69" s="16" t="str">
        <f aca="false">IF(D69="","",IF(LEFT(D69,6)="C-ITGC","ITGC","Not an ITGC"))</f>
        <v/>
      </c>
      <c r="F69" s="15"/>
      <c r="G69" s="15"/>
      <c r="H69" s="15"/>
      <c r="I69" s="16" t="str">
        <f aca="false">IF(A69="","",IF(COUNTIF(Control_Register!$A$5:$A$204,B69)=0,"Dependent CTRL not in register",IF(E69&lt;&gt;"ITGC","Dependency must be an ITGC",IF(AND(OR(F69="Exception noted",F69="Ineffective"),H69="Supported"),"Exceptions need additional procedures before reliance",IF(AND(H69="Supported with additional procedures",G69=""),"Describe the additional procedures","OK")))))</f>
        <v/>
      </c>
    </row>
    <row r="70" customFormat="false" ht="15" hidden="false" customHeight="false" outlineLevel="0" collapsed="false">
      <c r="A70" s="15"/>
      <c r="B70" s="15"/>
      <c r="C70" s="16" t="str">
        <f aca="false">IFERROR(INDEX(Control_Register!$E$5:$E$204,MATCH(B70,Control_Register!$A$5:$A$204,0)),"")</f>
        <v/>
      </c>
      <c r="D70" s="15"/>
      <c r="E70" s="16" t="str">
        <f aca="false">IF(D70="","",IF(LEFT(D70,6)="C-ITGC","ITGC","Not an ITGC"))</f>
        <v/>
      </c>
      <c r="F70" s="15"/>
      <c r="G70" s="15"/>
      <c r="H70" s="15"/>
      <c r="I70" s="16" t="str">
        <f aca="false">IF(A70="","",IF(COUNTIF(Control_Register!$A$5:$A$204,B70)=0,"Dependent CTRL not in register",IF(E70&lt;&gt;"ITGC","Dependency must be an ITGC",IF(AND(OR(F70="Exception noted",F70="Ineffective"),H70="Supported"),"Exceptions need additional procedures before reliance",IF(AND(H70="Supported with additional procedures",G70=""),"Describe the additional procedures","OK")))))</f>
        <v/>
      </c>
    </row>
    <row r="71" customFormat="false" ht="15" hidden="false" customHeight="false" outlineLevel="0" collapsed="false">
      <c r="A71" s="15"/>
      <c r="B71" s="15"/>
      <c r="C71" s="16" t="str">
        <f aca="false">IFERROR(INDEX(Control_Register!$E$5:$E$204,MATCH(B71,Control_Register!$A$5:$A$204,0)),"")</f>
        <v/>
      </c>
      <c r="D71" s="15"/>
      <c r="E71" s="16" t="str">
        <f aca="false">IF(D71="","",IF(LEFT(D71,6)="C-ITGC","ITGC","Not an ITGC"))</f>
        <v/>
      </c>
      <c r="F71" s="15"/>
      <c r="G71" s="15"/>
      <c r="H71" s="15"/>
      <c r="I71" s="16" t="str">
        <f aca="false">IF(A71="","",IF(COUNTIF(Control_Register!$A$5:$A$204,B71)=0,"Dependent CTRL not in register",IF(E71&lt;&gt;"ITGC","Dependency must be an ITGC",IF(AND(OR(F71="Exception noted",F71="Ineffective"),H71="Supported"),"Exceptions need additional procedures before reliance",IF(AND(H71="Supported with additional procedures",G71=""),"Describe the additional procedures","OK")))))</f>
        <v/>
      </c>
    </row>
    <row r="72" customFormat="false" ht="15" hidden="false" customHeight="false" outlineLevel="0" collapsed="false">
      <c r="A72" s="15"/>
      <c r="B72" s="15"/>
      <c r="C72" s="16" t="str">
        <f aca="false">IFERROR(INDEX(Control_Register!$E$5:$E$204,MATCH(B72,Control_Register!$A$5:$A$204,0)),"")</f>
        <v/>
      </c>
      <c r="D72" s="15"/>
      <c r="E72" s="16" t="str">
        <f aca="false">IF(D72="","",IF(LEFT(D72,6)="C-ITGC","ITGC","Not an ITGC"))</f>
        <v/>
      </c>
      <c r="F72" s="15"/>
      <c r="G72" s="15"/>
      <c r="H72" s="15"/>
      <c r="I72" s="16" t="str">
        <f aca="false">IF(A72="","",IF(COUNTIF(Control_Register!$A$5:$A$204,B72)=0,"Dependent CTRL not in register",IF(E72&lt;&gt;"ITGC","Dependency must be an ITGC",IF(AND(OR(F72="Exception noted",F72="Ineffective"),H72="Supported"),"Exceptions need additional procedures before reliance",IF(AND(H72="Supported with additional procedures",G72=""),"Describe the additional procedures","OK")))))</f>
        <v/>
      </c>
    </row>
    <row r="73" customFormat="false" ht="15" hidden="false" customHeight="false" outlineLevel="0" collapsed="false">
      <c r="A73" s="15"/>
      <c r="B73" s="15"/>
      <c r="C73" s="16" t="str">
        <f aca="false">IFERROR(INDEX(Control_Register!$E$5:$E$204,MATCH(B73,Control_Register!$A$5:$A$204,0)),"")</f>
        <v/>
      </c>
      <c r="D73" s="15"/>
      <c r="E73" s="16" t="str">
        <f aca="false">IF(D73="","",IF(LEFT(D73,6)="C-ITGC","ITGC","Not an ITGC"))</f>
        <v/>
      </c>
      <c r="F73" s="15"/>
      <c r="G73" s="15"/>
      <c r="H73" s="15"/>
      <c r="I73" s="16" t="str">
        <f aca="false">IF(A73="","",IF(COUNTIF(Control_Register!$A$5:$A$204,B73)=0,"Dependent CTRL not in register",IF(E73&lt;&gt;"ITGC","Dependency must be an ITGC",IF(AND(OR(F73="Exception noted",F73="Ineffective"),H73="Supported"),"Exceptions need additional procedures before reliance",IF(AND(H73="Supported with additional procedures",G73=""),"Describe the additional procedures","OK")))))</f>
        <v/>
      </c>
    </row>
    <row r="74" customFormat="false" ht="15" hidden="false" customHeight="false" outlineLevel="0" collapsed="false">
      <c r="A74" s="15"/>
      <c r="B74" s="15"/>
      <c r="C74" s="16" t="str">
        <f aca="false">IFERROR(INDEX(Control_Register!$E$5:$E$204,MATCH(B74,Control_Register!$A$5:$A$204,0)),"")</f>
        <v/>
      </c>
      <c r="D74" s="15"/>
      <c r="E74" s="16" t="str">
        <f aca="false">IF(D74="","",IF(LEFT(D74,6)="C-ITGC","ITGC","Not an ITGC"))</f>
        <v/>
      </c>
      <c r="F74" s="15"/>
      <c r="G74" s="15"/>
      <c r="H74" s="15"/>
      <c r="I74" s="16" t="str">
        <f aca="false">IF(A74="","",IF(COUNTIF(Control_Register!$A$5:$A$204,B74)=0,"Dependent CTRL not in register",IF(E74&lt;&gt;"ITGC","Dependency must be an ITGC",IF(AND(OR(F74="Exception noted",F74="Ineffective"),H74="Supported"),"Exceptions need additional procedures before reliance",IF(AND(H74="Supported with additional procedures",G74=""),"Describe the additional procedures","OK")))))</f>
        <v/>
      </c>
    </row>
    <row r="75" customFormat="false" ht="15" hidden="false" customHeight="false" outlineLevel="0" collapsed="false">
      <c r="A75" s="15"/>
      <c r="B75" s="15"/>
      <c r="C75" s="16" t="str">
        <f aca="false">IFERROR(INDEX(Control_Register!$E$5:$E$204,MATCH(B75,Control_Register!$A$5:$A$204,0)),"")</f>
        <v/>
      </c>
      <c r="D75" s="15"/>
      <c r="E75" s="16" t="str">
        <f aca="false">IF(D75="","",IF(LEFT(D75,6)="C-ITGC","ITGC","Not an ITGC"))</f>
        <v/>
      </c>
      <c r="F75" s="15"/>
      <c r="G75" s="15"/>
      <c r="H75" s="15"/>
      <c r="I75" s="16" t="str">
        <f aca="false">IF(A75="","",IF(COUNTIF(Control_Register!$A$5:$A$204,B75)=0,"Dependent CTRL not in register",IF(E75&lt;&gt;"ITGC","Dependency must be an ITGC",IF(AND(OR(F75="Exception noted",F75="Ineffective"),H75="Supported"),"Exceptions need additional procedures before reliance",IF(AND(H75="Supported with additional procedures",G75=""),"Describe the additional procedures","OK")))))</f>
        <v/>
      </c>
    </row>
    <row r="76" customFormat="false" ht="15" hidden="false" customHeight="false" outlineLevel="0" collapsed="false">
      <c r="A76" s="15"/>
      <c r="B76" s="15"/>
      <c r="C76" s="16" t="str">
        <f aca="false">IFERROR(INDEX(Control_Register!$E$5:$E$204,MATCH(B76,Control_Register!$A$5:$A$204,0)),"")</f>
        <v/>
      </c>
      <c r="D76" s="15"/>
      <c r="E76" s="16" t="str">
        <f aca="false">IF(D76="","",IF(LEFT(D76,6)="C-ITGC","ITGC","Not an ITGC"))</f>
        <v/>
      </c>
      <c r="F76" s="15"/>
      <c r="G76" s="15"/>
      <c r="H76" s="15"/>
      <c r="I76" s="16" t="str">
        <f aca="false">IF(A76="","",IF(COUNTIF(Control_Register!$A$5:$A$204,B76)=0,"Dependent CTRL not in register",IF(E76&lt;&gt;"ITGC","Dependency must be an ITGC",IF(AND(OR(F76="Exception noted",F76="Ineffective"),H76="Supported"),"Exceptions need additional procedures before reliance",IF(AND(H76="Supported with additional procedures",G76=""),"Describe the additional procedures","OK")))))</f>
        <v/>
      </c>
    </row>
    <row r="77" customFormat="false" ht="15" hidden="false" customHeight="false" outlineLevel="0" collapsed="false">
      <c r="A77" s="15"/>
      <c r="B77" s="15"/>
      <c r="C77" s="16" t="str">
        <f aca="false">IFERROR(INDEX(Control_Register!$E$5:$E$204,MATCH(B77,Control_Register!$A$5:$A$204,0)),"")</f>
        <v/>
      </c>
      <c r="D77" s="15"/>
      <c r="E77" s="16" t="str">
        <f aca="false">IF(D77="","",IF(LEFT(D77,6)="C-ITGC","ITGC","Not an ITGC"))</f>
        <v/>
      </c>
      <c r="F77" s="15"/>
      <c r="G77" s="15"/>
      <c r="H77" s="15"/>
      <c r="I77" s="16" t="str">
        <f aca="false">IF(A77="","",IF(COUNTIF(Control_Register!$A$5:$A$204,B77)=0,"Dependent CTRL not in register",IF(E77&lt;&gt;"ITGC","Dependency must be an ITGC",IF(AND(OR(F77="Exception noted",F77="Ineffective"),H77="Supported"),"Exceptions need additional procedures before reliance",IF(AND(H77="Supported with additional procedures",G77=""),"Describe the additional procedures","OK")))))</f>
        <v/>
      </c>
    </row>
    <row r="78" customFormat="false" ht="15" hidden="false" customHeight="false" outlineLevel="0" collapsed="false">
      <c r="A78" s="15"/>
      <c r="B78" s="15"/>
      <c r="C78" s="16" t="str">
        <f aca="false">IFERROR(INDEX(Control_Register!$E$5:$E$204,MATCH(B78,Control_Register!$A$5:$A$204,0)),"")</f>
        <v/>
      </c>
      <c r="D78" s="15"/>
      <c r="E78" s="16" t="str">
        <f aca="false">IF(D78="","",IF(LEFT(D78,6)="C-ITGC","ITGC","Not an ITGC"))</f>
        <v/>
      </c>
      <c r="F78" s="15"/>
      <c r="G78" s="15"/>
      <c r="H78" s="15"/>
      <c r="I78" s="16" t="str">
        <f aca="false">IF(A78="","",IF(COUNTIF(Control_Register!$A$5:$A$204,B78)=0,"Dependent CTRL not in register",IF(E78&lt;&gt;"ITGC","Dependency must be an ITGC",IF(AND(OR(F78="Exception noted",F78="Ineffective"),H78="Supported"),"Exceptions need additional procedures before reliance",IF(AND(H78="Supported with additional procedures",G78=""),"Describe the additional procedures","OK")))))</f>
        <v/>
      </c>
    </row>
    <row r="79" customFormat="false" ht="15" hidden="false" customHeight="false" outlineLevel="0" collapsed="false">
      <c r="A79" s="15"/>
      <c r="B79" s="15"/>
      <c r="C79" s="16" t="str">
        <f aca="false">IFERROR(INDEX(Control_Register!$E$5:$E$204,MATCH(B79,Control_Register!$A$5:$A$204,0)),"")</f>
        <v/>
      </c>
      <c r="D79" s="15"/>
      <c r="E79" s="16" t="str">
        <f aca="false">IF(D79="","",IF(LEFT(D79,6)="C-ITGC","ITGC","Not an ITGC"))</f>
        <v/>
      </c>
      <c r="F79" s="15"/>
      <c r="G79" s="15"/>
      <c r="H79" s="15"/>
      <c r="I79" s="16" t="str">
        <f aca="false">IF(A79="","",IF(COUNTIF(Control_Register!$A$5:$A$204,B79)=0,"Dependent CTRL not in register",IF(E79&lt;&gt;"ITGC","Dependency must be an ITGC",IF(AND(OR(F79="Exception noted",F79="Ineffective"),H79="Supported"),"Exceptions need additional procedures before reliance",IF(AND(H79="Supported with additional procedures",G79=""),"Describe the additional procedures","OK")))))</f>
        <v/>
      </c>
    </row>
    <row r="80" customFormat="false" ht="15" hidden="false" customHeight="false" outlineLevel="0" collapsed="false">
      <c r="A80" s="15"/>
      <c r="B80" s="15"/>
      <c r="C80" s="16" t="str">
        <f aca="false">IFERROR(INDEX(Control_Register!$E$5:$E$204,MATCH(B80,Control_Register!$A$5:$A$204,0)),"")</f>
        <v/>
      </c>
      <c r="D80" s="15"/>
      <c r="E80" s="16" t="str">
        <f aca="false">IF(D80="","",IF(LEFT(D80,6)="C-ITGC","ITGC","Not an ITGC"))</f>
        <v/>
      </c>
      <c r="F80" s="15"/>
      <c r="G80" s="15"/>
      <c r="H80" s="15"/>
      <c r="I80" s="16" t="str">
        <f aca="false">IF(A80="","",IF(COUNTIF(Control_Register!$A$5:$A$204,B80)=0,"Dependent CTRL not in register",IF(E80&lt;&gt;"ITGC","Dependency must be an ITGC",IF(AND(OR(F80="Exception noted",F80="Ineffective"),H80="Supported"),"Exceptions need additional procedures before reliance",IF(AND(H80="Supported with additional procedures",G80=""),"Describe the additional procedures","OK")))))</f>
        <v/>
      </c>
    </row>
    <row r="81" customFormat="false" ht="15" hidden="false" customHeight="false" outlineLevel="0" collapsed="false">
      <c r="A81" s="15"/>
      <c r="B81" s="15"/>
      <c r="C81" s="16" t="str">
        <f aca="false">IFERROR(INDEX(Control_Register!$E$5:$E$204,MATCH(B81,Control_Register!$A$5:$A$204,0)),"")</f>
        <v/>
      </c>
      <c r="D81" s="15"/>
      <c r="E81" s="16" t="str">
        <f aca="false">IF(D81="","",IF(LEFT(D81,6)="C-ITGC","ITGC","Not an ITGC"))</f>
        <v/>
      </c>
      <c r="F81" s="15"/>
      <c r="G81" s="15"/>
      <c r="H81" s="15"/>
      <c r="I81" s="16" t="str">
        <f aca="false">IF(A81="","",IF(COUNTIF(Control_Register!$A$5:$A$204,B81)=0,"Dependent CTRL not in register",IF(E81&lt;&gt;"ITGC","Dependency must be an ITGC",IF(AND(OR(F81="Exception noted",F81="Ineffective"),H81="Supported"),"Exceptions need additional procedures before reliance",IF(AND(H81="Supported with additional procedures",G81=""),"Describe the additional procedures","OK")))))</f>
        <v/>
      </c>
    </row>
    <row r="82" customFormat="false" ht="15" hidden="false" customHeight="false" outlineLevel="0" collapsed="false">
      <c r="A82" s="15"/>
      <c r="B82" s="15"/>
      <c r="C82" s="16" t="str">
        <f aca="false">IFERROR(INDEX(Control_Register!$E$5:$E$204,MATCH(B82,Control_Register!$A$5:$A$204,0)),"")</f>
        <v/>
      </c>
      <c r="D82" s="15"/>
      <c r="E82" s="16" t="str">
        <f aca="false">IF(D82="","",IF(LEFT(D82,6)="C-ITGC","ITGC","Not an ITGC"))</f>
        <v/>
      </c>
      <c r="F82" s="15"/>
      <c r="G82" s="15"/>
      <c r="H82" s="15"/>
      <c r="I82" s="16" t="str">
        <f aca="false">IF(A82="","",IF(COUNTIF(Control_Register!$A$5:$A$204,B82)=0,"Dependent CTRL not in register",IF(E82&lt;&gt;"ITGC","Dependency must be an ITGC",IF(AND(OR(F82="Exception noted",F82="Ineffective"),H82="Supported"),"Exceptions need additional procedures before reliance",IF(AND(H82="Supported with additional procedures",G82=""),"Describe the additional procedures","OK")))))</f>
        <v/>
      </c>
    </row>
    <row r="83" customFormat="false" ht="15" hidden="false" customHeight="false" outlineLevel="0" collapsed="false">
      <c r="A83" s="15"/>
      <c r="B83" s="15"/>
      <c r="C83" s="16" t="str">
        <f aca="false">IFERROR(INDEX(Control_Register!$E$5:$E$204,MATCH(B83,Control_Register!$A$5:$A$204,0)),"")</f>
        <v/>
      </c>
      <c r="D83" s="15"/>
      <c r="E83" s="16" t="str">
        <f aca="false">IF(D83="","",IF(LEFT(D83,6)="C-ITGC","ITGC","Not an ITGC"))</f>
        <v/>
      </c>
      <c r="F83" s="15"/>
      <c r="G83" s="15"/>
      <c r="H83" s="15"/>
      <c r="I83" s="16" t="str">
        <f aca="false">IF(A83="","",IF(COUNTIF(Control_Register!$A$5:$A$204,B83)=0,"Dependent CTRL not in register",IF(E83&lt;&gt;"ITGC","Dependency must be an ITGC",IF(AND(OR(F83="Exception noted",F83="Ineffective"),H83="Supported"),"Exceptions need additional procedures before reliance",IF(AND(H83="Supported with additional procedures",G83=""),"Describe the additional procedures","OK")))))</f>
        <v/>
      </c>
    </row>
    <row r="84" customFormat="false" ht="15" hidden="false" customHeight="false" outlineLevel="0" collapsed="false">
      <c r="A84" s="15"/>
      <c r="B84" s="15"/>
      <c r="C84" s="16" t="str">
        <f aca="false">IFERROR(INDEX(Control_Register!$E$5:$E$204,MATCH(B84,Control_Register!$A$5:$A$204,0)),"")</f>
        <v/>
      </c>
      <c r="D84" s="15"/>
      <c r="E84" s="16" t="str">
        <f aca="false">IF(D84="","",IF(LEFT(D84,6)="C-ITGC","ITGC","Not an ITGC"))</f>
        <v/>
      </c>
      <c r="F84" s="15"/>
      <c r="G84" s="15"/>
      <c r="H84" s="15"/>
      <c r="I84" s="16" t="str">
        <f aca="false">IF(A84="","",IF(COUNTIF(Control_Register!$A$5:$A$204,B84)=0,"Dependent CTRL not in register",IF(E84&lt;&gt;"ITGC","Dependency must be an ITGC",IF(AND(OR(F84="Exception noted",F84="Ineffective"),H84="Supported"),"Exceptions need additional procedures before reliance",IF(AND(H84="Supported with additional procedures",G84=""),"Describe the additional procedures","OK")))))</f>
        <v/>
      </c>
    </row>
    <row r="85" customFormat="false" ht="15" hidden="false" customHeight="false" outlineLevel="0" collapsed="false">
      <c r="A85" s="15"/>
      <c r="B85" s="15"/>
      <c r="C85" s="16" t="str">
        <f aca="false">IFERROR(INDEX(Control_Register!$E$5:$E$204,MATCH(B85,Control_Register!$A$5:$A$204,0)),"")</f>
        <v/>
      </c>
      <c r="D85" s="15"/>
      <c r="E85" s="16" t="str">
        <f aca="false">IF(D85="","",IF(LEFT(D85,6)="C-ITGC","ITGC","Not an ITGC"))</f>
        <v/>
      </c>
      <c r="F85" s="15"/>
      <c r="G85" s="15"/>
      <c r="H85" s="15"/>
      <c r="I85" s="16" t="str">
        <f aca="false">IF(A85="","",IF(COUNTIF(Control_Register!$A$5:$A$204,B85)=0,"Dependent CTRL not in register",IF(E85&lt;&gt;"ITGC","Dependency must be an ITGC",IF(AND(OR(F85="Exception noted",F85="Ineffective"),H85="Supported"),"Exceptions need additional procedures before reliance",IF(AND(H85="Supported with additional procedures",G85=""),"Describe the additional procedures","OK")))))</f>
        <v/>
      </c>
    </row>
    <row r="86" customFormat="false" ht="15" hidden="false" customHeight="false" outlineLevel="0" collapsed="false">
      <c r="A86" s="15"/>
      <c r="B86" s="15"/>
      <c r="C86" s="16" t="str">
        <f aca="false">IFERROR(INDEX(Control_Register!$E$5:$E$204,MATCH(B86,Control_Register!$A$5:$A$204,0)),"")</f>
        <v/>
      </c>
      <c r="D86" s="15"/>
      <c r="E86" s="16" t="str">
        <f aca="false">IF(D86="","",IF(LEFT(D86,6)="C-ITGC","ITGC","Not an ITGC"))</f>
        <v/>
      </c>
      <c r="F86" s="15"/>
      <c r="G86" s="15"/>
      <c r="H86" s="15"/>
      <c r="I86" s="16" t="str">
        <f aca="false">IF(A86="","",IF(COUNTIF(Control_Register!$A$5:$A$204,B86)=0,"Dependent CTRL not in register",IF(E86&lt;&gt;"ITGC","Dependency must be an ITGC",IF(AND(OR(F86="Exception noted",F86="Ineffective"),H86="Supported"),"Exceptions need additional procedures before reliance",IF(AND(H86="Supported with additional procedures",G86=""),"Describe the additional procedures","OK")))))</f>
        <v/>
      </c>
    </row>
    <row r="87" customFormat="false" ht="15" hidden="false" customHeight="false" outlineLevel="0" collapsed="false">
      <c r="A87" s="15"/>
      <c r="B87" s="15"/>
      <c r="C87" s="16" t="str">
        <f aca="false">IFERROR(INDEX(Control_Register!$E$5:$E$204,MATCH(B87,Control_Register!$A$5:$A$204,0)),"")</f>
        <v/>
      </c>
      <c r="D87" s="15"/>
      <c r="E87" s="16" t="str">
        <f aca="false">IF(D87="","",IF(LEFT(D87,6)="C-ITGC","ITGC","Not an ITGC"))</f>
        <v/>
      </c>
      <c r="F87" s="15"/>
      <c r="G87" s="15"/>
      <c r="H87" s="15"/>
      <c r="I87" s="16" t="str">
        <f aca="false">IF(A87="","",IF(COUNTIF(Control_Register!$A$5:$A$204,B87)=0,"Dependent CTRL not in register",IF(E87&lt;&gt;"ITGC","Dependency must be an ITGC",IF(AND(OR(F87="Exception noted",F87="Ineffective"),H87="Supported"),"Exceptions need additional procedures before reliance",IF(AND(H87="Supported with additional procedures",G87=""),"Describe the additional procedures","OK")))))</f>
        <v/>
      </c>
    </row>
    <row r="88" customFormat="false" ht="15" hidden="false" customHeight="false" outlineLevel="0" collapsed="false">
      <c r="A88" s="15"/>
      <c r="B88" s="15"/>
      <c r="C88" s="16" t="str">
        <f aca="false">IFERROR(INDEX(Control_Register!$E$5:$E$204,MATCH(B88,Control_Register!$A$5:$A$204,0)),"")</f>
        <v/>
      </c>
      <c r="D88" s="15"/>
      <c r="E88" s="16" t="str">
        <f aca="false">IF(D88="","",IF(LEFT(D88,6)="C-ITGC","ITGC","Not an ITGC"))</f>
        <v/>
      </c>
      <c r="F88" s="15"/>
      <c r="G88" s="15"/>
      <c r="H88" s="15"/>
      <c r="I88" s="16" t="str">
        <f aca="false">IF(A88="","",IF(COUNTIF(Control_Register!$A$5:$A$204,B88)=0,"Dependent CTRL not in register",IF(E88&lt;&gt;"ITGC","Dependency must be an ITGC",IF(AND(OR(F88="Exception noted",F88="Ineffective"),H88="Supported"),"Exceptions need additional procedures before reliance",IF(AND(H88="Supported with additional procedures",G88=""),"Describe the additional procedures","OK")))))</f>
        <v/>
      </c>
    </row>
    <row r="89" customFormat="false" ht="15" hidden="false" customHeight="false" outlineLevel="0" collapsed="false">
      <c r="A89" s="15"/>
      <c r="B89" s="15"/>
      <c r="C89" s="16" t="str">
        <f aca="false">IFERROR(INDEX(Control_Register!$E$5:$E$204,MATCH(B89,Control_Register!$A$5:$A$204,0)),"")</f>
        <v/>
      </c>
      <c r="D89" s="15"/>
      <c r="E89" s="16" t="str">
        <f aca="false">IF(D89="","",IF(LEFT(D89,6)="C-ITGC","ITGC","Not an ITGC"))</f>
        <v/>
      </c>
      <c r="F89" s="15"/>
      <c r="G89" s="15"/>
      <c r="H89" s="15"/>
      <c r="I89" s="16" t="str">
        <f aca="false">IF(A89="","",IF(COUNTIF(Control_Register!$A$5:$A$204,B89)=0,"Dependent CTRL not in register",IF(E89&lt;&gt;"ITGC","Dependency must be an ITGC",IF(AND(OR(F89="Exception noted",F89="Ineffective"),H89="Supported"),"Exceptions need additional procedures before reliance",IF(AND(H89="Supported with additional procedures",G89=""),"Describe the additional procedures","OK")))))</f>
        <v/>
      </c>
    </row>
    <row r="90" customFormat="false" ht="15" hidden="false" customHeight="false" outlineLevel="0" collapsed="false">
      <c r="A90" s="15"/>
      <c r="B90" s="15"/>
      <c r="C90" s="16" t="str">
        <f aca="false">IFERROR(INDEX(Control_Register!$E$5:$E$204,MATCH(B90,Control_Register!$A$5:$A$204,0)),"")</f>
        <v/>
      </c>
      <c r="D90" s="15"/>
      <c r="E90" s="16" t="str">
        <f aca="false">IF(D90="","",IF(LEFT(D90,6)="C-ITGC","ITGC","Not an ITGC"))</f>
        <v/>
      </c>
      <c r="F90" s="15"/>
      <c r="G90" s="15"/>
      <c r="H90" s="15"/>
      <c r="I90" s="16" t="str">
        <f aca="false">IF(A90="","",IF(COUNTIF(Control_Register!$A$5:$A$204,B90)=0,"Dependent CTRL not in register",IF(E90&lt;&gt;"ITGC","Dependency must be an ITGC",IF(AND(OR(F90="Exception noted",F90="Ineffective"),H90="Supported"),"Exceptions need additional procedures before reliance",IF(AND(H90="Supported with additional procedures",G90=""),"Describe the additional procedures","OK")))))</f>
        <v/>
      </c>
    </row>
    <row r="91" customFormat="false" ht="15" hidden="false" customHeight="false" outlineLevel="0" collapsed="false">
      <c r="A91" s="15"/>
      <c r="B91" s="15"/>
      <c r="C91" s="16" t="str">
        <f aca="false">IFERROR(INDEX(Control_Register!$E$5:$E$204,MATCH(B91,Control_Register!$A$5:$A$204,0)),"")</f>
        <v/>
      </c>
      <c r="D91" s="15"/>
      <c r="E91" s="16" t="str">
        <f aca="false">IF(D91="","",IF(LEFT(D91,6)="C-ITGC","ITGC","Not an ITGC"))</f>
        <v/>
      </c>
      <c r="F91" s="15"/>
      <c r="G91" s="15"/>
      <c r="H91" s="15"/>
      <c r="I91" s="16" t="str">
        <f aca="false">IF(A91="","",IF(COUNTIF(Control_Register!$A$5:$A$204,B91)=0,"Dependent CTRL not in register",IF(E91&lt;&gt;"ITGC","Dependency must be an ITGC",IF(AND(OR(F91="Exception noted",F91="Ineffective"),H91="Supported"),"Exceptions need additional procedures before reliance",IF(AND(H91="Supported with additional procedures",G91=""),"Describe the additional procedures","OK")))))</f>
        <v/>
      </c>
    </row>
    <row r="92" customFormat="false" ht="15" hidden="false" customHeight="false" outlineLevel="0" collapsed="false">
      <c r="A92" s="15"/>
      <c r="B92" s="15"/>
      <c r="C92" s="16" t="str">
        <f aca="false">IFERROR(INDEX(Control_Register!$E$5:$E$204,MATCH(B92,Control_Register!$A$5:$A$204,0)),"")</f>
        <v/>
      </c>
      <c r="D92" s="15"/>
      <c r="E92" s="16" t="str">
        <f aca="false">IF(D92="","",IF(LEFT(D92,6)="C-ITGC","ITGC","Not an ITGC"))</f>
        <v/>
      </c>
      <c r="F92" s="15"/>
      <c r="G92" s="15"/>
      <c r="H92" s="15"/>
      <c r="I92" s="16" t="str">
        <f aca="false">IF(A92="","",IF(COUNTIF(Control_Register!$A$5:$A$204,B92)=0,"Dependent CTRL not in register",IF(E92&lt;&gt;"ITGC","Dependency must be an ITGC",IF(AND(OR(F92="Exception noted",F92="Ineffective"),H92="Supported"),"Exceptions need additional procedures before reliance",IF(AND(H92="Supported with additional procedures",G92=""),"Describe the additional procedures","OK")))))</f>
        <v/>
      </c>
    </row>
    <row r="93" customFormat="false" ht="15" hidden="false" customHeight="false" outlineLevel="0" collapsed="false">
      <c r="A93" s="15"/>
      <c r="B93" s="15"/>
      <c r="C93" s="16" t="str">
        <f aca="false">IFERROR(INDEX(Control_Register!$E$5:$E$204,MATCH(B93,Control_Register!$A$5:$A$204,0)),"")</f>
        <v/>
      </c>
      <c r="D93" s="15"/>
      <c r="E93" s="16" t="str">
        <f aca="false">IF(D93="","",IF(LEFT(D93,6)="C-ITGC","ITGC","Not an ITGC"))</f>
        <v/>
      </c>
      <c r="F93" s="15"/>
      <c r="G93" s="15"/>
      <c r="H93" s="15"/>
      <c r="I93" s="16" t="str">
        <f aca="false">IF(A93="","",IF(COUNTIF(Control_Register!$A$5:$A$204,B93)=0,"Dependent CTRL not in register",IF(E93&lt;&gt;"ITGC","Dependency must be an ITGC",IF(AND(OR(F93="Exception noted",F93="Ineffective"),H93="Supported"),"Exceptions need additional procedures before reliance",IF(AND(H93="Supported with additional procedures",G93=""),"Describe the additional procedures","OK")))))</f>
        <v/>
      </c>
    </row>
    <row r="94" customFormat="false" ht="15" hidden="false" customHeight="false" outlineLevel="0" collapsed="false">
      <c r="A94" s="15"/>
      <c r="B94" s="15"/>
      <c r="C94" s="16" t="str">
        <f aca="false">IFERROR(INDEX(Control_Register!$E$5:$E$204,MATCH(B94,Control_Register!$A$5:$A$204,0)),"")</f>
        <v/>
      </c>
      <c r="D94" s="15"/>
      <c r="E94" s="16" t="str">
        <f aca="false">IF(D94="","",IF(LEFT(D94,6)="C-ITGC","ITGC","Not an ITGC"))</f>
        <v/>
      </c>
      <c r="F94" s="15"/>
      <c r="G94" s="15"/>
      <c r="H94" s="15"/>
      <c r="I94" s="16" t="str">
        <f aca="false">IF(A94="","",IF(COUNTIF(Control_Register!$A$5:$A$204,B94)=0,"Dependent CTRL not in register",IF(E94&lt;&gt;"ITGC","Dependency must be an ITGC",IF(AND(OR(F94="Exception noted",F94="Ineffective"),H94="Supported"),"Exceptions need additional procedures before reliance",IF(AND(H94="Supported with additional procedures",G94=""),"Describe the additional procedures","OK")))))</f>
        <v/>
      </c>
    </row>
    <row r="95" customFormat="false" ht="15" hidden="false" customHeight="false" outlineLevel="0" collapsed="false">
      <c r="A95" s="15"/>
      <c r="B95" s="15"/>
      <c r="C95" s="16" t="str">
        <f aca="false">IFERROR(INDEX(Control_Register!$E$5:$E$204,MATCH(B95,Control_Register!$A$5:$A$204,0)),"")</f>
        <v/>
      </c>
      <c r="D95" s="15"/>
      <c r="E95" s="16" t="str">
        <f aca="false">IF(D95="","",IF(LEFT(D95,6)="C-ITGC","ITGC","Not an ITGC"))</f>
        <v/>
      </c>
      <c r="F95" s="15"/>
      <c r="G95" s="15"/>
      <c r="H95" s="15"/>
      <c r="I95" s="16" t="str">
        <f aca="false">IF(A95="","",IF(COUNTIF(Control_Register!$A$5:$A$204,B95)=0,"Dependent CTRL not in register",IF(E95&lt;&gt;"ITGC","Dependency must be an ITGC",IF(AND(OR(F95="Exception noted",F95="Ineffective"),H95="Supported"),"Exceptions need additional procedures before reliance",IF(AND(H95="Supported with additional procedures",G95=""),"Describe the additional procedures","OK")))))</f>
        <v/>
      </c>
    </row>
    <row r="96" customFormat="false" ht="15" hidden="false" customHeight="false" outlineLevel="0" collapsed="false">
      <c r="A96" s="15"/>
      <c r="B96" s="15"/>
      <c r="C96" s="16" t="str">
        <f aca="false">IFERROR(INDEX(Control_Register!$E$5:$E$204,MATCH(B96,Control_Register!$A$5:$A$204,0)),"")</f>
        <v/>
      </c>
      <c r="D96" s="15"/>
      <c r="E96" s="16" t="str">
        <f aca="false">IF(D96="","",IF(LEFT(D96,6)="C-ITGC","ITGC","Not an ITGC"))</f>
        <v/>
      </c>
      <c r="F96" s="15"/>
      <c r="G96" s="15"/>
      <c r="H96" s="15"/>
      <c r="I96" s="16" t="str">
        <f aca="false">IF(A96="","",IF(COUNTIF(Control_Register!$A$5:$A$204,B96)=0,"Dependent CTRL not in register",IF(E96&lt;&gt;"ITGC","Dependency must be an ITGC",IF(AND(OR(F96="Exception noted",F96="Ineffective"),H96="Supported"),"Exceptions need additional procedures before reliance",IF(AND(H96="Supported with additional procedures",G96=""),"Describe the additional procedures","OK")))))</f>
        <v/>
      </c>
    </row>
    <row r="97" customFormat="false" ht="15" hidden="false" customHeight="false" outlineLevel="0" collapsed="false">
      <c r="A97" s="15"/>
      <c r="B97" s="15"/>
      <c r="C97" s="16" t="str">
        <f aca="false">IFERROR(INDEX(Control_Register!$E$5:$E$204,MATCH(B97,Control_Register!$A$5:$A$204,0)),"")</f>
        <v/>
      </c>
      <c r="D97" s="15"/>
      <c r="E97" s="16" t="str">
        <f aca="false">IF(D97="","",IF(LEFT(D97,6)="C-ITGC","ITGC","Not an ITGC"))</f>
        <v/>
      </c>
      <c r="F97" s="15"/>
      <c r="G97" s="15"/>
      <c r="H97" s="15"/>
      <c r="I97" s="16" t="str">
        <f aca="false">IF(A97="","",IF(COUNTIF(Control_Register!$A$5:$A$204,B97)=0,"Dependent CTRL not in register",IF(E97&lt;&gt;"ITGC","Dependency must be an ITGC",IF(AND(OR(F97="Exception noted",F97="Ineffective"),H97="Supported"),"Exceptions need additional procedures before reliance",IF(AND(H97="Supported with additional procedures",G97=""),"Describe the additional procedures","OK")))))</f>
        <v/>
      </c>
    </row>
    <row r="98" customFormat="false" ht="15" hidden="false" customHeight="false" outlineLevel="0" collapsed="false">
      <c r="A98" s="15"/>
      <c r="B98" s="15"/>
      <c r="C98" s="16" t="str">
        <f aca="false">IFERROR(INDEX(Control_Register!$E$5:$E$204,MATCH(B98,Control_Register!$A$5:$A$204,0)),"")</f>
        <v/>
      </c>
      <c r="D98" s="15"/>
      <c r="E98" s="16" t="str">
        <f aca="false">IF(D98="","",IF(LEFT(D98,6)="C-ITGC","ITGC","Not an ITGC"))</f>
        <v/>
      </c>
      <c r="F98" s="15"/>
      <c r="G98" s="15"/>
      <c r="H98" s="15"/>
      <c r="I98" s="16" t="str">
        <f aca="false">IF(A98="","",IF(COUNTIF(Control_Register!$A$5:$A$204,B98)=0,"Dependent CTRL not in register",IF(E98&lt;&gt;"ITGC","Dependency must be an ITGC",IF(AND(OR(F98="Exception noted",F98="Ineffective"),H98="Supported"),"Exceptions need additional procedures before reliance",IF(AND(H98="Supported with additional procedures",G98=""),"Describe the additional procedures","OK")))))</f>
        <v/>
      </c>
    </row>
    <row r="99" customFormat="false" ht="15" hidden="false" customHeight="false" outlineLevel="0" collapsed="false">
      <c r="A99" s="15"/>
      <c r="B99" s="15"/>
      <c r="C99" s="16" t="str">
        <f aca="false">IFERROR(INDEX(Control_Register!$E$5:$E$204,MATCH(B99,Control_Register!$A$5:$A$204,0)),"")</f>
        <v/>
      </c>
      <c r="D99" s="15"/>
      <c r="E99" s="16" t="str">
        <f aca="false">IF(D99="","",IF(LEFT(D99,6)="C-ITGC","ITGC","Not an ITGC"))</f>
        <v/>
      </c>
      <c r="F99" s="15"/>
      <c r="G99" s="15"/>
      <c r="H99" s="15"/>
      <c r="I99" s="16" t="str">
        <f aca="false">IF(A99="","",IF(COUNTIF(Control_Register!$A$5:$A$204,B99)=0,"Dependent CTRL not in register",IF(E99&lt;&gt;"ITGC","Dependency must be an ITGC",IF(AND(OR(F99="Exception noted",F99="Ineffective"),H99="Supported"),"Exceptions need additional procedures before reliance",IF(AND(H99="Supported with additional procedures",G99=""),"Describe the additional procedures","OK")))))</f>
        <v/>
      </c>
    </row>
    <row r="100" customFormat="false" ht="15" hidden="false" customHeight="false" outlineLevel="0" collapsed="false">
      <c r="A100" s="15"/>
      <c r="B100" s="15"/>
      <c r="C100" s="16" t="str">
        <f aca="false">IFERROR(INDEX(Control_Register!$E$5:$E$204,MATCH(B100,Control_Register!$A$5:$A$204,0)),"")</f>
        <v/>
      </c>
      <c r="D100" s="15"/>
      <c r="E100" s="16" t="str">
        <f aca="false">IF(D100="","",IF(LEFT(D100,6)="C-ITGC","ITGC","Not an ITGC"))</f>
        <v/>
      </c>
      <c r="F100" s="15"/>
      <c r="G100" s="15"/>
      <c r="H100" s="15"/>
      <c r="I100" s="16" t="str">
        <f aca="false">IF(A100="","",IF(COUNTIF(Control_Register!$A$5:$A$204,B100)=0,"Dependent CTRL not in register",IF(E100&lt;&gt;"ITGC","Dependency must be an ITGC",IF(AND(OR(F100="Exception noted",F100="Ineffective"),H100="Supported"),"Exceptions need additional procedures before reliance",IF(AND(H100="Supported with additional procedures",G100=""),"Describe the additional procedures","OK")))))</f>
        <v/>
      </c>
    </row>
    <row r="101" customFormat="false" ht="15" hidden="false" customHeight="false" outlineLevel="0" collapsed="false">
      <c r="A101" s="15"/>
      <c r="B101" s="15"/>
      <c r="C101" s="16" t="str">
        <f aca="false">IFERROR(INDEX(Control_Register!$E$5:$E$204,MATCH(B101,Control_Register!$A$5:$A$204,0)),"")</f>
        <v/>
      </c>
      <c r="D101" s="15"/>
      <c r="E101" s="16" t="str">
        <f aca="false">IF(D101="","",IF(LEFT(D101,6)="C-ITGC","ITGC","Not an ITGC"))</f>
        <v/>
      </c>
      <c r="F101" s="15"/>
      <c r="G101" s="15"/>
      <c r="H101" s="15"/>
      <c r="I101" s="16" t="str">
        <f aca="false">IF(A101="","",IF(COUNTIF(Control_Register!$A$5:$A$204,B101)=0,"Dependent CTRL not in register",IF(E101&lt;&gt;"ITGC","Dependency must be an ITGC",IF(AND(OR(F101="Exception noted",F101="Ineffective"),H101="Supported"),"Exceptions need additional procedures before reliance",IF(AND(H101="Supported with additional procedures",G101=""),"Describe the additional procedures","OK")))))</f>
        <v/>
      </c>
    </row>
    <row r="102" customFormat="false" ht="15" hidden="false" customHeight="false" outlineLevel="0" collapsed="false">
      <c r="A102" s="15"/>
      <c r="B102" s="15"/>
      <c r="C102" s="16" t="str">
        <f aca="false">IFERROR(INDEX(Control_Register!$E$5:$E$204,MATCH(B102,Control_Register!$A$5:$A$204,0)),"")</f>
        <v/>
      </c>
      <c r="D102" s="15"/>
      <c r="E102" s="16" t="str">
        <f aca="false">IF(D102="","",IF(LEFT(D102,6)="C-ITGC","ITGC","Not an ITGC"))</f>
        <v/>
      </c>
      <c r="F102" s="15"/>
      <c r="G102" s="15"/>
      <c r="H102" s="15"/>
      <c r="I102" s="16" t="str">
        <f aca="false">IF(A102="","",IF(COUNTIF(Control_Register!$A$5:$A$204,B102)=0,"Dependent CTRL not in register",IF(E102&lt;&gt;"ITGC","Dependency must be an ITGC",IF(AND(OR(F102="Exception noted",F102="Ineffective"),H102="Supported"),"Exceptions need additional procedures before reliance",IF(AND(H102="Supported with additional procedures",G102=""),"Describe the additional procedures","OK")))))</f>
        <v/>
      </c>
    </row>
    <row r="103" customFormat="false" ht="15" hidden="false" customHeight="false" outlineLevel="0" collapsed="false">
      <c r="A103" s="15"/>
      <c r="B103" s="15"/>
      <c r="C103" s="16" t="str">
        <f aca="false">IFERROR(INDEX(Control_Register!$E$5:$E$204,MATCH(B103,Control_Register!$A$5:$A$204,0)),"")</f>
        <v/>
      </c>
      <c r="D103" s="15"/>
      <c r="E103" s="16" t="str">
        <f aca="false">IF(D103="","",IF(LEFT(D103,6)="C-ITGC","ITGC","Not an ITGC"))</f>
        <v/>
      </c>
      <c r="F103" s="15"/>
      <c r="G103" s="15"/>
      <c r="H103" s="15"/>
      <c r="I103" s="16" t="str">
        <f aca="false">IF(A103="","",IF(COUNTIF(Control_Register!$A$5:$A$204,B103)=0,"Dependent CTRL not in register",IF(E103&lt;&gt;"ITGC","Dependency must be an ITGC",IF(AND(OR(F103="Exception noted",F103="Ineffective"),H103="Supported"),"Exceptions need additional procedures before reliance",IF(AND(H103="Supported with additional procedures",G103=""),"Describe the additional procedures","OK")))))</f>
        <v/>
      </c>
    </row>
    <row r="104" customFormat="false" ht="15" hidden="false" customHeight="false" outlineLevel="0" collapsed="false">
      <c r="A104" s="15"/>
      <c r="B104" s="15"/>
      <c r="C104" s="16" t="str">
        <f aca="false">IFERROR(INDEX(Control_Register!$E$5:$E$204,MATCH(B104,Control_Register!$A$5:$A$204,0)),"")</f>
        <v/>
      </c>
      <c r="D104" s="15"/>
      <c r="E104" s="16" t="str">
        <f aca="false">IF(D104="","",IF(LEFT(D104,6)="C-ITGC","ITGC","Not an ITGC"))</f>
        <v/>
      </c>
      <c r="F104" s="15"/>
      <c r="G104" s="15"/>
      <c r="H104" s="15"/>
      <c r="I104" s="16" t="str">
        <f aca="false">IF(A104="","",IF(COUNTIF(Control_Register!$A$5:$A$204,B104)=0,"Dependent CTRL not in register",IF(E104&lt;&gt;"ITGC","Dependency must be an ITGC",IF(AND(OR(F104="Exception noted",F104="Ineffective"),H104="Supported"),"Exceptions need additional procedures before reliance",IF(AND(H104="Supported with additional procedures",G104=""),"Describe the additional procedures","OK")))))</f>
        <v/>
      </c>
    </row>
    <row r="105" customFormat="false" ht="15" hidden="false" customHeight="false" outlineLevel="0" collapsed="false">
      <c r="A105" s="15"/>
      <c r="B105" s="15"/>
      <c r="C105" s="16" t="str">
        <f aca="false">IFERROR(INDEX(Control_Register!$E$5:$E$204,MATCH(B105,Control_Register!$A$5:$A$204,0)),"")</f>
        <v/>
      </c>
      <c r="D105" s="15"/>
      <c r="E105" s="16" t="str">
        <f aca="false">IF(D105="","",IF(LEFT(D105,6)="C-ITGC","ITGC","Not an ITGC"))</f>
        <v/>
      </c>
      <c r="F105" s="15"/>
      <c r="G105" s="15"/>
      <c r="H105" s="15"/>
      <c r="I105" s="16" t="str">
        <f aca="false">IF(A105="","",IF(COUNTIF(Control_Register!$A$5:$A$204,B105)=0,"Dependent CTRL not in register",IF(E105&lt;&gt;"ITGC","Dependency must be an ITGC",IF(AND(OR(F105="Exception noted",F105="Ineffective"),H105="Supported"),"Exceptions need additional procedures before reliance",IF(AND(H105="Supported with additional procedures",G105=""),"Describe the additional procedures","OK")))))</f>
        <v/>
      </c>
    </row>
    <row r="106" customFormat="false" ht="15" hidden="false" customHeight="false" outlineLevel="0" collapsed="false">
      <c r="A106" s="15"/>
      <c r="B106" s="15"/>
      <c r="C106" s="16" t="str">
        <f aca="false">IFERROR(INDEX(Control_Register!$E$5:$E$204,MATCH(B106,Control_Register!$A$5:$A$204,0)),"")</f>
        <v/>
      </c>
      <c r="D106" s="15"/>
      <c r="E106" s="16" t="str">
        <f aca="false">IF(D106="","",IF(LEFT(D106,6)="C-ITGC","ITGC","Not an ITGC"))</f>
        <v/>
      </c>
      <c r="F106" s="15"/>
      <c r="G106" s="15"/>
      <c r="H106" s="15"/>
      <c r="I106" s="16" t="str">
        <f aca="false">IF(A106="","",IF(COUNTIF(Control_Register!$A$5:$A$204,B106)=0,"Dependent CTRL not in register",IF(E106&lt;&gt;"ITGC","Dependency must be an ITGC",IF(AND(OR(F106="Exception noted",F106="Ineffective"),H106="Supported"),"Exceptions need additional procedures before reliance",IF(AND(H106="Supported with additional procedures",G106=""),"Describe the additional procedures","OK")))))</f>
        <v/>
      </c>
    </row>
    <row r="107" customFormat="false" ht="15" hidden="false" customHeight="false" outlineLevel="0" collapsed="false">
      <c r="A107" s="15"/>
      <c r="B107" s="15"/>
      <c r="C107" s="16" t="str">
        <f aca="false">IFERROR(INDEX(Control_Register!$E$5:$E$204,MATCH(B107,Control_Register!$A$5:$A$204,0)),"")</f>
        <v/>
      </c>
      <c r="D107" s="15"/>
      <c r="E107" s="16" t="str">
        <f aca="false">IF(D107="","",IF(LEFT(D107,6)="C-ITGC","ITGC","Not an ITGC"))</f>
        <v/>
      </c>
      <c r="F107" s="15"/>
      <c r="G107" s="15"/>
      <c r="H107" s="15"/>
      <c r="I107" s="16" t="str">
        <f aca="false">IF(A107="","",IF(COUNTIF(Control_Register!$A$5:$A$204,B107)=0,"Dependent CTRL not in register",IF(E107&lt;&gt;"ITGC","Dependency must be an ITGC",IF(AND(OR(F107="Exception noted",F107="Ineffective"),H107="Supported"),"Exceptions need additional procedures before reliance",IF(AND(H107="Supported with additional procedures",G107=""),"Describe the additional procedures","OK")))))</f>
        <v/>
      </c>
    </row>
    <row r="108" customFormat="false" ht="15" hidden="false" customHeight="false" outlineLevel="0" collapsed="false">
      <c r="A108" s="15"/>
      <c r="B108" s="15"/>
      <c r="C108" s="16" t="str">
        <f aca="false">IFERROR(INDEX(Control_Register!$E$5:$E$204,MATCH(B108,Control_Register!$A$5:$A$204,0)),"")</f>
        <v/>
      </c>
      <c r="D108" s="15"/>
      <c r="E108" s="16" t="str">
        <f aca="false">IF(D108="","",IF(LEFT(D108,6)="C-ITGC","ITGC","Not an ITGC"))</f>
        <v/>
      </c>
      <c r="F108" s="15"/>
      <c r="G108" s="15"/>
      <c r="H108" s="15"/>
      <c r="I108" s="16" t="str">
        <f aca="false">IF(A108="","",IF(COUNTIF(Control_Register!$A$5:$A$204,B108)=0,"Dependent CTRL not in register",IF(E108&lt;&gt;"ITGC","Dependency must be an ITGC",IF(AND(OR(F108="Exception noted",F108="Ineffective"),H108="Supported"),"Exceptions need additional procedures before reliance",IF(AND(H108="Supported with additional procedures",G108=""),"Describe the additional procedures","OK")))))</f>
        <v/>
      </c>
    </row>
    <row r="109" customFormat="false" ht="15" hidden="false" customHeight="false" outlineLevel="0" collapsed="false">
      <c r="A109" s="15"/>
      <c r="B109" s="15"/>
      <c r="C109" s="16" t="str">
        <f aca="false">IFERROR(INDEX(Control_Register!$E$5:$E$204,MATCH(B109,Control_Register!$A$5:$A$204,0)),"")</f>
        <v/>
      </c>
      <c r="D109" s="15"/>
      <c r="E109" s="16" t="str">
        <f aca="false">IF(D109="","",IF(LEFT(D109,6)="C-ITGC","ITGC","Not an ITGC"))</f>
        <v/>
      </c>
      <c r="F109" s="15"/>
      <c r="G109" s="15"/>
      <c r="H109" s="15"/>
      <c r="I109" s="16" t="str">
        <f aca="false">IF(A109="","",IF(COUNTIF(Control_Register!$A$5:$A$204,B109)=0,"Dependent CTRL not in register",IF(E109&lt;&gt;"ITGC","Dependency must be an ITGC",IF(AND(OR(F109="Exception noted",F109="Ineffective"),H109="Supported"),"Exceptions need additional procedures before reliance",IF(AND(H109="Supported with additional procedures",G109=""),"Describe the additional procedures","OK")))))</f>
        <v/>
      </c>
    </row>
    <row r="110" customFormat="false" ht="15" hidden="false" customHeight="false" outlineLevel="0" collapsed="false">
      <c r="A110" s="15"/>
      <c r="B110" s="15"/>
      <c r="C110" s="16" t="str">
        <f aca="false">IFERROR(INDEX(Control_Register!$E$5:$E$204,MATCH(B110,Control_Register!$A$5:$A$204,0)),"")</f>
        <v/>
      </c>
      <c r="D110" s="15"/>
      <c r="E110" s="16" t="str">
        <f aca="false">IF(D110="","",IF(LEFT(D110,6)="C-ITGC","ITGC","Not an ITGC"))</f>
        <v/>
      </c>
      <c r="F110" s="15"/>
      <c r="G110" s="15"/>
      <c r="H110" s="15"/>
      <c r="I110" s="16" t="str">
        <f aca="false">IF(A110="","",IF(COUNTIF(Control_Register!$A$5:$A$204,B110)=0,"Dependent CTRL not in register",IF(E110&lt;&gt;"ITGC","Dependency must be an ITGC",IF(AND(OR(F110="Exception noted",F110="Ineffective"),H110="Supported"),"Exceptions need additional procedures before reliance",IF(AND(H110="Supported with additional procedures",G110=""),"Describe the additional procedures","OK")))))</f>
        <v/>
      </c>
    </row>
    <row r="111" customFormat="false" ht="15" hidden="false" customHeight="false" outlineLevel="0" collapsed="false">
      <c r="A111" s="15"/>
      <c r="B111" s="15"/>
      <c r="C111" s="16" t="str">
        <f aca="false">IFERROR(INDEX(Control_Register!$E$5:$E$204,MATCH(B111,Control_Register!$A$5:$A$204,0)),"")</f>
        <v/>
      </c>
      <c r="D111" s="15"/>
      <c r="E111" s="16" t="str">
        <f aca="false">IF(D111="","",IF(LEFT(D111,6)="C-ITGC","ITGC","Not an ITGC"))</f>
        <v/>
      </c>
      <c r="F111" s="15"/>
      <c r="G111" s="15"/>
      <c r="H111" s="15"/>
      <c r="I111" s="16" t="str">
        <f aca="false">IF(A111="","",IF(COUNTIF(Control_Register!$A$5:$A$204,B111)=0,"Dependent CTRL not in register",IF(E111&lt;&gt;"ITGC","Dependency must be an ITGC",IF(AND(OR(F111="Exception noted",F111="Ineffective"),H111="Supported"),"Exceptions need additional procedures before reliance",IF(AND(H111="Supported with additional procedures",G111=""),"Describe the additional procedures","OK")))))</f>
        <v/>
      </c>
    </row>
    <row r="112" customFormat="false" ht="15" hidden="false" customHeight="false" outlineLevel="0" collapsed="false">
      <c r="A112" s="15"/>
      <c r="B112" s="15"/>
      <c r="C112" s="16" t="str">
        <f aca="false">IFERROR(INDEX(Control_Register!$E$5:$E$204,MATCH(B112,Control_Register!$A$5:$A$204,0)),"")</f>
        <v/>
      </c>
      <c r="D112" s="15"/>
      <c r="E112" s="16" t="str">
        <f aca="false">IF(D112="","",IF(LEFT(D112,6)="C-ITGC","ITGC","Not an ITGC"))</f>
        <v/>
      </c>
      <c r="F112" s="15"/>
      <c r="G112" s="15"/>
      <c r="H112" s="15"/>
      <c r="I112" s="16" t="str">
        <f aca="false">IF(A112="","",IF(COUNTIF(Control_Register!$A$5:$A$204,B112)=0,"Dependent CTRL not in register",IF(E112&lt;&gt;"ITGC","Dependency must be an ITGC",IF(AND(OR(F112="Exception noted",F112="Ineffective"),H112="Supported"),"Exceptions need additional procedures before reliance",IF(AND(H112="Supported with additional procedures",G112=""),"Describe the additional procedures","OK")))))</f>
        <v/>
      </c>
    </row>
    <row r="113" customFormat="false" ht="15" hidden="false" customHeight="false" outlineLevel="0" collapsed="false">
      <c r="A113" s="15"/>
      <c r="B113" s="15"/>
      <c r="C113" s="16" t="str">
        <f aca="false">IFERROR(INDEX(Control_Register!$E$5:$E$204,MATCH(B113,Control_Register!$A$5:$A$204,0)),"")</f>
        <v/>
      </c>
      <c r="D113" s="15"/>
      <c r="E113" s="16" t="str">
        <f aca="false">IF(D113="","",IF(LEFT(D113,6)="C-ITGC","ITGC","Not an ITGC"))</f>
        <v/>
      </c>
      <c r="F113" s="15"/>
      <c r="G113" s="15"/>
      <c r="H113" s="15"/>
      <c r="I113" s="16" t="str">
        <f aca="false">IF(A113="","",IF(COUNTIF(Control_Register!$A$5:$A$204,B113)=0,"Dependent CTRL not in register",IF(E113&lt;&gt;"ITGC","Dependency must be an ITGC",IF(AND(OR(F113="Exception noted",F113="Ineffective"),H113="Supported"),"Exceptions need additional procedures before reliance",IF(AND(H113="Supported with additional procedures",G113=""),"Describe the additional procedures","OK")))))</f>
        <v/>
      </c>
    </row>
    <row r="114" customFormat="false" ht="15" hidden="false" customHeight="false" outlineLevel="0" collapsed="false">
      <c r="A114" s="15"/>
      <c r="B114" s="15"/>
      <c r="C114" s="16" t="str">
        <f aca="false">IFERROR(INDEX(Control_Register!$E$5:$E$204,MATCH(B114,Control_Register!$A$5:$A$204,0)),"")</f>
        <v/>
      </c>
      <c r="D114" s="15"/>
      <c r="E114" s="16" t="str">
        <f aca="false">IF(D114="","",IF(LEFT(D114,6)="C-ITGC","ITGC","Not an ITGC"))</f>
        <v/>
      </c>
      <c r="F114" s="15"/>
      <c r="G114" s="15"/>
      <c r="H114" s="15"/>
      <c r="I114" s="16" t="str">
        <f aca="false">IF(A114="","",IF(COUNTIF(Control_Register!$A$5:$A$204,B114)=0,"Dependent CTRL not in register",IF(E114&lt;&gt;"ITGC","Dependency must be an ITGC",IF(AND(OR(F114="Exception noted",F114="Ineffective"),H114="Supported"),"Exceptions need additional procedures before reliance",IF(AND(H114="Supported with additional procedures",G114=""),"Describe the additional procedures","OK")))))</f>
        <v/>
      </c>
    </row>
    <row r="115" customFormat="false" ht="15" hidden="false" customHeight="false" outlineLevel="0" collapsed="false">
      <c r="A115" s="15"/>
      <c r="B115" s="15"/>
      <c r="C115" s="16" t="str">
        <f aca="false">IFERROR(INDEX(Control_Register!$E$5:$E$204,MATCH(B115,Control_Register!$A$5:$A$204,0)),"")</f>
        <v/>
      </c>
      <c r="D115" s="15"/>
      <c r="E115" s="16" t="str">
        <f aca="false">IF(D115="","",IF(LEFT(D115,6)="C-ITGC","ITGC","Not an ITGC"))</f>
        <v/>
      </c>
      <c r="F115" s="15"/>
      <c r="G115" s="15"/>
      <c r="H115" s="15"/>
      <c r="I115" s="16" t="str">
        <f aca="false">IF(A115="","",IF(COUNTIF(Control_Register!$A$5:$A$204,B115)=0,"Dependent CTRL not in register",IF(E115&lt;&gt;"ITGC","Dependency must be an ITGC",IF(AND(OR(F115="Exception noted",F115="Ineffective"),H115="Supported"),"Exceptions need additional procedures before reliance",IF(AND(H115="Supported with additional procedures",G115=""),"Describe the additional procedures","OK")))))</f>
        <v/>
      </c>
    </row>
    <row r="116" customFormat="false" ht="15" hidden="false" customHeight="false" outlineLevel="0" collapsed="false">
      <c r="A116" s="15"/>
      <c r="B116" s="15"/>
      <c r="C116" s="16" t="str">
        <f aca="false">IFERROR(INDEX(Control_Register!$E$5:$E$204,MATCH(B116,Control_Register!$A$5:$A$204,0)),"")</f>
        <v/>
      </c>
      <c r="D116" s="15"/>
      <c r="E116" s="16" t="str">
        <f aca="false">IF(D116="","",IF(LEFT(D116,6)="C-ITGC","ITGC","Not an ITGC"))</f>
        <v/>
      </c>
      <c r="F116" s="15"/>
      <c r="G116" s="15"/>
      <c r="H116" s="15"/>
      <c r="I116" s="16" t="str">
        <f aca="false">IF(A116="","",IF(COUNTIF(Control_Register!$A$5:$A$204,B116)=0,"Dependent CTRL not in register",IF(E116&lt;&gt;"ITGC","Dependency must be an ITGC",IF(AND(OR(F116="Exception noted",F116="Ineffective"),H116="Supported"),"Exceptions need additional procedures before reliance",IF(AND(H116="Supported with additional procedures",G116=""),"Describe the additional procedures","OK")))))</f>
        <v/>
      </c>
    </row>
    <row r="117" customFormat="false" ht="15" hidden="false" customHeight="false" outlineLevel="0" collapsed="false">
      <c r="A117" s="15"/>
      <c r="B117" s="15"/>
      <c r="C117" s="16" t="str">
        <f aca="false">IFERROR(INDEX(Control_Register!$E$5:$E$204,MATCH(B117,Control_Register!$A$5:$A$204,0)),"")</f>
        <v/>
      </c>
      <c r="D117" s="15"/>
      <c r="E117" s="16" t="str">
        <f aca="false">IF(D117="","",IF(LEFT(D117,6)="C-ITGC","ITGC","Not an ITGC"))</f>
        <v/>
      </c>
      <c r="F117" s="15"/>
      <c r="G117" s="15"/>
      <c r="H117" s="15"/>
      <c r="I117" s="16" t="str">
        <f aca="false">IF(A117="","",IF(COUNTIF(Control_Register!$A$5:$A$204,B117)=0,"Dependent CTRL not in register",IF(E117&lt;&gt;"ITGC","Dependency must be an ITGC",IF(AND(OR(F117="Exception noted",F117="Ineffective"),H117="Supported"),"Exceptions need additional procedures before reliance",IF(AND(H117="Supported with additional procedures",G117=""),"Describe the additional procedures","OK")))))</f>
        <v/>
      </c>
    </row>
    <row r="118" customFormat="false" ht="15" hidden="false" customHeight="false" outlineLevel="0" collapsed="false">
      <c r="A118" s="15"/>
      <c r="B118" s="15"/>
      <c r="C118" s="16" t="str">
        <f aca="false">IFERROR(INDEX(Control_Register!$E$5:$E$204,MATCH(B118,Control_Register!$A$5:$A$204,0)),"")</f>
        <v/>
      </c>
      <c r="D118" s="15"/>
      <c r="E118" s="16" t="str">
        <f aca="false">IF(D118="","",IF(LEFT(D118,6)="C-ITGC","ITGC","Not an ITGC"))</f>
        <v/>
      </c>
      <c r="F118" s="15"/>
      <c r="G118" s="15"/>
      <c r="H118" s="15"/>
      <c r="I118" s="16" t="str">
        <f aca="false">IF(A118="","",IF(COUNTIF(Control_Register!$A$5:$A$204,B118)=0,"Dependent CTRL not in register",IF(E118&lt;&gt;"ITGC","Dependency must be an ITGC",IF(AND(OR(F118="Exception noted",F118="Ineffective"),H118="Supported"),"Exceptions need additional procedures before reliance",IF(AND(H118="Supported with additional procedures",G118=""),"Describe the additional procedures","OK")))))</f>
        <v/>
      </c>
    </row>
    <row r="119" customFormat="false" ht="15" hidden="false" customHeight="false" outlineLevel="0" collapsed="false">
      <c r="A119" s="15"/>
      <c r="B119" s="15"/>
      <c r="C119" s="16" t="str">
        <f aca="false">IFERROR(INDEX(Control_Register!$E$5:$E$204,MATCH(B119,Control_Register!$A$5:$A$204,0)),"")</f>
        <v/>
      </c>
      <c r="D119" s="15"/>
      <c r="E119" s="16" t="str">
        <f aca="false">IF(D119="","",IF(LEFT(D119,6)="C-ITGC","ITGC","Not an ITGC"))</f>
        <v/>
      </c>
      <c r="F119" s="15"/>
      <c r="G119" s="15"/>
      <c r="H119" s="15"/>
      <c r="I119" s="16" t="str">
        <f aca="false">IF(A119="","",IF(COUNTIF(Control_Register!$A$5:$A$204,B119)=0,"Dependent CTRL not in register",IF(E119&lt;&gt;"ITGC","Dependency must be an ITGC",IF(AND(OR(F119="Exception noted",F119="Ineffective"),H119="Supported"),"Exceptions need additional procedures before reliance",IF(AND(H119="Supported with additional procedures",G119=""),"Describe the additional procedures","OK")))))</f>
        <v/>
      </c>
    </row>
    <row r="120" customFormat="false" ht="15" hidden="false" customHeight="false" outlineLevel="0" collapsed="false">
      <c r="A120" s="15"/>
      <c r="B120" s="15"/>
      <c r="C120" s="16" t="str">
        <f aca="false">IFERROR(INDEX(Control_Register!$E$5:$E$204,MATCH(B120,Control_Register!$A$5:$A$204,0)),"")</f>
        <v/>
      </c>
      <c r="D120" s="15"/>
      <c r="E120" s="16" t="str">
        <f aca="false">IF(D120="","",IF(LEFT(D120,6)="C-ITGC","ITGC","Not an ITGC"))</f>
        <v/>
      </c>
      <c r="F120" s="15"/>
      <c r="G120" s="15"/>
      <c r="H120" s="15"/>
      <c r="I120" s="16" t="str">
        <f aca="false">IF(A120="","",IF(COUNTIF(Control_Register!$A$5:$A$204,B120)=0,"Dependent CTRL not in register",IF(E120&lt;&gt;"ITGC","Dependency must be an ITGC",IF(AND(OR(F120="Exception noted",F120="Ineffective"),H120="Supported"),"Exceptions need additional procedures before reliance",IF(AND(H120="Supported with additional procedures",G120=""),"Describe the additional procedures","OK")))))</f>
        <v/>
      </c>
    </row>
    <row r="121" customFormat="false" ht="15" hidden="false" customHeight="false" outlineLevel="0" collapsed="false">
      <c r="A121" s="15"/>
      <c r="B121" s="15"/>
      <c r="C121" s="16" t="str">
        <f aca="false">IFERROR(INDEX(Control_Register!$E$5:$E$204,MATCH(B121,Control_Register!$A$5:$A$204,0)),"")</f>
        <v/>
      </c>
      <c r="D121" s="15"/>
      <c r="E121" s="16" t="str">
        <f aca="false">IF(D121="","",IF(LEFT(D121,6)="C-ITGC","ITGC","Not an ITGC"))</f>
        <v/>
      </c>
      <c r="F121" s="15"/>
      <c r="G121" s="15"/>
      <c r="H121" s="15"/>
      <c r="I121" s="16" t="str">
        <f aca="false">IF(A121="","",IF(COUNTIF(Control_Register!$A$5:$A$204,B121)=0,"Dependent CTRL not in register",IF(E121&lt;&gt;"ITGC","Dependency must be an ITGC",IF(AND(OR(F121="Exception noted",F121="Ineffective"),H121="Supported"),"Exceptions need additional procedures before reliance",IF(AND(H121="Supported with additional procedures",G121=""),"Describe the additional procedures","OK")))))</f>
        <v/>
      </c>
    </row>
    <row r="122" customFormat="false" ht="15" hidden="false" customHeight="false" outlineLevel="0" collapsed="false">
      <c r="A122" s="15"/>
      <c r="B122" s="15"/>
      <c r="C122" s="16" t="str">
        <f aca="false">IFERROR(INDEX(Control_Register!$E$5:$E$204,MATCH(B122,Control_Register!$A$5:$A$204,0)),"")</f>
        <v/>
      </c>
      <c r="D122" s="15"/>
      <c r="E122" s="16" t="str">
        <f aca="false">IF(D122="","",IF(LEFT(D122,6)="C-ITGC","ITGC","Not an ITGC"))</f>
        <v/>
      </c>
      <c r="F122" s="15"/>
      <c r="G122" s="15"/>
      <c r="H122" s="15"/>
      <c r="I122" s="16" t="str">
        <f aca="false">IF(A122="","",IF(COUNTIF(Control_Register!$A$5:$A$204,B122)=0,"Dependent CTRL not in register",IF(E122&lt;&gt;"ITGC","Dependency must be an ITGC",IF(AND(OR(F122="Exception noted",F122="Ineffective"),H122="Supported"),"Exceptions need additional procedures before reliance",IF(AND(H122="Supported with additional procedures",G122=""),"Describe the additional procedures","OK")))))</f>
        <v/>
      </c>
    </row>
    <row r="123" customFormat="false" ht="15" hidden="false" customHeight="false" outlineLevel="0" collapsed="false">
      <c r="A123" s="15"/>
      <c r="B123" s="15"/>
      <c r="C123" s="16" t="str">
        <f aca="false">IFERROR(INDEX(Control_Register!$E$5:$E$204,MATCH(B123,Control_Register!$A$5:$A$204,0)),"")</f>
        <v/>
      </c>
      <c r="D123" s="15"/>
      <c r="E123" s="16" t="str">
        <f aca="false">IF(D123="","",IF(LEFT(D123,6)="C-ITGC","ITGC","Not an ITGC"))</f>
        <v/>
      </c>
      <c r="F123" s="15"/>
      <c r="G123" s="15"/>
      <c r="H123" s="15"/>
      <c r="I123" s="16" t="str">
        <f aca="false">IF(A123="","",IF(COUNTIF(Control_Register!$A$5:$A$204,B123)=0,"Dependent CTRL not in register",IF(E123&lt;&gt;"ITGC","Dependency must be an ITGC",IF(AND(OR(F123="Exception noted",F123="Ineffective"),H123="Supported"),"Exceptions need additional procedures before reliance",IF(AND(H123="Supported with additional procedures",G123=""),"Describe the additional procedures","OK")))))</f>
        <v/>
      </c>
    </row>
    <row r="124" customFormat="false" ht="15" hidden="false" customHeight="false" outlineLevel="0" collapsed="false">
      <c r="A124" s="15"/>
      <c r="B124" s="15"/>
      <c r="C124" s="16" t="str">
        <f aca="false">IFERROR(INDEX(Control_Register!$E$5:$E$204,MATCH(B124,Control_Register!$A$5:$A$204,0)),"")</f>
        <v/>
      </c>
      <c r="D124" s="15"/>
      <c r="E124" s="16" t="str">
        <f aca="false">IF(D124="","",IF(LEFT(D124,6)="C-ITGC","ITGC","Not an ITGC"))</f>
        <v/>
      </c>
      <c r="F124" s="15"/>
      <c r="G124" s="15"/>
      <c r="H124" s="15"/>
      <c r="I124" s="16" t="str">
        <f aca="false">IF(A124="","",IF(COUNTIF(Control_Register!$A$5:$A$204,B124)=0,"Dependent CTRL not in register",IF(E124&lt;&gt;"ITGC","Dependency must be an ITGC",IF(AND(OR(F124="Exception noted",F124="Ineffective"),H124="Supported"),"Exceptions need additional procedures before reliance",IF(AND(H124="Supported with additional procedures",G124=""),"Describe the additional procedures","OK")))))</f>
        <v/>
      </c>
    </row>
    <row r="125" customFormat="false" ht="15" hidden="false" customHeight="false" outlineLevel="0" collapsed="false">
      <c r="A125" s="15"/>
      <c r="B125" s="15"/>
      <c r="C125" s="16" t="str">
        <f aca="false">IFERROR(INDEX(Control_Register!$E$5:$E$204,MATCH(B125,Control_Register!$A$5:$A$204,0)),"")</f>
        <v/>
      </c>
      <c r="D125" s="15"/>
      <c r="E125" s="16" t="str">
        <f aca="false">IF(D125="","",IF(LEFT(D125,6)="C-ITGC","ITGC","Not an ITGC"))</f>
        <v/>
      </c>
      <c r="F125" s="15"/>
      <c r="G125" s="15"/>
      <c r="H125" s="15"/>
      <c r="I125" s="16" t="str">
        <f aca="false">IF(A125="","",IF(COUNTIF(Control_Register!$A$5:$A$204,B125)=0,"Dependent CTRL not in register",IF(E125&lt;&gt;"ITGC","Dependency must be an ITGC",IF(AND(OR(F125="Exception noted",F125="Ineffective"),H125="Supported"),"Exceptions need additional procedures before reliance",IF(AND(H125="Supported with additional procedures",G125=""),"Describe the additional procedures","OK")))))</f>
        <v/>
      </c>
    </row>
    <row r="126" customFormat="false" ht="15" hidden="false" customHeight="false" outlineLevel="0" collapsed="false">
      <c r="A126" s="15"/>
      <c r="B126" s="15"/>
      <c r="C126" s="16" t="str">
        <f aca="false">IFERROR(INDEX(Control_Register!$E$5:$E$204,MATCH(B126,Control_Register!$A$5:$A$204,0)),"")</f>
        <v/>
      </c>
      <c r="D126" s="15"/>
      <c r="E126" s="16" t="str">
        <f aca="false">IF(D126="","",IF(LEFT(D126,6)="C-ITGC","ITGC","Not an ITGC"))</f>
        <v/>
      </c>
      <c r="F126" s="15"/>
      <c r="G126" s="15"/>
      <c r="H126" s="15"/>
      <c r="I126" s="16" t="str">
        <f aca="false">IF(A126="","",IF(COUNTIF(Control_Register!$A$5:$A$204,B126)=0,"Dependent CTRL not in register",IF(E126&lt;&gt;"ITGC","Dependency must be an ITGC",IF(AND(OR(F126="Exception noted",F126="Ineffective"),H126="Supported"),"Exceptions need additional procedures before reliance",IF(AND(H126="Supported with additional procedures",G126=""),"Describe the additional procedures","OK")))))</f>
        <v/>
      </c>
    </row>
    <row r="127" customFormat="false" ht="15" hidden="false" customHeight="false" outlineLevel="0" collapsed="false">
      <c r="A127" s="15"/>
      <c r="B127" s="15"/>
      <c r="C127" s="16" t="str">
        <f aca="false">IFERROR(INDEX(Control_Register!$E$5:$E$204,MATCH(B127,Control_Register!$A$5:$A$204,0)),"")</f>
        <v/>
      </c>
      <c r="D127" s="15"/>
      <c r="E127" s="16" t="str">
        <f aca="false">IF(D127="","",IF(LEFT(D127,6)="C-ITGC","ITGC","Not an ITGC"))</f>
        <v/>
      </c>
      <c r="F127" s="15"/>
      <c r="G127" s="15"/>
      <c r="H127" s="15"/>
      <c r="I127" s="16" t="str">
        <f aca="false">IF(A127="","",IF(COUNTIF(Control_Register!$A$5:$A$204,B127)=0,"Dependent CTRL not in register",IF(E127&lt;&gt;"ITGC","Dependency must be an ITGC",IF(AND(OR(F127="Exception noted",F127="Ineffective"),H127="Supported"),"Exceptions need additional procedures before reliance",IF(AND(H127="Supported with additional procedures",G127=""),"Describe the additional procedures","OK")))))</f>
        <v/>
      </c>
    </row>
    <row r="128" customFormat="false" ht="15" hidden="false" customHeight="false" outlineLevel="0" collapsed="false">
      <c r="A128" s="15"/>
      <c r="B128" s="15"/>
      <c r="C128" s="16" t="str">
        <f aca="false">IFERROR(INDEX(Control_Register!$E$5:$E$204,MATCH(B128,Control_Register!$A$5:$A$204,0)),"")</f>
        <v/>
      </c>
      <c r="D128" s="15"/>
      <c r="E128" s="16" t="str">
        <f aca="false">IF(D128="","",IF(LEFT(D128,6)="C-ITGC","ITGC","Not an ITGC"))</f>
        <v/>
      </c>
      <c r="F128" s="15"/>
      <c r="G128" s="15"/>
      <c r="H128" s="15"/>
      <c r="I128" s="16" t="str">
        <f aca="false">IF(A128="","",IF(COUNTIF(Control_Register!$A$5:$A$204,B128)=0,"Dependent CTRL not in register",IF(E128&lt;&gt;"ITGC","Dependency must be an ITGC",IF(AND(OR(F128="Exception noted",F128="Ineffective"),H128="Supported"),"Exceptions need additional procedures before reliance",IF(AND(H128="Supported with additional procedures",G128=""),"Describe the additional procedures","OK")))))</f>
        <v/>
      </c>
    </row>
    <row r="129" customFormat="false" ht="15" hidden="false" customHeight="false" outlineLevel="0" collapsed="false">
      <c r="A129" s="15"/>
      <c r="B129" s="15"/>
      <c r="C129" s="16" t="str">
        <f aca="false">IFERROR(INDEX(Control_Register!$E$5:$E$204,MATCH(B129,Control_Register!$A$5:$A$204,0)),"")</f>
        <v/>
      </c>
      <c r="D129" s="15"/>
      <c r="E129" s="16" t="str">
        <f aca="false">IF(D129="","",IF(LEFT(D129,6)="C-ITGC","ITGC","Not an ITGC"))</f>
        <v/>
      </c>
      <c r="F129" s="15"/>
      <c r="G129" s="15"/>
      <c r="H129" s="15"/>
      <c r="I129" s="16" t="str">
        <f aca="false">IF(A129="","",IF(COUNTIF(Control_Register!$A$5:$A$204,B129)=0,"Dependent CTRL not in register",IF(E129&lt;&gt;"ITGC","Dependency must be an ITGC",IF(AND(OR(F129="Exception noted",F129="Ineffective"),H129="Supported"),"Exceptions need additional procedures before reliance",IF(AND(H129="Supported with additional procedures",G129=""),"Describe the additional procedures","OK")))))</f>
        <v/>
      </c>
    </row>
    <row r="130" customFormat="false" ht="15" hidden="false" customHeight="false" outlineLevel="0" collapsed="false">
      <c r="A130" s="15"/>
      <c r="B130" s="15"/>
      <c r="C130" s="16" t="str">
        <f aca="false">IFERROR(INDEX(Control_Register!$E$5:$E$204,MATCH(B130,Control_Register!$A$5:$A$204,0)),"")</f>
        <v/>
      </c>
      <c r="D130" s="15"/>
      <c r="E130" s="16" t="str">
        <f aca="false">IF(D130="","",IF(LEFT(D130,6)="C-ITGC","ITGC","Not an ITGC"))</f>
        <v/>
      </c>
      <c r="F130" s="15"/>
      <c r="G130" s="15"/>
      <c r="H130" s="15"/>
      <c r="I130" s="16" t="str">
        <f aca="false">IF(A130="","",IF(COUNTIF(Control_Register!$A$5:$A$204,B130)=0,"Dependent CTRL not in register",IF(E130&lt;&gt;"ITGC","Dependency must be an ITGC",IF(AND(OR(F130="Exception noted",F130="Ineffective"),H130="Supported"),"Exceptions need additional procedures before reliance",IF(AND(H130="Supported with additional procedures",G130=""),"Describe the additional procedures","OK")))))</f>
        <v/>
      </c>
    </row>
    <row r="131" customFormat="false" ht="15" hidden="false" customHeight="false" outlineLevel="0" collapsed="false">
      <c r="A131" s="15"/>
      <c r="B131" s="15"/>
      <c r="C131" s="16" t="str">
        <f aca="false">IFERROR(INDEX(Control_Register!$E$5:$E$204,MATCH(B131,Control_Register!$A$5:$A$204,0)),"")</f>
        <v/>
      </c>
      <c r="D131" s="15"/>
      <c r="E131" s="16" t="str">
        <f aca="false">IF(D131="","",IF(LEFT(D131,6)="C-ITGC","ITGC","Not an ITGC"))</f>
        <v/>
      </c>
      <c r="F131" s="15"/>
      <c r="G131" s="15"/>
      <c r="H131" s="15"/>
      <c r="I131" s="16" t="str">
        <f aca="false">IF(A131="","",IF(COUNTIF(Control_Register!$A$5:$A$204,B131)=0,"Dependent CTRL not in register",IF(E131&lt;&gt;"ITGC","Dependency must be an ITGC",IF(AND(OR(F131="Exception noted",F131="Ineffective"),H131="Supported"),"Exceptions need additional procedures before reliance",IF(AND(H131="Supported with additional procedures",G131=""),"Describe the additional procedures","OK")))))</f>
        <v/>
      </c>
    </row>
    <row r="132" customFormat="false" ht="15" hidden="false" customHeight="false" outlineLevel="0" collapsed="false">
      <c r="A132" s="15"/>
      <c r="B132" s="15"/>
      <c r="C132" s="16" t="str">
        <f aca="false">IFERROR(INDEX(Control_Register!$E$5:$E$204,MATCH(B132,Control_Register!$A$5:$A$204,0)),"")</f>
        <v/>
      </c>
      <c r="D132" s="15"/>
      <c r="E132" s="16" t="str">
        <f aca="false">IF(D132="","",IF(LEFT(D132,6)="C-ITGC","ITGC","Not an ITGC"))</f>
        <v/>
      </c>
      <c r="F132" s="15"/>
      <c r="G132" s="15"/>
      <c r="H132" s="15"/>
      <c r="I132" s="16" t="str">
        <f aca="false">IF(A132="","",IF(COUNTIF(Control_Register!$A$5:$A$204,B132)=0,"Dependent CTRL not in register",IF(E132&lt;&gt;"ITGC","Dependency must be an ITGC",IF(AND(OR(F132="Exception noted",F132="Ineffective"),H132="Supported"),"Exceptions need additional procedures before reliance",IF(AND(H132="Supported with additional procedures",G132=""),"Describe the additional procedures","OK")))))</f>
        <v/>
      </c>
    </row>
    <row r="133" customFormat="false" ht="15" hidden="false" customHeight="false" outlineLevel="0" collapsed="false">
      <c r="A133" s="15"/>
      <c r="B133" s="15"/>
      <c r="C133" s="16" t="str">
        <f aca="false">IFERROR(INDEX(Control_Register!$E$5:$E$204,MATCH(B133,Control_Register!$A$5:$A$204,0)),"")</f>
        <v/>
      </c>
      <c r="D133" s="15"/>
      <c r="E133" s="16" t="str">
        <f aca="false">IF(D133="","",IF(LEFT(D133,6)="C-ITGC","ITGC","Not an ITGC"))</f>
        <v/>
      </c>
      <c r="F133" s="15"/>
      <c r="G133" s="15"/>
      <c r="H133" s="15"/>
      <c r="I133" s="16" t="str">
        <f aca="false">IF(A133="","",IF(COUNTIF(Control_Register!$A$5:$A$204,B133)=0,"Dependent CTRL not in register",IF(E133&lt;&gt;"ITGC","Dependency must be an ITGC",IF(AND(OR(F133="Exception noted",F133="Ineffective"),H133="Supported"),"Exceptions need additional procedures before reliance",IF(AND(H133="Supported with additional procedures",G133=""),"Describe the additional procedures","OK")))))</f>
        <v/>
      </c>
    </row>
    <row r="134" customFormat="false" ht="15" hidden="false" customHeight="false" outlineLevel="0" collapsed="false">
      <c r="A134" s="15"/>
      <c r="B134" s="15"/>
      <c r="C134" s="16" t="str">
        <f aca="false">IFERROR(INDEX(Control_Register!$E$5:$E$204,MATCH(B134,Control_Register!$A$5:$A$204,0)),"")</f>
        <v/>
      </c>
      <c r="D134" s="15"/>
      <c r="E134" s="16" t="str">
        <f aca="false">IF(D134="","",IF(LEFT(D134,6)="C-ITGC","ITGC","Not an ITGC"))</f>
        <v/>
      </c>
      <c r="F134" s="15"/>
      <c r="G134" s="15"/>
      <c r="H134" s="15"/>
      <c r="I134" s="16" t="str">
        <f aca="false">IF(A134="","",IF(COUNTIF(Control_Register!$A$5:$A$204,B134)=0,"Dependent CTRL not in register",IF(E134&lt;&gt;"ITGC","Dependency must be an ITGC",IF(AND(OR(F134="Exception noted",F134="Ineffective"),H134="Supported"),"Exceptions need additional procedures before reliance",IF(AND(H134="Supported with additional procedures",G134=""),"Describe the additional procedures","OK")))))</f>
        <v/>
      </c>
    </row>
    <row r="135" customFormat="false" ht="15" hidden="false" customHeight="false" outlineLevel="0" collapsed="false">
      <c r="A135" s="15"/>
      <c r="B135" s="15"/>
      <c r="C135" s="16" t="str">
        <f aca="false">IFERROR(INDEX(Control_Register!$E$5:$E$204,MATCH(B135,Control_Register!$A$5:$A$204,0)),"")</f>
        <v/>
      </c>
      <c r="D135" s="15"/>
      <c r="E135" s="16" t="str">
        <f aca="false">IF(D135="","",IF(LEFT(D135,6)="C-ITGC","ITGC","Not an ITGC"))</f>
        <v/>
      </c>
      <c r="F135" s="15"/>
      <c r="G135" s="15"/>
      <c r="H135" s="15"/>
      <c r="I135" s="16" t="str">
        <f aca="false">IF(A135="","",IF(COUNTIF(Control_Register!$A$5:$A$204,B135)=0,"Dependent CTRL not in register",IF(E135&lt;&gt;"ITGC","Dependency must be an ITGC",IF(AND(OR(F135="Exception noted",F135="Ineffective"),H135="Supported"),"Exceptions need additional procedures before reliance",IF(AND(H135="Supported with additional procedures",G135=""),"Describe the additional procedures","OK")))))</f>
        <v/>
      </c>
    </row>
    <row r="136" customFormat="false" ht="15" hidden="false" customHeight="false" outlineLevel="0" collapsed="false">
      <c r="A136" s="15"/>
      <c r="B136" s="15"/>
      <c r="C136" s="16" t="str">
        <f aca="false">IFERROR(INDEX(Control_Register!$E$5:$E$204,MATCH(B136,Control_Register!$A$5:$A$204,0)),"")</f>
        <v/>
      </c>
      <c r="D136" s="15"/>
      <c r="E136" s="16" t="str">
        <f aca="false">IF(D136="","",IF(LEFT(D136,6)="C-ITGC","ITGC","Not an ITGC"))</f>
        <v/>
      </c>
      <c r="F136" s="15"/>
      <c r="G136" s="15"/>
      <c r="H136" s="15"/>
      <c r="I136" s="16" t="str">
        <f aca="false">IF(A136="","",IF(COUNTIF(Control_Register!$A$5:$A$204,B136)=0,"Dependent CTRL not in register",IF(E136&lt;&gt;"ITGC","Dependency must be an ITGC",IF(AND(OR(F136="Exception noted",F136="Ineffective"),H136="Supported"),"Exceptions need additional procedures before reliance",IF(AND(H136="Supported with additional procedures",G136=""),"Describe the additional procedures","OK")))))</f>
        <v/>
      </c>
    </row>
    <row r="137" customFormat="false" ht="15" hidden="false" customHeight="false" outlineLevel="0" collapsed="false">
      <c r="A137" s="15"/>
      <c r="B137" s="15"/>
      <c r="C137" s="16" t="str">
        <f aca="false">IFERROR(INDEX(Control_Register!$E$5:$E$204,MATCH(B137,Control_Register!$A$5:$A$204,0)),"")</f>
        <v/>
      </c>
      <c r="D137" s="15"/>
      <c r="E137" s="16" t="str">
        <f aca="false">IF(D137="","",IF(LEFT(D137,6)="C-ITGC","ITGC","Not an ITGC"))</f>
        <v/>
      </c>
      <c r="F137" s="15"/>
      <c r="G137" s="15"/>
      <c r="H137" s="15"/>
      <c r="I137" s="16" t="str">
        <f aca="false">IF(A137="","",IF(COUNTIF(Control_Register!$A$5:$A$204,B137)=0,"Dependent CTRL not in register",IF(E137&lt;&gt;"ITGC","Dependency must be an ITGC",IF(AND(OR(F137="Exception noted",F137="Ineffective"),H137="Supported"),"Exceptions need additional procedures before reliance",IF(AND(H137="Supported with additional procedures",G137=""),"Describe the additional procedures","OK")))))</f>
        <v/>
      </c>
    </row>
    <row r="138" customFormat="false" ht="15" hidden="false" customHeight="false" outlineLevel="0" collapsed="false">
      <c r="A138" s="15"/>
      <c r="B138" s="15"/>
      <c r="C138" s="16" t="str">
        <f aca="false">IFERROR(INDEX(Control_Register!$E$5:$E$204,MATCH(B138,Control_Register!$A$5:$A$204,0)),"")</f>
        <v/>
      </c>
      <c r="D138" s="15"/>
      <c r="E138" s="16" t="str">
        <f aca="false">IF(D138="","",IF(LEFT(D138,6)="C-ITGC","ITGC","Not an ITGC"))</f>
        <v/>
      </c>
      <c r="F138" s="15"/>
      <c r="G138" s="15"/>
      <c r="H138" s="15"/>
      <c r="I138" s="16" t="str">
        <f aca="false">IF(A138="","",IF(COUNTIF(Control_Register!$A$5:$A$204,B138)=0,"Dependent CTRL not in register",IF(E138&lt;&gt;"ITGC","Dependency must be an ITGC",IF(AND(OR(F138="Exception noted",F138="Ineffective"),H138="Supported"),"Exceptions need additional procedures before reliance",IF(AND(H138="Supported with additional procedures",G138=""),"Describe the additional procedures","OK")))))</f>
        <v/>
      </c>
    </row>
    <row r="139" customFormat="false" ht="15" hidden="false" customHeight="false" outlineLevel="0" collapsed="false">
      <c r="A139" s="15"/>
      <c r="B139" s="15"/>
      <c r="C139" s="16" t="str">
        <f aca="false">IFERROR(INDEX(Control_Register!$E$5:$E$204,MATCH(B139,Control_Register!$A$5:$A$204,0)),"")</f>
        <v/>
      </c>
      <c r="D139" s="15"/>
      <c r="E139" s="16" t="str">
        <f aca="false">IF(D139="","",IF(LEFT(D139,6)="C-ITGC","ITGC","Not an ITGC"))</f>
        <v/>
      </c>
      <c r="F139" s="15"/>
      <c r="G139" s="15"/>
      <c r="H139" s="15"/>
      <c r="I139" s="16" t="str">
        <f aca="false">IF(A139="","",IF(COUNTIF(Control_Register!$A$5:$A$204,B139)=0,"Dependent CTRL not in register",IF(E139&lt;&gt;"ITGC","Dependency must be an ITGC",IF(AND(OR(F139="Exception noted",F139="Ineffective"),H139="Supported"),"Exceptions need additional procedures before reliance",IF(AND(H139="Supported with additional procedures",G139=""),"Describe the additional procedures","OK")))))</f>
        <v/>
      </c>
    </row>
    <row r="140" customFormat="false" ht="15" hidden="false" customHeight="false" outlineLevel="0" collapsed="false">
      <c r="A140" s="15"/>
      <c r="B140" s="15"/>
      <c r="C140" s="16" t="str">
        <f aca="false">IFERROR(INDEX(Control_Register!$E$5:$E$204,MATCH(B140,Control_Register!$A$5:$A$204,0)),"")</f>
        <v/>
      </c>
      <c r="D140" s="15"/>
      <c r="E140" s="16" t="str">
        <f aca="false">IF(D140="","",IF(LEFT(D140,6)="C-ITGC","ITGC","Not an ITGC"))</f>
        <v/>
      </c>
      <c r="F140" s="15"/>
      <c r="G140" s="15"/>
      <c r="H140" s="15"/>
      <c r="I140" s="16" t="str">
        <f aca="false">IF(A140="","",IF(COUNTIF(Control_Register!$A$5:$A$204,B140)=0,"Dependent CTRL not in register",IF(E140&lt;&gt;"ITGC","Dependency must be an ITGC",IF(AND(OR(F140="Exception noted",F140="Ineffective"),H140="Supported"),"Exceptions need additional procedures before reliance",IF(AND(H140="Supported with additional procedures",G140=""),"Describe the additional procedures","OK")))))</f>
        <v/>
      </c>
    </row>
    <row r="141" customFormat="false" ht="15" hidden="false" customHeight="false" outlineLevel="0" collapsed="false">
      <c r="A141" s="15"/>
      <c r="B141" s="15"/>
      <c r="C141" s="16" t="str">
        <f aca="false">IFERROR(INDEX(Control_Register!$E$5:$E$204,MATCH(B141,Control_Register!$A$5:$A$204,0)),"")</f>
        <v/>
      </c>
      <c r="D141" s="15"/>
      <c r="E141" s="16" t="str">
        <f aca="false">IF(D141="","",IF(LEFT(D141,6)="C-ITGC","ITGC","Not an ITGC"))</f>
        <v/>
      </c>
      <c r="F141" s="15"/>
      <c r="G141" s="15"/>
      <c r="H141" s="15"/>
      <c r="I141" s="16" t="str">
        <f aca="false">IF(A141="","",IF(COUNTIF(Control_Register!$A$5:$A$204,B141)=0,"Dependent CTRL not in register",IF(E141&lt;&gt;"ITGC","Dependency must be an ITGC",IF(AND(OR(F141="Exception noted",F141="Ineffective"),H141="Supported"),"Exceptions need additional procedures before reliance",IF(AND(H141="Supported with additional procedures",G141=""),"Describe the additional procedures","OK")))))</f>
        <v/>
      </c>
    </row>
    <row r="142" customFormat="false" ht="15" hidden="false" customHeight="false" outlineLevel="0" collapsed="false">
      <c r="A142" s="15"/>
      <c r="B142" s="15"/>
      <c r="C142" s="16" t="str">
        <f aca="false">IFERROR(INDEX(Control_Register!$E$5:$E$204,MATCH(B142,Control_Register!$A$5:$A$204,0)),"")</f>
        <v/>
      </c>
      <c r="D142" s="15"/>
      <c r="E142" s="16" t="str">
        <f aca="false">IF(D142="","",IF(LEFT(D142,6)="C-ITGC","ITGC","Not an ITGC"))</f>
        <v/>
      </c>
      <c r="F142" s="15"/>
      <c r="G142" s="15"/>
      <c r="H142" s="15"/>
      <c r="I142" s="16" t="str">
        <f aca="false">IF(A142="","",IF(COUNTIF(Control_Register!$A$5:$A$204,B142)=0,"Dependent CTRL not in register",IF(E142&lt;&gt;"ITGC","Dependency must be an ITGC",IF(AND(OR(F142="Exception noted",F142="Ineffective"),H142="Supported"),"Exceptions need additional procedures before reliance",IF(AND(H142="Supported with additional procedures",G142=""),"Describe the additional procedures","OK")))))</f>
        <v/>
      </c>
    </row>
    <row r="143" customFormat="false" ht="15" hidden="false" customHeight="false" outlineLevel="0" collapsed="false">
      <c r="A143" s="15"/>
      <c r="B143" s="15"/>
      <c r="C143" s="16" t="str">
        <f aca="false">IFERROR(INDEX(Control_Register!$E$5:$E$204,MATCH(B143,Control_Register!$A$5:$A$204,0)),"")</f>
        <v/>
      </c>
      <c r="D143" s="15"/>
      <c r="E143" s="16" t="str">
        <f aca="false">IF(D143="","",IF(LEFT(D143,6)="C-ITGC","ITGC","Not an ITGC"))</f>
        <v/>
      </c>
      <c r="F143" s="15"/>
      <c r="G143" s="15"/>
      <c r="H143" s="15"/>
      <c r="I143" s="16" t="str">
        <f aca="false">IF(A143="","",IF(COUNTIF(Control_Register!$A$5:$A$204,B143)=0,"Dependent CTRL not in register",IF(E143&lt;&gt;"ITGC","Dependency must be an ITGC",IF(AND(OR(F143="Exception noted",F143="Ineffective"),H143="Supported"),"Exceptions need additional procedures before reliance",IF(AND(H143="Supported with additional procedures",G143=""),"Describe the additional procedures","OK")))))</f>
        <v/>
      </c>
    </row>
    <row r="144" customFormat="false" ht="15" hidden="false" customHeight="false" outlineLevel="0" collapsed="false">
      <c r="A144" s="15"/>
      <c r="B144" s="15"/>
      <c r="C144" s="16" t="str">
        <f aca="false">IFERROR(INDEX(Control_Register!$E$5:$E$204,MATCH(B144,Control_Register!$A$5:$A$204,0)),"")</f>
        <v/>
      </c>
      <c r="D144" s="15"/>
      <c r="E144" s="16" t="str">
        <f aca="false">IF(D144="","",IF(LEFT(D144,6)="C-ITGC","ITGC","Not an ITGC"))</f>
        <v/>
      </c>
      <c r="F144" s="15"/>
      <c r="G144" s="15"/>
      <c r="H144" s="15"/>
      <c r="I144" s="16" t="str">
        <f aca="false">IF(A144="","",IF(COUNTIF(Control_Register!$A$5:$A$204,B144)=0,"Dependent CTRL not in register",IF(E144&lt;&gt;"ITGC","Dependency must be an ITGC",IF(AND(OR(F144="Exception noted",F144="Ineffective"),H144="Supported"),"Exceptions need additional procedures before reliance",IF(AND(H144="Supported with additional procedures",G144=""),"Describe the additional procedures","OK")))))</f>
        <v/>
      </c>
    </row>
    <row r="145" customFormat="false" ht="15" hidden="false" customHeight="false" outlineLevel="0" collapsed="false">
      <c r="A145" s="15"/>
      <c r="B145" s="15"/>
      <c r="C145" s="16" t="str">
        <f aca="false">IFERROR(INDEX(Control_Register!$E$5:$E$204,MATCH(B145,Control_Register!$A$5:$A$204,0)),"")</f>
        <v/>
      </c>
      <c r="D145" s="15"/>
      <c r="E145" s="16" t="str">
        <f aca="false">IF(D145="","",IF(LEFT(D145,6)="C-ITGC","ITGC","Not an ITGC"))</f>
        <v/>
      </c>
      <c r="F145" s="15"/>
      <c r="G145" s="15"/>
      <c r="H145" s="15"/>
      <c r="I145" s="16" t="str">
        <f aca="false">IF(A145="","",IF(COUNTIF(Control_Register!$A$5:$A$204,B145)=0,"Dependent CTRL not in register",IF(E145&lt;&gt;"ITGC","Dependency must be an ITGC",IF(AND(OR(F145="Exception noted",F145="Ineffective"),H145="Supported"),"Exceptions need additional procedures before reliance",IF(AND(H145="Supported with additional procedures",G145=""),"Describe the additional procedures","OK")))))</f>
        <v/>
      </c>
    </row>
    <row r="146" customFormat="false" ht="15" hidden="false" customHeight="false" outlineLevel="0" collapsed="false">
      <c r="A146" s="15"/>
      <c r="B146" s="15"/>
      <c r="C146" s="16" t="str">
        <f aca="false">IFERROR(INDEX(Control_Register!$E$5:$E$204,MATCH(B146,Control_Register!$A$5:$A$204,0)),"")</f>
        <v/>
      </c>
      <c r="D146" s="15"/>
      <c r="E146" s="16" t="str">
        <f aca="false">IF(D146="","",IF(LEFT(D146,6)="C-ITGC","ITGC","Not an ITGC"))</f>
        <v/>
      </c>
      <c r="F146" s="15"/>
      <c r="G146" s="15"/>
      <c r="H146" s="15"/>
      <c r="I146" s="16" t="str">
        <f aca="false">IF(A146="","",IF(COUNTIF(Control_Register!$A$5:$A$204,B146)=0,"Dependent CTRL not in register",IF(E146&lt;&gt;"ITGC","Dependency must be an ITGC",IF(AND(OR(F146="Exception noted",F146="Ineffective"),H146="Supported"),"Exceptions need additional procedures before reliance",IF(AND(H146="Supported with additional procedures",G146=""),"Describe the additional procedures","OK")))))</f>
        <v/>
      </c>
    </row>
    <row r="147" customFormat="false" ht="15" hidden="false" customHeight="false" outlineLevel="0" collapsed="false">
      <c r="A147" s="15"/>
      <c r="B147" s="15"/>
      <c r="C147" s="16" t="str">
        <f aca="false">IFERROR(INDEX(Control_Register!$E$5:$E$204,MATCH(B147,Control_Register!$A$5:$A$204,0)),"")</f>
        <v/>
      </c>
      <c r="D147" s="15"/>
      <c r="E147" s="16" t="str">
        <f aca="false">IF(D147="","",IF(LEFT(D147,6)="C-ITGC","ITGC","Not an ITGC"))</f>
        <v/>
      </c>
      <c r="F147" s="15"/>
      <c r="G147" s="15"/>
      <c r="H147" s="15"/>
      <c r="I147" s="16" t="str">
        <f aca="false">IF(A147="","",IF(COUNTIF(Control_Register!$A$5:$A$204,B147)=0,"Dependent CTRL not in register",IF(E147&lt;&gt;"ITGC","Dependency must be an ITGC",IF(AND(OR(F147="Exception noted",F147="Ineffective"),H147="Supported"),"Exceptions need additional procedures before reliance",IF(AND(H147="Supported with additional procedures",G147=""),"Describe the additional procedures","OK")))))</f>
        <v/>
      </c>
    </row>
    <row r="148" customFormat="false" ht="15" hidden="false" customHeight="false" outlineLevel="0" collapsed="false">
      <c r="A148" s="15"/>
      <c r="B148" s="15"/>
      <c r="C148" s="16" t="str">
        <f aca="false">IFERROR(INDEX(Control_Register!$E$5:$E$204,MATCH(B148,Control_Register!$A$5:$A$204,0)),"")</f>
        <v/>
      </c>
      <c r="D148" s="15"/>
      <c r="E148" s="16" t="str">
        <f aca="false">IF(D148="","",IF(LEFT(D148,6)="C-ITGC","ITGC","Not an ITGC"))</f>
        <v/>
      </c>
      <c r="F148" s="15"/>
      <c r="G148" s="15"/>
      <c r="H148" s="15"/>
      <c r="I148" s="16" t="str">
        <f aca="false">IF(A148="","",IF(COUNTIF(Control_Register!$A$5:$A$204,B148)=0,"Dependent CTRL not in register",IF(E148&lt;&gt;"ITGC","Dependency must be an ITGC",IF(AND(OR(F148="Exception noted",F148="Ineffective"),H148="Supported"),"Exceptions need additional procedures before reliance",IF(AND(H148="Supported with additional procedures",G148=""),"Describe the additional procedures","OK")))))</f>
        <v/>
      </c>
    </row>
    <row r="149" customFormat="false" ht="15" hidden="false" customHeight="false" outlineLevel="0" collapsed="false">
      <c r="A149" s="15"/>
      <c r="B149" s="15"/>
      <c r="C149" s="16" t="str">
        <f aca="false">IFERROR(INDEX(Control_Register!$E$5:$E$204,MATCH(B149,Control_Register!$A$5:$A$204,0)),"")</f>
        <v/>
      </c>
      <c r="D149" s="15"/>
      <c r="E149" s="16" t="str">
        <f aca="false">IF(D149="","",IF(LEFT(D149,6)="C-ITGC","ITGC","Not an ITGC"))</f>
        <v/>
      </c>
      <c r="F149" s="15"/>
      <c r="G149" s="15"/>
      <c r="H149" s="15"/>
      <c r="I149" s="16" t="str">
        <f aca="false">IF(A149="","",IF(COUNTIF(Control_Register!$A$5:$A$204,B149)=0,"Dependent CTRL not in register",IF(E149&lt;&gt;"ITGC","Dependency must be an ITGC",IF(AND(OR(F149="Exception noted",F149="Ineffective"),H149="Supported"),"Exceptions need additional procedures before reliance",IF(AND(H149="Supported with additional procedures",G149=""),"Describe the additional procedures","OK")))))</f>
        <v/>
      </c>
    </row>
    <row r="150" customFormat="false" ht="15" hidden="false" customHeight="false" outlineLevel="0" collapsed="false">
      <c r="A150" s="15"/>
      <c r="B150" s="15"/>
      <c r="C150" s="16" t="str">
        <f aca="false">IFERROR(INDEX(Control_Register!$E$5:$E$204,MATCH(B150,Control_Register!$A$5:$A$204,0)),"")</f>
        <v/>
      </c>
      <c r="D150" s="15"/>
      <c r="E150" s="16" t="str">
        <f aca="false">IF(D150="","",IF(LEFT(D150,6)="C-ITGC","ITGC","Not an ITGC"))</f>
        <v/>
      </c>
      <c r="F150" s="15"/>
      <c r="G150" s="15"/>
      <c r="H150" s="15"/>
      <c r="I150" s="16" t="str">
        <f aca="false">IF(A150="","",IF(COUNTIF(Control_Register!$A$5:$A$204,B150)=0,"Dependent CTRL not in register",IF(E150&lt;&gt;"ITGC","Dependency must be an ITGC",IF(AND(OR(F150="Exception noted",F150="Ineffective"),H150="Supported"),"Exceptions need additional procedures before reliance",IF(AND(H150="Supported with additional procedures",G150=""),"Describe the additional procedures","OK")))))</f>
        <v/>
      </c>
    </row>
    <row r="151" customFormat="false" ht="15" hidden="false" customHeight="false" outlineLevel="0" collapsed="false">
      <c r="A151" s="15"/>
      <c r="B151" s="15"/>
      <c r="C151" s="16" t="str">
        <f aca="false">IFERROR(INDEX(Control_Register!$E$5:$E$204,MATCH(B151,Control_Register!$A$5:$A$204,0)),"")</f>
        <v/>
      </c>
      <c r="D151" s="15"/>
      <c r="E151" s="16" t="str">
        <f aca="false">IF(D151="","",IF(LEFT(D151,6)="C-ITGC","ITGC","Not an ITGC"))</f>
        <v/>
      </c>
      <c r="F151" s="15"/>
      <c r="G151" s="15"/>
      <c r="H151" s="15"/>
      <c r="I151" s="16" t="str">
        <f aca="false">IF(A151="","",IF(COUNTIF(Control_Register!$A$5:$A$204,B151)=0,"Dependent CTRL not in register",IF(E151&lt;&gt;"ITGC","Dependency must be an ITGC",IF(AND(OR(F151="Exception noted",F151="Ineffective"),H151="Supported"),"Exceptions need additional procedures before reliance",IF(AND(H151="Supported with additional procedures",G151=""),"Describe the additional procedures","OK")))))</f>
        <v/>
      </c>
    </row>
    <row r="152" customFormat="false" ht="15" hidden="false" customHeight="false" outlineLevel="0" collapsed="false">
      <c r="A152" s="15"/>
      <c r="B152" s="15"/>
      <c r="C152" s="16" t="str">
        <f aca="false">IFERROR(INDEX(Control_Register!$E$5:$E$204,MATCH(B152,Control_Register!$A$5:$A$204,0)),"")</f>
        <v/>
      </c>
      <c r="D152" s="15"/>
      <c r="E152" s="16" t="str">
        <f aca="false">IF(D152="","",IF(LEFT(D152,6)="C-ITGC","ITGC","Not an ITGC"))</f>
        <v/>
      </c>
      <c r="F152" s="15"/>
      <c r="G152" s="15"/>
      <c r="H152" s="15"/>
      <c r="I152" s="16" t="str">
        <f aca="false">IF(A152="","",IF(COUNTIF(Control_Register!$A$5:$A$204,B152)=0,"Dependent CTRL not in register",IF(E152&lt;&gt;"ITGC","Dependency must be an ITGC",IF(AND(OR(F152="Exception noted",F152="Ineffective"),H152="Supported"),"Exceptions need additional procedures before reliance",IF(AND(H152="Supported with additional procedures",G152=""),"Describe the additional procedures","OK")))))</f>
        <v/>
      </c>
    </row>
    <row r="153" customFormat="false" ht="15" hidden="false" customHeight="false" outlineLevel="0" collapsed="false">
      <c r="A153" s="15"/>
      <c r="B153" s="15"/>
      <c r="C153" s="16" t="str">
        <f aca="false">IFERROR(INDEX(Control_Register!$E$5:$E$204,MATCH(B153,Control_Register!$A$5:$A$204,0)),"")</f>
        <v/>
      </c>
      <c r="D153" s="15"/>
      <c r="E153" s="16" t="str">
        <f aca="false">IF(D153="","",IF(LEFT(D153,6)="C-ITGC","ITGC","Not an ITGC"))</f>
        <v/>
      </c>
      <c r="F153" s="15"/>
      <c r="G153" s="15"/>
      <c r="H153" s="15"/>
      <c r="I153" s="16" t="str">
        <f aca="false">IF(A153="","",IF(COUNTIF(Control_Register!$A$5:$A$204,B153)=0,"Dependent CTRL not in register",IF(E153&lt;&gt;"ITGC","Dependency must be an ITGC",IF(AND(OR(F153="Exception noted",F153="Ineffective"),H153="Supported"),"Exceptions need additional procedures before reliance",IF(AND(H153="Supported with additional procedures",G153=""),"Describe the additional procedures","OK")))))</f>
        <v/>
      </c>
    </row>
    <row r="154" customFormat="false" ht="15" hidden="false" customHeight="false" outlineLevel="0" collapsed="false">
      <c r="A154" s="15"/>
      <c r="B154" s="15"/>
      <c r="C154" s="16" t="str">
        <f aca="false">IFERROR(INDEX(Control_Register!$E$5:$E$204,MATCH(B154,Control_Register!$A$5:$A$204,0)),"")</f>
        <v/>
      </c>
      <c r="D154" s="15"/>
      <c r="E154" s="16" t="str">
        <f aca="false">IF(D154="","",IF(LEFT(D154,6)="C-ITGC","ITGC","Not an ITGC"))</f>
        <v/>
      </c>
      <c r="F154" s="15"/>
      <c r="G154" s="15"/>
      <c r="H154" s="15"/>
      <c r="I154" s="16" t="str">
        <f aca="false">IF(A154="","",IF(COUNTIF(Control_Register!$A$5:$A$204,B154)=0,"Dependent CTRL not in register",IF(E154&lt;&gt;"ITGC","Dependency must be an ITGC",IF(AND(OR(F154="Exception noted",F154="Ineffective"),H154="Supported"),"Exceptions need additional procedures before reliance",IF(AND(H154="Supported with additional procedures",G154=""),"Describe the additional procedures","OK")))))</f>
        <v/>
      </c>
    </row>
    <row r="155" customFormat="false" ht="15" hidden="false" customHeight="false" outlineLevel="0" collapsed="false">
      <c r="A155" s="15"/>
      <c r="B155" s="15"/>
      <c r="C155" s="16" t="str">
        <f aca="false">IFERROR(INDEX(Control_Register!$E$5:$E$204,MATCH(B155,Control_Register!$A$5:$A$204,0)),"")</f>
        <v/>
      </c>
      <c r="D155" s="15"/>
      <c r="E155" s="16" t="str">
        <f aca="false">IF(D155="","",IF(LEFT(D155,6)="C-ITGC","ITGC","Not an ITGC"))</f>
        <v/>
      </c>
      <c r="F155" s="15"/>
      <c r="G155" s="15"/>
      <c r="H155" s="15"/>
      <c r="I155" s="16" t="str">
        <f aca="false">IF(A155="","",IF(COUNTIF(Control_Register!$A$5:$A$204,B155)=0,"Dependent CTRL not in register",IF(E155&lt;&gt;"ITGC","Dependency must be an ITGC",IF(AND(OR(F155="Exception noted",F155="Ineffective"),H155="Supported"),"Exceptions need additional procedures before reliance",IF(AND(H155="Supported with additional procedures",G155=""),"Describe the additional procedures","OK")))))</f>
        <v/>
      </c>
    </row>
    <row r="156" customFormat="false" ht="15" hidden="false" customHeight="false" outlineLevel="0" collapsed="false">
      <c r="A156" s="15"/>
      <c r="B156" s="15"/>
      <c r="C156" s="16" t="str">
        <f aca="false">IFERROR(INDEX(Control_Register!$E$5:$E$204,MATCH(B156,Control_Register!$A$5:$A$204,0)),"")</f>
        <v/>
      </c>
      <c r="D156" s="15"/>
      <c r="E156" s="16" t="str">
        <f aca="false">IF(D156="","",IF(LEFT(D156,6)="C-ITGC","ITGC","Not an ITGC"))</f>
        <v/>
      </c>
      <c r="F156" s="15"/>
      <c r="G156" s="15"/>
      <c r="H156" s="15"/>
      <c r="I156" s="16" t="str">
        <f aca="false">IF(A156="","",IF(COUNTIF(Control_Register!$A$5:$A$204,B156)=0,"Dependent CTRL not in register",IF(E156&lt;&gt;"ITGC","Dependency must be an ITGC",IF(AND(OR(F156="Exception noted",F156="Ineffective"),H156="Supported"),"Exceptions need additional procedures before reliance",IF(AND(H156="Supported with additional procedures",G156=""),"Describe the additional procedures","OK")))))</f>
        <v/>
      </c>
    </row>
    <row r="157" customFormat="false" ht="15" hidden="false" customHeight="false" outlineLevel="0" collapsed="false">
      <c r="A157" s="15"/>
      <c r="B157" s="15"/>
      <c r="C157" s="16" t="str">
        <f aca="false">IFERROR(INDEX(Control_Register!$E$5:$E$204,MATCH(B157,Control_Register!$A$5:$A$204,0)),"")</f>
        <v/>
      </c>
      <c r="D157" s="15"/>
      <c r="E157" s="16" t="str">
        <f aca="false">IF(D157="","",IF(LEFT(D157,6)="C-ITGC","ITGC","Not an ITGC"))</f>
        <v/>
      </c>
      <c r="F157" s="15"/>
      <c r="G157" s="15"/>
      <c r="H157" s="15"/>
      <c r="I157" s="16" t="str">
        <f aca="false">IF(A157="","",IF(COUNTIF(Control_Register!$A$5:$A$204,B157)=0,"Dependent CTRL not in register",IF(E157&lt;&gt;"ITGC","Dependency must be an ITGC",IF(AND(OR(F157="Exception noted",F157="Ineffective"),H157="Supported"),"Exceptions need additional procedures before reliance",IF(AND(H157="Supported with additional procedures",G157=""),"Describe the additional procedures","OK")))))</f>
        <v/>
      </c>
    </row>
    <row r="158" customFormat="false" ht="15" hidden="false" customHeight="false" outlineLevel="0" collapsed="false">
      <c r="A158" s="15"/>
      <c r="B158" s="15"/>
      <c r="C158" s="16" t="str">
        <f aca="false">IFERROR(INDEX(Control_Register!$E$5:$E$204,MATCH(B158,Control_Register!$A$5:$A$204,0)),"")</f>
        <v/>
      </c>
      <c r="D158" s="15"/>
      <c r="E158" s="16" t="str">
        <f aca="false">IF(D158="","",IF(LEFT(D158,6)="C-ITGC","ITGC","Not an ITGC"))</f>
        <v/>
      </c>
      <c r="F158" s="15"/>
      <c r="G158" s="15"/>
      <c r="H158" s="15"/>
      <c r="I158" s="16" t="str">
        <f aca="false">IF(A158="","",IF(COUNTIF(Control_Register!$A$5:$A$204,B158)=0,"Dependent CTRL not in register",IF(E158&lt;&gt;"ITGC","Dependency must be an ITGC",IF(AND(OR(F158="Exception noted",F158="Ineffective"),H158="Supported"),"Exceptions need additional procedures before reliance",IF(AND(H158="Supported with additional procedures",G158=""),"Describe the additional procedures","OK")))))</f>
        <v/>
      </c>
    </row>
    <row r="159" customFormat="false" ht="15" hidden="false" customHeight="false" outlineLevel="0" collapsed="false">
      <c r="A159" s="15"/>
      <c r="B159" s="15"/>
      <c r="C159" s="16" t="str">
        <f aca="false">IFERROR(INDEX(Control_Register!$E$5:$E$204,MATCH(B159,Control_Register!$A$5:$A$204,0)),"")</f>
        <v/>
      </c>
      <c r="D159" s="15"/>
      <c r="E159" s="16" t="str">
        <f aca="false">IF(D159="","",IF(LEFT(D159,6)="C-ITGC","ITGC","Not an ITGC"))</f>
        <v/>
      </c>
      <c r="F159" s="15"/>
      <c r="G159" s="15"/>
      <c r="H159" s="15"/>
      <c r="I159" s="16" t="str">
        <f aca="false">IF(A159="","",IF(COUNTIF(Control_Register!$A$5:$A$204,B159)=0,"Dependent CTRL not in register",IF(E159&lt;&gt;"ITGC","Dependency must be an ITGC",IF(AND(OR(F159="Exception noted",F159="Ineffective"),H159="Supported"),"Exceptions need additional procedures before reliance",IF(AND(H159="Supported with additional procedures",G159=""),"Describe the additional procedures","OK")))))</f>
        <v/>
      </c>
    </row>
    <row r="160" customFormat="false" ht="15" hidden="false" customHeight="false" outlineLevel="0" collapsed="false">
      <c r="A160" s="15"/>
      <c r="B160" s="15"/>
      <c r="C160" s="16" t="str">
        <f aca="false">IFERROR(INDEX(Control_Register!$E$5:$E$204,MATCH(B160,Control_Register!$A$5:$A$204,0)),"")</f>
        <v/>
      </c>
      <c r="D160" s="15"/>
      <c r="E160" s="16" t="str">
        <f aca="false">IF(D160="","",IF(LEFT(D160,6)="C-ITGC","ITGC","Not an ITGC"))</f>
        <v/>
      </c>
      <c r="F160" s="15"/>
      <c r="G160" s="15"/>
      <c r="H160" s="15"/>
      <c r="I160" s="16" t="str">
        <f aca="false">IF(A160="","",IF(COUNTIF(Control_Register!$A$5:$A$204,B160)=0,"Dependent CTRL not in register",IF(E160&lt;&gt;"ITGC","Dependency must be an ITGC",IF(AND(OR(F160="Exception noted",F160="Ineffective"),H160="Supported"),"Exceptions need additional procedures before reliance",IF(AND(H160="Supported with additional procedures",G160=""),"Describe the additional procedures","OK")))))</f>
        <v/>
      </c>
    </row>
    <row r="161" customFormat="false" ht="15" hidden="false" customHeight="false" outlineLevel="0" collapsed="false">
      <c r="A161" s="15"/>
      <c r="B161" s="15"/>
      <c r="C161" s="16" t="str">
        <f aca="false">IFERROR(INDEX(Control_Register!$E$5:$E$204,MATCH(B161,Control_Register!$A$5:$A$204,0)),"")</f>
        <v/>
      </c>
      <c r="D161" s="15"/>
      <c r="E161" s="16" t="str">
        <f aca="false">IF(D161="","",IF(LEFT(D161,6)="C-ITGC","ITGC","Not an ITGC"))</f>
        <v/>
      </c>
      <c r="F161" s="15"/>
      <c r="G161" s="15"/>
      <c r="H161" s="15"/>
      <c r="I161" s="16" t="str">
        <f aca="false">IF(A161="","",IF(COUNTIF(Control_Register!$A$5:$A$204,B161)=0,"Dependent CTRL not in register",IF(E161&lt;&gt;"ITGC","Dependency must be an ITGC",IF(AND(OR(F161="Exception noted",F161="Ineffective"),H161="Supported"),"Exceptions need additional procedures before reliance",IF(AND(H161="Supported with additional procedures",G161=""),"Describe the additional procedures","OK")))))</f>
        <v/>
      </c>
    </row>
    <row r="162" customFormat="false" ht="15" hidden="false" customHeight="false" outlineLevel="0" collapsed="false">
      <c r="A162" s="15"/>
      <c r="B162" s="15"/>
      <c r="C162" s="16" t="str">
        <f aca="false">IFERROR(INDEX(Control_Register!$E$5:$E$204,MATCH(B162,Control_Register!$A$5:$A$204,0)),"")</f>
        <v/>
      </c>
      <c r="D162" s="15"/>
      <c r="E162" s="16" t="str">
        <f aca="false">IF(D162="","",IF(LEFT(D162,6)="C-ITGC","ITGC","Not an ITGC"))</f>
        <v/>
      </c>
      <c r="F162" s="15"/>
      <c r="G162" s="15"/>
      <c r="H162" s="15"/>
      <c r="I162" s="16" t="str">
        <f aca="false">IF(A162="","",IF(COUNTIF(Control_Register!$A$5:$A$204,B162)=0,"Dependent CTRL not in register",IF(E162&lt;&gt;"ITGC","Dependency must be an ITGC",IF(AND(OR(F162="Exception noted",F162="Ineffective"),H162="Supported"),"Exceptions need additional procedures before reliance",IF(AND(H162="Supported with additional procedures",G162=""),"Describe the additional procedures","OK")))))</f>
        <v/>
      </c>
    </row>
    <row r="163" customFormat="false" ht="15" hidden="false" customHeight="false" outlineLevel="0" collapsed="false">
      <c r="A163" s="15"/>
      <c r="B163" s="15"/>
      <c r="C163" s="16" t="str">
        <f aca="false">IFERROR(INDEX(Control_Register!$E$5:$E$204,MATCH(B163,Control_Register!$A$5:$A$204,0)),"")</f>
        <v/>
      </c>
      <c r="D163" s="15"/>
      <c r="E163" s="16" t="str">
        <f aca="false">IF(D163="","",IF(LEFT(D163,6)="C-ITGC","ITGC","Not an ITGC"))</f>
        <v/>
      </c>
      <c r="F163" s="15"/>
      <c r="G163" s="15"/>
      <c r="H163" s="15"/>
      <c r="I163" s="16" t="str">
        <f aca="false">IF(A163="","",IF(COUNTIF(Control_Register!$A$5:$A$204,B163)=0,"Dependent CTRL not in register",IF(E163&lt;&gt;"ITGC","Dependency must be an ITGC",IF(AND(OR(F163="Exception noted",F163="Ineffective"),H163="Supported"),"Exceptions need additional procedures before reliance",IF(AND(H163="Supported with additional procedures",G163=""),"Describe the additional procedures","OK")))))</f>
        <v/>
      </c>
    </row>
    <row r="164" customFormat="false" ht="15" hidden="false" customHeight="false" outlineLevel="0" collapsed="false">
      <c r="A164" s="15"/>
      <c r="B164" s="15"/>
      <c r="C164" s="16" t="str">
        <f aca="false">IFERROR(INDEX(Control_Register!$E$5:$E$204,MATCH(B164,Control_Register!$A$5:$A$204,0)),"")</f>
        <v/>
      </c>
      <c r="D164" s="15"/>
      <c r="E164" s="16" t="str">
        <f aca="false">IF(D164="","",IF(LEFT(D164,6)="C-ITGC","ITGC","Not an ITGC"))</f>
        <v/>
      </c>
      <c r="F164" s="15"/>
      <c r="G164" s="15"/>
      <c r="H164" s="15"/>
      <c r="I164" s="16" t="str">
        <f aca="false">IF(A164="","",IF(COUNTIF(Control_Register!$A$5:$A$204,B164)=0,"Dependent CTRL not in register",IF(E164&lt;&gt;"ITGC","Dependency must be an ITGC",IF(AND(OR(F164="Exception noted",F164="Ineffective"),H164="Supported"),"Exceptions need additional procedures before reliance",IF(AND(H164="Supported with additional procedures",G164=""),"Describe the additional procedures","OK")))))</f>
        <v/>
      </c>
    </row>
    <row r="165" customFormat="false" ht="15" hidden="false" customHeight="false" outlineLevel="0" collapsed="false">
      <c r="A165" s="15"/>
      <c r="B165" s="15"/>
      <c r="C165" s="16" t="str">
        <f aca="false">IFERROR(INDEX(Control_Register!$E$5:$E$204,MATCH(B165,Control_Register!$A$5:$A$204,0)),"")</f>
        <v/>
      </c>
      <c r="D165" s="15"/>
      <c r="E165" s="16" t="str">
        <f aca="false">IF(D165="","",IF(LEFT(D165,6)="C-ITGC","ITGC","Not an ITGC"))</f>
        <v/>
      </c>
      <c r="F165" s="15"/>
      <c r="G165" s="15"/>
      <c r="H165" s="15"/>
      <c r="I165" s="16" t="str">
        <f aca="false">IF(A165="","",IF(COUNTIF(Control_Register!$A$5:$A$204,B165)=0,"Dependent CTRL not in register",IF(E165&lt;&gt;"ITGC","Dependency must be an ITGC",IF(AND(OR(F165="Exception noted",F165="Ineffective"),H165="Supported"),"Exceptions need additional procedures before reliance",IF(AND(H165="Supported with additional procedures",G165=""),"Describe the additional procedures","OK")))))</f>
        <v/>
      </c>
    </row>
    <row r="166" customFormat="false" ht="15" hidden="false" customHeight="false" outlineLevel="0" collapsed="false">
      <c r="A166" s="15"/>
      <c r="B166" s="15"/>
      <c r="C166" s="16" t="str">
        <f aca="false">IFERROR(INDEX(Control_Register!$E$5:$E$204,MATCH(B166,Control_Register!$A$5:$A$204,0)),"")</f>
        <v/>
      </c>
      <c r="D166" s="15"/>
      <c r="E166" s="16" t="str">
        <f aca="false">IF(D166="","",IF(LEFT(D166,6)="C-ITGC","ITGC","Not an ITGC"))</f>
        <v/>
      </c>
      <c r="F166" s="15"/>
      <c r="G166" s="15"/>
      <c r="H166" s="15"/>
      <c r="I166" s="16" t="str">
        <f aca="false">IF(A166="","",IF(COUNTIF(Control_Register!$A$5:$A$204,B166)=0,"Dependent CTRL not in register",IF(E166&lt;&gt;"ITGC","Dependency must be an ITGC",IF(AND(OR(F166="Exception noted",F166="Ineffective"),H166="Supported"),"Exceptions need additional procedures before reliance",IF(AND(H166="Supported with additional procedures",G166=""),"Describe the additional procedures","OK")))))</f>
        <v/>
      </c>
    </row>
    <row r="167" customFormat="false" ht="15" hidden="false" customHeight="false" outlineLevel="0" collapsed="false">
      <c r="A167" s="15"/>
      <c r="B167" s="15"/>
      <c r="C167" s="16" t="str">
        <f aca="false">IFERROR(INDEX(Control_Register!$E$5:$E$204,MATCH(B167,Control_Register!$A$5:$A$204,0)),"")</f>
        <v/>
      </c>
      <c r="D167" s="15"/>
      <c r="E167" s="16" t="str">
        <f aca="false">IF(D167="","",IF(LEFT(D167,6)="C-ITGC","ITGC","Not an ITGC"))</f>
        <v/>
      </c>
      <c r="F167" s="15"/>
      <c r="G167" s="15"/>
      <c r="H167" s="15"/>
      <c r="I167" s="16" t="str">
        <f aca="false">IF(A167="","",IF(COUNTIF(Control_Register!$A$5:$A$204,B167)=0,"Dependent CTRL not in register",IF(E167&lt;&gt;"ITGC","Dependency must be an ITGC",IF(AND(OR(F167="Exception noted",F167="Ineffective"),H167="Supported"),"Exceptions need additional procedures before reliance",IF(AND(H167="Supported with additional procedures",G167=""),"Describe the additional procedures","OK")))))</f>
        <v/>
      </c>
    </row>
    <row r="168" customFormat="false" ht="15" hidden="false" customHeight="false" outlineLevel="0" collapsed="false">
      <c r="A168" s="15"/>
      <c r="B168" s="15"/>
      <c r="C168" s="16" t="str">
        <f aca="false">IFERROR(INDEX(Control_Register!$E$5:$E$204,MATCH(B168,Control_Register!$A$5:$A$204,0)),"")</f>
        <v/>
      </c>
      <c r="D168" s="15"/>
      <c r="E168" s="16" t="str">
        <f aca="false">IF(D168="","",IF(LEFT(D168,6)="C-ITGC","ITGC","Not an ITGC"))</f>
        <v/>
      </c>
      <c r="F168" s="15"/>
      <c r="G168" s="15"/>
      <c r="H168" s="15"/>
      <c r="I168" s="16" t="str">
        <f aca="false">IF(A168="","",IF(COUNTIF(Control_Register!$A$5:$A$204,B168)=0,"Dependent CTRL not in register",IF(E168&lt;&gt;"ITGC","Dependency must be an ITGC",IF(AND(OR(F168="Exception noted",F168="Ineffective"),H168="Supported"),"Exceptions need additional procedures before reliance",IF(AND(H168="Supported with additional procedures",G168=""),"Describe the additional procedures","OK")))))</f>
        <v/>
      </c>
    </row>
    <row r="169" customFormat="false" ht="15" hidden="false" customHeight="false" outlineLevel="0" collapsed="false">
      <c r="A169" s="15"/>
      <c r="B169" s="15"/>
      <c r="C169" s="16" t="str">
        <f aca="false">IFERROR(INDEX(Control_Register!$E$5:$E$204,MATCH(B169,Control_Register!$A$5:$A$204,0)),"")</f>
        <v/>
      </c>
      <c r="D169" s="15"/>
      <c r="E169" s="16" t="str">
        <f aca="false">IF(D169="","",IF(LEFT(D169,6)="C-ITGC","ITGC","Not an ITGC"))</f>
        <v/>
      </c>
      <c r="F169" s="15"/>
      <c r="G169" s="15"/>
      <c r="H169" s="15"/>
      <c r="I169" s="16" t="str">
        <f aca="false">IF(A169="","",IF(COUNTIF(Control_Register!$A$5:$A$204,B169)=0,"Dependent CTRL not in register",IF(E169&lt;&gt;"ITGC","Dependency must be an ITGC",IF(AND(OR(F169="Exception noted",F169="Ineffective"),H169="Supported"),"Exceptions need additional procedures before reliance",IF(AND(H169="Supported with additional procedures",G169=""),"Describe the additional procedures","OK")))))</f>
        <v/>
      </c>
    </row>
    <row r="170" customFormat="false" ht="15" hidden="false" customHeight="false" outlineLevel="0" collapsed="false">
      <c r="A170" s="15"/>
      <c r="B170" s="15"/>
      <c r="C170" s="16" t="str">
        <f aca="false">IFERROR(INDEX(Control_Register!$E$5:$E$204,MATCH(B170,Control_Register!$A$5:$A$204,0)),"")</f>
        <v/>
      </c>
      <c r="D170" s="15"/>
      <c r="E170" s="16" t="str">
        <f aca="false">IF(D170="","",IF(LEFT(D170,6)="C-ITGC","ITGC","Not an ITGC"))</f>
        <v/>
      </c>
      <c r="F170" s="15"/>
      <c r="G170" s="15"/>
      <c r="H170" s="15"/>
      <c r="I170" s="16" t="str">
        <f aca="false">IF(A170="","",IF(COUNTIF(Control_Register!$A$5:$A$204,B170)=0,"Dependent CTRL not in register",IF(E170&lt;&gt;"ITGC","Dependency must be an ITGC",IF(AND(OR(F170="Exception noted",F170="Ineffective"),H170="Supported"),"Exceptions need additional procedures before reliance",IF(AND(H170="Supported with additional procedures",G170=""),"Describe the additional procedures","OK")))))</f>
        <v/>
      </c>
    </row>
    <row r="171" customFormat="false" ht="15" hidden="false" customHeight="false" outlineLevel="0" collapsed="false">
      <c r="A171" s="15"/>
      <c r="B171" s="15"/>
      <c r="C171" s="16" t="str">
        <f aca="false">IFERROR(INDEX(Control_Register!$E$5:$E$204,MATCH(B171,Control_Register!$A$5:$A$204,0)),"")</f>
        <v/>
      </c>
      <c r="D171" s="15"/>
      <c r="E171" s="16" t="str">
        <f aca="false">IF(D171="","",IF(LEFT(D171,6)="C-ITGC","ITGC","Not an ITGC"))</f>
        <v/>
      </c>
      <c r="F171" s="15"/>
      <c r="G171" s="15"/>
      <c r="H171" s="15"/>
      <c r="I171" s="16" t="str">
        <f aca="false">IF(A171="","",IF(COUNTIF(Control_Register!$A$5:$A$204,B171)=0,"Dependent CTRL not in register",IF(E171&lt;&gt;"ITGC","Dependency must be an ITGC",IF(AND(OR(F171="Exception noted",F171="Ineffective"),H171="Supported"),"Exceptions need additional procedures before reliance",IF(AND(H171="Supported with additional procedures",G171=""),"Describe the additional procedures","OK")))))</f>
        <v/>
      </c>
    </row>
    <row r="172" customFormat="false" ht="15" hidden="false" customHeight="false" outlineLevel="0" collapsed="false">
      <c r="A172" s="15"/>
      <c r="B172" s="15"/>
      <c r="C172" s="16" t="str">
        <f aca="false">IFERROR(INDEX(Control_Register!$E$5:$E$204,MATCH(B172,Control_Register!$A$5:$A$204,0)),"")</f>
        <v/>
      </c>
      <c r="D172" s="15"/>
      <c r="E172" s="16" t="str">
        <f aca="false">IF(D172="","",IF(LEFT(D172,6)="C-ITGC","ITGC","Not an ITGC"))</f>
        <v/>
      </c>
      <c r="F172" s="15"/>
      <c r="G172" s="15"/>
      <c r="H172" s="15"/>
      <c r="I172" s="16" t="str">
        <f aca="false">IF(A172="","",IF(COUNTIF(Control_Register!$A$5:$A$204,B172)=0,"Dependent CTRL not in register",IF(E172&lt;&gt;"ITGC","Dependency must be an ITGC",IF(AND(OR(F172="Exception noted",F172="Ineffective"),H172="Supported"),"Exceptions need additional procedures before reliance",IF(AND(H172="Supported with additional procedures",G172=""),"Describe the additional procedures","OK")))))</f>
        <v/>
      </c>
    </row>
    <row r="173" customFormat="false" ht="15" hidden="false" customHeight="false" outlineLevel="0" collapsed="false">
      <c r="A173" s="15"/>
      <c r="B173" s="15"/>
      <c r="C173" s="16" t="str">
        <f aca="false">IFERROR(INDEX(Control_Register!$E$5:$E$204,MATCH(B173,Control_Register!$A$5:$A$204,0)),"")</f>
        <v/>
      </c>
      <c r="D173" s="15"/>
      <c r="E173" s="16" t="str">
        <f aca="false">IF(D173="","",IF(LEFT(D173,6)="C-ITGC","ITGC","Not an ITGC"))</f>
        <v/>
      </c>
      <c r="F173" s="15"/>
      <c r="G173" s="15"/>
      <c r="H173" s="15"/>
      <c r="I173" s="16" t="str">
        <f aca="false">IF(A173="","",IF(COUNTIF(Control_Register!$A$5:$A$204,B173)=0,"Dependent CTRL not in register",IF(E173&lt;&gt;"ITGC","Dependency must be an ITGC",IF(AND(OR(F173="Exception noted",F173="Ineffective"),H173="Supported"),"Exceptions need additional procedures before reliance",IF(AND(H173="Supported with additional procedures",G173=""),"Describe the additional procedures","OK")))))</f>
        <v/>
      </c>
    </row>
    <row r="174" customFormat="false" ht="15" hidden="false" customHeight="false" outlineLevel="0" collapsed="false">
      <c r="A174" s="15"/>
      <c r="B174" s="15"/>
      <c r="C174" s="16" t="str">
        <f aca="false">IFERROR(INDEX(Control_Register!$E$5:$E$204,MATCH(B174,Control_Register!$A$5:$A$204,0)),"")</f>
        <v/>
      </c>
      <c r="D174" s="15"/>
      <c r="E174" s="16" t="str">
        <f aca="false">IF(D174="","",IF(LEFT(D174,6)="C-ITGC","ITGC","Not an ITGC"))</f>
        <v/>
      </c>
      <c r="F174" s="15"/>
      <c r="G174" s="15"/>
      <c r="H174" s="15"/>
      <c r="I174" s="16" t="str">
        <f aca="false">IF(A174="","",IF(COUNTIF(Control_Register!$A$5:$A$204,B174)=0,"Dependent CTRL not in register",IF(E174&lt;&gt;"ITGC","Dependency must be an ITGC",IF(AND(OR(F174="Exception noted",F174="Ineffective"),H174="Supported"),"Exceptions need additional procedures before reliance",IF(AND(H174="Supported with additional procedures",G174=""),"Describe the additional procedures","OK")))))</f>
        <v/>
      </c>
    </row>
    <row r="175" customFormat="false" ht="15" hidden="false" customHeight="false" outlineLevel="0" collapsed="false">
      <c r="A175" s="15"/>
      <c r="B175" s="15"/>
      <c r="C175" s="16" t="str">
        <f aca="false">IFERROR(INDEX(Control_Register!$E$5:$E$204,MATCH(B175,Control_Register!$A$5:$A$204,0)),"")</f>
        <v/>
      </c>
      <c r="D175" s="15"/>
      <c r="E175" s="16" t="str">
        <f aca="false">IF(D175="","",IF(LEFT(D175,6)="C-ITGC","ITGC","Not an ITGC"))</f>
        <v/>
      </c>
      <c r="F175" s="15"/>
      <c r="G175" s="15"/>
      <c r="H175" s="15"/>
      <c r="I175" s="16" t="str">
        <f aca="false">IF(A175="","",IF(COUNTIF(Control_Register!$A$5:$A$204,B175)=0,"Dependent CTRL not in register",IF(E175&lt;&gt;"ITGC","Dependency must be an ITGC",IF(AND(OR(F175="Exception noted",F175="Ineffective"),H175="Supported"),"Exceptions need additional procedures before reliance",IF(AND(H175="Supported with additional procedures",G175=""),"Describe the additional procedures","OK")))))</f>
        <v/>
      </c>
    </row>
    <row r="176" customFormat="false" ht="15" hidden="false" customHeight="false" outlineLevel="0" collapsed="false">
      <c r="A176" s="15"/>
      <c r="B176" s="15"/>
      <c r="C176" s="16" t="str">
        <f aca="false">IFERROR(INDEX(Control_Register!$E$5:$E$204,MATCH(B176,Control_Register!$A$5:$A$204,0)),"")</f>
        <v/>
      </c>
      <c r="D176" s="15"/>
      <c r="E176" s="16" t="str">
        <f aca="false">IF(D176="","",IF(LEFT(D176,6)="C-ITGC","ITGC","Not an ITGC"))</f>
        <v/>
      </c>
      <c r="F176" s="15"/>
      <c r="G176" s="15"/>
      <c r="H176" s="15"/>
      <c r="I176" s="16" t="str">
        <f aca="false">IF(A176="","",IF(COUNTIF(Control_Register!$A$5:$A$204,B176)=0,"Dependent CTRL not in register",IF(E176&lt;&gt;"ITGC","Dependency must be an ITGC",IF(AND(OR(F176="Exception noted",F176="Ineffective"),H176="Supported"),"Exceptions need additional procedures before reliance",IF(AND(H176="Supported with additional procedures",G176=""),"Describe the additional procedures","OK")))))</f>
        <v/>
      </c>
    </row>
    <row r="177" customFormat="false" ht="15" hidden="false" customHeight="false" outlineLevel="0" collapsed="false">
      <c r="A177" s="15"/>
      <c r="B177" s="15"/>
      <c r="C177" s="16" t="str">
        <f aca="false">IFERROR(INDEX(Control_Register!$E$5:$E$204,MATCH(B177,Control_Register!$A$5:$A$204,0)),"")</f>
        <v/>
      </c>
      <c r="D177" s="15"/>
      <c r="E177" s="16" t="str">
        <f aca="false">IF(D177="","",IF(LEFT(D177,6)="C-ITGC","ITGC","Not an ITGC"))</f>
        <v/>
      </c>
      <c r="F177" s="15"/>
      <c r="G177" s="15"/>
      <c r="H177" s="15"/>
      <c r="I177" s="16" t="str">
        <f aca="false">IF(A177="","",IF(COUNTIF(Control_Register!$A$5:$A$204,B177)=0,"Dependent CTRL not in register",IF(E177&lt;&gt;"ITGC","Dependency must be an ITGC",IF(AND(OR(F177="Exception noted",F177="Ineffective"),H177="Supported"),"Exceptions need additional procedures before reliance",IF(AND(H177="Supported with additional procedures",G177=""),"Describe the additional procedures","OK")))))</f>
        <v/>
      </c>
    </row>
    <row r="178" customFormat="false" ht="15" hidden="false" customHeight="false" outlineLevel="0" collapsed="false">
      <c r="A178" s="15"/>
      <c r="B178" s="15"/>
      <c r="C178" s="16" t="str">
        <f aca="false">IFERROR(INDEX(Control_Register!$E$5:$E$204,MATCH(B178,Control_Register!$A$5:$A$204,0)),"")</f>
        <v/>
      </c>
      <c r="D178" s="15"/>
      <c r="E178" s="16" t="str">
        <f aca="false">IF(D178="","",IF(LEFT(D178,6)="C-ITGC","ITGC","Not an ITGC"))</f>
        <v/>
      </c>
      <c r="F178" s="15"/>
      <c r="G178" s="15"/>
      <c r="H178" s="15"/>
      <c r="I178" s="16" t="str">
        <f aca="false">IF(A178="","",IF(COUNTIF(Control_Register!$A$5:$A$204,B178)=0,"Dependent CTRL not in register",IF(E178&lt;&gt;"ITGC","Dependency must be an ITGC",IF(AND(OR(F178="Exception noted",F178="Ineffective"),H178="Supported"),"Exceptions need additional procedures before reliance",IF(AND(H178="Supported with additional procedures",G178=""),"Describe the additional procedures","OK")))))</f>
        <v/>
      </c>
    </row>
    <row r="179" customFormat="false" ht="15" hidden="false" customHeight="false" outlineLevel="0" collapsed="false">
      <c r="A179" s="15"/>
      <c r="B179" s="15"/>
      <c r="C179" s="16" t="str">
        <f aca="false">IFERROR(INDEX(Control_Register!$E$5:$E$204,MATCH(B179,Control_Register!$A$5:$A$204,0)),"")</f>
        <v/>
      </c>
      <c r="D179" s="15"/>
      <c r="E179" s="16" t="str">
        <f aca="false">IF(D179="","",IF(LEFT(D179,6)="C-ITGC","ITGC","Not an ITGC"))</f>
        <v/>
      </c>
      <c r="F179" s="15"/>
      <c r="G179" s="15"/>
      <c r="H179" s="15"/>
      <c r="I179" s="16" t="str">
        <f aca="false">IF(A179="","",IF(COUNTIF(Control_Register!$A$5:$A$204,B179)=0,"Dependent CTRL not in register",IF(E179&lt;&gt;"ITGC","Dependency must be an ITGC",IF(AND(OR(F179="Exception noted",F179="Ineffective"),H179="Supported"),"Exceptions need additional procedures before reliance",IF(AND(H179="Supported with additional procedures",G179=""),"Describe the additional procedures","OK")))))</f>
        <v/>
      </c>
    </row>
    <row r="180" customFormat="false" ht="15" hidden="false" customHeight="false" outlineLevel="0" collapsed="false">
      <c r="A180" s="15"/>
      <c r="B180" s="15"/>
      <c r="C180" s="16" t="str">
        <f aca="false">IFERROR(INDEX(Control_Register!$E$5:$E$204,MATCH(B180,Control_Register!$A$5:$A$204,0)),"")</f>
        <v/>
      </c>
      <c r="D180" s="15"/>
      <c r="E180" s="16" t="str">
        <f aca="false">IF(D180="","",IF(LEFT(D180,6)="C-ITGC","ITGC","Not an ITGC"))</f>
        <v/>
      </c>
      <c r="F180" s="15"/>
      <c r="G180" s="15"/>
      <c r="H180" s="15"/>
      <c r="I180" s="16" t="str">
        <f aca="false">IF(A180="","",IF(COUNTIF(Control_Register!$A$5:$A$204,B180)=0,"Dependent CTRL not in register",IF(E180&lt;&gt;"ITGC","Dependency must be an ITGC",IF(AND(OR(F180="Exception noted",F180="Ineffective"),H180="Supported"),"Exceptions need additional procedures before reliance",IF(AND(H180="Supported with additional procedures",G180=""),"Describe the additional procedures","OK")))))</f>
        <v/>
      </c>
    </row>
    <row r="181" customFormat="false" ht="15" hidden="false" customHeight="false" outlineLevel="0" collapsed="false">
      <c r="A181" s="15"/>
      <c r="B181" s="15"/>
      <c r="C181" s="16" t="str">
        <f aca="false">IFERROR(INDEX(Control_Register!$E$5:$E$204,MATCH(B181,Control_Register!$A$5:$A$204,0)),"")</f>
        <v/>
      </c>
      <c r="D181" s="15"/>
      <c r="E181" s="16" t="str">
        <f aca="false">IF(D181="","",IF(LEFT(D181,6)="C-ITGC","ITGC","Not an ITGC"))</f>
        <v/>
      </c>
      <c r="F181" s="15"/>
      <c r="G181" s="15"/>
      <c r="H181" s="15"/>
      <c r="I181" s="16" t="str">
        <f aca="false">IF(A181="","",IF(COUNTIF(Control_Register!$A$5:$A$204,B181)=0,"Dependent CTRL not in register",IF(E181&lt;&gt;"ITGC","Dependency must be an ITGC",IF(AND(OR(F181="Exception noted",F181="Ineffective"),H181="Supported"),"Exceptions need additional procedures before reliance",IF(AND(H181="Supported with additional procedures",G181=""),"Describe the additional procedures","OK")))))</f>
        <v/>
      </c>
    </row>
    <row r="182" customFormat="false" ht="15" hidden="false" customHeight="false" outlineLevel="0" collapsed="false">
      <c r="A182" s="15"/>
      <c r="B182" s="15"/>
      <c r="C182" s="16" t="str">
        <f aca="false">IFERROR(INDEX(Control_Register!$E$5:$E$204,MATCH(B182,Control_Register!$A$5:$A$204,0)),"")</f>
        <v/>
      </c>
      <c r="D182" s="15"/>
      <c r="E182" s="16" t="str">
        <f aca="false">IF(D182="","",IF(LEFT(D182,6)="C-ITGC","ITGC","Not an ITGC"))</f>
        <v/>
      </c>
      <c r="F182" s="15"/>
      <c r="G182" s="15"/>
      <c r="H182" s="15"/>
      <c r="I182" s="16" t="str">
        <f aca="false">IF(A182="","",IF(COUNTIF(Control_Register!$A$5:$A$204,B182)=0,"Dependent CTRL not in register",IF(E182&lt;&gt;"ITGC","Dependency must be an ITGC",IF(AND(OR(F182="Exception noted",F182="Ineffective"),H182="Supported"),"Exceptions need additional procedures before reliance",IF(AND(H182="Supported with additional procedures",G182=""),"Describe the additional procedures","OK")))))</f>
        <v/>
      </c>
    </row>
    <row r="183" customFormat="false" ht="15" hidden="false" customHeight="false" outlineLevel="0" collapsed="false">
      <c r="A183" s="15"/>
      <c r="B183" s="15"/>
      <c r="C183" s="16" t="str">
        <f aca="false">IFERROR(INDEX(Control_Register!$E$5:$E$204,MATCH(B183,Control_Register!$A$5:$A$204,0)),"")</f>
        <v/>
      </c>
      <c r="D183" s="15"/>
      <c r="E183" s="16" t="str">
        <f aca="false">IF(D183="","",IF(LEFT(D183,6)="C-ITGC","ITGC","Not an ITGC"))</f>
        <v/>
      </c>
      <c r="F183" s="15"/>
      <c r="G183" s="15"/>
      <c r="H183" s="15"/>
      <c r="I183" s="16" t="str">
        <f aca="false">IF(A183="","",IF(COUNTIF(Control_Register!$A$5:$A$204,B183)=0,"Dependent CTRL not in register",IF(E183&lt;&gt;"ITGC","Dependency must be an ITGC",IF(AND(OR(F183="Exception noted",F183="Ineffective"),H183="Supported"),"Exceptions need additional procedures before reliance",IF(AND(H183="Supported with additional procedures",G183=""),"Describe the additional procedures","OK")))))</f>
        <v/>
      </c>
    </row>
    <row r="184" customFormat="false" ht="15" hidden="false" customHeight="false" outlineLevel="0" collapsed="false">
      <c r="A184" s="15"/>
      <c r="B184" s="15"/>
      <c r="C184" s="16" t="str">
        <f aca="false">IFERROR(INDEX(Control_Register!$E$5:$E$204,MATCH(B184,Control_Register!$A$5:$A$204,0)),"")</f>
        <v/>
      </c>
      <c r="D184" s="15"/>
      <c r="E184" s="16" t="str">
        <f aca="false">IF(D184="","",IF(LEFT(D184,6)="C-ITGC","ITGC","Not an ITGC"))</f>
        <v/>
      </c>
      <c r="F184" s="15"/>
      <c r="G184" s="15"/>
      <c r="H184" s="15"/>
      <c r="I184" s="16" t="str">
        <f aca="false">IF(A184="","",IF(COUNTIF(Control_Register!$A$5:$A$204,B184)=0,"Dependent CTRL not in register",IF(E184&lt;&gt;"ITGC","Dependency must be an ITGC",IF(AND(OR(F184="Exception noted",F184="Ineffective"),H184="Supported"),"Exceptions need additional procedures before reliance",IF(AND(H184="Supported with additional procedures",G184=""),"Describe the additional procedures","OK")))))</f>
        <v/>
      </c>
    </row>
    <row r="185" customFormat="false" ht="15" hidden="false" customHeight="false" outlineLevel="0" collapsed="false">
      <c r="A185" s="15"/>
      <c r="B185" s="15"/>
      <c r="C185" s="16" t="str">
        <f aca="false">IFERROR(INDEX(Control_Register!$E$5:$E$204,MATCH(B185,Control_Register!$A$5:$A$204,0)),"")</f>
        <v/>
      </c>
      <c r="D185" s="15"/>
      <c r="E185" s="16" t="str">
        <f aca="false">IF(D185="","",IF(LEFT(D185,6)="C-ITGC","ITGC","Not an ITGC"))</f>
        <v/>
      </c>
      <c r="F185" s="15"/>
      <c r="G185" s="15"/>
      <c r="H185" s="15"/>
      <c r="I185" s="16" t="str">
        <f aca="false">IF(A185="","",IF(COUNTIF(Control_Register!$A$5:$A$204,B185)=0,"Dependent CTRL not in register",IF(E185&lt;&gt;"ITGC","Dependency must be an ITGC",IF(AND(OR(F185="Exception noted",F185="Ineffective"),H185="Supported"),"Exceptions need additional procedures before reliance",IF(AND(H185="Supported with additional procedures",G185=""),"Describe the additional procedures","OK")))))</f>
        <v/>
      </c>
    </row>
    <row r="186" customFormat="false" ht="15" hidden="false" customHeight="false" outlineLevel="0" collapsed="false">
      <c r="A186" s="15"/>
      <c r="B186" s="15"/>
      <c r="C186" s="16" t="str">
        <f aca="false">IFERROR(INDEX(Control_Register!$E$5:$E$204,MATCH(B186,Control_Register!$A$5:$A$204,0)),"")</f>
        <v/>
      </c>
      <c r="D186" s="15"/>
      <c r="E186" s="16" t="str">
        <f aca="false">IF(D186="","",IF(LEFT(D186,6)="C-ITGC","ITGC","Not an ITGC"))</f>
        <v/>
      </c>
      <c r="F186" s="15"/>
      <c r="G186" s="15"/>
      <c r="H186" s="15"/>
      <c r="I186" s="16" t="str">
        <f aca="false">IF(A186="","",IF(COUNTIF(Control_Register!$A$5:$A$204,B186)=0,"Dependent CTRL not in register",IF(E186&lt;&gt;"ITGC","Dependency must be an ITGC",IF(AND(OR(F186="Exception noted",F186="Ineffective"),H186="Supported"),"Exceptions need additional procedures before reliance",IF(AND(H186="Supported with additional procedures",G186=""),"Describe the additional procedures","OK")))))</f>
        <v/>
      </c>
    </row>
    <row r="187" customFormat="false" ht="15" hidden="false" customHeight="false" outlineLevel="0" collapsed="false">
      <c r="A187" s="15"/>
      <c r="B187" s="15"/>
      <c r="C187" s="16" t="str">
        <f aca="false">IFERROR(INDEX(Control_Register!$E$5:$E$204,MATCH(B187,Control_Register!$A$5:$A$204,0)),"")</f>
        <v/>
      </c>
      <c r="D187" s="15"/>
      <c r="E187" s="16" t="str">
        <f aca="false">IF(D187="","",IF(LEFT(D187,6)="C-ITGC","ITGC","Not an ITGC"))</f>
        <v/>
      </c>
      <c r="F187" s="15"/>
      <c r="G187" s="15"/>
      <c r="H187" s="15"/>
      <c r="I187" s="16" t="str">
        <f aca="false">IF(A187="","",IF(COUNTIF(Control_Register!$A$5:$A$204,B187)=0,"Dependent CTRL not in register",IF(E187&lt;&gt;"ITGC","Dependency must be an ITGC",IF(AND(OR(F187="Exception noted",F187="Ineffective"),H187="Supported"),"Exceptions need additional procedures before reliance",IF(AND(H187="Supported with additional procedures",G187=""),"Describe the additional procedures","OK")))))</f>
        <v/>
      </c>
    </row>
    <row r="188" customFormat="false" ht="15" hidden="false" customHeight="false" outlineLevel="0" collapsed="false">
      <c r="A188" s="15"/>
      <c r="B188" s="15"/>
      <c r="C188" s="16" t="str">
        <f aca="false">IFERROR(INDEX(Control_Register!$E$5:$E$204,MATCH(B188,Control_Register!$A$5:$A$204,0)),"")</f>
        <v/>
      </c>
      <c r="D188" s="15"/>
      <c r="E188" s="16" t="str">
        <f aca="false">IF(D188="","",IF(LEFT(D188,6)="C-ITGC","ITGC","Not an ITGC"))</f>
        <v/>
      </c>
      <c r="F188" s="15"/>
      <c r="G188" s="15"/>
      <c r="H188" s="15"/>
      <c r="I188" s="16" t="str">
        <f aca="false">IF(A188="","",IF(COUNTIF(Control_Register!$A$5:$A$204,B188)=0,"Dependent CTRL not in register",IF(E188&lt;&gt;"ITGC","Dependency must be an ITGC",IF(AND(OR(F188="Exception noted",F188="Ineffective"),H188="Supported"),"Exceptions need additional procedures before reliance",IF(AND(H188="Supported with additional procedures",G188=""),"Describe the additional procedures","OK")))))</f>
        <v/>
      </c>
    </row>
    <row r="189" customFormat="false" ht="15" hidden="false" customHeight="false" outlineLevel="0" collapsed="false">
      <c r="A189" s="15"/>
      <c r="B189" s="15"/>
      <c r="C189" s="16" t="str">
        <f aca="false">IFERROR(INDEX(Control_Register!$E$5:$E$204,MATCH(B189,Control_Register!$A$5:$A$204,0)),"")</f>
        <v/>
      </c>
      <c r="D189" s="15"/>
      <c r="E189" s="16" t="str">
        <f aca="false">IF(D189="","",IF(LEFT(D189,6)="C-ITGC","ITGC","Not an ITGC"))</f>
        <v/>
      </c>
      <c r="F189" s="15"/>
      <c r="G189" s="15"/>
      <c r="H189" s="15"/>
      <c r="I189" s="16" t="str">
        <f aca="false">IF(A189="","",IF(COUNTIF(Control_Register!$A$5:$A$204,B189)=0,"Dependent CTRL not in register",IF(E189&lt;&gt;"ITGC","Dependency must be an ITGC",IF(AND(OR(F189="Exception noted",F189="Ineffective"),H189="Supported"),"Exceptions need additional procedures before reliance",IF(AND(H189="Supported with additional procedures",G189=""),"Describe the additional procedures","OK")))))</f>
        <v/>
      </c>
    </row>
    <row r="190" customFormat="false" ht="15" hidden="false" customHeight="false" outlineLevel="0" collapsed="false">
      <c r="A190" s="15"/>
      <c r="B190" s="15"/>
      <c r="C190" s="16" t="str">
        <f aca="false">IFERROR(INDEX(Control_Register!$E$5:$E$204,MATCH(B190,Control_Register!$A$5:$A$204,0)),"")</f>
        <v/>
      </c>
      <c r="D190" s="15"/>
      <c r="E190" s="16" t="str">
        <f aca="false">IF(D190="","",IF(LEFT(D190,6)="C-ITGC","ITGC","Not an ITGC"))</f>
        <v/>
      </c>
      <c r="F190" s="15"/>
      <c r="G190" s="15"/>
      <c r="H190" s="15"/>
      <c r="I190" s="16" t="str">
        <f aca="false">IF(A190="","",IF(COUNTIF(Control_Register!$A$5:$A$204,B190)=0,"Dependent CTRL not in register",IF(E190&lt;&gt;"ITGC","Dependency must be an ITGC",IF(AND(OR(F190="Exception noted",F190="Ineffective"),H190="Supported"),"Exceptions need additional procedures before reliance",IF(AND(H190="Supported with additional procedures",G190=""),"Describe the additional procedures","OK")))))</f>
        <v/>
      </c>
    </row>
    <row r="191" customFormat="false" ht="15" hidden="false" customHeight="false" outlineLevel="0" collapsed="false">
      <c r="A191" s="15"/>
      <c r="B191" s="15"/>
      <c r="C191" s="16" t="str">
        <f aca="false">IFERROR(INDEX(Control_Register!$E$5:$E$204,MATCH(B191,Control_Register!$A$5:$A$204,0)),"")</f>
        <v/>
      </c>
      <c r="D191" s="15"/>
      <c r="E191" s="16" t="str">
        <f aca="false">IF(D191="","",IF(LEFT(D191,6)="C-ITGC","ITGC","Not an ITGC"))</f>
        <v/>
      </c>
      <c r="F191" s="15"/>
      <c r="G191" s="15"/>
      <c r="H191" s="15"/>
      <c r="I191" s="16" t="str">
        <f aca="false">IF(A191="","",IF(COUNTIF(Control_Register!$A$5:$A$204,B191)=0,"Dependent CTRL not in register",IF(E191&lt;&gt;"ITGC","Dependency must be an ITGC",IF(AND(OR(F191="Exception noted",F191="Ineffective"),H191="Supported"),"Exceptions need additional procedures before reliance",IF(AND(H191="Supported with additional procedures",G191=""),"Describe the additional procedures","OK")))))</f>
        <v/>
      </c>
    </row>
    <row r="192" customFormat="false" ht="15" hidden="false" customHeight="false" outlineLevel="0" collapsed="false">
      <c r="A192" s="15"/>
      <c r="B192" s="15"/>
      <c r="C192" s="16" t="str">
        <f aca="false">IFERROR(INDEX(Control_Register!$E$5:$E$204,MATCH(B192,Control_Register!$A$5:$A$204,0)),"")</f>
        <v/>
      </c>
      <c r="D192" s="15"/>
      <c r="E192" s="16" t="str">
        <f aca="false">IF(D192="","",IF(LEFT(D192,6)="C-ITGC","ITGC","Not an ITGC"))</f>
        <v/>
      </c>
      <c r="F192" s="15"/>
      <c r="G192" s="15"/>
      <c r="H192" s="15"/>
      <c r="I192" s="16" t="str">
        <f aca="false">IF(A192="","",IF(COUNTIF(Control_Register!$A$5:$A$204,B192)=0,"Dependent CTRL not in register",IF(E192&lt;&gt;"ITGC","Dependency must be an ITGC",IF(AND(OR(F192="Exception noted",F192="Ineffective"),H192="Supported"),"Exceptions need additional procedures before reliance",IF(AND(H192="Supported with additional procedures",G192=""),"Describe the additional procedures","OK")))))</f>
        <v/>
      </c>
    </row>
    <row r="193" customFormat="false" ht="15" hidden="false" customHeight="false" outlineLevel="0" collapsed="false">
      <c r="A193" s="15"/>
      <c r="B193" s="15"/>
      <c r="C193" s="16" t="str">
        <f aca="false">IFERROR(INDEX(Control_Register!$E$5:$E$204,MATCH(B193,Control_Register!$A$5:$A$204,0)),"")</f>
        <v/>
      </c>
      <c r="D193" s="15"/>
      <c r="E193" s="16" t="str">
        <f aca="false">IF(D193="","",IF(LEFT(D193,6)="C-ITGC","ITGC","Not an ITGC"))</f>
        <v/>
      </c>
      <c r="F193" s="15"/>
      <c r="G193" s="15"/>
      <c r="H193" s="15"/>
      <c r="I193" s="16" t="str">
        <f aca="false">IF(A193="","",IF(COUNTIF(Control_Register!$A$5:$A$204,B193)=0,"Dependent CTRL not in register",IF(E193&lt;&gt;"ITGC","Dependency must be an ITGC",IF(AND(OR(F193="Exception noted",F193="Ineffective"),H193="Supported"),"Exceptions need additional procedures before reliance",IF(AND(H193="Supported with additional procedures",G193=""),"Describe the additional procedures","OK")))))</f>
        <v/>
      </c>
    </row>
    <row r="194" customFormat="false" ht="15" hidden="false" customHeight="false" outlineLevel="0" collapsed="false">
      <c r="A194" s="15"/>
      <c r="B194" s="15"/>
      <c r="C194" s="16" t="str">
        <f aca="false">IFERROR(INDEX(Control_Register!$E$5:$E$204,MATCH(B194,Control_Register!$A$5:$A$204,0)),"")</f>
        <v/>
      </c>
      <c r="D194" s="15"/>
      <c r="E194" s="16" t="str">
        <f aca="false">IF(D194="","",IF(LEFT(D194,6)="C-ITGC","ITGC","Not an ITGC"))</f>
        <v/>
      </c>
      <c r="F194" s="15"/>
      <c r="G194" s="15"/>
      <c r="H194" s="15"/>
      <c r="I194" s="16" t="str">
        <f aca="false">IF(A194="","",IF(COUNTIF(Control_Register!$A$5:$A$204,B194)=0,"Dependent CTRL not in register",IF(E194&lt;&gt;"ITGC","Dependency must be an ITGC",IF(AND(OR(F194="Exception noted",F194="Ineffective"),H194="Supported"),"Exceptions need additional procedures before reliance",IF(AND(H194="Supported with additional procedures",G194=""),"Describe the additional procedures","OK")))))</f>
        <v/>
      </c>
    </row>
    <row r="195" customFormat="false" ht="15" hidden="false" customHeight="false" outlineLevel="0" collapsed="false">
      <c r="A195" s="15"/>
      <c r="B195" s="15"/>
      <c r="C195" s="16" t="str">
        <f aca="false">IFERROR(INDEX(Control_Register!$E$5:$E$204,MATCH(B195,Control_Register!$A$5:$A$204,0)),"")</f>
        <v/>
      </c>
      <c r="D195" s="15"/>
      <c r="E195" s="16" t="str">
        <f aca="false">IF(D195="","",IF(LEFT(D195,6)="C-ITGC","ITGC","Not an ITGC"))</f>
        <v/>
      </c>
      <c r="F195" s="15"/>
      <c r="G195" s="15"/>
      <c r="H195" s="15"/>
      <c r="I195" s="16" t="str">
        <f aca="false">IF(A195="","",IF(COUNTIF(Control_Register!$A$5:$A$204,B195)=0,"Dependent CTRL not in register",IF(E195&lt;&gt;"ITGC","Dependency must be an ITGC",IF(AND(OR(F195="Exception noted",F195="Ineffective"),H195="Supported"),"Exceptions need additional procedures before reliance",IF(AND(H195="Supported with additional procedures",G195=""),"Describe the additional procedures","OK")))))</f>
        <v/>
      </c>
    </row>
    <row r="196" customFormat="false" ht="15" hidden="false" customHeight="false" outlineLevel="0" collapsed="false">
      <c r="A196" s="15"/>
      <c r="B196" s="15"/>
      <c r="C196" s="16" t="str">
        <f aca="false">IFERROR(INDEX(Control_Register!$E$5:$E$204,MATCH(B196,Control_Register!$A$5:$A$204,0)),"")</f>
        <v/>
      </c>
      <c r="D196" s="15"/>
      <c r="E196" s="16" t="str">
        <f aca="false">IF(D196="","",IF(LEFT(D196,6)="C-ITGC","ITGC","Not an ITGC"))</f>
        <v/>
      </c>
      <c r="F196" s="15"/>
      <c r="G196" s="15"/>
      <c r="H196" s="15"/>
      <c r="I196" s="16" t="str">
        <f aca="false">IF(A196="","",IF(COUNTIF(Control_Register!$A$5:$A$204,B196)=0,"Dependent CTRL not in register",IF(E196&lt;&gt;"ITGC","Dependency must be an ITGC",IF(AND(OR(F196="Exception noted",F196="Ineffective"),H196="Supported"),"Exceptions need additional procedures before reliance",IF(AND(H196="Supported with additional procedures",G196=""),"Describe the additional procedures","OK")))))</f>
        <v/>
      </c>
    </row>
    <row r="197" customFormat="false" ht="15" hidden="false" customHeight="false" outlineLevel="0" collapsed="false">
      <c r="A197" s="15"/>
      <c r="B197" s="15"/>
      <c r="C197" s="16" t="str">
        <f aca="false">IFERROR(INDEX(Control_Register!$E$5:$E$204,MATCH(B197,Control_Register!$A$5:$A$204,0)),"")</f>
        <v/>
      </c>
      <c r="D197" s="15"/>
      <c r="E197" s="16" t="str">
        <f aca="false">IF(D197="","",IF(LEFT(D197,6)="C-ITGC","ITGC","Not an ITGC"))</f>
        <v/>
      </c>
      <c r="F197" s="15"/>
      <c r="G197" s="15"/>
      <c r="H197" s="15"/>
      <c r="I197" s="16" t="str">
        <f aca="false">IF(A197="","",IF(COUNTIF(Control_Register!$A$5:$A$204,B197)=0,"Dependent CTRL not in register",IF(E197&lt;&gt;"ITGC","Dependency must be an ITGC",IF(AND(OR(F197="Exception noted",F197="Ineffective"),H197="Supported"),"Exceptions need additional procedures before reliance",IF(AND(H197="Supported with additional procedures",G197=""),"Describe the additional procedures","OK")))))</f>
        <v/>
      </c>
    </row>
    <row r="198" customFormat="false" ht="15" hidden="false" customHeight="false" outlineLevel="0" collapsed="false">
      <c r="A198" s="15"/>
      <c r="B198" s="15"/>
      <c r="C198" s="16" t="str">
        <f aca="false">IFERROR(INDEX(Control_Register!$E$5:$E$204,MATCH(B198,Control_Register!$A$5:$A$204,0)),"")</f>
        <v/>
      </c>
      <c r="D198" s="15"/>
      <c r="E198" s="16" t="str">
        <f aca="false">IF(D198="","",IF(LEFT(D198,6)="C-ITGC","ITGC","Not an ITGC"))</f>
        <v/>
      </c>
      <c r="F198" s="15"/>
      <c r="G198" s="15"/>
      <c r="H198" s="15"/>
      <c r="I198" s="16" t="str">
        <f aca="false">IF(A198="","",IF(COUNTIF(Control_Register!$A$5:$A$204,B198)=0,"Dependent CTRL not in register",IF(E198&lt;&gt;"ITGC","Dependency must be an ITGC",IF(AND(OR(F198="Exception noted",F198="Ineffective"),H198="Supported"),"Exceptions need additional procedures before reliance",IF(AND(H198="Supported with additional procedures",G198=""),"Describe the additional procedures","OK")))))</f>
        <v/>
      </c>
    </row>
    <row r="199" customFormat="false" ht="15" hidden="false" customHeight="false" outlineLevel="0" collapsed="false">
      <c r="A199" s="15"/>
      <c r="B199" s="15"/>
      <c r="C199" s="16" t="str">
        <f aca="false">IFERROR(INDEX(Control_Register!$E$5:$E$204,MATCH(B199,Control_Register!$A$5:$A$204,0)),"")</f>
        <v/>
      </c>
      <c r="D199" s="15"/>
      <c r="E199" s="16" t="str">
        <f aca="false">IF(D199="","",IF(LEFT(D199,6)="C-ITGC","ITGC","Not an ITGC"))</f>
        <v/>
      </c>
      <c r="F199" s="15"/>
      <c r="G199" s="15"/>
      <c r="H199" s="15"/>
      <c r="I199" s="16" t="str">
        <f aca="false">IF(A199="","",IF(COUNTIF(Control_Register!$A$5:$A$204,B199)=0,"Dependent CTRL not in register",IF(E199&lt;&gt;"ITGC","Dependency must be an ITGC",IF(AND(OR(F199="Exception noted",F199="Ineffective"),H199="Supported"),"Exceptions need additional procedures before reliance",IF(AND(H199="Supported with additional procedures",G199=""),"Describe the additional procedures","OK")))))</f>
        <v/>
      </c>
    </row>
    <row r="200" customFormat="false" ht="15" hidden="false" customHeight="false" outlineLevel="0" collapsed="false">
      <c r="A200" s="15"/>
      <c r="B200" s="15"/>
      <c r="C200" s="16" t="str">
        <f aca="false">IFERROR(INDEX(Control_Register!$E$5:$E$204,MATCH(B200,Control_Register!$A$5:$A$204,0)),"")</f>
        <v/>
      </c>
      <c r="D200" s="15"/>
      <c r="E200" s="16" t="str">
        <f aca="false">IF(D200="","",IF(LEFT(D200,6)="C-ITGC","ITGC","Not an ITGC"))</f>
        <v/>
      </c>
      <c r="F200" s="15"/>
      <c r="G200" s="15"/>
      <c r="H200" s="15"/>
      <c r="I200" s="16" t="str">
        <f aca="false">IF(A200="","",IF(COUNTIF(Control_Register!$A$5:$A$204,B200)=0,"Dependent CTRL not in register",IF(E200&lt;&gt;"ITGC","Dependency must be an ITGC",IF(AND(OR(F200="Exception noted",F200="Ineffective"),H200="Supported"),"Exceptions need additional procedures before reliance",IF(AND(H200="Supported with additional procedures",G200=""),"Describe the additional procedures","OK")))))</f>
        <v/>
      </c>
    </row>
    <row r="201" customFormat="false" ht="15" hidden="false" customHeight="false" outlineLevel="0" collapsed="false">
      <c r="A201" s="15"/>
      <c r="B201" s="15"/>
      <c r="C201" s="16" t="str">
        <f aca="false">IFERROR(INDEX(Control_Register!$E$5:$E$204,MATCH(B201,Control_Register!$A$5:$A$204,0)),"")</f>
        <v/>
      </c>
      <c r="D201" s="15"/>
      <c r="E201" s="16" t="str">
        <f aca="false">IF(D201="","",IF(LEFT(D201,6)="C-ITGC","ITGC","Not an ITGC"))</f>
        <v/>
      </c>
      <c r="F201" s="15"/>
      <c r="G201" s="15"/>
      <c r="H201" s="15"/>
      <c r="I201" s="16" t="str">
        <f aca="false">IF(A201="","",IF(COUNTIF(Control_Register!$A$5:$A$204,B201)=0,"Dependent CTRL not in register",IF(E201&lt;&gt;"ITGC","Dependency must be an ITGC",IF(AND(OR(F201="Exception noted",F201="Ineffective"),H201="Supported"),"Exceptions need additional procedures before reliance",IF(AND(H201="Supported with additional procedures",G201=""),"Describe the additional procedures","OK")))))</f>
        <v/>
      </c>
    </row>
    <row r="202" customFormat="false" ht="15" hidden="false" customHeight="false" outlineLevel="0" collapsed="false">
      <c r="A202" s="15"/>
      <c r="B202" s="15"/>
      <c r="C202" s="16" t="str">
        <f aca="false">IFERROR(INDEX(Control_Register!$E$5:$E$204,MATCH(B202,Control_Register!$A$5:$A$204,0)),"")</f>
        <v/>
      </c>
      <c r="D202" s="15"/>
      <c r="E202" s="16" t="str">
        <f aca="false">IF(D202="","",IF(LEFT(D202,6)="C-ITGC","ITGC","Not an ITGC"))</f>
        <v/>
      </c>
      <c r="F202" s="15"/>
      <c r="G202" s="15"/>
      <c r="H202" s="15"/>
      <c r="I202" s="16" t="str">
        <f aca="false">IF(A202="","",IF(COUNTIF(Control_Register!$A$5:$A$204,B202)=0,"Dependent CTRL not in register",IF(E202&lt;&gt;"ITGC","Dependency must be an ITGC",IF(AND(OR(F202="Exception noted",F202="Ineffective"),H202="Supported"),"Exceptions need additional procedures before reliance",IF(AND(H202="Supported with additional procedures",G202=""),"Describe the additional procedures","OK")))))</f>
        <v/>
      </c>
    </row>
    <row r="203" customFormat="false" ht="15" hidden="false" customHeight="false" outlineLevel="0" collapsed="false">
      <c r="A203" s="15"/>
      <c r="B203" s="15"/>
      <c r="C203" s="16" t="str">
        <f aca="false">IFERROR(INDEX(Control_Register!$E$5:$E$204,MATCH(B203,Control_Register!$A$5:$A$204,0)),"")</f>
        <v/>
      </c>
      <c r="D203" s="15"/>
      <c r="E203" s="16" t="str">
        <f aca="false">IF(D203="","",IF(LEFT(D203,6)="C-ITGC","ITGC","Not an ITGC"))</f>
        <v/>
      </c>
      <c r="F203" s="15"/>
      <c r="G203" s="15"/>
      <c r="H203" s="15"/>
      <c r="I203" s="16" t="str">
        <f aca="false">IF(A203="","",IF(COUNTIF(Control_Register!$A$5:$A$204,B203)=0,"Dependent CTRL not in register",IF(E203&lt;&gt;"ITGC","Dependency must be an ITGC",IF(AND(OR(F203="Exception noted",F203="Ineffective"),H203="Supported"),"Exceptions need additional procedures before reliance",IF(AND(H203="Supported with additional procedures",G203=""),"Describe the additional procedures","OK")))))</f>
        <v/>
      </c>
    </row>
    <row r="204" customFormat="false" ht="15" hidden="false" customHeight="false" outlineLevel="0" collapsed="false">
      <c r="A204" s="15"/>
      <c r="B204" s="15"/>
      <c r="C204" s="16" t="str">
        <f aca="false">IFERROR(INDEX(Control_Register!$E$5:$E$204,MATCH(B204,Control_Register!$A$5:$A$204,0)),"")</f>
        <v/>
      </c>
      <c r="D204" s="15"/>
      <c r="E204" s="16" t="str">
        <f aca="false">IF(D204="","",IF(LEFT(D204,6)="C-ITGC","ITGC","Not an ITGC"))</f>
        <v/>
      </c>
      <c r="F204" s="15"/>
      <c r="G204" s="15"/>
      <c r="H204" s="15"/>
      <c r="I204" s="16" t="str">
        <f aca="false">IF(A204="","",IF(COUNTIF(Control_Register!$A$5:$A$204,B204)=0,"Dependent CTRL not in register",IF(E204&lt;&gt;"ITGC","Dependency must be an ITGC",IF(AND(OR(F204="Exception noted",F204="Ineffective"),H204="Supported"),"Exceptions need additional procedures before reliance",IF(AND(H204="Supported with additional procedures",G204=""),"Describe the additional procedures","OK")))))</f>
        <v/>
      </c>
    </row>
  </sheetData>
  <autoFilter ref="A4:I204"/>
  <dataValidations count="3">
    <dataValidation allowBlank="true" error="Pick a value from the list." errorStyle="warning" operator="between" showDropDown="false" showErrorMessage="true" showInputMessage="false" sqref="B5:B204" type="list">
      <formula1>Control_Register!$A$5:$A$204</formula1>
      <formula2>0</formula2>
    </dataValidation>
    <dataValidation allowBlank="true" error="Pick a value from the list." errorStyle="stop" operator="between" showDropDown="false" showErrorMessage="true" showInputMessage="false" sqref="F5:F204" type="list">
      <formula1>Lists!$G$2:$G$5</formula1>
      <formula2>0</formula2>
    </dataValidation>
    <dataValidation allowBlank="true" error="Pick a value from the list." errorStyle="stop" operator="between" showDropDown="false" showErrorMessage="true" showInputMessage="false" sqref="H5:H204" type="list">
      <formula1>Lists!$H$2:$H$5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4"/>
    <col collapsed="false" customWidth="true" hidden="false" outlineLevel="0" max="4" min="4" style="0" width="16"/>
    <col collapsed="false" customWidth="true" hidden="false" outlineLevel="0" max="5" min="5" style="0" width="40"/>
  </cols>
  <sheetData>
    <row r="1" customFormat="false" ht="17.35" hidden="false" customHeight="false" outlineLevel="0" collapsed="false">
      <c r="A1" s="9" t="s">
        <v>159</v>
      </c>
    </row>
    <row r="2" customFormat="false" ht="15" hidden="false" customHeight="false" outlineLevel="0" collapsed="false">
      <c r="A2" s="10" t="s">
        <v>160</v>
      </c>
    </row>
    <row r="4" customFormat="false" ht="15" hidden="false" customHeight="false" outlineLevel="0" collapsed="false">
      <c r="A4" s="17" t="s">
        <v>89</v>
      </c>
      <c r="B4" s="17" t="s">
        <v>161</v>
      </c>
      <c r="C4" s="17" t="s">
        <v>162</v>
      </c>
      <c r="D4" s="17" t="s">
        <v>163</v>
      </c>
      <c r="E4" s="17" t="s">
        <v>164</v>
      </c>
    </row>
    <row r="5" customFormat="false" ht="15" hidden="false" customHeight="false" outlineLevel="0" collapsed="false">
      <c r="A5" s="18" t="str">
        <f aca="false">IF(Ref_RISK!A2="","",Ref_RISK!A2)</f>
        <v>R-P2P-001</v>
      </c>
      <c r="B5" s="18" t="str">
        <f aca="false">IF(A5="","",Ref_RISK!B2)</f>
        <v>Y</v>
      </c>
      <c r="C5" s="18" t="n">
        <f aca="false">IF(A5="","",COUNTIF(Risk_Control_Map!$B$5:$B$204,A5))</f>
        <v>0</v>
      </c>
      <c r="D5" s="18" t="n">
        <f aca="false">IF(A5="","",SUMPRODUCT((Risk_Control_Map!$B$5:$B$204=A5)*(Risk_Control_Map!$G$5:$G$204="Y")))</f>
        <v>0</v>
      </c>
      <c r="E5" s="18" t="str">
        <f aca="false">IF(A5="","",IF(AND(B5="Y",D5=0),"GAP: SOX risk has no key control",IF(C5=0,"No control mapped","OK")))</f>
        <v>GAP: SOX risk has no key control</v>
      </c>
    </row>
    <row r="6" customFormat="false" ht="15" hidden="false" customHeight="false" outlineLevel="0" collapsed="false">
      <c r="A6" s="18" t="str">
        <f aca="false">IF(Ref_RISK!A3="","",Ref_RISK!A3)</f>
        <v>R-P2P-002</v>
      </c>
      <c r="B6" s="18" t="str">
        <f aca="false">IF(A6="","",Ref_RISK!B3)</f>
        <v>Y</v>
      </c>
      <c r="C6" s="18" t="n">
        <f aca="false">IF(A6="","",COUNTIF(Risk_Control_Map!$B$5:$B$204,A6))</f>
        <v>1</v>
      </c>
      <c r="D6" s="18" t="n">
        <f aca="false">IF(A6="","",SUMPRODUCT((Risk_Control_Map!$B$5:$B$204=A6)*(Risk_Control_Map!$G$5:$G$204="Y")))</f>
        <v>1</v>
      </c>
      <c r="E6" s="18" t="str">
        <f aca="false">IF(A6="","",IF(AND(B6="Y",D6=0),"GAP: SOX risk has no key control",IF(C6=0,"No control mapped","OK")))</f>
        <v>OK</v>
      </c>
    </row>
    <row r="7" customFormat="false" ht="15" hidden="false" customHeight="false" outlineLevel="0" collapsed="false">
      <c r="A7" s="18" t="str">
        <f aca="false">IF(Ref_RISK!A4="","",Ref_RISK!A4)</f>
        <v>R-P2P-003</v>
      </c>
      <c r="B7" s="18" t="str">
        <f aca="false">IF(A7="","",Ref_RISK!B4)</f>
        <v>Y</v>
      </c>
      <c r="C7" s="18" t="n">
        <f aca="false">IF(A7="","",COUNTIF(Risk_Control_Map!$B$5:$B$204,A7))</f>
        <v>0</v>
      </c>
      <c r="D7" s="18" t="n">
        <f aca="false">IF(A7="","",SUMPRODUCT((Risk_Control_Map!$B$5:$B$204=A7)*(Risk_Control_Map!$G$5:$G$204="Y")))</f>
        <v>0</v>
      </c>
      <c r="E7" s="18" t="str">
        <f aca="false">IF(A7="","",IF(AND(B7="Y",D7=0),"GAP: SOX risk has no key control",IF(C7=0,"No control mapped","OK")))</f>
        <v>GAP: SOX risk has no key control</v>
      </c>
    </row>
    <row r="8" customFormat="false" ht="15" hidden="false" customHeight="false" outlineLevel="0" collapsed="false">
      <c r="A8" s="18" t="str">
        <f aca="false">IF(Ref_RISK!A5="","",Ref_RISK!A5)</f>
        <v>R-R2R-001</v>
      </c>
      <c r="B8" s="18" t="str">
        <f aca="false">IF(A8="","",Ref_RISK!B5)</f>
        <v>Y</v>
      </c>
      <c r="C8" s="18" t="n">
        <f aca="false">IF(A8="","",COUNTIF(Risk_Control_Map!$B$5:$B$204,A8))</f>
        <v>0</v>
      </c>
      <c r="D8" s="18" t="n">
        <f aca="false">IF(A8="","",SUMPRODUCT((Risk_Control_Map!$B$5:$B$204=A8)*(Risk_Control_Map!$G$5:$G$204="Y")))</f>
        <v>0</v>
      </c>
      <c r="E8" s="18" t="str">
        <f aca="false">IF(A8="","",IF(AND(B8="Y",D8=0),"GAP: SOX risk has no key control",IF(C8=0,"No control mapped","OK")))</f>
        <v>GAP: SOX risk has no key control</v>
      </c>
    </row>
    <row r="9" customFormat="false" ht="15" hidden="false" customHeight="false" outlineLevel="0" collapsed="false">
      <c r="A9" s="18" t="str">
        <f aca="false">IF(Ref_RISK!A6="","",Ref_RISK!A6)</f>
        <v>R-O2C-001</v>
      </c>
      <c r="B9" s="18" t="str">
        <f aca="false">IF(A9="","",Ref_RISK!B6)</f>
        <v>Y</v>
      </c>
      <c r="C9" s="18" t="n">
        <f aca="false">IF(A9="","",COUNTIF(Risk_Control_Map!$B$5:$B$204,A9))</f>
        <v>0</v>
      </c>
      <c r="D9" s="18" t="n">
        <f aca="false">IF(A9="","",SUMPRODUCT((Risk_Control_Map!$B$5:$B$204=A9)*(Risk_Control_Map!$G$5:$G$204="Y")))</f>
        <v>0</v>
      </c>
      <c r="E9" s="18" t="str">
        <f aca="false">IF(A9="","",IF(AND(B9="Y",D9=0),"GAP: SOX risk has no key control",IF(C9=0,"No control mapped","OK")))</f>
        <v>GAP: SOX risk has no key control</v>
      </c>
    </row>
    <row r="10" customFormat="false" ht="15" hidden="false" customHeight="false" outlineLevel="0" collapsed="false">
      <c r="A10" s="18" t="str">
        <f aca="false">IF(Ref_RISK!A7="","",Ref_RISK!A7)</f>
        <v>R-O2C-002</v>
      </c>
      <c r="B10" s="18" t="str">
        <f aca="false">IF(A10="","",Ref_RISK!B7)</f>
        <v>N</v>
      </c>
      <c r="C10" s="18" t="n">
        <f aca="false">IF(A10="","",COUNTIF(Risk_Control_Map!$B$5:$B$204,A10))</f>
        <v>0</v>
      </c>
      <c r="D10" s="18" t="n">
        <f aca="false">IF(A10="","",SUMPRODUCT((Risk_Control_Map!$B$5:$B$204=A10)*(Risk_Control_Map!$G$5:$G$204="Y")))</f>
        <v>0</v>
      </c>
      <c r="E10" s="18" t="str">
        <f aca="false">IF(A10="","",IF(AND(B10="Y",D10=0),"GAP: SOX risk has no key control",IF(C10=0,"No control mapped","OK")))</f>
        <v>No control mapped</v>
      </c>
    </row>
    <row r="11" customFormat="false" ht="15" hidden="false" customHeight="false" outlineLevel="0" collapsed="false">
      <c r="A11" s="18" t="str">
        <f aca="false">IF(Ref_RISK!A8="","",Ref_RISK!A8)</f>
        <v>R-TECH-001</v>
      </c>
      <c r="B11" s="18" t="str">
        <f aca="false">IF(A11="","",Ref_RISK!B8)</f>
        <v>Y</v>
      </c>
      <c r="C11" s="18" t="n">
        <f aca="false">IF(A11="","",COUNTIF(Risk_Control_Map!$B$5:$B$204,A11))</f>
        <v>0</v>
      </c>
      <c r="D11" s="18" t="n">
        <f aca="false">IF(A11="","",SUMPRODUCT((Risk_Control_Map!$B$5:$B$204=A11)*(Risk_Control_Map!$G$5:$G$204="Y")))</f>
        <v>0</v>
      </c>
      <c r="E11" s="18" t="str">
        <f aca="false">IF(A11="","",IF(AND(B11="Y",D11=0),"GAP: SOX risk has no key control",IF(C11=0,"No control mapped","OK")))</f>
        <v>GAP: SOX risk has no key control</v>
      </c>
    </row>
    <row r="12" customFormat="false" ht="15" hidden="false" customHeight="false" outlineLevel="0" collapsed="false">
      <c r="A12" s="18" t="str">
        <f aca="false">IF(Ref_RISK!A9="","",Ref_RISK!A9)</f>
        <v>R-TECH-002</v>
      </c>
      <c r="B12" s="18" t="str">
        <f aca="false">IF(A12="","",Ref_RISK!B9)</f>
        <v>Y</v>
      </c>
      <c r="C12" s="18" t="n">
        <f aca="false">IF(A12="","",COUNTIF(Risk_Control_Map!$B$5:$B$204,A12))</f>
        <v>0</v>
      </c>
      <c r="D12" s="18" t="n">
        <f aca="false">IF(A12="","",SUMPRODUCT((Risk_Control_Map!$B$5:$B$204=A12)*(Risk_Control_Map!$G$5:$G$204="Y")))</f>
        <v>0</v>
      </c>
      <c r="E12" s="18" t="str">
        <f aca="false">IF(A12="","",IF(AND(B12="Y",D12=0),"GAP: SOX risk has no key control",IF(C12=0,"No control mapped","OK")))</f>
        <v>GAP: SOX risk has no key control</v>
      </c>
    </row>
    <row r="13" customFormat="false" ht="15" hidden="false" customHeight="false" outlineLevel="0" collapsed="false">
      <c r="A13" s="18" t="str">
        <f aca="false">IF(Ref_RISK!A10="","",Ref_RISK!A10)</f>
        <v>R-TECH-003</v>
      </c>
      <c r="B13" s="18" t="str">
        <f aca="false">IF(A13="","",Ref_RISK!B10)</f>
        <v>Y</v>
      </c>
      <c r="C13" s="18" t="n">
        <f aca="false">IF(A13="","",COUNTIF(Risk_Control_Map!$B$5:$B$204,A13))</f>
        <v>0</v>
      </c>
      <c r="D13" s="18" t="n">
        <f aca="false">IF(A13="","",SUMPRODUCT((Risk_Control_Map!$B$5:$B$204=A13)*(Risk_Control_Map!$G$5:$G$204="Y")))</f>
        <v>0</v>
      </c>
      <c r="E13" s="18" t="str">
        <f aca="false">IF(A13="","",IF(AND(B13="Y",D13=0),"GAP: SOX risk has no key control",IF(C13=0,"No control mapped","OK")))</f>
        <v>GAP: SOX risk has no key control</v>
      </c>
    </row>
    <row r="14" customFormat="false" ht="15" hidden="false" customHeight="false" outlineLevel="0" collapsed="false">
      <c r="A14" s="18" t="str">
        <f aca="false">IF(Ref_RISK!A11="","",Ref_RISK!A11)</f>
        <v>R-TECH-004</v>
      </c>
      <c r="B14" s="18" t="str">
        <f aca="false">IF(A14="","",Ref_RISK!B11)</f>
        <v>Y</v>
      </c>
      <c r="C14" s="18" t="n">
        <f aca="false">IF(A14="","",COUNTIF(Risk_Control_Map!$B$5:$B$204,A14))</f>
        <v>0</v>
      </c>
      <c r="D14" s="18" t="n">
        <f aca="false">IF(A14="","",SUMPRODUCT((Risk_Control_Map!$B$5:$B$204=A14)*(Risk_Control_Map!$G$5:$G$204="Y")))</f>
        <v>0</v>
      </c>
      <c r="E14" s="18" t="str">
        <f aca="false">IF(A14="","",IF(AND(B14="Y",D14=0),"GAP: SOX risk has no key control",IF(C14=0,"No control mapped","OK")))</f>
        <v>GAP: SOX risk has no key control</v>
      </c>
    </row>
    <row r="15" customFormat="false" ht="15" hidden="false" customHeight="false" outlineLevel="0" collapsed="false">
      <c r="A15" s="18" t="str">
        <f aca="false">IF(Ref_RISK!A12="","",Ref_RISK!A12)</f>
        <v>R-TECH-005</v>
      </c>
      <c r="B15" s="18" t="str">
        <f aca="false">IF(A15="","",Ref_RISK!B12)</f>
        <v>Y</v>
      </c>
      <c r="C15" s="18" t="n">
        <f aca="false">IF(A15="","",COUNTIF(Risk_Control_Map!$B$5:$B$204,A15))</f>
        <v>0</v>
      </c>
      <c r="D15" s="18" t="n">
        <f aca="false">IF(A15="","",SUMPRODUCT((Risk_Control_Map!$B$5:$B$204=A15)*(Risk_Control_Map!$G$5:$G$204="Y")))</f>
        <v>0</v>
      </c>
      <c r="E15" s="18" t="str">
        <f aca="false">IF(A15="","",IF(AND(B15="Y",D15=0),"GAP: SOX risk has no key control",IF(C15=0,"No control mapped","OK")))</f>
        <v>GAP: SOX risk has no key control</v>
      </c>
    </row>
    <row r="16" customFormat="false" ht="15" hidden="false" customHeight="false" outlineLevel="0" collapsed="false">
      <c r="A16" s="18" t="str">
        <f aca="false">IF(Ref_RISK!A13="","",Ref_RISK!A13)</f>
        <v>R-TECH-006</v>
      </c>
      <c r="B16" s="18" t="str">
        <f aca="false">IF(A16="","",Ref_RISK!B13)</f>
        <v>N</v>
      </c>
      <c r="C16" s="18" t="n">
        <f aca="false">IF(A16="","",COUNTIF(Risk_Control_Map!$B$5:$B$204,A16))</f>
        <v>0</v>
      </c>
      <c r="D16" s="18" t="n">
        <f aca="false">IF(A16="","",SUMPRODUCT((Risk_Control_Map!$B$5:$B$204=A16)*(Risk_Control_Map!$G$5:$G$204="Y")))</f>
        <v>0</v>
      </c>
      <c r="E16" s="18" t="str">
        <f aca="false">IF(A16="","",IF(AND(B16="Y",D16=0),"GAP: SOX risk has no key control",IF(C16=0,"No control mapped","OK")))</f>
        <v>No control mapped</v>
      </c>
    </row>
    <row r="17" customFormat="false" ht="15" hidden="false" customHeight="false" outlineLevel="0" collapsed="false">
      <c r="A17" s="18" t="str">
        <f aca="false">IF(Ref_RISK!A14="","",Ref_RISK!A14)</f>
        <v/>
      </c>
      <c r="B17" s="18" t="str">
        <f aca="false">IF(A17="","",Ref_RISK!B14)</f>
        <v/>
      </c>
      <c r="C17" s="18" t="str">
        <f aca="false">IF(A17="","",COUNTIF(Risk_Control_Map!$B$5:$B$204,A17))</f>
        <v/>
      </c>
      <c r="D17" s="18" t="str">
        <f aca="false">IF(A17="","",SUMPRODUCT((Risk_Control_Map!$B$5:$B$204=A17)*(Risk_Control_Map!$G$5:$G$204="Y")))</f>
        <v/>
      </c>
      <c r="E17" s="18" t="str">
        <f aca="false">IF(A17="","",IF(AND(B17="Y",D17=0),"GAP: SOX risk has no key control",IF(C17=0,"No control mapped","OK")))</f>
        <v/>
      </c>
    </row>
    <row r="18" customFormat="false" ht="15" hidden="false" customHeight="false" outlineLevel="0" collapsed="false">
      <c r="A18" s="18" t="str">
        <f aca="false">IF(Ref_RISK!A15="","",Ref_RISK!A15)</f>
        <v/>
      </c>
      <c r="B18" s="18" t="str">
        <f aca="false">IF(A18="","",Ref_RISK!B15)</f>
        <v/>
      </c>
      <c r="C18" s="18" t="str">
        <f aca="false">IF(A18="","",COUNTIF(Risk_Control_Map!$B$5:$B$204,A18))</f>
        <v/>
      </c>
      <c r="D18" s="18" t="str">
        <f aca="false">IF(A18="","",SUMPRODUCT((Risk_Control_Map!$B$5:$B$204=A18)*(Risk_Control_Map!$G$5:$G$204="Y")))</f>
        <v/>
      </c>
      <c r="E18" s="18" t="str">
        <f aca="false">IF(A18="","",IF(AND(B18="Y",D18=0),"GAP: SOX risk has no key control",IF(C18=0,"No control mapped","OK")))</f>
        <v/>
      </c>
    </row>
    <row r="19" customFormat="false" ht="15" hidden="false" customHeight="false" outlineLevel="0" collapsed="false">
      <c r="A19" s="18" t="str">
        <f aca="false">IF(Ref_RISK!A16="","",Ref_RISK!A16)</f>
        <v/>
      </c>
      <c r="B19" s="18" t="str">
        <f aca="false">IF(A19="","",Ref_RISK!B16)</f>
        <v/>
      </c>
      <c r="C19" s="18" t="str">
        <f aca="false">IF(A19="","",COUNTIF(Risk_Control_Map!$B$5:$B$204,A19))</f>
        <v/>
      </c>
      <c r="D19" s="18" t="str">
        <f aca="false">IF(A19="","",SUMPRODUCT((Risk_Control_Map!$B$5:$B$204=A19)*(Risk_Control_Map!$G$5:$G$204="Y")))</f>
        <v/>
      </c>
      <c r="E19" s="18" t="str">
        <f aca="false">IF(A19="","",IF(AND(B19="Y",D19=0),"GAP: SOX risk has no key control",IF(C19=0,"No control mapped","OK")))</f>
        <v/>
      </c>
    </row>
    <row r="20" customFormat="false" ht="15" hidden="false" customHeight="false" outlineLevel="0" collapsed="false">
      <c r="A20" s="18" t="str">
        <f aca="false">IF(Ref_RISK!A17="","",Ref_RISK!A17)</f>
        <v/>
      </c>
      <c r="B20" s="18" t="str">
        <f aca="false">IF(A20="","",Ref_RISK!B17)</f>
        <v/>
      </c>
      <c r="C20" s="18" t="str">
        <f aca="false">IF(A20="","",COUNTIF(Risk_Control_Map!$B$5:$B$204,A20))</f>
        <v/>
      </c>
      <c r="D20" s="18" t="str">
        <f aca="false">IF(A20="","",SUMPRODUCT((Risk_Control_Map!$B$5:$B$204=A20)*(Risk_Control_Map!$G$5:$G$204="Y")))</f>
        <v/>
      </c>
      <c r="E20" s="18" t="str">
        <f aca="false">IF(A20="","",IF(AND(B20="Y",D20=0),"GAP: SOX risk has no key control",IF(C20=0,"No control mapped","OK")))</f>
        <v/>
      </c>
    </row>
    <row r="21" customFormat="false" ht="15" hidden="false" customHeight="false" outlineLevel="0" collapsed="false">
      <c r="A21" s="18" t="str">
        <f aca="false">IF(Ref_RISK!A18="","",Ref_RISK!A18)</f>
        <v/>
      </c>
      <c r="B21" s="18" t="str">
        <f aca="false">IF(A21="","",Ref_RISK!B18)</f>
        <v/>
      </c>
      <c r="C21" s="18" t="str">
        <f aca="false">IF(A21="","",COUNTIF(Risk_Control_Map!$B$5:$B$204,A21))</f>
        <v/>
      </c>
      <c r="D21" s="18" t="str">
        <f aca="false">IF(A21="","",SUMPRODUCT((Risk_Control_Map!$B$5:$B$204=A21)*(Risk_Control_Map!$G$5:$G$204="Y")))</f>
        <v/>
      </c>
      <c r="E21" s="18" t="str">
        <f aca="false">IF(A21="","",IF(AND(B21="Y",D21=0),"GAP: SOX risk has no key control",IF(C21=0,"No control mapped","OK")))</f>
        <v/>
      </c>
    </row>
    <row r="22" customFormat="false" ht="15" hidden="false" customHeight="false" outlineLevel="0" collapsed="false">
      <c r="A22" s="18" t="str">
        <f aca="false">IF(Ref_RISK!A19="","",Ref_RISK!A19)</f>
        <v/>
      </c>
      <c r="B22" s="18" t="str">
        <f aca="false">IF(A22="","",Ref_RISK!B19)</f>
        <v/>
      </c>
      <c r="C22" s="18" t="str">
        <f aca="false">IF(A22="","",COUNTIF(Risk_Control_Map!$B$5:$B$204,A22))</f>
        <v/>
      </c>
      <c r="D22" s="18" t="str">
        <f aca="false">IF(A22="","",SUMPRODUCT((Risk_Control_Map!$B$5:$B$204=A22)*(Risk_Control_Map!$G$5:$G$204="Y")))</f>
        <v/>
      </c>
      <c r="E22" s="18" t="str">
        <f aca="false">IF(A22="","",IF(AND(B22="Y",D22=0),"GAP: SOX risk has no key control",IF(C22=0,"No control mapped","OK")))</f>
        <v/>
      </c>
    </row>
    <row r="23" customFormat="false" ht="15" hidden="false" customHeight="false" outlineLevel="0" collapsed="false">
      <c r="A23" s="18" t="str">
        <f aca="false">IF(Ref_RISK!A20="","",Ref_RISK!A20)</f>
        <v/>
      </c>
      <c r="B23" s="18" t="str">
        <f aca="false">IF(A23="","",Ref_RISK!B20)</f>
        <v/>
      </c>
      <c r="C23" s="18" t="str">
        <f aca="false">IF(A23="","",COUNTIF(Risk_Control_Map!$B$5:$B$204,A23))</f>
        <v/>
      </c>
      <c r="D23" s="18" t="str">
        <f aca="false">IF(A23="","",SUMPRODUCT((Risk_Control_Map!$B$5:$B$204=A23)*(Risk_Control_Map!$G$5:$G$204="Y")))</f>
        <v/>
      </c>
      <c r="E23" s="18" t="str">
        <f aca="false">IF(A23="","",IF(AND(B23="Y",D23=0),"GAP: SOX risk has no key control",IF(C23=0,"No control mapped","OK")))</f>
        <v/>
      </c>
    </row>
    <row r="24" customFormat="false" ht="15" hidden="false" customHeight="false" outlineLevel="0" collapsed="false">
      <c r="A24" s="18" t="str">
        <f aca="false">IF(Ref_RISK!A21="","",Ref_RISK!A21)</f>
        <v/>
      </c>
      <c r="B24" s="18" t="str">
        <f aca="false">IF(A24="","",Ref_RISK!B21)</f>
        <v/>
      </c>
      <c r="C24" s="18" t="str">
        <f aca="false">IF(A24="","",COUNTIF(Risk_Control_Map!$B$5:$B$204,A24))</f>
        <v/>
      </c>
      <c r="D24" s="18" t="str">
        <f aca="false">IF(A24="","",SUMPRODUCT((Risk_Control_Map!$B$5:$B$204=A24)*(Risk_Control_Map!$G$5:$G$204="Y")))</f>
        <v/>
      </c>
      <c r="E24" s="18" t="str">
        <f aca="false">IF(A24="","",IF(AND(B24="Y",D24=0),"GAP: SOX risk has no key control",IF(C24=0,"No control mapped","OK")))</f>
        <v/>
      </c>
    </row>
    <row r="25" customFormat="false" ht="15" hidden="false" customHeight="false" outlineLevel="0" collapsed="false">
      <c r="A25" s="18" t="str">
        <f aca="false">IF(Ref_RISK!A22="","",Ref_RISK!A22)</f>
        <v/>
      </c>
      <c r="B25" s="18" t="str">
        <f aca="false">IF(A25="","",Ref_RISK!B22)</f>
        <v/>
      </c>
      <c r="C25" s="18" t="str">
        <f aca="false">IF(A25="","",COUNTIF(Risk_Control_Map!$B$5:$B$204,A25))</f>
        <v/>
      </c>
      <c r="D25" s="18" t="str">
        <f aca="false">IF(A25="","",SUMPRODUCT((Risk_Control_Map!$B$5:$B$204=A25)*(Risk_Control_Map!$G$5:$G$204="Y")))</f>
        <v/>
      </c>
      <c r="E25" s="18" t="str">
        <f aca="false">IF(A25="","",IF(AND(B25="Y",D25=0),"GAP: SOX risk has no key control",IF(C25=0,"No control mapped","OK")))</f>
        <v/>
      </c>
    </row>
    <row r="26" customFormat="false" ht="15" hidden="false" customHeight="false" outlineLevel="0" collapsed="false">
      <c r="A26" s="18" t="str">
        <f aca="false">IF(Ref_RISK!A23="","",Ref_RISK!A23)</f>
        <v/>
      </c>
      <c r="B26" s="18" t="str">
        <f aca="false">IF(A26="","",Ref_RISK!B23)</f>
        <v/>
      </c>
      <c r="C26" s="18" t="str">
        <f aca="false">IF(A26="","",COUNTIF(Risk_Control_Map!$B$5:$B$204,A26))</f>
        <v/>
      </c>
      <c r="D26" s="18" t="str">
        <f aca="false">IF(A26="","",SUMPRODUCT((Risk_Control_Map!$B$5:$B$204=A26)*(Risk_Control_Map!$G$5:$G$204="Y")))</f>
        <v/>
      </c>
      <c r="E26" s="18" t="str">
        <f aca="false">IF(A26="","",IF(AND(B26="Y",D26=0),"GAP: SOX risk has no key control",IF(C26=0,"No control mapped","OK")))</f>
        <v/>
      </c>
    </row>
    <row r="27" customFormat="false" ht="15" hidden="false" customHeight="false" outlineLevel="0" collapsed="false">
      <c r="A27" s="18" t="str">
        <f aca="false">IF(Ref_RISK!A24="","",Ref_RISK!A24)</f>
        <v/>
      </c>
      <c r="B27" s="18" t="str">
        <f aca="false">IF(A27="","",Ref_RISK!B24)</f>
        <v/>
      </c>
      <c r="C27" s="18" t="str">
        <f aca="false">IF(A27="","",COUNTIF(Risk_Control_Map!$B$5:$B$204,A27))</f>
        <v/>
      </c>
      <c r="D27" s="18" t="str">
        <f aca="false">IF(A27="","",SUMPRODUCT((Risk_Control_Map!$B$5:$B$204=A27)*(Risk_Control_Map!$G$5:$G$204="Y")))</f>
        <v/>
      </c>
      <c r="E27" s="18" t="str">
        <f aca="false">IF(A27="","",IF(AND(B27="Y",D27=0),"GAP: SOX risk has no key control",IF(C27=0,"No control mapped","OK")))</f>
        <v/>
      </c>
    </row>
    <row r="28" customFormat="false" ht="15" hidden="false" customHeight="false" outlineLevel="0" collapsed="false">
      <c r="A28" s="18" t="str">
        <f aca="false">IF(Ref_RISK!A25="","",Ref_RISK!A25)</f>
        <v/>
      </c>
      <c r="B28" s="18" t="str">
        <f aca="false">IF(A28="","",Ref_RISK!B25)</f>
        <v/>
      </c>
      <c r="C28" s="18" t="str">
        <f aca="false">IF(A28="","",COUNTIF(Risk_Control_Map!$B$5:$B$204,A28))</f>
        <v/>
      </c>
      <c r="D28" s="18" t="str">
        <f aca="false">IF(A28="","",SUMPRODUCT((Risk_Control_Map!$B$5:$B$204=A28)*(Risk_Control_Map!$G$5:$G$204="Y")))</f>
        <v/>
      </c>
      <c r="E28" s="18" t="str">
        <f aca="false">IF(A28="","",IF(AND(B28="Y",D28=0),"GAP: SOX risk has no key control",IF(C28=0,"No control mapped","OK")))</f>
        <v/>
      </c>
    </row>
    <row r="29" customFormat="false" ht="15" hidden="false" customHeight="false" outlineLevel="0" collapsed="false">
      <c r="A29" s="18" t="str">
        <f aca="false">IF(Ref_RISK!A26="","",Ref_RISK!A26)</f>
        <v/>
      </c>
      <c r="B29" s="18" t="str">
        <f aca="false">IF(A29="","",Ref_RISK!B26)</f>
        <v/>
      </c>
      <c r="C29" s="18" t="str">
        <f aca="false">IF(A29="","",COUNTIF(Risk_Control_Map!$B$5:$B$204,A29))</f>
        <v/>
      </c>
      <c r="D29" s="18" t="str">
        <f aca="false">IF(A29="","",SUMPRODUCT((Risk_Control_Map!$B$5:$B$204=A29)*(Risk_Control_Map!$G$5:$G$204="Y")))</f>
        <v/>
      </c>
      <c r="E29" s="18" t="str">
        <f aca="false">IF(A29="","",IF(AND(B29="Y",D29=0),"GAP: SOX risk has no key control",IF(C29=0,"No control mapped","OK")))</f>
        <v/>
      </c>
    </row>
    <row r="30" customFormat="false" ht="15" hidden="false" customHeight="false" outlineLevel="0" collapsed="false">
      <c r="A30" s="18" t="str">
        <f aca="false">IF(Ref_RISK!A27="","",Ref_RISK!A27)</f>
        <v/>
      </c>
      <c r="B30" s="18" t="str">
        <f aca="false">IF(A30="","",Ref_RISK!B27)</f>
        <v/>
      </c>
      <c r="C30" s="18" t="str">
        <f aca="false">IF(A30="","",COUNTIF(Risk_Control_Map!$B$5:$B$204,A30))</f>
        <v/>
      </c>
      <c r="D30" s="18" t="str">
        <f aca="false">IF(A30="","",SUMPRODUCT((Risk_Control_Map!$B$5:$B$204=A30)*(Risk_Control_Map!$G$5:$G$204="Y")))</f>
        <v/>
      </c>
      <c r="E30" s="18" t="str">
        <f aca="false">IF(A30="","",IF(AND(B30="Y",D30=0),"GAP: SOX risk has no key control",IF(C30=0,"No control mapped","OK")))</f>
        <v/>
      </c>
    </row>
    <row r="31" customFormat="false" ht="15" hidden="false" customHeight="false" outlineLevel="0" collapsed="false">
      <c r="A31" s="18" t="str">
        <f aca="false">IF(Ref_RISK!A28="","",Ref_RISK!A28)</f>
        <v/>
      </c>
      <c r="B31" s="18" t="str">
        <f aca="false">IF(A31="","",Ref_RISK!B28)</f>
        <v/>
      </c>
      <c r="C31" s="18" t="str">
        <f aca="false">IF(A31="","",COUNTIF(Risk_Control_Map!$B$5:$B$204,A31))</f>
        <v/>
      </c>
      <c r="D31" s="18" t="str">
        <f aca="false">IF(A31="","",SUMPRODUCT((Risk_Control_Map!$B$5:$B$204=A31)*(Risk_Control_Map!$G$5:$G$204="Y")))</f>
        <v/>
      </c>
      <c r="E31" s="18" t="str">
        <f aca="false">IF(A31="","",IF(AND(B31="Y",D31=0),"GAP: SOX risk has no key control",IF(C31=0,"No control mapped","OK")))</f>
        <v/>
      </c>
    </row>
    <row r="32" customFormat="false" ht="15" hidden="false" customHeight="false" outlineLevel="0" collapsed="false">
      <c r="A32" s="18" t="str">
        <f aca="false">IF(Ref_RISK!A29="","",Ref_RISK!A29)</f>
        <v/>
      </c>
      <c r="B32" s="18" t="str">
        <f aca="false">IF(A32="","",Ref_RISK!B29)</f>
        <v/>
      </c>
      <c r="C32" s="18" t="str">
        <f aca="false">IF(A32="","",COUNTIF(Risk_Control_Map!$B$5:$B$204,A32))</f>
        <v/>
      </c>
      <c r="D32" s="18" t="str">
        <f aca="false">IF(A32="","",SUMPRODUCT((Risk_Control_Map!$B$5:$B$204=A32)*(Risk_Control_Map!$G$5:$G$204="Y")))</f>
        <v/>
      </c>
      <c r="E32" s="18" t="str">
        <f aca="false">IF(A32="","",IF(AND(B32="Y",D32=0),"GAP: SOX risk has no key control",IF(C32=0,"No control mapped","OK")))</f>
        <v/>
      </c>
    </row>
    <row r="33" customFormat="false" ht="15" hidden="false" customHeight="false" outlineLevel="0" collapsed="false">
      <c r="A33" s="18" t="str">
        <f aca="false">IF(Ref_RISK!A30="","",Ref_RISK!A30)</f>
        <v/>
      </c>
      <c r="B33" s="18" t="str">
        <f aca="false">IF(A33="","",Ref_RISK!B30)</f>
        <v/>
      </c>
      <c r="C33" s="18" t="str">
        <f aca="false">IF(A33="","",COUNTIF(Risk_Control_Map!$B$5:$B$204,A33))</f>
        <v/>
      </c>
      <c r="D33" s="18" t="str">
        <f aca="false">IF(A33="","",SUMPRODUCT((Risk_Control_Map!$B$5:$B$204=A33)*(Risk_Control_Map!$G$5:$G$204="Y")))</f>
        <v/>
      </c>
      <c r="E33" s="18" t="str">
        <f aca="false">IF(A33="","",IF(AND(B33="Y",D33=0),"GAP: SOX risk has no key control",IF(C33=0,"No control mapped","OK")))</f>
        <v/>
      </c>
    </row>
    <row r="34" customFormat="false" ht="15" hidden="false" customHeight="false" outlineLevel="0" collapsed="false">
      <c r="A34" s="18" t="str">
        <f aca="false">IF(Ref_RISK!A31="","",Ref_RISK!A31)</f>
        <v/>
      </c>
      <c r="B34" s="18" t="str">
        <f aca="false">IF(A34="","",Ref_RISK!B31)</f>
        <v/>
      </c>
      <c r="C34" s="18" t="str">
        <f aca="false">IF(A34="","",COUNTIF(Risk_Control_Map!$B$5:$B$204,A34))</f>
        <v/>
      </c>
      <c r="D34" s="18" t="str">
        <f aca="false">IF(A34="","",SUMPRODUCT((Risk_Control_Map!$B$5:$B$204=A34)*(Risk_Control_Map!$G$5:$G$204="Y")))</f>
        <v/>
      </c>
      <c r="E34" s="18" t="str">
        <f aca="false">IF(A34="","",IF(AND(B34="Y",D34=0),"GAP: SOX risk has no key control",IF(C34=0,"No control mapped","OK")))</f>
        <v/>
      </c>
    </row>
    <row r="35" customFormat="false" ht="15" hidden="false" customHeight="false" outlineLevel="0" collapsed="false">
      <c r="A35" s="18" t="str">
        <f aca="false">IF(Ref_RISK!A32="","",Ref_RISK!A32)</f>
        <v/>
      </c>
      <c r="B35" s="18" t="str">
        <f aca="false">IF(A35="","",Ref_RISK!B32)</f>
        <v/>
      </c>
      <c r="C35" s="18" t="str">
        <f aca="false">IF(A35="","",COUNTIF(Risk_Control_Map!$B$5:$B$204,A35))</f>
        <v/>
      </c>
      <c r="D35" s="18" t="str">
        <f aca="false">IF(A35="","",SUMPRODUCT((Risk_Control_Map!$B$5:$B$204=A35)*(Risk_Control_Map!$G$5:$G$204="Y")))</f>
        <v/>
      </c>
      <c r="E35" s="18" t="str">
        <f aca="false">IF(A35="","",IF(AND(B35="Y",D35=0),"GAP: SOX risk has no key control",IF(C35=0,"No control mapped","OK")))</f>
        <v/>
      </c>
    </row>
    <row r="36" customFormat="false" ht="15" hidden="false" customHeight="false" outlineLevel="0" collapsed="false">
      <c r="A36" s="18" t="str">
        <f aca="false">IF(Ref_RISK!A33="","",Ref_RISK!A33)</f>
        <v/>
      </c>
      <c r="B36" s="18" t="str">
        <f aca="false">IF(A36="","",Ref_RISK!B33)</f>
        <v/>
      </c>
      <c r="C36" s="18" t="str">
        <f aca="false">IF(A36="","",COUNTIF(Risk_Control_Map!$B$5:$B$204,A36))</f>
        <v/>
      </c>
      <c r="D36" s="18" t="str">
        <f aca="false">IF(A36="","",SUMPRODUCT((Risk_Control_Map!$B$5:$B$204=A36)*(Risk_Control_Map!$G$5:$G$204="Y")))</f>
        <v/>
      </c>
      <c r="E36" s="18" t="str">
        <f aca="false">IF(A36="","",IF(AND(B36="Y",D36=0),"GAP: SOX risk has no key control",IF(C36=0,"No control mapped","OK")))</f>
        <v/>
      </c>
    </row>
    <row r="37" customFormat="false" ht="15" hidden="false" customHeight="false" outlineLevel="0" collapsed="false">
      <c r="A37" s="18" t="str">
        <f aca="false">IF(Ref_RISK!A34="","",Ref_RISK!A34)</f>
        <v/>
      </c>
      <c r="B37" s="18" t="str">
        <f aca="false">IF(A37="","",Ref_RISK!B34)</f>
        <v/>
      </c>
      <c r="C37" s="18" t="str">
        <f aca="false">IF(A37="","",COUNTIF(Risk_Control_Map!$B$5:$B$204,A37))</f>
        <v/>
      </c>
      <c r="D37" s="18" t="str">
        <f aca="false">IF(A37="","",SUMPRODUCT((Risk_Control_Map!$B$5:$B$204=A37)*(Risk_Control_Map!$G$5:$G$204="Y")))</f>
        <v/>
      </c>
      <c r="E37" s="18" t="str">
        <f aca="false">IF(A37="","",IF(AND(B37="Y",D37=0),"GAP: SOX risk has no key control",IF(C37=0,"No control mapped","OK")))</f>
        <v/>
      </c>
    </row>
    <row r="38" customFormat="false" ht="15" hidden="false" customHeight="false" outlineLevel="0" collapsed="false">
      <c r="A38" s="18" t="str">
        <f aca="false">IF(Ref_RISK!A35="","",Ref_RISK!A35)</f>
        <v/>
      </c>
      <c r="B38" s="18" t="str">
        <f aca="false">IF(A38="","",Ref_RISK!B35)</f>
        <v/>
      </c>
      <c r="C38" s="18" t="str">
        <f aca="false">IF(A38="","",COUNTIF(Risk_Control_Map!$B$5:$B$204,A38))</f>
        <v/>
      </c>
      <c r="D38" s="18" t="str">
        <f aca="false">IF(A38="","",SUMPRODUCT((Risk_Control_Map!$B$5:$B$204=A38)*(Risk_Control_Map!$G$5:$G$204="Y")))</f>
        <v/>
      </c>
      <c r="E38" s="18" t="str">
        <f aca="false">IF(A38="","",IF(AND(B38="Y",D38=0),"GAP: SOX risk has no key control",IF(C38=0,"No control mapped","OK")))</f>
        <v/>
      </c>
    </row>
    <row r="39" customFormat="false" ht="15" hidden="false" customHeight="false" outlineLevel="0" collapsed="false">
      <c r="A39" s="18" t="str">
        <f aca="false">IF(Ref_RISK!A36="","",Ref_RISK!A36)</f>
        <v/>
      </c>
      <c r="B39" s="18" t="str">
        <f aca="false">IF(A39="","",Ref_RISK!B36)</f>
        <v/>
      </c>
      <c r="C39" s="18" t="str">
        <f aca="false">IF(A39="","",COUNTIF(Risk_Control_Map!$B$5:$B$204,A39))</f>
        <v/>
      </c>
      <c r="D39" s="18" t="str">
        <f aca="false">IF(A39="","",SUMPRODUCT((Risk_Control_Map!$B$5:$B$204=A39)*(Risk_Control_Map!$G$5:$G$204="Y")))</f>
        <v/>
      </c>
      <c r="E39" s="18" t="str">
        <f aca="false">IF(A39="","",IF(AND(B39="Y",D39=0),"GAP: SOX risk has no key control",IF(C39=0,"No control mapped","OK")))</f>
        <v/>
      </c>
    </row>
    <row r="40" customFormat="false" ht="15" hidden="false" customHeight="false" outlineLevel="0" collapsed="false">
      <c r="A40" s="18" t="str">
        <f aca="false">IF(Ref_RISK!A37="","",Ref_RISK!A37)</f>
        <v/>
      </c>
      <c r="B40" s="18" t="str">
        <f aca="false">IF(A40="","",Ref_RISK!B37)</f>
        <v/>
      </c>
      <c r="C40" s="18" t="str">
        <f aca="false">IF(A40="","",COUNTIF(Risk_Control_Map!$B$5:$B$204,A40))</f>
        <v/>
      </c>
      <c r="D40" s="18" t="str">
        <f aca="false">IF(A40="","",SUMPRODUCT((Risk_Control_Map!$B$5:$B$204=A40)*(Risk_Control_Map!$G$5:$G$204="Y")))</f>
        <v/>
      </c>
      <c r="E40" s="18" t="str">
        <f aca="false">IF(A40="","",IF(AND(B40="Y",D40=0),"GAP: SOX risk has no key control",IF(C40=0,"No control mapped","OK")))</f>
        <v/>
      </c>
    </row>
    <row r="41" customFormat="false" ht="15" hidden="false" customHeight="false" outlineLevel="0" collapsed="false">
      <c r="A41" s="18" t="str">
        <f aca="false">IF(Ref_RISK!A38="","",Ref_RISK!A38)</f>
        <v/>
      </c>
      <c r="B41" s="18" t="str">
        <f aca="false">IF(A41="","",Ref_RISK!B38)</f>
        <v/>
      </c>
      <c r="C41" s="18" t="str">
        <f aca="false">IF(A41="","",COUNTIF(Risk_Control_Map!$B$5:$B$204,A41))</f>
        <v/>
      </c>
      <c r="D41" s="18" t="str">
        <f aca="false">IF(A41="","",SUMPRODUCT((Risk_Control_Map!$B$5:$B$204=A41)*(Risk_Control_Map!$G$5:$G$204="Y")))</f>
        <v/>
      </c>
      <c r="E41" s="18" t="str">
        <f aca="false">IF(A41="","",IF(AND(B41="Y",D41=0),"GAP: SOX risk has no key control",IF(C41=0,"No control mapped","OK")))</f>
        <v/>
      </c>
    </row>
    <row r="42" customFormat="false" ht="15" hidden="false" customHeight="false" outlineLevel="0" collapsed="false">
      <c r="A42" s="18" t="str">
        <f aca="false">IF(Ref_RISK!A39="","",Ref_RISK!A39)</f>
        <v/>
      </c>
      <c r="B42" s="18" t="str">
        <f aca="false">IF(A42="","",Ref_RISK!B39)</f>
        <v/>
      </c>
      <c r="C42" s="18" t="str">
        <f aca="false">IF(A42="","",COUNTIF(Risk_Control_Map!$B$5:$B$204,A42))</f>
        <v/>
      </c>
      <c r="D42" s="18" t="str">
        <f aca="false">IF(A42="","",SUMPRODUCT((Risk_Control_Map!$B$5:$B$204=A42)*(Risk_Control_Map!$G$5:$G$204="Y")))</f>
        <v/>
      </c>
      <c r="E42" s="18" t="str">
        <f aca="false">IF(A42="","",IF(AND(B42="Y",D42=0),"GAP: SOX risk has no key control",IF(C42=0,"No control mapped","OK")))</f>
        <v/>
      </c>
    </row>
    <row r="43" customFormat="false" ht="15" hidden="false" customHeight="false" outlineLevel="0" collapsed="false">
      <c r="A43" s="18" t="str">
        <f aca="false">IF(Ref_RISK!A40="","",Ref_RISK!A40)</f>
        <v/>
      </c>
      <c r="B43" s="18" t="str">
        <f aca="false">IF(A43="","",Ref_RISK!B40)</f>
        <v/>
      </c>
      <c r="C43" s="18" t="str">
        <f aca="false">IF(A43="","",COUNTIF(Risk_Control_Map!$B$5:$B$204,A43))</f>
        <v/>
      </c>
      <c r="D43" s="18" t="str">
        <f aca="false">IF(A43="","",SUMPRODUCT((Risk_Control_Map!$B$5:$B$204=A43)*(Risk_Control_Map!$G$5:$G$204="Y")))</f>
        <v/>
      </c>
      <c r="E43" s="18" t="str">
        <f aca="false">IF(A43="","",IF(AND(B43="Y",D43=0),"GAP: SOX risk has no key control",IF(C43=0,"No control mapped","OK")))</f>
        <v/>
      </c>
    </row>
    <row r="44" customFormat="false" ht="15" hidden="false" customHeight="false" outlineLevel="0" collapsed="false">
      <c r="A44" s="18" t="str">
        <f aca="false">IF(Ref_RISK!A41="","",Ref_RISK!A41)</f>
        <v/>
      </c>
      <c r="B44" s="18" t="str">
        <f aca="false">IF(A44="","",Ref_RISK!B41)</f>
        <v/>
      </c>
      <c r="C44" s="18" t="str">
        <f aca="false">IF(A44="","",COUNTIF(Risk_Control_Map!$B$5:$B$204,A44))</f>
        <v/>
      </c>
      <c r="D44" s="18" t="str">
        <f aca="false">IF(A44="","",SUMPRODUCT((Risk_Control_Map!$B$5:$B$204=A44)*(Risk_Control_Map!$G$5:$G$204="Y")))</f>
        <v/>
      </c>
      <c r="E44" s="18" t="str">
        <f aca="false">IF(A44="","",IF(AND(B44="Y",D44=0),"GAP: SOX risk has no key control",IF(C44=0,"No control mapped","OK")))</f>
        <v/>
      </c>
    </row>
    <row r="45" customFormat="false" ht="15" hidden="false" customHeight="false" outlineLevel="0" collapsed="false">
      <c r="A45" s="18" t="str">
        <f aca="false">IF(Ref_RISK!A42="","",Ref_RISK!A42)</f>
        <v/>
      </c>
      <c r="B45" s="18" t="str">
        <f aca="false">IF(A45="","",Ref_RISK!B42)</f>
        <v/>
      </c>
      <c r="C45" s="18" t="str">
        <f aca="false">IF(A45="","",COUNTIF(Risk_Control_Map!$B$5:$B$204,A45))</f>
        <v/>
      </c>
      <c r="D45" s="18" t="str">
        <f aca="false">IF(A45="","",SUMPRODUCT((Risk_Control_Map!$B$5:$B$204=A45)*(Risk_Control_Map!$G$5:$G$204="Y")))</f>
        <v/>
      </c>
      <c r="E45" s="18" t="str">
        <f aca="false">IF(A45="","",IF(AND(B45="Y",D45=0),"GAP: SOX risk has no key control",IF(C45=0,"No control mapped","OK")))</f>
        <v/>
      </c>
    </row>
    <row r="46" customFormat="false" ht="15" hidden="false" customHeight="false" outlineLevel="0" collapsed="false">
      <c r="A46" s="18" t="str">
        <f aca="false">IF(Ref_RISK!A43="","",Ref_RISK!A43)</f>
        <v/>
      </c>
      <c r="B46" s="18" t="str">
        <f aca="false">IF(A46="","",Ref_RISK!B43)</f>
        <v/>
      </c>
      <c r="C46" s="18" t="str">
        <f aca="false">IF(A46="","",COUNTIF(Risk_Control_Map!$B$5:$B$204,A46))</f>
        <v/>
      </c>
      <c r="D46" s="18" t="str">
        <f aca="false">IF(A46="","",SUMPRODUCT((Risk_Control_Map!$B$5:$B$204=A46)*(Risk_Control_Map!$G$5:$G$204="Y")))</f>
        <v/>
      </c>
      <c r="E46" s="18" t="str">
        <f aca="false">IF(A46="","",IF(AND(B46="Y",D46=0),"GAP: SOX risk has no key control",IF(C46=0,"No control mapped","OK")))</f>
        <v/>
      </c>
    </row>
    <row r="47" customFormat="false" ht="15" hidden="false" customHeight="false" outlineLevel="0" collapsed="false">
      <c r="A47" s="18" t="str">
        <f aca="false">IF(Ref_RISK!A44="","",Ref_RISK!A44)</f>
        <v/>
      </c>
      <c r="B47" s="18" t="str">
        <f aca="false">IF(A47="","",Ref_RISK!B44)</f>
        <v/>
      </c>
      <c r="C47" s="18" t="str">
        <f aca="false">IF(A47="","",COUNTIF(Risk_Control_Map!$B$5:$B$204,A47))</f>
        <v/>
      </c>
      <c r="D47" s="18" t="str">
        <f aca="false">IF(A47="","",SUMPRODUCT((Risk_Control_Map!$B$5:$B$204=A47)*(Risk_Control_Map!$G$5:$G$204="Y")))</f>
        <v/>
      </c>
      <c r="E47" s="18" t="str">
        <f aca="false">IF(A47="","",IF(AND(B47="Y",D47=0),"GAP: SOX risk has no key control",IF(C47=0,"No control mapped","OK")))</f>
        <v/>
      </c>
    </row>
    <row r="48" customFormat="false" ht="15" hidden="false" customHeight="false" outlineLevel="0" collapsed="false">
      <c r="A48" s="18" t="str">
        <f aca="false">IF(Ref_RISK!A45="","",Ref_RISK!A45)</f>
        <v/>
      </c>
      <c r="B48" s="18" t="str">
        <f aca="false">IF(A48="","",Ref_RISK!B45)</f>
        <v/>
      </c>
      <c r="C48" s="18" t="str">
        <f aca="false">IF(A48="","",COUNTIF(Risk_Control_Map!$B$5:$B$204,A48))</f>
        <v/>
      </c>
      <c r="D48" s="18" t="str">
        <f aca="false">IF(A48="","",SUMPRODUCT((Risk_Control_Map!$B$5:$B$204=A48)*(Risk_Control_Map!$G$5:$G$204="Y")))</f>
        <v/>
      </c>
      <c r="E48" s="18" t="str">
        <f aca="false">IF(A48="","",IF(AND(B48="Y",D48=0),"GAP: SOX risk has no key control",IF(C48=0,"No control mapped","OK")))</f>
        <v/>
      </c>
    </row>
    <row r="49" customFormat="false" ht="15" hidden="false" customHeight="false" outlineLevel="0" collapsed="false">
      <c r="A49" s="18" t="str">
        <f aca="false">IF(Ref_RISK!A46="","",Ref_RISK!A46)</f>
        <v/>
      </c>
      <c r="B49" s="18" t="str">
        <f aca="false">IF(A49="","",Ref_RISK!B46)</f>
        <v/>
      </c>
      <c r="C49" s="18" t="str">
        <f aca="false">IF(A49="","",COUNTIF(Risk_Control_Map!$B$5:$B$204,A49))</f>
        <v/>
      </c>
      <c r="D49" s="18" t="str">
        <f aca="false">IF(A49="","",SUMPRODUCT((Risk_Control_Map!$B$5:$B$204=A49)*(Risk_Control_Map!$G$5:$G$204="Y")))</f>
        <v/>
      </c>
      <c r="E49" s="18" t="str">
        <f aca="false">IF(A49="","",IF(AND(B49="Y",D49=0),"GAP: SOX risk has no key control",IF(C49=0,"No control mapped","OK")))</f>
        <v/>
      </c>
    </row>
    <row r="50" customFormat="false" ht="15" hidden="false" customHeight="false" outlineLevel="0" collapsed="false">
      <c r="A50" s="18" t="str">
        <f aca="false">IF(Ref_RISK!A47="","",Ref_RISK!A47)</f>
        <v/>
      </c>
      <c r="B50" s="18" t="str">
        <f aca="false">IF(A50="","",Ref_RISK!B47)</f>
        <v/>
      </c>
      <c r="C50" s="18" t="str">
        <f aca="false">IF(A50="","",COUNTIF(Risk_Control_Map!$B$5:$B$204,A50))</f>
        <v/>
      </c>
      <c r="D50" s="18" t="str">
        <f aca="false">IF(A50="","",SUMPRODUCT((Risk_Control_Map!$B$5:$B$204=A50)*(Risk_Control_Map!$G$5:$G$204="Y")))</f>
        <v/>
      </c>
      <c r="E50" s="18" t="str">
        <f aca="false">IF(A50="","",IF(AND(B50="Y",D50=0),"GAP: SOX risk has no key control",IF(C50=0,"No control mapped","OK")))</f>
        <v/>
      </c>
    </row>
    <row r="51" customFormat="false" ht="15" hidden="false" customHeight="false" outlineLevel="0" collapsed="false">
      <c r="A51" s="18" t="str">
        <f aca="false">IF(Ref_RISK!A48="","",Ref_RISK!A48)</f>
        <v/>
      </c>
      <c r="B51" s="18" t="str">
        <f aca="false">IF(A51="","",Ref_RISK!B48)</f>
        <v/>
      </c>
      <c r="C51" s="18" t="str">
        <f aca="false">IF(A51="","",COUNTIF(Risk_Control_Map!$B$5:$B$204,A51))</f>
        <v/>
      </c>
      <c r="D51" s="18" t="str">
        <f aca="false">IF(A51="","",SUMPRODUCT((Risk_Control_Map!$B$5:$B$204=A51)*(Risk_Control_Map!$G$5:$G$204="Y")))</f>
        <v/>
      </c>
      <c r="E51" s="18" t="str">
        <f aca="false">IF(A51="","",IF(AND(B51="Y",D51=0),"GAP: SOX risk has no key control",IF(C51=0,"No control mapped","OK")))</f>
        <v/>
      </c>
    </row>
    <row r="52" customFormat="false" ht="15" hidden="false" customHeight="false" outlineLevel="0" collapsed="false">
      <c r="A52" s="18" t="str">
        <f aca="false">IF(Ref_RISK!A49="","",Ref_RISK!A49)</f>
        <v/>
      </c>
      <c r="B52" s="18" t="str">
        <f aca="false">IF(A52="","",Ref_RISK!B49)</f>
        <v/>
      </c>
      <c r="C52" s="18" t="str">
        <f aca="false">IF(A52="","",COUNTIF(Risk_Control_Map!$B$5:$B$204,A52))</f>
        <v/>
      </c>
      <c r="D52" s="18" t="str">
        <f aca="false">IF(A52="","",SUMPRODUCT((Risk_Control_Map!$B$5:$B$204=A52)*(Risk_Control_Map!$G$5:$G$204="Y")))</f>
        <v/>
      </c>
      <c r="E52" s="18" t="str">
        <f aca="false">IF(A52="","",IF(AND(B52="Y",D52=0),"GAP: SOX risk has no key control",IF(C52=0,"No control mapped","OK")))</f>
        <v/>
      </c>
    </row>
    <row r="53" customFormat="false" ht="15" hidden="false" customHeight="false" outlineLevel="0" collapsed="false">
      <c r="A53" s="18" t="str">
        <f aca="false">IF(Ref_RISK!A50="","",Ref_RISK!A50)</f>
        <v/>
      </c>
      <c r="B53" s="18" t="str">
        <f aca="false">IF(A53="","",Ref_RISK!B50)</f>
        <v/>
      </c>
      <c r="C53" s="18" t="str">
        <f aca="false">IF(A53="","",COUNTIF(Risk_Control_Map!$B$5:$B$204,A53))</f>
        <v/>
      </c>
      <c r="D53" s="18" t="str">
        <f aca="false">IF(A53="","",SUMPRODUCT((Risk_Control_Map!$B$5:$B$204=A53)*(Risk_Control_Map!$G$5:$G$204="Y")))</f>
        <v/>
      </c>
      <c r="E53" s="18" t="str">
        <f aca="false">IF(A53="","",IF(AND(B53="Y",D53=0),"GAP: SOX risk has no key control",IF(C53=0,"No control mapped","OK")))</f>
        <v/>
      </c>
    </row>
    <row r="54" customFormat="false" ht="15" hidden="false" customHeight="false" outlineLevel="0" collapsed="false">
      <c r="A54" s="18" t="str">
        <f aca="false">IF(Ref_RISK!A51="","",Ref_RISK!A51)</f>
        <v/>
      </c>
      <c r="B54" s="18" t="str">
        <f aca="false">IF(A54="","",Ref_RISK!B51)</f>
        <v/>
      </c>
      <c r="C54" s="18" t="str">
        <f aca="false">IF(A54="","",COUNTIF(Risk_Control_Map!$B$5:$B$204,A54))</f>
        <v/>
      </c>
      <c r="D54" s="18" t="str">
        <f aca="false">IF(A54="","",SUMPRODUCT((Risk_Control_Map!$B$5:$B$204=A54)*(Risk_Control_Map!$G$5:$G$204="Y")))</f>
        <v/>
      </c>
      <c r="E54" s="18" t="str">
        <f aca="false">IF(A54="","",IF(AND(B54="Y",D54=0),"GAP: SOX risk has no key control",IF(C54=0,"No control mapped","OK")))</f>
        <v/>
      </c>
    </row>
    <row r="55" customFormat="false" ht="15" hidden="false" customHeight="false" outlineLevel="0" collapsed="false">
      <c r="A55" s="18" t="str">
        <f aca="false">IF(Ref_RISK!A52="","",Ref_RISK!A52)</f>
        <v/>
      </c>
      <c r="B55" s="18" t="str">
        <f aca="false">IF(A55="","",Ref_RISK!B52)</f>
        <v/>
      </c>
      <c r="C55" s="18" t="str">
        <f aca="false">IF(A55="","",COUNTIF(Risk_Control_Map!$B$5:$B$204,A55))</f>
        <v/>
      </c>
      <c r="D55" s="18" t="str">
        <f aca="false">IF(A55="","",SUMPRODUCT((Risk_Control_Map!$B$5:$B$204=A55)*(Risk_Control_Map!$G$5:$G$204="Y")))</f>
        <v/>
      </c>
      <c r="E55" s="18" t="str">
        <f aca="false">IF(A55="","",IF(AND(B55="Y",D55=0),"GAP: SOX risk has no key control",IF(C55=0,"No control mapped","OK")))</f>
        <v/>
      </c>
    </row>
    <row r="56" customFormat="false" ht="15" hidden="false" customHeight="false" outlineLevel="0" collapsed="false">
      <c r="A56" s="18" t="str">
        <f aca="false">IF(Ref_RISK!A53="","",Ref_RISK!A53)</f>
        <v/>
      </c>
      <c r="B56" s="18" t="str">
        <f aca="false">IF(A56="","",Ref_RISK!B53)</f>
        <v/>
      </c>
      <c r="C56" s="18" t="str">
        <f aca="false">IF(A56="","",COUNTIF(Risk_Control_Map!$B$5:$B$204,A56))</f>
        <v/>
      </c>
      <c r="D56" s="18" t="str">
        <f aca="false">IF(A56="","",SUMPRODUCT((Risk_Control_Map!$B$5:$B$204=A56)*(Risk_Control_Map!$G$5:$G$204="Y")))</f>
        <v/>
      </c>
      <c r="E56" s="18" t="str">
        <f aca="false">IF(A56="","",IF(AND(B56="Y",D56=0),"GAP: SOX risk has no key control",IF(C56=0,"No control mapped","OK")))</f>
        <v/>
      </c>
    </row>
    <row r="57" customFormat="false" ht="15" hidden="false" customHeight="false" outlineLevel="0" collapsed="false">
      <c r="A57" s="18" t="str">
        <f aca="false">IF(Ref_RISK!A54="","",Ref_RISK!A54)</f>
        <v/>
      </c>
      <c r="B57" s="18" t="str">
        <f aca="false">IF(A57="","",Ref_RISK!B54)</f>
        <v/>
      </c>
      <c r="C57" s="18" t="str">
        <f aca="false">IF(A57="","",COUNTIF(Risk_Control_Map!$B$5:$B$204,A57))</f>
        <v/>
      </c>
      <c r="D57" s="18" t="str">
        <f aca="false">IF(A57="","",SUMPRODUCT((Risk_Control_Map!$B$5:$B$204=A57)*(Risk_Control_Map!$G$5:$G$204="Y")))</f>
        <v/>
      </c>
      <c r="E57" s="18" t="str">
        <f aca="false">IF(A57="","",IF(AND(B57="Y",D57=0),"GAP: SOX risk has no key control",IF(C57=0,"No control mapped","OK")))</f>
        <v/>
      </c>
    </row>
    <row r="58" customFormat="false" ht="15" hidden="false" customHeight="false" outlineLevel="0" collapsed="false">
      <c r="A58" s="18" t="str">
        <f aca="false">IF(Ref_RISK!A55="","",Ref_RISK!A55)</f>
        <v/>
      </c>
      <c r="B58" s="18" t="str">
        <f aca="false">IF(A58="","",Ref_RISK!B55)</f>
        <v/>
      </c>
      <c r="C58" s="18" t="str">
        <f aca="false">IF(A58="","",COUNTIF(Risk_Control_Map!$B$5:$B$204,A58))</f>
        <v/>
      </c>
      <c r="D58" s="18" t="str">
        <f aca="false">IF(A58="","",SUMPRODUCT((Risk_Control_Map!$B$5:$B$204=A58)*(Risk_Control_Map!$G$5:$G$204="Y")))</f>
        <v/>
      </c>
      <c r="E58" s="18" t="str">
        <f aca="false">IF(A58="","",IF(AND(B58="Y",D58=0),"GAP: SOX risk has no key control",IF(C58=0,"No control mapped","OK")))</f>
        <v/>
      </c>
    </row>
    <row r="59" customFormat="false" ht="15" hidden="false" customHeight="false" outlineLevel="0" collapsed="false">
      <c r="A59" s="18" t="str">
        <f aca="false">IF(Ref_RISK!A56="","",Ref_RISK!A56)</f>
        <v/>
      </c>
      <c r="B59" s="18" t="str">
        <f aca="false">IF(A59="","",Ref_RISK!B56)</f>
        <v/>
      </c>
      <c r="C59" s="18" t="str">
        <f aca="false">IF(A59="","",COUNTIF(Risk_Control_Map!$B$5:$B$204,A59))</f>
        <v/>
      </c>
      <c r="D59" s="18" t="str">
        <f aca="false">IF(A59="","",SUMPRODUCT((Risk_Control_Map!$B$5:$B$204=A59)*(Risk_Control_Map!$G$5:$G$204="Y")))</f>
        <v/>
      </c>
      <c r="E59" s="18" t="str">
        <f aca="false">IF(A59="","",IF(AND(B59="Y",D59=0),"GAP: SOX risk has no key control",IF(C59=0,"No control mapped","OK")))</f>
        <v/>
      </c>
    </row>
    <row r="60" customFormat="false" ht="15" hidden="false" customHeight="false" outlineLevel="0" collapsed="false">
      <c r="A60" s="18" t="str">
        <f aca="false">IF(Ref_RISK!A57="","",Ref_RISK!A57)</f>
        <v/>
      </c>
      <c r="B60" s="18" t="str">
        <f aca="false">IF(A60="","",Ref_RISK!B57)</f>
        <v/>
      </c>
      <c r="C60" s="18" t="str">
        <f aca="false">IF(A60="","",COUNTIF(Risk_Control_Map!$B$5:$B$204,A60))</f>
        <v/>
      </c>
      <c r="D60" s="18" t="str">
        <f aca="false">IF(A60="","",SUMPRODUCT((Risk_Control_Map!$B$5:$B$204=A60)*(Risk_Control_Map!$G$5:$G$204="Y")))</f>
        <v/>
      </c>
      <c r="E60" s="18" t="str">
        <f aca="false">IF(A60="","",IF(AND(B60="Y",D60=0),"GAP: SOX risk has no key control",IF(C60=0,"No control mapped","OK")))</f>
        <v/>
      </c>
    </row>
    <row r="61" customFormat="false" ht="15" hidden="false" customHeight="false" outlineLevel="0" collapsed="false">
      <c r="A61" s="18" t="str">
        <f aca="false">IF(Ref_RISK!A58="","",Ref_RISK!A58)</f>
        <v/>
      </c>
      <c r="B61" s="18" t="str">
        <f aca="false">IF(A61="","",Ref_RISK!B58)</f>
        <v/>
      </c>
      <c r="C61" s="18" t="str">
        <f aca="false">IF(A61="","",COUNTIF(Risk_Control_Map!$B$5:$B$204,A61))</f>
        <v/>
      </c>
      <c r="D61" s="18" t="str">
        <f aca="false">IF(A61="","",SUMPRODUCT((Risk_Control_Map!$B$5:$B$204=A61)*(Risk_Control_Map!$G$5:$G$204="Y")))</f>
        <v/>
      </c>
      <c r="E61" s="18" t="str">
        <f aca="false">IF(A61="","",IF(AND(B61="Y",D61=0),"GAP: SOX risk has no key control",IF(C61=0,"No control mapped","OK")))</f>
        <v/>
      </c>
    </row>
    <row r="62" customFormat="false" ht="15" hidden="false" customHeight="false" outlineLevel="0" collapsed="false">
      <c r="A62" s="18" t="str">
        <f aca="false">IF(Ref_RISK!A59="","",Ref_RISK!A59)</f>
        <v/>
      </c>
      <c r="B62" s="18" t="str">
        <f aca="false">IF(A62="","",Ref_RISK!B59)</f>
        <v/>
      </c>
      <c r="C62" s="18" t="str">
        <f aca="false">IF(A62="","",COUNTIF(Risk_Control_Map!$B$5:$B$204,A62))</f>
        <v/>
      </c>
      <c r="D62" s="18" t="str">
        <f aca="false">IF(A62="","",SUMPRODUCT((Risk_Control_Map!$B$5:$B$204=A62)*(Risk_Control_Map!$G$5:$G$204="Y")))</f>
        <v/>
      </c>
      <c r="E62" s="18" t="str">
        <f aca="false">IF(A62="","",IF(AND(B62="Y",D62=0),"GAP: SOX risk has no key control",IF(C62=0,"No control mapped","OK")))</f>
        <v/>
      </c>
    </row>
    <row r="63" customFormat="false" ht="15" hidden="false" customHeight="false" outlineLevel="0" collapsed="false">
      <c r="A63" s="18" t="str">
        <f aca="false">IF(Ref_RISK!A60="","",Ref_RISK!A60)</f>
        <v/>
      </c>
      <c r="B63" s="18" t="str">
        <f aca="false">IF(A63="","",Ref_RISK!B60)</f>
        <v/>
      </c>
      <c r="C63" s="18" t="str">
        <f aca="false">IF(A63="","",COUNTIF(Risk_Control_Map!$B$5:$B$204,A63))</f>
        <v/>
      </c>
      <c r="D63" s="18" t="str">
        <f aca="false">IF(A63="","",SUMPRODUCT((Risk_Control_Map!$B$5:$B$204=A63)*(Risk_Control_Map!$G$5:$G$204="Y")))</f>
        <v/>
      </c>
      <c r="E63" s="18" t="str">
        <f aca="false">IF(A63="","",IF(AND(B63="Y",D63=0),"GAP: SOX risk has no key control",IF(C63=0,"No control mapped","OK")))</f>
        <v/>
      </c>
    </row>
    <row r="64" customFormat="false" ht="15" hidden="false" customHeight="false" outlineLevel="0" collapsed="false">
      <c r="A64" s="18" t="str">
        <f aca="false">IF(Ref_RISK!A61="","",Ref_RISK!A61)</f>
        <v/>
      </c>
      <c r="B64" s="18" t="str">
        <f aca="false">IF(A64="","",Ref_RISK!B61)</f>
        <v/>
      </c>
      <c r="C64" s="18" t="str">
        <f aca="false">IF(A64="","",COUNTIF(Risk_Control_Map!$B$5:$B$204,A64))</f>
        <v/>
      </c>
      <c r="D64" s="18" t="str">
        <f aca="false">IF(A64="","",SUMPRODUCT((Risk_Control_Map!$B$5:$B$204=A64)*(Risk_Control_Map!$G$5:$G$204="Y")))</f>
        <v/>
      </c>
      <c r="E64" s="18" t="str">
        <f aca="false">IF(A64="","",IF(AND(B64="Y",D64=0),"GAP: SOX risk has no key control",IF(C64=0,"No control mapped","OK")))</f>
        <v/>
      </c>
    </row>
    <row r="65" customFormat="false" ht="15" hidden="false" customHeight="false" outlineLevel="0" collapsed="false">
      <c r="A65" s="18" t="str">
        <f aca="false">IF(Ref_RISK!A62="","",Ref_RISK!A62)</f>
        <v/>
      </c>
      <c r="B65" s="18" t="str">
        <f aca="false">IF(A65="","",Ref_RISK!B62)</f>
        <v/>
      </c>
      <c r="C65" s="18" t="str">
        <f aca="false">IF(A65="","",COUNTIF(Risk_Control_Map!$B$5:$B$204,A65))</f>
        <v/>
      </c>
      <c r="D65" s="18" t="str">
        <f aca="false">IF(A65="","",SUMPRODUCT((Risk_Control_Map!$B$5:$B$204=A65)*(Risk_Control_Map!$G$5:$G$204="Y")))</f>
        <v/>
      </c>
      <c r="E65" s="18" t="str">
        <f aca="false">IF(A65="","",IF(AND(B65="Y",D65=0),"GAP: SOX risk has no key control",IF(C65=0,"No control mapped","OK")))</f>
        <v/>
      </c>
    </row>
    <row r="66" customFormat="false" ht="15" hidden="false" customHeight="false" outlineLevel="0" collapsed="false">
      <c r="A66" s="18" t="str">
        <f aca="false">IF(Ref_RISK!A63="","",Ref_RISK!A63)</f>
        <v/>
      </c>
      <c r="B66" s="18" t="str">
        <f aca="false">IF(A66="","",Ref_RISK!B63)</f>
        <v/>
      </c>
      <c r="C66" s="18" t="str">
        <f aca="false">IF(A66="","",COUNTIF(Risk_Control_Map!$B$5:$B$204,A66))</f>
        <v/>
      </c>
      <c r="D66" s="18" t="str">
        <f aca="false">IF(A66="","",SUMPRODUCT((Risk_Control_Map!$B$5:$B$204=A66)*(Risk_Control_Map!$G$5:$G$204="Y")))</f>
        <v/>
      </c>
      <c r="E66" s="18" t="str">
        <f aca="false">IF(A66="","",IF(AND(B66="Y",D66=0),"GAP: SOX risk has no key control",IF(C66=0,"No control mapped","OK")))</f>
        <v/>
      </c>
    </row>
    <row r="67" customFormat="false" ht="15" hidden="false" customHeight="false" outlineLevel="0" collapsed="false">
      <c r="A67" s="18" t="str">
        <f aca="false">IF(Ref_RISK!A64="","",Ref_RISK!A64)</f>
        <v/>
      </c>
      <c r="B67" s="18" t="str">
        <f aca="false">IF(A67="","",Ref_RISK!B64)</f>
        <v/>
      </c>
      <c r="C67" s="18" t="str">
        <f aca="false">IF(A67="","",COUNTIF(Risk_Control_Map!$B$5:$B$204,A67))</f>
        <v/>
      </c>
      <c r="D67" s="18" t="str">
        <f aca="false">IF(A67="","",SUMPRODUCT((Risk_Control_Map!$B$5:$B$204=A67)*(Risk_Control_Map!$G$5:$G$204="Y")))</f>
        <v/>
      </c>
      <c r="E67" s="18" t="str">
        <f aca="false">IF(A67="","",IF(AND(B67="Y",D67=0),"GAP: SOX risk has no key control",IF(C67=0,"No control mapped","OK")))</f>
        <v/>
      </c>
    </row>
    <row r="68" customFormat="false" ht="15" hidden="false" customHeight="false" outlineLevel="0" collapsed="false">
      <c r="A68" s="18" t="str">
        <f aca="false">IF(Ref_RISK!A65="","",Ref_RISK!A65)</f>
        <v/>
      </c>
      <c r="B68" s="18" t="str">
        <f aca="false">IF(A68="","",Ref_RISK!B65)</f>
        <v/>
      </c>
      <c r="C68" s="18" t="str">
        <f aca="false">IF(A68="","",COUNTIF(Risk_Control_Map!$B$5:$B$204,A68))</f>
        <v/>
      </c>
      <c r="D68" s="18" t="str">
        <f aca="false">IF(A68="","",SUMPRODUCT((Risk_Control_Map!$B$5:$B$204=A68)*(Risk_Control_Map!$G$5:$G$204="Y")))</f>
        <v/>
      </c>
      <c r="E68" s="18" t="str">
        <f aca="false">IF(A68="","",IF(AND(B68="Y",D68=0),"GAP: SOX risk has no key control",IF(C68=0,"No control mapped","OK")))</f>
        <v/>
      </c>
    </row>
    <row r="69" customFormat="false" ht="15" hidden="false" customHeight="false" outlineLevel="0" collapsed="false">
      <c r="A69" s="18" t="str">
        <f aca="false">IF(Ref_RISK!A66="","",Ref_RISK!A66)</f>
        <v/>
      </c>
      <c r="B69" s="18" t="str">
        <f aca="false">IF(A69="","",Ref_RISK!B66)</f>
        <v/>
      </c>
      <c r="C69" s="18" t="str">
        <f aca="false">IF(A69="","",COUNTIF(Risk_Control_Map!$B$5:$B$204,A69))</f>
        <v/>
      </c>
      <c r="D69" s="18" t="str">
        <f aca="false">IF(A69="","",SUMPRODUCT((Risk_Control_Map!$B$5:$B$204=A69)*(Risk_Control_Map!$G$5:$G$204="Y")))</f>
        <v/>
      </c>
      <c r="E69" s="18" t="str">
        <f aca="false">IF(A69="","",IF(AND(B69="Y",D69=0),"GAP: SOX risk has no key control",IF(C69=0,"No control mapped","OK")))</f>
        <v/>
      </c>
    </row>
    <row r="70" customFormat="false" ht="15" hidden="false" customHeight="false" outlineLevel="0" collapsed="false">
      <c r="A70" s="18" t="str">
        <f aca="false">IF(Ref_RISK!A67="","",Ref_RISK!A67)</f>
        <v/>
      </c>
      <c r="B70" s="18" t="str">
        <f aca="false">IF(A70="","",Ref_RISK!B67)</f>
        <v/>
      </c>
      <c r="C70" s="18" t="str">
        <f aca="false">IF(A70="","",COUNTIF(Risk_Control_Map!$B$5:$B$204,A70))</f>
        <v/>
      </c>
      <c r="D70" s="18" t="str">
        <f aca="false">IF(A70="","",SUMPRODUCT((Risk_Control_Map!$B$5:$B$204=A70)*(Risk_Control_Map!$G$5:$G$204="Y")))</f>
        <v/>
      </c>
      <c r="E70" s="18" t="str">
        <f aca="false">IF(A70="","",IF(AND(B70="Y",D70=0),"GAP: SOX risk has no key control",IF(C70=0,"No control mapped","OK")))</f>
        <v/>
      </c>
    </row>
    <row r="71" customFormat="false" ht="15" hidden="false" customHeight="false" outlineLevel="0" collapsed="false">
      <c r="A71" s="18" t="str">
        <f aca="false">IF(Ref_RISK!A68="","",Ref_RISK!A68)</f>
        <v/>
      </c>
      <c r="B71" s="18" t="str">
        <f aca="false">IF(A71="","",Ref_RISK!B68)</f>
        <v/>
      </c>
      <c r="C71" s="18" t="str">
        <f aca="false">IF(A71="","",COUNTIF(Risk_Control_Map!$B$5:$B$204,A71))</f>
        <v/>
      </c>
      <c r="D71" s="18" t="str">
        <f aca="false">IF(A71="","",SUMPRODUCT((Risk_Control_Map!$B$5:$B$204=A71)*(Risk_Control_Map!$G$5:$G$204="Y")))</f>
        <v/>
      </c>
      <c r="E71" s="18" t="str">
        <f aca="false">IF(A71="","",IF(AND(B71="Y",D71=0),"GAP: SOX risk has no key control",IF(C71=0,"No control mapped","OK")))</f>
        <v/>
      </c>
    </row>
    <row r="72" customFormat="false" ht="15" hidden="false" customHeight="false" outlineLevel="0" collapsed="false">
      <c r="A72" s="18" t="str">
        <f aca="false">IF(Ref_RISK!A69="","",Ref_RISK!A69)</f>
        <v/>
      </c>
      <c r="B72" s="18" t="str">
        <f aca="false">IF(A72="","",Ref_RISK!B69)</f>
        <v/>
      </c>
      <c r="C72" s="18" t="str">
        <f aca="false">IF(A72="","",COUNTIF(Risk_Control_Map!$B$5:$B$204,A72))</f>
        <v/>
      </c>
      <c r="D72" s="18" t="str">
        <f aca="false">IF(A72="","",SUMPRODUCT((Risk_Control_Map!$B$5:$B$204=A72)*(Risk_Control_Map!$G$5:$G$204="Y")))</f>
        <v/>
      </c>
      <c r="E72" s="18" t="str">
        <f aca="false">IF(A72="","",IF(AND(B72="Y",D72=0),"GAP: SOX risk has no key control",IF(C72=0,"No control mapped","OK")))</f>
        <v/>
      </c>
    </row>
    <row r="73" customFormat="false" ht="15" hidden="false" customHeight="false" outlineLevel="0" collapsed="false">
      <c r="A73" s="18" t="str">
        <f aca="false">IF(Ref_RISK!A70="","",Ref_RISK!A70)</f>
        <v/>
      </c>
      <c r="B73" s="18" t="str">
        <f aca="false">IF(A73="","",Ref_RISK!B70)</f>
        <v/>
      </c>
      <c r="C73" s="18" t="str">
        <f aca="false">IF(A73="","",COUNTIF(Risk_Control_Map!$B$5:$B$204,A73))</f>
        <v/>
      </c>
      <c r="D73" s="18" t="str">
        <f aca="false">IF(A73="","",SUMPRODUCT((Risk_Control_Map!$B$5:$B$204=A73)*(Risk_Control_Map!$G$5:$G$204="Y")))</f>
        <v/>
      </c>
      <c r="E73" s="18" t="str">
        <f aca="false">IF(A73="","",IF(AND(B73="Y",D73=0),"GAP: SOX risk has no key control",IF(C73=0,"No control mapped","OK")))</f>
        <v/>
      </c>
    </row>
    <row r="74" customFormat="false" ht="15" hidden="false" customHeight="false" outlineLevel="0" collapsed="false">
      <c r="A74" s="18" t="str">
        <f aca="false">IF(Ref_RISK!A71="","",Ref_RISK!A71)</f>
        <v/>
      </c>
      <c r="B74" s="18" t="str">
        <f aca="false">IF(A74="","",Ref_RISK!B71)</f>
        <v/>
      </c>
      <c r="C74" s="18" t="str">
        <f aca="false">IF(A74="","",COUNTIF(Risk_Control_Map!$B$5:$B$204,A74))</f>
        <v/>
      </c>
      <c r="D74" s="18" t="str">
        <f aca="false">IF(A74="","",SUMPRODUCT((Risk_Control_Map!$B$5:$B$204=A74)*(Risk_Control_Map!$G$5:$G$204="Y")))</f>
        <v/>
      </c>
      <c r="E74" s="18" t="str">
        <f aca="false">IF(A74="","",IF(AND(B74="Y",D74=0),"GAP: SOX risk has no key control",IF(C74=0,"No control mapped","OK")))</f>
        <v/>
      </c>
    </row>
    <row r="75" customFormat="false" ht="15" hidden="false" customHeight="false" outlineLevel="0" collapsed="false">
      <c r="A75" s="18" t="str">
        <f aca="false">IF(Ref_RISK!A72="","",Ref_RISK!A72)</f>
        <v/>
      </c>
      <c r="B75" s="18" t="str">
        <f aca="false">IF(A75="","",Ref_RISK!B72)</f>
        <v/>
      </c>
      <c r="C75" s="18" t="str">
        <f aca="false">IF(A75="","",COUNTIF(Risk_Control_Map!$B$5:$B$204,A75))</f>
        <v/>
      </c>
      <c r="D75" s="18" t="str">
        <f aca="false">IF(A75="","",SUMPRODUCT((Risk_Control_Map!$B$5:$B$204=A75)*(Risk_Control_Map!$G$5:$G$204="Y")))</f>
        <v/>
      </c>
      <c r="E75" s="18" t="str">
        <f aca="false">IF(A75="","",IF(AND(B75="Y",D75=0),"GAP: SOX risk has no key control",IF(C75=0,"No control mapped","OK")))</f>
        <v/>
      </c>
    </row>
    <row r="76" customFormat="false" ht="15" hidden="false" customHeight="false" outlineLevel="0" collapsed="false">
      <c r="A76" s="18" t="str">
        <f aca="false">IF(Ref_RISK!A73="","",Ref_RISK!A73)</f>
        <v/>
      </c>
      <c r="B76" s="18" t="str">
        <f aca="false">IF(A76="","",Ref_RISK!B73)</f>
        <v/>
      </c>
      <c r="C76" s="18" t="str">
        <f aca="false">IF(A76="","",COUNTIF(Risk_Control_Map!$B$5:$B$204,A76))</f>
        <v/>
      </c>
      <c r="D76" s="18" t="str">
        <f aca="false">IF(A76="","",SUMPRODUCT((Risk_Control_Map!$B$5:$B$204=A76)*(Risk_Control_Map!$G$5:$G$204="Y")))</f>
        <v/>
      </c>
      <c r="E76" s="18" t="str">
        <f aca="false">IF(A76="","",IF(AND(B76="Y",D76=0),"GAP: SOX risk has no key control",IF(C76=0,"No control mapped","OK")))</f>
        <v/>
      </c>
    </row>
    <row r="77" customFormat="false" ht="15" hidden="false" customHeight="false" outlineLevel="0" collapsed="false">
      <c r="A77" s="18" t="str">
        <f aca="false">IF(Ref_RISK!A74="","",Ref_RISK!A74)</f>
        <v/>
      </c>
      <c r="B77" s="18" t="str">
        <f aca="false">IF(A77="","",Ref_RISK!B74)</f>
        <v/>
      </c>
      <c r="C77" s="18" t="str">
        <f aca="false">IF(A77="","",COUNTIF(Risk_Control_Map!$B$5:$B$204,A77))</f>
        <v/>
      </c>
      <c r="D77" s="18" t="str">
        <f aca="false">IF(A77="","",SUMPRODUCT((Risk_Control_Map!$B$5:$B$204=A77)*(Risk_Control_Map!$G$5:$G$204="Y")))</f>
        <v/>
      </c>
      <c r="E77" s="18" t="str">
        <f aca="false">IF(A77="","",IF(AND(B77="Y",D77=0),"GAP: SOX risk has no key control",IF(C77=0,"No control mapped","OK")))</f>
        <v/>
      </c>
    </row>
    <row r="78" customFormat="false" ht="15" hidden="false" customHeight="false" outlineLevel="0" collapsed="false">
      <c r="A78" s="18" t="str">
        <f aca="false">IF(Ref_RISK!A75="","",Ref_RISK!A75)</f>
        <v/>
      </c>
      <c r="B78" s="18" t="str">
        <f aca="false">IF(A78="","",Ref_RISK!B75)</f>
        <v/>
      </c>
      <c r="C78" s="18" t="str">
        <f aca="false">IF(A78="","",COUNTIF(Risk_Control_Map!$B$5:$B$204,A78))</f>
        <v/>
      </c>
      <c r="D78" s="18" t="str">
        <f aca="false">IF(A78="","",SUMPRODUCT((Risk_Control_Map!$B$5:$B$204=A78)*(Risk_Control_Map!$G$5:$G$204="Y")))</f>
        <v/>
      </c>
      <c r="E78" s="18" t="str">
        <f aca="false">IF(A78="","",IF(AND(B78="Y",D78=0),"GAP: SOX risk has no key control",IF(C78=0,"No control mapped","OK")))</f>
        <v/>
      </c>
    </row>
    <row r="79" customFormat="false" ht="15" hidden="false" customHeight="false" outlineLevel="0" collapsed="false">
      <c r="A79" s="18" t="str">
        <f aca="false">IF(Ref_RISK!A76="","",Ref_RISK!A76)</f>
        <v/>
      </c>
      <c r="B79" s="18" t="str">
        <f aca="false">IF(A79="","",Ref_RISK!B76)</f>
        <v/>
      </c>
      <c r="C79" s="18" t="str">
        <f aca="false">IF(A79="","",COUNTIF(Risk_Control_Map!$B$5:$B$204,A79))</f>
        <v/>
      </c>
      <c r="D79" s="18" t="str">
        <f aca="false">IF(A79="","",SUMPRODUCT((Risk_Control_Map!$B$5:$B$204=A79)*(Risk_Control_Map!$G$5:$G$204="Y")))</f>
        <v/>
      </c>
      <c r="E79" s="18" t="str">
        <f aca="false">IF(A79="","",IF(AND(B79="Y",D79=0),"GAP: SOX risk has no key control",IF(C79=0,"No control mapped","OK")))</f>
        <v/>
      </c>
    </row>
    <row r="80" customFormat="false" ht="15" hidden="false" customHeight="false" outlineLevel="0" collapsed="false">
      <c r="A80" s="18" t="str">
        <f aca="false">IF(Ref_RISK!A77="","",Ref_RISK!A77)</f>
        <v/>
      </c>
      <c r="B80" s="18" t="str">
        <f aca="false">IF(A80="","",Ref_RISK!B77)</f>
        <v/>
      </c>
      <c r="C80" s="18" t="str">
        <f aca="false">IF(A80="","",COUNTIF(Risk_Control_Map!$B$5:$B$204,A80))</f>
        <v/>
      </c>
      <c r="D80" s="18" t="str">
        <f aca="false">IF(A80="","",SUMPRODUCT((Risk_Control_Map!$B$5:$B$204=A80)*(Risk_Control_Map!$G$5:$G$204="Y")))</f>
        <v/>
      </c>
      <c r="E80" s="18" t="str">
        <f aca="false">IF(A80="","",IF(AND(B80="Y",D80=0),"GAP: SOX risk has no key control",IF(C80=0,"No control mapped","OK")))</f>
        <v/>
      </c>
    </row>
    <row r="81" customFormat="false" ht="15" hidden="false" customHeight="false" outlineLevel="0" collapsed="false">
      <c r="A81" s="18" t="str">
        <f aca="false">IF(Ref_RISK!A78="","",Ref_RISK!A78)</f>
        <v/>
      </c>
      <c r="B81" s="18" t="str">
        <f aca="false">IF(A81="","",Ref_RISK!B78)</f>
        <v/>
      </c>
      <c r="C81" s="18" t="str">
        <f aca="false">IF(A81="","",COUNTIF(Risk_Control_Map!$B$5:$B$204,A81))</f>
        <v/>
      </c>
      <c r="D81" s="18" t="str">
        <f aca="false">IF(A81="","",SUMPRODUCT((Risk_Control_Map!$B$5:$B$204=A81)*(Risk_Control_Map!$G$5:$G$204="Y")))</f>
        <v/>
      </c>
      <c r="E81" s="18" t="str">
        <f aca="false">IF(A81="","",IF(AND(B81="Y",D81=0),"GAP: SOX risk has no key control",IF(C81=0,"No control mapped","OK")))</f>
        <v/>
      </c>
    </row>
    <row r="82" customFormat="false" ht="15" hidden="false" customHeight="false" outlineLevel="0" collapsed="false">
      <c r="A82" s="18" t="str">
        <f aca="false">IF(Ref_RISK!A79="","",Ref_RISK!A79)</f>
        <v/>
      </c>
      <c r="B82" s="18" t="str">
        <f aca="false">IF(A82="","",Ref_RISK!B79)</f>
        <v/>
      </c>
      <c r="C82" s="18" t="str">
        <f aca="false">IF(A82="","",COUNTIF(Risk_Control_Map!$B$5:$B$204,A82))</f>
        <v/>
      </c>
      <c r="D82" s="18" t="str">
        <f aca="false">IF(A82="","",SUMPRODUCT((Risk_Control_Map!$B$5:$B$204=A82)*(Risk_Control_Map!$G$5:$G$204="Y")))</f>
        <v/>
      </c>
      <c r="E82" s="18" t="str">
        <f aca="false">IF(A82="","",IF(AND(B82="Y",D82=0),"GAP: SOX risk has no key control",IF(C82=0,"No control mapped","OK")))</f>
        <v/>
      </c>
    </row>
    <row r="83" customFormat="false" ht="15" hidden="false" customHeight="false" outlineLevel="0" collapsed="false">
      <c r="A83" s="18" t="str">
        <f aca="false">IF(Ref_RISK!A80="","",Ref_RISK!A80)</f>
        <v/>
      </c>
      <c r="B83" s="18" t="str">
        <f aca="false">IF(A83="","",Ref_RISK!B80)</f>
        <v/>
      </c>
      <c r="C83" s="18" t="str">
        <f aca="false">IF(A83="","",COUNTIF(Risk_Control_Map!$B$5:$B$204,A83))</f>
        <v/>
      </c>
      <c r="D83" s="18" t="str">
        <f aca="false">IF(A83="","",SUMPRODUCT((Risk_Control_Map!$B$5:$B$204=A83)*(Risk_Control_Map!$G$5:$G$204="Y")))</f>
        <v/>
      </c>
      <c r="E83" s="18" t="str">
        <f aca="false">IF(A83="","",IF(AND(B83="Y",D83=0),"GAP: SOX risk has no key control",IF(C83=0,"No control mapped","OK")))</f>
        <v/>
      </c>
    </row>
    <row r="84" customFormat="false" ht="15" hidden="false" customHeight="false" outlineLevel="0" collapsed="false">
      <c r="A84" s="18" t="str">
        <f aca="false">IF(Ref_RISK!A81="","",Ref_RISK!A81)</f>
        <v/>
      </c>
      <c r="B84" s="18" t="str">
        <f aca="false">IF(A84="","",Ref_RISK!B81)</f>
        <v/>
      </c>
      <c r="C84" s="18" t="str">
        <f aca="false">IF(A84="","",COUNTIF(Risk_Control_Map!$B$5:$B$204,A84))</f>
        <v/>
      </c>
      <c r="D84" s="18" t="str">
        <f aca="false">IF(A84="","",SUMPRODUCT((Risk_Control_Map!$B$5:$B$204=A84)*(Risk_Control_Map!$G$5:$G$204="Y")))</f>
        <v/>
      </c>
      <c r="E84" s="18" t="str">
        <f aca="false">IF(A84="","",IF(AND(B84="Y",D84=0),"GAP: SOX risk has no key control",IF(C84=0,"No control mapped","OK")))</f>
        <v/>
      </c>
    </row>
    <row r="85" customFormat="false" ht="15" hidden="false" customHeight="false" outlineLevel="0" collapsed="false">
      <c r="A85" s="18" t="str">
        <f aca="false">IF(Ref_RISK!A82="","",Ref_RISK!A82)</f>
        <v/>
      </c>
      <c r="B85" s="18" t="str">
        <f aca="false">IF(A85="","",Ref_RISK!B82)</f>
        <v/>
      </c>
      <c r="C85" s="18" t="str">
        <f aca="false">IF(A85="","",COUNTIF(Risk_Control_Map!$B$5:$B$204,A85))</f>
        <v/>
      </c>
      <c r="D85" s="18" t="str">
        <f aca="false">IF(A85="","",SUMPRODUCT((Risk_Control_Map!$B$5:$B$204=A85)*(Risk_Control_Map!$G$5:$G$204="Y")))</f>
        <v/>
      </c>
      <c r="E85" s="18" t="str">
        <f aca="false">IF(A85="","",IF(AND(B85="Y",D85=0),"GAP: SOX risk has no key control",IF(C85=0,"No control mapped","OK")))</f>
        <v/>
      </c>
    </row>
    <row r="86" customFormat="false" ht="15" hidden="false" customHeight="false" outlineLevel="0" collapsed="false">
      <c r="A86" s="18" t="str">
        <f aca="false">IF(Ref_RISK!A83="","",Ref_RISK!A83)</f>
        <v/>
      </c>
      <c r="B86" s="18" t="str">
        <f aca="false">IF(A86="","",Ref_RISK!B83)</f>
        <v/>
      </c>
      <c r="C86" s="18" t="str">
        <f aca="false">IF(A86="","",COUNTIF(Risk_Control_Map!$B$5:$B$204,A86))</f>
        <v/>
      </c>
      <c r="D86" s="18" t="str">
        <f aca="false">IF(A86="","",SUMPRODUCT((Risk_Control_Map!$B$5:$B$204=A86)*(Risk_Control_Map!$G$5:$G$204="Y")))</f>
        <v/>
      </c>
      <c r="E86" s="18" t="str">
        <f aca="false">IF(A86="","",IF(AND(B86="Y",D86=0),"GAP: SOX risk has no key control",IF(C86=0,"No control mapped","OK")))</f>
        <v/>
      </c>
    </row>
    <row r="87" customFormat="false" ht="15" hidden="false" customHeight="false" outlineLevel="0" collapsed="false">
      <c r="A87" s="18" t="str">
        <f aca="false">IF(Ref_RISK!A84="","",Ref_RISK!A84)</f>
        <v/>
      </c>
      <c r="B87" s="18" t="str">
        <f aca="false">IF(A87="","",Ref_RISK!B84)</f>
        <v/>
      </c>
      <c r="C87" s="18" t="str">
        <f aca="false">IF(A87="","",COUNTIF(Risk_Control_Map!$B$5:$B$204,A87))</f>
        <v/>
      </c>
      <c r="D87" s="18" t="str">
        <f aca="false">IF(A87="","",SUMPRODUCT((Risk_Control_Map!$B$5:$B$204=A87)*(Risk_Control_Map!$G$5:$G$204="Y")))</f>
        <v/>
      </c>
      <c r="E87" s="18" t="str">
        <f aca="false">IF(A87="","",IF(AND(B87="Y",D87=0),"GAP: SOX risk has no key control",IF(C87=0,"No control mapped","OK")))</f>
        <v/>
      </c>
    </row>
    <row r="88" customFormat="false" ht="15" hidden="false" customHeight="false" outlineLevel="0" collapsed="false">
      <c r="A88" s="18" t="str">
        <f aca="false">IF(Ref_RISK!A85="","",Ref_RISK!A85)</f>
        <v/>
      </c>
      <c r="B88" s="18" t="str">
        <f aca="false">IF(A88="","",Ref_RISK!B85)</f>
        <v/>
      </c>
      <c r="C88" s="18" t="str">
        <f aca="false">IF(A88="","",COUNTIF(Risk_Control_Map!$B$5:$B$204,A88))</f>
        <v/>
      </c>
      <c r="D88" s="18" t="str">
        <f aca="false">IF(A88="","",SUMPRODUCT((Risk_Control_Map!$B$5:$B$204=A88)*(Risk_Control_Map!$G$5:$G$204="Y")))</f>
        <v/>
      </c>
      <c r="E88" s="18" t="str">
        <f aca="false">IF(A88="","",IF(AND(B88="Y",D88=0),"GAP: SOX risk has no key control",IF(C88=0,"No control mapped","OK")))</f>
        <v/>
      </c>
    </row>
    <row r="89" customFormat="false" ht="15" hidden="false" customHeight="false" outlineLevel="0" collapsed="false">
      <c r="A89" s="18" t="str">
        <f aca="false">IF(Ref_RISK!A86="","",Ref_RISK!A86)</f>
        <v/>
      </c>
      <c r="B89" s="18" t="str">
        <f aca="false">IF(A89="","",Ref_RISK!B86)</f>
        <v/>
      </c>
      <c r="C89" s="18" t="str">
        <f aca="false">IF(A89="","",COUNTIF(Risk_Control_Map!$B$5:$B$204,A89))</f>
        <v/>
      </c>
      <c r="D89" s="18" t="str">
        <f aca="false">IF(A89="","",SUMPRODUCT((Risk_Control_Map!$B$5:$B$204=A89)*(Risk_Control_Map!$G$5:$G$204="Y")))</f>
        <v/>
      </c>
      <c r="E89" s="18" t="str">
        <f aca="false">IF(A89="","",IF(AND(B89="Y",D89=0),"GAP: SOX risk has no key control",IF(C89=0,"No control mapped","OK")))</f>
        <v/>
      </c>
    </row>
    <row r="90" customFormat="false" ht="15" hidden="false" customHeight="false" outlineLevel="0" collapsed="false">
      <c r="A90" s="18" t="str">
        <f aca="false">IF(Ref_RISK!A87="","",Ref_RISK!A87)</f>
        <v/>
      </c>
      <c r="B90" s="18" t="str">
        <f aca="false">IF(A90="","",Ref_RISK!B87)</f>
        <v/>
      </c>
      <c r="C90" s="18" t="str">
        <f aca="false">IF(A90="","",COUNTIF(Risk_Control_Map!$B$5:$B$204,A90))</f>
        <v/>
      </c>
      <c r="D90" s="18" t="str">
        <f aca="false">IF(A90="","",SUMPRODUCT((Risk_Control_Map!$B$5:$B$204=A90)*(Risk_Control_Map!$G$5:$G$204="Y")))</f>
        <v/>
      </c>
      <c r="E90" s="18" t="str">
        <f aca="false">IF(A90="","",IF(AND(B90="Y",D90=0),"GAP: SOX risk has no key control",IF(C90=0,"No control mapped","OK")))</f>
        <v/>
      </c>
    </row>
    <row r="91" customFormat="false" ht="15" hidden="false" customHeight="false" outlineLevel="0" collapsed="false">
      <c r="A91" s="18" t="str">
        <f aca="false">IF(Ref_RISK!A88="","",Ref_RISK!A88)</f>
        <v/>
      </c>
      <c r="B91" s="18" t="str">
        <f aca="false">IF(A91="","",Ref_RISK!B88)</f>
        <v/>
      </c>
      <c r="C91" s="18" t="str">
        <f aca="false">IF(A91="","",COUNTIF(Risk_Control_Map!$B$5:$B$204,A91))</f>
        <v/>
      </c>
      <c r="D91" s="18" t="str">
        <f aca="false">IF(A91="","",SUMPRODUCT((Risk_Control_Map!$B$5:$B$204=A91)*(Risk_Control_Map!$G$5:$G$204="Y")))</f>
        <v/>
      </c>
      <c r="E91" s="18" t="str">
        <f aca="false">IF(A91="","",IF(AND(B91="Y",D91=0),"GAP: SOX risk has no key control",IF(C91=0,"No control mapped","OK")))</f>
        <v/>
      </c>
    </row>
    <row r="92" customFormat="false" ht="15" hidden="false" customHeight="false" outlineLevel="0" collapsed="false">
      <c r="A92" s="18" t="str">
        <f aca="false">IF(Ref_RISK!A89="","",Ref_RISK!A89)</f>
        <v/>
      </c>
      <c r="B92" s="18" t="str">
        <f aca="false">IF(A92="","",Ref_RISK!B89)</f>
        <v/>
      </c>
      <c r="C92" s="18" t="str">
        <f aca="false">IF(A92="","",COUNTIF(Risk_Control_Map!$B$5:$B$204,A92))</f>
        <v/>
      </c>
      <c r="D92" s="18" t="str">
        <f aca="false">IF(A92="","",SUMPRODUCT((Risk_Control_Map!$B$5:$B$204=A92)*(Risk_Control_Map!$G$5:$G$204="Y")))</f>
        <v/>
      </c>
      <c r="E92" s="18" t="str">
        <f aca="false">IF(A92="","",IF(AND(B92="Y",D92=0),"GAP: SOX risk has no key control",IF(C92=0,"No control mapped","OK")))</f>
        <v/>
      </c>
    </row>
    <row r="93" customFormat="false" ht="15" hidden="false" customHeight="false" outlineLevel="0" collapsed="false">
      <c r="A93" s="18" t="str">
        <f aca="false">IF(Ref_RISK!A90="","",Ref_RISK!A90)</f>
        <v/>
      </c>
      <c r="B93" s="18" t="str">
        <f aca="false">IF(A93="","",Ref_RISK!B90)</f>
        <v/>
      </c>
      <c r="C93" s="18" t="str">
        <f aca="false">IF(A93="","",COUNTIF(Risk_Control_Map!$B$5:$B$204,A93))</f>
        <v/>
      </c>
      <c r="D93" s="18" t="str">
        <f aca="false">IF(A93="","",SUMPRODUCT((Risk_Control_Map!$B$5:$B$204=A93)*(Risk_Control_Map!$G$5:$G$204="Y")))</f>
        <v/>
      </c>
      <c r="E93" s="18" t="str">
        <f aca="false">IF(A93="","",IF(AND(B93="Y",D93=0),"GAP: SOX risk has no key control",IF(C93=0,"No control mapped","OK")))</f>
        <v/>
      </c>
    </row>
    <row r="94" customFormat="false" ht="15" hidden="false" customHeight="false" outlineLevel="0" collapsed="false">
      <c r="A94" s="18" t="str">
        <f aca="false">IF(Ref_RISK!A91="","",Ref_RISK!A91)</f>
        <v/>
      </c>
      <c r="B94" s="18" t="str">
        <f aca="false">IF(A94="","",Ref_RISK!B91)</f>
        <v/>
      </c>
      <c r="C94" s="18" t="str">
        <f aca="false">IF(A94="","",COUNTIF(Risk_Control_Map!$B$5:$B$204,A94))</f>
        <v/>
      </c>
      <c r="D94" s="18" t="str">
        <f aca="false">IF(A94="","",SUMPRODUCT((Risk_Control_Map!$B$5:$B$204=A94)*(Risk_Control_Map!$G$5:$G$204="Y")))</f>
        <v/>
      </c>
      <c r="E94" s="18" t="str">
        <f aca="false">IF(A94="","",IF(AND(B94="Y",D94=0),"GAP: SOX risk has no key control",IF(C94=0,"No control mapped","OK")))</f>
        <v/>
      </c>
    </row>
    <row r="95" customFormat="false" ht="15" hidden="false" customHeight="false" outlineLevel="0" collapsed="false">
      <c r="A95" s="18" t="str">
        <f aca="false">IF(Ref_RISK!A92="","",Ref_RISK!A92)</f>
        <v/>
      </c>
      <c r="B95" s="18" t="str">
        <f aca="false">IF(A95="","",Ref_RISK!B92)</f>
        <v/>
      </c>
      <c r="C95" s="18" t="str">
        <f aca="false">IF(A95="","",COUNTIF(Risk_Control_Map!$B$5:$B$204,A95))</f>
        <v/>
      </c>
      <c r="D95" s="18" t="str">
        <f aca="false">IF(A95="","",SUMPRODUCT((Risk_Control_Map!$B$5:$B$204=A95)*(Risk_Control_Map!$G$5:$G$204="Y")))</f>
        <v/>
      </c>
      <c r="E95" s="18" t="str">
        <f aca="false">IF(A95="","",IF(AND(B95="Y",D95=0),"GAP: SOX risk has no key control",IF(C95=0,"No control mapped","OK")))</f>
        <v/>
      </c>
    </row>
    <row r="96" customFormat="false" ht="15" hidden="false" customHeight="false" outlineLevel="0" collapsed="false">
      <c r="A96" s="18" t="str">
        <f aca="false">IF(Ref_RISK!A93="","",Ref_RISK!A93)</f>
        <v/>
      </c>
      <c r="B96" s="18" t="str">
        <f aca="false">IF(A96="","",Ref_RISK!B93)</f>
        <v/>
      </c>
      <c r="C96" s="18" t="str">
        <f aca="false">IF(A96="","",COUNTIF(Risk_Control_Map!$B$5:$B$204,A96))</f>
        <v/>
      </c>
      <c r="D96" s="18" t="str">
        <f aca="false">IF(A96="","",SUMPRODUCT((Risk_Control_Map!$B$5:$B$204=A96)*(Risk_Control_Map!$G$5:$G$204="Y")))</f>
        <v/>
      </c>
      <c r="E96" s="18" t="str">
        <f aca="false">IF(A96="","",IF(AND(B96="Y",D96=0),"GAP: SOX risk has no key control",IF(C96=0,"No control mapped","OK")))</f>
        <v/>
      </c>
    </row>
    <row r="97" customFormat="false" ht="15" hidden="false" customHeight="false" outlineLevel="0" collapsed="false">
      <c r="A97" s="18" t="str">
        <f aca="false">IF(Ref_RISK!A94="","",Ref_RISK!A94)</f>
        <v/>
      </c>
      <c r="B97" s="18" t="str">
        <f aca="false">IF(A97="","",Ref_RISK!B94)</f>
        <v/>
      </c>
      <c r="C97" s="18" t="str">
        <f aca="false">IF(A97="","",COUNTIF(Risk_Control_Map!$B$5:$B$204,A97))</f>
        <v/>
      </c>
      <c r="D97" s="18" t="str">
        <f aca="false">IF(A97="","",SUMPRODUCT((Risk_Control_Map!$B$5:$B$204=A97)*(Risk_Control_Map!$G$5:$G$204="Y")))</f>
        <v/>
      </c>
      <c r="E97" s="18" t="str">
        <f aca="false">IF(A97="","",IF(AND(B97="Y",D97=0),"GAP: SOX risk has no key control",IF(C97=0,"No control mapped","OK")))</f>
        <v/>
      </c>
    </row>
    <row r="98" customFormat="false" ht="15" hidden="false" customHeight="false" outlineLevel="0" collapsed="false">
      <c r="A98" s="18" t="str">
        <f aca="false">IF(Ref_RISK!A95="","",Ref_RISK!A95)</f>
        <v/>
      </c>
      <c r="B98" s="18" t="str">
        <f aca="false">IF(A98="","",Ref_RISK!B95)</f>
        <v/>
      </c>
      <c r="C98" s="18" t="str">
        <f aca="false">IF(A98="","",COUNTIF(Risk_Control_Map!$B$5:$B$204,A98))</f>
        <v/>
      </c>
      <c r="D98" s="18" t="str">
        <f aca="false">IF(A98="","",SUMPRODUCT((Risk_Control_Map!$B$5:$B$204=A98)*(Risk_Control_Map!$G$5:$G$204="Y")))</f>
        <v/>
      </c>
      <c r="E98" s="18" t="str">
        <f aca="false">IF(A98="","",IF(AND(B98="Y",D98=0),"GAP: SOX risk has no key control",IF(C98=0,"No control mapped","OK")))</f>
        <v/>
      </c>
    </row>
    <row r="99" customFormat="false" ht="15" hidden="false" customHeight="false" outlineLevel="0" collapsed="false">
      <c r="A99" s="18" t="str">
        <f aca="false">IF(Ref_RISK!A96="","",Ref_RISK!A96)</f>
        <v/>
      </c>
      <c r="B99" s="18" t="str">
        <f aca="false">IF(A99="","",Ref_RISK!B96)</f>
        <v/>
      </c>
      <c r="C99" s="18" t="str">
        <f aca="false">IF(A99="","",COUNTIF(Risk_Control_Map!$B$5:$B$204,A99))</f>
        <v/>
      </c>
      <c r="D99" s="18" t="str">
        <f aca="false">IF(A99="","",SUMPRODUCT((Risk_Control_Map!$B$5:$B$204=A99)*(Risk_Control_Map!$G$5:$G$204="Y")))</f>
        <v/>
      </c>
      <c r="E99" s="18" t="str">
        <f aca="false">IF(A99="","",IF(AND(B99="Y",D99=0),"GAP: SOX risk has no key control",IF(C99=0,"No control mapped","OK")))</f>
        <v/>
      </c>
    </row>
    <row r="100" customFormat="false" ht="15" hidden="false" customHeight="false" outlineLevel="0" collapsed="false">
      <c r="A100" s="18" t="str">
        <f aca="false">IF(Ref_RISK!A97="","",Ref_RISK!A97)</f>
        <v/>
      </c>
      <c r="B100" s="18" t="str">
        <f aca="false">IF(A100="","",Ref_RISK!B97)</f>
        <v/>
      </c>
      <c r="C100" s="18" t="str">
        <f aca="false">IF(A100="","",COUNTIF(Risk_Control_Map!$B$5:$B$204,A100))</f>
        <v/>
      </c>
      <c r="D100" s="18" t="str">
        <f aca="false">IF(A100="","",SUMPRODUCT((Risk_Control_Map!$B$5:$B$204=A100)*(Risk_Control_Map!$G$5:$G$204="Y")))</f>
        <v/>
      </c>
      <c r="E100" s="18" t="str">
        <f aca="false">IF(A100="","",IF(AND(B100="Y",D100=0),"GAP: SOX risk has no key control",IF(C100=0,"No control mapped","OK")))</f>
        <v/>
      </c>
    </row>
    <row r="101" customFormat="false" ht="15" hidden="false" customHeight="false" outlineLevel="0" collapsed="false">
      <c r="A101" s="18" t="str">
        <f aca="false">IF(Ref_RISK!A98="","",Ref_RISK!A98)</f>
        <v/>
      </c>
      <c r="B101" s="18" t="str">
        <f aca="false">IF(A101="","",Ref_RISK!B98)</f>
        <v/>
      </c>
      <c r="C101" s="18" t="str">
        <f aca="false">IF(A101="","",COUNTIF(Risk_Control_Map!$B$5:$B$204,A101))</f>
        <v/>
      </c>
      <c r="D101" s="18" t="str">
        <f aca="false">IF(A101="","",SUMPRODUCT((Risk_Control_Map!$B$5:$B$204=A101)*(Risk_Control_Map!$G$5:$G$204="Y")))</f>
        <v/>
      </c>
      <c r="E101" s="18" t="str">
        <f aca="false">IF(A101="","",IF(AND(B101="Y",D101=0),"GAP: SOX risk has no key control",IF(C101=0,"No control mapped","OK")))</f>
        <v/>
      </c>
    </row>
    <row r="102" customFormat="false" ht="15" hidden="false" customHeight="false" outlineLevel="0" collapsed="false">
      <c r="A102" s="18" t="str">
        <f aca="false">IF(Ref_RISK!A99="","",Ref_RISK!A99)</f>
        <v/>
      </c>
      <c r="B102" s="18" t="str">
        <f aca="false">IF(A102="","",Ref_RISK!B99)</f>
        <v/>
      </c>
      <c r="C102" s="18" t="str">
        <f aca="false">IF(A102="","",COUNTIF(Risk_Control_Map!$B$5:$B$204,A102))</f>
        <v/>
      </c>
      <c r="D102" s="18" t="str">
        <f aca="false">IF(A102="","",SUMPRODUCT((Risk_Control_Map!$B$5:$B$204=A102)*(Risk_Control_Map!$G$5:$G$204="Y")))</f>
        <v/>
      </c>
      <c r="E102" s="18" t="str">
        <f aca="false">IF(A102="","",IF(AND(B102="Y",D102=0),"GAP: SOX risk has no key control",IF(C102=0,"No control mapped","OK")))</f>
        <v/>
      </c>
    </row>
    <row r="103" customFormat="false" ht="15" hidden="false" customHeight="false" outlineLevel="0" collapsed="false">
      <c r="A103" s="18" t="str">
        <f aca="false">IF(Ref_RISK!A100="","",Ref_RISK!A100)</f>
        <v/>
      </c>
      <c r="B103" s="18" t="str">
        <f aca="false">IF(A103="","",Ref_RISK!B100)</f>
        <v/>
      </c>
      <c r="C103" s="18" t="str">
        <f aca="false">IF(A103="","",COUNTIF(Risk_Control_Map!$B$5:$B$204,A103))</f>
        <v/>
      </c>
      <c r="D103" s="18" t="str">
        <f aca="false">IF(A103="","",SUMPRODUCT((Risk_Control_Map!$B$5:$B$204=A103)*(Risk_Control_Map!$G$5:$G$204="Y")))</f>
        <v/>
      </c>
      <c r="E103" s="18" t="str">
        <f aca="false">IF(A103="","",IF(AND(B103="Y",D103=0),"GAP: SOX risk has no key control",IF(C103=0,"No control mapped","OK")))</f>
        <v/>
      </c>
    </row>
    <row r="104" customFormat="false" ht="15" hidden="false" customHeight="false" outlineLevel="0" collapsed="false">
      <c r="A104" s="18" t="str">
        <f aca="false">IF(Ref_RISK!A101="","",Ref_RISK!A101)</f>
        <v/>
      </c>
      <c r="B104" s="18" t="str">
        <f aca="false">IF(A104="","",Ref_RISK!B101)</f>
        <v/>
      </c>
      <c r="C104" s="18" t="str">
        <f aca="false">IF(A104="","",COUNTIF(Risk_Control_Map!$B$5:$B$204,A104))</f>
        <v/>
      </c>
      <c r="D104" s="18" t="str">
        <f aca="false">IF(A104="","",SUMPRODUCT((Risk_Control_Map!$B$5:$B$204=A104)*(Risk_Control_Map!$G$5:$G$204="Y")))</f>
        <v/>
      </c>
      <c r="E104" s="18" t="str">
        <f aca="false">IF(A104="","",IF(AND(B104="Y",D104=0),"GAP: SOX risk has no key control",IF(C104=0,"No control mapped","OK")))</f>
        <v/>
      </c>
    </row>
    <row r="105" customFormat="false" ht="15" hidden="false" customHeight="false" outlineLevel="0" collapsed="false">
      <c r="A105" s="18" t="str">
        <f aca="false">IF(Ref_RISK!A102="","",Ref_RISK!A102)</f>
        <v/>
      </c>
      <c r="B105" s="18" t="str">
        <f aca="false">IF(A105="","",Ref_RISK!B102)</f>
        <v/>
      </c>
      <c r="C105" s="18" t="str">
        <f aca="false">IF(A105="","",COUNTIF(Risk_Control_Map!$B$5:$B$204,A105))</f>
        <v/>
      </c>
      <c r="D105" s="18" t="str">
        <f aca="false">IF(A105="","",SUMPRODUCT((Risk_Control_Map!$B$5:$B$204=A105)*(Risk_Control_Map!$G$5:$G$204="Y")))</f>
        <v/>
      </c>
      <c r="E105" s="18" t="str">
        <f aca="false">IF(A105="","",IF(AND(B105="Y",D105=0),"GAP: SOX risk has no key control",IF(C105=0,"No control mapped","OK")))</f>
        <v/>
      </c>
    </row>
    <row r="106" customFormat="false" ht="15" hidden="false" customHeight="false" outlineLevel="0" collapsed="false">
      <c r="A106" s="18" t="str">
        <f aca="false">IF(Ref_RISK!A103="","",Ref_RISK!A103)</f>
        <v/>
      </c>
      <c r="B106" s="18" t="str">
        <f aca="false">IF(A106="","",Ref_RISK!B103)</f>
        <v/>
      </c>
      <c r="C106" s="18" t="str">
        <f aca="false">IF(A106="","",COUNTIF(Risk_Control_Map!$B$5:$B$204,A106))</f>
        <v/>
      </c>
      <c r="D106" s="18" t="str">
        <f aca="false">IF(A106="","",SUMPRODUCT((Risk_Control_Map!$B$5:$B$204=A106)*(Risk_Control_Map!$G$5:$G$204="Y")))</f>
        <v/>
      </c>
      <c r="E106" s="18" t="str">
        <f aca="false">IF(A106="","",IF(AND(B106="Y",D106=0),"GAP: SOX risk has no key control",IF(C106=0,"No control mapped","OK")))</f>
        <v/>
      </c>
    </row>
    <row r="107" customFormat="false" ht="15" hidden="false" customHeight="false" outlineLevel="0" collapsed="false">
      <c r="A107" s="18" t="str">
        <f aca="false">IF(Ref_RISK!A104="","",Ref_RISK!A104)</f>
        <v/>
      </c>
      <c r="B107" s="18" t="str">
        <f aca="false">IF(A107="","",Ref_RISK!B104)</f>
        <v/>
      </c>
      <c r="C107" s="18" t="str">
        <f aca="false">IF(A107="","",COUNTIF(Risk_Control_Map!$B$5:$B$204,A107))</f>
        <v/>
      </c>
      <c r="D107" s="18" t="str">
        <f aca="false">IF(A107="","",SUMPRODUCT((Risk_Control_Map!$B$5:$B$204=A107)*(Risk_Control_Map!$G$5:$G$204="Y")))</f>
        <v/>
      </c>
      <c r="E107" s="18" t="str">
        <f aca="false">IF(A107="","",IF(AND(B107="Y",D107=0),"GAP: SOX risk has no key control",IF(C107=0,"No control mapped","OK")))</f>
        <v/>
      </c>
    </row>
    <row r="108" customFormat="false" ht="15" hidden="false" customHeight="false" outlineLevel="0" collapsed="false">
      <c r="A108" s="18" t="str">
        <f aca="false">IF(Ref_RISK!A105="","",Ref_RISK!A105)</f>
        <v/>
      </c>
      <c r="B108" s="18" t="str">
        <f aca="false">IF(A108="","",Ref_RISK!B105)</f>
        <v/>
      </c>
      <c r="C108" s="18" t="str">
        <f aca="false">IF(A108="","",COUNTIF(Risk_Control_Map!$B$5:$B$204,A108))</f>
        <v/>
      </c>
      <c r="D108" s="18" t="str">
        <f aca="false">IF(A108="","",SUMPRODUCT((Risk_Control_Map!$B$5:$B$204=A108)*(Risk_Control_Map!$G$5:$G$204="Y")))</f>
        <v/>
      </c>
      <c r="E108" s="18" t="str">
        <f aca="false">IF(A108="","",IF(AND(B108="Y",D108=0),"GAP: SOX risk has no key control",IF(C108=0,"No control mapped","OK")))</f>
        <v/>
      </c>
    </row>
    <row r="109" customFormat="false" ht="15" hidden="false" customHeight="false" outlineLevel="0" collapsed="false">
      <c r="A109" s="18" t="str">
        <f aca="false">IF(Ref_RISK!A106="","",Ref_RISK!A106)</f>
        <v/>
      </c>
      <c r="B109" s="18" t="str">
        <f aca="false">IF(A109="","",Ref_RISK!B106)</f>
        <v/>
      </c>
      <c r="C109" s="18" t="str">
        <f aca="false">IF(A109="","",COUNTIF(Risk_Control_Map!$B$5:$B$204,A109))</f>
        <v/>
      </c>
      <c r="D109" s="18" t="str">
        <f aca="false">IF(A109="","",SUMPRODUCT((Risk_Control_Map!$B$5:$B$204=A109)*(Risk_Control_Map!$G$5:$G$204="Y")))</f>
        <v/>
      </c>
      <c r="E109" s="18" t="str">
        <f aca="false">IF(A109="","",IF(AND(B109="Y",D109=0),"GAP: SOX risk has no key control",IF(C109=0,"No control mapped","OK")))</f>
        <v/>
      </c>
    </row>
    <row r="110" customFormat="false" ht="15" hidden="false" customHeight="false" outlineLevel="0" collapsed="false">
      <c r="A110" s="18" t="str">
        <f aca="false">IF(Ref_RISK!A107="","",Ref_RISK!A107)</f>
        <v/>
      </c>
      <c r="B110" s="18" t="str">
        <f aca="false">IF(A110="","",Ref_RISK!B107)</f>
        <v/>
      </c>
      <c r="C110" s="18" t="str">
        <f aca="false">IF(A110="","",COUNTIF(Risk_Control_Map!$B$5:$B$204,A110))</f>
        <v/>
      </c>
      <c r="D110" s="18" t="str">
        <f aca="false">IF(A110="","",SUMPRODUCT((Risk_Control_Map!$B$5:$B$204=A110)*(Risk_Control_Map!$G$5:$G$204="Y")))</f>
        <v/>
      </c>
      <c r="E110" s="18" t="str">
        <f aca="false">IF(A110="","",IF(AND(B110="Y",D110=0),"GAP: SOX risk has no key control",IF(C110=0,"No control mapped","OK")))</f>
        <v/>
      </c>
    </row>
    <row r="111" customFormat="false" ht="15" hidden="false" customHeight="false" outlineLevel="0" collapsed="false">
      <c r="A111" s="18" t="str">
        <f aca="false">IF(Ref_RISK!A108="","",Ref_RISK!A108)</f>
        <v/>
      </c>
      <c r="B111" s="18" t="str">
        <f aca="false">IF(A111="","",Ref_RISK!B108)</f>
        <v/>
      </c>
      <c r="C111" s="18" t="str">
        <f aca="false">IF(A111="","",COUNTIF(Risk_Control_Map!$B$5:$B$204,A111))</f>
        <v/>
      </c>
      <c r="D111" s="18" t="str">
        <f aca="false">IF(A111="","",SUMPRODUCT((Risk_Control_Map!$B$5:$B$204=A111)*(Risk_Control_Map!$G$5:$G$204="Y")))</f>
        <v/>
      </c>
      <c r="E111" s="18" t="str">
        <f aca="false">IF(A111="","",IF(AND(B111="Y",D111=0),"GAP: SOX risk has no key control",IF(C111=0,"No control mapped","OK")))</f>
        <v/>
      </c>
    </row>
    <row r="112" customFormat="false" ht="15" hidden="false" customHeight="false" outlineLevel="0" collapsed="false">
      <c r="A112" s="18" t="str">
        <f aca="false">IF(Ref_RISK!A109="","",Ref_RISK!A109)</f>
        <v/>
      </c>
      <c r="B112" s="18" t="str">
        <f aca="false">IF(A112="","",Ref_RISK!B109)</f>
        <v/>
      </c>
      <c r="C112" s="18" t="str">
        <f aca="false">IF(A112="","",COUNTIF(Risk_Control_Map!$B$5:$B$204,A112))</f>
        <v/>
      </c>
      <c r="D112" s="18" t="str">
        <f aca="false">IF(A112="","",SUMPRODUCT((Risk_Control_Map!$B$5:$B$204=A112)*(Risk_Control_Map!$G$5:$G$204="Y")))</f>
        <v/>
      </c>
      <c r="E112" s="18" t="str">
        <f aca="false">IF(A112="","",IF(AND(B112="Y",D112=0),"GAP: SOX risk has no key control",IF(C112=0,"No control mapped","OK")))</f>
        <v/>
      </c>
    </row>
    <row r="113" customFormat="false" ht="15" hidden="false" customHeight="false" outlineLevel="0" collapsed="false">
      <c r="A113" s="18" t="str">
        <f aca="false">IF(Ref_RISK!A110="","",Ref_RISK!A110)</f>
        <v/>
      </c>
      <c r="B113" s="18" t="str">
        <f aca="false">IF(A113="","",Ref_RISK!B110)</f>
        <v/>
      </c>
      <c r="C113" s="18" t="str">
        <f aca="false">IF(A113="","",COUNTIF(Risk_Control_Map!$B$5:$B$204,A113))</f>
        <v/>
      </c>
      <c r="D113" s="18" t="str">
        <f aca="false">IF(A113="","",SUMPRODUCT((Risk_Control_Map!$B$5:$B$204=A113)*(Risk_Control_Map!$G$5:$G$204="Y")))</f>
        <v/>
      </c>
      <c r="E113" s="18" t="str">
        <f aca="false">IF(A113="","",IF(AND(B113="Y",D113=0),"GAP: SOX risk has no key control",IF(C113=0,"No control mapped","OK")))</f>
        <v/>
      </c>
    </row>
    <row r="114" customFormat="false" ht="15" hidden="false" customHeight="false" outlineLevel="0" collapsed="false">
      <c r="A114" s="18" t="str">
        <f aca="false">IF(Ref_RISK!A111="","",Ref_RISK!A111)</f>
        <v/>
      </c>
      <c r="B114" s="18" t="str">
        <f aca="false">IF(A114="","",Ref_RISK!B111)</f>
        <v/>
      </c>
      <c r="C114" s="18" t="str">
        <f aca="false">IF(A114="","",COUNTIF(Risk_Control_Map!$B$5:$B$204,A114))</f>
        <v/>
      </c>
      <c r="D114" s="18" t="str">
        <f aca="false">IF(A114="","",SUMPRODUCT((Risk_Control_Map!$B$5:$B$204=A114)*(Risk_Control_Map!$G$5:$G$204="Y")))</f>
        <v/>
      </c>
      <c r="E114" s="18" t="str">
        <f aca="false">IF(A114="","",IF(AND(B114="Y",D114=0),"GAP: SOX risk has no key control",IF(C114=0,"No control mapped","OK")))</f>
        <v/>
      </c>
    </row>
    <row r="115" customFormat="false" ht="15" hidden="false" customHeight="false" outlineLevel="0" collapsed="false">
      <c r="A115" s="18" t="str">
        <f aca="false">IF(Ref_RISK!A112="","",Ref_RISK!A112)</f>
        <v/>
      </c>
      <c r="B115" s="18" t="str">
        <f aca="false">IF(A115="","",Ref_RISK!B112)</f>
        <v/>
      </c>
      <c r="C115" s="18" t="str">
        <f aca="false">IF(A115="","",COUNTIF(Risk_Control_Map!$B$5:$B$204,A115))</f>
        <v/>
      </c>
      <c r="D115" s="18" t="str">
        <f aca="false">IF(A115="","",SUMPRODUCT((Risk_Control_Map!$B$5:$B$204=A115)*(Risk_Control_Map!$G$5:$G$204="Y")))</f>
        <v/>
      </c>
      <c r="E115" s="18" t="str">
        <f aca="false">IF(A115="","",IF(AND(B115="Y",D115=0),"GAP: SOX risk has no key control",IF(C115=0,"No control mapped","OK")))</f>
        <v/>
      </c>
    </row>
    <row r="116" customFormat="false" ht="15" hidden="false" customHeight="false" outlineLevel="0" collapsed="false">
      <c r="A116" s="18" t="str">
        <f aca="false">IF(Ref_RISK!A113="","",Ref_RISK!A113)</f>
        <v/>
      </c>
      <c r="B116" s="18" t="str">
        <f aca="false">IF(A116="","",Ref_RISK!B113)</f>
        <v/>
      </c>
      <c r="C116" s="18" t="str">
        <f aca="false">IF(A116="","",COUNTIF(Risk_Control_Map!$B$5:$B$204,A116))</f>
        <v/>
      </c>
      <c r="D116" s="18" t="str">
        <f aca="false">IF(A116="","",SUMPRODUCT((Risk_Control_Map!$B$5:$B$204=A116)*(Risk_Control_Map!$G$5:$G$204="Y")))</f>
        <v/>
      </c>
      <c r="E116" s="18" t="str">
        <f aca="false">IF(A116="","",IF(AND(B116="Y",D116=0),"GAP: SOX risk has no key control",IF(C116=0,"No control mapped","OK")))</f>
        <v/>
      </c>
    </row>
    <row r="117" customFormat="false" ht="15" hidden="false" customHeight="false" outlineLevel="0" collapsed="false">
      <c r="A117" s="18" t="str">
        <f aca="false">IF(Ref_RISK!A114="","",Ref_RISK!A114)</f>
        <v/>
      </c>
      <c r="B117" s="18" t="str">
        <f aca="false">IF(A117="","",Ref_RISK!B114)</f>
        <v/>
      </c>
      <c r="C117" s="18" t="str">
        <f aca="false">IF(A117="","",COUNTIF(Risk_Control_Map!$B$5:$B$204,A117))</f>
        <v/>
      </c>
      <c r="D117" s="18" t="str">
        <f aca="false">IF(A117="","",SUMPRODUCT((Risk_Control_Map!$B$5:$B$204=A117)*(Risk_Control_Map!$G$5:$G$204="Y")))</f>
        <v/>
      </c>
      <c r="E117" s="18" t="str">
        <f aca="false">IF(A117="","",IF(AND(B117="Y",D117=0),"GAP: SOX risk has no key control",IF(C117=0,"No control mapped","OK")))</f>
        <v/>
      </c>
    </row>
    <row r="118" customFormat="false" ht="15" hidden="false" customHeight="false" outlineLevel="0" collapsed="false">
      <c r="A118" s="18" t="str">
        <f aca="false">IF(Ref_RISK!A115="","",Ref_RISK!A115)</f>
        <v/>
      </c>
      <c r="B118" s="18" t="str">
        <f aca="false">IF(A118="","",Ref_RISK!B115)</f>
        <v/>
      </c>
      <c r="C118" s="18" t="str">
        <f aca="false">IF(A118="","",COUNTIF(Risk_Control_Map!$B$5:$B$204,A118))</f>
        <v/>
      </c>
      <c r="D118" s="18" t="str">
        <f aca="false">IF(A118="","",SUMPRODUCT((Risk_Control_Map!$B$5:$B$204=A118)*(Risk_Control_Map!$G$5:$G$204="Y")))</f>
        <v/>
      </c>
      <c r="E118" s="18" t="str">
        <f aca="false">IF(A118="","",IF(AND(B118="Y",D118=0),"GAP: SOX risk has no key control",IF(C118=0,"No control mapped","OK")))</f>
        <v/>
      </c>
    </row>
    <row r="119" customFormat="false" ht="15" hidden="false" customHeight="false" outlineLevel="0" collapsed="false">
      <c r="A119" s="18" t="str">
        <f aca="false">IF(Ref_RISK!A116="","",Ref_RISK!A116)</f>
        <v/>
      </c>
      <c r="B119" s="18" t="str">
        <f aca="false">IF(A119="","",Ref_RISK!B116)</f>
        <v/>
      </c>
      <c r="C119" s="18" t="str">
        <f aca="false">IF(A119="","",COUNTIF(Risk_Control_Map!$B$5:$B$204,A119))</f>
        <v/>
      </c>
      <c r="D119" s="18" t="str">
        <f aca="false">IF(A119="","",SUMPRODUCT((Risk_Control_Map!$B$5:$B$204=A119)*(Risk_Control_Map!$G$5:$G$204="Y")))</f>
        <v/>
      </c>
      <c r="E119" s="18" t="str">
        <f aca="false">IF(A119="","",IF(AND(B119="Y",D119=0),"GAP: SOX risk has no key control",IF(C119=0,"No control mapped","OK")))</f>
        <v/>
      </c>
    </row>
    <row r="120" customFormat="false" ht="15" hidden="false" customHeight="false" outlineLevel="0" collapsed="false">
      <c r="A120" s="18" t="str">
        <f aca="false">IF(Ref_RISK!A117="","",Ref_RISK!A117)</f>
        <v/>
      </c>
      <c r="B120" s="18" t="str">
        <f aca="false">IF(A120="","",Ref_RISK!B117)</f>
        <v/>
      </c>
      <c r="C120" s="18" t="str">
        <f aca="false">IF(A120="","",COUNTIF(Risk_Control_Map!$B$5:$B$204,A120))</f>
        <v/>
      </c>
      <c r="D120" s="18" t="str">
        <f aca="false">IF(A120="","",SUMPRODUCT((Risk_Control_Map!$B$5:$B$204=A120)*(Risk_Control_Map!$G$5:$G$204="Y")))</f>
        <v/>
      </c>
      <c r="E120" s="18" t="str">
        <f aca="false">IF(A120="","",IF(AND(B120="Y",D120=0),"GAP: SOX risk has no key control",IF(C120=0,"No control mapped","OK")))</f>
        <v/>
      </c>
    </row>
    <row r="121" customFormat="false" ht="15" hidden="false" customHeight="false" outlineLevel="0" collapsed="false">
      <c r="A121" s="18" t="str">
        <f aca="false">IF(Ref_RISK!A118="","",Ref_RISK!A118)</f>
        <v/>
      </c>
      <c r="B121" s="18" t="str">
        <f aca="false">IF(A121="","",Ref_RISK!B118)</f>
        <v/>
      </c>
      <c r="C121" s="18" t="str">
        <f aca="false">IF(A121="","",COUNTIF(Risk_Control_Map!$B$5:$B$204,A121))</f>
        <v/>
      </c>
      <c r="D121" s="18" t="str">
        <f aca="false">IF(A121="","",SUMPRODUCT((Risk_Control_Map!$B$5:$B$204=A121)*(Risk_Control_Map!$G$5:$G$204="Y")))</f>
        <v/>
      </c>
      <c r="E121" s="18" t="str">
        <f aca="false">IF(A121="","",IF(AND(B121="Y",D121=0),"GAP: SOX risk has no key control",IF(C121=0,"No control mapped","OK")))</f>
        <v/>
      </c>
    </row>
    <row r="122" customFormat="false" ht="15" hidden="false" customHeight="false" outlineLevel="0" collapsed="false">
      <c r="A122" s="18" t="str">
        <f aca="false">IF(Ref_RISK!A119="","",Ref_RISK!A119)</f>
        <v/>
      </c>
      <c r="B122" s="18" t="str">
        <f aca="false">IF(A122="","",Ref_RISK!B119)</f>
        <v/>
      </c>
      <c r="C122" s="18" t="str">
        <f aca="false">IF(A122="","",COUNTIF(Risk_Control_Map!$B$5:$B$204,A122))</f>
        <v/>
      </c>
      <c r="D122" s="18" t="str">
        <f aca="false">IF(A122="","",SUMPRODUCT((Risk_Control_Map!$B$5:$B$204=A122)*(Risk_Control_Map!$G$5:$G$204="Y")))</f>
        <v/>
      </c>
      <c r="E122" s="18" t="str">
        <f aca="false">IF(A122="","",IF(AND(B122="Y",D122=0),"GAP: SOX risk has no key control",IF(C122=0,"No control mapped","OK")))</f>
        <v/>
      </c>
    </row>
    <row r="123" customFormat="false" ht="15" hidden="false" customHeight="false" outlineLevel="0" collapsed="false">
      <c r="A123" s="18" t="str">
        <f aca="false">IF(Ref_RISK!A120="","",Ref_RISK!A120)</f>
        <v/>
      </c>
      <c r="B123" s="18" t="str">
        <f aca="false">IF(A123="","",Ref_RISK!B120)</f>
        <v/>
      </c>
      <c r="C123" s="18" t="str">
        <f aca="false">IF(A123="","",COUNTIF(Risk_Control_Map!$B$5:$B$204,A123))</f>
        <v/>
      </c>
      <c r="D123" s="18" t="str">
        <f aca="false">IF(A123="","",SUMPRODUCT((Risk_Control_Map!$B$5:$B$204=A123)*(Risk_Control_Map!$G$5:$G$204="Y")))</f>
        <v/>
      </c>
      <c r="E123" s="18" t="str">
        <f aca="false">IF(A123="","",IF(AND(B123="Y",D123=0),"GAP: SOX risk has no key control",IF(C123=0,"No control mapped","OK")))</f>
        <v/>
      </c>
    </row>
    <row r="124" customFormat="false" ht="15" hidden="false" customHeight="false" outlineLevel="0" collapsed="false">
      <c r="A124" s="18" t="str">
        <f aca="false">IF(Ref_RISK!A121="","",Ref_RISK!A121)</f>
        <v/>
      </c>
      <c r="B124" s="18" t="str">
        <f aca="false">IF(A124="","",Ref_RISK!B121)</f>
        <v/>
      </c>
      <c r="C124" s="18" t="str">
        <f aca="false">IF(A124="","",COUNTIF(Risk_Control_Map!$B$5:$B$204,A124))</f>
        <v/>
      </c>
      <c r="D124" s="18" t="str">
        <f aca="false">IF(A124="","",SUMPRODUCT((Risk_Control_Map!$B$5:$B$204=A124)*(Risk_Control_Map!$G$5:$G$204="Y")))</f>
        <v/>
      </c>
      <c r="E124" s="18" t="str">
        <f aca="false">IF(A124="","",IF(AND(B124="Y",D124=0),"GAP: SOX risk has no key control",IF(C124=0,"No control mapped","OK")))</f>
        <v/>
      </c>
    </row>
    <row r="125" customFormat="false" ht="15" hidden="false" customHeight="false" outlineLevel="0" collapsed="false">
      <c r="A125" s="18" t="str">
        <f aca="false">IF(Ref_RISK!A122="","",Ref_RISK!A122)</f>
        <v/>
      </c>
      <c r="B125" s="18" t="str">
        <f aca="false">IF(A125="","",Ref_RISK!B122)</f>
        <v/>
      </c>
      <c r="C125" s="18" t="str">
        <f aca="false">IF(A125="","",COUNTIF(Risk_Control_Map!$B$5:$B$204,A125))</f>
        <v/>
      </c>
      <c r="D125" s="18" t="str">
        <f aca="false">IF(A125="","",SUMPRODUCT((Risk_Control_Map!$B$5:$B$204=A125)*(Risk_Control_Map!$G$5:$G$204="Y")))</f>
        <v/>
      </c>
      <c r="E125" s="18" t="str">
        <f aca="false">IF(A125="","",IF(AND(B125="Y",D125=0),"GAP: SOX risk has no key control",IF(C125=0,"No control mapped","OK")))</f>
        <v/>
      </c>
    </row>
    <row r="126" customFormat="false" ht="15" hidden="false" customHeight="false" outlineLevel="0" collapsed="false">
      <c r="A126" s="18" t="str">
        <f aca="false">IF(Ref_RISK!A123="","",Ref_RISK!A123)</f>
        <v/>
      </c>
      <c r="B126" s="18" t="str">
        <f aca="false">IF(A126="","",Ref_RISK!B123)</f>
        <v/>
      </c>
      <c r="C126" s="18" t="str">
        <f aca="false">IF(A126="","",COUNTIF(Risk_Control_Map!$B$5:$B$204,A126))</f>
        <v/>
      </c>
      <c r="D126" s="18" t="str">
        <f aca="false">IF(A126="","",SUMPRODUCT((Risk_Control_Map!$B$5:$B$204=A126)*(Risk_Control_Map!$G$5:$G$204="Y")))</f>
        <v/>
      </c>
      <c r="E126" s="18" t="str">
        <f aca="false">IF(A126="","",IF(AND(B126="Y",D126=0),"GAP: SOX risk has no key control",IF(C126=0,"No control mapped","OK")))</f>
        <v/>
      </c>
    </row>
    <row r="127" customFormat="false" ht="15" hidden="false" customHeight="false" outlineLevel="0" collapsed="false">
      <c r="A127" s="18" t="str">
        <f aca="false">IF(Ref_RISK!A124="","",Ref_RISK!A124)</f>
        <v/>
      </c>
      <c r="B127" s="18" t="str">
        <f aca="false">IF(A127="","",Ref_RISK!B124)</f>
        <v/>
      </c>
      <c r="C127" s="18" t="str">
        <f aca="false">IF(A127="","",COUNTIF(Risk_Control_Map!$B$5:$B$204,A127))</f>
        <v/>
      </c>
      <c r="D127" s="18" t="str">
        <f aca="false">IF(A127="","",SUMPRODUCT((Risk_Control_Map!$B$5:$B$204=A127)*(Risk_Control_Map!$G$5:$G$204="Y")))</f>
        <v/>
      </c>
      <c r="E127" s="18" t="str">
        <f aca="false">IF(A127="","",IF(AND(B127="Y",D127=0),"GAP: SOX risk has no key control",IF(C127=0,"No control mapped","OK")))</f>
        <v/>
      </c>
    </row>
    <row r="128" customFormat="false" ht="15" hidden="false" customHeight="false" outlineLevel="0" collapsed="false">
      <c r="A128" s="18" t="str">
        <f aca="false">IF(Ref_RISK!A125="","",Ref_RISK!A125)</f>
        <v/>
      </c>
      <c r="B128" s="18" t="str">
        <f aca="false">IF(A128="","",Ref_RISK!B125)</f>
        <v/>
      </c>
      <c r="C128" s="18" t="str">
        <f aca="false">IF(A128="","",COUNTIF(Risk_Control_Map!$B$5:$B$204,A128))</f>
        <v/>
      </c>
      <c r="D128" s="18" t="str">
        <f aca="false">IF(A128="","",SUMPRODUCT((Risk_Control_Map!$B$5:$B$204=A128)*(Risk_Control_Map!$G$5:$G$204="Y")))</f>
        <v/>
      </c>
      <c r="E128" s="18" t="str">
        <f aca="false">IF(A128="","",IF(AND(B128="Y",D128=0),"GAP: SOX risk has no key control",IF(C128=0,"No control mapped","OK")))</f>
        <v/>
      </c>
    </row>
    <row r="129" customFormat="false" ht="15" hidden="false" customHeight="false" outlineLevel="0" collapsed="false">
      <c r="A129" s="18" t="str">
        <f aca="false">IF(Ref_RISK!A126="","",Ref_RISK!A126)</f>
        <v/>
      </c>
      <c r="B129" s="18" t="str">
        <f aca="false">IF(A129="","",Ref_RISK!B126)</f>
        <v/>
      </c>
      <c r="C129" s="18" t="str">
        <f aca="false">IF(A129="","",COUNTIF(Risk_Control_Map!$B$5:$B$204,A129))</f>
        <v/>
      </c>
      <c r="D129" s="18" t="str">
        <f aca="false">IF(A129="","",SUMPRODUCT((Risk_Control_Map!$B$5:$B$204=A129)*(Risk_Control_Map!$G$5:$G$204="Y")))</f>
        <v/>
      </c>
      <c r="E129" s="18" t="str">
        <f aca="false">IF(A129="","",IF(AND(B129="Y",D129=0),"GAP: SOX risk has no key control",IF(C129=0,"No control mapped","OK")))</f>
        <v/>
      </c>
    </row>
    <row r="130" customFormat="false" ht="15" hidden="false" customHeight="false" outlineLevel="0" collapsed="false">
      <c r="A130" s="18" t="str">
        <f aca="false">IF(Ref_RISK!A127="","",Ref_RISK!A127)</f>
        <v/>
      </c>
      <c r="B130" s="18" t="str">
        <f aca="false">IF(A130="","",Ref_RISK!B127)</f>
        <v/>
      </c>
      <c r="C130" s="18" t="str">
        <f aca="false">IF(A130="","",COUNTIF(Risk_Control_Map!$B$5:$B$204,A130))</f>
        <v/>
      </c>
      <c r="D130" s="18" t="str">
        <f aca="false">IF(A130="","",SUMPRODUCT((Risk_Control_Map!$B$5:$B$204=A130)*(Risk_Control_Map!$G$5:$G$204="Y")))</f>
        <v/>
      </c>
      <c r="E130" s="18" t="str">
        <f aca="false">IF(A130="","",IF(AND(B130="Y",D130=0),"GAP: SOX risk has no key control",IF(C130=0,"No control mapped","OK")))</f>
        <v/>
      </c>
    </row>
    <row r="131" customFormat="false" ht="15" hidden="false" customHeight="false" outlineLevel="0" collapsed="false">
      <c r="A131" s="18" t="str">
        <f aca="false">IF(Ref_RISK!A128="","",Ref_RISK!A128)</f>
        <v/>
      </c>
      <c r="B131" s="18" t="str">
        <f aca="false">IF(A131="","",Ref_RISK!B128)</f>
        <v/>
      </c>
      <c r="C131" s="18" t="str">
        <f aca="false">IF(A131="","",COUNTIF(Risk_Control_Map!$B$5:$B$204,A131))</f>
        <v/>
      </c>
      <c r="D131" s="18" t="str">
        <f aca="false">IF(A131="","",SUMPRODUCT((Risk_Control_Map!$B$5:$B$204=A131)*(Risk_Control_Map!$G$5:$G$204="Y")))</f>
        <v/>
      </c>
      <c r="E131" s="18" t="str">
        <f aca="false">IF(A131="","",IF(AND(B131="Y",D131=0),"GAP: SOX risk has no key control",IF(C131=0,"No control mapped","OK")))</f>
        <v/>
      </c>
    </row>
    <row r="132" customFormat="false" ht="15" hidden="false" customHeight="false" outlineLevel="0" collapsed="false">
      <c r="A132" s="18" t="str">
        <f aca="false">IF(Ref_RISK!A129="","",Ref_RISK!A129)</f>
        <v/>
      </c>
      <c r="B132" s="18" t="str">
        <f aca="false">IF(A132="","",Ref_RISK!B129)</f>
        <v/>
      </c>
      <c r="C132" s="18" t="str">
        <f aca="false">IF(A132="","",COUNTIF(Risk_Control_Map!$B$5:$B$204,A132))</f>
        <v/>
      </c>
      <c r="D132" s="18" t="str">
        <f aca="false">IF(A132="","",SUMPRODUCT((Risk_Control_Map!$B$5:$B$204=A132)*(Risk_Control_Map!$G$5:$G$204="Y")))</f>
        <v/>
      </c>
      <c r="E132" s="18" t="str">
        <f aca="false">IF(A132="","",IF(AND(B132="Y",D132=0),"GAP: SOX risk has no key control",IF(C132=0,"No control mapped","OK")))</f>
        <v/>
      </c>
    </row>
    <row r="133" customFormat="false" ht="15" hidden="false" customHeight="false" outlineLevel="0" collapsed="false">
      <c r="A133" s="18" t="str">
        <f aca="false">IF(Ref_RISK!A130="","",Ref_RISK!A130)</f>
        <v/>
      </c>
      <c r="B133" s="18" t="str">
        <f aca="false">IF(A133="","",Ref_RISK!B130)</f>
        <v/>
      </c>
      <c r="C133" s="18" t="str">
        <f aca="false">IF(A133="","",COUNTIF(Risk_Control_Map!$B$5:$B$204,A133))</f>
        <v/>
      </c>
      <c r="D133" s="18" t="str">
        <f aca="false">IF(A133="","",SUMPRODUCT((Risk_Control_Map!$B$5:$B$204=A133)*(Risk_Control_Map!$G$5:$G$204="Y")))</f>
        <v/>
      </c>
      <c r="E133" s="18" t="str">
        <f aca="false">IF(A133="","",IF(AND(B133="Y",D133=0),"GAP: SOX risk has no key control",IF(C133=0,"No control mapped","OK")))</f>
        <v/>
      </c>
    </row>
    <row r="134" customFormat="false" ht="15" hidden="false" customHeight="false" outlineLevel="0" collapsed="false">
      <c r="A134" s="18" t="str">
        <f aca="false">IF(Ref_RISK!A131="","",Ref_RISK!A131)</f>
        <v/>
      </c>
      <c r="B134" s="18" t="str">
        <f aca="false">IF(A134="","",Ref_RISK!B131)</f>
        <v/>
      </c>
      <c r="C134" s="18" t="str">
        <f aca="false">IF(A134="","",COUNTIF(Risk_Control_Map!$B$5:$B$204,A134))</f>
        <v/>
      </c>
      <c r="D134" s="18" t="str">
        <f aca="false">IF(A134="","",SUMPRODUCT((Risk_Control_Map!$B$5:$B$204=A134)*(Risk_Control_Map!$G$5:$G$204="Y")))</f>
        <v/>
      </c>
      <c r="E134" s="18" t="str">
        <f aca="false">IF(A134="","",IF(AND(B134="Y",D134=0),"GAP: SOX risk has no key control",IF(C134=0,"No control mapped","OK")))</f>
        <v/>
      </c>
    </row>
    <row r="135" customFormat="false" ht="15" hidden="false" customHeight="false" outlineLevel="0" collapsed="false">
      <c r="A135" s="18" t="str">
        <f aca="false">IF(Ref_RISK!A132="","",Ref_RISK!A132)</f>
        <v/>
      </c>
      <c r="B135" s="18" t="str">
        <f aca="false">IF(A135="","",Ref_RISK!B132)</f>
        <v/>
      </c>
      <c r="C135" s="18" t="str">
        <f aca="false">IF(A135="","",COUNTIF(Risk_Control_Map!$B$5:$B$204,A135))</f>
        <v/>
      </c>
      <c r="D135" s="18" t="str">
        <f aca="false">IF(A135="","",SUMPRODUCT((Risk_Control_Map!$B$5:$B$204=A135)*(Risk_Control_Map!$G$5:$G$204="Y")))</f>
        <v/>
      </c>
      <c r="E135" s="18" t="str">
        <f aca="false">IF(A135="","",IF(AND(B135="Y",D135=0),"GAP: SOX risk has no key control",IF(C135=0,"No control mapped","OK")))</f>
        <v/>
      </c>
    </row>
    <row r="136" customFormat="false" ht="15" hidden="false" customHeight="false" outlineLevel="0" collapsed="false">
      <c r="A136" s="18" t="str">
        <f aca="false">IF(Ref_RISK!A133="","",Ref_RISK!A133)</f>
        <v/>
      </c>
      <c r="B136" s="18" t="str">
        <f aca="false">IF(A136="","",Ref_RISK!B133)</f>
        <v/>
      </c>
      <c r="C136" s="18" t="str">
        <f aca="false">IF(A136="","",COUNTIF(Risk_Control_Map!$B$5:$B$204,A136))</f>
        <v/>
      </c>
      <c r="D136" s="18" t="str">
        <f aca="false">IF(A136="","",SUMPRODUCT((Risk_Control_Map!$B$5:$B$204=A136)*(Risk_Control_Map!$G$5:$G$204="Y")))</f>
        <v/>
      </c>
      <c r="E136" s="18" t="str">
        <f aca="false">IF(A136="","",IF(AND(B136="Y",D136=0),"GAP: SOX risk has no key control",IF(C136=0,"No control mapped","OK")))</f>
        <v/>
      </c>
    </row>
    <row r="137" customFormat="false" ht="15" hidden="false" customHeight="false" outlineLevel="0" collapsed="false">
      <c r="A137" s="18" t="str">
        <f aca="false">IF(Ref_RISK!A134="","",Ref_RISK!A134)</f>
        <v/>
      </c>
      <c r="B137" s="18" t="str">
        <f aca="false">IF(A137="","",Ref_RISK!B134)</f>
        <v/>
      </c>
      <c r="C137" s="18" t="str">
        <f aca="false">IF(A137="","",COUNTIF(Risk_Control_Map!$B$5:$B$204,A137))</f>
        <v/>
      </c>
      <c r="D137" s="18" t="str">
        <f aca="false">IF(A137="","",SUMPRODUCT((Risk_Control_Map!$B$5:$B$204=A137)*(Risk_Control_Map!$G$5:$G$204="Y")))</f>
        <v/>
      </c>
      <c r="E137" s="18" t="str">
        <f aca="false">IF(A137="","",IF(AND(B137="Y",D137=0),"GAP: SOX risk has no key control",IF(C137=0,"No control mapped","OK")))</f>
        <v/>
      </c>
    </row>
    <row r="138" customFormat="false" ht="15" hidden="false" customHeight="false" outlineLevel="0" collapsed="false">
      <c r="A138" s="18" t="str">
        <f aca="false">IF(Ref_RISK!A135="","",Ref_RISK!A135)</f>
        <v/>
      </c>
      <c r="B138" s="18" t="str">
        <f aca="false">IF(A138="","",Ref_RISK!B135)</f>
        <v/>
      </c>
      <c r="C138" s="18" t="str">
        <f aca="false">IF(A138="","",COUNTIF(Risk_Control_Map!$B$5:$B$204,A138))</f>
        <v/>
      </c>
      <c r="D138" s="18" t="str">
        <f aca="false">IF(A138="","",SUMPRODUCT((Risk_Control_Map!$B$5:$B$204=A138)*(Risk_Control_Map!$G$5:$G$204="Y")))</f>
        <v/>
      </c>
      <c r="E138" s="18" t="str">
        <f aca="false">IF(A138="","",IF(AND(B138="Y",D138=0),"GAP: SOX risk has no key control",IF(C138=0,"No control mapped","OK")))</f>
        <v/>
      </c>
    </row>
    <row r="139" customFormat="false" ht="15" hidden="false" customHeight="false" outlineLevel="0" collapsed="false">
      <c r="A139" s="18" t="str">
        <f aca="false">IF(Ref_RISK!A136="","",Ref_RISK!A136)</f>
        <v/>
      </c>
      <c r="B139" s="18" t="str">
        <f aca="false">IF(A139="","",Ref_RISK!B136)</f>
        <v/>
      </c>
      <c r="C139" s="18" t="str">
        <f aca="false">IF(A139="","",COUNTIF(Risk_Control_Map!$B$5:$B$204,A139))</f>
        <v/>
      </c>
      <c r="D139" s="18" t="str">
        <f aca="false">IF(A139="","",SUMPRODUCT((Risk_Control_Map!$B$5:$B$204=A139)*(Risk_Control_Map!$G$5:$G$204="Y")))</f>
        <v/>
      </c>
      <c r="E139" s="18" t="str">
        <f aca="false">IF(A139="","",IF(AND(B139="Y",D139=0),"GAP: SOX risk has no key control",IF(C139=0,"No control mapped","OK")))</f>
        <v/>
      </c>
    </row>
    <row r="140" customFormat="false" ht="15" hidden="false" customHeight="false" outlineLevel="0" collapsed="false">
      <c r="A140" s="18" t="str">
        <f aca="false">IF(Ref_RISK!A137="","",Ref_RISK!A137)</f>
        <v/>
      </c>
      <c r="B140" s="18" t="str">
        <f aca="false">IF(A140="","",Ref_RISK!B137)</f>
        <v/>
      </c>
      <c r="C140" s="18" t="str">
        <f aca="false">IF(A140="","",COUNTIF(Risk_Control_Map!$B$5:$B$204,A140))</f>
        <v/>
      </c>
      <c r="D140" s="18" t="str">
        <f aca="false">IF(A140="","",SUMPRODUCT((Risk_Control_Map!$B$5:$B$204=A140)*(Risk_Control_Map!$G$5:$G$204="Y")))</f>
        <v/>
      </c>
      <c r="E140" s="18" t="str">
        <f aca="false">IF(A140="","",IF(AND(B140="Y",D140=0),"GAP: SOX risk has no key control",IF(C140=0,"No control mapped","OK")))</f>
        <v/>
      </c>
    </row>
    <row r="141" customFormat="false" ht="15" hidden="false" customHeight="false" outlineLevel="0" collapsed="false">
      <c r="A141" s="18" t="str">
        <f aca="false">IF(Ref_RISK!A138="","",Ref_RISK!A138)</f>
        <v/>
      </c>
      <c r="B141" s="18" t="str">
        <f aca="false">IF(A141="","",Ref_RISK!B138)</f>
        <v/>
      </c>
      <c r="C141" s="18" t="str">
        <f aca="false">IF(A141="","",COUNTIF(Risk_Control_Map!$B$5:$B$204,A141))</f>
        <v/>
      </c>
      <c r="D141" s="18" t="str">
        <f aca="false">IF(A141="","",SUMPRODUCT((Risk_Control_Map!$B$5:$B$204=A141)*(Risk_Control_Map!$G$5:$G$204="Y")))</f>
        <v/>
      </c>
      <c r="E141" s="18" t="str">
        <f aca="false">IF(A141="","",IF(AND(B141="Y",D141=0),"GAP: SOX risk has no key control",IF(C141=0,"No control mapped","OK")))</f>
        <v/>
      </c>
    </row>
    <row r="142" customFormat="false" ht="15" hidden="false" customHeight="false" outlineLevel="0" collapsed="false">
      <c r="A142" s="18" t="str">
        <f aca="false">IF(Ref_RISK!A139="","",Ref_RISK!A139)</f>
        <v/>
      </c>
      <c r="B142" s="18" t="str">
        <f aca="false">IF(A142="","",Ref_RISK!B139)</f>
        <v/>
      </c>
      <c r="C142" s="18" t="str">
        <f aca="false">IF(A142="","",COUNTIF(Risk_Control_Map!$B$5:$B$204,A142))</f>
        <v/>
      </c>
      <c r="D142" s="18" t="str">
        <f aca="false">IF(A142="","",SUMPRODUCT((Risk_Control_Map!$B$5:$B$204=A142)*(Risk_Control_Map!$G$5:$G$204="Y")))</f>
        <v/>
      </c>
      <c r="E142" s="18" t="str">
        <f aca="false">IF(A142="","",IF(AND(B142="Y",D142=0),"GAP: SOX risk has no key control",IF(C142=0,"No control mapped","OK")))</f>
        <v/>
      </c>
    </row>
    <row r="143" customFormat="false" ht="15" hidden="false" customHeight="false" outlineLevel="0" collapsed="false">
      <c r="A143" s="18" t="str">
        <f aca="false">IF(Ref_RISK!A140="","",Ref_RISK!A140)</f>
        <v/>
      </c>
      <c r="B143" s="18" t="str">
        <f aca="false">IF(A143="","",Ref_RISK!B140)</f>
        <v/>
      </c>
      <c r="C143" s="18" t="str">
        <f aca="false">IF(A143="","",COUNTIF(Risk_Control_Map!$B$5:$B$204,A143))</f>
        <v/>
      </c>
      <c r="D143" s="18" t="str">
        <f aca="false">IF(A143="","",SUMPRODUCT((Risk_Control_Map!$B$5:$B$204=A143)*(Risk_Control_Map!$G$5:$G$204="Y")))</f>
        <v/>
      </c>
      <c r="E143" s="18" t="str">
        <f aca="false">IF(A143="","",IF(AND(B143="Y",D143=0),"GAP: SOX risk has no key control",IF(C143=0,"No control mapped","OK")))</f>
        <v/>
      </c>
    </row>
    <row r="144" customFormat="false" ht="15" hidden="false" customHeight="false" outlineLevel="0" collapsed="false">
      <c r="A144" s="18" t="str">
        <f aca="false">IF(Ref_RISK!A141="","",Ref_RISK!A141)</f>
        <v/>
      </c>
      <c r="B144" s="18" t="str">
        <f aca="false">IF(A144="","",Ref_RISK!B141)</f>
        <v/>
      </c>
      <c r="C144" s="18" t="str">
        <f aca="false">IF(A144="","",COUNTIF(Risk_Control_Map!$B$5:$B$204,A144))</f>
        <v/>
      </c>
      <c r="D144" s="18" t="str">
        <f aca="false">IF(A144="","",SUMPRODUCT((Risk_Control_Map!$B$5:$B$204=A144)*(Risk_Control_Map!$G$5:$G$204="Y")))</f>
        <v/>
      </c>
      <c r="E144" s="18" t="str">
        <f aca="false">IF(A144="","",IF(AND(B144="Y",D144=0),"GAP: SOX risk has no key control",IF(C144=0,"No control mapped","OK")))</f>
        <v/>
      </c>
    </row>
    <row r="145" customFormat="false" ht="15" hidden="false" customHeight="false" outlineLevel="0" collapsed="false">
      <c r="A145" s="18" t="str">
        <f aca="false">IF(Ref_RISK!A142="","",Ref_RISK!A142)</f>
        <v/>
      </c>
      <c r="B145" s="18" t="str">
        <f aca="false">IF(A145="","",Ref_RISK!B142)</f>
        <v/>
      </c>
      <c r="C145" s="18" t="str">
        <f aca="false">IF(A145="","",COUNTIF(Risk_Control_Map!$B$5:$B$204,A145))</f>
        <v/>
      </c>
      <c r="D145" s="18" t="str">
        <f aca="false">IF(A145="","",SUMPRODUCT((Risk_Control_Map!$B$5:$B$204=A145)*(Risk_Control_Map!$G$5:$G$204="Y")))</f>
        <v/>
      </c>
      <c r="E145" s="18" t="str">
        <f aca="false">IF(A145="","",IF(AND(B145="Y",D145=0),"GAP: SOX risk has no key control",IF(C145=0,"No control mapped","OK")))</f>
        <v/>
      </c>
    </row>
    <row r="146" customFormat="false" ht="15" hidden="false" customHeight="false" outlineLevel="0" collapsed="false">
      <c r="A146" s="18" t="str">
        <f aca="false">IF(Ref_RISK!A143="","",Ref_RISK!A143)</f>
        <v/>
      </c>
      <c r="B146" s="18" t="str">
        <f aca="false">IF(A146="","",Ref_RISK!B143)</f>
        <v/>
      </c>
      <c r="C146" s="18" t="str">
        <f aca="false">IF(A146="","",COUNTIF(Risk_Control_Map!$B$5:$B$204,A146))</f>
        <v/>
      </c>
      <c r="D146" s="18" t="str">
        <f aca="false">IF(A146="","",SUMPRODUCT((Risk_Control_Map!$B$5:$B$204=A146)*(Risk_Control_Map!$G$5:$G$204="Y")))</f>
        <v/>
      </c>
      <c r="E146" s="18" t="str">
        <f aca="false">IF(A146="","",IF(AND(B146="Y",D146=0),"GAP: SOX risk has no key control",IF(C146=0,"No control mapped","OK")))</f>
        <v/>
      </c>
    </row>
    <row r="147" customFormat="false" ht="15" hidden="false" customHeight="false" outlineLevel="0" collapsed="false">
      <c r="A147" s="18" t="str">
        <f aca="false">IF(Ref_RISK!A144="","",Ref_RISK!A144)</f>
        <v/>
      </c>
      <c r="B147" s="18" t="str">
        <f aca="false">IF(A147="","",Ref_RISK!B144)</f>
        <v/>
      </c>
      <c r="C147" s="18" t="str">
        <f aca="false">IF(A147="","",COUNTIF(Risk_Control_Map!$B$5:$B$204,A147))</f>
        <v/>
      </c>
      <c r="D147" s="18" t="str">
        <f aca="false">IF(A147="","",SUMPRODUCT((Risk_Control_Map!$B$5:$B$204=A147)*(Risk_Control_Map!$G$5:$G$204="Y")))</f>
        <v/>
      </c>
      <c r="E147" s="18" t="str">
        <f aca="false">IF(A147="","",IF(AND(B147="Y",D147=0),"GAP: SOX risk has no key control",IF(C147=0,"No control mapped","OK")))</f>
        <v/>
      </c>
    </row>
    <row r="148" customFormat="false" ht="15" hidden="false" customHeight="false" outlineLevel="0" collapsed="false">
      <c r="A148" s="18" t="str">
        <f aca="false">IF(Ref_RISK!A145="","",Ref_RISK!A145)</f>
        <v/>
      </c>
      <c r="B148" s="18" t="str">
        <f aca="false">IF(A148="","",Ref_RISK!B145)</f>
        <v/>
      </c>
      <c r="C148" s="18" t="str">
        <f aca="false">IF(A148="","",COUNTIF(Risk_Control_Map!$B$5:$B$204,A148))</f>
        <v/>
      </c>
      <c r="D148" s="18" t="str">
        <f aca="false">IF(A148="","",SUMPRODUCT((Risk_Control_Map!$B$5:$B$204=A148)*(Risk_Control_Map!$G$5:$G$204="Y")))</f>
        <v/>
      </c>
      <c r="E148" s="18" t="str">
        <f aca="false">IF(A148="","",IF(AND(B148="Y",D148=0),"GAP: SOX risk has no key control",IF(C148=0,"No control mapped","OK")))</f>
        <v/>
      </c>
    </row>
    <row r="149" customFormat="false" ht="15" hidden="false" customHeight="false" outlineLevel="0" collapsed="false">
      <c r="A149" s="18" t="str">
        <f aca="false">IF(Ref_RISK!A146="","",Ref_RISK!A146)</f>
        <v/>
      </c>
      <c r="B149" s="18" t="str">
        <f aca="false">IF(A149="","",Ref_RISK!B146)</f>
        <v/>
      </c>
      <c r="C149" s="18" t="str">
        <f aca="false">IF(A149="","",COUNTIF(Risk_Control_Map!$B$5:$B$204,A149))</f>
        <v/>
      </c>
      <c r="D149" s="18" t="str">
        <f aca="false">IF(A149="","",SUMPRODUCT((Risk_Control_Map!$B$5:$B$204=A149)*(Risk_Control_Map!$G$5:$G$204="Y")))</f>
        <v/>
      </c>
      <c r="E149" s="18" t="str">
        <f aca="false">IF(A149="","",IF(AND(B149="Y",D149=0),"GAP: SOX risk has no key control",IF(C149=0,"No control mapped","OK")))</f>
        <v/>
      </c>
    </row>
    <row r="150" customFormat="false" ht="15" hidden="false" customHeight="false" outlineLevel="0" collapsed="false">
      <c r="A150" s="18" t="str">
        <f aca="false">IF(Ref_RISK!A147="","",Ref_RISK!A147)</f>
        <v/>
      </c>
      <c r="B150" s="18" t="str">
        <f aca="false">IF(A150="","",Ref_RISK!B147)</f>
        <v/>
      </c>
      <c r="C150" s="18" t="str">
        <f aca="false">IF(A150="","",COUNTIF(Risk_Control_Map!$B$5:$B$204,A150))</f>
        <v/>
      </c>
      <c r="D150" s="18" t="str">
        <f aca="false">IF(A150="","",SUMPRODUCT((Risk_Control_Map!$B$5:$B$204=A150)*(Risk_Control_Map!$G$5:$G$204="Y")))</f>
        <v/>
      </c>
      <c r="E150" s="18" t="str">
        <f aca="false">IF(A150="","",IF(AND(B150="Y",D150=0),"GAP: SOX risk has no key control",IF(C150=0,"No control mapped","OK")))</f>
        <v/>
      </c>
    </row>
    <row r="151" customFormat="false" ht="15" hidden="false" customHeight="false" outlineLevel="0" collapsed="false">
      <c r="A151" s="18" t="str">
        <f aca="false">IF(Ref_RISK!A148="","",Ref_RISK!A148)</f>
        <v/>
      </c>
      <c r="B151" s="18" t="str">
        <f aca="false">IF(A151="","",Ref_RISK!B148)</f>
        <v/>
      </c>
      <c r="C151" s="18" t="str">
        <f aca="false">IF(A151="","",COUNTIF(Risk_Control_Map!$B$5:$B$204,A151))</f>
        <v/>
      </c>
      <c r="D151" s="18" t="str">
        <f aca="false">IF(A151="","",SUMPRODUCT((Risk_Control_Map!$B$5:$B$204=A151)*(Risk_Control_Map!$G$5:$G$204="Y")))</f>
        <v/>
      </c>
      <c r="E151" s="18" t="str">
        <f aca="false">IF(A151="","",IF(AND(B151="Y",D151=0),"GAP: SOX risk has no key control",IF(C151=0,"No control mapped","OK")))</f>
        <v/>
      </c>
    </row>
    <row r="152" customFormat="false" ht="15" hidden="false" customHeight="false" outlineLevel="0" collapsed="false">
      <c r="A152" s="18" t="str">
        <f aca="false">IF(Ref_RISK!A149="","",Ref_RISK!A149)</f>
        <v/>
      </c>
      <c r="B152" s="18" t="str">
        <f aca="false">IF(A152="","",Ref_RISK!B149)</f>
        <v/>
      </c>
      <c r="C152" s="18" t="str">
        <f aca="false">IF(A152="","",COUNTIF(Risk_Control_Map!$B$5:$B$204,A152))</f>
        <v/>
      </c>
      <c r="D152" s="18" t="str">
        <f aca="false">IF(A152="","",SUMPRODUCT((Risk_Control_Map!$B$5:$B$204=A152)*(Risk_Control_Map!$G$5:$G$204="Y")))</f>
        <v/>
      </c>
      <c r="E152" s="18" t="str">
        <f aca="false">IF(A152="","",IF(AND(B152="Y",D152=0),"GAP: SOX risk has no key control",IF(C152=0,"No control mapped","OK")))</f>
        <v/>
      </c>
    </row>
    <row r="153" customFormat="false" ht="15" hidden="false" customHeight="false" outlineLevel="0" collapsed="false">
      <c r="A153" s="18" t="str">
        <f aca="false">IF(Ref_RISK!A150="","",Ref_RISK!A150)</f>
        <v/>
      </c>
      <c r="B153" s="18" t="str">
        <f aca="false">IF(A153="","",Ref_RISK!B150)</f>
        <v/>
      </c>
      <c r="C153" s="18" t="str">
        <f aca="false">IF(A153="","",COUNTIF(Risk_Control_Map!$B$5:$B$204,A153))</f>
        <v/>
      </c>
      <c r="D153" s="18" t="str">
        <f aca="false">IF(A153="","",SUMPRODUCT((Risk_Control_Map!$B$5:$B$204=A153)*(Risk_Control_Map!$G$5:$G$204="Y")))</f>
        <v/>
      </c>
      <c r="E153" s="18" t="str">
        <f aca="false">IF(A153="","",IF(AND(B153="Y",D153=0),"GAP: SOX risk has no key control",IF(C153=0,"No control mapped","OK")))</f>
        <v/>
      </c>
    </row>
    <row r="154" customFormat="false" ht="15" hidden="false" customHeight="false" outlineLevel="0" collapsed="false">
      <c r="A154" s="18" t="str">
        <f aca="false">IF(Ref_RISK!A151="","",Ref_RISK!A151)</f>
        <v/>
      </c>
      <c r="B154" s="18" t="str">
        <f aca="false">IF(A154="","",Ref_RISK!B151)</f>
        <v/>
      </c>
      <c r="C154" s="18" t="str">
        <f aca="false">IF(A154="","",COUNTIF(Risk_Control_Map!$B$5:$B$204,A154))</f>
        <v/>
      </c>
      <c r="D154" s="18" t="str">
        <f aca="false">IF(A154="","",SUMPRODUCT((Risk_Control_Map!$B$5:$B$204=A154)*(Risk_Control_Map!$G$5:$G$204="Y")))</f>
        <v/>
      </c>
      <c r="E154" s="18" t="str">
        <f aca="false">IF(A154="","",IF(AND(B154="Y",D154=0),"GAP: SOX risk has no key control",IF(C154=0,"No control mapped","OK")))</f>
        <v/>
      </c>
    </row>
    <row r="155" customFormat="false" ht="15" hidden="false" customHeight="false" outlineLevel="0" collapsed="false">
      <c r="A155" s="18" t="str">
        <f aca="false">IF(Ref_RISK!A152="","",Ref_RISK!A152)</f>
        <v/>
      </c>
      <c r="B155" s="18" t="str">
        <f aca="false">IF(A155="","",Ref_RISK!B152)</f>
        <v/>
      </c>
      <c r="C155" s="18" t="str">
        <f aca="false">IF(A155="","",COUNTIF(Risk_Control_Map!$B$5:$B$204,A155))</f>
        <v/>
      </c>
      <c r="D155" s="18" t="str">
        <f aca="false">IF(A155="","",SUMPRODUCT((Risk_Control_Map!$B$5:$B$204=A155)*(Risk_Control_Map!$G$5:$G$204="Y")))</f>
        <v/>
      </c>
      <c r="E155" s="18" t="str">
        <f aca="false">IF(A155="","",IF(AND(B155="Y",D155=0),"GAP: SOX risk has no key control",IF(C155=0,"No control mapped","OK")))</f>
        <v/>
      </c>
    </row>
    <row r="156" customFormat="false" ht="15" hidden="false" customHeight="false" outlineLevel="0" collapsed="false">
      <c r="A156" s="18" t="str">
        <f aca="false">IF(Ref_RISK!A153="","",Ref_RISK!A153)</f>
        <v/>
      </c>
      <c r="B156" s="18" t="str">
        <f aca="false">IF(A156="","",Ref_RISK!B153)</f>
        <v/>
      </c>
      <c r="C156" s="18" t="str">
        <f aca="false">IF(A156="","",COUNTIF(Risk_Control_Map!$B$5:$B$204,A156))</f>
        <v/>
      </c>
      <c r="D156" s="18" t="str">
        <f aca="false">IF(A156="","",SUMPRODUCT((Risk_Control_Map!$B$5:$B$204=A156)*(Risk_Control_Map!$G$5:$G$204="Y")))</f>
        <v/>
      </c>
      <c r="E156" s="18" t="str">
        <f aca="false">IF(A156="","",IF(AND(B156="Y",D156=0),"GAP: SOX risk has no key control",IF(C156=0,"No control mapped","OK")))</f>
        <v/>
      </c>
    </row>
    <row r="157" customFormat="false" ht="15" hidden="false" customHeight="false" outlineLevel="0" collapsed="false">
      <c r="A157" s="18" t="str">
        <f aca="false">IF(Ref_RISK!A154="","",Ref_RISK!A154)</f>
        <v/>
      </c>
      <c r="B157" s="18" t="str">
        <f aca="false">IF(A157="","",Ref_RISK!B154)</f>
        <v/>
      </c>
      <c r="C157" s="18" t="str">
        <f aca="false">IF(A157="","",COUNTIF(Risk_Control_Map!$B$5:$B$204,A157))</f>
        <v/>
      </c>
      <c r="D157" s="18" t="str">
        <f aca="false">IF(A157="","",SUMPRODUCT((Risk_Control_Map!$B$5:$B$204=A157)*(Risk_Control_Map!$G$5:$G$204="Y")))</f>
        <v/>
      </c>
      <c r="E157" s="18" t="str">
        <f aca="false">IF(A157="","",IF(AND(B157="Y",D157=0),"GAP: SOX risk has no key control",IF(C157=0,"No control mapped","OK")))</f>
        <v/>
      </c>
    </row>
    <row r="158" customFormat="false" ht="15" hidden="false" customHeight="false" outlineLevel="0" collapsed="false">
      <c r="A158" s="18" t="str">
        <f aca="false">IF(Ref_RISK!A155="","",Ref_RISK!A155)</f>
        <v/>
      </c>
      <c r="B158" s="18" t="str">
        <f aca="false">IF(A158="","",Ref_RISK!B155)</f>
        <v/>
      </c>
      <c r="C158" s="18" t="str">
        <f aca="false">IF(A158="","",COUNTIF(Risk_Control_Map!$B$5:$B$204,A158))</f>
        <v/>
      </c>
      <c r="D158" s="18" t="str">
        <f aca="false">IF(A158="","",SUMPRODUCT((Risk_Control_Map!$B$5:$B$204=A158)*(Risk_Control_Map!$G$5:$G$204="Y")))</f>
        <v/>
      </c>
      <c r="E158" s="18" t="str">
        <f aca="false">IF(A158="","",IF(AND(B158="Y",D158=0),"GAP: SOX risk has no key control",IF(C158=0,"No control mapped","OK")))</f>
        <v/>
      </c>
    </row>
    <row r="159" customFormat="false" ht="15" hidden="false" customHeight="false" outlineLevel="0" collapsed="false">
      <c r="A159" s="18" t="str">
        <f aca="false">IF(Ref_RISK!A156="","",Ref_RISK!A156)</f>
        <v/>
      </c>
      <c r="B159" s="18" t="str">
        <f aca="false">IF(A159="","",Ref_RISK!B156)</f>
        <v/>
      </c>
      <c r="C159" s="18" t="str">
        <f aca="false">IF(A159="","",COUNTIF(Risk_Control_Map!$B$5:$B$204,A159))</f>
        <v/>
      </c>
      <c r="D159" s="18" t="str">
        <f aca="false">IF(A159="","",SUMPRODUCT((Risk_Control_Map!$B$5:$B$204=A159)*(Risk_Control_Map!$G$5:$G$204="Y")))</f>
        <v/>
      </c>
      <c r="E159" s="18" t="str">
        <f aca="false">IF(A159="","",IF(AND(B159="Y",D159=0),"GAP: SOX risk has no key control",IF(C159=0,"No control mapped","OK")))</f>
        <v/>
      </c>
    </row>
    <row r="160" customFormat="false" ht="15" hidden="false" customHeight="false" outlineLevel="0" collapsed="false">
      <c r="A160" s="18" t="str">
        <f aca="false">IF(Ref_RISK!A157="","",Ref_RISK!A157)</f>
        <v/>
      </c>
      <c r="B160" s="18" t="str">
        <f aca="false">IF(A160="","",Ref_RISK!B157)</f>
        <v/>
      </c>
      <c r="C160" s="18" t="str">
        <f aca="false">IF(A160="","",COUNTIF(Risk_Control_Map!$B$5:$B$204,A160))</f>
        <v/>
      </c>
      <c r="D160" s="18" t="str">
        <f aca="false">IF(A160="","",SUMPRODUCT((Risk_Control_Map!$B$5:$B$204=A160)*(Risk_Control_Map!$G$5:$G$204="Y")))</f>
        <v/>
      </c>
      <c r="E160" s="18" t="str">
        <f aca="false">IF(A160="","",IF(AND(B160="Y",D160=0),"GAP: SOX risk has no key control",IF(C160=0,"No control mapped","OK")))</f>
        <v/>
      </c>
    </row>
    <row r="161" customFormat="false" ht="15" hidden="false" customHeight="false" outlineLevel="0" collapsed="false">
      <c r="A161" s="18" t="str">
        <f aca="false">IF(Ref_RISK!A158="","",Ref_RISK!A158)</f>
        <v/>
      </c>
      <c r="B161" s="18" t="str">
        <f aca="false">IF(A161="","",Ref_RISK!B158)</f>
        <v/>
      </c>
      <c r="C161" s="18" t="str">
        <f aca="false">IF(A161="","",COUNTIF(Risk_Control_Map!$B$5:$B$204,A161))</f>
        <v/>
      </c>
      <c r="D161" s="18" t="str">
        <f aca="false">IF(A161="","",SUMPRODUCT((Risk_Control_Map!$B$5:$B$204=A161)*(Risk_Control_Map!$G$5:$G$204="Y")))</f>
        <v/>
      </c>
      <c r="E161" s="18" t="str">
        <f aca="false">IF(A161="","",IF(AND(B161="Y",D161=0),"GAP: SOX risk has no key control",IF(C161=0,"No control mapped","OK")))</f>
        <v/>
      </c>
    </row>
    <row r="162" customFormat="false" ht="15" hidden="false" customHeight="false" outlineLevel="0" collapsed="false">
      <c r="A162" s="18" t="str">
        <f aca="false">IF(Ref_RISK!A159="","",Ref_RISK!A159)</f>
        <v/>
      </c>
      <c r="B162" s="18" t="str">
        <f aca="false">IF(A162="","",Ref_RISK!B159)</f>
        <v/>
      </c>
      <c r="C162" s="18" t="str">
        <f aca="false">IF(A162="","",COUNTIF(Risk_Control_Map!$B$5:$B$204,A162))</f>
        <v/>
      </c>
      <c r="D162" s="18" t="str">
        <f aca="false">IF(A162="","",SUMPRODUCT((Risk_Control_Map!$B$5:$B$204=A162)*(Risk_Control_Map!$G$5:$G$204="Y")))</f>
        <v/>
      </c>
      <c r="E162" s="18" t="str">
        <f aca="false">IF(A162="","",IF(AND(B162="Y",D162=0),"GAP: SOX risk has no key control",IF(C162=0,"No control mapped","OK")))</f>
        <v/>
      </c>
    </row>
    <row r="163" customFormat="false" ht="15" hidden="false" customHeight="false" outlineLevel="0" collapsed="false">
      <c r="A163" s="18" t="str">
        <f aca="false">IF(Ref_RISK!A160="","",Ref_RISK!A160)</f>
        <v/>
      </c>
      <c r="B163" s="18" t="str">
        <f aca="false">IF(A163="","",Ref_RISK!B160)</f>
        <v/>
      </c>
      <c r="C163" s="18" t="str">
        <f aca="false">IF(A163="","",COUNTIF(Risk_Control_Map!$B$5:$B$204,A163))</f>
        <v/>
      </c>
      <c r="D163" s="18" t="str">
        <f aca="false">IF(A163="","",SUMPRODUCT((Risk_Control_Map!$B$5:$B$204=A163)*(Risk_Control_Map!$G$5:$G$204="Y")))</f>
        <v/>
      </c>
      <c r="E163" s="18" t="str">
        <f aca="false">IF(A163="","",IF(AND(B163="Y",D163=0),"GAP: SOX risk has no key control",IF(C163=0,"No control mapped","OK")))</f>
        <v/>
      </c>
    </row>
    <row r="164" customFormat="false" ht="15" hidden="false" customHeight="false" outlineLevel="0" collapsed="false">
      <c r="A164" s="18" t="str">
        <f aca="false">IF(Ref_RISK!A161="","",Ref_RISK!A161)</f>
        <v/>
      </c>
      <c r="B164" s="18" t="str">
        <f aca="false">IF(A164="","",Ref_RISK!B161)</f>
        <v/>
      </c>
      <c r="C164" s="18" t="str">
        <f aca="false">IF(A164="","",COUNTIF(Risk_Control_Map!$B$5:$B$204,A164))</f>
        <v/>
      </c>
      <c r="D164" s="18" t="str">
        <f aca="false">IF(A164="","",SUMPRODUCT((Risk_Control_Map!$B$5:$B$204=A164)*(Risk_Control_Map!$G$5:$G$204="Y")))</f>
        <v/>
      </c>
      <c r="E164" s="18" t="str">
        <f aca="false">IF(A164="","",IF(AND(B164="Y",D164=0),"GAP: SOX risk has no key control",IF(C164=0,"No control mapped","OK")))</f>
        <v/>
      </c>
    </row>
    <row r="165" customFormat="false" ht="15" hidden="false" customHeight="false" outlineLevel="0" collapsed="false">
      <c r="A165" s="18" t="str">
        <f aca="false">IF(Ref_RISK!A162="","",Ref_RISK!A162)</f>
        <v/>
      </c>
      <c r="B165" s="18" t="str">
        <f aca="false">IF(A165="","",Ref_RISK!B162)</f>
        <v/>
      </c>
      <c r="C165" s="18" t="str">
        <f aca="false">IF(A165="","",COUNTIF(Risk_Control_Map!$B$5:$B$204,A165))</f>
        <v/>
      </c>
      <c r="D165" s="18" t="str">
        <f aca="false">IF(A165="","",SUMPRODUCT((Risk_Control_Map!$B$5:$B$204=A165)*(Risk_Control_Map!$G$5:$G$204="Y")))</f>
        <v/>
      </c>
      <c r="E165" s="18" t="str">
        <f aca="false">IF(A165="","",IF(AND(B165="Y",D165=0),"GAP: SOX risk has no key control",IF(C165=0,"No control mapped","OK")))</f>
        <v/>
      </c>
    </row>
    <row r="166" customFormat="false" ht="15" hidden="false" customHeight="false" outlineLevel="0" collapsed="false">
      <c r="A166" s="18" t="str">
        <f aca="false">IF(Ref_RISK!A163="","",Ref_RISK!A163)</f>
        <v/>
      </c>
      <c r="B166" s="18" t="str">
        <f aca="false">IF(A166="","",Ref_RISK!B163)</f>
        <v/>
      </c>
      <c r="C166" s="18" t="str">
        <f aca="false">IF(A166="","",COUNTIF(Risk_Control_Map!$B$5:$B$204,A166))</f>
        <v/>
      </c>
      <c r="D166" s="18" t="str">
        <f aca="false">IF(A166="","",SUMPRODUCT((Risk_Control_Map!$B$5:$B$204=A166)*(Risk_Control_Map!$G$5:$G$204="Y")))</f>
        <v/>
      </c>
      <c r="E166" s="18" t="str">
        <f aca="false">IF(A166="","",IF(AND(B166="Y",D166=0),"GAP: SOX risk has no key control",IF(C166=0,"No control mapped","OK")))</f>
        <v/>
      </c>
    </row>
    <row r="167" customFormat="false" ht="15" hidden="false" customHeight="false" outlineLevel="0" collapsed="false">
      <c r="A167" s="18" t="str">
        <f aca="false">IF(Ref_RISK!A164="","",Ref_RISK!A164)</f>
        <v/>
      </c>
      <c r="B167" s="18" t="str">
        <f aca="false">IF(A167="","",Ref_RISK!B164)</f>
        <v/>
      </c>
      <c r="C167" s="18" t="str">
        <f aca="false">IF(A167="","",COUNTIF(Risk_Control_Map!$B$5:$B$204,A167))</f>
        <v/>
      </c>
      <c r="D167" s="18" t="str">
        <f aca="false">IF(A167="","",SUMPRODUCT((Risk_Control_Map!$B$5:$B$204=A167)*(Risk_Control_Map!$G$5:$G$204="Y")))</f>
        <v/>
      </c>
      <c r="E167" s="18" t="str">
        <f aca="false">IF(A167="","",IF(AND(B167="Y",D167=0),"GAP: SOX risk has no key control",IF(C167=0,"No control mapped","OK")))</f>
        <v/>
      </c>
    </row>
    <row r="168" customFormat="false" ht="15" hidden="false" customHeight="false" outlineLevel="0" collapsed="false">
      <c r="A168" s="18" t="str">
        <f aca="false">IF(Ref_RISK!A165="","",Ref_RISK!A165)</f>
        <v/>
      </c>
      <c r="B168" s="18" t="str">
        <f aca="false">IF(A168="","",Ref_RISK!B165)</f>
        <v/>
      </c>
      <c r="C168" s="18" t="str">
        <f aca="false">IF(A168="","",COUNTIF(Risk_Control_Map!$B$5:$B$204,A168))</f>
        <v/>
      </c>
      <c r="D168" s="18" t="str">
        <f aca="false">IF(A168="","",SUMPRODUCT((Risk_Control_Map!$B$5:$B$204=A168)*(Risk_Control_Map!$G$5:$G$204="Y")))</f>
        <v/>
      </c>
      <c r="E168" s="18" t="str">
        <f aca="false">IF(A168="","",IF(AND(B168="Y",D168=0),"GAP: SOX risk has no key control",IF(C168=0,"No control mapped","OK")))</f>
        <v/>
      </c>
    </row>
    <row r="169" customFormat="false" ht="15" hidden="false" customHeight="false" outlineLevel="0" collapsed="false">
      <c r="A169" s="18" t="str">
        <f aca="false">IF(Ref_RISK!A166="","",Ref_RISK!A166)</f>
        <v/>
      </c>
      <c r="B169" s="18" t="str">
        <f aca="false">IF(A169="","",Ref_RISK!B166)</f>
        <v/>
      </c>
      <c r="C169" s="18" t="str">
        <f aca="false">IF(A169="","",COUNTIF(Risk_Control_Map!$B$5:$B$204,A169))</f>
        <v/>
      </c>
      <c r="D169" s="18" t="str">
        <f aca="false">IF(A169="","",SUMPRODUCT((Risk_Control_Map!$B$5:$B$204=A169)*(Risk_Control_Map!$G$5:$G$204="Y")))</f>
        <v/>
      </c>
      <c r="E169" s="18" t="str">
        <f aca="false">IF(A169="","",IF(AND(B169="Y",D169=0),"GAP: SOX risk has no key control",IF(C169=0,"No control mapped","OK")))</f>
        <v/>
      </c>
    </row>
    <row r="170" customFormat="false" ht="15" hidden="false" customHeight="false" outlineLevel="0" collapsed="false">
      <c r="A170" s="18" t="str">
        <f aca="false">IF(Ref_RISK!A167="","",Ref_RISK!A167)</f>
        <v/>
      </c>
      <c r="B170" s="18" t="str">
        <f aca="false">IF(A170="","",Ref_RISK!B167)</f>
        <v/>
      </c>
      <c r="C170" s="18" t="str">
        <f aca="false">IF(A170="","",COUNTIF(Risk_Control_Map!$B$5:$B$204,A170))</f>
        <v/>
      </c>
      <c r="D170" s="18" t="str">
        <f aca="false">IF(A170="","",SUMPRODUCT((Risk_Control_Map!$B$5:$B$204=A170)*(Risk_Control_Map!$G$5:$G$204="Y")))</f>
        <v/>
      </c>
      <c r="E170" s="18" t="str">
        <f aca="false">IF(A170="","",IF(AND(B170="Y",D170=0),"GAP: SOX risk has no key control",IF(C170=0,"No control mapped","OK")))</f>
        <v/>
      </c>
    </row>
    <row r="171" customFormat="false" ht="15" hidden="false" customHeight="false" outlineLevel="0" collapsed="false">
      <c r="A171" s="18" t="str">
        <f aca="false">IF(Ref_RISK!A168="","",Ref_RISK!A168)</f>
        <v/>
      </c>
      <c r="B171" s="18" t="str">
        <f aca="false">IF(A171="","",Ref_RISK!B168)</f>
        <v/>
      </c>
      <c r="C171" s="18" t="str">
        <f aca="false">IF(A171="","",COUNTIF(Risk_Control_Map!$B$5:$B$204,A171))</f>
        <v/>
      </c>
      <c r="D171" s="18" t="str">
        <f aca="false">IF(A171="","",SUMPRODUCT((Risk_Control_Map!$B$5:$B$204=A171)*(Risk_Control_Map!$G$5:$G$204="Y")))</f>
        <v/>
      </c>
      <c r="E171" s="18" t="str">
        <f aca="false">IF(A171="","",IF(AND(B171="Y",D171=0),"GAP: SOX risk has no key control",IF(C171=0,"No control mapped","OK")))</f>
        <v/>
      </c>
    </row>
    <row r="172" customFormat="false" ht="15" hidden="false" customHeight="false" outlineLevel="0" collapsed="false">
      <c r="A172" s="18" t="str">
        <f aca="false">IF(Ref_RISK!A169="","",Ref_RISK!A169)</f>
        <v/>
      </c>
      <c r="B172" s="18" t="str">
        <f aca="false">IF(A172="","",Ref_RISK!B169)</f>
        <v/>
      </c>
      <c r="C172" s="18" t="str">
        <f aca="false">IF(A172="","",COUNTIF(Risk_Control_Map!$B$5:$B$204,A172))</f>
        <v/>
      </c>
      <c r="D172" s="18" t="str">
        <f aca="false">IF(A172="","",SUMPRODUCT((Risk_Control_Map!$B$5:$B$204=A172)*(Risk_Control_Map!$G$5:$G$204="Y")))</f>
        <v/>
      </c>
      <c r="E172" s="18" t="str">
        <f aca="false">IF(A172="","",IF(AND(B172="Y",D172=0),"GAP: SOX risk has no key control",IF(C172=0,"No control mapped","OK")))</f>
        <v/>
      </c>
    </row>
    <row r="173" customFormat="false" ht="15" hidden="false" customHeight="false" outlineLevel="0" collapsed="false">
      <c r="A173" s="18" t="str">
        <f aca="false">IF(Ref_RISK!A170="","",Ref_RISK!A170)</f>
        <v/>
      </c>
      <c r="B173" s="18" t="str">
        <f aca="false">IF(A173="","",Ref_RISK!B170)</f>
        <v/>
      </c>
      <c r="C173" s="18" t="str">
        <f aca="false">IF(A173="","",COUNTIF(Risk_Control_Map!$B$5:$B$204,A173))</f>
        <v/>
      </c>
      <c r="D173" s="18" t="str">
        <f aca="false">IF(A173="","",SUMPRODUCT((Risk_Control_Map!$B$5:$B$204=A173)*(Risk_Control_Map!$G$5:$G$204="Y")))</f>
        <v/>
      </c>
      <c r="E173" s="18" t="str">
        <f aca="false">IF(A173="","",IF(AND(B173="Y",D173=0),"GAP: SOX risk has no key control",IF(C173=0,"No control mapped","OK")))</f>
        <v/>
      </c>
    </row>
    <row r="174" customFormat="false" ht="15" hidden="false" customHeight="false" outlineLevel="0" collapsed="false">
      <c r="A174" s="18" t="str">
        <f aca="false">IF(Ref_RISK!A171="","",Ref_RISK!A171)</f>
        <v/>
      </c>
      <c r="B174" s="18" t="str">
        <f aca="false">IF(A174="","",Ref_RISK!B171)</f>
        <v/>
      </c>
      <c r="C174" s="18" t="str">
        <f aca="false">IF(A174="","",COUNTIF(Risk_Control_Map!$B$5:$B$204,A174))</f>
        <v/>
      </c>
      <c r="D174" s="18" t="str">
        <f aca="false">IF(A174="","",SUMPRODUCT((Risk_Control_Map!$B$5:$B$204=A174)*(Risk_Control_Map!$G$5:$G$204="Y")))</f>
        <v/>
      </c>
      <c r="E174" s="18" t="str">
        <f aca="false">IF(A174="","",IF(AND(B174="Y",D174=0),"GAP: SOX risk has no key control",IF(C174=0,"No control mapped","OK")))</f>
        <v/>
      </c>
    </row>
    <row r="175" customFormat="false" ht="15" hidden="false" customHeight="false" outlineLevel="0" collapsed="false">
      <c r="A175" s="18" t="str">
        <f aca="false">IF(Ref_RISK!A172="","",Ref_RISK!A172)</f>
        <v/>
      </c>
      <c r="B175" s="18" t="str">
        <f aca="false">IF(A175="","",Ref_RISK!B172)</f>
        <v/>
      </c>
      <c r="C175" s="18" t="str">
        <f aca="false">IF(A175="","",COUNTIF(Risk_Control_Map!$B$5:$B$204,A175))</f>
        <v/>
      </c>
      <c r="D175" s="18" t="str">
        <f aca="false">IF(A175="","",SUMPRODUCT((Risk_Control_Map!$B$5:$B$204=A175)*(Risk_Control_Map!$G$5:$G$204="Y")))</f>
        <v/>
      </c>
      <c r="E175" s="18" t="str">
        <f aca="false">IF(A175="","",IF(AND(B175="Y",D175=0),"GAP: SOX risk has no key control",IF(C175=0,"No control mapped","OK")))</f>
        <v/>
      </c>
    </row>
    <row r="176" customFormat="false" ht="15" hidden="false" customHeight="false" outlineLevel="0" collapsed="false">
      <c r="A176" s="18" t="str">
        <f aca="false">IF(Ref_RISK!A173="","",Ref_RISK!A173)</f>
        <v/>
      </c>
      <c r="B176" s="18" t="str">
        <f aca="false">IF(A176="","",Ref_RISK!B173)</f>
        <v/>
      </c>
      <c r="C176" s="18" t="str">
        <f aca="false">IF(A176="","",COUNTIF(Risk_Control_Map!$B$5:$B$204,A176))</f>
        <v/>
      </c>
      <c r="D176" s="18" t="str">
        <f aca="false">IF(A176="","",SUMPRODUCT((Risk_Control_Map!$B$5:$B$204=A176)*(Risk_Control_Map!$G$5:$G$204="Y")))</f>
        <v/>
      </c>
      <c r="E176" s="18" t="str">
        <f aca="false">IF(A176="","",IF(AND(B176="Y",D176=0),"GAP: SOX risk has no key control",IF(C176=0,"No control mapped","OK")))</f>
        <v/>
      </c>
    </row>
    <row r="177" customFormat="false" ht="15" hidden="false" customHeight="false" outlineLevel="0" collapsed="false">
      <c r="A177" s="18" t="str">
        <f aca="false">IF(Ref_RISK!A174="","",Ref_RISK!A174)</f>
        <v/>
      </c>
      <c r="B177" s="18" t="str">
        <f aca="false">IF(A177="","",Ref_RISK!B174)</f>
        <v/>
      </c>
      <c r="C177" s="18" t="str">
        <f aca="false">IF(A177="","",COUNTIF(Risk_Control_Map!$B$5:$B$204,A177))</f>
        <v/>
      </c>
      <c r="D177" s="18" t="str">
        <f aca="false">IF(A177="","",SUMPRODUCT((Risk_Control_Map!$B$5:$B$204=A177)*(Risk_Control_Map!$G$5:$G$204="Y")))</f>
        <v/>
      </c>
      <c r="E177" s="18" t="str">
        <f aca="false">IF(A177="","",IF(AND(B177="Y",D177=0),"GAP: SOX risk has no key control",IF(C177=0,"No control mapped","OK")))</f>
        <v/>
      </c>
    </row>
    <row r="178" customFormat="false" ht="15" hidden="false" customHeight="false" outlineLevel="0" collapsed="false">
      <c r="A178" s="18" t="str">
        <f aca="false">IF(Ref_RISK!A175="","",Ref_RISK!A175)</f>
        <v/>
      </c>
      <c r="B178" s="18" t="str">
        <f aca="false">IF(A178="","",Ref_RISK!B175)</f>
        <v/>
      </c>
      <c r="C178" s="18" t="str">
        <f aca="false">IF(A178="","",COUNTIF(Risk_Control_Map!$B$5:$B$204,A178))</f>
        <v/>
      </c>
      <c r="D178" s="18" t="str">
        <f aca="false">IF(A178="","",SUMPRODUCT((Risk_Control_Map!$B$5:$B$204=A178)*(Risk_Control_Map!$G$5:$G$204="Y")))</f>
        <v/>
      </c>
      <c r="E178" s="18" t="str">
        <f aca="false">IF(A178="","",IF(AND(B178="Y",D178=0),"GAP: SOX risk has no key control",IF(C178=0,"No control mapped","OK")))</f>
        <v/>
      </c>
    </row>
    <row r="179" customFormat="false" ht="15" hidden="false" customHeight="false" outlineLevel="0" collapsed="false">
      <c r="A179" s="18" t="str">
        <f aca="false">IF(Ref_RISK!A176="","",Ref_RISK!A176)</f>
        <v/>
      </c>
      <c r="B179" s="18" t="str">
        <f aca="false">IF(A179="","",Ref_RISK!B176)</f>
        <v/>
      </c>
      <c r="C179" s="18" t="str">
        <f aca="false">IF(A179="","",COUNTIF(Risk_Control_Map!$B$5:$B$204,A179))</f>
        <v/>
      </c>
      <c r="D179" s="18" t="str">
        <f aca="false">IF(A179="","",SUMPRODUCT((Risk_Control_Map!$B$5:$B$204=A179)*(Risk_Control_Map!$G$5:$G$204="Y")))</f>
        <v/>
      </c>
      <c r="E179" s="18" t="str">
        <f aca="false">IF(A179="","",IF(AND(B179="Y",D179=0),"GAP: SOX risk has no key control",IF(C179=0,"No control mapped","OK")))</f>
        <v/>
      </c>
    </row>
    <row r="180" customFormat="false" ht="15" hidden="false" customHeight="false" outlineLevel="0" collapsed="false">
      <c r="A180" s="18" t="str">
        <f aca="false">IF(Ref_RISK!A177="","",Ref_RISK!A177)</f>
        <v/>
      </c>
      <c r="B180" s="18" t="str">
        <f aca="false">IF(A180="","",Ref_RISK!B177)</f>
        <v/>
      </c>
      <c r="C180" s="18" t="str">
        <f aca="false">IF(A180="","",COUNTIF(Risk_Control_Map!$B$5:$B$204,A180))</f>
        <v/>
      </c>
      <c r="D180" s="18" t="str">
        <f aca="false">IF(A180="","",SUMPRODUCT((Risk_Control_Map!$B$5:$B$204=A180)*(Risk_Control_Map!$G$5:$G$204="Y")))</f>
        <v/>
      </c>
      <c r="E180" s="18" t="str">
        <f aca="false">IF(A180="","",IF(AND(B180="Y",D180=0),"GAP: SOX risk has no key control",IF(C180=0,"No control mapped","OK")))</f>
        <v/>
      </c>
    </row>
    <row r="181" customFormat="false" ht="15" hidden="false" customHeight="false" outlineLevel="0" collapsed="false">
      <c r="A181" s="18" t="str">
        <f aca="false">IF(Ref_RISK!A178="","",Ref_RISK!A178)</f>
        <v/>
      </c>
      <c r="B181" s="18" t="str">
        <f aca="false">IF(A181="","",Ref_RISK!B178)</f>
        <v/>
      </c>
      <c r="C181" s="18" t="str">
        <f aca="false">IF(A181="","",COUNTIF(Risk_Control_Map!$B$5:$B$204,A181))</f>
        <v/>
      </c>
      <c r="D181" s="18" t="str">
        <f aca="false">IF(A181="","",SUMPRODUCT((Risk_Control_Map!$B$5:$B$204=A181)*(Risk_Control_Map!$G$5:$G$204="Y")))</f>
        <v/>
      </c>
      <c r="E181" s="18" t="str">
        <f aca="false">IF(A181="","",IF(AND(B181="Y",D181=0),"GAP: SOX risk has no key control",IF(C181=0,"No control mapped","OK")))</f>
        <v/>
      </c>
    </row>
    <row r="182" customFormat="false" ht="15" hidden="false" customHeight="false" outlineLevel="0" collapsed="false">
      <c r="A182" s="18" t="str">
        <f aca="false">IF(Ref_RISK!A179="","",Ref_RISK!A179)</f>
        <v/>
      </c>
      <c r="B182" s="18" t="str">
        <f aca="false">IF(A182="","",Ref_RISK!B179)</f>
        <v/>
      </c>
      <c r="C182" s="18" t="str">
        <f aca="false">IF(A182="","",COUNTIF(Risk_Control_Map!$B$5:$B$204,A182))</f>
        <v/>
      </c>
      <c r="D182" s="18" t="str">
        <f aca="false">IF(A182="","",SUMPRODUCT((Risk_Control_Map!$B$5:$B$204=A182)*(Risk_Control_Map!$G$5:$G$204="Y")))</f>
        <v/>
      </c>
      <c r="E182" s="18" t="str">
        <f aca="false">IF(A182="","",IF(AND(B182="Y",D182=0),"GAP: SOX risk has no key control",IF(C182=0,"No control mapped","OK")))</f>
        <v/>
      </c>
    </row>
    <row r="183" customFormat="false" ht="15" hidden="false" customHeight="false" outlineLevel="0" collapsed="false">
      <c r="A183" s="18" t="str">
        <f aca="false">IF(Ref_RISK!A180="","",Ref_RISK!A180)</f>
        <v/>
      </c>
      <c r="B183" s="18" t="str">
        <f aca="false">IF(A183="","",Ref_RISK!B180)</f>
        <v/>
      </c>
      <c r="C183" s="18" t="str">
        <f aca="false">IF(A183="","",COUNTIF(Risk_Control_Map!$B$5:$B$204,A183))</f>
        <v/>
      </c>
      <c r="D183" s="18" t="str">
        <f aca="false">IF(A183="","",SUMPRODUCT((Risk_Control_Map!$B$5:$B$204=A183)*(Risk_Control_Map!$G$5:$G$204="Y")))</f>
        <v/>
      </c>
      <c r="E183" s="18" t="str">
        <f aca="false">IF(A183="","",IF(AND(B183="Y",D183=0),"GAP: SOX risk has no key control",IF(C183=0,"No control mapped","OK")))</f>
        <v/>
      </c>
    </row>
    <row r="184" customFormat="false" ht="15" hidden="false" customHeight="false" outlineLevel="0" collapsed="false">
      <c r="A184" s="18" t="str">
        <f aca="false">IF(Ref_RISK!A181="","",Ref_RISK!A181)</f>
        <v/>
      </c>
      <c r="B184" s="18" t="str">
        <f aca="false">IF(A184="","",Ref_RISK!B181)</f>
        <v/>
      </c>
      <c r="C184" s="18" t="str">
        <f aca="false">IF(A184="","",COUNTIF(Risk_Control_Map!$B$5:$B$204,A184))</f>
        <v/>
      </c>
      <c r="D184" s="18" t="str">
        <f aca="false">IF(A184="","",SUMPRODUCT((Risk_Control_Map!$B$5:$B$204=A184)*(Risk_Control_Map!$G$5:$G$204="Y")))</f>
        <v/>
      </c>
      <c r="E184" s="18" t="str">
        <f aca="false">IF(A184="","",IF(AND(B184="Y",D184=0),"GAP: SOX risk has no key control",IF(C184=0,"No control mapped","OK")))</f>
        <v/>
      </c>
    </row>
    <row r="185" customFormat="false" ht="15" hidden="false" customHeight="false" outlineLevel="0" collapsed="false">
      <c r="A185" s="18" t="str">
        <f aca="false">IF(Ref_RISK!A182="","",Ref_RISK!A182)</f>
        <v/>
      </c>
      <c r="B185" s="18" t="str">
        <f aca="false">IF(A185="","",Ref_RISK!B182)</f>
        <v/>
      </c>
      <c r="C185" s="18" t="str">
        <f aca="false">IF(A185="","",COUNTIF(Risk_Control_Map!$B$5:$B$204,A185))</f>
        <v/>
      </c>
      <c r="D185" s="18" t="str">
        <f aca="false">IF(A185="","",SUMPRODUCT((Risk_Control_Map!$B$5:$B$204=A185)*(Risk_Control_Map!$G$5:$G$204="Y")))</f>
        <v/>
      </c>
      <c r="E185" s="18" t="str">
        <f aca="false">IF(A185="","",IF(AND(B185="Y",D185=0),"GAP: SOX risk has no key control",IF(C185=0,"No control mapped","OK")))</f>
        <v/>
      </c>
    </row>
    <row r="186" customFormat="false" ht="15" hidden="false" customHeight="false" outlineLevel="0" collapsed="false">
      <c r="A186" s="18" t="str">
        <f aca="false">IF(Ref_RISK!A183="","",Ref_RISK!A183)</f>
        <v/>
      </c>
      <c r="B186" s="18" t="str">
        <f aca="false">IF(A186="","",Ref_RISK!B183)</f>
        <v/>
      </c>
      <c r="C186" s="18" t="str">
        <f aca="false">IF(A186="","",COUNTIF(Risk_Control_Map!$B$5:$B$204,A186))</f>
        <v/>
      </c>
      <c r="D186" s="18" t="str">
        <f aca="false">IF(A186="","",SUMPRODUCT((Risk_Control_Map!$B$5:$B$204=A186)*(Risk_Control_Map!$G$5:$G$204="Y")))</f>
        <v/>
      </c>
      <c r="E186" s="18" t="str">
        <f aca="false">IF(A186="","",IF(AND(B186="Y",D186=0),"GAP: SOX risk has no key control",IF(C186=0,"No control mapped","OK")))</f>
        <v/>
      </c>
    </row>
    <row r="187" customFormat="false" ht="15" hidden="false" customHeight="false" outlineLevel="0" collapsed="false">
      <c r="A187" s="18" t="str">
        <f aca="false">IF(Ref_RISK!A184="","",Ref_RISK!A184)</f>
        <v/>
      </c>
      <c r="B187" s="18" t="str">
        <f aca="false">IF(A187="","",Ref_RISK!B184)</f>
        <v/>
      </c>
      <c r="C187" s="18" t="str">
        <f aca="false">IF(A187="","",COUNTIF(Risk_Control_Map!$B$5:$B$204,A187))</f>
        <v/>
      </c>
      <c r="D187" s="18" t="str">
        <f aca="false">IF(A187="","",SUMPRODUCT((Risk_Control_Map!$B$5:$B$204=A187)*(Risk_Control_Map!$G$5:$G$204="Y")))</f>
        <v/>
      </c>
      <c r="E187" s="18" t="str">
        <f aca="false">IF(A187="","",IF(AND(B187="Y",D187=0),"GAP: SOX risk has no key control",IF(C187=0,"No control mapped","OK")))</f>
        <v/>
      </c>
    </row>
    <row r="188" customFormat="false" ht="15" hidden="false" customHeight="false" outlineLevel="0" collapsed="false">
      <c r="A188" s="18" t="str">
        <f aca="false">IF(Ref_RISK!A185="","",Ref_RISK!A185)</f>
        <v/>
      </c>
      <c r="B188" s="18" t="str">
        <f aca="false">IF(A188="","",Ref_RISK!B185)</f>
        <v/>
      </c>
      <c r="C188" s="18" t="str">
        <f aca="false">IF(A188="","",COUNTIF(Risk_Control_Map!$B$5:$B$204,A188))</f>
        <v/>
      </c>
      <c r="D188" s="18" t="str">
        <f aca="false">IF(A188="","",SUMPRODUCT((Risk_Control_Map!$B$5:$B$204=A188)*(Risk_Control_Map!$G$5:$G$204="Y")))</f>
        <v/>
      </c>
      <c r="E188" s="18" t="str">
        <f aca="false">IF(A188="","",IF(AND(B188="Y",D188=0),"GAP: SOX risk has no key control",IF(C188=0,"No control mapped","OK")))</f>
        <v/>
      </c>
    </row>
    <row r="189" customFormat="false" ht="15" hidden="false" customHeight="false" outlineLevel="0" collapsed="false">
      <c r="A189" s="18" t="str">
        <f aca="false">IF(Ref_RISK!A186="","",Ref_RISK!A186)</f>
        <v/>
      </c>
      <c r="B189" s="18" t="str">
        <f aca="false">IF(A189="","",Ref_RISK!B186)</f>
        <v/>
      </c>
      <c r="C189" s="18" t="str">
        <f aca="false">IF(A189="","",COUNTIF(Risk_Control_Map!$B$5:$B$204,A189))</f>
        <v/>
      </c>
      <c r="D189" s="18" t="str">
        <f aca="false">IF(A189="","",SUMPRODUCT((Risk_Control_Map!$B$5:$B$204=A189)*(Risk_Control_Map!$G$5:$G$204="Y")))</f>
        <v/>
      </c>
      <c r="E189" s="18" t="str">
        <f aca="false">IF(A189="","",IF(AND(B189="Y",D189=0),"GAP: SOX risk has no key control",IF(C189=0,"No control mapped","OK")))</f>
        <v/>
      </c>
    </row>
    <row r="190" customFormat="false" ht="15" hidden="false" customHeight="false" outlineLevel="0" collapsed="false">
      <c r="A190" s="18" t="str">
        <f aca="false">IF(Ref_RISK!A187="","",Ref_RISK!A187)</f>
        <v/>
      </c>
      <c r="B190" s="18" t="str">
        <f aca="false">IF(A190="","",Ref_RISK!B187)</f>
        <v/>
      </c>
      <c r="C190" s="18" t="str">
        <f aca="false">IF(A190="","",COUNTIF(Risk_Control_Map!$B$5:$B$204,A190))</f>
        <v/>
      </c>
      <c r="D190" s="18" t="str">
        <f aca="false">IF(A190="","",SUMPRODUCT((Risk_Control_Map!$B$5:$B$204=A190)*(Risk_Control_Map!$G$5:$G$204="Y")))</f>
        <v/>
      </c>
      <c r="E190" s="18" t="str">
        <f aca="false">IF(A190="","",IF(AND(B190="Y",D190=0),"GAP: SOX risk has no key control",IF(C190=0,"No control mapped","OK")))</f>
        <v/>
      </c>
    </row>
    <row r="191" customFormat="false" ht="15" hidden="false" customHeight="false" outlineLevel="0" collapsed="false">
      <c r="A191" s="18" t="str">
        <f aca="false">IF(Ref_RISK!A188="","",Ref_RISK!A188)</f>
        <v/>
      </c>
      <c r="B191" s="18" t="str">
        <f aca="false">IF(A191="","",Ref_RISK!B188)</f>
        <v/>
      </c>
      <c r="C191" s="18" t="str">
        <f aca="false">IF(A191="","",COUNTIF(Risk_Control_Map!$B$5:$B$204,A191))</f>
        <v/>
      </c>
      <c r="D191" s="18" t="str">
        <f aca="false">IF(A191="","",SUMPRODUCT((Risk_Control_Map!$B$5:$B$204=A191)*(Risk_Control_Map!$G$5:$G$204="Y")))</f>
        <v/>
      </c>
      <c r="E191" s="18" t="str">
        <f aca="false">IF(A191="","",IF(AND(B191="Y",D191=0),"GAP: SOX risk has no key control",IF(C191=0,"No control mapped","OK")))</f>
        <v/>
      </c>
    </row>
    <row r="192" customFormat="false" ht="15" hidden="false" customHeight="false" outlineLevel="0" collapsed="false">
      <c r="A192" s="18" t="str">
        <f aca="false">IF(Ref_RISK!A189="","",Ref_RISK!A189)</f>
        <v/>
      </c>
      <c r="B192" s="18" t="str">
        <f aca="false">IF(A192="","",Ref_RISK!B189)</f>
        <v/>
      </c>
      <c r="C192" s="18" t="str">
        <f aca="false">IF(A192="","",COUNTIF(Risk_Control_Map!$B$5:$B$204,A192))</f>
        <v/>
      </c>
      <c r="D192" s="18" t="str">
        <f aca="false">IF(A192="","",SUMPRODUCT((Risk_Control_Map!$B$5:$B$204=A192)*(Risk_Control_Map!$G$5:$G$204="Y")))</f>
        <v/>
      </c>
      <c r="E192" s="18" t="str">
        <f aca="false">IF(A192="","",IF(AND(B192="Y",D192=0),"GAP: SOX risk has no key control",IF(C192=0,"No control mapped","OK")))</f>
        <v/>
      </c>
    </row>
    <row r="193" customFormat="false" ht="15" hidden="false" customHeight="false" outlineLevel="0" collapsed="false">
      <c r="A193" s="18" t="str">
        <f aca="false">IF(Ref_RISK!A190="","",Ref_RISK!A190)</f>
        <v/>
      </c>
      <c r="B193" s="18" t="str">
        <f aca="false">IF(A193="","",Ref_RISK!B190)</f>
        <v/>
      </c>
      <c r="C193" s="18" t="str">
        <f aca="false">IF(A193="","",COUNTIF(Risk_Control_Map!$B$5:$B$204,A193))</f>
        <v/>
      </c>
      <c r="D193" s="18" t="str">
        <f aca="false">IF(A193="","",SUMPRODUCT((Risk_Control_Map!$B$5:$B$204=A193)*(Risk_Control_Map!$G$5:$G$204="Y")))</f>
        <v/>
      </c>
      <c r="E193" s="18" t="str">
        <f aca="false">IF(A193="","",IF(AND(B193="Y",D193=0),"GAP: SOX risk has no key control",IF(C193=0,"No control mapped","OK")))</f>
        <v/>
      </c>
    </row>
    <row r="194" customFormat="false" ht="15" hidden="false" customHeight="false" outlineLevel="0" collapsed="false">
      <c r="A194" s="18" t="str">
        <f aca="false">IF(Ref_RISK!A191="","",Ref_RISK!A191)</f>
        <v/>
      </c>
      <c r="B194" s="18" t="str">
        <f aca="false">IF(A194="","",Ref_RISK!B191)</f>
        <v/>
      </c>
      <c r="C194" s="18" t="str">
        <f aca="false">IF(A194="","",COUNTIF(Risk_Control_Map!$B$5:$B$204,A194))</f>
        <v/>
      </c>
      <c r="D194" s="18" t="str">
        <f aca="false">IF(A194="","",SUMPRODUCT((Risk_Control_Map!$B$5:$B$204=A194)*(Risk_Control_Map!$G$5:$G$204="Y")))</f>
        <v/>
      </c>
      <c r="E194" s="18" t="str">
        <f aca="false">IF(A194="","",IF(AND(B194="Y",D194=0),"GAP: SOX risk has no key control",IF(C194=0,"No control mapped","OK")))</f>
        <v/>
      </c>
    </row>
    <row r="195" customFormat="false" ht="15" hidden="false" customHeight="false" outlineLevel="0" collapsed="false">
      <c r="A195" s="18" t="str">
        <f aca="false">IF(Ref_RISK!A192="","",Ref_RISK!A192)</f>
        <v/>
      </c>
      <c r="B195" s="18" t="str">
        <f aca="false">IF(A195="","",Ref_RISK!B192)</f>
        <v/>
      </c>
      <c r="C195" s="18" t="str">
        <f aca="false">IF(A195="","",COUNTIF(Risk_Control_Map!$B$5:$B$204,A195))</f>
        <v/>
      </c>
      <c r="D195" s="18" t="str">
        <f aca="false">IF(A195="","",SUMPRODUCT((Risk_Control_Map!$B$5:$B$204=A195)*(Risk_Control_Map!$G$5:$G$204="Y")))</f>
        <v/>
      </c>
      <c r="E195" s="18" t="str">
        <f aca="false">IF(A195="","",IF(AND(B195="Y",D195=0),"GAP: SOX risk has no key control",IF(C195=0,"No control mapped","OK")))</f>
        <v/>
      </c>
    </row>
    <row r="196" customFormat="false" ht="15" hidden="false" customHeight="false" outlineLevel="0" collapsed="false">
      <c r="A196" s="18" t="str">
        <f aca="false">IF(Ref_RISK!A193="","",Ref_RISK!A193)</f>
        <v/>
      </c>
      <c r="B196" s="18" t="str">
        <f aca="false">IF(A196="","",Ref_RISK!B193)</f>
        <v/>
      </c>
      <c r="C196" s="18" t="str">
        <f aca="false">IF(A196="","",COUNTIF(Risk_Control_Map!$B$5:$B$204,A196))</f>
        <v/>
      </c>
      <c r="D196" s="18" t="str">
        <f aca="false">IF(A196="","",SUMPRODUCT((Risk_Control_Map!$B$5:$B$204=A196)*(Risk_Control_Map!$G$5:$G$204="Y")))</f>
        <v/>
      </c>
      <c r="E196" s="18" t="str">
        <f aca="false">IF(A196="","",IF(AND(B196="Y",D196=0),"GAP: SOX risk has no key control",IF(C196=0,"No control mapped","OK")))</f>
        <v/>
      </c>
    </row>
    <row r="197" customFormat="false" ht="15" hidden="false" customHeight="false" outlineLevel="0" collapsed="false">
      <c r="A197" s="18" t="str">
        <f aca="false">IF(Ref_RISK!A194="","",Ref_RISK!A194)</f>
        <v/>
      </c>
      <c r="B197" s="18" t="str">
        <f aca="false">IF(A197="","",Ref_RISK!B194)</f>
        <v/>
      </c>
      <c r="C197" s="18" t="str">
        <f aca="false">IF(A197="","",COUNTIF(Risk_Control_Map!$B$5:$B$204,A197))</f>
        <v/>
      </c>
      <c r="D197" s="18" t="str">
        <f aca="false">IF(A197="","",SUMPRODUCT((Risk_Control_Map!$B$5:$B$204=A197)*(Risk_Control_Map!$G$5:$G$204="Y")))</f>
        <v/>
      </c>
      <c r="E197" s="18" t="str">
        <f aca="false">IF(A197="","",IF(AND(B197="Y",D197=0),"GAP: SOX risk has no key control",IF(C197=0,"No control mapped","OK")))</f>
        <v/>
      </c>
    </row>
    <row r="198" customFormat="false" ht="15" hidden="false" customHeight="false" outlineLevel="0" collapsed="false">
      <c r="A198" s="18" t="str">
        <f aca="false">IF(Ref_RISK!A195="","",Ref_RISK!A195)</f>
        <v/>
      </c>
      <c r="B198" s="18" t="str">
        <f aca="false">IF(A198="","",Ref_RISK!B195)</f>
        <v/>
      </c>
      <c r="C198" s="18" t="str">
        <f aca="false">IF(A198="","",COUNTIF(Risk_Control_Map!$B$5:$B$204,A198))</f>
        <v/>
      </c>
      <c r="D198" s="18" t="str">
        <f aca="false">IF(A198="","",SUMPRODUCT((Risk_Control_Map!$B$5:$B$204=A198)*(Risk_Control_Map!$G$5:$G$204="Y")))</f>
        <v/>
      </c>
      <c r="E198" s="18" t="str">
        <f aca="false">IF(A198="","",IF(AND(B198="Y",D198=0),"GAP: SOX risk has no key control",IF(C198=0,"No control mapped","OK")))</f>
        <v/>
      </c>
    </row>
    <row r="199" customFormat="false" ht="15" hidden="false" customHeight="false" outlineLevel="0" collapsed="false">
      <c r="A199" s="18" t="str">
        <f aca="false">IF(Ref_RISK!A196="","",Ref_RISK!A196)</f>
        <v/>
      </c>
      <c r="B199" s="18" t="str">
        <f aca="false">IF(A199="","",Ref_RISK!B196)</f>
        <v/>
      </c>
      <c r="C199" s="18" t="str">
        <f aca="false">IF(A199="","",COUNTIF(Risk_Control_Map!$B$5:$B$204,A199))</f>
        <v/>
      </c>
      <c r="D199" s="18" t="str">
        <f aca="false">IF(A199="","",SUMPRODUCT((Risk_Control_Map!$B$5:$B$204=A199)*(Risk_Control_Map!$G$5:$G$204="Y")))</f>
        <v/>
      </c>
      <c r="E199" s="18" t="str">
        <f aca="false">IF(A199="","",IF(AND(B199="Y",D199=0),"GAP: SOX risk has no key control",IF(C199=0,"No control mapped","OK")))</f>
        <v/>
      </c>
    </row>
    <row r="200" customFormat="false" ht="15" hidden="false" customHeight="false" outlineLevel="0" collapsed="false">
      <c r="A200" s="18" t="str">
        <f aca="false">IF(Ref_RISK!A197="","",Ref_RISK!A197)</f>
        <v/>
      </c>
      <c r="B200" s="18" t="str">
        <f aca="false">IF(A200="","",Ref_RISK!B197)</f>
        <v/>
      </c>
      <c r="C200" s="18" t="str">
        <f aca="false">IF(A200="","",COUNTIF(Risk_Control_Map!$B$5:$B$204,A200))</f>
        <v/>
      </c>
      <c r="D200" s="18" t="str">
        <f aca="false">IF(A200="","",SUMPRODUCT((Risk_Control_Map!$B$5:$B$204=A200)*(Risk_Control_Map!$G$5:$G$204="Y")))</f>
        <v/>
      </c>
      <c r="E200" s="18" t="str">
        <f aca="false">IF(A200="","",IF(AND(B200="Y",D200=0),"GAP: SOX risk has no key control",IF(C200=0,"No control mapped","OK")))</f>
        <v/>
      </c>
    </row>
    <row r="201" customFormat="false" ht="15" hidden="false" customHeight="false" outlineLevel="0" collapsed="false">
      <c r="A201" s="18" t="str">
        <f aca="false">IF(Ref_RISK!A198="","",Ref_RISK!A198)</f>
        <v/>
      </c>
      <c r="B201" s="18" t="str">
        <f aca="false">IF(A201="","",Ref_RISK!B198)</f>
        <v/>
      </c>
      <c r="C201" s="18" t="str">
        <f aca="false">IF(A201="","",COUNTIF(Risk_Control_Map!$B$5:$B$204,A201))</f>
        <v/>
      </c>
      <c r="D201" s="18" t="str">
        <f aca="false">IF(A201="","",SUMPRODUCT((Risk_Control_Map!$B$5:$B$204=A201)*(Risk_Control_Map!$G$5:$G$204="Y")))</f>
        <v/>
      </c>
      <c r="E201" s="18" t="str">
        <f aca="false">IF(A201="","",IF(AND(B201="Y",D201=0),"GAP: SOX risk has no key control",IF(C201=0,"No control mapped","OK")))</f>
        <v/>
      </c>
    </row>
    <row r="202" customFormat="false" ht="15" hidden="false" customHeight="false" outlineLevel="0" collapsed="false">
      <c r="A202" s="18" t="str">
        <f aca="false">IF(Ref_RISK!A199="","",Ref_RISK!A199)</f>
        <v/>
      </c>
      <c r="B202" s="18" t="str">
        <f aca="false">IF(A202="","",Ref_RISK!B199)</f>
        <v/>
      </c>
      <c r="C202" s="18" t="str">
        <f aca="false">IF(A202="","",COUNTIF(Risk_Control_Map!$B$5:$B$204,A202))</f>
        <v/>
      </c>
      <c r="D202" s="18" t="str">
        <f aca="false">IF(A202="","",SUMPRODUCT((Risk_Control_Map!$B$5:$B$204=A202)*(Risk_Control_Map!$G$5:$G$204="Y")))</f>
        <v/>
      </c>
      <c r="E202" s="18" t="str">
        <f aca="false">IF(A202="","",IF(AND(B202="Y",D202=0),"GAP: SOX risk has no key control",IF(C202=0,"No control mapped","OK")))</f>
        <v/>
      </c>
    </row>
    <row r="203" customFormat="false" ht="15" hidden="false" customHeight="false" outlineLevel="0" collapsed="false">
      <c r="A203" s="18" t="str">
        <f aca="false">IF(Ref_RISK!A200="","",Ref_RISK!A200)</f>
        <v/>
      </c>
      <c r="B203" s="18" t="str">
        <f aca="false">IF(A203="","",Ref_RISK!B200)</f>
        <v/>
      </c>
      <c r="C203" s="18" t="str">
        <f aca="false">IF(A203="","",COUNTIF(Risk_Control_Map!$B$5:$B$204,A203))</f>
        <v/>
      </c>
      <c r="D203" s="18" t="str">
        <f aca="false">IF(A203="","",SUMPRODUCT((Risk_Control_Map!$B$5:$B$204=A203)*(Risk_Control_Map!$G$5:$G$204="Y")))</f>
        <v/>
      </c>
      <c r="E203" s="18" t="str">
        <f aca="false">IF(A203="","",IF(AND(B203="Y",D203=0),"GAP: SOX risk has no key control",IF(C203=0,"No control mapped","OK")))</f>
        <v/>
      </c>
    </row>
    <row r="204" customFormat="false" ht="15" hidden="false" customHeight="false" outlineLevel="0" collapsed="false">
      <c r="A204" s="18" t="str">
        <f aca="false">IF(Ref_RISK!A201="","",Ref_RISK!A201)</f>
        <v/>
      </c>
      <c r="B204" s="18" t="str">
        <f aca="false">IF(A204="","",Ref_RISK!B201)</f>
        <v/>
      </c>
      <c r="C204" s="18" t="str">
        <f aca="false">IF(A204="","",COUNTIF(Risk_Control_Map!$B$5:$B$204,A204))</f>
        <v/>
      </c>
      <c r="D204" s="18" t="str">
        <f aca="false">IF(A204="","",SUMPRODUCT((Risk_Control_Map!$B$5:$B$204=A204)*(Risk_Control_Map!$G$5:$G$204="Y")))</f>
        <v/>
      </c>
      <c r="E204" s="18" t="str">
        <f aca="false">IF(A204="","",IF(AND(B204="Y",D204=0),"GAP: SOX risk has no key control",IF(C204=0,"No control mapped","OK")))</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s>
  <sheetData>
    <row r="1" customFormat="false" ht="31.5" hidden="false" customHeight="true" outlineLevel="0" collapsed="false">
      <c r="A1" s="19" t="s">
        <v>165</v>
      </c>
    </row>
    <row r="2" customFormat="false" ht="15" hidden="false" customHeight="false" outlineLevel="0" collapsed="false">
      <c r="A2" s="20" t="s">
        <v>166</v>
      </c>
    </row>
    <row r="3" customFormat="false" ht="15" hidden="false" customHeight="false" outlineLevel="0" collapsed="false">
      <c r="A3" s="20" t="s">
        <v>167</v>
      </c>
    </row>
    <row r="4" customFormat="false" ht="15" hidden="false" customHeight="false" outlineLevel="0" collapsed="false">
      <c r="A4" s="20" t="s">
        <v>168</v>
      </c>
    </row>
    <row r="5" customFormat="false" ht="15" hidden="false" customHeight="false" outlineLevel="0" collapsed="false">
      <c r="A5" s="20" t="s">
        <v>169</v>
      </c>
    </row>
    <row r="6" customFormat="false" ht="15" hidden="false" customHeight="false" outlineLevel="0" collapsed="false">
      <c r="A6" s="20" t="s">
        <v>170</v>
      </c>
    </row>
    <row r="7" customFormat="false" ht="15" hidden="false" customHeight="false" outlineLevel="0" collapsed="false">
      <c r="A7" s="20" t="s">
        <v>171</v>
      </c>
    </row>
    <row r="8" customFormat="false" ht="15" hidden="false" customHeight="false" outlineLevel="0" collapsed="false">
      <c r="A8" s="20" t="s">
        <v>172</v>
      </c>
    </row>
    <row r="9" customFormat="false" ht="15" hidden="false" customHeight="false" outlineLevel="0" collapsed="false">
      <c r="A9" s="20" t="s">
        <v>173</v>
      </c>
    </row>
    <row r="10" customFormat="false" ht="15" hidden="false" customHeight="false" outlineLevel="0" collapsed="false">
      <c r="A10" s="20" t="s">
        <v>174</v>
      </c>
    </row>
    <row r="11" customFormat="false" ht="15" hidden="false" customHeight="false" outlineLevel="0" collapsed="false">
      <c r="A11" s="20" t="s">
        <v>175</v>
      </c>
    </row>
    <row r="12" customFormat="false" ht="15" hidden="false" customHeight="false" outlineLevel="0" collapsed="false">
      <c r="A12" s="20" t="s">
        <v>176</v>
      </c>
    </row>
    <row r="13" customFormat="false" ht="15" hidden="false" customHeight="false" outlineLevel="0" collapsed="false">
      <c r="A13" s="20" t="s">
        <v>177</v>
      </c>
    </row>
    <row r="14" customFormat="false" ht="15" hidden="false" customHeight="false" outlineLevel="0" collapsed="false">
      <c r="A14" s="20" t="s">
        <v>178</v>
      </c>
    </row>
    <row r="15" customFormat="false" ht="15" hidden="false" customHeight="false" outlineLevel="0" collapsed="false">
      <c r="A15" s="20" t="s">
        <v>134</v>
      </c>
    </row>
    <row r="16" customFormat="false" ht="15" hidden="false" customHeight="false" outlineLevel="0" collapsed="false">
      <c r="A16" s="20" t="s">
        <v>179</v>
      </c>
    </row>
    <row r="17" customFormat="false" ht="15" hidden="false" customHeight="false" outlineLevel="0" collapsed="false">
      <c r="A17" s="20" t="s">
        <v>180</v>
      </c>
    </row>
    <row r="18" customFormat="false" ht="15" hidden="false" customHeight="false" outlineLevel="0" collapsed="false">
      <c r="A18" s="20"/>
    </row>
    <row r="19" customFormat="false" ht="15" hidden="false" customHeight="false" outlineLevel="0" collapsed="false">
      <c r="A19" s="20"/>
    </row>
    <row r="20" customFormat="false" ht="15" hidden="false" customHeight="false" outlineLevel="0" collapsed="false">
      <c r="A20" s="20"/>
    </row>
    <row r="21" customFormat="false" ht="15" hidden="false" customHeight="false" outlineLevel="0" collapsed="false">
      <c r="A21" s="20"/>
    </row>
    <row r="22" customFormat="false" ht="15" hidden="false" customHeight="false" outlineLevel="0" collapsed="false">
      <c r="A22" s="20"/>
    </row>
    <row r="23" customFormat="false" ht="15" hidden="false" customHeight="false" outlineLevel="0" collapsed="false">
      <c r="A23" s="20"/>
    </row>
    <row r="24" customFormat="false" ht="15" hidden="false" customHeight="false" outlineLevel="0" collapsed="false">
      <c r="A24" s="20"/>
    </row>
    <row r="25" customFormat="false" ht="15" hidden="false" customHeight="false" outlineLevel="0" collapsed="false">
      <c r="A25" s="20"/>
    </row>
    <row r="26" customFormat="false" ht="15" hidden="false" customHeight="false" outlineLevel="0" collapsed="false">
      <c r="A26" s="20"/>
    </row>
    <row r="27" customFormat="false" ht="15" hidden="false" customHeight="false" outlineLevel="0" collapsed="false">
      <c r="A27" s="20"/>
    </row>
    <row r="28" customFormat="false" ht="15" hidden="false" customHeight="false" outlineLevel="0" collapsed="false">
      <c r="A28" s="20"/>
    </row>
    <row r="29" customFormat="false" ht="15" hidden="false" customHeight="false" outlineLevel="0" collapsed="false">
      <c r="A29" s="20"/>
    </row>
    <row r="30" customFormat="false" ht="15" hidden="false" customHeight="false" outlineLevel="0" collapsed="false">
      <c r="A30" s="20"/>
    </row>
    <row r="31" customFormat="false" ht="15" hidden="false" customHeight="false" outlineLevel="0" collapsed="false">
      <c r="A31" s="20"/>
    </row>
    <row r="32" customFormat="false" ht="15" hidden="false" customHeight="false" outlineLevel="0" collapsed="false">
      <c r="A32" s="20"/>
    </row>
    <row r="33" customFormat="false" ht="15" hidden="false" customHeight="false" outlineLevel="0" collapsed="false">
      <c r="A33" s="20"/>
    </row>
    <row r="34" customFormat="false" ht="15" hidden="false" customHeight="false" outlineLevel="0" collapsed="false">
      <c r="A34" s="20"/>
    </row>
    <row r="35" customFormat="false" ht="15" hidden="false" customHeight="false" outlineLevel="0" collapsed="false">
      <c r="A35" s="20"/>
    </row>
    <row r="36" customFormat="false" ht="15" hidden="false" customHeight="false" outlineLevel="0" collapsed="false">
      <c r="A36" s="20"/>
    </row>
    <row r="37" customFormat="false" ht="15" hidden="false" customHeight="false" outlineLevel="0" collapsed="false">
      <c r="A37" s="20"/>
    </row>
    <row r="38" customFormat="false" ht="15" hidden="false" customHeight="false" outlineLevel="0" collapsed="false">
      <c r="A38" s="20"/>
    </row>
    <row r="39" customFormat="false" ht="15" hidden="false" customHeight="false" outlineLevel="0" collapsed="false">
      <c r="A39" s="20"/>
    </row>
    <row r="40" customFormat="false" ht="15" hidden="false" customHeight="false" outlineLevel="0" collapsed="false">
      <c r="A40" s="20"/>
    </row>
    <row r="41" customFormat="false" ht="15" hidden="false" customHeight="false" outlineLevel="0" collapsed="false">
      <c r="A41" s="20"/>
    </row>
    <row r="42" customFormat="false" ht="15" hidden="false" customHeight="false" outlineLevel="0" collapsed="false">
      <c r="A42" s="20"/>
    </row>
    <row r="43" customFormat="false" ht="15" hidden="false" customHeight="false" outlineLevel="0" collapsed="false">
      <c r="A43" s="20"/>
    </row>
    <row r="44" customFormat="false" ht="15" hidden="false" customHeight="false" outlineLevel="0" collapsed="false">
      <c r="A44" s="20"/>
    </row>
    <row r="45" customFormat="false" ht="15" hidden="false" customHeight="false" outlineLevel="0" collapsed="false">
      <c r="A45" s="20"/>
    </row>
    <row r="46" customFormat="false" ht="15" hidden="false" customHeight="false" outlineLevel="0" collapsed="false">
      <c r="A46" s="20"/>
    </row>
    <row r="47" customFormat="false" ht="15" hidden="false" customHeight="false" outlineLevel="0" collapsed="false">
      <c r="A47" s="20"/>
    </row>
    <row r="48" customFormat="false" ht="15" hidden="false" customHeight="false" outlineLevel="0" collapsed="false">
      <c r="A48" s="20"/>
    </row>
    <row r="49" customFormat="false" ht="15" hidden="false" customHeight="false" outlineLevel="0" collapsed="false">
      <c r="A49" s="20"/>
    </row>
    <row r="50" customFormat="false" ht="15" hidden="false" customHeight="false" outlineLevel="0" collapsed="false">
      <c r="A50" s="20"/>
    </row>
    <row r="51" customFormat="false" ht="15" hidden="false" customHeight="false" outlineLevel="0" collapsed="false">
      <c r="A51" s="20"/>
    </row>
    <row r="52" customFormat="false" ht="15" hidden="false" customHeight="false" outlineLevel="0" collapsed="false">
      <c r="A52" s="20"/>
    </row>
    <row r="53" customFormat="false" ht="15" hidden="false" customHeight="false" outlineLevel="0" collapsed="false">
      <c r="A53" s="20"/>
    </row>
    <row r="54" customFormat="false" ht="15" hidden="false" customHeight="false" outlineLevel="0" collapsed="false">
      <c r="A54" s="20"/>
    </row>
    <row r="55" customFormat="false" ht="15" hidden="false" customHeight="false" outlineLevel="0" collapsed="false">
      <c r="A55" s="20"/>
    </row>
    <row r="56" customFormat="false" ht="15" hidden="false" customHeight="false" outlineLevel="0" collapsed="false">
      <c r="A56" s="20"/>
    </row>
    <row r="57" customFormat="false" ht="15" hidden="false" customHeight="false" outlineLevel="0" collapsed="false">
      <c r="A57" s="20"/>
    </row>
    <row r="58" customFormat="false" ht="15" hidden="false" customHeight="false" outlineLevel="0" collapsed="false">
      <c r="A58" s="20"/>
    </row>
    <row r="59" customFormat="false" ht="15" hidden="false" customHeight="false" outlineLevel="0" collapsed="false">
      <c r="A59" s="20"/>
    </row>
    <row r="60" customFormat="false" ht="15" hidden="false" customHeight="false" outlineLevel="0" collapsed="false">
      <c r="A60" s="20"/>
    </row>
    <row r="61" customFormat="false" ht="15" hidden="false" customHeight="false" outlineLevel="0" collapsed="false">
      <c r="A61" s="20"/>
    </row>
    <row r="62" customFormat="false" ht="15" hidden="false" customHeight="false" outlineLevel="0" collapsed="false">
      <c r="A62" s="20"/>
    </row>
    <row r="63" customFormat="false" ht="15" hidden="false" customHeight="false" outlineLevel="0" collapsed="false">
      <c r="A63" s="20"/>
    </row>
    <row r="64" customFormat="false" ht="15" hidden="false" customHeight="false" outlineLevel="0" collapsed="false">
      <c r="A64" s="20"/>
    </row>
    <row r="65" customFormat="false" ht="15" hidden="false" customHeight="false" outlineLevel="0" collapsed="false">
      <c r="A65" s="20"/>
    </row>
    <row r="66" customFormat="false" ht="15" hidden="false" customHeight="false" outlineLevel="0" collapsed="false">
      <c r="A66" s="20"/>
    </row>
    <row r="67" customFormat="false" ht="15" hidden="false" customHeight="false" outlineLevel="0" collapsed="false">
      <c r="A67" s="20"/>
    </row>
    <row r="68" customFormat="false" ht="15" hidden="false" customHeight="false" outlineLevel="0" collapsed="false">
      <c r="A68" s="20"/>
    </row>
    <row r="69" customFormat="false" ht="15" hidden="false" customHeight="false" outlineLevel="0" collapsed="false">
      <c r="A69" s="20"/>
    </row>
    <row r="70" customFormat="false" ht="15" hidden="false" customHeight="false" outlineLevel="0" collapsed="false">
      <c r="A70" s="20"/>
    </row>
    <row r="71" customFormat="false" ht="15" hidden="false" customHeight="false" outlineLevel="0" collapsed="false">
      <c r="A71" s="20"/>
    </row>
    <row r="72" customFormat="false" ht="15" hidden="false" customHeight="false" outlineLevel="0" collapsed="false">
      <c r="A72" s="20"/>
    </row>
    <row r="73" customFormat="false" ht="15" hidden="false" customHeight="false" outlineLevel="0" collapsed="false">
      <c r="A73" s="20"/>
    </row>
    <row r="74" customFormat="false" ht="15" hidden="false" customHeight="false" outlineLevel="0" collapsed="false">
      <c r="A74" s="20"/>
    </row>
    <row r="75" customFormat="false" ht="15" hidden="false" customHeight="false" outlineLevel="0" collapsed="false">
      <c r="A75" s="20"/>
    </row>
    <row r="76" customFormat="false" ht="15" hidden="false" customHeight="false" outlineLevel="0" collapsed="false">
      <c r="A76" s="20"/>
    </row>
    <row r="77" customFormat="false" ht="15" hidden="false" customHeight="false" outlineLevel="0" collapsed="false">
      <c r="A77" s="20"/>
    </row>
    <row r="78" customFormat="false" ht="15" hidden="false" customHeight="false" outlineLevel="0" collapsed="false">
      <c r="A78" s="20"/>
    </row>
    <row r="79" customFormat="false" ht="15" hidden="false" customHeight="false" outlineLevel="0" collapsed="false">
      <c r="A79" s="20"/>
    </row>
    <row r="80" customFormat="false" ht="15" hidden="false" customHeight="false" outlineLevel="0" collapsed="false">
      <c r="A80" s="20"/>
    </row>
    <row r="81" customFormat="false" ht="15" hidden="false" customHeight="false" outlineLevel="0" collapsed="false">
      <c r="A81" s="20"/>
    </row>
    <row r="82" customFormat="false" ht="15" hidden="false" customHeight="false" outlineLevel="0" collapsed="false">
      <c r="A82" s="20"/>
    </row>
    <row r="83" customFormat="false" ht="15" hidden="false" customHeight="false" outlineLevel="0" collapsed="false">
      <c r="A83" s="20"/>
    </row>
    <row r="84" customFormat="false" ht="15" hidden="false" customHeight="false" outlineLevel="0" collapsed="false">
      <c r="A84" s="20"/>
    </row>
    <row r="85" customFormat="false" ht="15" hidden="false" customHeight="false" outlineLevel="0" collapsed="false">
      <c r="A85" s="20"/>
    </row>
    <row r="86" customFormat="false" ht="15" hidden="false" customHeight="false" outlineLevel="0" collapsed="false">
      <c r="A86" s="20"/>
    </row>
    <row r="87" customFormat="false" ht="15" hidden="false" customHeight="false" outlineLevel="0" collapsed="false">
      <c r="A87" s="20"/>
    </row>
    <row r="88" customFormat="false" ht="15" hidden="false" customHeight="false" outlineLevel="0" collapsed="false">
      <c r="A88" s="20"/>
    </row>
    <row r="89" customFormat="false" ht="15" hidden="false" customHeight="false" outlineLevel="0" collapsed="false">
      <c r="A89" s="20"/>
    </row>
    <row r="90" customFormat="false" ht="15" hidden="false" customHeight="false" outlineLevel="0" collapsed="false">
      <c r="A90" s="20"/>
    </row>
    <row r="91" customFormat="false" ht="15" hidden="false" customHeight="false" outlineLevel="0" collapsed="false">
      <c r="A91" s="20"/>
    </row>
    <row r="92" customFormat="false" ht="15" hidden="false" customHeight="false" outlineLevel="0" collapsed="false">
      <c r="A92" s="20"/>
    </row>
    <row r="93" customFormat="false" ht="15" hidden="false" customHeight="false" outlineLevel="0" collapsed="false">
      <c r="A93" s="20"/>
    </row>
    <row r="94" customFormat="false" ht="15" hidden="false" customHeight="false" outlineLevel="0" collapsed="false">
      <c r="A94" s="20"/>
    </row>
    <row r="95" customFormat="false" ht="15" hidden="false" customHeight="false" outlineLevel="0" collapsed="false">
      <c r="A95" s="20"/>
    </row>
    <row r="96" customFormat="false" ht="15" hidden="false" customHeight="false" outlineLevel="0" collapsed="false">
      <c r="A96" s="20"/>
    </row>
    <row r="97" customFormat="false" ht="15" hidden="false" customHeight="false" outlineLevel="0" collapsed="false">
      <c r="A97" s="20"/>
    </row>
    <row r="98" customFormat="false" ht="15" hidden="false" customHeight="false" outlineLevel="0" collapsed="false">
      <c r="A98" s="20"/>
    </row>
    <row r="99" customFormat="false" ht="15" hidden="false" customHeight="false" outlineLevel="0" collapsed="false">
      <c r="A99" s="20"/>
    </row>
    <row r="100" customFormat="false" ht="15" hidden="false" customHeight="false" outlineLevel="0" collapsed="false">
      <c r="A100" s="20"/>
    </row>
    <row r="101" customFormat="false" ht="15" hidden="false" customHeight="false" outlineLevel="0" collapsed="false">
      <c r="A101" s="20"/>
    </row>
    <row r="102" customFormat="false" ht="15" hidden="false" customHeight="false" outlineLevel="0" collapsed="false">
      <c r="A102" s="20"/>
    </row>
    <row r="103" customFormat="false" ht="15" hidden="false" customHeight="false" outlineLevel="0" collapsed="false">
      <c r="A103" s="20"/>
    </row>
    <row r="104" customFormat="false" ht="15" hidden="false" customHeight="false" outlineLevel="0" collapsed="false">
      <c r="A104" s="20"/>
    </row>
    <row r="105" customFormat="false" ht="15" hidden="false" customHeight="false" outlineLevel="0" collapsed="false">
      <c r="A105" s="20"/>
    </row>
    <row r="106" customFormat="false" ht="15" hidden="false" customHeight="false" outlineLevel="0" collapsed="false">
      <c r="A106" s="20"/>
    </row>
    <row r="107" customFormat="false" ht="15" hidden="false" customHeight="false" outlineLevel="0" collapsed="false">
      <c r="A107" s="20"/>
    </row>
    <row r="108" customFormat="false" ht="15" hidden="false" customHeight="false" outlineLevel="0" collapsed="false">
      <c r="A108" s="20"/>
    </row>
    <row r="109" customFormat="false" ht="15" hidden="false" customHeight="false" outlineLevel="0" collapsed="false">
      <c r="A109" s="20"/>
    </row>
    <row r="110" customFormat="false" ht="15" hidden="false" customHeight="false" outlineLevel="0" collapsed="false">
      <c r="A110" s="20"/>
    </row>
    <row r="111" customFormat="false" ht="15" hidden="false" customHeight="false" outlineLevel="0" collapsed="false">
      <c r="A111" s="20"/>
    </row>
    <row r="112" customFormat="false" ht="15" hidden="false" customHeight="false" outlineLevel="0" collapsed="false">
      <c r="A112" s="20"/>
    </row>
    <row r="113" customFormat="false" ht="15" hidden="false" customHeight="false" outlineLevel="0" collapsed="false">
      <c r="A113" s="20"/>
    </row>
    <row r="114" customFormat="false" ht="15" hidden="false" customHeight="false" outlineLevel="0" collapsed="false">
      <c r="A114" s="20"/>
    </row>
    <row r="115" customFormat="false" ht="15" hidden="false" customHeight="false" outlineLevel="0" collapsed="false">
      <c r="A115" s="20"/>
    </row>
    <row r="116" customFormat="false" ht="15" hidden="false" customHeight="false" outlineLevel="0" collapsed="false">
      <c r="A116" s="20"/>
    </row>
    <row r="117" customFormat="false" ht="15" hidden="false" customHeight="false" outlineLevel="0" collapsed="false">
      <c r="A117" s="20"/>
    </row>
    <row r="118" customFormat="false" ht="15" hidden="false" customHeight="false" outlineLevel="0" collapsed="false">
      <c r="A118" s="20"/>
    </row>
    <row r="119" customFormat="false" ht="15" hidden="false" customHeight="false" outlineLevel="0" collapsed="false">
      <c r="A119" s="20"/>
    </row>
    <row r="120" customFormat="false" ht="15" hidden="false" customHeight="false" outlineLevel="0" collapsed="false">
      <c r="A120" s="20"/>
    </row>
    <row r="121" customFormat="false" ht="15" hidden="false" customHeight="false" outlineLevel="0" collapsed="false">
      <c r="A121" s="20"/>
    </row>
    <row r="122" customFormat="false" ht="15" hidden="false" customHeight="false" outlineLevel="0" collapsed="false">
      <c r="A122" s="20"/>
    </row>
    <row r="123" customFormat="false" ht="15" hidden="false" customHeight="false" outlineLevel="0" collapsed="false">
      <c r="A123" s="20"/>
    </row>
    <row r="124" customFormat="false" ht="15" hidden="false" customHeight="false" outlineLevel="0" collapsed="false">
      <c r="A124" s="20"/>
    </row>
    <row r="125" customFormat="false" ht="15" hidden="false" customHeight="false" outlineLevel="0" collapsed="false">
      <c r="A125" s="20"/>
    </row>
    <row r="126" customFormat="false" ht="15" hidden="false" customHeight="false" outlineLevel="0" collapsed="false">
      <c r="A126" s="20"/>
    </row>
    <row r="127" customFormat="false" ht="15" hidden="false" customHeight="false" outlineLevel="0" collapsed="false">
      <c r="A127" s="20"/>
    </row>
    <row r="128" customFormat="false" ht="15" hidden="false" customHeight="false" outlineLevel="0" collapsed="false">
      <c r="A128" s="20"/>
    </row>
    <row r="129" customFormat="false" ht="15" hidden="false" customHeight="false" outlineLevel="0" collapsed="false">
      <c r="A129" s="20"/>
    </row>
    <row r="130" customFormat="false" ht="15" hidden="false" customHeight="false" outlineLevel="0" collapsed="false">
      <c r="A130" s="20"/>
    </row>
    <row r="131" customFormat="false" ht="15" hidden="false" customHeight="false" outlineLevel="0" collapsed="false">
      <c r="A131" s="20"/>
    </row>
    <row r="132" customFormat="false" ht="15" hidden="false" customHeight="false" outlineLevel="0" collapsed="false">
      <c r="A132" s="20"/>
    </row>
    <row r="133" customFormat="false" ht="15" hidden="false" customHeight="false" outlineLevel="0" collapsed="false">
      <c r="A133" s="20"/>
    </row>
    <row r="134" customFormat="false" ht="15" hidden="false" customHeight="false" outlineLevel="0" collapsed="false">
      <c r="A134" s="20"/>
    </row>
    <row r="135" customFormat="false" ht="15" hidden="false" customHeight="false" outlineLevel="0" collapsed="false">
      <c r="A135" s="20"/>
    </row>
    <row r="136" customFormat="false" ht="15" hidden="false" customHeight="false" outlineLevel="0" collapsed="false">
      <c r="A136" s="20"/>
    </row>
    <row r="137" customFormat="false" ht="15" hidden="false" customHeight="false" outlineLevel="0" collapsed="false">
      <c r="A137" s="20"/>
    </row>
    <row r="138" customFormat="false" ht="15" hidden="false" customHeight="false" outlineLevel="0" collapsed="false">
      <c r="A138" s="20"/>
    </row>
    <row r="139" customFormat="false" ht="15" hidden="false" customHeight="false" outlineLevel="0" collapsed="false">
      <c r="A139" s="20"/>
    </row>
    <row r="140" customFormat="false" ht="15" hidden="false" customHeight="false" outlineLevel="0" collapsed="false">
      <c r="A140" s="20"/>
    </row>
    <row r="141" customFormat="false" ht="15" hidden="false" customHeight="false" outlineLevel="0" collapsed="false">
      <c r="A141" s="20"/>
    </row>
    <row r="142" customFormat="false" ht="15" hidden="false" customHeight="false" outlineLevel="0" collapsed="false">
      <c r="A142" s="20"/>
    </row>
    <row r="143" customFormat="false" ht="15" hidden="false" customHeight="false" outlineLevel="0" collapsed="false">
      <c r="A143" s="20"/>
    </row>
    <row r="144" customFormat="false" ht="15" hidden="false" customHeight="false" outlineLevel="0" collapsed="false">
      <c r="A144" s="20"/>
    </row>
    <row r="145" customFormat="false" ht="15" hidden="false" customHeight="false" outlineLevel="0" collapsed="false">
      <c r="A145" s="20"/>
    </row>
    <row r="146" customFormat="false" ht="15" hidden="false" customHeight="false" outlineLevel="0" collapsed="false">
      <c r="A146" s="20"/>
    </row>
    <row r="147" customFormat="false" ht="15" hidden="false" customHeight="false" outlineLevel="0" collapsed="false">
      <c r="A147" s="20"/>
    </row>
    <row r="148" customFormat="false" ht="15" hidden="false" customHeight="false" outlineLevel="0" collapsed="false">
      <c r="A148" s="20"/>
    </row>
    <row r="149" customFormat="false" ht="15" hidden="false" customHeight="false" outlineLevel="0" collapsed="false">
      <c r="A149" s="20"/>
    </row>
    <row r="150" customFormat="false" ht="15" hidden="false" customHeight="false" outlineLevel="0" collapsed="false">
      <c r="A150" s="20"/>
    </row>
    <row r="151" customFormat="false" ht="15" hidden="false" customHeight="false" outlineLevel="0" collapsed="false">
      <c r="A151" s="20"/>
    </row>
    <row r="152" customFormat="false" ht="15" hidden="false" customHeight="false" outlineLevel="0" collapsed="false">
      <c r="A152" s="20"/>
    </row>
    <row r="153" customFormat="false" ht="15" hidden="false" customHeight="false" outlineLevel="0" collapsed="false">
      <c r="A153" s="20"/>
    </row>
    <row r="154" customFormat="false" ht="15" hidden="false" customHeight="false" outlineLevel="0" collapsed="false">
      <c r="A154" s="20"/>
    </row>
    <row r="155" customFormat="false" ht="15" hidden="false" customHeight="false" outlineLevel="0" collapsed="false">
      <c r="A155" s="20"/>
    </row>
    <row r="156" customFormat="false" ht="15" hidden="false" customHeight="false" outlineLevel="0" collapsed="false">
      <c r="A156" s="20"/>
    </row>
    <row r="157" customFormat="false" ht="15" hidden="false" customHeight="false" outlineLevel="0" collapsed="false">
      <c r="A157" s="20"/>
    </row>
    <row r="158" customFormat="false" ht="15" hidden="false" customHeight="false" outlineLevel="0" collapsed="false">
      <c r="A158" s="20"/>
    </row>
    <row r="159" customFormat="false" ht="15" hidden="false" customHeight="false" outlineLevel="0" collapsed="false">
      <c r="A159" s="20"/>
    </row>
    <row r="160" customFormat="false" ht="15" hidden="false" customHeight="false" outlineLevel="0" collapsed="false">
      <c r="A160" s="20"/>
    </row>
    <row r="161" customFormat="false" ht="15" hidden="false" customHeight="false" outlineLevel="0" collapsed="false">
      <c r="A161" s="20"/>
    </row>
    <row r="162" customFormat="false" ht="15" hidden="false" customHeight="false" outlineLevel="0" collapsed="false">
      <c r="A162" s="20"/>
    </row>
    <row r="163" customFormat="false" ht="15" hidden="false" customHeight="false" outlineLevel="0" collapsed="false">
      <c r="A163" s="20"/>
    </row>
    <row r="164" customFormat="false" ht="15" hidden="false" customHeight="false" outlineLevel="0" collapsed="false">
      <c r="A164" s="20"/>
    </row>
    <row r="165" customFormat="false" ht="15" hidden="false" customHeight="false" outlineLevel="0" collapsed="false">
      <c r="A165" s="20"/>
    </row>
    <row r="166" customFormat="false" ht="15" hidden="false" customHeight="false" outlineLevel="0" collapsed="false">
      <c r="A166" s="20"/>
    </row>
    <row r="167" customFormat="false" ht="15" hidden="false" customHeight="false" outlineLevel="0" collapsed="false">
      <c r="A167" s="20"/>
    </row>
    <row r="168" customFormat="false" ht="15" hidden="false" customHeight="false" outlineLevel="0" collapsed="false">
      <c r="A168" s="20"/>
    </row>
    <row r="169" customFormat="false" ht="15" hidden="false" customHeight="false" outlineLevel="0" collapsed="false">
      <c r="A169" s="20"/>
    </row>
    <row r="170" customFormat="false" ht="15" hidden="false" customHeight="false" outlineLevel="0" collapsed="false">
      <c r="A170" s="20"/>
    </row>
    <row r="171" customFormat="false" ht="15" hidden="false" customHeight="false" outlineLevel="0" collapsed="false">
      <c r="A171" s="20"/>
    </row>
    <row r="172" customFormat="false" ht="15" hidden="false" customHeight="false" outlineLevel="0" collapsed="false">
      <c r="A172" s="20"/>
    </row>
    <row r="173" customFormat="false" ht="15" hidden="false" customHeight="false" outlineLevel="0" collapsed="false">
      <c r="A173" s="20"/>
    </row>
    <row r="174" customFormat="false" ht="15" hidden="false" customHeight="false" outlineLevel="0" collapsed="false">
      <c r="A174" s="20"/>
    </row>
    <row r="175" customFormat="false" ht="15" hidden="false" customHeight="false" outlineLevel="0" collapsed="false">
      <c r="A175" s="20"/>
    </row>
    <row r="176" customFormat="false" ht="15" hidden="false" customHeight="false" outlineLevel="0" collapsed="false">
      <c r="A176" s="20"/>
    </row>
    <row r="177" customFormat="false" ht="15" hidden="false" customHeight="false" outlineLevel="0" collapsed="false">
      <c r="A177" s="20"/>
    </row>
    <row r="178" customFormat="false" ht="15" hidden="false" customHeight="false" outlineLevel="0" collapsed="false">
      <c r="A178" s="20"/>
    </row>
    <row r="179" customFormat="false" ht="15" hidden="false" customHeight="false" outlineLevel="0" collapsed="false">
      <c r="A179" s="20"/>
    </row>
    <row r="180" customFormat="false" ht="15" hidden="false" customHeight="false" outlineLevel="0" collapsed="false">
      <c r="A180" s="20"/>
    </row>
    <row r="181" customFormat="false" ht="15" hidden="false" customHeight="false" outlineLevel="0" collapsed="false">
      <c r="A181" s="20"/>
    </row>
    <row r="182" customFormat="false" ht="15" hidden="false" customHeight="false" outlineLevel="0" collapsed="false">
      <c r="A182" s="20"/>
    </row>
    <row r="183" customFormat="false" ht="15" hidden="false" customHeight="false" outlineLevel="0" collapsed="false">
      <c r="A183" s="20"/>
    </row>
    <row r="184" customFormat="false" ht="15" hidden="false" customHeight="false" outlineLevel="0" collapsed="false">
      <c r="A184" s="20"/>
    </row>
    <row r="185" customFormat="false" ht="15" hidden="false" customHeight="false" outlineLevel="0" collapsed="false">
      <c r="A185" s="20"/>
    </row>
    <row r="186" customFormat="false" ht="15" hidden="false" customHeight="false" outlineLevel="0" collapsed="false">
      <c r="A186" s="20"/>
    </row>
    <row r="187" customFormat="false" ht="15" hidden="false" customHeight="false" outlineLevel="0" collapsed="false">
      <c r="A187" s="20"/>
    </row>
    <row r="188" customFormat="false" ht="15" hidden="false" customHeight="false" outlineLevel="0" collapsed="false">
      <c r="A188" s="20"/>
    </row>
    <row r="189" customFormat="false" ht="15" hidden="false" customHeight="false" outlineLevel="0" collapsed="false">
      <c r="A189" s="20"/>
    </row>
    <row r="190" customFormat="false" ht="15" hidden="false" customHeight="false" outlineLevel="0" collapsed="false">
      <c r="A190" s="20"/>
    </row>
    <row r="191" customFormat="false" ht="15" hidden="false" customHeight="false" outlineLevel="0" collapsed="false">
      <c r="A191" s="20"/>
    </row>
    <row r="192" customFormat="false" ht="15" hidden="false" customHeight="false" outlineLevel="0" collapsed="false">
      <c r="A192" s="20"/>
    </row>
    <row r="193" customFormat="false" ht="15" hidden="false" customHeight="false" outlineLevel="0" collapsed="false">
      <c r="A193" s="20"/>
    </row>
    <row r="194" customFormat="false" ht="15" hidden="false" customHeight="false" outlineLevel="0" collapsed="false">
      <c r="A194" s="20"/>
    </row>
    <row r="195" customFormat="false" ht="15" hidden="false" customHeight="false" outlineLevel="0" collapsed="false">
      <c r="A195" s="20"/>
    </row>
    <row r="196" customFormat="false" ht="15" hidden="false" customHeight="false" outlineLevel="0" collapsed="false">
      <c r="A196" s="20"/>
    </row>
    <row r="197" customFormat="false" ht="15" hidden="false" customHeight="false" outlineLevel="0" collapsed="false">
      <c r="A197" s="20"/>
    </row>
    <row r="198" customFormat="false" ht="15" hidden="false" customHeight="false" outlineLevel="0" collapsed="false">
      <c r="A198" s="20"/>
    </row>
    <row r="199" customFormat="false" ht="15" hidden="false" customHeight="false" outlineLevel="0" collapsed="false">
      <c r="A199" s="20"/>
    </row>
    <row r="200" customFormat="false" ht="15" hidden="false" customHeight="false" outlineLevel="0" collapsed="false">
      <c r="A200" s="20"/>
    </row>
    <row r="201" customFormat="false" ht="15" hidden="false" customHeight="false" outlineLevel="0" collapsed="false">
      <c r="A201" s="2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4"/>
  </cols>
  <sheetData>
    <row r="1" customFormat="false" ht="31.5" hidden="false" customHeight="true" outlineLevel="0" collapsed="false">
      <c r="A1" s="19" t="s">
        <v>181</v>
      </c>
      <c r="B1" s="19" t="s">
        <v>182</v>
      </c>
    </row>
    <row r="2" customFormat="false" ht="15" hidden="false" customHeight="false" outlineLevel="0" collapsed="false">
      <c r="A2" s="20" t="s">
        <v>183</v>
      </c>
      <c r="B2" s="20" t="s">
        <v>139</v>
      </c>
    </row>
    <row r="3" customFormat="false" ht="15" hidden="false" customHeight="false" outlineLevel="0" collapsed="false">
      <c r="A3" s="20" t="s">
        <v>150</v>
      </c>
      <c r="B3" s="20" t="s">
        <v>139</v>
      </c>
    </row>
    <row r="4" customFormat="false" ht="15" hidden="false" customHeight="false" outlineLevel="0" collapsed="false">
      <c r="A4" s="20" t="s">
        <v>184</v>
      </c>
      <c r="B4" s="20" t="s">
        <v>139</v>
      </c>
    </row>
    <row r="5" customFormat="false" ht="15" hidden="false" customHeight="false" outlineLevel="0" collapsed="false">
      <c r="A5" s="20" t="s">
        <v>185</v>
      </c>
      <c r="B5" s="20" t="s">
        <v>139</v>
      </c>
    </row>
    <row r="6" customFormat="false" ht="15" hidden="false" customHeight="false" outlineLevel="0" collapsed="false">
      <c r="A6" s="20" t="s">
        <v>186</v>
      </c>
      <c r="B6" s="20" t="s">
        <v>139</v>
      </c>
    </row>
    <row r="7" customFormat="false" ht="15" hidden="false" customHeight="false" outlineLevel="0" collapsed="false">
      <c r="A7" s="20" t="s">
        <v>187</v>
      </c>
      <c r="B7" s="20" t="s">
        <v>188</v>
      </c>
    </row>
    <row r="8" customFormat="false" ht="15" hidden="false" customHeight="false" outlineLevel="0" collapsed="false">
      <c r="A8" s="20" t="s">
        <v>189</v>
      </c>
      <c r="B8" s="20" t="s">
        <v>139</v>
      </c>
    </row>
    <row r="9" customFormat="false" ht="15" hidden="false" customHeight="false" outlineLevel="0" collapsed="false">
      <c r="A9" s="20" t="s">
        <v>190</v>
      </c>
      <c r="B9" s="20" t="s">
        <v>139</v>
      </c>
    </row>
    <row r="10" customFormat="false" ht="15" hidden="false" customHeight="false" outlineLevel="0" collapsed="false">
      <c r="A10" s="20" t="s">
        <v>191</v>
      </c>
      <c r="B10" s="20" t="s">
        <v>139</v>
      </c>
    </row>
    <row r="11" customFormat="false" ht="15" hidden="false" customHeight="false" outlineLevel="0" collapsed="false">
      <c r="A11" s="20" t="s">
        <v>192</v>
      </c>
      <c r="B11" s="20" t="s">
        <v>139</v>
      </c>
    </row>
    <row r="12" customFormat="false" ht="15" hidden="false" customHeight="false" outlineLevel="0" collapsed="false">
      <c r="A12" s="20" t="s">
        <v>193</v>
      </c>
      <c r="B12" s="20" t="s">
        <v>139</v>
      </c>
    </row>
    <row r="13" customFormat="false" ht="15" hidden="false" customHeight="false" outlineLevel="0" collapsed="false">
      <c r="A13" s="20" t="s">
        <v>194</v>
      </c>
      <c r="B13" s="20" t="s">
        <v>188</v>
      </c>
    </row>
    <row r="14" customFormat="false" ht="15" hidden="false" customHeight="false" outlineLevel="0" collapsed="false">
      <c r="A14" s="20"/>
      <c r="B14" s="20"/>
    </row>
    <row r="15" customFormat="false" ht="15" hidden="false" customHeight="false" outlineLevel="0" collapsed="false">
      <c r="A15" s="20"/>
      <c r="B15" s="20"/>
    </row>
    <row r="16" customFormat="false" ht="15" hidden="false" customHeight="false" outlineLevel="0" collapsed="false">
      <c r="A16" s="20"/>
      <c r="B16" s="20"/>
    </row>
    <row r="17" customFormat="false" ht="15" hidden="false" customHeight="false" outlineLevel="0" collapsed="false">
      <c r="A17" s="20"/>
      <c r="B17" s="20"/>
    </row>
    <row r="18" customFormat="false" ht="15" hidden="false" customHeight="false" outlineLevel="0" collapsed="false">
      <c r="A18" s="20"/>
      <c r="B18" s="20"/>
    </row>
    <row r="19" customFormat="false" ht="15" hidden="false" customHeight="false" outlineLevel="0" collapsed="false">
      <c r="A19" s="20"/>
      <c r="B19" s="20"/>
    </row>
    <row r="20" customFormat="false" ht="15" hidden="false" customHeight="false" outlineLevel="0" collapsed="false">
      <c r="A20" s="20"/>
      <c r="B20" s="20"/>
    </row>
    <row r="21" customFormat="false" ht="15" hidden="false" customHeight="false" outlineLevel="0" collapsed="false">
      <c r="A21" s="20"/>
      <c r="B21" s="20"/>
    </row>
    <row r="22" customFormat="false" ht="15" hidden="false" customHeight="false" outlineLevel="0" collapsed="false">
      <c r="A22" s="20"/>
      <c r="B22" s="20"/>
    </row>
    <row r="23" customFormat="false" ht="15" hidden="false" customHeight="false" outlineLevel="0" collapsed="false">
      <c r="A23" s="20"/>
      <c r="B23" s="20"/>
    </row>
    <row r="24" customFormat="false" ht="15" hidden="false" customHeight="false" outlineLevel="0" collapsed="false">
      <c r="A24" s="20"/>
      <c r="B24" s="20"/>
    </row>
    <row r="25" customFormat="false" ht="15" hidden="false" customHeight="false" outlineLevel="0" collapsed="false">
      <c r="A25" s="20"/>
      <c r="B25" s="20"/>
    </row>
    <row r="26" customFormat="false" ht="15" hidden="false" customHeight="false" outlineLevel="0" collapsed="false">
      <c r="A26" s="20"/>
      <c r="B26" s="20"/>
    </row>
    <row r="27" customFormat="false" ht="15" hidden="false" customHeight="false" outlineLevel="0" collapsed="false">
      <c r="A27" s="20"/>
      <c r="B27" s="20"/>
    </row>
    <row r="28" customFormat="false" ht="15" hidden="false" customHeight="false" outlineLevel="0" collapsed="false">
      <c r="A28" s="20"/>
      <c r="B28" s="20"/>
    </row>
    <row r="29" customFormat="false" ht="15" hidden="false" customHeight="false" outlineLevel="0" collapsed="false">
      <c r="A29" s="20"/>
      <c r="B29" s="20"/>
    </row>
    <row r="30" customFormat="false" ht="15" hidden="false" customHeight="false" outlineLevel="0" collapsed="false">
      <c r="A30" s="20"/>
      <c r="B30" s="20"/>
    </row>
    <row r="31" customFormat="false" ht="15" hidden="false" customHeight="false" outlineLevel="0" collapsed="false">
      <c r="A31" s="20"/>
      <c r="B31" s="20"/>
    </row>
    <row r="32" customFormat="false" ht="15" hidden="false" customHeight="false" outlineLevel="0" collapsed="false">
      <c r="A32" s="20"/>
      <c r="B32" s="20"/>
    </row>
    <row r="33" customFormat="false" ht="15" hidden="false" customHeight="false" outlineLevel="0" collapsed="false">
      <c r="A33" s="20"/>
      <c r="B33" s="20"/>
    </row>
    <row r="34" customFormat="false" ht="15" hidden="false" customHeight="false" outlineLevel="0" collapsed="false">
      <c r="A34" s="20"/>
      <c r="B34" s="20"/>
    </row>
    <row r="35" customFormat="false" ht="15" hidden="false" customHeight="false" outlineLevel="0" collapsed="false">
      <c r="A35" s="20"/>
      <c r="B35" s="20"/>
    </row>
    <row r="36" customFormat="false" ht="15" hidden="false" customHeight="false" outlineLevel="0" collapsed="false">
      <c r="A36" s="20"/>
      <c r="B36" s="20"/>
    </row>
    <row r="37" customFormat="false" ht="15" hidden="false" customHeight="false" outlineLevel="0" collapsed="false">
      <c r="A37" s="20"/>
      <c r="B37" s="20"/>
    </row>
    <row r="38" customFormat="false" ht="15" hidden="false" customHeight="false" outlineLevel="0" collapsed="false">
      <c r="A38" s="20"/>
      <c r="B38" s="20"/>
    </row>
    <row r="39" customFormat="false" ht="15" hidden="false" customHeight="false" outlineLevel="0" collapsed="false">
      <c r="A39" s="20"/>
      <c r="B39" s="20"/>
    </row>
    <row r="40" customFormat="false" ht="15" hidden="false" customHeight="false" outlineLevel="0" collapsed="false">
      <c r="A40" s="20"/>
      <c r="B40" s="20"/>
    </row>
    <row r="41" customFormat="false" ht="15" hidden="false" customHeight="false" outlineLevel="0" collapsed="false">
      <c r="A41" s="20"/>
      <c r="B41" s="20"/>
    </row>
    <row r="42" customFormat="false" ht="15" hidden="false" customHeight="false" outlineLevel="0" collapsed="false">
      <c r="A42" s="20"/>
      <c r="B42" s="20"/>
    </row>
    <row r="43" customFormat="false" ht="15" hidden="false" customHeight="false" outlineLevel="0" collapsed="false">
      <c r="A43" s="20"/>
      <c r="B43" s="20"/>
    </row>
    <row r="44" customFormat="false" ht="15" hidden="false" customHeight="false" outlineLevel="0" collapsed="false">
      <c r="A44" s="20"/>
      <c r="B44" s="20"/>
    </row>
    <row r="45" customFormat="false" ht="15" hidden="false" customHeight="false" outlineLevel="0" collapsed="false">
      <c r="A45" s="20"/>
      <c r="B45" s="20"/>
    </row>
    <row r="46" customFormat="false" ht="15" hidden="false" customHeight="false" outlineLevel="0" collapsed="false">
      <c r="A46" s="20"/>
      <c r="B46" s="20"/>
    </row>
    <row r="47" customFormat="false" ht="15" hidden="false" customHeight="false" outlineLevel="0" collapsed="false">
      <c r="A47" s="20"/>
      <c r="B47" s="20"/>
    </row>
    <row r="48" customFormat="false" ht="15" hidden="false" customHeight="false" outlineLevel="0" collapsed="false">
      <c r="A48" s="20"/>
      <c r="B48" s="20"/>
    </row>
    <row r="49" customFormat="false" ht="15" hidden="false" customHeight="false" outlineLevel="0" collapsed="false">
      <c r="A49" s="20"/>
      <c r="B49" s="20"/>
    </row>
    <row r="50" customFormat="false" ht="15" hidden="false" customHeight="false" outlineLevel="0" collapsed="false">
      <c r="A50" s="20"/>
      <c r="B50" s="20"/>
    </row>
    <row r="51" customFormat="false" ht="15" hidden="false" customHeight="false" outlineLevel="0" collapsed="false">
      <c r="A51" s="20"/>
      <c r="B51" s="20"/>
    </row>
    <row r="52" customFormat="false" ht="15" hidden="false" customHeight="false" outlineLevel="0" collapsed="false">
      <c r="A52" s="20"/>
      <c r="B52" s="20"/>
    </row>
    <row r="53" customFormat="false" ht="15" hidden="false" customHeight="false" outlineLevel="0" collapsed="false">
      <c r="A53" s="20"/>
      <c r="B53" s="20"/>
    </row>
    <row r="54" customFormat="false" ht="15" hidden="false" customHeight="false" outlineLevel="0" collapsed="false">
      <c r="A54" s="20"/>
      <c r="B54" s="20"/>
    </row>
    <row r="55" customFormat="false" ht="15" hidden="false" customHeight="false" outlineLevel="0" collapsed="false">
      <c r="A55" s="20"/>
      <c r="B55" s="20"/>
    </row>
    <row r="56" customFormat="false" ht="15" hidden="false" customHeight="false" outlineLevel="0" collapsed="false">
      <c r="A56" s="20"/>
      <c r="B56" s="20"/>
    </row>
    <row r="57" customFormat="false" ht="15" hidden="false" customHeight="false" outlineLevel="0" collapsed="false">
      <c r="A57" s="20"/>
      <c r="B57" s="20"/>
    </row>
    <row r="58" customFormat="false" ht="15" hidden="false" customHeight="false" outlineLevel="0" collapsed="false">
      <c r="A58" s="20"/>
      <c r="B58" s="20"/>
    </row>
    <row r="59" customFormat="false" ht="15" hidden="false" customHeight="false" outlineLevel="0" collapsed="false">
      <c r="A59" s="20"/>
      <c r="B59" s="20"/>
    </row>
    <row r="60" customFormat="false" ht="15" hidden="false" customHeight="false" outlineLevel="0" collapsed="false">
      <c r="A60" s="20"/>
      <c r="B60" s="20"/>
    </row>
    <row r="61" customFormat="false" ht="15" hidden="false" customHeight="false" outlineLevel="0" collapsed="false">
      <c r="A61" s="20"/>
      <c r="B61" s="20"/>
    </row>
    <row r="62" customFormat="false" ht="15" hidden="false" customHeight="false" outlineLevel="0" collapsed="false">
      <c r="A62" s="20"/>
      <c r="B62" s="20"/>
    </row>
    <row r="63" customFormat="false" ht="15" hidden="false" customHeight="false" outlineLevel="0" collapsed="false">
      <c r="A63" s="20"/>
      <c r="B63" s="20"/>
    </row>
    <row r="64" customFormat="false" ht="15" hidden="false" customHeight="false" outlineLevel="0" collapsed="false">
      <c r="A64" s="20"/>
      <c r="B64" s="20"/>
    </row>
    <row r="65" customFormat="false" ht="15" hidden="false" customHeight="false" outlineLevel="0" collapsed="false">
      <c r="A65" s="20"/>
      <c r="B65" s="20"/>
    </row>
    <row r="66" customFormat="false" ht="15" hidden="false" customHeight="false" outlineLevel="0" collapsed="false">
      <c r="A66" s="20"/>
      <c r="B66" s="20"/>
    </row>
    <row r="67" customFormat="false" ht="15" hidden="false" customHeight="false" outlineLevel="0" collapsed="false">
      <c r="A67" s="20"/>
      <c r="B67" s="20"/>
    </row>
    <row r="68" customFormat="false" ht="15" hidden="false" customHeight="false" outlineLevel="0" collapsed="false">
      <c r="A68" s="20"/>
      <c r="B68" s="20"/>
    </row>
    <row r="69" customFormat="false" ht="15" hidden="false" customHeight="false" outlineLevel="0" collapsed="false">
      <c r="A69" s="20"/>
      <c r="B69" s="20"/>
    </row>
    <row r="70" customFormat="false" ht="15" hidden="false" customHeight="false" outlineLevel="0" collapsed="false">
      <c r="A70" s="20"/>
      <c r="B70" s="20"/>
    </row>
    <row r="71" customFormat="false" ht="15" hidden="false" customHeight="false" outlineLevel="0" collapsed="false">
      <c r="A71" s="20"/>
      <c r="B71" s="20"/>
    </row>
    <row r="72" customFormat="false" ht="15" hidden="false" customHeight="false" outlineLevel="0" collapsed="false">
      <c r="A72" s="20"/>
      <c r="B72" s="20"/>
    </row>
    <row r="73" customFormat="false" ht="15" hidden="false" customHeight="false" outlineLevel="0" collapsed="false">
      <c r="A73" s="20"/>
      <c r="B73" s="20"/>
    </row>
    <row r="74" customFormat="false" ht="15" hidden="false" customHeight="false" outlineLevel="0" collapsed="false">
      <c r="A74" s="20"/>
      <c r="B74" s="20"/>
    </row>
    <row r="75" customFormat="false" ht="15" hidden="false" customHeight="false" outlineLevel="0" collapsed="false">
      <c r="A75" s="20"/>
      <c r="B75" s="20"/>
    </row>
    <row r="76" customFormat="false" ht="15" hidden="false" customHeight="false" outlineLevel="0" collapsed="false">
      <c r="A76" s="20"/>
      <c r="B76" s="20"/>
    </row>
    <row r="77" customFormat="false" ht="15" hidden="false" customHeight="false" outlineLevel="0" collapsed="false">
      <c r="A77" s="20"/>
      <c r="B77" s="20"/>
    </row>
    <row r="78" customFormat="false" ht="15" hidden="false" customHeight="false" outlineLevel="0" collapsed="false">
      <c r="A78" s="20"/>
      <c r="B78" s="20"/>
    </row>
    <row r="79" customFormat="false" ht="15" hidden="false" customHeight="false" outlineLevel="0" collapsed="false">
      <c r="A79" s="20"/>
      <c r="B79" s="20"/>
    </row>
    <row r="80" customFormat="false" ht="15" hidden="false" customHeight="false" outlineLevel="0" collapsed="false">
      <c r="A80" s="20"/>
      <c r="B80" s="20"/>
    </row>
    <row r="81" customFormat="false" ht="15" hidden="false" customHeight="false" outlineLevel="0" collapsed="false">
      <c r="A81" s="20"/>
      <c r="B81" s="20"/>
    </row>
    <row r="82" customFormat="false" ht="15" hidden="false" customHeight="false" outlineLevel="0" collapsed="false">
      <c r="A82" s="20"/>
      <c r="B82" s="20"/>
    </row>
    <row r="83" customFormat="false" ht="15" hidden="false" customHeight="false" outlineLevel="0" collapsed="false">
      <c r="A83" s="20"/>
      <c r="B83" s="20"/>
    </row>
    <row r="84" customFormat="false" ht="15" hidden="false" customHeight="false" outlineLevel="0" collapsed="false">
      <c r="A84" s="20"/>
      <c r="B84" s="20"/>
    </row>
    <row r="85" customFormat="false" ht="15" hidden="false" customHeight="false" outlineLevel="0" collapsed="false">
      <c r="A85" s="20"/>
      <c r="B85" s="20"/>
    </row>
    <row r="86" customFormat="false" ht="15" hidden="false" customHeight="false" outlineLevel="0" collapsed="false">
      <c r="A86" s="20"/>
      <c r="B86" s="20"/>
    </row>
    <row r="87" customFormat="false" ht="15" hidden="false" customHeight="false" outlineLevel="0" collapsed="false">
      <c r="A87" s="20"/>
      <c r="B87" s="20"/>
    </row>
    <row r="88" customFormat="false" ht="15" hidden="false" customHeight="false" outlineLevel="0" collapsed="false">
      <c r="A88" s="20"/>
      <c r="B88" s="20"/>
    </row>
    <row r="89" customFormat="false" ht="15" hidden="false" customHeight="false" outlineLevel="0" collapsed="false">
      <c r="A89" s="20"/>
      <c r="B89" s="20"/>
    </row>
    <row r="90" customFormat="false" ht="15" hidden="false" customHeight="false" outlineLevel="0" collapsed="false">
      <c r="A90" s="20"/>
      <c r="B90" s="20"/>
    </row>
    <row r="91" customFormat="false" ht="15" hidden="false" customHeight="false" outlineLevel="0" collapsed="false">
      <c r="A91" s="20"/>
      <c r="B91" s="20"/>
    </row>
    <row r="92" customFormat="false" ht="15" hidden="false" customHeight="false" outlineLevel="0" collapsed="false">
      <c r="A92" s="20"/>
      <c r="B92" s="20"/>
    </row>
    <row r="93" customFormat="false" ht="15" hidden="false" customHeight="false" outlineLevel="0" collapsed="false">
      <c r="A93" s="20"/>
      <c r="B93" s="20"/>
    </row>
    <row r="94" customFormat="false" ht="15" hidden="false" customHeight="false" outlineLevel="0" collapsed="false">
      <c r="A94" s="20"/>
      <c r="B94" s="20"/>
    </row>
    <row r="95" customFormat="false" ht="15" hidden="false" customHeight="false" outlineLevel="0" collapsed="false">
      <c r="A95" s="20"/>
      <c r="B95" s="20"/>
    </row>
    <row r="96" customFormat="false" ht="15" hidden="false" customHeight="false" outlineLevel="0" collapsed="false">
      <c r="A96" s="20"/>
      <c r="B96" s="20"/>
    </row>
    <row r="97" customFormat="false" ht="15" hidden="false" customHeight="false" outlineLevel="0" collapsed="false">
      <c r="A97" s="20"/>
      <c r="B97" s="20"/>
    </row>
    <row r="98" customFormat="false" ht="15" hidden="false" customHeight="false" outlineLevel="0" collapsed="false">
      <c r="A98" s="20"/>
      <c r="B98" s="20"/>
    </row>
    <row r="99" customFormat="false" ht="15" hidden="false" customHeight="false" outlineLevel="0" collapsed="false">
      <c r="A99" s="20"/>
      <c r="B99" s="20"/>
    </row>
    <row r="100" customFormat="false" ht="15" hidden="false" customHeight="false" outlineLevel="0" collapsed="false">
      <c r="A100" s="20"/>
      <c r="B100" s="20"/>
    </row>
    <row r="101" customFormat="false" ht="15" hidden="false" customHeight="false" outlineLevel="0" collapsed="false">
      <c r="A101" s="20"/>
      <c r="B101" s="20"/>
    </row>
    <row r="102" customFormat="false" ht="15" hidden="false" customHeight="false" outlineLevel="0" collapsed="false">
      <c r="A102" s="20"/>
      <c r="B102" s="20"/>
    </row>
    <row r="103" customFormat="false" ht="15" hidden="false" customHeight="false" outlineLevel="0" collapsed="false">
      <c r="A103" s="20"/>
      <c r="B103" s="20"/>
    </row>
    <row r="104" customFormat="false" ht="15" hidden="false" customHeight="false" outlineLevel="0" collapsed="false">
      <c r="A104" s="20"/>
      <c r="B104" s="20"/>
    </row>
    <row r="105" customFormat="false" ht="15" hidden="false" customHeight="false" outlineLevel="0" collapsed="false">
      <c r="A105" s="20"/>
      <c r="B105" s="20"/>
    </row>
    <row r="106" customFormat="false" ht="15" hidden="false" customHeight="false" outlineLevel="0" collapsed="false">
      <c r="A106" s="20"/>
      <c r="B106" s="20"/>
    </row>
    <row r="107" customFormat="false" ht="15" hidden="false" customHeight="false" outlineLevel="0" collapsed="false">
      <c r="A107" s="20"/>
      <c r="B107" s="20"/>
    </row>
    <row r="108" customFormat="false" ht="15" hidden="false" customHeight="false" outlineLevel="0" collapsed="false">
      <c r="A108" s="20"/>
      <c r="B108" s="20"/>
    </row>
    <row r="109" customFormat="false" ht="15" hidden="false" customHeight="false" outlineLevel="0" collapsed="false">
      <c r="A109" s="20"/>
      <c r="B109" s="20"/>
    </row>
    <row r="110" customFormat="false" ht="15" hidden="false" customHeight="false" outlineLevel="0" collapsed="false">
      <c r="A110" s="20"/>
      <c r="B110" s="20"/>
    </row>
    <row r="111" customFormat="false" ht="15" hidden="false" customHeight="false" outlineLevel="0" collapsed="false">
      <c r="A111" s="20"/>
      <c r="B111" s="20"/>
    </row>
    <row r="112" customFormat="false" ht="15" hidden="false" customHeight="false" outlineLevel="0" collapsed="false">
      <c r="A112" s="20"/>
      <c r="B112" s="20"/>
    </row>
    <row r="113" customFormat="false" ht="15" hidden="false" customHeight="false" outlineLevel="0" collapsed="false">
      <c r="A113" s="20"/>
      <c r="B113" s="20"/>
    </row>
    <row r="114" customFormat="false" ht="15" hidden="false" customHeight="false" outlineLevel="0" collapsed="false">
      <c r="A114" s="20"/>
      <c r="B114" s="20"/>
    </row>
    <row r="115" customFormat="false" ht="15" hidden="false" customHeight="false" outlineLevel="0" collapsed="false">
      <c r="A115" s="20"/>
      <c r="B115" s="20"/>
    </row>
    <row r="116" customFormat="false" ht="15" hidden="false" customHeight="false" outlineLevel="0" collapsed="false">
      <c r="A116" s="20"/>
      <c r="B116" s="20"/>
    </row>
    <row r="117" customFormat="false" ht="15" hidden="false" customHeight="false" outlineLevel="0" collapsed="false">
      <c r="A117" s="20"/>
      <c r="B117" s="20"/>
    </row>
    <row r="118" customFormat="false" ht="15" hidden="false" customHeight="false" outlineLevel="0" collapsed="false">
      <c r="A118" s="20"/>
      <c r="B118" s="20"/>
    </row>
    <row r="119" customFormat="false" ht="15" hidden="false" customHeight="false" outlineLevel="0" collapsed="false">
      <c r="A119" s="20"/>
      <c r="B119" s="20"/>
    </row>
    <row r="120" customFormat="false" ht="15" hidden="false" customHeight="false" outlineLevel="0" collapsed="false">
      <c r="A120" s="20"/>
      <c r="B120" s="20"/>
    </row>
    <row r="121" customFormat="false" ht="15" hidden="false" customHeight="false" outlineLevel="0" collapsed="false">
      <c r="A121" s="20"/>
      <c r="B121" s="20"/>
    </row>
    <row r="122" customFormat="false" ht="15" hidden="false" customHeight="false" outlineLevel="0" collapsed="false">
      <c r="A122" s="20"/>
      <c r="B122" s="20"/>
    </row>
    <row r="123" customFormat="false" ht="15" hidden="false" customHeight="false" outlineLevel="0" collapsed="false">
      <c r="A123" s="20"/>
      <c r="B123" s="20"/>
    </row>
    <row r="124" customFormat="false" ht="15" hidden="false" customHeight="false" outlineLevel="0" collapsed="false">
      <c r="A124" s="20"/>
      <c r="B124" s="20"/>
    </row>
    <row r="125" customFormat="false" ht="15" hidden="false" customHeight="false" outlineLevel="0" collapsed="false">
      <c r="A125" s="20"/>
      <c r="B125" s="20"/>
    </row>
    <row r="126" customFormat="false" ht="15" hidden="false" customHeight="false" outlineLevel="0" collapsed="false">
      <c r="A126" s="20"/>
      <c r="B126" s="20"/>
    </row>
    <row r="127" customFormat="false" ht="15" hidden="false" customHeight="false" outlineLevel="0" collapsed="false">
      <c r="A127" s="20"/>
      <c r="B127" s="20"/>
    </row>
    <row r="128" customFormat="false" ht="15" hidden="false" customHeight="false" outlineLevel="0" collapsed="false">
      <c r="A128" s="20"/>
      <c r="B128" s="20"/>
    </row>
    <row r="129" customFormat="false" ht="15" hidden="false" customHeight="false" outlineLevel="0" collapsed="false">
      <c r="A129" s="20"/>
      <c r="B129" s="20"/>
    </row>
    <row r="130" customFormat="false" ht="15" hidden="false" customHeight="false" outlineLevel="0" collapsed="false">
      <c r="A130" s="20"/>
      <c r="B130" s="20"/>
    </row>
    <row r="131" customFormat="false" ht="15" hidden="false" customHeight="false" outlineLevel="0" collapsed="false">
      <c r="A131" s="20"/>
      <c r="B131" s="20"/>
    </row>
    <row r="132" customFormat="false" ht="15" hidden="false" customHeight="false" outlineLevel="0" collapsed="false">
      <c r="A132" s="20"/>
      <c r="B132" s="20"/>
    </row>
    <row r="133" customFormat="false" ht="15" hidden="false" customHeight="false" outlineLevel="0" collapsed="false">
      <c r="A133" s="20"/>
      <c r="B133" s="20"/>
    </row>
    <row r="134" customFormat="false" ht="15" hidden="false" customHeight="false" outlineLevel="0" collapsed="false">
      <c r="A134" s="20"/>
      <c r="B134" s="20"/>
    </row>
    <row r="135" customFormat="false" ht="15" hidden="false" customHeight="false" outlineLevel="0" collapsed="false">
      <c r="A135" s="20"/>
      <c r="B135" s="20"/>
    </row>
    <row r="136" customFormat="false" ht="15" hidden="false" customHeight="false" outlineLevel="0" collapsed="false">
      <c r="A136" s="20"/>
      <c r="B136" s="20"/>
    </row>
    <row r="137" customFormat="false" ht="15" hidden="false" customHeight="false" outlineLevel="0" collapsed="false">
      <c r="A137" s="20"/>
      <c r="B137" s="20"/>
    </row>
    <row r="138" customFormat="false" ht="15" hidden="false" customHeight="false" outlineLevel="0" collapsed="false">
      <c r="A138" s="20"/>
      <c r="B138" s="20"/>
    </row>
    <row r="139" customFormat="false" ht="15" hidden="false" customHeight="false" outlineLevel="0" collapsed="false">
      <c r="A139" s="20"/>
      <c r="B139" s="20"/>
    </row>
    <row r="140" customFormat="false" ht="15" hidden="false" customHeight="false" outlineLevel="0" collapsed="false">
      <c r="A140" s="20"/>
      <c r="B140" s="20"/>
    </row>
    <row r="141" customFormat="false" ht="15" hidden="false" customHeight="false" outlineLevel="0" collapsed="false">
      <c r="A141" s="20"/>
      <c r="B141" s="20"/>
    </row>
    <row r="142" customFormat="false" ht="15" hidden="false" customHeight="false" outlineLevel="0" collapsed="false">
      <c r="A142" s="20"/>
      <c r="B142" s="20"/>
    </row>
    <row r="143" customFormat="false" ht="15" hidden="false" customHeight="false" outlineLevel="0" collapsed="false">
      <c r="A143" s="20"/>
      <c r="B143" s="20"/>
    </row>
    <row r="144" customFormat="false" ht="15" hidden="false" customHeight="false" outlineLevel="0" collapsed="false">
      <c r="A144" s="20"/>
      <c r="B144" s="20"/>
    </row>
    <row r="145" customFormat="false" ht="15" hidden="false" customHeight="false" outlineLevel="0" collapsed="false">
      <c r="A145" s="20"/>
      <c r="B145" s="20"/>
    </row>
    <row r="146" customFormat="false" ht="15" hidden="false" customHeight="false" outlineLevel="0" collapsed="false">
      <c r="A146" s="20"/>
      <c r="B146" s="20"/>
    </row>
    <row r="147" customFormat="false" ht="15" hidden="false" customHeight="false" outlineLevel="0" collapsed="false">
      <c r="A147" s="20"/>
      <c r="B147" s="20"/>
    </row>
    <row r="148" customFormat="false" ht="15" hidden="false" customHeight="false" outlineLevel="0" collapsed="false">
      <c r="A148" s="20"/>
      <c r="B148" s="20"/>
    </row>
    <row r="149" customFormat="false" ht="15" hidden="false" customHeight="false" outlineLevel="0" collapsed="false">
      <c r="A149" s="20"/>
      <c r="B149" s="20"/>
    </row>
    <row r="150" customFormat="false" ht="15" hidden="false" customHeight="false" outlineLevel="0" collapsed="false">
      <c r="A150" s="20"/>
      <c r="B150" s="20"/>
    </row>
    <row r="151" customFormat="false" ht="15" hidden="false" customHeight="false" outlineLevel="0" collapsed="false">
      <c r="A151" s="20"/>
      <c r="B151" s="20"/>
    </row>
    <row r="152" customFormat="false" ht="15" hidden="false" customHeight="false" outlineLevel="0" collapsed="false">
      <c r="A152" s="20"/>
      <c r="B152" s="20"/>
    </row>
    <row r="153" customFormat="false" ht="15" hidden="false" customHeight="false" outlineLevel="0" collapsed="false">
      <c r="A153" s="20"/>
      <c r="B153" s="20"/>
    </row>
    <row r="154" customFormat="false" ht="15" hidden="false" customHeight="false" outlineLevel="0" collapsed="false">
      <c r="A154" s="20"/>
      <c r="B154" s="20"/>
    </row>
    <row r="155" customFormat="false" ht="15" hidden="false" customHeight="false" outlineLevel="0" collapsed="false">
      <c r="A155" s="20"/>
      <c r="B155" s="20"/>
    </row>
    <row r="156" customFormat="false" ht="15" hidden="false" customHeight="false" outlineLevel="0" collapsed="false">
      <c r="A156" s="20"/>
      <c r="B156" s="20"/>
    </row>
    <row r="157" customFormat="false" ht="15" hidden="false" customHeight="false" outlineLevel="0" collapsed="false">
      <c r="A157" s="20"/>
      <c r="B157" s="20"/>
    </row>
    <row r="158" customFormat="false" ht="15" hidden="false" customHeight="false" outlineLevel="0" collapsed="false">
      <c r="A158" s="20"/>
      <c r="B158" s="20"/>
    </row>
    <row r="159" customFormat="false" ht="15" hidden="false" customHeight="false" outlineLevel="0" collapsed="false">
      <c r="A159" s="20"/>
      <c r="B159" s="20"/>
    </row>
    <row r="160" customFormat="false" ht="15" hidden="false" customHeight="false" outlineLevel="0" collapsed="false">
      <c r="A160" s="20"/>
      <c r="B160" s="20"/>
    </row>
    <row r="161" customFormat="false" ht="15" hidden="false" customHeight="false" outlineLevel="0" collapsed="false">
      <c r="A161" s="20"/>
      <c r="B161" s="20"/>
    </row>
    <row r="162" customFormat="false" ht="15" hidden="false" customHeight="false" outlineLevel="0" collapsed="false">
      <c r="A162" s="20"/>
      <c r="B162" s="20"/>
    </row>
    <row r="163" customFormat="false" ht="15" hidden="false" customHeight="false" outlineLevel="0" collapsed="false">
      <c r="A163" s="20"/>
      <c r="B163" s="20"/>
    </row>
    <row r="164" customFormat="false" ht="15" hidden="false" customHeight="false" outlineLevel="0" collapsed="false">
      <c r="A164" s="20"/>
      <c r="B164" s="20"/>
    </row>
    <row r="165" customFormat="false" ht="15" hidden="false" customHeight="false" outlineLevel="0" collapsed="false">
      <c r="A165" s="20"/>
      <c r="B165" s="20"/>
    </row>
    <row r="166" customFormat="false" ht="15" hidden="false" customHeight="false" outlineLevel="0" collapsed="false">
      <c r="A166" s="20"/>
      <c r="B166" s="20"/>
    </row>
    <row r="167" customFormat="false" ht="15" hidden="false" customHeight="false" outlineLevel="0" collapsed="false">
      <c r="A167" s="20"/>
      <c r="B167" s="20"/>
    </row>
    <row r="168" customFormat="false" ht="15" hidden="false" customHeight="false" outlineLevel="0" collapsed="false">
      <c r="A168" s="20"/>
      <c r="B168" s="20"/>
    </row>
    <row r="169" customFormat="false" ht="15" hidden="false" customHeight="false" outlineLevel="0" collapsed="false">
      <c r="A169" s="20"/>
      <c r="B169" s="20"/>
    </row>
    <row r="170" customFormat="false" ht="15" hidden="false" customHeight="false" outlineLevel="0" collapsed="false">
      <c r="A170" s="20"/>
      <c r="B170" s="20"/>
    </row>
    <row r="171" customFormat="false" ht="15" hidden="false" customHeight="false" outlineLevel="0" collapsed="false">
      <c r="A171" s="20"/>
      <c r="B171" s="20"/>
    </row>
    <row r="172" customFormat="false" ht="15" hidden="false" customHeight="false" outlineLevel="0" collapsed="false">
      <c r="A172" s="20"/>
      <c r="B172" s="20"/>
    </row>
    <row r="173" customFormat="false" ht="15" hidden="false" customHeight="false" outlineLevel="0" collapsed="false">
      <c r="A173" s="20"/>
      <c r="B173" s="20"/>
    </row>
    <row r="174" customFormat="false" ht="15" hidden="false" customHeight="false" outlineLevel="0" collapsed="false">
      <c r="A174" s="20"/>
      <c r="B174" s="20"/>
    </row>
    <row r="175" customFormat="false" ht="15" hidden="false" customHeight="false" outlineLevel="0" collapsed="false">
      <c r="A175" s="20"/>
      <c r="B175" s="20"/>
    </row>
    <row r="176" customFormat="false" ht="15" hidden="false" customHeight="false" outlineLevel="0" collapsed="false">
      <c r="A176" s="20"/>
      <c r="B176" s="20"/>
    </row>
    <row r="177" customFormat="false" ht="15" hidden="false" customHeight="false" outlineLevel="0" collapsed="false">
      <c r="A177" s="20"/>
      <c r="B177" s="20"/>
    </row>
    <row r="178" customFormat="false" ht="15" hidden="false" customHeight="false" outlineLevel="0" collapsed="false">
      <c r="A178" s="20"/>
      <c r="B178" s="20"/>
    </row>
    <row r="179" customFormat="false" ht="15" hidden="false" customHeight="false" outlineLevel="0" collapsed="false">
      <c r="A179" s="20"/>
      <c r="B179" s="20"/>
    </row>
    <row r="180" customFormat="false" ht="15" hidden="false" customHeight="false" outlineLevel="0" collapsed="false">
      <c r="A180" s="20"/>
      <c r="B180" s="20"/>
    </row>
    <row r="181" customFormat="false" ht="15" hidden="false" customHeight="false" outlineLevel="0" collapsed="false">
      <c r="A181" s="20"/>
      <c r="B181" s="20"/>
    </row>
    <row r="182" customFormat="false" ht="15" hidden="false" customHeight="false" outlineLevel="0" collapsed="false">
      <c r="A182" s="20"/>
      <c r="B182" s="20"/>
    </row>
    <row r="183" customFormat="false" ht="15" hidden="false" customHeight="false" outlineLevel="0" collapsed="false">
      <c r="A183" s="20"/>
      <c r="B183" s="20"/>
    </row>
    <row r="184" customFormat="false" ht="15" hidden="false" customHeight="false" outlineLevel="0" collapsed="false">
      <c r="A184" s="20"/>
      <c r="B184" s="20"/>
    </row>
    <row r="185" customFormat="false" ht="15" hidden="false" customHeight="false" outlineLevel="0" collapsed="false">
      <c r="A185" s="20"/>
      <c r="B185" s="20"/>
    </row>
    <row r="186" customFormat="false" ht="15" hidden="false" customHeight="false" outlineLevel="0" collapsed="false">
      <c r="A186" s="20"/>
      <c r="B186" s="20"/>
    </row>
    <row r="187" customFormat="false" ht="15" hidden="false" customHeight="false" outlineLevel="0" collapsed="false">
      <c r="A187" s="20"/>
      <c r="B187" s="20"/>
    </row>
    <row r="188" customFormat="false" ht="15" hidden="false" customHeight="false" outlineLevel="0" collapsed="false">
      <c r="A188" s="20"/>
      <c r="B188" s="20"/>
    </row>
    <row r="189" customFormat="false" ht="15" hidden="false" customHeight="false" outlineLevel="0" collapsed="false">
      <c r="A189" s="20"/>
      <c r="B189" s="20"/>
    </row>
    <row r="190" customFormat="false" ht="15" hidden="false" customHeight="false" outlineLevel="0" collapsed="false">
      <c r="A190" s="20"/>
      <c r="B190" s="20"/>
    </row>
    <row r="191" customFormat="false" ht="15" hidden="false" customHeight="false" outlineLevel="0" collapsed="false">
      <c r="A191" s="20"/>
      <c r="B191" s="20"/>
    </row>
    <row r="192" customFormat="false" ht="15" hidden="false" customHeight="false" outlineLevel="0" collapsed="false">
      <c r="A192" s="20"/>
      <c r="B192" s="20"/>
    </row>
    <row r="193" customFormat="false" ht="15" hidden="false" customHeight="false" outlineLevel="0" collapsed="false">
      <c r="A193" s="20"/>
      <c r="B193" s="20"/>
    </row>
    <row r="194" customFormat="false" ht="15" hidden="false" customHeight="false" outlineLevel="0" collapsed="false">
      <c r="A194" s="20"/>
      <c r="B194" s="20"/>
    </row>
    <row r="195" customFormat="false" ht="15" hidden="false" customHeight="false" outlineLevel="0" collapsed="false">
      <c r="A195" s="20"/>
      <c r="B195" s="20"/>
    </row>
    <row r="196" customFormat="false" ht="15" hidden="false" customHeight="false" outlineLevel="0" collapsed="false">
      <c r="A196" s="20"/>
      <c r="B196" s="20"/>
    </row>
    <row r="197" customFormat="false" ht="15" hidden="false" customHeight="false" outlineLevel="0" collapsed="false">
      <c r="A197" s="20"/>
      <c r="B197" s="20"/>
    </row>
    <row r="198" customFormat="false" ht="15" hidden="false" customHeight="false" outlineLevel="0" collapsed="false">
      <c r="A198" s="20"/>
      <c r="B198" s="20"/>
    </row>
    <row r="199" customFormat="false" ht="15" hidden="false" customHeight="false" outlineLevel="0" collapsed="false">
      <c r="A199" s="20"/>
      <c r="B199" s="20"/>
    </row>
    <row r="200" customFormat="false" ht="15" hidden="false" customHeight="false" outlineLevel="0" collapsed="false">
      <c r="A200" s="20"/>
      <c r="B200" s="20"/>
    </row>
    <row r="201" customFormat="false" ht="15" hidden="false" customHeight="false" outlineLevel="0" collapsed="false">
      <c r="A201" s="20"/>
      <c r="B201" s="2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26"/>
  </cols>
  <sheetData>
    <row r="1" customFormat="false" ht="15" hidden="false" customHeight="false" outlineLevel="0" collapsed="false">
      <c r="A1" s="21" t="s">
        <v>195</v>
      </c>
      <c r="B1" s="21" t="s">
        <v>24</v>
      </c>
      <c r="C1" s="21" t="s">
        <v>44</v>
      </c>
      <c r="D1" s="21" t="s">
        <v>196</v>
      </c>
      <c r="E1" s="21" t="s">
        <v>197</v>
      </c>
      <c r="F1" s="21" t="s">
        <v>198</v>
      </c>
      <c r="G1" s="21" t="s">
        <v>199</v>
      </c>
      <c r="H1" s="21" t="s">
        <v>200</v>
      </c>
    </row>
    <row r="2" customFormat="false" ht="15" hidden="false" customHeight="false" outlineLevel="0" collapsed="false">
      <c r="A2" s="22" t="s">
        <v>201</v>
      </c>
      <c r="B2" s="22" t="s">
        <v>136</v>
      </c>
      <c r="C2" s="22" t="s">
        <v>137</v>
      </c>
      <c r="D2" s="22" t="s">
        <v>138</v>
      </c>
      <c r="E2" s="22" t="s">
        <v>139</v>
      </c>
      <c r="F2" s="22" t="s">
        <v>151</v>
      </c>
      <c r="G2" s="22" t="s">
        <v>157</v>
      </c>
      <c r="H2" s="22" t="s">
        <v>158</v>
      </c>
    </row>
    <row r="3" customFormat="false" ht="15" hidden="false" customHeight="false" outlineLevel="0" collapsed="false">
      <c r="A3" s="22" t="s">
        <v>202</v>
      </c>
      <c r="B3" s="22" t="s">
        <v>203</v>
      </c>
      <c r="C3" s="22" t="s">
        <v>204</v>
      </c>
      <c r="D3" s="22" t="s">
        <v>205</v>
      </c>
      <c r="E3" s="22" t="s">
        <v>188</v>
      </c>
      <c r="F3" s="22" t="s">
        <v>206</v>
      </c>
      <c r="G3" s="22" t="s">
        <v>207</v>
      </c>
      <c r="H3" s="22" t="s">
        <v>208</v>
      </c>
    </row>
    <row r="4" customFormat="false" ht="15" hidden="false" customHeight="false" outlineLevel="0" collapsed="false">
      <c r="A4" s="22" t="s">
        <v>209</v>
      </c>
      <c r="C4" s="22" t="s">
        <v>210</v>
      </c>
      <c r="D4" s="22" t="s">
        <v>211</v>
      </c>
      <c r="G4" s="22" t="s">
        <v>212</v>
      </c>
      <c r="H4" s="22" t="s">
        <v>213</v>
      </c>
    </row>
    <row r="5" customFormat="false" ht="15" hidden="false" customHeight="false" outlineLevel="0" collapsed="false">
      <c r="A5" s="22" t="s">
        <v>214</v>
      </c>
      <c r="D5" s="22" t="s">
        <v>215</v>
      </c>
      <c r="G5" s="22" t="s">
        <v>216</v>
      </c>
      <c r="H5" s="22" t="s">
        <v>217</v>
      </c>
    </row>
    <row r="6" customFormat="false" ht="15" hidden="false" customHeight="false" outlineLevel="0" collapsed="false">
      <c r="A6" s="22" t="s">
        <v>135</v>
      </c>
      <c r="D6" s="22" t="s">
        <v>218</v>
      </c>
    </row>
    <row r="7" customFormat="false" ht="15" hidden="false" customHeight="false" outlineLevel="0" collapsed="false">
      <c r="A7" s="22" t="s">
        <v>219</v>
      </c>
      <c r="D7" s="22" t="s">
        <v>220</v>
      </c>
    </row>
    <row r="8" customFormat="false" ht="15" hidden="false" customHeight="false" outlineLevel="0" collapsed="false">
      <c r="A8" s="22" t="s">
        <v>221</v>
      </c>
      <c r="D8" s="22" t="s">
        <v>222</v>
      </c>
    </row>
    <row r="9" customFormat="false" ht="15" hidden="false" customHeight="false" outlineLevel="0" collapsed="false">
      <c r="A9" s="22" t="s">
        <v>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0"/>
    <col collapsed="false" customWidth="true" hidden="false" outlineLevel="0" max="3" min="3" style="0" width="12"/>
    <col collapsed="false" customWidth="true" hidden="false" outlineLevel="0" max="4" min="4" style="0" width="60"/>
  </cols>
  <sheetData>
    <row r="1" customFormat="false" ht="17.35" hidden="false" customHeight="false" outlineLevel="0" collapsed="false">
      <c r="A1" s="9" t="s">
        <v>224</v>
      </c>
    </row>
    <row r="2" customFormat="false" ht="15" hidden="false" customHeight="false" outlineLevel="0" collapsed="false">
      <c r="A2" s="10" t="s">
        <v>225</v>
      </c>
    </row>
    <row r="3" customFormat="false" ht="15" hidden="false" customHeight="false" outlineLevel="0" collapsed="false">
      <c r="A3" s="21" t="s">
        <v>226</v>
      </c>
      <c r="B3" s="23" t="str">
        <f aca="false">IF(COUNTIF(C6:C16,"REVIEW")=0,"ALL CHECKS PASS","REVIEW ITEMS: "&amp;COUNTIF(C6:C16,"REVIEW"))</f>
        <v>REVIEW ITEMS: 1</v>
      </c>
    </row>
    <row r="5" customFormat="false" ht="15" hidden="false" customHeight="false" outlineLevel="0" collapsed="false">
      <c r="A5" s="5" t="s">
        <v>104</v>
      </c>
      <c r="B5" s="5" t="s">
        <v>227</v>
      </c>
      <c r="C5" s="5" t="s">
        <v>164</v>
      </c>
      <c r="D5" s="5" t="s">
        <v>228</v>
      </c>
    </row>
    <row r="6" customFormat="false" ht="15" hidden="false" customHeight="false" outlineLevel="0" collapsed="false">
      <c r="A6" s="24" t="s">
        <v>229</v>
      </c>
      <c r="B6" s="24" t="n">
        <f aca="false">COUNTA(Control_Register!A5:A204)</f>
        <v>1</v>
      </c>
      <c r="C6" s="24" t="s">
        <v>230</v>
      </c>
      <c r="D6" s="24" t="s">
        <v>231</v>
      </c>
    </row>
    <row r="7" customFormat="false" ht="15" hidden="false" customHeight="false" outlineLevel="0" collapsed="false">
      <c r="A7" s="24" t="s">
        <v>232</v>
      </c>
      <c r="B7" s="24" t="n">
        <f aca="false">SUMPRODUCT((Control_Register!A5:A204&lt;&gt;"")*(COUNTIF(Control_Register!A5:A204,Control_Register!A5:A204)&gt;1))</f>
        <v>0</v>
      </c>
      <c r="C7" s="24" t="str">
        <f aca="false">IF(B7=0,"PASS","REVIEW")</f>
        <v>PASS</v>
      </c>
      <c r="D7" s="24" t="s">
        <v>233</v>
      </c>
    </row>
    <row r="8" customFormat="false" ht="15" hidden="false" customHeight="false" outlineLevel="0" collapsed="false">
      <c r="A8" s="24" t="s">
        <v>234</v>
      </c>
      <c r="B8" s="24" t="n">
        <f aca="false">SUMPRODUCT((Control_Register!T5:T204&lt;&gt;"")*(Control_Register!T5:T204&lt;&gt;"OK")*(LEFT(Control_Register!T5:T204,2)&lt;&gt;"OK"))</f>
        <v>0</v>
      </c>
      <c r="C8" s="24" t="str">
        <f aca="false">IF(B8=0,"PASS","REVIEW")</f>
        <v>PASS</v>
      </c>
      <c r="D8" s="24" t="s">
        <v>235</v>
      </c>
    </row>
    <row r="9" customFormat="false" ht="15" hidden="false" customHeight="false" outlineLevel="0" collapsed="false">
      <c r="A9" s="24" t="s">
        <v>236</v>
      </c>
      <c r="B9" s="24" t="n">
        <f aca="false">SUMPRODUCT((Risk_Control_Map!H5:H204&lt;&gt;"")*(Risk_Control_Map!H5:H204&lt;&gt;"OK")*(LEFT(Risk_Control_Map!H5:H204,2)&lt;&gt;"OK"))</f>
        <v>0</v>
      </c>
      <c r="C9" s="24" t="str">
        <f aca="false">IF(B9=0,"PASS","REVIEW")</f>
        <v>PASS</v>
      </c>
      <c r="D9" s="24" t="s">
        <v>237</v>
      </c>
    </row>
    <row r="10" customFormat="false" ht="23.85" hidden="false" customHeight="false" outlineLevel="0" collapsed="false">
      <c r="A10" s="24" t="s">
        <v>238</v>
      </c>
      <c r="B10" s="24" t="n">
        <f aca="false">COUNTIF(Coverage_Check!E5:E204,"GAP*")</f>
        <v>9</v>
      </c>
      <c r="C10" s="24" t="str">
        <f aca="false">IF(B10=0,"PASS","REVIEW")</f>
        <v>REVIEW</v>
      </c>
      <c r="D10" s="24" t="s">
        <v>239</v>
      </c>
    </row>
    <row r="11" customFormat="false" ht="15" hidden="false" customHeight="false" outlineLevel="0" collapsed="false">
      <c r="A11" s="24" t="s">
        <v>240</v>
      </c>
      <c r="B11" s="24" t="n">
        <f aca="false">COUNTIF(Coverage_Check!E5:E204,"No control*")</f>
        <v>2</v>
      </c>
      <c r="C11" s="24" t="s">
        <v>230</v>
      </c>
      <c r="D11" s="24" t="s">
        <v>241</v>
      </c>
    </row>
    <row r="12" customFormat="false" ht="15" hidden="false" customHeight="false" outlineLevel="0" collapsed="false">
      <c r="A12" s="24" t="s">
        <v>242</v>
      </c>
      <c r="B12" s="24" t="n">
        <f aca="false">SUMPRODUCT(((Control_Register!E5:E204="ITAC")+(Control_Register!E5:E204="IPE")+(Control_Register!E5:E204="ITDM"))*(COUNTIF(ITGC_Dependency!B5:B204,Control_Register!A5:A204)=0))</f>
        <v>0</v>
      </c>
      <c r="C12" s="24" t="str">
        <f aca="false">IF(B12=0,"PASS","REVIEW")</f>
        <v>PASS</v>
      </c>
      <c r="D12" s="24" t="s">
        <v>243</v>
      </c>
    </row>
    <row r="13" customFormat="false" ht="15" hidden="false" customHeight="false" outlineLevel="0" collapsed="false">
      <c r="A13" s="24" t="s">
        <v>244</v>
      </c>
      <c r="B13" s="24" t="n">
        <f aca="false">SUMPRODUCT((ITGC_Dependency!I5:I204&lt;&gt;"")*(ITGC_Dependency!I5:I204&lt;&gt;"OK")*(LEFT(ITGC_Dependency!I5:I204,2)&lt;&gt;"OK"))</f>
        <v>0</v>
      </c>
      <c r="C13" s="24" t="str">
        <f aca="false">IF(B13=0,"PASS","REVIEW")</f>
        <v>PASS</v>
      </c>
      <c r="D13" s="24" t="s">
        <v>237</v>
      </c>
    </row>
    <row r="14" customFormat="false" ht="15" hidden="false" customHeight="false" outlineLevel="0" collapsed="false">
      <c r="A14" s="24" t="s">
        <v>245</v>
      </c>
      <c r="B14" s="24" t="n">
        <f aca="false">COUNTIF(ITGC_Dependency!H5:H204,"Not supported")</f>
        <v>0</v>
      </c>
      <c r="C14" s="24" t="s">
        <v>230</v>
      </c>
      <c r="D14" s="24" t="s">
        <v>246</v>
      </c>
    </row>
    <row r="15" customFormat="false" ht="15" hidden="false" customHeight="false" outlineLevel="0" collapsed="false">
      <c r="A15" s="24" t="s">
        <v>247</v>
      </c>
      <c r="B15" s="24" t="n">
        <f aca="false">COUNTIF(ITGC_Dependency!H5:H204,"Pending")</f>
        <v>1</v>
      </c>
      <c r="C15" s="24" t="s">
        <v>230</v>
      </c>
      <c r="D15" s="24" t="s">
        <v>248</v>
      </c>
    </row>
    <row r="16" customFormat="false" ht="15" hidden="false" customHeight="false" outlineLevel="0" collapsed="false">
      <c r="A16" s="24" t="s">
        <v>249</v>
      </c>
      <c r="B16" s="24" t="n">
        <f aca="false">COUNTIF(Control_Register!I5:I204,"Y")</f>
        <v>1</v>
      </c>
      <c r="C16" s="24" t="s">
        <v>230</v>
      </c>
      <c r="D16" s="24" t="s">
        <v>250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2026-10-03T01:39:09Z</dcterms:created>
  <dc:creator>openpyxl</dc:creator>
  <dc:description/>
  <dc:language>en-US</dc:language>
  <cp:lastModifiedBy/>
  <dcterms:modified xsi:type="dcterms:W3CDTF">2026-10-03T01:39:10Z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