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nown_Unconfirmed_Outstanding" sheetId="2" state="visible" r:id="rId4"/>
    <sheet name="Dependencies" sheetId="3" state="visible" r:id="rId5"/>
    <sheet name="Engagement_Summary" sheetId="4" state="visible" r:id="rId6"/>
    <sheet name="Coverage_Matrix" sheetId="5" state="visible" r:id="rId7"/>
    <sheet name="Ref_Risk_Control" sheetId="6" state="visible" r:id="rId8"/>
    <sheet name="Ref_Controls" sheetId="7" state="visible" r:id="rId9"/>
    <sheet name="Ref_Tests" sheetId="8" state="visible" r:id="rId10"/>
    <sheet name="Ref_Deficiencies" sheetId="9" state="visible" r:id="rId11"/>
    <sheet name="Ref_Reliance" sheetId="10" state="visible" r:id="rId12"/>
    <sheet name="Lists" sheetId="11" state="hidden" r:id="rId13"/>
    <sheet name="Checks" sheetId="12" state="visible" r:id="rId14"/>
  </sheets>
  <definedNames>
    <definedName function="false" hidden="true" localSheetId="2" name="_xlnm._FilterDatabase" vbProcedure="false">Dependencies!$A$4:$K$204</definedName>
    <definedName function="false" hidden="true" localSheetId="1" name="_xlnm._FilterDatabase" vbProcedure="false">Known_Unconfirmed_Outstanding!$A$4:$I$204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<sst xmlns="http://schemas.openxmlformats.org/spreadsheetml/2006/main" count="380" uniqueCount="246">
  <si>
    <t xml:space="preserve">TIB SYSTEMS LLC  |  SAP Controls Project Foundation Workbook Set</t>
  </si>
  <si>
    <t xml:space="preserve">W14 — Scoping Workpaper &amp; Coverage Dashboard</t>
  </si>
  <si>
    <t xml:space="preserve">Purpose</t>
  </si>
  <si>
    <t xml:space="preserve">The master record and a reviewer's first stop. At scoping stage it summarises what is in scope, what is confirmed, what is unconfirmed and which dependencies must be resolved. At testing stage it becomes the coverage dashboard: every risk covered, every key control tested, every deficiency evaluated.</t>
  </si>
  <si>
    <t xml:space="preserve">How to use this workbook</t>
  </si>
  <si>
    <t xml:space="preserve">1. Complete Engagement_Summary (client, systems, processes, period, materiality, stakeholders) and set Stage = Scoping.</t>
  </si>
  <si>
    <t xml:space="preserve">2. Log known, unconfirmed and outstanding items, and access/evidence dependencies.</t>
  </si>
  <si>
    <t xml:space="preserve">3. Paste the summary rows from W04/W05 (Ref_Risk_Control, Ref_Controls, Ref_Reliance), W10/W12 (Ref_Tests) and W13 (Ref_Deficiencies). No figure on the dashboard is typed.</t>
  </si>
  <si>
    <t xml:space="preserve">4. At scoping stage the conclusion reads "No conclusion at scoping stage" and coverage checks 2–7 show SCOPING. Switch Stage to Testing when fieldwork starts.</t>
  </si>
  <si>
    <t xml:space="preserve">5. Read the Checks tab and Coverage_Matrix before issuing any report.</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</si>
  <si>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</si>
  <si>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</si>
  <si>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</si>
  <si>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Scoping stage: in-scope items, known/unconfirmed/outstanding and dependencies are complete, and the conclusion reads "No conclusion at scoping stage".</t>
  </si>
  <si>
    <t xml:space="preserve">Testing stage: every coverage check passes or the gap is explained.</t>
  </si>
  <si>
    <t xml:space="preserve">All figures are formulas linked to the pasted source data.</t>
  </si>
  <si>
    <t xml:space="preserve">Manual reference</t>
  </si>
  <si>
    <t xml:space="preserve">Part 2, Sessions 15–16 (W14); Part 4, Session 38 (reporting).</t>
  </si>
  <si>
    <t xml:space="preserve">Column dictionary</t>
  </si>
  <si>
    <t xml:space="preserve">Tab</t>
  </si>
  <si>
    <t xml:space="preserve">Field</t>
  </si>
  <si>
    <t xml:space="preserve">Definition</t>
  </si>
  <si>
    <t xml:space="preserve">Allowed values / rule</t>
  </si>
  <si>
    <t xml:space="preserve">Type</t>
  </si>
  <si>
    <t xml:space="preserve">Known_Unconfirmed_Outstanding</t>
  </si>
  <si>
    <t xml:space="preserve">Item ID</t>
  </si>
  <si>
    <t xml:space="preserve">Unique key</t>
  </si>
  <si>
    <t xml:space="preserve">KU-nn</t>
  </si>
  <si>
    <t xml:space="preserve">Input</t>
  </si>
  <si>
    <t xml:space="preserve">Category</t>
  </si>
  <si>
    <t xml:space="preserve">Area</t>
  </si>
  <si>
    <t xml:space="preserve">Dropdown</t>
  </si>
  <si>
    <t xml:space="preserve">Item</t>
  </si>
  <si>
    <t xml:space="preserve">The fact, unconfirmed matter or outstanding item</t>
  </si>
  <si>
    <t xml:space="preserve">Free text</t>
  </si>
  <si>
    <t xml:space="preserve">Status</t>
  </si>
  <si>
    <t xml:space="preserve">Known = verified; Unconfirmed = reported but not verified; Outstanding = still to obtain</t>
  </si>
  <si>
    <t xml:space="preserve">Source</t>
  </si>
  <si>
    <t xml:space="preserve">Workbook and key</t>
  </si>
  <si>
    <t xml:space="preserve">e.g. W01 SYS-05</t>
  </si>
  <si>
    <t xml:space="preserve">Owner</t>
  </si>
  <si>
    <t xml:space="preserve">Person to resolve</t>
  </si>
  <si>
    <t xml:space="preserve">Name / role</t>
  </si>
  <si>
    <t xml:space="preserve">Next step</t>
  </si>
  <si>
    <t xml:space="preserve">Action to resolve</t>
  </si>
  <si>
    <t xml:space="preserve">Target date</t>
  </si>
  <si>
    <t xml:space="preserve">Date needed by</t>
  </si>
  <si>
    <t xml:space="preserve">Date</t>
  </si>
  <si>
    <t xml:space="preserve">Check</t>
  </si>
  <si>
    <t xml:space="preserve">Automatic test</t>
  </si>
  <si>
    <t xml:space="preserve">Formula</t>
  </si>
  <si>
    <t xml:space="preserve">Dependencies</t>
  </si>
  <si>
    <t xml:space="preserve">Dep ID</t>
  </si>
  <si>
    <t xml:space="preserve">DEP-nn</t>
  </si>
  <si>
    <t xml:space="preserve">Kind of dependency</t>
  </si>
  <si>
    <t xml:space="preserve">Description</t>
  </si>
  <si>
    <t xml:space="preserve">What must be resolved before testing</t>
  </si>
  <si>
    <t xml:space="preserve">Source key</t>
  </si>
  <si>
    <t xml:space="preserve">e.g. W07 C-ITGC-AC-004</t>
  </si>
  <si>
    <t xml:space="preserve">Raised</t>
  </si>
  <si>
    <t xml:space="preserve">Date raised</t>
  </si>
  <si>
    <t xml:space="preserve">Needed by</t>
  </si>
  <si>
    <t xml:space="preserve">Progress</t>
  </si>
  <si>
    <t xml:space="preserve">Open / In progress / Closed</t>
  </si>
  <si>
    <t xml:space="preserve">Blocks</t>
  </si>
  <si>
    <t xml:space="preserve">Gate or test it blocks</t>
  </si>
  <si>
    <t xml:space="preserve">e.g. G5; WP-AC-05</t>
  </si>
  <si>
    <t xml:space="preserve">Days overdue</t>
  </si>
  <si>
    <t xml:space="preserve">Today minus target while not closed</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</si>
  <si>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</si>
  <si>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</si>
  <si>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</si>
  <si>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W14 — Known / Unconfirmed / Outstanding</t>
  </si>
  <si>
    <t xml:space="preserve">Separate verified facts from matters still to confirm. Rows 5–7 are worked examples.</t>
  </si>
  <si>
    <t xml:space="preserve">KU-01</t>
  </si>
  <si>
    <t xml:space="preserve">Landscape</t>
  </si>
  <si>
    <t xml:space="preserve">ECP / client 300 is the production system (System &gt; Status captured)</t>
  </si>
  <si>
    <t xml:space="preserve">Known</t>
  </si>
  <si>
    <t xml:space="preserve">W01 SYS-03</t>
  </si>
  <si>
    <t xml:space="preserve">KU-02</t>
  </si>
  <si>
    <t xml:space="preserve">Fiori front-end server posts financial transactions</t>
  </si>
  <si>
    <t xml:space="preserve">Unconfirmed</t>
  </si>
  <si>
    <t xml:space="preserve">W01 SYS-05</t>
  </si>
  <si>
    <t xml:space="preserve">Basis Lead</t>
  </si>
  <si>
    <t xml:space="preserve">Confirm app list</t>
  </si>
  <si>
    <t xml:space="preserve">KU-03</t>
  </si>
  <si>
    <t xml:space="preserve">Controller list for Firefighter IDs</t>
  </si>
  <si>
    <t xml:space="preserve">Outstanding</t>
  </si>
  <si>
    <t xml:space="preserve">W07 C-ITGC-AC-004</t>
  </si>
  <si>
    <t xml:space="preserve">IT Security Manager</t>
  </si>
  <si>
    <t xml:space="preserve">Request list from GRC admin</t>
  </si>
  <si>
    <t xml:space="preserve">W14 — Dependencies</t>
  </si>
  <si>
    <t xml:space="preserve">Prerequisites that must be resolved before testing. These are dependencies, not control failures. Row 5 is a worked example.</t>
  </si>
  <si>
    <t xml:space="preserve">DEP-01</t>
  </si>
  <si>
    <t xml:space="preserve">Missing owner</t>
  </si>
  <si>
    <t xml:space="preserve">Firefighter controller list not yet provided</t>
  </si>
  <si>
    <t xml:space="preserve">Open</t>
  </si>
  <si>
    <t xml:space="preserve">WP-AC-05</t>
  </si>
  <si>
    <t xml:space="preserve">Engagement summary and scoping conclusion</t>
  </si>
  <si>
    <t xml:space="preserve">Yellow = input. B8 (Stage) switches the coverage checks between scoping and testing.</t>
  </si>
  <si>
    <t xml:space="preserve">Client / engagement</t>
  </si>
  <si>
    <t xml:space="preserve">ABC Manufacturing: SAP controls project</t>
  </si>
  <si>
    <t xml:space="preserve">Engagement / Lab ID</t>
  </si>
  <si>
    <t xml:space="preserve">Lab 1: Scoping</t>
  </si>
  <si>
    <t xml:space="preserve">Primary production system (SYS-ID)</t>
  </si>
  <si>
    <t xml:space="preserve">SYS-03 (ECP / 300)</t>
  </si>
  <si>
    <t xml:space="preserve">Other components in scope</t>
  </si>
  <si>
    <t xml:space="preserve">SYS-01, SYS-02 (transport origin); SYS-04 GRC; SYS-06 HANA DB</t>
  </si>
  <si>
    <t xml:space="preserve">Modules and business processes in scope</t>
  </si>
  <si>
    <t xml:space="preserve">R2R, P2P, Inventory, O2C; technical areas BP-TECH-01 to 03; HR to be confirmed</t>
  </si>
  <si>
    <t xml:space="preserve">Stage</t>
  </si>
  <si>
    <t xml:space="preserve">Scoping</t>
  </si>
  <si>
    <t xml:space="preserve">Testing period from</t>
  </si>
  <si>
    <t xml:space="preserve">Testing period to</t>
  </si>
  <si>
    <t xml:space="preserve">As-of date</t>
  </si>
  <si>
    <t xml:space="preserve">Overall materiality (USD)</t>
  </si>
  <si>
    <t xml:space="preserve">Clearly trivial threshold (USD)</t>
  </si>
  <si>
    <t xml:space="preserve">Key stakeholders</t>
  </si>
  <si>
    <t xml:space="preserve">Head of AP; IT Security Manager; Basis Lead; Treasury Manager; Financial Controller</t>
  </si>
  <si>
    <t xml:space="preserve">Scope statement</t>
  </si>
  <si>
    <t xml:space="preserve">Scoping alone does not establish control effectiveness.</t>
  </si>
  <si>
    <t xml:space="preserve">Control effectiveness conclusion</t>
  </si>
  <si>
    <t xml:space="preserve">Results by control category (operating-effectiveness tests, from Ref_Tests)</t>
  </si>
  <si>
    <t xml:space="preserve">TOE tests</t>
  </si>
  <si>
    <t xml:space="preserve">Effective</t>
  </si>
  <si>
    <t xml:space="preserve">Exception noted</t>
  </si>
  <si>
    <t xml:space="preserve">Ineffective</t>
  </si>
  <si>
    <t xml:space="preserve">Not started</t>
  </si>
  <si>
    <t xml:space="preserve">ITGC-APD</t>
  </si>
  <si>
    <t xml:space="preserve">ITGC-PC</t>
  </si>
  <si>
    <t xml:space="preserve">ITGC-CO</t>
  </si>
  <si>
    <t xml:space="preserve">ITGC-PD</t>
  </si>
  <si>
    <t xml:space="preserve">ITAC</t>
  </si>
  <si>
    <t xml:space="preserve">IPE</t>
  </si>
  <si>
    <t xml:space="preserve">ITDM</t>
  </si>
  <si>
    <t xml:space="preserve">Manual BPC</t>
  </si>
  <si>
    <t xml:space="preserve">Deficiencies by severity (from Ref_Deficiencies)</t>
  </si>
  <si>
    <t xml:space="preserve">Severity</t>
  </si>
  <si>
    <t xml:space="preserve">Closed</t>
  </si>
  <si>
    <t xml:space="preserve">Control deficiency</t>
  </si>
  <si>
    <t xml:space="preserve">Significant deficiency</t>
  </si>
  <si>
    <t xml:space="preserve">Material weakness</t>
  </si>
  <si>
    <t xml:space="preserve">Coverage matrix — one row per risk</t>
  </si>
  <si>
    <t xml:space="preserve">Formulas over Ref_Risk_Control and Ref_Deficiencies. Shows at a glance whether each risk is covered, tested and what failed.</t>
  </si>
  <si>
    <t xml:space="preserve">RISK-ID</t>
  </si>
  <si>
    <t xml:space="preserve">SOX relevant?</t>
  </si>
  <si>
    <t xml:space="preserve">Key controls mapped</t>
  </si>
  <si>
    <t xml:space="preserve">Worst TOD result</t>
  </si>
  <si>
    <t xml:space="preserve">Worst TOE result</t>
  </si>
  <si>
    <t xml:space="preserve">Deficiencies</t>
  </si>
  <si>
    <t xml:space="preserve">Highest severity</t>
  </si>
  <si>
    <t xml:space="preserve">RISK-ID (W04)</t>
  </si>
  <si>
    <t xml:space="preserve">SOX relevant? (W04)</t>
  </si>
  <si>
    <t xml:space="preserve">Key controls mapped (W05 Coverage_Check)</t>
  </si>
  <si>
    <t xml:space="preserve">Worst TOD result (W10)</t>
  </si>
  <si>
    <t xml:space="preserve">Worst TOE result (W10)</t>
  </si>
  <si>
    <t xml:space="preserve">R-P2P-001</t>
  </si>
  <si>
    <t xml:space="preserve">Y</t>
  </si>
  <si>
    <t xml:space="preserve">Not tested</t>
  </si>
  <si>
    <t xml:space="preserve">R-P2P-002</t>
  </si>
  <si>
    <t xml:space="preserve">R-TECH-001</t>
  </si>
  <si>
    <t xml:space="preserve">R-TECH-003</t>
  </si>
  <si>
    <t xml:space="preserve">CTRL-ID (W05)</t>
  </si>
  <si>
    <t xml:space="preserve">Control category (W05)</t>
  </si>
  <si>
    <t xml:space="preserve">Key control? Y/N (W05)</t>
  </si>
  <si>
    <t xml:space="preserve">C-ITGC-AC-002</t>
  </si>
  <si>
    <t xml:space="preserve">C-ITGC-PC-001</t>
  </si>
  <si>
    <t xml:space="preserve">C-ITAC-004</t>
  </si>
  <si>
    <t xml:space="preserve">TEST-ID (W10)</t>
  </si>
  <si>
    <t xml:space="preserve">CTRL-ID (W10)</t>
  </si>
  <si>
    <t xml:space="preserve">Test type TOD/TOE (W10)</t>
  </si>
  <si>
    <t xml:space="preserve">Result (W10)</t>
  </si>
  <si>
    <t xml:space="preserve">Status (W10)</t>
  </si>
  <si>
    <t xml:space="preserve">Population IPE result, or n/a (W09)</t>
  </si>
  <si>
    <t xml:space="preserve">Sample logged? Y / N / n/a (W12)</t>
  </si>
  <si>
    <t xml:space="preserve">C-ITGC-PC-001-TOD</t>
  </si>
  <si>
    <t xml:space="preserve">TOD</t>
  </si>
  <si>
    <t xml:space="preserve">n/a</t>
  </si>
  <si>
    <t xml:space="preserve">C-ITGC-PC-001-TOE</t>
  </si>
  <si>
    <t xml:space="preserve">TOE</t>
  </si>
  <si>
    <t xml:space="preserve">Pass</t>
  </si>
  <si>
    <t xml:space="preserve">DEF-ID (W13)</t>
  </si>
  <si>
    <t xml:space="preserve">TEST-ID (W13)</t>
  </si>
  <si>
    <t xml:space="preserve">CTRL-ID (W13)</t>
  </si>
  <si>
    <t xml:space="preserve">RISK-ID (W13)</t>
  </si>
  <si>
    <t xml:space="preserve">Severity (W13)</t>
  </si>
  <si>
    <t xml:space="preserve">Group ID (W13)</t>
  </si>
  <si>
    <t xml:space="preserve">Status (W13)</t>
  </si>
  <si>
    <t xml:space="preserve">DEF-004</t>
  </si>
  <si>
    <t xml:space="preserve">C-ITGC-AC-002-TOE</t>
  </si>
  <si>
    <t xml:space="preserve">GR-C</t>
  </si>
  <si>
    <t xml:space="preserve">Dependent CTRL-ID (W05)</t>
  </si>
  <si>
    <t xml:space="preserve">ITGC CTRL-ID (W05)</t>
  </si>
  <si>
    <t xml:space="preserve">ITGC test result (W05)</t>
  </si>
  <si>
    <t xml:space="preserve">Reliance decision (W05)</t>
  </si>
  <si>
    <t xml:space="preserve">Pending</t>
  </si>
  <si>
    <t xml:space="preserve">KCat</t>
  </si>
  <si>
    <t xml:space="preserve">KStat</t>
  </si>
  <si>
    <t xml:space="preserve">DepType</t>
  </si>
  <si>
    <t xml:space="preserve">OStat</t>
  </si>
  <si>
    <t xml:space="preserve">Access gap</t>
  </si>
  <si>
    <t xml:space="preserve">Process</t>
  </si>
  <si>
    <t xml:space="preserve">In progress</t>
  </si>
  <si>
    <t xml:space="preserve">Missing evidence</t>
  </si>
  <si>
    <t xml:space="preserve">Evidence</t>
  </si>
  <si>
    <t xml:space="preserve">IPE failure</t>
  </si>
  <si>
    <t xml:space="preserve">Access</t>
  </si>
  <si>
    <t xml:space="preserve">Other</t>
  </si>
  <si>
    <t xml:space="preserve">W14 — Completion checks</t>
  </si>
  <si>
    <t xml:space="preserve">All checks are formulas. A workbook passes its gate when every status reads PASS (INFO rows are counts for your information).</t>
  </si>
  <si>
    <t xml:space="preserve">Overall</t>
  </si>
  <si>
    <t xml:space="preserve">Count</t>
  </si>
  <si>
    <t xml:space="preserve">What to do if REVIEW</t>
  </si>
  <si>
    <t xml:space="preserve">Known items</t>
  </si>
  <si>
    <t xml:space="preserve">INFO</t>
  </si>
  <si>
    <t xml:space="preserve">—</t>
  </si>
  <si>
    <t xml:space="preserve">Unconfirmed items</t>
  </si>
  <si>
    <t xml:space="preserve">Resolve or carry forward as dependencies.</t>
  </si>
  <si>
    <t xml:space="preserve">Outstanding items</t>
  </si>
  <si>
    <t xml:space="preserve">Known / Unconfirmed / Outstanding rows needing attention</t>
  </si>
  <si>
    <t xml:space="preserve">Read the Check column.</t>
  </si>
  <si>
    <t xml:space="preserve">Dependency rows needing attention</t>
  </si>
  <si>
    <t xml:space="preserve">Open dependencies</t>
  </si>
  <si>
    <t xml:space="preserve">Access gaps, missing owners, missing evidence.</t>
  </si>
  <si>
    <t xml:space="preserve">Dependencies overdue</t>
  </si>
  <si>
    <t xml:space="preserve">Escalate.</t>
  </si>
  <si>
    <t xml:space="preserve">Stage not selected</t>
  </si>
  <si>
    <t xml:space="preserve">Set Scoping or Testing on Engagement_Summary.</t>
  </si>
  <si>
    <t xml:space="preserve">1. Risk coverage: SOX risks with no key control</t>
  </si>
  <si>
    <t xml:space="preserve">Design gap: report as a potential design deficiency.</t>
  </si>
  <si>
    <t xml:space="preserve">2a. Test coverage: key controls with no TOD</t>
  </si>
  <si>
    <t xml:space="preserve">Add the TOD row in W10.</t>
  </si>
  <si>
    <t xml:space="preserve">2b. Test coverage: key controls with no TOE</t>
  </si>
  <si>
    <t xml:space="preserve">Add the TOE row in W10.</t>
  </si>
  <si>
    <t xml:space="preserve">3. Evidence coverage: TOE tests whose population IPE is not Pass (use n/a for tests with no population)</t>
  </si>
  <si>
    <t xml:space="preserve">Complete the IPE check in W09.</t>
  </si>
  <si>
    <t xml:space="preserve">4. Sample coverage: TOE tests with no sample logged</t>
  </si>
  <si>
    <t xml:space="preserve">Log the sample in W12.</t>
  </si>
  <si>
    <t xml:space="preserve">5. Result coverage: tests not yet reviewed</t>
  </si>
  <si>
    <t xml:space="preserve">Complete workpaper review (W11).</t>
  </si>
  <si>
    <t xml:space="preserve">6. Deficiency coverage: exception / ineffective tests with no DEF-ID</t>
  </si>
  <si>
    <t xml:space="preserve">Raise a DEF in W13 or document a false-positive rationale.</t>
  </si>
  <si>
    <t xml:space="preserve">7. Reliance coverage: dependent controls with a failed ITGC but reliance Pending or Supported</t>
  </si>
  <si>
    <t xml:space="preserve">Record additional procedures or mark reliance Not supported (Session 33).</t>
  </si>
  <si>
    <t xml:space="preserve">Open deficiencies (all severities)</t>
  </si>
  <si>
    <t xml:space="preserve">See Engagement_Summary for severity split.</t>
  </si>
</sst>
</file>

<file path=xl/styles.xml><?xml version="1.0" encoding="utf-8"?>
<styleSheet xmlns="http://schemas.openxmlformats.org/spreadsheetml/2006/main">
  <numFmts count="4">
    <numFmt numFmtId="164" formatCode="General"/>
    <numFmt numFmtId="165" formatCode="dd\-mmm\-yyyy"/>
    <numFmt numFmtId="166" formatCode="#,##0"/>
    <numFmt numFmtId="167" formatCode="General"/>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DCE6F2"/>
      </patternFill>
    </fill>
    <fill>
      <patternFill patternType="solid">
        <fgColor rgb="FFDCE6F2"/>
        <bgColor rgb="FFEDEFF3"/>
      </patternFill>
    </fill>
    <fill>
      <patternFill patternType="solid">
        <fgColor rgb="FFFFFFFF"/>
        <bgColor rgb="FFEDEFF3"/>
      </patternFill>
    </fill>
    <fill>
      <patternFill patternType="solid">
        <fgColor rgb="FF0E7C86"/>
        <bgColor rgb="FF008080"/>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6" fontId="15" fillId="4"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8" fillId="8"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FF3"/>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45"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15" hidden="false" customHeight="true" outlineLevel="0" collapsed="false">
      <c r="A9" s="4" t="s">
        <v>6</v>
      </c>
      <c r="B9" s="4"/>
      <c r="C9" s="4"/>
      <c r="D9" s="4"/>
    </row>
    <row r="10" customFormat="false" ht="30" hidden="false" customHeight="true" outlineLevel="0" collapsed="false">
      <c r="A10" s="4" t="s">
        <v>7</v>
      </c>
      <c r="B10" s="4"/>
      <c r="C10" s="4"/>
      <c r="D10" s="4"/>
    </row>
    <row r="11" customFormat="false" ht="30" hidden="false" customHeight="true" outlineLevel="0" collapsed="false">
      <c r="A11" s="4" t="s">
        <v>8</v>
      </c>
      <c r="B11" s="4"/>
      <c r="C11" s="4"/>
      <c r="D11" s="4"/>
    </row>
    <row r="12" customFormat="false" ht="15"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30"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2" customFormat="false" ht="15" hidden="false" customHeight="false" outlineLevel="0" collapsed="false">
      <c r="A22" s="3" t="s">
        <v>16</v>
      </c>
    </row>
    <row r="23" customFormat="false" ht="15" hidden="false" customHeight="true" outlineLevel="0" collapsed="false">
      <c r="A23" s="4" t="s">
        <v>17</v>
      </c>
      <c r="B23" s="4"/>
      <c r="C23" s="4"/>
      <c r="D23" s="4"/>
    </row>
    <row r="25" customFormat="false" ht="15" hidden="false" customHeight="false" outlineLevel="0" collapsed="false">
      <c r="A25" s="3" t="s">
        <v>18</v>
      </c>
    </row>
    <row r="26" customFormat="false" ht="15" hidden="false" customHeight="false" outlineLevel="0" collapsed="false">
      <c r="A26" s="5" t="s">
        <v>19</v>
      </c>
      <c r="B26" s="5" t="s">
        <v>20</v>
      </c>
      <c r="C26" s="5" t="s">
        <v>21</v>
      </c>
      <c r="D26" s="5" t="s">
        <v>22</v>
      </c>
      <c r="E26" s="5" t="s">
        <v>23</v>
      </c>
    </row>
    <row r="27" customFormat="false" ht="15" hidden="false" customHeight="false" outlineLevel="0" collapsed="false">
      <c r="A27" s="6" t="s">
        <v>24</v>
      </c>
      <c r="B27" s="6" t="s">
        <v>25</v>
      </c>
      <c r="C27" s="6" t="s">
        <v>26</v>
      </c>
      <c r="D27" s="6" t="s">
        <v>27</v>
      </c>
      <c r="E27" s="6" t="s">
        <v>28</v>
      </c>
    </row>
    <row r="28" customFormat="false" ht="15" hidden="false" customHeight="false" outlineLevel="0" collapsed="false">
      <c r="A28" s="6" t="s">
        <v>24</v>
      </c>
      <c r="B28" s="6" t="s">
        <v>29</v>
      </c>
      <c r="C28" s="6" t="s">
        <v>30</v>
      </c>
      <c r="D28" s="6" t="s">
        <v>31</v>
      </c>
      <c r="E28" s="6" t="s">
        <v>28</v>
      </c>
    </row>
    <row r="29" customFormat="false" ht="15" hidden="false" customHeight="false" outlineLevel="0" collapsed="false">
      <c r="A29" s="6" t="s">
        <v>24</v>
      </c>
      <c r="B29" s="6" t="s">
        <v>32</v>
      </c>
      <c r="C29" s="6" t="s">
        <v>33</v>
      </c>
      <c r="D29" s="6" t="s">
        <v>34</v>
      </c>
      <c r="E29" s="6" t="s">
        <v>28</v>
      </c>
    </row>
    <row r="30" customFormat="false" ht="22.35" hidden="false" customHeight="false" outlineLevel="0" collapsed="false">
      <c r="A30" s="6" t="s">
        <v>24</v>
      </c>
      <c r="B30" s="6" t="s">
        <v>35</v>
      </c>
      <c r="C30" s="6" t="s">
        <v>36</v>
      </c>
      <c r="D30" s="6" t="s">
        <v>31</v>
      </c>
      <c r="E30" s="6" t="s">
        <v>28</v>
      </c>
    </row>
    <row r="31" customFormat="false" ht="15" hidden="false" customHeight="false" outlineLevel="0" collapsed="false">
      <c r="A31" s="6" t="s">
        <v>24</v>
      </c>
      <c r="B31" s="6" t="s">
        <v>37</v>
      </c>
      <c r="C31" s="6" t="s">
        <v>38</v>
      </c>
      <c r="D31" s="6" t="s">
        <v>39</v>
      </c>
      <c r="E31" s="6" t="s">
        <v>28</v>
      </c>
    </row>
    <row r="32" customFormat="false" ht="15" hidden="false" customHeight="false" outlineLevel="0" collapsed="false">
      <c r="A32" s="6" t="s">
        <v>24</v>
      </c>
      <c r="B32" s="6" t="s">
        <v>40</v>
      </c>
      <c r="C32" s="6" t="s">
        <v>41</v>
      </c>
      <c r="D32" s="6" t="s">
        <v>42</v>
      </c>
      <c r="E32" s="6" t="s">
        <v>28</v>
      </c>
    </row>
    <row r="33" customFormat="false" ht="15" hidden="false" customHeight="false" outlineLevel="0" collapsed="false">
      <c r="A33" s="6" t="s">
        <v>24</v>
      </c>
      <c r="B33" s="6" t="s">
        <v>43</v>
      </c>
      <c r="C33" s="6" t="s">
        <v>44</v>
      </c>
      <c r="D33" s="6" t="s">
        <v>34</v>
      </c>
      <c r="E33" s="6" t="s">
        <v>28</v>
      </c>
    </row>
    <row r="34" customFormat="false" ht="15" hidden="false" customHeight="false" outlineLevel="0" collapsed="false">
      <c r="A34" s="6" t="s">
        <v>24</v>
      </c>
      <c r="B34" s="6" t="s">
        <v>45</v>
      </c>
      <c r="C34" s="6" t="s">
        <v>46</v>
      </c>
      <c r="D34" s="6" t="s">
        <v>47</v>
      </c>
      <c r="E34" s="6" t="s">
        <v>28</v>
      </c>
    </row>
    <row r="35" customFormat="false" ht="15" hidden="false" customHeight="false" outlineLevel="0" collapsed="false">
      <c r="A35" s="6" t="s">
        <v>24</v>
      </c>
      <c r="B35" s="6" t="s">
        <v>48</v>
      </c>
      <c r="C35" s="6" t="s">
        <v>49</v>
      </c>
      <c r="D35" s="6" t="s">
        <v>50</v>
      </c>
      <c r="E35" s="6" t="s">
        <v>50</v>
      </c>
    </row>
    <row r="36" customFormat="false" ht="15" hidden="false" customHeight="false" outlineLevel="0" collapsed="false">
      <c r="A36" s="6" t="s">
        <v>51</v>
      </c>
      <c r="B36" s="6" t="s">
        <v>52</v>
      </c>
      <c r="C36" s="6" t="s">
        <v>26</v>
      </c>
      <c r="D36" s="6" t="s">
        <v>53</v>
      </c>
      <c r="E36" s="6" t="s">
        <v>28</v>
      </c>
    </row>
    <row r="37" customFormat="false" ht="15" hidden="false" customHeight="false" outlineLevel="0" collapsed="false">
      <c r="A37" s="6" t="s">
        <v>51</v>
      </c>
      <c r="B37" s="6" t="s">
        <v>23</v>
      </c>
      <c r="C37" s="6" t="s">
        <v>54</v>
      </c>
      <c r="D37" s="6" t="s">
        <v>31</v>
      </c>
      <c r="E37" s="6" t="s">
        <v>28</v>
      </c>
    </row>
    <row r="38" customFormat="false" ht="15" hidden="false" customHeight="false" outlineLevel="0" collapsed="false">
      <c r="A38" s="6" t="s">
        <v>51</v>
      </c>
      <c r="B38" s="6" t="s">
        <v>55</v>
      </c>
      <c r="C38" s="6" t="s">
        <v>56</v>
      </c>
      <c r="D38" s="6" t="s">
        <v>34</v>
      </c>
      <c r="E38" s="6" t="s">
        <v>28</v>
      </c>
    </row>
    <row r="39" customFormat="false" ht="15" hidden="false" customHeight="false" outlineLevel="0" collapsed="false">
      <c r="A39" s="6" t="s">
        <v>51</v>
      </c>
      <c r="B39" s="6" t="s">
        <v>57</v>
      </c>
      <c r="C39" s="6" t="s">
        <v>38</v>
      </c>
      <c r="D39" s="6" t="s">
        <v>58</v>
      </c>
      <c r="E39" s="6" t="s">
        <v>28</v>
      </c>
    </row>
    <row r="40" customFormat="false" ht="15" hidden="false" customHeight="false" outlineLevel="0" collapsed="false">
      <c r="A40" s="6" t="s">
        <v>51</v>
      </c>
      <c r="B40" s="6" t="s">
        <v>40</v>
      </c>
      <c r="C40" s="6" t="s">
        <v>41</v>
      </c>
      <c r="D40" s="6" t="s">
        <v>42</v>
      </c>
      <c r="E40" s="6" t="s">
        <v>28</v>
      </c>
    </row>
    <row r="41" customFormat="false" ht="15" hidden="false" customHeight="false" outlineLevel="0" collapsed="false">
      <c r="A41" s="6" t="s">
        <v>51</v>
      </c>
      <c r="B41" s="6" t="s">
        <v>59</v>
      </c>
      <c r="C41" s="6" t="s">
        <v>60</v>
      </c>
      <c r="D41" s="6" t="s">
        <v>47</v>
      </c>
      <c r="E41" s="6" t="s">
        <v>28</v>
      </c>
    </row>
    <row r="42" customFormat="false" ht="15" hidden="false" customHeight="false" outlineLevel="0" collapsed="false">
      <c r="A42" s="6" t="s">
        <v>51</v>
      </c>
      <c r="B42" s="6" t="s">
        <v>45</v>
      </c>
      <c r="C42" s="6" t="s">
        <v>61</v>
      </c>
      <c r="D42" s="6" t="s">
        <v>47</v>
      </c>
      <c r="E42" s="6" t="s">
        <v>28</v>
      </c>
    </row>
    <row r="43" customFormat="false" ht="15" hidden="false" customHeight="false" outlineLevel="0" collapsed="false">
      <c r="A43" s="6" t="s">
        <v>51</v>
      </c>
      <c r="B43" s="6" t="s">
        <v>35</v>
      </c>
      <c r="C43" s="6" t="s">
        <v>62</v>
      </c>
      <c r="D43" s="6" t="s">
        <v>63</v>
      </c>
      <c r="E43" s="6" t="s">
        <v>28</v>
      </c>
    </row>
    <row r="44" customFormat="false" ht="15" hidden="false" customHeight="false" outlineLevel="0" collapsed="false">
      <c r="A44" s="6" t="s">
        <v>51</v>
      </c>
      <c r="B44" s="6" t="s">
        <v>64</v>
      </c>
      <c r="C44" s="6" t="s">
        <v>65</v>
      </c>
      <c r="D44" s="6" t="s">
        <v>66</v>
      </c>
      <c r="E44" s="6" t="s">
        <v>28</v>
      </c>
    </row>
    <row r="45" customFormat="false" ht="15" hidden="false" customHeight="false" outlineLevel="0" collapsed="false">
      <c r="A45" s="6" t="s">
        <v>51</v>
      </c>
      <c r="B45" s="6" t="s">
        <v>67</v>
      </c>
      <c r="C45" s="6" t="s">
        <v>68</v>
      </c>
      <c r="D45" s="6" t="s">
        <v>50</v>
      </c>
      <c r="E45" s="6" t="s">
        <v>50</v>
      </c>
    </row>
    <row r="46" customFormat="false" ht="15" hidden="false" customHeight="false" outlineLevel="0" collapsed="false">
      <c r="A46" s="6" t="s">
        <v>51</v>
      </c>
      <c r="B46" s="6" t="s">
        <v>48</v>
      </c>
      <c r="C46" s="6" t="s">
        <v>49</v>
      </c>
      <c r="D46" s="6" t="s">
        <v>50</v>
      </c>
      <c r="E46" s="6" t="s">
        <v>50</v>
      </c>
    </row>
    <row r="48" customFormat="false" ht="15" hidden="false" customHeight="false" outlineLevel="0" collapsed="false">
      <c r="A48" s="3" t="s">
        <v>69</v>
      </c>
    </row>
    <row r="49" customFormat="false" ht="15" hidden="false" customHeight="false" outlineLevel="0" collapsed="false">
      <c r="A49" s="7" t="s">
        <v>70</v>
      </c>
    </row>
    <row r="50" customFormat="false" ht="15" hidden="false" customHeight="false" outlineLevel="0" collapsed="false">
      <c r="A50" s="8" t="s">
        <v>71</v>
      </c>
    </row>
  </sheetData>
  <mergeCells count="11">
    <mergeCell ref="A5:D5"/>
    <mergeCell ref="A8:D8"/>
    <mergeCell ref="A9:D9"/>
    <mergeCell ref="A10:D10"/>
    <mergeCell ref="A11:D11"/>
    <mergeCell ref="A12:D12"/>
    <mergeCell ref="A15:D15"/>
    <mergeCell ref="A18:D18"/>
    <mergeCell ref="A19:D19"/>
    <mergeCell ref="A20:D20"/>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46"/>
    <col collapsed="false" customWidth="true" hidden="false" outlineLevel="0" max="4" min="4" style="0" width="13"/>
    <col collapsed="false" customWidth="true" hidden="false" outlineLevel="0" max="5" min="5" style="0" width="22"/>
    <col collapsed="false" customWidth="true" hidden="false" outlineLevel="0" max="6" min="6" style="0" width="16"/>
    <col collapsed="false" customWidth="true" hidden="false" outlineLevel="0" max="7" min="7" style="0" width="34"/>
    <col collapsed="false" customWidth="true" hidden="false" outlineLevel="0" max="8" min="8" style="0" width="12"/>
    <col collapsed="false" customWidth="true" hidden="false" outlineLevel="0" max="9" min="9" style="0" width="32"/>
  </cols>
  <sheetData>
    <row r="1" customFormat="false" ht="17.35" hidden="false" customHeight="false" outlineLevel="0" collapsed="false">
      <c r="A1" s="9" t="s">
        <v>72</v>
      </c>
    </row>
    <row r="2" customFormat="false" ht="15" hidden="false" customHeight="false" outlineLevel="0" collapsed="false">
      <c r="A2" s="10" t="s">
        <v>73</v>
      </c>
    </row>
    <row r="4" customFormat="false" ht="31.5" hidden="false" customHeight="true" outlineLevel="0" collapsed="false">
      <c r="A4" s="11" t="s">
        <v>25</v>
      </c>
      <c r="B4" s="11" t="s">
        <v>29</v>
      </c>
      <c r="C4" s="11" t="s">
        <v>32</v>
      </c>
      <c r="D4" s="11" t="s">
        <v>35</v>
      </c>
      <c r="E4" s="11" t="s">
        <v>37</v>
      </c>
      <c r="F4" s="11" t="s">
        <v>40</v>
      </c>
      <c r="G4" s="11" t="s">
        <v>43</v>
      </c>
      <c r="H4" s="11" t="s">
        <v>45</v>
      </c>
      <c r="I4" s="12" t="s">
        <v>48</v>
      </c>
    </row>
    <row r="5" customFormat="false" ht="23.85" hidden="false" customHeight="false" outlineLevel="0" collapsed="false">
      <c r="A5" s="13" t="s">
        <v>74</v>
      </c>
      <c r="B5" s="13" t="s">
        <v>75</v>
      </c>
      <c r="C5" s="13" t="s">
        <v>76</v>
      </c>
      <c r="D5" s="13" t="s">
        <v>77</v>
      </c>
      <c r="E5" s="13" t="s">
        <v>78</v>
      </c>
      <c r="F5" s="13"/>
      <c r="G5" s="13"/>
      <c r="H5" s="14"/>
      <c r="I5" s="15" t="str">
        <f aca="false">IF(A5="","",IF(OR(B5="",C5="",D5="",E5=""),"Category, item, status, source needed",IF(AND(D5&lt;&gt;"Known",OR(F5="",G5="")),"Owner and next step needed","OK")))</f>
        <v>OK</v>
      </c>
    </row>
    <row r="6" customFormat="false" ht="15" hidden="false" customHeight="false" outlineLevel="0" collapsed="false">
      <c r="A6" s="13" t="s">
        <v>79</v>
      </c>
      <c r="B6" s="13" t="s">
        <v>75</v>
      </c>
      <c r="C6" s="13" t="s">
        <v>80</v>
      </c>
      <c r="D6" s="13" t="s">
        <v>81</v>
      </c>
      <c r="E6" s="13" t="s">
        <v>82</v>
      </c>
      <c r="F6" s="13" t="s">
        <v>83</v>
      </c>
      <c r="G6" s="13" t="s">
        <v>84</v>
      </c>
      <c r="H6" s="14" t="n">
        <v>46304</v>
      </c>
      <c r="I6" s="15" t="str">
        <f aca="false">IF(A6="","",IF(OR(B6="",C6="",D6="",E6=""),"Category, item, status, source needed",IF(AND(D6&lt;&gt;"Known",OR(F6="",G6="")),"Owner and next step needed","OK")))</f>
        <v>OK</v>
      </c>
    </row>
    <row r="7" customFormat="false" ht="23.85" hidden="false" customHeight="false" outlineLevel="0" collapsed="false">
      <c r="A7" s="13" t="s">
        <v>85</v>
      </c>
      <c r="B7" s="13" t="s">
        <v>40</v>
      </c>
      <c r="C7" s="13" t="s">
        <v>86</v>
      </c>
      <c r="D7" s="13" t="s">
        <v>87</v>
      </c>
      <c r="E7" s="13" t="s">
        <v>88</v>
      </c>
      <c r="F7" s="13" t="s">
        <v>89</v>
      </c>
      <c r="G7" s="13" t="s">
        <v>90</v>
      </c>
      <c r="H7" s="14" t="n">
        <v>46304</v>
      </c>
      <c r="I7" s="15" t="str">
        <f aca="false">IF(A7="","",IF(OR(B7="",C7="",D7="",E7=""),"Category, item, status, source needed",IF(AND(D7&lt;&gt;"Known",OR(F7="",G7="")),"Owner and next step needed","OK")))</f>
        <v>OK</v>
      </c>
    </row>
    <row r="8" customFormat="false" ht="15" hidden="false" customHeight="false" outlineLevel="0" collapsed="false">
      <c r="A8" s="16"/>
      <c r="B8" s="16"/>
      <c r="C8" s="16"/>
      <c r="D8" s="16"/>
      <c r="E8" s="16"/>
      <c r="F8" s="16"/>
      <c r="G8" s="16"/>
      <c r="H8" s="17"/>
      <c r="I8" s="18" t="str">
        <f aca="false">IF(A8="","",IF(OR(B8="",C8="",D8="",E8=""),"Category, item, status, source needed",IF(AND(D8&lt;&gt;"Known",OR(F8="",G8="")),"Owner and next step needed","OK")))</f>
        <v/>
      </c>
    </row>
    <row r="9" customFormat="false" ht="15" hidden="false" customHeight="false" outlineLevel="0" collapsed="false">
      <c r="A9" s="16"/>
      <c r="B9" s="16"/>
      <c r="C9" s="16"/>
      <c r="D9" s="16"/>
      <c r="E9" s="16"/>
      <c r="F9" s="16"/>
      <c r="G9" s="16"/>
      <c r="H9" s="17"/>
      <c r="I9" s="18" t="str">
        <f aca="false">IF(A9="","",IF(OR(B9="",C9="",D9="",E9=""),"Category, item, status, source needed",IF(AND(D9&lt;&gt;"Known",OR(F9="",G9="")),"Owner and next step needed","OK")))</f>
        <v/>
      </c>
    </row>
    <row r="10" customFormat="false" ht="15" hidden="false" customHeight="false" outlineLevel="0" collapsed="false">
      <c r="A10" s="16"/>
      <c r="B10" s="16"/>
      <c r="C10" s="16"/>
      <c r="D10" s="16"/>
      <c r="E10" s="16"/>
      <c r="F10" s="16"/>
      <c r="G10" s="16"/>
      <c r="H10" s="17"/>
      <c r="I10" s="18" t="str">
        <f aca="false">IF(A10="","",IF(OR(B10="",C10="",D10="",E10=""),"Category, item, status, source needed",IF(AND(D10&lt;&gt;"Known",OR(F10="",G10="")),"Owner and next step needed","OK")))</f>
        <v/>
      </c>
    </row>
    <row r="11" customFormat="false" ht="15" hidden="false" customHeight="false" outlineLevel="0" collapsed="false">
      <c r="A11" s="16"/>
      <c r="B11" s="16"/>
      <c r="C11" s="16"/>
      <c r="D11" s="16"/>
      <c r="E11" s="16"/>
      <c r="F11" s="16"/>
      <c r="G11" s="16"/>
      <c r="H11" s="17"/>
      <c r="I11" s="18" t="str">
        <f aca="false">IF(A11="","",IF(OR(B11="",C11="",D11="",E11=""),"Category, item, status, source needed",IF(AND(D11&lt;&gt;"Known",OR(F11="",G11="")),"Owner and next step needed","OK")))</f>
        <v/>
      </c>
    </row>
    <row r="12" customFormat="false" ht="15" hidden="false" customHeight="false" outlineLevel="0" collapsed="false">
      <c r="A12" s="16"/>
      <c r="B12" s="16"/>
      <c r="C12" s="16"/>
      <c r="D12" s="16"/>
      <c r="E12" s="16"/>
      <c r="F12" s="16"/>
      <c r="G12" s="16"/>
      <c r="H12" s="17"/>
      <c r="I12" s="18" t="str">
        <f aca="false">IF(A12="","",IF(OR(B12="",C12="",D12="",E12=""),"Category, item, status, source needed",IF(AND(D12&lt;&gt;"Known",OR(F12="",G12="")),"Owner and next step needed","OK")))</f>
        <v/>
      </c>
    </row>
    <row r="13" customFormat="false" ht="15" hidden="false" customHeight="false" outlineLevel="0" collapsed="false">
      <c r="A13" s="16"/>
      <c r="B13" s="16"/>
      <c r="C13" s="16"/>
      <c r="D13" s="16"/>
      <c r="E13" s="16"/>
      <c r="F13" s="16"/>
      <c r="G13" s="16"/>
      <c r="H13" s="17"/>
      <c r="I13" s="18" t="str">
        <f aca="false">IF(A13="","",IF(OR(B13="",C13="",D13="",E13=""),"Category, item, status, source needed",IF(AND(D13&lt;&gt;"Known",OR(F13="",G13="")),"Owner and next step needed","OK")))</f>
        <v/>
      </c>
    </row>
    <row r="14" customFormat="false" ht="15" hidden="false" customHeight="false" outlineLevel="0" collapsed="false">
      <c r="A14" s="16"/>
      <c r="B14" s="16"/>
      <c r="C14" s="16"/>
      <c r="D14" s="16"/>
      <c r="E14" s="16"/>
      <c r="F14" s="16"/>
      <c r="G14" s="16"/>
      <c r="H14" s="17"/>
      <c r="I14" s="18" t="str">
        <f aca="false">IF(A14="","",IF(OR(B14="",C14="",D14="",E14=""),"Category, item, status, source needed",IF(AND(D14&lt;&gt;"Known",OR(F14="",G14="")),"Owner and next step needed","OK")))</f>
        <v/>
      </c>
    </row>
    <row r="15" customFormat="false" ht="15" hidden="false" customHeight="false" outlineLevel="0" collapsed="false">
      <c r="A15" s="16"/>
      <c r="B15" s="16"/>
      <c r="C15" s="16"/>
      <c r="D15" s="16"/>
      <c r="E15" s="16"/>
      <c r="F15" s="16"/>
      <c r="G15" s="16"/>
      <c r="H15" s="17"/>
      <c r="I15" s="18" t="str">
        <f aca="false">IF(A15="","",IF(OR(B15="",C15="",D15="",E15=""),"Category, item, status, source needed",IF(AND(D15&lt;&gt;"Known",OR(F15="",G15="")),"Owner and next step needed","OK")))</f>
        <v/>
      </c>
    </row>
    <row r="16" customFormat="false" ht="15" hidden="false" customHeight="false" outlineLevel="0" collapsed="false">
      <c r="A16" s="16"/>
      <c r="B16" s="16"/>
      <c r="C16" s="16"/>
      <c r="D16" s="16"/>
      <c r="E16" s="16"/>
      <c r="F16" s="16"/>
      <c r="G16" s="16"/>
      <c r="H16" s="17"/>
      <c r="I16" s="18" t="str">
        <f aca="false">IF(A16="","",IF(OR(B16="",C16="",D16="",E16=""),"Category, item, status, source needed",IF(AND(D16&lt;&gt;"Known",OR(F16="",G16="")),"Owner and next step needed","OK")))</f>
        <v/>
      </c>
    </row>
    <row r="17" customFormat="false" ht="15" hidden="false" customHeight="false" outlineLevel="0" collapsed="false">
      <c r="A17" s="16"/>
      <c r="B17" s="16"/>
      <c r="C17" s="16"/>
      <c r="D17" s="16"/>
      <c r="E17" s="16"/>
      <c r="F17" s="16"/>
      <c r="G17" s="16"/>
      <c r="H17" s="17"/>
      <c r="I17" s="18" t="str">
        <f aca="false">IF(A17="","",IF(OR(B17="",C17="",D17="",E17=""),"Category, item, status, source needed",IF(AND(D17&lt;&gt;"Known",OR(F17="",G17="")),"Owner and next step needed","OK")))</f>
        <v/>
      </c>
    </row>
    <row r="18" customFormat="false" ht="15" hidden="false" customHeight="false" outlineLevel="0" collapsed="false">
      <c r="A18" s="16"/>
      <c r="B18" s="16"/>
      <c r="C18" s="16"/>
      <c r="D18" s="16"/>
      <c r="E18" s="16"/>
      <c r="F18" s="16"/>
      <c r="G18" s="16"/>
      <c r="H18" s="17"/>
      <c r="I18" s="18" t="str">
        <f aca="false">IF(A18="","",IF(OR(B18="",C18="",D18="",E18=""),"Category, item, status, source needed",IF(AND(D18&lt;&gt;"Known",OR(F18="",G18="")),"Owner and next step needed","OK")))</f>
        <v/>
      </c>
    </row>
    <row r="19" customFormat="false" ht="15" hidden="false" customHeight="false" outlineLevel="0" collapsed="false">
      <c r="A19" s="16"/>
      <c r="B19" s="16"/>
      <c r="C19" s="16"/>
      <c r="D19" s="16"/>
      <c r="E19" s="16"/>
      <c r="F19" s="16"/>
      <c r="G19" s="16"/>
      <c r="H19" s="17"/>
      <c r="I19" s="18" t="str">
        <f aca="false">IF(A19="","",IF(OR(B19="",C19="",D19="",E19=""),"Category, item, status, source needed",IF(AND(D19&lt;&gt;"Known",OR(F19="",G19="")),"Owner and next step needed","OK")))</f>
        <v/>
      </c>
    </row>
    <row r="20" customFormat="false" ht="15" hidden="false" customHeight="false" outlineLevel="0" collapsed="false">
      <c r="A20" s="16"/>
      <c r="B20" s="16"/>
      <c r="C20" s="16"/>
      <c r="D20" s="16"/>
      <c r="E20" s="16"/>
      <c r="F20" s="16"/>
      <c r="G20" s="16"/>
      <c r="H20" s="17"/>
      <c r="I20" s="18" t="str">
        <f aca="false">IF(A20="","",IF(OR(B20="",C20="",D20="",E20=""),"Category, item, status, source needed",IF(AND(D20&lt;&gt;"Known",OR(F20="",G20="")),"Owner and next step needed","OK")))</f>
        <v/>
      </c>
    </row>
    <row r="21" customFormat="false" ht="15" hidden="false" customHeight="false" outlineLevel="0" collapsed="false">
      <c r="A21" s="16"/>
      <c r="B21" s="16"/>
      <c r="C21" s="16"/>
      <c r="D21" s="16"/>
      <c r="E21" s="16"/>
      <c r="F21" s="16"/>
      <c r="G21" s="16"/>
      <c r="H21" s="17"/>
      <c r="I21" s="18" t="str">
        <f aca="false">IF(A21="","",IF(OR(B21="",C21="",D21="",E21=""),"Category, item, status, source needed",IF(AND(D21&lt;&gt;"Known",OR(F21="",G21="")),"Owner and next step needed","OK")))</f>
        <v/>
      </c>
    </row>
    <row r="22" customFormat="false" ht="15" hidden="false" customHeight="false" outlineLevel="0" collapsed="false">
      <c r="A22" s="16"/>
      <c r="B22" s="16"/>
      <c r="C22" s="16"/>
      <c r="D22" s="16"/>
      <c r="E22" s="16"/>
      <c r="F22" s="16"/>
      <c r="G22" s="16"/>
      <c r="H22" s="17"/>
      <c r="I22" s="18" t="str">
        <f aca="false">IF(A22="","",IF(OR(B22="",C22="",D22="",E22=""),"Category, item, status, source needed",IF(AND(D22&lt;&gt;"Known",OR(F22="",G22="")),"Owner and next step needed","OK")))</f>
        <v/>
      </c>
    </row>
    <row r="23" customFormat="false" ht="15" hidden="false" customHeight="false" outlineLevel="0" collapsed="false">
      <c r="A23" s="16"/>
      <c r="B23" s="16"/>
      <c r="C23" s="16"/>
      <c r="D23" s="16"/>
      <c r="E23" s="16"/>
      <c r="F23" s="16"/>
      <c r="G23" s="16"/>
      <c r="H23" s="17"/>
      <c r="I23" s="18" t="str">
        <f aca="false">IF(A23="","",IF(OR(B23="",C23="",D23="",E23=""),"Category, item, status, source needed",IF(AND(D23&lt;&gt;"Known",OR(F23="",G23="")),"Owner and next step needed","OK")))</f>
        <v/>
      </c>
    </row>
    <row r="24" customFormat="false" ht="15" hidden="false" customHeight="false" outlineLevel="0" collapsed="false">
      <c r="A24" s="16"/>
      <c r="B24" s="16"/>
      <c r="C24" s="16"/>
      <c r="D24" s="16"/>
      <c r="E24" s="16"/>
      <c r="F24" s="16"/>
      <c r="G24" s="16"/>
      <c r="H24" s="17"/>
      <c r="I24" s="18" t="str">
        <f aca="false">IF(A24="","",IF(OR(B24="",C24="",D24="",E24=""),"Category, item, status, source needed",IF(AND(D24&lt;&gt;"Known",OR(F24="",G24="")),"Owner and next step needed","OK")))</f>
        <v/>
      </c>
    </row>
    <row r="25" customFormat="false" ht="15" hidden="false" customHeight="false" outlineLevel="0" collapsed="false">
      <c r="A25" s="16"/>
      <c r="B25" s="16"/>
      <c r="C25" s="16"/>
      <c r="D25" s="16"/>
      <c r="E25" s="16"/>
      <c r="F25" s="16"/>
      <c r="G25" s="16"/>
      <c r="H25" s="17"/>
      <c r="I25" s="18" t="str">
        <f aca="false">IF(A25="","",IF(OR(B25="",C25="",D25="",E25=""),"Category, item, status, source needed",IF(AND(D25&lt;&gt;"Known",OR(F25="",G25="")),"Owner and next step needed","OK")))</f>
        <v/>
      </c>
    </row>
    <row r="26" customFormat="false" ht="15" hidden="false" customHeight="false" outlineLevel="0" collapsed="false">
      <c r="A26" s="16"/>
      <c r="B26" s="16"/>
      <c r="C26" s="16"/>
      <c r="D26" s="16"/>
      <c r="E26" s="16"/>
      <c r="F26" s="16"/>
      <c r="G26" s="16"/>
      <c r="H26" s="17"/>
      <c r="I26" s="18" t="str">
        <f aca="false">IF(A26="","",IF(OR(B26="",C26="",D26="",E26=""),"Category, item, status, source needed",IF(AND(D26&lt;&gt;"Known",OR(F26="",G26="")),"Owner and next step needed","OK")))</f>
        <v/>
      </c>
    </row>
    <row r="27" customFormat="false" ht="15" hidden="false" customHeight="false" outlineLevel="0" collapsed="false">
      <c r="A27" s="16"/>
      <c r="B27" s="16"/>
      <c r="C27" s="16"/>
      <c r="D27" s="16"/>
      <c r="E27" s="16"/>
      <c r="F27" s="16"/>
      <c r="G27" s="16"/>
      <c r="H27" s="17"/>
      <c r="I27" s="18" t="str">
        <f aca="false">IF(A27="","",IF(OR(B27="",C27="",D27="",E27=""),"Category, item, status, source needed",IF(AND(D27&lt;&gt;"Known",OR(F27="",G27="")),"Owner and next step needed","OK")))</f>
        <v/>
      </c>
    </row>
    <row r="28" customFormat="false" ht="15" hidden="false" customHeight="false" outlineLevel="0" collapsed="false">
      <c r="A28" s="16"/>
      <c r="B28" s="16"/>
      <c r="C28" s="16"/>
      <c r="D28" s="16"/>
      <c r="E28" s="16"/>
      <c r="F28" s="16"/>
      <c r="G28" s="16"/>
      <c r="H28" s="17"/>
      <c r="I28" s="18" t="str">
        <f aca="false">IF(A28="","",IF(OR(B28="",C28="",D28="",E28=""),"Category, item, status, source needed",IF(AND(D28&lt;&gt;"Known",OR(F28="",G28="")),"Owner and next step needed","OK")))</f>
        <v/>
      </c>
    </row>
    <row r="29" customFormat="false" ht="15" hidden="false" customHeight="false" outlineLevel="0" collapsed="false">
      <c r="A29" s="16"/>
      <c r="B29" s="16"/>
      <c r="C29" s="16"/>
      <c r="D29" s="16"/>
      <c r="E29" s="16"/>
      <c r="F29" s="16"/>
      <c r="G29" s="16"/>
      <c r="H29" s="17"/>
      <c r="I29" s="18" t="str">
        <f aca="false">IF(A29="","",IF(OR(B29="",C29="",D29="",E29=""),"Category, item, status, source needed",IF(AND(D29&lt;&gt;"Known",OR(F29="",G29="")),"Owner and next step needed","OK")))</f>
        <v/>
      </c>
    </row>
    <row r="30" customFormat="false" ht="15" hidden="false" customHeight="false" outlineLevel="0" collapsed="false">
      <c r="A30" s="16"/>
      <c r="B30" s="16"/>
      <c r="C30" s="16"/>
      <c r="D30" s="16"/>
      <c r="E30" s="16"/>
      <c r="F30" s="16"/>
      <c r="G30" s="16"/>
      <c r="H30" s="17"/>
      <c r="I30" s="18" t="str">
        <f aca="false">IF(A30="","",IF(OR(B30="",C30="",D30="",E30=""),"Category, item, status, source needed",IF(AND(D30&lt;&gt;"Known",OR(F30="",G30="")),"Owner and next step needed","OK")))</f>
        <v/>
      </c>
    </row>
    <row r="31" customFormat="false" ht="15" hidden="false" customHeight="false" outlineLevel="0" collapsed="false">
      <c r="A31" s="16"/>
      <c r="B31" s="16"/>
      <c r="C31" s="16"/>
      <c r="D31" s="16"/>
      <c r="E31" s="16"/>
      <c r="F31" s="16"/>
      <c r="G31" s="16"/>
      <c r="H31" s="17"/>
      <c r="I31" s="18" t="str">
        <f aca="false">IF(A31="","",IF(OR(B31="",C31="",D31="",E31=""),"Category, item, status, source needed",IF(AND(D31&lt;&gt;"Known",OR(F31="",G31="")),"Owner and next step needed","OK")))</f>
        <v/>
      </c>
    </row>
    <row r="32" customFormat="false" ht="15" hidden="false" customHeight="false" outlineLevel="0" collapsed="false">
      <c r="A32" s="16"/>
      <c r="B32" s="16"/>
      <c r="C32" s="16"/>
      <c r="D32" s="16"/>
      <c r="E32" s="16"/>
      <c r="F32" s="16"/>
      <c r="G32" s="16"/>
      <c r="H32" s="17"/>
      <c r="I32" s="18" t="str">
        <f aca="false">IF(A32="","",IF(OR(B32="",C32="",D32="",E32=""),"Category, item, status, source needed",IF(AND(D32&lt;&gt;"Known",OR(F32="",G32="")),"Owner and next step needed","OK")))</f>
        <v/>
      </c>
    </row>
    <row r="33" customFormat="false" ht="15" hidden="false" customHeight="false" outlineLevel="0" collapsed="false">
      <c r="A33" s="16"/>
      <c r="B33" s="16"/>
      <c r="C33" s="16"/>
      <c r="D33" s="16"/>
      <c r="E33" s="16"/>
      <c r="F33" s="16"/>
      <c r="G33" s="16"/>
      <c r="H33" s="17"/>
      <c r="I33" s="18" t="str">
        <f aca="false">IF(A33="","",IF(OR(B33="",C33="",D33="",E33=""),"Category, item, status, source needed",IF(AND(D33&lt;&gt;"Known",OR(F33="",G33="")),"Owner and next step needed","OK")))</f>
        <v/>
      </c>
    </row>
    <row r="34" customFormat="false" ht="15" hidden="false" customHeight="false" outlineLevel="0" collapsed="false">
      <c r="A34" s="16"/>
      <c r="B34" s="16"/>
      <c r="C34" s="16"/>
      <c r="D34" s="16"/>
      <c r="E34" s="16"/>
      <c r="F34" s="16"/>
      <c r="G34" s="16"/>
      <c r="H34" s="17"/>
      <c r="I34" s="18" t="str">
        <f aca="false">IF(A34="","",IF(OR(B34="",C34="",D34="",E34=""),"Category, item, status, source needed",IF(AND(D34&lt;&gt;"Known",OR(F34="",G34="")),"Owner and next step needed","OK")))</f>
        <v/>
      </c>
    </row>
    <row r="35" customFormat="false" ht="15" hidden="false" customHeight="false" outlineLevel="0" collapsed="false">
      <c r="A35" s="16"/>
      <c r="B35" s="16"/>
      <c r="C35" s="16"/>
      <c r="D35" s="16"/>
      <c r="E35" s="16"/>
      <c r="F35" s="16"/>
      <c r="G35" s="16"/>
      <c r="H35" s="17"/>
      <c r="I35" s="18" t="str">
        <f aca="false">IF(A35="","",IF(OR(B35="",C35="",D35="",E35=""),"Category, item, status, source needed",IF(AND(D35&lt;&gt;"Known",OR(F35="",G35="")),"Owner and next step needed","OK")))</f>
        <v/>
      </c>
    </row>
    <row r="36" customFormat="false" ht="15" hidden="false" customHeight="false" outlineLevel="0" collapsed="false">
      <c r="A36" s="16"/>
      <c r="B36" s="16"/>
      <c r="C36" s="16"/>
      <c r="D36" s="16"/>
      <c r="E36" s="16"/>
      <c r="F36" s="16"/>
      <c r="G36" s="16"/>
      <c r="H36" s="17"/>
      <c r="I36" s="18" t="str">
        <f aca="false">IF(A36="","",IF(OR(B36="",C36="",D36="",E36=""),"Category, item, status, source needed",IF(AND(D36&lt;&gt;"Known",OR(F36="",G36="")),"Owner and next step needed","OK")))</f>
        <v/>
      </c>
    </row>
    <row r="37" customFormat="false" ht="15" hidden="false" customHeight="false" outlineLevel="0" collapsed="false">
      <c r="A37" s="16"/>
      <c r="B37" s="16"/>
      <c r="C37" s="16"/>
      <c r="D37" s="16"/>
      <c r="E37" s="16"/>
      <c r="F37" s="16"/>
      <c r="G37" s="16"/>
      <c r="H37" s="17"/>
      <c r="I37" s="18" t="str">
        <f aca="false">IF(A37="","",IF(OR(B37="",C37="",D37="",E37=""),"Category, item, status, source needed",IF(AND(D37&lt;&gt;"Known",OR(F37="",G37="")),"Owner and next step needed","OK")))</f>
        <v/>
      </c>
    </row>
    <row r="38" customFormat="false" ht="15" hidden="false" customHeight="false" outlineLevel="0" collapsed="false">
      <c r="A38" s="16"/>
      <c r="B38" s="16"/>
      <c r="C38" s="16"/>
      <c r="D38" s="16"/>
      <c r="E38" s="16"/>
      <c r="F38" s="16"/>
      <c r="G38" s="16"/>
      <c r="H38" s="17"/>
      <c r="I38" s="18" t="str">
        <f aca="false">IF(A38="","",IF(OR(B38="",C38="",D38="",E38=""),"Category, item, status, source needed",IF(AND(D38&lt;&gt;"Known",OR(F38="",G38="")),"Owner and next step needed","OK")))</f>
        <v/>
      </c>
    </row>
    <row r="39" customFormat="false" ht="15" hidden="false" customHeight="false" outlineLevel="0" collapsed="false">
      <c r="A39" s="16"/>
      <c r="B39" s="16"/>
      <c r="C39" s="16"/>
      <c r="D39" s="16"/>
      <c r="E39" s="16"/>
      <c r="F39" s="16"/>
      <c r="G39" s="16"/>
      <c r="H39" s="17"/>
      <c r="I39" s="18" t="str">
        <f aca="false">IF(A39="","",IF(OR(B39="",C39="",D39="",E39=""),"Category, item, status, source needed",IF(AND(D39&lt;&gt;"Known",OR(F39="",G39="")),"Owner and next step needed","OK")))</f>
        <v/>
      </c>
    </row>
    <row r="40" customFormat="false" ht="15" hidden="false" customHeight="false" outlineLevel="0" collapsed="false">
      <c r="A40" s="16"/>
      <c r="B40" s="16"/>
      <c r="C40" s="16"/>
      <c r="D40" s="16"/>
      <c r="E40" s="16"/>
      <c r="F40" s="16"/>
      <c r="G40" s="16"/>
      <c r="H40" s="17"/>
      <c r="I40" s="18" t="str">
        <f aca="false">IF(A40="","",IF(OR(B40="",C40="",D40="",E40=""),"Category, item, status, source needed",IF(AND(D40&lt;&gt;"Known",OR(F40="",G40="")),"Owner and next step needed","OK")))</f>
        <v/>
      </c>
    </row>
    <row r="41" customFormat="false" ht="15" hidden="false" customHeight="false" outlineLevel="0" collapsed="false">
      <c r="A41" s="16"/>
      <c r="B41" s="16"/>
      <c r="C41" s="16"/>
      <c r="D41" s="16"/>
      <c r="E41" s="16"/>
      <c r="F41" s="16"/>
      <c r="G41" s="16"/>
      <c r="H41" s="17"/>
      <c r="I41" s="18" t="str">
        <f aca="false">IF(A41="","",IF(OR(B41="",C41="",D41="",E41=""),"Category, item, status, source needed",IF(AND(D41&lt;&gt;"Known",OR(F41="",G41="")),"Owner and next step needed","OK")))</f>
        <v/>
      </c>
    </row>
    <row r="42" customFormat="false" ht="15" hidden="false" customHeight="false" outlineLevel="0" collapsed="false">
      <c r="A42" s="16"/>
      <c r="B42" s="16"/>
      <c r="C42" s="16"/>
      <c r="D42" s="16"/>
      <c r="E42" s="16"/>
      <c r="F42" s="16"/>
      <c r="G42" s="16"/>
      <c r="H42" s="17"/>
      <c r="I42" s="18" t="str">
        <f aca="false">IF(A42="","",IF(OR(B42="",C42="",D42="",E42=""),"Category, item, status, source needed",IF(AND(D42&lt;&gt;"Known",OR(F42="",G42="")),"Owner and next step needed","OK")))</f>
        <v/>
      </c>
    </row>
    <row r="43" customFormat="false" ht="15" hidden="false" customHeight="false" outlineLevel="0" collapsed="false">
      <c r="A43" s="16"/>
      <c r="B43" s="16"/>
      <c r="C43" s="16"/>
      <c r="D43" s="16"/>
      <c r="E43" s="16"/>
      <c r="F43" s="16"/>
      <c r="G43" s="16"/>
      <c r="H43" s="17"/>
      <c r="I43" s="18" t="str">
        <f aca="false">IF(A43="","",IF(OR(B43="",C43="",D43="",E43=""),"Category, item, status, source needed",IF(AND(D43&lt;&gt;"Known",OR(F43="",G43="")),"Owner and next step needed","OK")))</f>
        <v/>
      </c>
    </row>
    <row r="44" customFormat="false" ht="15" hidden="false" customHeight="false" outlineLevel="0" collapsed="false">
      <c r="A44" s="16"/>
      <c r="B44" s="16"/>
      <c r="C44" s="16"/>
      <c r="D44" s="16"/>
      <c r="E44" s="16"/>
      <c r="F44" s="16"/>
      <c r="G44" s="16"/>
      <c r="H44" s="17"/>
      <c r="I44" s="18" t="str">
        <f aca="false">IF(A44="","",IF(OR(B44="",C44="",D44="",E44=""),"Category, item, status, source needed",IF(AND(D44&lt;&gt;"Known",OR(F44="",G44="")),"Owner and next step needed","OK")))</f>
        <v/>
      </c>
    </row>
    <row r="45" customFormat="false" ht="15" hidden="false" customHeight="false" outlineLevel="0" collapsed="false">
      <c r="A45" s="16"/>
      <c r="B45" s="16"/>
      <c r="C45" s="16"/>
      <c r="D45" s="16"/>
      <c r="E45" s="16"/>
      <c r="F45" s="16"/>
      <c r="G45" s="16"/>
      <c r="H45" s="17"/>
      <c r="I45" s="18" t="str">
        <f aca="false">IF(A45="","",IF(OR(B45="",C45="",D45="",E45=""),"Category, item, status, source needed",IF(AND(D45&lt;&gt;"Known",OR(F45="",G45="")),"Owner and next step needed","OK")))</f>
        <v/>
      </c>
    </row>
    <row r="46" customFormat="false" ht="15" hidden="false" customHeight="false" outlineLevel="0" collapsed="false">
      <c r="A46" s="16"/>
      <c r="B46" s="16"/>
      <c r="C46" s="16"/>
      <c r="D46" s="16"/>
      <c r="E46" s="16"/>
      <c r="F46" s="16"/>
      <c r="G46" s="16"/>
      <c r="H46" s="17"/>
      <c r="I46" s="18" t="str">
        <f aca="false">IF(A46="","",IF(OR(B46="",C46="",D46="",E46=""),"Category, item, status, source needed",IF(AND(D46&lt;&gt;"Known",OR(F46="",G46="")),"Owner and next step needed","OK")))</f>
        <v/>
      </c>
    </row>
    <row r="47" customFormat="false" ht="15" hidden="false" customHeight="false" outlineLevel="0" collapsed="false">
      <c r="A47" s="16"/>
      <c r="B47" s="16"/>
      <c r="C47" s="16"/>
      <c r="D47" s="16"/>
      <c r="E47" s="16"/>
      <c r="F47" s="16"/>
      <c r="G47" s="16"/>
      <c r="H47" s="17"/>
      <c r="I47" s="18" t="str">
        <f aca="false">IF(A47="","",IF(OR(B47="",C47="",D47="",E47=""),"Category, item, status, source needed",IF(AND(D47&lt;&gt;"Known",OR(F47="",G47="")),"Owner and next step needed","OK")))</f>
        <v/>
      </c>
    </row>
    <row r="48" customFormat="false" ht="15" hidden="false" customHeight="false" outlineLevel="0" collapsed="false">
      <c r="A48" s="16"/>
      <c r="B48" s="16"/>
      <c r="C48" s="16"/>
      <c r="D48" s="16"/>
      <c r="E48" s="16"/>
      <c r="F48" s="16"/>
      <c r="G48" s="16"/>
      <c r="H48" s="17"/>
      <c r="I48" s="18" t="str">
        <f aca="false">IF(A48="","",IF(OR(B48="",C48="",D48="",E48=""),"Category, item, status, source needed",IF(AND(D48&lt;&gt;"Known",OR(F48="",G48="")),"Owner and next step needed","OK")))</f>
        <v/>
      </c>
    </row>
    <row r="49" customFormat="false" ht="15" hidden="false" customHeight="false" outlineLevel="0" collapsed="false">
      <c r="A49" s="16"/>
      <c r="B49" s="16"/>
      <c r="C49" s="16"/>
      <c r="D49" s="16"/>
      <c r="E49" s="16"/>
      <c r="F49" s="16"/>
      <c r="G49" s="16"/>
      <c r="H49" s="17"/>
      <c r="I49" s="18" t="str">
        <f aca="false">IF(A49="","",IF(OR(B49="",C49="",D49="",E49=""),"Category, item, status, source needed",IF(AND(D49&lt;&gt;"Known",OR(F49="",G49="")),"Owner and next step needed","OK")))</f>
        <v/>
      </c>
    </row>
    <row r="50" customFormat="false" ht="15" hidden="false" customHeight="false" outlineLevel="0" collapsed="false">
      <c r="A50" s="16"/>
      <c r="B50" s="16"/>
      <c r="C50" s="16"/>
      <c r="D50" s="16"/>
      <c r="E50" s="16"/>
      <c r="F50" s="16"/>
      <c r="G50" s="16"/>
      <c r="H50" s="17"/>
      <c r="I50" s="18" t="str">
        <f aca="false">IF(A50="","",IF(OR(B50="",C50="",D50="",E50=""),"Category, item, status, source needed",IF(AND(D50&lt;&gt;"Known",OR(F50="",G50="")),"Owner and next step needed","OK")))</f>
        <v/>
      </c>
    </row>
    <row r="51" customFormat="false" ht="15" hidden="false" customHeight="false" outlineLevel="0" collapsed="false">
      <c r="A51" s="16"/>
      <c r="B51" s="16"/>
      <c r="C51" s="16"/>
      <c r="D51" s="16"/>
      <c r="E51" s="16"/>
      <c r="F51" s="16"/>
      <c r="G51" s="16"/>
      <c r="H51" s="17"/>
      <c r="I51" s="18" t="str">
        <f aca="false">IF(A51="","",IF(OR(B51="",C51="",D51="",E51=""),"Category, item, status, source needed",IF(AND(D51&lt;&gt;"Known",OR(F51="",G51="")),"Owner and next step needed","OK")))</f>
        <v/>
      </c>
    </row>
    <row r="52" customFormat="false" ht="15" hidden="false" customHeight="false" outlineLevel="0" collapsed="false">
      <c r="A52" s="16"/>
      <c r="B52" s="16"/>
      <c r="C52" s="16"/>
      <c r="D52" s="16"/>
      <c r="E52" s="16"/>
      <c r="F52" s="16"/>
      <c r="G52" s="16"/>
      <c r="H52" s="17"/>
      <c r="I52" s="18" t="str">
        <f aca="false">IF(A52="","",IF(OR(B52="",C52="",D52="",E52=""),"Category, item, status, source needed",IF(AND(D52&lt;&gt;"Known",OR(F52="",G52="")),"Owner and next step needed","OK")))</f>
        <v/>
      </c>
    </row>
    <row r="53" customFormat="false" ht="15" hidden="false" customHeight="false" outlineLevel="0" collapsed="false">
      <c r="A53" s="16"/>
      <c r="B53" s="16"/>
      <c r="C53" s="16"/>
      <c r="D53" s="16"/>
      <c r="E53" s="16"/>
      <c r="F53" s="16"/>
      <c r="G53" s="16"/>
      <c r="H53" s="17"/>
      <c r="I53" s="18" t="str">
        <f aca="false">IF(A53="","",IF(OR(B53="",C53="",D53="",E53=""),"Category, item, status, source needed",IF(AND(D53&lt;&gt;"Known",OR(F53="",G53="")),"Owner and next step needed","OK")))</f>
        <v/>
      </c>
    </row>
    <row r="54" customFormat="false" ht="15" hidden="false" customHeight="false" outlineLevel="0" collapsed="false">
      <c r="A54" s="16"/>
      <c r="B54" s="16"/>
      <c r="C54" s="16"/>
      <c r="D54" s="16"/>
      <c r="E54" s="16"/>
      <c r="F54" s="16"/>
      <c r="G54" s="16"/>
      <c r="H54" s="17"/>
      <c r="I54" s="18" t="str">
        <f aca="false">IF(A54="","",IF(OR(B54="",C54="",D54="",E54=""),"Category, item, status, source needed",IF(AND(D54&lt;&gt;"Known",OR(F54="",G54="")),"Owner and next step needed","OK")))</f>
        <v/>
      </c>
    </row>
    <row r="55" customFormat="false" ht="15" hidden="false" customHeight="false" outlineLevel="0" collapsed="false">
      <c r="A55" s="16"/>
      <c r="B55" s="16"/>
      <c r="C55" s="16"/>
      <c r="D55" s="16"/>
      <c r="E55" s="16"/>
      <c r="F55" s="16"/>
      <c r="G55" s="16"/>
      <c r="H55" s="17"/>
      <c r="I55" s="18" t="str">
        <f aca="false">IF(A55="","",IF(OR(B55="",C55="",D55="",E55=""),"Category, item, status, source needed",IF(AND(D55&lt;&gt;"Known",OR(F55="",G55="")),"Owner and next step needed","OK")))</f>
        <v/>
      </c>
    </row>
    <row r="56" customFormat="false" ht="15" hidden="false" customHeight="false" outlineLevel="0" collapsed="false">
      <c r="A56" s="16"/>
      <c r="B56" s="16"/>
      <c r="C56" s="16"/>
      <c r="D56" s="16"/>
      <c r="E56" s="16"/>
      <c r="F56" s="16"/>
      <c r="G56" s="16"/>
      <c r="H56" s="17"/>
      <c r="I56" s="18" t="str">
        <f aca="false">IF(A56="","",IF(OR(B56="",C56="",D56="",E56=""),"Category, item, status, source needed",IF(AND(D56&lt;&gt;"Known",OR(F56="",G56="")),"Owner and next step needed","OK")))</f>
        <v/>
      </c>
    </row>
    <row r="57" customFormat="false" ht="15" hidden="false" customHeight="false" outlineLevel="0" collapsed="false">
      <c r="A57" s="16"/>
      <c r="B57" s="16"/>
      <c r="C57" s="16"/>
      <c r="D57" s="16"/>
      <c r="E57" s="16"/>
      <c r="F57" s="16"/>
      <c r="G57" s="16"/>
      <c r="H57" s="17"/>
      <c r="I57" s="18" t="str">
        <f aca="false">IF(A57="","",IF(OR(B57="",C57="",D57="",E57=""),"Category, item, status, source needed",IF(AND(D57&lt;&gt;"Known",OR(F57="",G57="")),"Owner and next step needed","OK")))</f>
        <v/>
      </c>
    </row>
    <row r="58" customFormat="false" ht="15" hidden="false" customHeight="false" outlineLevel="0" collapsed="false">
      <c r="A58" s="16"/>
      <c r="B58" s="16"/>
      <c r="C58" s="16"/>
      <c r="D58" s="16"/>
      <c r="E58" s="16"/>
      <c r="F58" s="16"/>
      <c r="G58" s="16"/>
      <c r="H58" s="17"/>
      <c r="I58" s="18" t="str">
        <f aca="false">IF(A58="","",IF(OR(B58="",C58="",D58="",E58=""),"Category, item, status, source needed",IF(AND(D58&lt;&gt;"Known",OR(F58="",G58="")),"Owner and next step needed","OK")))</f>
        <v/>
      </c>
    </row>
    <row r="59" customFormat="false" ht="15" hidden="false" customHeight="false" outlineLevel="0" collapsed="false">
      <c r="A59" s="16"/>
      <c r="B59" s="16"/>
      <c r="C59" s="16"/>
      <c r="D59" s="16"/>
      <c r="E59" s="16"/>
      <c r="F59" s="16"/>
      <c r="G59" s="16"/>
      <c r="H59" s="17"/>
      <c r="I59" s="18" t="str">
        <f aca="false">IF(A59="","",IF(OR(B59="",C59="",D59="",E59=""),"Category, item, status, source needed",IF(AND(D59&lt;&gt;"Known",OR(F59="",G59="")),"Owner and next step needed","OK")))</f>
        <v/>
      </c>
    </row>
    <row r="60" customFormat="false" ht="15" hidden="false" customHeight="false" outlineLevel="0" collapsed="false">
      <c r="A60" s="16"/>
      <c r="B60" s="16"/>
      <c r="C60" s="16"/>
      <c r="D60" s="16"/>
      <c r="E60" s="16"/>
      <c r="F60" s="16"/>
      <c r="G60" s="16"/>
      <c r="H60" s="17"/>
      <c r="I60" s="18" t="str">
        <f aca="false">IF(A60="","",IF(OR(B60="",C60="",D60="",E60=""),"Category, item, status, source needed",IF(AND(D60&lt;&gt;"Known",OR(F60="",G60="")),"Owner and next step needed","OK")))</f>
        <v/>
      </c>
    </row>
    <row r="61" customFormat="false" ht="15" hidden="false" customHeight="false" outlineLevel="0" collapsed="false">
      <c r="A61" s="16"/>
      <c r="B61" s="16"/>
      <c r="C61" s="16"/>
      <c r="D61" s="16"/>
      <c r="E61" s="16"/>
      <c r="F61" s="16"/>
      <c r="G61" s="16"/>
      <c r="H61" s="17"/>
      <c r="I61" s="18" t="str">
        <f aca="false">IF(A61="","",IF(OR(B61="",C61="",D61="",E61=""),"Category, item, status, source needed",IF(AND(D61&lt;&gt;"Known",OR(F61="",G61="")),"Owner and next step needed","OK")))</f>
        <v/>
      </c>
    </row>
    <row r="62" customFormat="false" ht="15" hidden="false" customHeight="false" outlineLevel="0" collapsed="false">
      <c r="A62" s="16"/>
      <c r="B62" s="16"/>
      <c r="C62" s="16"/>
      <c r="D62" s="16"/>
      <c r="E62" s="16"/>
      <c r="F62" s="16"/>
      <c r="G62" s="16"/>
      <c r="H62" s="17"/>
      <c r="I62" s="18" t="str">
        <f aca="false">IF(A62="","",IF(OR(B62="",C62="",D62="",E62=""),"Category, item, status, source needed",IF(AND(D62&lt;&gt;"Known",OR(F62="",G62="")),"Owner and next step needed","OK")))</f>
        <v/>
      </c>
    </row>
    <row r="63" customFormat="false" ht="15" hidden="false" customHeight="false" outlineLevel="0" collapsed="false">
      <c r="A63" s="16"/>
      <c r="B63" s="16"/>
      <c r="C63" s="16"/>
      <c r="D63" s="16"/>
      <c r="E63" s="16"/>
      <c r="F63" s="16"/>
      <c r="G63" s="16"/>
      <c r="H63" s="17"/>
      <c r="I63" s="18" t="str">
        <f aca="false">IF(A63="","",IF(OR(B63="",C63="",D63="",E63=""),"Category, item, status, source needed",IF(AND(D63&lt;&gt;"Known",OR(F63="",G63="")),"Owner and next step needed","OK")))</f>
        <v/>
      </c>
    </row>
    <row r="64" customFormat="false" ht="15" hidden="false" customHeight="false" outlineLevel="0" collapsed="false">
      <c r="A64" s="16"/>
      <c r="B64" s="16"/>
      <c r="C64" s="16"/>
      <c r="D64" s="16"/>
      <c r="E64" s="16"/>
      <c r="F64" s="16"/>
      <c r="G64" s="16"/>
      <c r="H64" s="17"/>
      <c r="I64" s="18" t="str">
        <f aca="false">IF(A64="","",IF(OR(B64="",C64="",D64="",E64=""),"Category, item, status, source needed",IF(AND(D64&lt;&gt;"Known",OR(F64="",G64="")),"Owner and next step needed","OK")))</f>
        <v/>
      </c>
    </row>
    <row r="65" customFormat="false" ht="15" hidden="false" customHeight="false" outlineLevel="0" collapsed="false">
      <c r="A65" s="16"/>
      <c r="B65" s="16"/>
      <c r="C65" s="16"/>
      <c r="D65" s="16"/>
      <c r="E65" s="16"/>
      <c r="F65" s="16"/>
      <c r="G65" s="16"/>
      <c r="H65" s="17"/>
      <c r="I65" s="18" t="str">
        <f aca="false">IF(A65="","",IF(OR(B65="",C65="",D65="",E65=""),"Category, item, status, source needed",IF(AND(D65&lt;&gt;"Known",OR(F65="",G65="")),"Owner and next step needed","OK")))</f>
        <v/>
      </c>
    </row>
    <row r="66" customFormat="false" ht="15" hidden="false" customHeight="false" outlineLevel="0" collapsed="false">
      <c r="A66" s="16"/>
      <c r="B66" s="16"/>
      <c r="C66" s="16"/>
      <c r="D66" s="16"/>
      <c r="E66" s="16"/>
      <c r="F66" s="16"/>
      <c r="G66" s="16"/>
      <c r="H66" s="17"/>
      <c r="I66" s="18" t="str">
        <f aca="false">IF(A66="","",IF(OR(B66="",C66="",D66="",E66=""),"Category, item, status, source needed",IF(AND(D66&lt;&gt;"Known",OR(F66="",G66="")),"Owner and next step needed","OK")))</f>
        <v/>
      </c>
    </row>
    <row r="67" customFormat="false" ht="15" hidden="false" customHeight="false" outlineLevel="0" collapsed="false">
      <c r="A67" s="16"/>
      <c r="B67" s="16"/>
      <c r="C67" s="16"/>
      <c r="D67" s="16"/>
      <c r="E67" s="16"/>
      <c r="F67" s="16"/>
      <c r="G67" s="16"/>
      <c r="H67" s="17"/>
      <c r="I67" s="18" t="str">
        <f aca="false">IF(A67="","",IF(OR(B67="",C67="",D67="",E67=""),"Category, item, status, source needed",IF(AND(D67&lt;&gt;"Known",OR(F67="",G67="")),"Owner and next step needed","OK")))</f>
        <v/>
      </c>
    </row>
    <row r="68" customFormat="false" ht="15" hidden="false" customHeight="false" outlineLevel="0" collapsed="false">
      <c r="A68" s="16"/>
      <c r="B68" s="16"/>
      <c r="C68" s="16"/>
      <c r="D68" s="16"/>
      <c r="E68" s="16"/>
      <c r="F68" s="16"/>
      <c r="G68" s="16"/>
      <c r="H68" s="17"/>
      <c r="I68" s="18" t="str">
        <f aca="false">IF(A68="","",IF(OR(B68="",C68="",D68="",E68=""),"Category, item, status, source needed",IF(AND(D68&lt;&gt;"Known",OR(F68="",G68="")),"Owner and next step needed","OK")))</f>
        <v/>
      </c>
    </row>
    <row r="69" customFormat="false" ht="15" hidden="false" customHeight="false" outlineLevel="0" collapsed="false">
      <c r="A69" s="16"/>
      <c r="B69" s="16"/>
      <c r="C69" s="16"/>
      <c r="D69" s="16"/>
      <c r="E69" s="16"/>
      <c r="F69" s="16"/>
      <c r="G69" s="16"/>
      <c r="H69" s="17"/>
      <c r="I69" s="18" t="str">
        <f aca="false">IF(A69="","",IF(OR(B69="",C69="",D69="",E69=""),"Category, item, status, source needed",IF(AND(D69&lt;&gt;"Known",OR(F69="",G69="")),"Owner and next step needed","OK")))</f>
        <v/>
      </c>
    </row>
    <row r="70" customFormat="false" ht="15" hidden="false" customHeight="false" outlineLevel="0" collapsed="false">
      <c r="A70" s="16"/>
      <c r="B70" s="16"/>
      <c r="C70" s="16"/>
      <c r="D70" s="16"/>
      <c r="E70" s="16"/>
      <c r="F70" s="16"/>
      <c r="G70" s="16"/>
      <c r="H70" s="17"/>
      <c r="I70" s="18" t="str">
        <f aca="false">IF(A70="","",IF(OR(B70="",C70="",D70="",E70=""),"Category, item, status, source needed",IF(AND(D70&lt;&gt;"Known",OR(F70="",G70="")),"Owner and next step needed","OK")))</f>
        <v/>
      </c>
    </row>
    <row r="71" customFormat="false" ht="15" hidden="false" customHeight="false" outlineLevel="0" collapsed="false">
      <c r="A71" s="16"/>
      <c r="B71" s="16"/>
      <c r="C71" s="16"/>
      <c r="D71" s="16"/>
      <c r="E71" s="16"/>
      <c r="F71" s="16"/>
      <c r="G71" s="16"/>
      <c r="H71" s="17"/>
      <c r="I71" s="18" t="str">
        <f aca="false">IF(A71="","",IF(OR(B71="",C71="",D71="",E71=""),"Category, item, status, source needed",IF(AND(D71&lt;&gt;"Known",OR(F71="",G71="")),"Owner and next step needed","OK")))</f>
        <v/>
      </c>
    </row>
    <row r="72" customFormat="false" ht="15" hidden="false" customHeight="false" outlineLevel="0" collapsed="false">
      <c r="A72" s="16"/>
      <c r="B72" s="16"/>
      <c r="C72" s="16"/>
      <c r="D72" s="16"/>
      <c r="E72" s="16"/>
      <c r="F72" s="16"/>
      <c r="G72" s="16"/>
      <c r="H72" s="17"/>
      <c r="I72" s="18" t="str">
        <f aca="false">IF(A72="","",IF(OR(B72="",C72="",D72="",E72=""),"Category, item, status, source needed",IF(AND(D72&lt;&gt;"Known",OR(F72="",G72="")),"Owner and next step needed","OK")))</f>
        <v/>
      </c>
    </row>
    <row r="73" customFormat="false" ht="15" hidden="false" customHeight="false" outlineLevel="0" collapsed="false">
      <c r="A73" s="16"/>
      <c r="B73" s="16"/>
      <c r="C73" s="16"/>
      <c r="D73" s="16"/>
      <c r="E73" s="16"/>
      <c r="F73" s="16"/>
      <c r="G73" s="16"/>
      <c r="H73" s="17"/>
      <c r="I73" s="18" t="str">
        <f aca="false">IF(A73="","",IF(OR(B73="",C73="",D73="",E73=""),"Category, item, status, source needed",IF(AND(D73&lt;&gt;"Known",OR(F73="",G73="")),"Owner and next step needed","OK")))</f>
        <v/>
      </c>
    </row>
    <row r="74" customFormat="false" ht="15" hidden="false" customHeight="false" outlineLevel="0" collapsed="false">
      <c r="A74" s="16"/>
      <c r="B74" s="16"/>
      <c r="C74" s="16"/>
      <c r="D74" s="16"/>
      <c r="E74" s="16"/>
      <c r="F74" s="16"/>
      <c r="G74" s="16"/>
      <c r="H74" s="17"/>
      <c r="I74" s="18" t="str">
        <f aca="false">IF(A74="","",IF(OR(B74="",C74="",D74="",E74=""),"Category, item, status, source needed",IF(AND(D74&lt;&gt;"Known",OR(F74="",G74="")),"Owner and next step needed","OK")))</f>
        <v/>
      </c>
    </row>
    <row r="75" customFormat="false" ht="15" hidden="false" customHeight="false" outlineLevel="0" collapsed="false">
      <c r="A75" s="16"/>
      <c r="B75" s="16"/>
      <c r="C75" s="16"/>
      <c r="D75" s="16"/>
      <c r="E75" s="16"/>
      <c r="F75" s="16"/>
      <c r="G75" s="16"/>
      <c r="H75" s="17"/>
      <c r="I75" s="18" t="str">
        <f aca="false">IF(A75="","",IF(OR(B75="",C75="",D75="",E75=""),"Category, item, status, source needed",IF(AND(D75&lt;&gt;"Known",OR(F75="",G75="")),"Owner and next step needed","OK")))</f>
        <v/>
      </c>
    </row>
    <row r="76" customFormat="false" ht="15" hidden="false" customHeight="false" outlineLevel="0" collapsed="false">
      <c r="A76" s="16"/>
      <c r="B76" s="16"/>
      <c r="C76" s="16"/>
      <c r="D76" s="16"/>
      <c r="E76" s="16"/>
      <c r="F76" s="16"/>
      <c r="G76" s="16"/>
      <c r="H76" s="17"/>
      <c r="I76" s="18" t="str">
        <f aca="false">IF(A76="","",IF(OR(B76="",C76="",D76="",E76=""),"Category, item, status, source needed",IF(AND(D76&lt;&gt;"Known",OR(F76="",G76="")),"Owner and next step needed","OK")))</f>
        <v/>
      </c>
    </row>
    <row r="77" customFormat="false" ht="15" hidden="false" customHeight="false" outlineLevel="0" collapsed="false">
      <c r="A77" s="16"/>
      <c r="B77" s="16"/>
      <c r="C77" s="16"/>
      <c r="D77" s="16"/>
      <c r="E77" s="16"/>
      <c r="F77" s="16"/>
      <c r="G77" s="16"/>
      <c r="H77" s="17"/>
      <c r="I77" s="18" t="str">
        <f aca="false">IF(A77="","",IF(OR(B77="",C77="",D77="",E77=""),"Category, item, status, source needed",IF(AND(D77&lt;&gt;"Known",OR(F77="",G77="")),"Owner and next step needed","OK")))</f>
        <v/>
      </c>
    </row>
    <row r="78" customFormat="false" ht="15" hidden="false" customHeight="false" outlineLevel="0" collapsed="false">
      <c r="A78" s="16"/>
      <c r="B78" s="16"/>
      <c r="C78" s="16"/>
      <c r="D78" s="16"/>
      <c r="E78" s="16"/>
      <c r="F78" s="16"/>
      <c r="G78" s="16"/>
      <c r="H78" s="17"/>
      <c r="I78" s="18" t="str">
        <f aca="false">IF(A78="","",IF(OR(B78="",C78="",D78="",E78=""),"Category, item, status, source needed",IF(AND(D78&lt;&gt;"Known",OR(F78="",G78="")),"Owner and next step needed","OK")))</f>
        <v/>
      </c>
    </row>
    <row r="79" customFormat="false" ht="15" hidden="false" customHeight="false" outlineLevel="0" collapsed="false">
      <c r="A79" s="16"/>
      <c r="B79" s="16"/>
      <c r="C79" s="16"/>
      <c r="D79" s="16"/>
      <c r="E79" s="16"/>
      <c r="F79" s="16"/>
      <c r="G79" s="16"/>
      <c r="H79" s="17"/>
      <c r="I79" s="18" t="str">
        <f aca="false">IF(A79="","",IF(OR(B79="",C79="",D79="",E79=""),"Category, item, status, source needed",IF(AND(D79&lt;&gt;"Known",OR(F79="",G79="")),"Owner and next step needed","OK")))</f>
        <v/>
      </c>
    </row>
    <row r="80" customFormat="false" ht="15" hidden="false" customHeight="false" outlineLevel="0" collapsed="false">
      <c r="A80" s="16"/>
      <c r="B80" s="16"/>
      <c r="C80" s="16"/>
      <c r="D80" s="16"/>
      <c r="E80" s="16"/>
      <c r="F80" s="16"/>
      <c r="G80" s="16"/>
      <c r="H80" s="17"/>
      <c r="I80" s="18" t="str">
        <f aca="false">IF(A80="","",IF(OR(B80="",C80="",D80="",E80=""),"Category, item, status, source needed",IF(AND(D80&lt;&gt;"Known",OR(F80="",G80="")),"Owner and next step needed","OK")))</f>
        <v/>
      </c>
    </row>
    <row r="81" customFormat="false" ht="15" hidden="false" customHeight="false" outlineLevel="0" collapsed="false">
      <c r="A81" s="16"/>
      <c r="B81" s="16"/>
      <c r="C81" s="16"/>
      <c r="D81" s="16"/>
      <c r="E81" s="16"/>
      <c r="F81" s="16"/>
      <c r="G81" s="16"/>
      <c r="H81" s="17"/>
      <c r="I81" s="18" t="str">
        <f aca="false">IF(A81="","",IF(OR(B81="",C81="",D81="",E81=""),"Category, item, status, source needed",IF(AND(D81&lt;&gt;"Known",OR(F81="",G81="")),"Owner and next step needed","OK")))</f>
        <v/>
      </c>
    </row>
    <row r="82" customFormat="false" ht="15" hidden="false" customHeight="false" outlineLevel="0" collapsed="false">
      <c r="A82" s="16"/>
      <c r="B82" s="16"/>
      <c r="C82" s="16"/>
      <c r="D82" s="16"/>
      <c r="E82" s="16"/>
      <c r="F82" s="16"/>
      <c r="G82" s="16"/>
      <c r="H82" s="17"/>
      <c r="I82" s="18" t="str">
        <f aca="false">IF(A82="","",IF(OR(B82="",C82="",D82="",E82=""),"Category, item, status, source needed",IF(AND(D82&lt;&gt;"Known",OR(F82="",G82="")),"Owner and next step needed","OK")))</f>
        <v/>
      </c>
    </row>
    <row r="83" customFormat="false" ht="15" hidden="false" customHeight="false" outlineLevel="0" collapsed="false">
      <c r="A83" s="16"/>
      <c r="B83" s="16"/>
      <c r="C83" s="16"/>
      <c r="D83" s="16"/>
      <c r="E83" s="16"/>
      <c r="F83" s="16"/>
      <c r="G83" s="16"/>
      <c r="H83" s="17"/>
      <c r="I83" s="18" t="str">
        <f aca="false">IF(A83="","",IF(OR(B83="",C83="",D83="",E83=""),"Category, item, status, source needed",IF(AND(D83&lt;&gt;"Known",OR(F83="",G83="")),"Owner and next step needed","OK")))</f>
        <v/>
      </c>
    </row>
    <row r="84" customFormat="false" ht="15" hidden="false" customHeight="false" outlineLevel="0" collapsed="false">
      <c r="A84" s="16"/>
      <c r="B84" s="16"/>
      <c r="C84" s="16"/>
      <c r="D84" s="16"/>
      <c r="E84" s="16"/>
      <c r="F84" s="16"/>
      <c r="G84" s="16"/>
      <c r="H84" s="17"/>
      <c r="I84" s="18" t="str">
        <f aca="false">IF(A84="","",IF(OR(B84="",C84="",D84="",E84=""),"Category, item, status, source needed",IF(AND(D84&lt;&gt;"Known",OR(F84="",G84="")),"Owner and next step needed","OK")))</f>
        <v/>
      </c>
    </row>
    <row r="85" customFormat="false" ht="15" hidden="false" customHeight="false" outlineLevel="0" collapsed="false">
      <c r="A85" s="16"/>
      <c r="B85" s="16"/>
      <c r="C85" s="16"/>
      <c r="D85" s="16"/>
      <c r="E85" s="16"/>
      <c r="F85" s="16"/>
      <c r="G85" s="16"/>
      <c r="H85" s="17"/>
      <c r="I85" s="18" t="str">
        <f aca="false">IF(A85="","",IF(OR(B85="",C85="",D85="",E85=""),"Category, item, status, source needed",IF(AND(D85&lt;&gt;"Known",OR(F85="",G85="")),"Owner and next step needed","OK")))</f>
        <v/>
      </c>
    </row>
    <row r="86" customFormat="false" ht="15" hidden="false" customHeight="false" outlineLevel="0" collapsed="false">
      <c r="A86" s="16"/>
      <c r="B86" s="16"/>
      <c r="C86" s="16"/>
      <c r="D86" s="16"/>
      <c r="E86" s="16"/>
      <c r="F86" s="16"/>
      <c r="G86" s="16"/>
      <c r="H86" s="17"/>
      <c r="I86" s="18" t="str">
        <f aca="false">IF(A86="","",IF(OR(B86="",C86="",D86="",E86=""),"Category, item, status, source needed",IF(AND(D86&lt;&gt;"Known",OR(F86="",G86="")),"Owner and next step needed","OK")))</f>
        <v/>
      </c>
    </row>
    <row r="87" customFormat="false" ht="15" hidden="false" customHeight="false" outlineLevel="0" collapsed="false">
      <c r="A87" s="16"/>
      <c r="B87" s="16"/>
      <c r="C87" s="16"/>
      <c r="D87" s="16"/>
      <c r="E87" s="16"/>
      <c r="F87" s="16"/>
      <c r="G87" s="16"/>
      <c r="H87" s="17"/>
      <c r="I87" s="18" t="str">
        <f aca="false">IF(A87="","",IF(OR(B87="",C87="",D87="",E87=""),"Category, item, status, source needed",IF(AND(D87&lt;&gt;"Known",OR(F87="",G87="")),"Owner and next step needed","OK")))</f>
        <v/>
      </c>
    </row>
    <row r="88" customFormat="false" ht="15" hidden="false" customHeight="false" outlineLevel="0" collapsed="false">
      <c r="A88" s="16"/>
      <c r="B88" s="16"/>
      <c r="C88" s="16"/>
      <c r="D88" s="16"/>
      <c r="E88" s="16"/>
      <c r="F88" s="16"/>
      <c r="G88" s="16"/>
      <c r="H88" s="17"/>
      <c r="I88" s="18" t="str">
        <f aca="false">IF(A88="","",IF(OR(B88="",C88="",D88="",E88=""),"Category, item, status, source needed",IF(AND(D88&lt;&gt;"Known",OR(F88="",G88="")),"Owner and next step needed","OK")))</f>
        <v/>
      </c>
    </row>
    <row r="89" customFormat="false" ht="15" hidden="false" customHeight="false" outlineLevel="0" collapsed="false">
      <c r="A89" s="16"/>
      <c r="B89" s="16"/>
      <c r="C89" s="16"/>
      <c r="D89" s="16"/>
      <c r="E89" s="16"/>
      <c r="F89" s="16"/>
      <c r="G89" s="16"/>
      <c r="H89" s="17"/>
      <c r="I89" s="18" t="str">
        <f aca="false">IF(A89="","",IF(OR(B89="",C89="",D89="",E89=""),"Category, item, status, source needed",IF(AND(D89&lt;&gt;"Known",OR(F89="",G89="")),"Owner and next step needed","OK")))</f>
        <v/>
      </c>
    </row>
    <row r="90" customFormat="false" ht="15" hidden="false" customHeight="false" outlineLevel="0" collapsed="false">
      <c r="A90" s="16"/>
      <c r="B90" s="16"/>
      <c r="C90" s="16"/>
      <c r="D90" s="16"/>
      <c r="E90" s="16"/>
      <c r="F90" s="16"/>
      <c r="G90" s="16"/>
      <c r="H90" s="17"/>
      <c r="I90" s="18" t="str">
        <f aca="false">IF(A90="","",IF(OR(B90="",C90="",D90="",E90=""),"Category, item, status, source needed",IF(AND(D90&lt;&gt;"Known",OR(F90="",G90="")),"Owner and next step needed","OK")))</f>
        <v/>
      </c>
    </row>
    <row r="91" customFormat="false" ht="15" hidden="false" customHeight="false" outlineLevel="0" collapsed="false">
      <c r="A91" s="16"/>
      <c r="B91" s="16"/>
      <c r="C91" s="16"/>
      <c r="D91" s="16"/>
      <c r="E91" s="16"/>
      <c r="F91" s="16"/>
      <c r="G91" s="16"/>
      <c r="H91" s="17"/>
      <c r="I91" s="18" t="str">
        <f aca="false">IF(A91="","",IF(OR(B91="",C91="",D91="",E91=""),"Category, item, status, source needed",IF(AND(D91&lt;&gt;"Known",OR(F91="",G91="")),"Owner and next step needed","OK")))</f>
        <v/>
      </c>
    </row>
    <row r="92" customFormat="false" ht="15" hidden="false" customHeight="false" outlineLevel="0" collapsed="false">
      <c r="A92" s="16"/>
      <c r="B92" s="16"/>
      <c r="C92" s="16"/>
      <c r="D92" s="16"/>
      <c r="E92" s="16"/>
      <c r="F92" s="16"/>
      <c r="G92" s="16"/>
      <c r="H92" s="17"/>
      <c r="I92" s="18" t="str">
        <f aca="false">IF(A92="","",IF(OR(B92="",C92="",D92="",E92=""),"Category, item, status, source needed",IF(AND(D92&lt;&gt;"Known",OR(F92="",G92="")),"Owner and next step needed","OK")))</f>
        <v/>
      </c>
    </row>
    <row r="93" customFormat="false" ht="15" hidden="false" customHeight="false" outlineLevel="0" collapsed="false">
      <c r="A93" s="16"/>
      <c r="B93" s="16"/>
      <c r="C93" s="16"/>
      <c r="D93" s="16"/>
      <c r="E93" s="16"/>
      <c r="F93" s="16"/>
      <c r="G93" s="16"/>
      <c r="H93" s="17"/>
      <c r="I93" s="18" t="str">
        <f aca="false">IF(A93="","",IF(OR(B93="",C93="",D93="",E93=""),"Category, item, status, source needed",IF(AND(D93&lt;&gt;"Known",OR(F93="",G93="")),"Owner and next step needed","OK")))</f>
        <v/>
      </c>
    </row>
    <row r="94" customFormat="false" ht="15" hidden="false" customHeight="false" outlineLevel="0" collapsed="false">
      <c r="A94" s="16"/>
      <c r="B94" s="16"/>
      <c r="C94" s="16"/>
      <c r="D94" s="16"/>
      <c r="E94" s="16"/>
      <c r="F94" s="16"/>
      <c r="G94" s="16"/>
      <c r="H94" s="17"/>
      <c r="I94" s="18" t="str">
        <f aca="false">IF(A94="","",IF(OR(B94="",C94="",D94="",E94=""),"Category, item, status, source needed",IF(AND(D94&lt;&gt;"Known",OR(F94="",G94="")),"Owner and next step needed","OK")))</f>
        <v/>
      </c>
    </row>
    <row r="95" customFormat="false" ht="15" hidden="false" customHeight="false" outlineLevel="0" collapsed="false">
      <c r="A95" s="16"/>
      <c r="B95" s="16"/>
      <c r="C95" s="16"/>
      <c r="D95" s="16"/>
      <c r="E95" s="16"/>
      <c r="F95" s="16"/>
      <c r="G95" s="16"/>
      <c r="H95" s="17"/>
      <c r="I95" s="18" t="str">
        <f aca="false">IF(A95="","",IF(OR(B95="",C95="",D95="",E95=""),"Category, item, status, source needed",IF(AND(D95&lt;&gt;"Known",OR(F95="",G95="")),"Owner and next step needed","OK")))</f>
        <v/>
      </c>
    </row>
    <row r="96" customFormat="false" ht="15" hidden="false" customHeight="false" outlineLevel="0" collapsed="false">
      <c r="A96" s="16"/>
      <c r="B96" s="16"/>
      <c r="C96" s="16"/>
      <c r="D96" s="16"/>
      <c r="E96" s="16"/>
      <c r="F96" s="16"/>
      <c r="G96" s="16"/>
      <c r="H96" s="17"/>
      <c r="I96" s="18" t="str">
        <f aca="false">IF(A96="","",IF(OR(B96="",C96="",D96="",E96=""),"Category, item, status, source needed",IF(AND(D96&lt;&gt;"Known",OR(F96="",G96="")),"Owner and next step needed","OK")))</f>
        <v/>
      </c>
    </row>
    <row r="97" customFormat="false" ht="15" hidden="false" customHeight="false" outlineLevel="0" collapsed="false">
      <c r="A97" s="16"/>
      <c r="B97" s="16"/>
      <c r="C97" s="16"/>
      <c r="D97" s="16"/>
      <c r="E97" s="16"/>
      <c r="F97" s="16"/>
      <c r="G97" s="16"/>
      <c r="H97" s="17"/>
      <c r="I97" s="18" t="str">
        <f aca="false">IF(A97="","",IF(OR(B97="",C97="",D97="",E97=""),"Category, item, status, source needed",IF(AND(D97&lt;&gt;"Known",OR(F97="",G97="")),"Owner and next step needed","OK")))</f>
        <v/>
      </c>
    </row>
    <row r="98" customFormat="false" ht="15" hidden="false" customHeight="false" outlineLevel="0" collapsed="false">
      <c r="A98" s="16"/>
      <c r="B98" s="16"/>
      <c r="C98" s="16"/>
      <c r="D98" s="16"/>
      <c r="E98" s="16"/>
      <c r="F98" s="16"/>
      <c r="G98" s="16"/>
      <c r="H98" s="17"/>
      <c r="I98" s="18" t="str">
        <f aca="false">IF(A98="","",IF(OR(B98="",C98="",D98="",E98=""),"Category, item, status, source needed",IF(AND(D98&lt;&gt;"Known",OR(F98="",G98="")),"Owner and next step needed","OK")))</f>
        <v/>
      </c>
    </row>
    <row r="99" customFormat="false" ht="15" hidden="false" customHeight="false" outlineLevel="0" collapsed="false">
      <c r="A99" s="16"/>
      <c r="B99" s="16"/>
      <c r="C99" s="16"/>
      <c r="D99" s="16"/>
      <c r="E99" s="16"/>
      <c r="F99" s="16"/>
      <c r="G99" s="16"/>
      <c r="H99" s="17"/>
      <c r="I99" s="18" t="str">
        <f aca="false">IF(A99="","",IF(OR(B99="",C99="",D99="",E99=""),"Category, item, status, source needed",IF(AND(D99&lt;&gt;"Known",OR(F99="",G99="")),"Owner and next step needed","OK")))</f>
        <v/>
      </c>
    </row>
    <row r="100" customFormat="false" ht="15" hidden="false" customHeight="false" outlineLevel="0" collapsed="false">
      <c r="A100" s="16"/>
      <c r="B100" s="16"/>
      <c r="C100" s="16"/>
      <c r="D100" s="16"/>
      <c r="E100" s="16"/>
      <c r="F100" s="16"/>
      <c r="G100" s="16"/>
      <c r="H100" s="17"/>
      <c r="I100" s="18" t="str">
        <f aca="false">IF(A100="","",IF(OR(B100="",C100="",D100="",E100=""),"Category, item, status, source needed",IF(AND(D100&lt;&gt;"Known",OR(F100="",G100="")),"Owner and next step needed","OK")))</f>
        <v/>
      </c>
    </row>
    <row r="101" customFormat="false" ht="15" hidden="false" customHeight="false" outlineLevel="0" collapsed="false">
      <c r="A101" s="16"/>
      <c r="B101" s="16"/>
      <c r="C101" s="16"/>
      <c r="D101" s="16"/>
      <c r="E101" s="16"/>
      <c r="F101" s="16"/>
      <c r="G101" s="16"/>
      <c r="H101" s="17"/>
      <c r="I101" s="18" t="str">
        <f aca="false">IF(A101="","",IF(OR(B101="",C101="",D101="",E101=""),"Category, item, status, source needed",IF(AND(D101&lt;&gt;"Known",OR(F101="",G101="")),"Owner and next step needed","OK")))</f>
        <v/>
      </c>
    </row>
    <row r="102" customFormat="false" ht="15" hidden="false" customHeight="false" outlineLevel="0" collapsed="false">
      <c r="A102" s="16"/>
      <c r="B102" s="16"/>
      <c r="C102" s="16"/>
      <c r="D102" s="16"/>
      <c r="E102" s="16"/>
      <c r="F102" s="16"/>
      <c r="G102" s="16"/>
      <c r="H102" s="17"/>
      <c r="I102" s="18" t="str">
        <f aca="false">IF(A102="","",IF(OR(B102="",C102="",D102="",E102=""),"Category, item, status, source needed",IF(AND(D102&lt;&gt;"Known",OR(F102="",G102="")),"Owner and next step needed","OK")))</f>
        <v/>
      </c>
    </row>
    <row r="103" customFormat="false" ht="15" hidden="false" customHeight="false" outlineLevel="0" collapsed="false">
      <c r="A103" s="16"/>
      <c r="B103" s="16"/>
      <c r="C103" s="16"/>
      <c r="D103" s="16"/>
      <c r="E103" s="16"/>
      <c r="F103" s="16"/>
      <c r="G103" s="16"/>
      <c r="H103" s="17"/>
      <c r="I103" s="18" t="str">
        <f aca="false">IF(A103="","",IF(OR(B103="",C103="",D103="",E103=""),"Category, item, status, source needed",IF(AND(D103&lt;&gt;"Known",OR(F103="",G103="")),"Owner and next step needed","OK")))</f>
        <v/>
      </c>
    </row>
    <row r="104" customFormat="false" ht="15" hidden="false" customHeight="false" outlineLevel="0" collapsed="false">
      <c r="A104" s="16"/>
      <c r="B104" s="16"/>
      <c r="C104" s="16"/>
      <c r="D104" s="16"/>
      <c r="E104" s="16"/>
      <c r="F104" s="16"/>
      <c r="G104" s="16"/>
      <c r="H104" s="17"/>
      <c r="I104" s="18" t="str">
        <f aca="false">IF(A104="","",IF(OR(B104="",C104="",D104="",E104=""),"Category, item, status, source needed",IF(AND(D104&lt;&gt;"Known",OR(F104="",G104="")),"Owner and next step needed","OK")))</f>
        <v/>
      </c>
    </row>
    <row r="105" customFormat="false" ht="15" hidden="false" customHeight="false" outlineLevel="0" collapsed="false">
      <c r="A105" s="16"/>
      <c r="B105" s="16"/>
      <c r="C105" s="16"/>
      <c r="D105" s="16"/>
      <c r="E105" s="16"/>
      <c r="F105" s="16"/>
      <c r="G105" s="16"/>
      <c r="H105" s="17"/>
      <c r="I105" s="18" t="str">
        <f aca="false">IF(A105="","",IF(OR(B105="",C105="",D105="",E105=""),"Category, item, status, source needed",IF(AND(D105&lt;&gt;"Known",OR(F105="",G105="")),"Owner and next step needed","OK")))</f>
        <v/>
      </c>
    </row>
    <row r="106" customFormat="false" ht="15" hidden="false" customHeight="false" outlineLevel="0" collapsed="false">
      <c r="A106" s="16"/>
      <c r="B106" s="16"/>
      <c r="C106" s="16"/>
      <c r="D106" s="16"/>
      <c r="E106" s="16"/>
      <c r="F106" s="16"/>
      <c r="G106" s="16"/>
      <c r="H106" s="17"/>
      <c r="I106" s="18" t="str">
        <f aca="false">IF(A106="","",IF(OR(B106="",C106="",D106="",E106=""),"Category, item, status, source needed",IF(AND(D106&lt;&gt;"Known",OR(F106="",G106="")),"Owner and next step needed","OK")))</f>
        <v/>
      </c>
    </row>
    <row r="107" customFormat="false" ht="15" hidden="false" customHeight="false" outlineLevel="0" collapsed="false">
      <c r="A107" s="16"/>
      <c r="B107" s="16"/>
      <c r="C107" s="16"/>
      <c r="D107" s="16"/>
      <c r="E107" s="16"/>
      <c r="F107" s="16"/>
      <c r="G107" s="16"/>
      <c r="H107" s="17"/>
      <c r="I107" s="18" t="str">
        <f aca="false">IF(A107="","",IF(OR(B107="",C107="",D107="",E107=""),"Category, item, status, source needed",IF(AND(D107&lt;&gt;"Known",OR(F107="",G107="")),"Owner and next step needed","OK")))</f>
        <v/>
      </c>
    </row>
    <row r="108" customFormat="false" ht="15" hidden="false" customHeight="false" outlineLevel="0" collapsed="false">
      <c r="A108" s="16"/>
      <c r="B108" s="16"/>
      <c r="C108" s="16"/>
      <c r="D108" s="16"/>
      <c r="E108" s="16"/>
      <c r="F108" s="16"/>
      <c r="G108" s="16"/>
      <c r="H108" s="17"/>
      <c r="I108" s="18" t="str">
        <f aca="false">IF(A108="","",IF(OR(B108="",C108="",D108="",E108=""),"Category, item, status, source needed",IF(AND(D108&lt;&gt;"Known",OR(F108="",G108="")),"Owner and next step needed","OK")))</f>
        <v/>
      </c>
    </row>
    <row r="109" customFormat="false" ht="15" hidden="false" customHeight="false" outlineLevel="0" collapsed="false">
      <c r="A109" s="16"/>
      <c r="B109" s="16"/>
      <c r="C109" s="16"/>
      <c r="D109" s="16"/>
      <c r="E109" s="16"/>
      <c r="F109" s="16"/>
      <c r="G109" s="16"/>
      <c r="H109" s="17"/>
      <c r="I109" s="18" t="str">
        <f aca="false">IF(A109="","",IF(OR(B109="",C109="",D109="",E109=""),"Category, item, status, source needed",IF(AND(D109&lt;&gt;"Known",OR(F109="",G109="")),"Owner and next step needed","OK")))</f>
        <v/>
      </c>
    </row>
    <row r="110" customFormat="false" ht="15" hidden="false" customHeight="false" outlineLevel="0" collapsed="false">
      <c r="A110" s="16"/>
      <c r="B110" s="16"/>
      <c r="C110" s="16"/>
      <c r="D110" s="16"/>
      <c r="E110" s="16"/>
      <c r="F110" s="16"/>
      <c r="G110" s="16"/>
      <c r="H110" s="17"/>
      <c r="I110" s="18" t="str">
        <f aca="false">IF(A110="","",IF(OR(B110="",C110="",D110="",E110=""),"Category, item, status, source needed",IF(AND(D110&lt;&gt;"Known",OR(F110="",G110="")),"Owner and next step needed","OK")))</f>
        <v/>
      </c>
    </row>
    <row r="111" customFormat="false" ht="15" hidden="false" customHeight="false" outlineLevel="0" collapsed="false">
      <c r="A111" s="16"/>
      <c r="B111" s="16"/>
      <c r="C111" s="16"/>
      <c r="D111" s="16"/>
      <c r="E111" s="16"/>
      <c r="F111" s="16"/>
      <c r="G111" s="16"/>
      <c r="H111" s="17"/>
      <c r="I111" s="18" t="str">
        <f aca="false">IF(A111="","",IF(OR(B111="",C111="",D111="",E111=""),"Category, item, status, source needed",IF(AND(D111&lt;&gt;"Known",OR(F111="",G111="")),"Owner and next step needed","OK")))</f>
        <v/>
      </c>
    </row>
    <row r="112" customFormat="false" ht="15" hidden="false" customHeight="false" outlineLevel="0" collapsed="false">
      <c r="A112" s="16"/>
      <c r="B112" s="16"/>
      <c r="C112" s="16"/>
      <c r="D112" s="16"/>
      <c r="E112" s="16"/>
      <c r="F112" s="16"/>
      <c r="G112" s="16"/>
      <c r="H112" s="17"/>
      <c r="I112" s="18" t="str">
        <f aca="false">IF(A112="","",IF(OR(B112="",C112="",D112="",E112=""),"Category, item, status, source needed",IF(AND(D112&lt;&gt;"Known",OR(F112="",G112="")),"Owner and next step needed","OK")))</f>
        <v/>
      </c>
    </row>
    <row r="113" customFormat="false" ht="15" hidden="false" customHeight="false" outlineLevel="0" collapsed="false">
      <c r="A113" s="16"/>
      <c r="B113" s="16"/>
      <c r="C113" s="16"/>
      <c r="D113" s="16"/>
      <c r="E113" s="16"/>
      <c r="F113" s="16"/>
      <c r="G113" s="16"/>
      <c r="H113" s="17"/>
      <c r="I113" s="18" t="str">
        <f aca="false">IF(A113="","",IF(OR(B113="",C113="",D113="",E113=""),"Category, item, status, source needed",IF(AND(D113&lt;&gt;"Known",OR(F113="",G113="")),"Owner and next step needed","OK")))</f>
        <v/>
      </c>
    </row>
    <row r="114" customFormat="false" ht="15" hidden="false" customHeight="false" outlineLevel="0" collapsed="false">
      <c r="A114" s="16"/>
      <c r="B114" s="16"/>
      <c r="C114" s="16"/>
      <c r="D114" s="16"/>
      <c r="E114" s="16"/>
      <c r="F114" s="16"/>
      <c r="G114" s="16"/>
      <c r="H114" s="17"/>
      <c r="I114" s="18" t="str">
        <f aca="false">IF(A114="","",IF(OR(B114="",C114="",D114="",E114=""),"Category, item, status, source needed",IF(AND(D114&lt;&gt;"Known",OR(F114="",G114="")),"Owner and next step needed","OK")))</f>
        <v/>
      </c>
    </row>
    <row r="115" customFormat="false" ht="15" hidden="false" customHeight="false" outlineLevel="0" collapsed="false">
      <c r="A115" s="16"/>
      <c r="B115" s="16"/>
      <c r="C115" s="16"/>
      <c r="D115" s="16"/>
      <c r="E115" s="16"/>
      <c r="F115" s="16"/>
      <c r="G115" s="16"/>
      <c r="H115" s="17"/>
      <c r="I115" s="18" t="str">
        <f aca="false">IF(A115="","",IF(OR(B115="",C115="",D115="",E115=""),"Category, item, status, source needed",IF(AND(D115&lt;&gt;"Known",OR(F115="",G115="")),"Owner and next step needed","OK")))</f>
        <v/>
      </c>
    </row>
    <row r="116" customFormat="false" ht="15" hidden="false" customHeight="false" outlineLevel="0" collapsed="false">
      <c r="A116" s="16"/>
      <c r="B116" s="16"/>
      <c r="C116" s="16"/>
      <c r="D116" s="16"/>
      <c r="E116" s="16"/>
      <c r="F116" s="16"/>
      <c r="G116" s="16"/>
      <c r="H116" s="17"/>
      <c r="I116" s="18" t="str">
        <f aca="false">IF(A116="","",IF(OR(B116="",C116="",D116="",E116=""),"Category, item, status, source needed",IF(AND(D116&lt;&gt;"Known",OR(F116="",G116="")),"Owner and next step needed","OK")))</f>
        <v/>
      </c>
    </row>
    <row r="117" customFormat="false" ht="15" hidden="false" customHeight="false" outlineLevel="0" collapsed="false">
      <c r="A117" s="16"/>
      <c r="B117" s="16"/>
      <c r="C117" s="16"/>
      <c r="D117" s="16"/>
      <c r="E117" s="16"/>
      <c r="F117" s="16"/>
      <c r="G117" s="16"/>
      <c r="H117" s="17"/>
      <c r="I117" s="18" t="str">
        <f aca="false">IF(A117="","",IF(OR(B117="",C117="",D117="",E117=""),"Category, item, status, source needed",IF(AND(D117&lt;&gt;"Known",OR(F117="",G117="")),"Owner and next step needed","OK")))</f>
        <v/>
      </c>
    </row>
    <row r="118" customFormat="false" ht="15" hidden="false" customHeight="false" outlineLevel="0" collapsed="false">
      <c r="A118" s="16"/>
      <c r="B118" s="16"/>
      <c r="C118" s="16"/>
      <c r="D118" s="16"/>
      <c r="E118" s="16"/>
      <c r="F118" s="16"/>
      <c r="G118" s="16"/>
      <c r="H118" s="17"/>
      <c r="I118" s="18" t="str">
        <f aca="false">IF(A118="","",IF(OR(B118="",C118="",D118="",E118=""),"Category, item, status, source needed",IF(AND(D118&lt;&gt;"Known",OR(F118="",G118="")),"Owner and next step needed","OK")))</f>
        <v/>
      </c>
    </row>
    <row r="119" customFormat="false" ht="15" hidden="false" customHeight="false" outlineLevel="0" collapsed="false">
      <c r="A119" s="16"/>
      <c r="B119" s="16"/>
      <c r="C119" s="16"/>
      <c r="D119" s="16"/>
      <c r="E119" s="16"/>
      <c r="F119" s="16"/>
      <c r="G119" s="16"/>
      <c r="H119" s="17"/>
      <c r="I119" s="18" t="str">
        <f aca="false">IF(A119="","",IF(OR(B119="",C119="",D119="",E119=""),"Category, item, status, source needed",IF(AND(D119&lt;&gt;"Known",OR(F119="",G119="")),"Owner and next step needed","OK")))</f>
        <v/>
      </c>
    </row>
    <row r="120" customFormat="false" ht="15" hidden="false" customHeight="false" outlineLevel="0" collapsed="false">
      <c r="A120" s="16"/>
      <c r="B120" s="16"/>
      <c r="C120" s="16"/>
      <c r="D120" s="16"/>
      <c r="E120" s="16"/>
      <c r="F120" s="16"/>
      <c r="G120" s="16"/>
      <c r="H120" s="17"/>
      <c r="I120" s="18" t="str">
        <f aca="false">IF(A120="","",IF(OR(B120="",C120="",D120="",E120=""),"Category, item, status, source needed",IF(AND(D120&lt;&gt;"Known",OR(F120="",G120="")),"Owner and next step needed","OK")))</f>
        <v/>
      </c>
    </row>
    <row r="121" customFormat="false" ht="15" hidden="false" customHeight="false" outlineLevel="0" collapsed="false">
      <c r="A121" s="16"/>
      <c r="B121" s="16"/>
      <c r="C121" s="16"/>
      <c r="D121" s="16"/>
      <c r="E121" s="16"/>
      <c r="F121" s="16"/>
      <c r="G121" s="16"/>
      <c r="H121" s="17"/>
      <c r="I121" s="18" t="str">
        <f aca="false">IF(A121="","",IF(OR(B121="",C121="",D121="",E121=""),"Category, item, status, source needed",IF(AND(D121&lt;&gt;"Known",OR(F121="",G121="")),"Owner and next step needed","OK")))</f>
        <v/>
      </c>
    </row>
    <row r="122" customFormat="false" ht="15" hidden="false" customHeight="false" outlineLevel="0" collapsed="false">
      <c r="A122" s="16"/>
      <c r="B122" s="16"/>
      <c r="C122" s="16"/>
      <c r="D122" s="16"/>
      <c r="E122" s="16"/>
      <c r="F122" s="16"/>
      <c r="G122" s="16"/>
      <c r="H122" s="17"/>
      <c r="I122" s="18" t="str">
        <f aca="false">IF(A122="","",IF(OR(B122="",C122="",D122="",E122=""),"Category, item, status, source needed",IF(AND(D122&lt;&gt;"Known",OR(F122="",G122="")),"Owner and next step needed","OK")))</f>
        <v/>
      </c>
    </row>
    <row r="123" customFormat="false" ht="15" hidden="false" customHeight="false" outlineLevel="0" collapsed="false">
      <c r="A123" s="16"/>
      <c r="B123" s="16"/>
      <c r="C123" s="16"/>
      <c r="D123" s="16"/>
      <c r="E123" s="16"/>
      <c r="F123" s="16"/>
      <c r="G123" s="16"/>
      <c r="H123" s="17"/>
      <c r="I123" s="18" t="str">
        <f aca="false">IF(A123="","",IF(OR(B123="",C123="",D123="",E123=""),"Category, item, status, source needed",IF(AND(D123&lt;&gt;"Known",OR(F123="",G123="")),"Owner and next step needed","OK")))</f>
        <v/>
      </c>
    </row>
    <row r="124" customFormat="false" ht="15" hidden="false" customHeight="false" outlineLevel="0" collapsed="false">
      <c r="A124" s="16"/>
      <c r="B124" s="16"/>
      <c r="C124" s="16"/>
      <c r="D124" s="16"/>
      <c r="E124" s="16"/>
      <c r="F124" s="16"/>
      <c r="G124" s="16"/>
      <c r="H124" s="17"/>
      <c r="I124" s="18" t="str">
        <f aca="false">IF(A124="","",IF(OR(B124="",C124="",D124="",E124=""),"Category, item, status, source needed",IF(AND(D124&lt;&gt;"Known",OR(F124="",G124="")),"Owner and next step needed","OK")))</f>
        <v/>
      </c>
    </row>
    <row r="125" customFormat="false" ht="15" hidden="false" customHeight="false" outlineLevel="0" collapsed="false">
      <c r="A125" s="16"/>
      <c r="B125" s="16"/>
      <c r="C125" s="16"/>
      <c r="D125" s="16"/>
      <c r="E125" s="16"/>
      <c r="F125" s="16"/>
      <c r="G125" s="16"/>
      <c r="H125" s="17"/>
      <c r="I125" s="18" t="str">
        <f aca="false">IF(A125="","",IF(OR(B125="",C125="",D125="",E125=""),"Category, item, status, source needed",IF(AND(D125&lt;&gt;"Known",OR(F125="",G125="")),"Owner and next step needed","OK")))</f>
        <v/>
      </c>
    </row>
    <row r="126" customFormat="false" ht="15" hidden="false" customHeight="false" outlineLevel="0" collapsed="false">
      <c r="A126" s="16"/>
      <c r="B126" s="16"/>
      <c r="C126" s="16"/>
      <c r="D126" s="16"/>
      <c r="E126" s="16"/>
      <c r="F126" s="16"/>
      <c r="G126" s="16"/>
      <c r="H126" s="17"/>
      <c r="I126" s="18" t="str">
        <f aca="false">IF(A126="","",IF(OR(B126="",C126="",D126="",E126=""),"Category, item, status, source needed",IF(AND(D126&lt;&gt;"Known",OR(F126="",G126="")),"Owner and next step needed","OK")))</f>
        <v/>
      </c>
    </row>
    <row r="127" customFormat="false" ht="15" hidden="false" customHeight="false" outlineLevel="0" collapsed="false">
      <c r="A127" s="16"/>
      <c r="B127" s="16"/>
      <c r="C127" s="16"/>
      <c r="D127" s="16"/>
      <c r="E127" s="16"/>
      <c r="F127" s="16"/>
      <c r="G127" s="16"/>
      <c r="H127" s="17"/>
      <c r="I127" s="18" t="str">
        <f aca="false">IF(A127="","",IF(OR(B127="",C127="",D127="",E127=""),"Category, item, status, source needed",IF(AND(D127&lt;&gt;"Known",OR(F127="",G127="")),"Owner and next step needed","OK")))</f>
        <v/>
      </c>
    </row>
    <row r="128" customFormat="false" ht="15" hidden="false" customHeight="false" outlineLevel="0" collapsed="false">
      <c r="A128" s="16"/>
      <c r="B128" s="16"/>
      <c r="C128" s="16"/>
      <c r="D128" s="16"/>
      <c r="E128" s="16"/>
      <c r="F128" s="16"/>
      <c r="G128" s="16"/>
      <c r="H128" s="17"/>
      <c r="I128" s="18" t="str">
        <f aca="false">IF(A128="","",IF(OR(B128="",C128="",D128="",E128=""),"Category, item, status, source needed",IF(AND(D128&lt;&gt;"Known",OR(F128="",G128="")),"Owner and next step needed","OK")))</f>
        <v/>
      </c>
    </row>
    <row r="129" customFormat="false" ht="15" hidden="false" customHeight="false" outlineLevel="0" collapsed="false">
      <c r="A129" s="16"/>
      <c r="B129" s="16"/>
      <c r="C129" s="16"/>
      <c r="D129" s="16"/>
      <c r="E129" s="16"/>
      <c r="F129" s="16"/>
      <c r="G129" s="16"/>
      <c r="H129" s="17"/>
      <c r="I129" s="18" t="str">
        <f aca="false">IF(A129="","",IF(OR(B129="",C129="",D129="",E129=""),"Category, item, status, source needed",IF(AND(D129&lt;&gt;"Known",OR(F129="",G129="")),"Owner and next step needed","OK")))</f>
        <v/>
      </c>
    </row>
    <row r="130" customFormat="false" ht="15" hidden="false" customHeight="false" outlineLevel="0" collapsed="false">
      <c r="A130" s="16"/>
      <c r="B130" s="16"/>
      <c r="C130" s="16"/>
      <c r="D130" s="16"/>
      <c r="E130" s="16"/>
      <c r="F130" s="16"/>
      <c r="G130" s="16"/>
      <c r="H130" s="17"/>
      <c r="I130" s="18" t="str">
        <f aca="false">IF(A130="","",IF(OR(B130="",C130="",D130="",E130=""),"Category, item, status, source needed",IF(AND(D130&lt;&gt;"Known",OR(F130="",G130="")),"Owner and next step needed","OK")))</f>
        <v/>
      </c>
    </row>
    <row r="131" customFormat="false" ht="15" hidden="false" customHeight="false" outlineLevel="0" collapsed="false">
      <c r="A131" s="16"/>
      <c r="B131" s="16"/>
      <c r="C131" s="16"/>
      <c r="D131" s="16"/>
      <c r="E131" s="16"/>
      <c r="F131" s="16"/>
      <c r="G131" s="16"/>
      <c r="H131" s="17"/>
      <c r="I131" s="18" t="str">
        <f aca="false">IF(A131="","",IF(OR(B131="",C131="",D131="",E131=""),"Category, item, status, source needed",IF(AND(D131&lt;&gt;"Known",OR(F131="",G131="")),"Owner and next step needed","OK")))</f>
        <v/>
      </c>
    </row>
    <row r="132" customFormat="false" ht="15" hidden="false" customHeight="false" outlineLevel="0" collapsed="false">
      <c r="A132" s="16"/>
      <c r="B132" s="16"/>
      <c r="C132" s="16"/>
      <c r="D132" s="16"/>
      <c r="E132" s="16"/>
      <c r="F132" s="16"/>
      <c r="G132" s="16"/>
      <c r="H132" s="17"/>
      <c r="I132" s="18" t="str">
        <f aca="false">IF(A132="","",IF(OR(B132="",C132="",D132="",E132=""),"Category, item, status, source needed",IF(AND(D132&lt;&gt;"Known",OR(F132="",G132="")),"Owner and next step needed","OK")))</f>
        <v/>
      </c>
    </row>
    <row r="133" customFormat="false" ht="15" hidden="false" customHeight="false" outlineLevel="0" collapsed="false">
      <c r="A133" s="16"/>
      <c r="B133" s="16"/>
      <c r="C133" s="16"/>
      <c r="D133" s="16"/>
      <c r="E133" s="16"/>
      <c r="F133" s="16"/>
      <c r="G133" s="16"/>
      <c r="H133" s="17"/>
      <c r="I133" s="18" t="str">
        <f aca="false">IF(A133="","",IF(OR(B133="",C133="",D133="",E133=""),"Category, item, status, source needed",IF(AND(D133&lt;&gt;"Known",OR(F133="",G133="")),"Owner and next step needed","OK")))</f>
        <v/>
      </c>
    </row>
    <row r="134" customFormat="false" ht="15" hidden="false" customHeight="false" outlineLevel="0" collapsed="false">
      <c r="A134" s="16"/>
      <c r="B134" s="16"/>
      <c r="C134" s="16"/>
      <c r="D134" s="16"/>
      <c r="E134" s="16"/>
      <c r="F134" s="16"/>
      <c r="G134" s="16"/>
      <c r="H134" s="17"/>
      <c r="I134" s="18" t="str">
        <f aca="false">IF(A134="","",IF(OR(B134="",C134="",D134="",E134=""),"Category, item, status, source needed",IF(AND(D134&lt;&gt;"Known",OR(F134="",G134="")),"Owner and next step needed","OK")))</f>
        <v/>
      </c>
    </row>
    <row r="135" customFormat="false" ht="15" hidden="false" customHeight="false" outlineLevel="0" collapsed="false">
      <c r="A135" s="16"/>
      <c r="B135" s="16"/>
      <c r="C135" s="16"/>
      <c r="D135" s="16"/>
      <c r="E135" s="16"/>
      <c r="F135" s="16"/>
      <c r="G135" s="16"/>
      <c r="H135" s="17"/>
      <c r="I135" s="18" t="str">
        <f aca="false">IF(A135="","",IF(OR(B135="",C135="",D135="",E135=""),"Category, item, status, source needed",IF(AND(D135&lt;&gt;"Known",OR(F135="",G135="")),"Owner and next step needed","OK")))</f>
        <v/>
      </c>
    </row>
    <row r="136" customFormat="false" ht="15" hidden="false" customHeight="false" outlineLevel="0" collapsed="false">
      <c r="A136" s="16"/>
      <c r="B136" s="16"/>
      <c r="C136" s="16"/>
      <c r="D136" s="16"/>
      <c r="E136" s="16"/>
      <c r="F136" s="16"/>
      <c r="G136" s="16"/>
      <c r="H136" s="17"/>
      <c r="I136" s="18" t="str">
        <f aca="false">IF(A136="","",IF(OR(B136="",C136="",D136="",E136=""),"Category, item, status, source needed",IF(AND(D136&lt;&gt;"Known",OR(F136="",G136="")),"Owner and next step needed","OK")))</f>
        <v/>
      </c>
    </row>
    <row r="137" customFormat="false" ht="15" hidden="false" customHeight="false" outlineLevel="0" collapsed="false">
      <c r="A137" s="16"/>
      <c r="B137" s="16"/>
      <c r="C137" s="16"/>
      <c r="D137" s="16"/>
      <c r="E137" s="16"/>
      <c r="F137" s="16"/>
      <c r="G137" s="16"/>
      <c r="H137" s="17"/>
      <c r="I137" s="18" t="str">
        <f aca="false">IF(A137="","",IF(OR(B137="",C137="",D137="",E137=""),"Category, item, status, source needed",IF(AND(D137&lt;&gt;"Known",OR(F137="",G137="")),"Owner and next step needed","OK")))</f>
        <v/>
      </c>
    </row>
    <row r="138" customFormat="false" ht="15" hidden="false" customHeight="false" outlineLevel="0" collapsed="false">
      <c r="A138" s="16"/>
      <c r="B138" s="16"/>
      <c r="C138" s="16"/>
      <c r="D138" s="16"/>
      <c r="E138" s="16"/>
      <c r="F138" s="16"/>
      <c r="G138" s="16"/>
      <c r="H138" s="17"/>
      <c r="I138" s="18" t="str">
        <f aca="false">IF(A138="","",IF(OR(B138="",C138="",D138="",E138=""),"Category, item, status, source needed",IF(AND(D138&lt;&gt;"Known",OR(F138="",G138="")),"Owner and next step needed","OK")))</f>
        <v/>
      </c>
    </row>
    <row r="139" customFormat="false" ht="15" hidden="false" customHeight="false" outlineLevel="0" collapsed="false">
      <c r="A139" s="16"/>
      <c r="B139" s="16"/>
      <c r="C139" s="16"/>
      <c r="D139" s="16"/>
      <c r="E139" s="16"/>
      <c r="F139" s="16"/>
      <c r="G139" s="16"/>
      <c r="H139" s="17"/>
      <c r="I139" s="18" t="str">
        <f aca="false">IF(A139="","",IF(OR(B139="",C139="",D139="",E139=""),"Category, item, status, source needed",IF(AND(D139&lt;&gt;"Known",OR(F139="",G139="")),"Owner and next step needed","OK")))</f>
        <v/>
      </c>
    </row>
    <row r="140" customFormat="false" ht="15" hidden="false" customHeight="false" outlineLevel="0" collapsed="false">
      <c r="A140" s="16"/>
      <c r="B140" s="16"/>
      <c r="C140" s="16"/>
      <c r="D140" s="16"/>
      <c r="E140" s="16"/>
      <c r="F140" s="16"/>
      <c r="G140" s="16"/>
      <c r="H140" s="17"/>
      <c r="I140" s="18" t="str">
        <f aca="false">IF(A140="","",IF(OR(B140="",C140="",D140="",E140=""),"Category, item, status, source needed",IF(AND(D140&lt;&gt;"Known",OR(F140="",G140="")),"Owner and next step needed","OK")))</f>
        <v/>
      </c>
    </row>
    <row r="141" customFormat="false" ht="15" hidden="false" customHeight="false" outlineLevel="0" collapsed="false">
      <c r="A141" s="16"/>
      <c r="B141" s="16"/>
      <c r="C141" s="16"/>
      <c r="D141" s="16"/>
      <c r="E141" s="16"/>
      <c r="F141" s="16"/>
      <c r="G141" s="16"/>
      <c r="H141" s="17"/>
      <c r="I141" s="18" t="str">
        <f aca="false">IF(A141="","",IF(OR(B141="",C141="",D141="",E141=""),"Category, item, status, source needed",IF(AND(D141&lt;&gt;"Known",OR(F141="",G141="")),"Owner and next step needed","OK")))</f>
        <v/>
      </c>
    </row>
    <row r="142" customFormat="false" ht="15" hidden="false" customHeight="false" outlineLevel="0" collapsed="false">
      <c r="A142" s="16"/>
      <c r="B142" s="16"/>
      <c r="C142" s="16"/>
      <c r="D142" s="16"/>
      <c r="E142" s="16"/>
      <c r="F142" s="16"/>
      <c r="G142" s="16"/>
      <c r="H142" s="17"/>
      <c r="I142" s="18" t="str">
        <f aca="false">IF(A142="","",IF(OR(B142="",C142="",D142="",E142=""),"Category, item, status, source needed",IF(AND(D142&lt;&gt;"Known",OR(F142="",G142="")),"Owner and next step needed","OK")))</f>
        <v/>
      </c>
    </row>
    <row r="143" customFormat="false" ht="15" hidden="false" customHeight="false" outlineLevel="0" collapsed="false">
      <c r="A143" s="16"/>
      <c r="B143" s="16"/>
      <c r="C143" s="16"/>
      <c r="D143" s="16"/>
      <c r="E143" s="16"/>
      <c r="F143" s="16"/>
      <c r="G143" s="16"/>
      <c r="H143" s="17"/>
      <c r="I143" s="18" t="str">
        <f aca="false">IF(A143="","",IF(OR(B143="",C143="",D143="",E143=""),"Category, item, status, source needed",IF(AND(D143&lt;&gt;"Known",OR(F143="",G143="")),"Owner and next step needed","OK")))</f>
        <v/>
      </c>
    </row>
    <row r="144" customFormat="false" ht="15" hidden="false" customHeight="false" outlineLevel="0" collapsed="false">
      <c r="A144" s="16"/>
      <c r="B144" s="16"/>
      <c r="C144" s="16"/>
      <c r="D144" s="16"/>
      <c r="E144" s="16"/>
      <c r="F144" s="16"/>
      <c r="G144" s="16"/>
      <c r="H144" s="17"/>
      <c r="I144" s="18" t="str">
        <f aca="false">IF(A144="","",IF(OR(B144="",C144="",D144="",E144=""),"Category, item, status, source needed",IF(AND(D144&lt;&gt;"Known",OR(F144="",G144="")),"Owner and next step needed","OK")))</f>
        <v/>
      </c>
    </row>
    <row r="145" customFormat="false" ht="15" hidden="false" customHeight="false" outlineLevel="0" collapsed="false">
      <c r="A145" s="16"/>
      <c r="B145" s="16"/>
      <c r="C145" s="16"/>
      <c r="D145" s="16"/>
      <c r="E145" s="16"/>
      <c r="F145" s="16"/>
      <c r="G145" s="16"/>
      <c r="H145" s="17"/>
      <c r="I145" s="18" t="str">
        <f aca="false">IF(A145="","",IF(OR(B145="",C145="",D145="",E145=""),"Category, item, status, source needed",IF(AND(D145&lt;&gt;"Known",OR(F145="",G145="")),"Owner and next step needed","OK")))</f>
        <v/>
      </c>
    </row>
    <row r="146" customFormat="false" ht="15" hidden="false" customHeight="false" outlineLevel="0" collapsed="false">
      <c r="A146" s="16"/>
      <c r="B146" s="16"/>
      <c r="C146" s="16"/>
      <c r="D146" s="16"/>
      <c r="E146" s="16"/>
      <c r="F146" s="16"/>
      <c r="G146" s="16"/>
      <c r="H146" s="17"/>
      <c r="I146" s="18" t="str">
        <f aca="false">IF(A146="","",IF(OR(B146="",C146="",D146="",E146=""),"Category, item, status, source needed",IF(AND(D146&lt;&gt;"Known",OR(F146="",G146="")),"Owner and next step needed","OK")))</f>
        <v/>
      </c>
    </row>
    <row r="147" customFormat="false" ht="15" hidden="false" customHeight="false" outlineLevel="0" collapsed="false">
      <c r="A147" s="16"/>
      <c r="B147" s="16"/>
      <c r="C147" s="16"/>
      <c r="D147" s="16"/>
      <c r="E147" s="16"/>
      <c r="F147" s="16"/>
      <c r="G147" s="16"/>
      <c r="H147" s="17"/>
      <c r="I147" s="18" t="str">
        <f aca="false">IF(A147="","",IF(OR(B147="",C147="",D147="",E147=""),"Category, item, status, source needed",IF(AND(D147&lt;&gt;"Known",OR(F147="",G147="")),"Owner and next step needed","OK")))</f>
        <v/>
      </c>
    </row>
    <row r="148" customFormat="false" ht="15" hidden="false" customHeight="false" outlineLevel="0" collapsed="false">
      <c r="A148" s="16"/>
      <c r="B148" s="16"/>
      <c r="C148" s="16"/>
      <c r="D148" s="16"/>
      <c r="E148" s="16"/>
      <c r="F148" s="16"/>
      <c r="G148" s="16"/>
      <c r="H148" s="17"/>
      <c r="I148" s="18" t="str">
        <f aca="false">IF(A148="","",IF(OR(B148="",C148="",D148="",E148=""),"Category, item, status, source needed",IF(AND(D148&lt;&gt;"Known",OR(F148="",G148="")),"Owner and next step needed","OK")))</f>
        <v/>
      </c>
    </row>
    <row r="149" customFormat="false" ht="15" hidden="false" customHeight="false" outlineLevel="0" collapsed="false">
      <c r="A149" s="16"/>
      <c r="B149" s="16"/>
      <c r="C149" s="16"/>
      <c r="D149" s="16"/>
      <c r="E149" s="16"/>
      <c r="F149" s="16"/>
      <c r="G149" s="16"/>
      <c r="H149" s="17"/>
      <c r="I149" s="18" t="str">
        <f aca="false">IF(A149="","",IF(OR(B149="",C149="",D149="",E149=""),"Category, item, status, source needed",IF(AND(D149&lt;&gt;"Known",OR(F149="",G149="")),"Owner and next step needed","OK")))</f>
        <v/>
      </c>
    </row>
    <row r="150" customFormat="false" ht="15" hidden="false" customHeight="false" outlineLevel="0" collapsed="false">
      <c r="A150" s="16"/>
      <c r="B150" s="16"/>
      <c r="C150" s="16"/>
      <c r="D150" s="16"/>
      <c r="E150" s="16"/>
      <c r="F150" s="16"/>
      <c r="G150" s="16"/>
      <c r="H150" s="17"/>
      <c r="I150" s="18" t="str">
        <f aca="false">IF(A150="","",IF(OR(B150="",C150="",D150="",E150=""),"Category, item, status, source needed",IF(AND(D150&lt;&gt;"Known",OR(F150="",G150="")),"Owner and next step needed","OK")))</f>
        <v/>
      </c>
    </row>
    <row r="151" customFormat="false" ht="15" hidden="false" customHeight="false" outlineLevel="0" collapsed="false">
      <c r="A151" s="16"/>
      <c r="B151" s="16"/>
      <c r="C151" s="16"/>
      <c r="D151" s="16"/>
      <c r="E151" s="16"/>
      <c r="F151" s="16"/>
      <c r="G151" s="16"/>
      <c r="H151" s="17"/>
      <c r="I151" s="18" t="str">
        <f aca="false">IF(A151="","",IF(OR(B151="",C151="",D151="",E151=""),"Category, item, status, source needed",IF(AND(D151&lt;&gt;"Known",OR(F151="",G151="")),"Owner and next step needed","OK")))</f>
        <v/>
      </c>
    </row>
    <row r="152" customFormat="false" ht="15" hidden="false" customHeight="false" outlineLevel="0" collapsed="false">
      <c r="A152" s="16"/>
      <c r="B152" s="16"/>
      <c r="C152" s="16"/>
      <c r="D152" s="16"/>
      <c r="E152" s="16"/>
      <c r="F152" s="16"/>
      <c r="G152" s="16"/>
      <c r="H152" s="17"/>
      <c r="I152" s="18" t="str">
        <f aca="false">IF(A152="","",IF(OR(B152="",C152="",D152="",E152=""),"Category, item, status, source needed",IF(AND(D152&lt;&gt;"Known",OR(F152="",G152="")),"Owner and next step needed","OK")))</f>
        <v/>
      </c>
    </row>
    <row r="153" customFormat="false" ht="15" hidden="false" customHeight="false" outlineLevel="0" collapsed="false">
      <c r="A153" s="16"/>
      <c r="B153" s="16"/>
      <c r="C153" s="16"/>
      <c r="D153" s="16"/>
      <c r="E153" s="16"/>
      <c r="F153" s="16"/>
      <c r="G153" s="16"/>
      <c r="H153" s="17"/>
      <c r="I153" s="18" t="str">
        <f aca="false">IF(A153="","",IF(OR(B153="",C153="",D153="",E153=""),"Category, item, status, source needed",IF(AND(D153&lt;&gt;"Known",OR(F153="",G153="")),"Owner and next step needed","OK")))</f>
        <v/>
      </c>
    </row>
    <row r="154" customFormat="false" ht="15" hidden="false" customHeight="false" outlineLevel="0" collapsed="false">
      <c r="A154" s="16"/>
      <c r="B154" s="16"/>
      <c r="C154" s="16"/>
      <c r="D154" s="16"/>
      <c r="E154" s="16"/>
      <c r="F154" s="16"/>
      <c r="G154" s="16"/>
      <c r="H154" s="17"/>
      <c r="I154" s="18" t="str">
        <f aca="false">IF(A154="","",IF(OR(B154="",C154="",D154="",E154=""),"Category, item, status, source needed",IF(AND(D154&lt;&gt;"Known",OR(F154="",G154="")),"Owner and next step needed","OK")))</f>
        <v/>
      </c>
    </row>
    <row r="155" customFormat="false" ht="15" hidden="false" customHeight="false" outlineLevel="0" collapsed="false">
      <c r="A155" s="16"/>
      <c r="B155" s="16"/>
      <c r="C155" s="16"/>
      <c r="D155" s="16"/>
      <c r="E155" s="16"/>
      <c r="F155" s="16"/>
      <c r="G155" s="16"/>
      <c r="H155" s="17"/>
      <c r="I155" s="18" t="str">
        <f aca="false">IF(A155="","",IF(OR(B155="",C155="",D155="",E155=""),"Category, item, status, source needed",IF(AND(D155&lt;&gt;"Known",OR(F155="",G155="")),"Owner and next step needed","OK")))</f>
        <v/>
      </c>
    </row>
    <row r="156" customFormat="false" ht="15" hidden="false" customHeight="false" outlineLevel="0" collapsed="false">
      <c r="A156" s="16"/>
      <c r="B156" s="16"/>
      <c r="C156" s="16"/>
      <c r="D156" s="16"/>
      <c r="E156" s="16"/>
      <c r="F156" s="16"/>
      <c r="G156" s="16"/>
      <c r="H156" s="17"/>
      <c r="I156" s="18" t="str">
        <f aca="false">IF(A156="","",IF(OR(B156="",C156="",D156="",E156=""),"Category, item, status, source needed",IF(AND(D156&lt;&gt;"Known",OR(F156="",G156="")),"Owner and next step needed","OK")))</f>
        <v/>
      </c>
    </row>
    <row r="157" customFormat="false" ht="15" hidden="false" customHeight="false" outlineLevel="0" collapsed="false">
      <c r="A157" s="16"/>
      <c r="B157" s="16"/>
      <c r="C157" s="16"/>
      <c r="D157" s="16"/>
      <c r="E157" s="16"/>
      <c r="F157" s="16"/>
      <c r="G157" s="16"/>
      <c r="H157" s="17"/>
      <c r="I157" s="18" t="str">
        <f aca="false">IF(A157="","",IF(OR(B157="",C157="",D157="",E157=""),"Category, item, status, source needed",IF(AND(D157&lt;&gt;"Known",OR(F157="",G157="")),"Owner and next step needed","OK")))</f>
        <v/>
      </c>
    </row>
    <row r="158" customFormat="false" ht="15" hidden="false" customHeight="false" outlineLevel="0" collapsed="false">
      <c r="A158" s="16"/>
      <c r="B158" s="16"/>
      <c r="C158" s="16"/>
      <c r="D158" s="16"/>
      <c r="E158" s="16"/>
      <c r="F158" s="16"/>
      <c r="G158" s="16"/>
      <c r="H158" s="17"/>
      <c r="I158" s="18" t="str">
        <f aca="false">IF(A158="","",IF(OR(B158="",C158="",D158="",E158=""),"Category, item, status, source needed",IF(AND(D158&lt;&gt;"Known",OR(F158="",G158="")),"Owner and next step needed","OK")))</f>
        <v/>
      </c>
    </row>
    <row r="159" customFormat="false" ht="15" hidden="false" customHeight="false" outlineLevel="0" collapsed="false">
      <c r="A159" s="16"/>
      <c r="B159" s="16"/>
      <c r="C159" s="16"/>
      <c r="D159" s="16"/>
      <c r="E159" s="16"/>
      <c r="F159" s="16"/>
      <c r="G159" s="16"/>
      <c r="H159" s="17"/>
      <c r="I159" s="18" t="str">
        <f aca="false">IF(A159="","",IF(OR(B159="",C159="",D159="",E159=""),"Category, item, status, source needed",IF(AND(D159&lt;&gt;"Known",OR(F159="",G159="")),"Owner and next step needed","OK")))</f>
        <v/>
      </c>
    </row>
    <row r="160" customFormat="false" ht="15" hidden="false" customHeight="false" outlineLevel="0" collapsed="false">
      <c r="A160" s="16"/>
      <c r="B160" s="16"/>
      <c r="C160" s="16"/>
      <c r="D160" s="16"/>
      <c r="E160" s="16"/>
      <c r="F160" s="16"/>
      <c r="G160" s="16"/>
      <c r="H160" s="17"/>
      <c r="I160" s="18" t="str">
        <f aca="false">IF(A160="","",IF(OR(B160="",C160="",D160="",E160=""),"Category, item, status, source needed",IF(AND(D160&lt;&gt;"Known",OR(F160="",G160="")),"Owner and next step needed","OK")))</f>
        <v/>
      </c>
    </row>
    <row r="161" customFormat="false" ht="15" hidden="false" customHeight="false" outlineLevel="0" collapsed="false">
      <c r="A161" s="16"/>
      <c r="B161" s="16"/>
      <c r="C161" s="16"/>
      <c r="D161" s="16"/>
      <c r="E161" s="16"/>
      <c r="F161" s="16"/>
      <c r="G161" s="16"/>
      <c r="H161" s="17"/>
      <c r="I161" s="18" t="str">
        <f aca="false">IF(A161="","",IF(OR(B161="",C161="",D161="",E161=""),"Category, item, status, source needed",IF(AND(D161&lt;&gt;"Known",OR(F161="",G161="")),"Owner and next step needed","OK")))</f>
        <v/>
      </c>
    </row>
    <row r="162" customFormat="false" ht="15" hidden="false" customHeight="false" outlineLevel="0" collapsed="false">
      <c r="A162" s="16"/>
      <c r="B162" s="16"/>
      <c r="C162" s="16"/>
      <c r="D162" s="16"/>
      <c r="E162" s="16"/>
      <c r="F162" s="16"/>
      <c r="G162" s="16"/>
      <c r="H162" s="17"/>
      <c r="I162" s="18" t="str">
        <f aca="false">IF(A162="","",IF(OR(B162="",C162="",D162="",E162=""),"Category, item, status, source needed",IF(AND(D162&lt;&gt;"Known",OR(F162="",G162="")),"Owner and next step needed","OK")))</f>
        <v/>
      </c>
    </row>
    <row r="163" customFormat="false" ht="15" hidden="false" customHeight="false" outlineLevel="0" collapsed="false">
      <c r="A163" s="16"/>
      <c r="B163" s="16"/>
      <c r="C163" s="16"/>
      <c r="D163" s="16"/>
      <c r="E163" s="16"/>
      <c r="F163" s="16"/>
      <c r="G163" s="16"/>
      <c r="H163" s="17"/>
      <c r="I163" s="18" t="str">
        <f aca="false">IF(A163="","",IF(OR(B163="",C163="",D163="",E163=""),"Category, item, status, source needed",IF(AND(D163&lt;&gt;"Known",OR(F163="",G163="")),"Owner and next step needed","OK")))</f>
        <v/>
      </c>
    </row>
    <row r="164" customFormat="false" ht="15" hidden="false" customHeight="false" outlineLevel="0" collapsed="false">
      <c r="A164" s="16"/>
      <c r="B164" s="16"/>
      <c r="C164" s="16"/>
      <c r="D164" s="16"/>
      <c r="E164" s="16"/>
      <c r="F164" s="16"/>
      <c r="G164" s="16"/>
      <c r="H164" s="17"/>
      <c r="I164" s="18" t="str">
        <f aca="false">IF(A164="","",IF(OR(B164="",C164="",D164="",E164=""),"Category, item, status, source needed",IF(AND(D164&lt;&gt;"Known",OR(F164="",G164="")),"Owner and next step needed","OK")))</f>
        <v/>
      </c>
    </row>
    <row r="165" customFormat="false" ht="15" hidden="false" customHeight="false" outlineLevel="0" collapsed="false">
      <c r="A165" s="16"/>
      <c r="B165" s="16"/>
      <c r="C165" s="16"/>
      <c r="D165" s="16"/>
      <c r="E165" s="16"/>
      <c r="F165" s="16"/>
      <c r="G165" s="16"/>
      <c r="H165" s="17"/>
      <c r="I165" s="18" t="str">
        <f aca="false">IF(A165="","",IF(OR(B165="",C165="",D165="",E165=""),"Category, item, status, source needed",IF(AND(D165&lt;&gt;"Known",OR(F165="",G165="")),"Owner and next step needed","OK")))</f>
        <v/>
      </c>
    </row>
    <row r="166" customFormat="false" ht="15" hidden="false" customHeight="false" outlineLevel="0" collapsed="false">
      <c r="A166" s="16"/>
      <c r="B166" s="16"/>
      <c r="C166" s="16"/>
      <c r="D166" s="16"/>
      <c r="E166" s="16"/>
      <c r="F166" s="16"/>
      <c r="G166" s="16"/>
      <c r="H166" s="17"/>
      <c r="I166" s="18" t="str">
        <f aca="false">IF(A166="","",IF(OR(B166="",C166="",D166="",E166=""),"Category, item, status, source needed",IF(AND(D166&lt;&gt;"Known",OR(F166="",G166="")),"Owner and next step needed","OK")))</f>
        <v/>
      </c>
    </row>
    <row r="167" customFormat="false" ht="15" hidden="false" customHeight="false" outlineLevel="0" collapsed="false">
      <c r="A167" s="16"/>
      <c r="B167" s="16"/>
      <c r="C167" s="16"/>
      <c r="D167" s="16"/>
      <c r="E167" s="16"/>
      <c r="F167" s="16"/>
      <c r="G167" s="16"/>
      <c r="H167" s="17"/>
      <c r="I167" s="18" t="str">
        <f aca="false">IF(A167="","",IF(OR(B167="",C167="",D167="",E167=""),"Category, item, status, source needed",IF(AND(D167&lt;&gt;"Known",OR(F167="",G167="")),"Owner and next step needed","OK")))</f>
        <v/>
      </c>
    </row>
    <row r="168" customFormat="false" ht="15" hidden="false" customHeight="false" outlineLevel="0" collapsed="false">
      <c r="A168" s="16"/>
      <c r="B168" s="16"/>
      <c r="C168" s="16"/>
      <c r="D168" s="16"/>
      <c r="E168" s="16"/>
      <c r="F168" s="16"/>
      <c r="G168" s="16"/>
      <c r="H168" s="17"/>
      <c r="I168" s="18" t="str">
        <f aca="false">IF(A168="","",IF(OR(B168="",C168="",D168="",E168=""),"Category, item, status, source needed",IF(AND(D168&lt;&gt;"Known",OR(F168="",G168="")),"Owner and next step needed","OK")))</f>
        <v/>
      </c>
    </row>
    <row r="169" customFormat="false" ht="15" hidden="false" customHeight="false" outlineLevel="0" collapsed="false">
      <c r="A169" s="16"/>
      <c r="B169" s="16"/>
      <c r="C169" s="16"/>
      <c r="D169" s="16"/>
      <c r="E169" s="16"/>
      <c r="F169" s="16"/>
      <c r="G169" s="16"/>
      <c r="H169" s="17"/>
      <c r="I169" s="18" t="str">
        <f aca="false">IF(A169="","",IF(OR(B169="",C169="",D169="",E169=""),"Category, item, status, source needed",IF(AND(D169&lt;&gt;"Known",OR(F169="",G169="")),"Owner and next step needed","OK")))</f>
        <v/>
      </c>
    </row>
    <row r="170" customFormat="false" ht="15" hidden="false" customHeight="false" outlineLevel="0" collapsed="false">
      <c r="A170" s="16"/>
      <c r="B170" s="16"/>
      <c r="C170" s="16"/>
      <c r="D170" s="16"/>
      <c r="E170" s="16"/>
      <c r="F170" s="16"/>
      <c r="G170" s="16"/>
      <c r="H170" s="17"/>
      <c r="I170" s="18" t="str">
        <f aca="false">IF(A170="","",IF(OR(B170="",C170="",D170="",E170=""),"Category, item, status, source needed",IF(AND(D170&lt;&gt;"Known",OR(F170="",G170="")),"Owner and next step needed","OK")))</f>
        <v/>
      </c>
    </row>
    <row r="171" customFormat="false" ht="15" hidden="false" customHeight="false" outlineLevel="0" collapsed="false">
      <c r="A171" s="16"/>
      <c r="B171" s="16"/>
      <c r="C171" s="16"/>
      <c r="D171" s="16"/>
      <c r="E171" s="16"/>
      <c r="F171" s="16"/>
      <c r="G171" s="16"/>
      <c r="H171" s="17"/>
      <c r="I171" s="18" t="str">
        <f aca="false">IF(A171="","",IF(OR(B171="",C171="",D171="",E171=""),"Category, item, status, source needed",IF(AND(D171&lt;&gt;"Known",OR(F171="",G171="")),"Owner and next step needed","OK")))</f>
        <v/>
      </c>
    </row>
    <row r="172" customFormat="false" ht="15" hidden="false" customHeight="false" outlineLevel="0" collapsed="false">
      <c r="A172" s="16"/>
      <c r="B172" s="16"/>
      <c r="C172" s="16"/>
      <c r="D172" s="16"/>
      <c r="E172" s="16"/>
      <c r="F172" s="16"/>
      <c r="G172" s="16"/>
      <c r="H172" s="17"/>
      <c r="I172" s="18" t="str">
        <f aca="false">IF(A172="","",IF(OR(B172="",C172="",D172="",E172=""),"Category, item, status, source needed",IF(AND(D172&lt;&gt;"Known",OR(F172="",G172="")),"Owner and next step needed","OK")))</f>
        <v/>
      </c>
    </row>
    <row r="173" customFormat="false" ht="15" hidden="false" customHeight="false" outlineLevel="0" collapsed="false">
      <c r="A173" s="16"/>
      <c r="B173" s="16"/>
      <c r="C173" s="16"/>
      <c r="D173" s="16"/>
      <c r="E173" s="16"/>
      <c r="F173" s="16"/>
      <c r="G173" s="16"/>
      <c r="H173" s="17"/>
      <c r="I173" s="18" t="str">
        <f aca="false">IF(A173="","",IF(OR(B173="",C173="",D173="",E173=""),"Category, item, status, source needed",IF(AND(D173&lt;&gt;"Known",OR(F173="",G173="")),"Owner and next step needed","OK")))</f>
        <v/>
      </c>
    </row>
    <row r="174" customFormat="false" ht="15" hidden="false" customHeight="false" outlineLevel="0" collapsed="false">
      <c r="A174" s="16"/>
      <c r="B174" s="16"/>
      <c r="C174" s="16"/>
      <c r="D174" s="16"/>
      <c r="E174" s="16"/>
      <c r="F174" s="16"/>
      <c r="G174" s="16"/>
      <c r="H174" s="17"/>
      <c r="I174" s="18" t="str">
        <f aca="false">IF(A174="","",IF(OR(B174="",C174="",D174="",E174=""),"Category, item, status, source needed",IF(AND(D174&lt;&gt;"Known",OR(F174="",G174="")),"Owner and next step needed","OK")))</f>
        <v/>
      </c>
    </row>
    <row r="175" customFormat="false" ht="15" hidden="false" customHeight="false" outlineLevel="0" collapsed="false">
      <c r="A175" s="16"/>
      <c r="B175" s="16"/>
      <c r="C175" s="16"/>
      <c r="D175" s="16"/>
      <c r="E175" s="16"/>
      <c r="F175" s="16"/>
      <c r="G175" s="16"/>
      <c r="H175" s="17"/>
      <c r="I175" s="18" t="str">
        <f aca="false">IF(A175="","",IF(OR(B175="",C175="",D175="",E175=""),"Category, item, status, source needed",IF(AND(D175&lt;&gt;"Known",OR(F175="",G175="")),"Owner and next step needed","OK")))</f>
        <v/>
      </c>
    </row>
    <row r="176" customFormat="false" ht="15" hidden="false" customHeight="false" outlineLevel="0" collapsed="false">
      <c r="A176" s="16"/>
      <c r="B176" s="16"/>
      <c r="C176" s="16"/>
      <c r="D176" s="16"/>
      <c r="E176" s="16"/>
      <c r="F176" s="16"/>
      <c r="G176" s="16"/>
      <c r="H176" s="17"/>
      <c r="I176" s="18" t="str">
        <f aca="false">IF(A176="","",IF(OR(B176="",C176="",D176="",E176=""),"Category, item, status, source needed",IF(AND(D176&lt;&gt;"Known",OR(F176="",G176="")),"Owner and next step needed","OK")))</f>
        <v/>
      </c>
    </row>
    <row r="177" customFormat="false" ht="15" hidden="false" customHeight="false" outlineLevel="0" collapsed="false">
      <c r="A177" s="16"/>
      <c r="B177" s="16"/>
      <c r="C177" s="16"/>
      <c r="D177" s="16"/>
      <c r="E177" s="16"/>
      <c r="F177" s="16"/>
      <c r="G177" s="16"/>
      <c r="H177" s="17"/>
      <c r="I177" s="18" t="str">
        <f aca="false">IF(A177="","",IF(OR(B177="",C177="",D177="",E177=""),"Category, item, status, source needed",IF(AND(D177&lt;&gt;"Known",OR(F177="",G177="")),"Owner and next step needed","OK")))</f>
        <v/>
      </c>
    </row>
    <row r="178" customFormat="false" ht="15" hidden="false" customHeight="false" outlineLevel="0" collapsed="false">
      <c r="A178" s="16"/>
      <c r="B178" s="16"/>
      <c r="C178" s="16"/>
      <c r="D178" s="16"/>
      <c r="E178" s="16"/>
      <c r="F178" s="16"/>
      <c r="G178" s="16"/>
      <c r="H178" s="17"/>
      <c r="I178" s="18" t="str">
        <f aca="false">IF(A178="","",IF(OR(B178="",C178="",D178="",E178=""),"Category, item, status, source needed",IF(AND(D178&lt;&gt;"Known",OR(F178="",G178="")),"Owner and next step needed","OK")))</f>
        <v/>
      </c>
    </row>
    <row r="179" customFormat="false" ht="15" hidden="false" customHeight="false" outlineLevel="0" collapsed="false">
      <c r="A179" s="16"/>
      <c r="B179" s="16"/>
      <c r="C179" s="16"/>
      <c r="D179" s="16"/>
      <c r="E179" s="16"/>
      <c r="F179" s="16"/>
      <c r="G179" s="16"/>
      <c r="H179" s="17"/>
      <c r="I179" s="18" t="str">
        <f aca="false">IF(A179="","",IF(OR(B179="",C179="",D179="",E179=""),"Category, item, status, source needed",IF(AND(D179&lt;&gt;"Known",OR(F179="",G179="")),"Owner and next step needed","OK")))</f>
        <v/>
      </c>
    </row>
    <row r="180" customFormat="false" ht="15" hidden="false" customHeight="false" outlineLevel="0" collapsed="false">
      <c r="A180" s="16"/>
      <c r="B180" s="16"/>
      <c r="C180" s="16"/>
      <c r="D180" s="16"/>
      <c r="E180" s="16"/>
      <c r="F180" s="16"/>
      <c r="G180" s="16"/>
      <c r="H180" s="17"/>
      <c r="I180" s="18" t="str">
        <f aca="false">IF(A180="","",IF(OR(B180="",C180="",D180="",E180=""),"Category, item, status, source needed",IF(AND(D180&lt;&gt;"Known",OR(F180="",G180="")),"Owner and next step needed","OK")))</f>
        <v/>
      </c>
    </row>
    <row r="181" customFormat="false" ht="15" hidden="false" customHeight="false" outlineLevel="0" collapsed="false">
      <c r="A181" s="16"/>
      <c r="B181" s="16"/>
      <c r="C181" s="16"/>
      <c r="D181" s="16"/>
      <c r="E181" s="16"/>
      <c r="F181" s="16"/>
      <c r="G181" s="16"/>
      <c r="H181" s="17"/>
      <c r="I181" s="18" t="str">
        <f aca="false">IF(A181="","",IF(OR(B181="",C181="",D181="",E181=""),"Category, item, status, source needed",IF(AND(D181&lt;&gt;"Known",OR(F181="",G181="")),"Owner and next step needed","OK")))</f>
        <v/>
      </c>
    </row>
    <row r="182" customFormat="false" ht="15" hidden="false" customHeight="false" outlineLevel="0" collapsed="false">
      <c r="A182" s="16"/>
      <c r="B182" s="16"/>
      <c r="C182" s="16"/>
      <c r="D182" s="16"/>
      <c r="E182" s="16"/>
      <c r="F182" s="16"/>
      <c r="G182" s="16"/>
      <c r="H182" s="17"/>
      <c r="I182" s="18" t="str">
        <f aca="false">IF(A182="","",IF(OR(B182="",C182="",D182="",E182=""),"Category, item, status, source needed",IF(AND(D182&lt;&gt;"Known",OR(F182="",G182="")),"Owner and next step needed","OK")))</f>
        <v/>
      </c>
    </row>
    <row r="183" customFormat="false" ht="15" hidden="false" customHeight="false" outlineLevel="0" collapsed="false">
      <c r="A183" s="16"/>
      <c r="B183" s="16"/>
      <c r="C183" s="16"/>
      <c r="D183" s="16"/>
      <c r="E183" s="16"/>
      <c r="F183" s="16"/>
      <c r="G183" s="16"/>
      <c r="H183" s="17"/>
      <c r="I183" s="18" t="str">
        <f aca="false">IF(A183="","",IF(OR(B183="",C183="",D183="",E183=""),"Category, item, status, source needed",IF(AND(D183&lt;&gt;"Known",OR(F183="",G183="")),"Owner and next step needed","OK")))</f>
        <v/>
      </c>
    </row>
    <row r="184" customFormat="false" ht="15" hidden="false" customHeight="false" outlineLevel="0" collapsed="false">
      <c r="A184" s="16"/>
      <c r="B184" s="16"/>
      <c r="C184" s="16"/>
      <c r="D184" s="16"/>
      <c r="E184" s="16"/>
      <c r="F184" s="16"/>
      <c r="G184" s="16"/>
      <c r="H184" s="17"/>
      <c r="I184" s="18" t="str">
        <f aca="false">IF(A184="","",IF(OR(B184="",C184="",D184="",E184=""),"Category, item, status, source needed",IF(AND(D184&lt;&gt;"Known",OR(F184="",G184="")),"Owner and next step needed","OK")))</f>
        <v/>
      </c>
    </row>
    <row r="185" customFormat="false" ht="15" hidden="false" customHeight="false" outlineLevel="0" collapsed="false">
      <c r="A185" s="16"/>
      <c r="B185" s="16"/>
      <c r="C185" s="16"/>
      <c r="D185" s="16"/>
      <c r="E185" s="16"/>
      <c r="F185" s="16"/>
      <c r="G185" s="16"/>
      <c r="H185" s="17"/>
      <c r="I185" s="18" t="str">
        <f aca="false">IF(A185="","",IF(OR(B185="",C185="",D185="",E185=""),"Category, item, status, source needed",IF(AND(D185&lt;&gt;"Known",OR(F185="",G185="")),"Owner and next step needed","OK")))</f>
        <v/>
      </c>
    </row>
    <row r="186" customFormat="false" ht="15" hidden="false" customHeight="false" outlineLevel="0" collapsed="false">
      <c r="A186" s="16"/>
      <c r="B186" s="16"/>
      <c r="C186" s="16"/>
      <c r="D186" s="16"/>
      <c r="E186" s="16"/>
      <c r="F186" s="16"/>
      <c r="G186" s="16"/>
      <c r="H186" s="17"/>
      <c r="I186" s="18" t="str">
        <f aca="false">IF(A186="","",IF(OR(B186="",C186="",D186="",E186=""),"Category, item, status, source needed",IF(AND(D186&lt;&gt;"Known",OR(F186="",G186="")),"Owner and next step needed","OK")))</f>
        <v/>
      </c>
    </row>
    <row r="187" customFormat="false" ht="15" hidden="false" customHeight="false" outlineLevel="0" collapsed="false">
      <c r="A187" s="16"/>
      <c r="B187" s="16"/>
      <c r="C187" s="16"/>
      <c r="D187" s="16"/>
      <c r="E187" s="16"/>
      <c r="F187" s="16"/>
      <c r="G187" s="16"/>
      <c r="H187" s="17"/>
      <c r="I187" s="18" t="str">
        <f aca="false">IF(A187="","",IF(OR(B187="",C187="",D187="",E187=""),"Category, item, status, source needed",IF(AND(D187&lt;&gt;"Known",OR(F187="",G187="")),"Owner and next step needed","OK")))</f>
        <v/>
      </c>
    </row>
    <row r="188" customFormat="false" ht="15" hidden="false" customHeight="false" outlineLevel="0" collapsed="false">
      <c r="A188" s="16"/>
      <c r="B188" s="16"/>
      <c r="C188" s="16"/>
      <c r="D188" s="16"/>
      <c r="E188" s="16"/>
      <c r="F188" s="16"/>
      <c r="G188" s="16"/>
      <c r="H188" s="17"/>
      <c r="I188" s="18" t="str">
        <f aca="false">IF(A188="","",IF(OR(B188="",C188="",D188="",E188=""),"Category, item, status, source needed",IF(AND(D188&lt;&gt;"Known",OR(F188="",G188="")),"Owner and next step needed","OK")))</f>
        <v/>
      </c>
    </row>
    <row r="189" customFormat="false" ht="15" hidden="false" customHeight="false" outlineLevel="0" collapsed="false">
      <c r="A189" s="16"/>
      <c r="B189" s="16"/>
      <c r="C189" s="16"/>
      <c r="D189" s="16"/>
      <c r="E189" s="16"/>
      <c r="F189" s="16"/>
      <c r="G189" s="16"/>
      <c r="H189" s="17"/>
      <c r="I189" s="18" t="str">
        <f aca="false">IF(A189="","",IF(OR(B189="",C189="",D189="",E189=""),"Category, item, status, source needed",IF(AND(D189&lt;&gt;"Known",OR(F189="",G189="")),"Owner and next step needed","OK")))</f>
        <v/>
      </c>
    </row>
    <row r="190" customFormat="false" ht="15" hidden="false" customHeight="false" outlineLevel="0" collapsed="false">
      <c r="A190" s="16"/>
      <c r="B190" s="16"/>
      <c r="C190" s="16"/>
      <c r="D190" s="16"/>
      <c r="E190" s="16"/>
      <c r="F190" s="16"/>
      <c r="G190" s="16"/>
      <c r="H190" s="17"/>
      <c r="I190" s="18" t="str">
        <f aca="false">IF(A190="","",IF(OR(B190="",C190="",D190="",E190=""),"Category, item, status, source needed",IF(AND(D190&lt;&gt;"Known",OR(F190="",G190="")),"Owner and next step needed","OK")))</f>
        <v/>
      </c>
    </row>
    <row r="191" customFormat="false" ht="15" hidden="false" customHeight="false" outlineLevel="0" collapsed="false">
      <c r="A191" s="16"/>
      <c r="B191" s="16"/>
      <c r="C191" s="16"/>
      <c r="D191" s="16"/>
      <c r="E191" s="16"/>
      <c r="F191" s="16"/>
      <c r="G191" s="16"/>
      <c r="H191" s="17"/>
      <c r="I191" s="18" t="str">
        <f aca="false">IF(A191="","",IF(OR(B191="",C191="",D191="",E191=""),"Category, item, status, source needed",IF(AND(D191&lt;&gt;"Known",OR(F191="",G191="")),"Owner and next step needed","OK")))</f>
        <v/>
      </c>
    </row>
    <row r="192" customFormat="false" ht="15" hidden="false" customHeight="false" outlineLevel="0" collapsed="false">
      <c r="A192" s="16"/>
      <c r="B192" s="16"/>
      <c r="C192" s="16"/>
      <c r="D192" s="16"/>
      <c r="E192" s="16"/>
      <c r="F192" s="16"/>
      <c r="G192" s="16"/>
      <c r="H192" s="17"/>
      <c r="I192" s="18" t="str">
        <f aca="false">IF(A192="","",IF(OR(B192="",C192="",D192="",E192=""),"Category, item, status, source needed",IF(AND(D192&lt;&gt;"Known",OR(F192="",G192="")),"Owner and next step needed","OK")))</f>
        <v/>
      </c>
    </row>
    <row r="193" customFormat="false" ht="15" hidden="false" customHeight="false" outlineLevel="0" collapsed="false">
      <c r="A193" s="16"/>
      <c r="B193" s="16"/>
      <c r="C193" s="16"/>
      <c r="D193" s="16"/>
      <c r="E193" s="16"/>
      <c r="F193" s="16"/>
      <c r="G193" s="16"/>
      <c r="H193" s="17"/>
      <c r="I193" s="18" t="str">
        <f aca="false">IF(A193="","",IF(OR(B193="",C193="",D193="",E193=""),"Category, item, status, source needed",IF(AND(D193&lt;&gt;"Known",OR(F193="",G193="")),"Owner and next step needed","OK")))</f>
        <v/>
      </c>
    </row>
    <row r="194" customFormat="false" ht="15" hidden="false" customHeight="false" outlineLevel="0" collapsed="false">
      <c r="A194" s="16"/>
      <c r="B194" s="16"/>
      <c r="C194" s="16"/>
      <c r="D194" s="16"/>
      <c r="E194" s="16"/>
      <c r="F194" s="16"/>
      <c r="G194" s="16"/>
      <c r="H194" s="17"/>
      <c r="I194" s="18" t="str">
        <f aca="false">IF(A194="","",IF(OR(B194="",C194="",D194="",E194=""),"Category, item, status, source needed",IF(AND(D194&lt;&gt;"Known",OR(F194="",G194="")),"Owner and next step needed","OK")))</f>
        <v/>
      </c>
    </row>
    <row r="195" customFormat="false" ht="15" hidden="false" customHeight="false" outlineLevel="0" collapsed="false">
      <c r="A195" s="16"/>
      <c r="B195" s="16"/>
      <c r="C195" s="16"/>
      <c r="D195" s="16"/>
      <c r="E195" s="16"/>
      <c r="F195" s="16"/>
      <c r="G195" s="16"/>
      <c r="H195" s="17"/>
      <c r="I195" s="18" t="str">
        <f aca="false">IF(A195="","",IF(OR(B195="",C195="",D195="",E195=""),"Category, item, status, source needed",IF(AND(D195&lt;&gt;"Known",OR(F195="",G195="")),"Owner and next step needed","OK")))</f>
        <v/>
      </c>
    </row>
    <row r="196" customFormat="false" ht="15" hidden="false" customHeight="false" outlineLevel="0" collapsed="false">
      <c r="A196" s="16"/>
      <c r="B196" s="16"/>
      <c r="C196" s="16"/>
      <c r="D196" s="16"/>
      <c r="E196" s="16"/>
      <c r="F196" s="16"/>
      <c r="G196" s="16"/>
      <c r="H196" s="17"/>
      <c r="I196" s="18" t="str">
        <f aca="false">IF(A196="","",IF(OR(B196="",C196="",D196="",E196=""),"Category, item, status, source needed",IF(AND(D196&lt;&gt;"Known",OR(F196="",G196="")),"Owner and next step needed","OK")))</f>
        <v/>
      </c>
    </row>
    <row r="197" customFormat="false" ht="15" hidden="false" customHeight="false" outlineLevel="0" collapsed="false">
      <c r="A197" s="16"/>
      <c r="B197" s="16"/>
      <c r="C197" s="16"/>
      <c r="D197" s="16"/>
      <c r="E197" s="16"/>
      <c r="F197" s="16"/>
      <c r="G197" s="16"/>
      <c r="H197" s="17"/>
      <c r="I197" s="18" t="str">
        <f aca="false">IF(A197="","",IF(OR(B197="",C197="",D197="",E197=""),"Category, item, status, source needed",IF(AND(D197&lt;&gt;"Known",OR(F197="",G197="")),"Owner and next step needed","OK")))</f>
        <v/>
      </c>
    </row>
    <row r="198" customFormat="false" ht="15" hidden="false" customHeight="false" outlineLevel="0" collapsed="false">
      <c r="A198" s="16"/>
      <c r="B198" s="16"/>
      <c r="C198" s="16"/>
      <c r="D198" s="16"/>
      <c r="E198" s="16"/>
      <c r="F198" s="16"/>
      <c r="G198" s="16"/>
      <c r="H198" s="17"/>
      <c r="I198" s="18" t="str">
        <f aca="false">IF(A198="","",IF(OR(B198="",C198="",D198="",E198=""),"Category, item, status, source needed",IF(AND(D198&lt;&gt;"Known",OR(F198="",G198="")),"Owner and next step needed","OK")))</f>
        <v/>
      </c>
    </row>
    <row r="199" customFormat="false" ht="15" hidden="false" customHeight="false" outlineLevel="0" collapsed="false">
      <c r="A199" s="16"/>
      <c r="B199" s="16"/>
      <c r="C199" s="16"/>
      <c r="D199" s="16"/>
      <c r="E199" s="16"/>
      <c r="F199" s="16"/>
      <c r="G199" s="16"/>
      <c r="H199" s="17"/>
      <c r="I199" s="18" t="str">
        <f aca="false">IF(A199="","",IF(OR(B199="",C199="",D199="",E199=""),"Category, item, status, source needed",IF(AND(D199&lt;&gt;"Known",OR(F199="",G199="")),"Owner and next step needed","OK")))</f>
        <v/>
      </c>
    </row>
    <row r="200" customFormat="false" ht="15" hidden="false" customHeight="false" outlineLevel="0" collapsed="false">
      <c r="A200" s="16"/>
      <c r="B200" s="16"/>
      <c r="C200" s="16"/>
      <c r="D200" s="16"/>
      <c r="E200" s="16"/>
      <c r="F200" s="16"/>
      <c r="G200" s="16"/>
      <c r="H200" s="17"/>
      <c r="I200" s="18" t="str">
        <f aca="false">IF(A200="","",IF(OR(B200="",C200="",D200="",E200=""),"Category, item, status, source needed",IF(AND(D200&lt;&gt;"Known",OR(F200="",G200="")),"Owner and next step needed","OK")))</f>
        <v/>
      </c>
    </row>
    <row r="201" customFormat="false" ht="15" hidden="false" customHeight="false" outlineLevel="0" collapsed="false">
      <c r="A201" s="16"/>
      <c r="B201" s="16"/>
      <c r="C201" s="16"/>
      <c r="D201" s="16"/>
      <c r="E201" s="16"/>
      <c r="F201" s="16"/>
      <c r="G201" s="16"/>
      <c r="H201" s="17"/>
      <c r="I201" s="18" t="str">
        <f aca="false">IF(A201="","",IF(OR(B201="",C201="",D201="",E201=""),"Category, item, status, source needed",IF(AND(D201&lt;&gt;"Known",OR(F201="",G201="")),"Owner and next step needed","OK")))</f>
        <v/>
      </c>
    </row>
    <row r="202" customFormat="false" ht="15" hidden="false" customHeight="false" outlineLevel="0" collapsed="false">
      <c r="A202" s="16"/>
      <c r="B202" s="16"/>
      <c r="C202" s="16"/>
      <c r="D202" s="16"/>
      <c r="E202" s="16"/>
      <c r="F202" s="16"/>
      <c r="G202" s="16"/>
      <c r="H202" s="17"/>
      <c r="I202" s="18" t="str">
        <f aca="false">IF(A202="","",IF(OR(B202="",C202="",D202="",E202=""),"Category, item, status, source needed",IF(AND(D202&lt;&gt;"Known",OR(F202="",G202="")),"Owner and next step needed","OK")))</f>
        <v/>
      </c>
    </row>
    <row r="203" customFormat="false" ht="15" hidden="false" customHeight="false" outlineLevel="0" collapsed="false">
      <c r="A203" s="16"/>
      <c r="B203" s="16"/>
      <c r="C203" s="16"/>
      <c r="D203" s="16"/>
      <c r="E203" s="16"/>
      <c r="F203" s="16"/>
      <c r="G203" s="16"/>
      <c r="H203" s="17"/>
      <c r="I203" s="18" t="str">
        <f aca="false">IF(A203="","",IF(OR(B203="",C203="",D203="",E203=""),"Category, item, status, source needed",IF(AND(D203&lt;&gt;"Known",OR(F203="",G203="")),"Owner and next step needed","OK")))</f>
        <v/>
      </c>
    </row>
    <row r="204" customFormat="false" ht="15" hidden="false" customHeight="false" outlineLevel="0" collapsed="false">
      <c r="A204" s="16"/>
      <c r="B204" s="16"/>
      <c r="C204" s="16"/>
      <c r="D204" s="16"/>
      <c r="E204" s="16"/>
      <c r="F204" s="16"/>
      <c r="G204" s="16"/>
      <c r="H204" s="17"/>
      <c r="I204" s="18" t="str">
        <f aca="false">IF(A204="","",IF(OR(B204="",C204="",D204="",E204=""),"Category, item, status, source needed",IF(AND(D204&lt;&gt;"Known",OR(F204="",G204="")),"Owner and next step needed","OK")))</f>
        <v/>
      </c>
    </row>
  </sheetData>
  <autoFilter ref="A4:I204"/>
  <dataValidations count="2">
    <dataValidation allowBlank="true" error="Pick a value from the list." errorStyle="stop" operator="between" showDropDown="false" showErrorMessage="true" showInputMessage="false" sqref="B5:B204" type="list">
      <formula1>Lists!$A$2:$A$7</formula1>
      <formula2>0</formula2>
    </dataValidation>
    <dataValidation allowBlank="true" error="Pick a value from the list." errorStyle="stop" operator="between" showDropDown="false" showErrorMessage="true" showInputMessage="false" sqref="D5:D204" type="list">
      <formula1>Lists!$B$2:$B$4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46"/>
    <col collapsed="false" customWidth="true" hidden="false" outlineLevel="0" max="4" min="4" style="0" width="18"/>
    <col collapsed="false" customWidth="true" hidden="false" outlineLevel="0" max="5" min="5" style="0" width="16"/>
    <col collapsed="false" customWidth="true" hidden="false" outlineLevel="0" max="8" min="6" style="0" width="12"/>
    <col collapsed="false" customWidth="true" hidden="false" outlineLevel="0" max="9" min="9" style="0" width="24"/>
    <col collapsed="false" customWidth="true" hidden="false" outlineLevel="0" max="10" min="10" style="0" width="9"/>
    <col collapsed="false" customWidth="true" hidden="false" outlineLevel="0" max="11" min="11" style="0" width="32"/>
  </cols>
  <sheetData>
    <row r="1" customFormat="false" ht="17.35" hidden="false" customHeight="false" outlineLevel="0" collapsed="false">
      <c r="A1" s="9" t="s">
        <v>91</v>
      </c>
    </row>
    <row r="2" customFormat="false" ht="15" hidden="false" customHeight="false" outlineLevel="0" collapsed="false">
      <c r="A2" s="10" t="s">
        <v>92</v>
      </c>
    </row>
    <row r="4" customFormat="false" ht="31.5" hidden="false" customHeight="true" outlineLevel="0" collapsed="false">
      <c r="A4" s="11" t="s">
        <v>52</v>
      </c>
      <c r="B4" s="11" t="s">
        <v>23</v>
      </c>
      <c r="C4" s="11" t="s">
        <v>55</v>
      </c>
      <c r="D4" s="11" t="s">
        <v>57</v>
      </c>
      <c r="E4" s="11" t="s">
        <v>40</v>
      </c>
      <c r="F4" s="11" t="s">
        <v>59</v>
      </c>
      <c r="G4" s="11" t="s">
        <v>45</v>
      </c>
      <c r="H4" s="11" t="s">
        <v>35</v>
      </c>
      <c r="I4" s="11" t="s">
        <v>64</v>
      </c>
      <c r="J4" s="12" t="s">
        <v>67</v>
      </c>
      <c r="K4" s="12" t="s">
        <v>48</v>
      </c>
    </row>
    <row r="5" customFormat="false" ht="23.85" hidden="false" customHeight="false" outlineLevel="0" collapsed="false">
      <c r="A5" s="13" t="s">
        <v>93</v>
      </c>
      <c r="B5" s="13" t="s">
        <v>94</v>
      </c>
      <c r="C5" s="13" t="s">
        <v>95</v>
      </c>
      <c r="D5" s="13" t="s">
        <v>88</v>
      </c>
      <c r="E5" s="13" t="s">
        <v>89</v>
      </c>
      <c r="F5" s="14" t="n">
        <v>46296</v>
      </c>
      <c r="G5" s="14" t="n">
        <v>46304</v>
      </c>
      <c r="H5" s="13" t="s">
        <v>96</v>
      </c>
      <c r="I5" s="13" t="s">
        <v>97</v>
      </c>
      <c r="J5" s="15" t="n">
        <f aca="true">IF(OR(A5="",G5="",H5="Closed"),"",IF(TODAY()&gt;G5,TODAY()-G5,0))</f>
        <v>0</v>
      </c>
      <c r="K5" s="15" t="str">
        <f aca="false">IF(A5="","",IF(OR(B5="",C5="",E5="",G5=""),"Type, description, owner, target date needed","OK"))</f>
        <v>OK</v>
      </c>
    </row>
    <row r="6" customFormat="false" ht="15" hidden="false" customHeight="false" outlineLevel="0" collapsed="false">
      <c r="A6" s="16"/>
      <c r="B6" s="16"/>
      <c r="C6" s="16"/>
      <c r="D6" s="16"/>
      <c r="E6" s="16"/>
      <c r="F6" s="17"/>
      <c r="G6" s="17"/>
      <c r="H6" s="16"/>
      <c r="I6" s="16"/>
      <c r="J6" s="18" t="str">
        <f aca="true">IF(OR(A6="",G6="",H6="Closed"),"",IF(TODAY()&gt;G6,TODAY()-G6,0))</f>
        <v/>
      </c>
      <c r="K6" s="18" t="str">
        <f aca="false">IF(A6="","",IF(OR(B6="",C6="",E6="",G6=""),"Type, description, owner, target date needed","OK"))</f>
        <v/>
      </c>
    </row>
    <row r="7" customFormat="false" ht="15" hidden="false" customHeight="false" outlineLevel="0" collapsed="false">
      <c r="A7" s="16"/>
      <c r="B7" s="16"/>
      <c r="C7" s="16"/>
      <c r="D7" s="16"/>
      <c r="E7" s="16"/>
      <c r="F7" s="17"/>
      <c r="G7" s="17"/>
      <c r="H7" s="16"/>
      <c r="I7" s="16"/>
      <c r="J7" s="18" t="str">
        <f aca="true">IF(OR(A7="",G7="",H7="Closed"),"",IF(TODAY()&gt;G7,TODAY()-G7,0))</f>
        <v/>
      </c>
      <c r="K7" s="18" t="str">
        <f aca="false">IF(A7="","",IF(OR(B7="",C7="",E7="",G7=""),"Type, description, owner, target date needed","OK"))</f>
        <v/>
      </c>
    </row>
    <row r="8" customFormat="false" ht="15" hidden="false" customHeight="false" outlineLevel="0" collapsed="false">
      <c r="A8" s="16"/>
      <c r="B8" s="16"/>
      <c r="C8" s="16"/>
      <c r="D8" s="16"/>
      <c r="E8" s="16"/>
      <c r="F8" s="17"/>
      <c r="G8" s="17"/>
      <c r="H8" s="16"/>
      <c r="I8" s="16"/>
      <c r="J8" s="18" t="str">
        <f aca="true">IF(OR(A8="",G8="",H8="Closed"),"",IF(TODAY()&gt;G8,TODAY()-G8,0))</f>
        <v/>
      </c>
      <c r="K8" s="18" t="str">
        <f aca="false">IF(A8="","",IF(OR(B8="",C8="",E8="",G8=""),"Type, description, owner, target date needed","OK"))</f>
        <v/>
      </c>
    </row>
    <row r="9" customFormat="false" ht="15" hidden="false" customHeight="false" outlineLevel="0" collapsed="false">
      <c r="A9" s="16"/>
      <c r="B9" s="16"/>
      <c r="C9" s="16"/>
      <c r="D9" s="16"/>
      <c r="E9" s="16"/>
      <c r="F9" s="17"/>
      <c r="G9" s="17"/>
      <c r="H9" s="16"/>
      <c r="I9" s="16"/>
      <c r="J9" s="18" t="str">
        <f aca="true">IF(OR(A9="",G9="",H9="Closed"),"",IF(TODAY()&gt;G9,TODAY()-G9,0))</f>
        <v/>
      </c>
      <c r="K9" s="18" t="str">
        <f aca="false">IF(A9="","",IF(OR(B9="",C9="",E9="",G9=""),"Type, description, owner, target date needed","OK"))</f>
        <v/>
      </c>
    </row>
    <row r="10" customFormat="false" ht="15" hidden="false" customHeight="false" outlineLevel="0" collapsed="false">
      <c r="A10" s="16"/>
      <c r="B10" s="16"/>
      <c r="C10" s="16"/>
      <c r="D10" s="16"/>
      <c r="E10" s="16"/>
      <c r="F10" s="17"/>
      <c r="G10" s="17"/>
      <c r="H10" s="16"/>
      <c r="I10" s="16"/>
      <c r="J10" s="18" t="str">
        <f aca="true">IF(OR(A10="",G10="",H10="Closed"),"",IF(TODAY()&gt;G10,TODAY()-G10,0))</f>
        <v/>
      </c>
      <c r="K10" s="18" t="str">
        <f aca="false">IF(A10="","",IF(OR(B10="",C10="",E10="",G10=""),"Type, description, owner, target date needed","OK"))</f>
        <v/>
      </c>
    </row>
    <row r="11" customFormat="false" ht="15" hidden="false" customHeight="false" outlineLevel="0" collapsed="false">
      <c r="A11" s="16"/>
      <c r="B11" s="16"/>
      <c r="C11" s="16"/>
      <c r="D11" s="16"/>
      <c r="E11" s="16"/>
      <c r="F11" s="17"/>
      <c r="G11" s="17"/>
      <c r="H11" s="16"/>
      <c r="I11" s="16"/>
      <c r="J11" s="18" t="str">
        <f aca="true">IF(OR(A11="",G11="",H11="Closed"),"",IF(TODAY()&gt;G11,TODAY()-G11,0))</f>
        <v/>
      </c>
      <c r="K11" s="18" t="str">
        <f aca="false">IF(A11="","",IF(OR(B11="",C11="",E11="",G11=""),"Type, description, owner, target date needed","OK"))</f>
        <v/>
      </c>
    </row>
    <row r="12" customFormat="false" ht="15" hidden="false" customHeight="false" outlineLevel="0" collapsed="false">
      <c r="A12" s="16"/>
      <c r="B12" s="16"/>
      <c r="C12" s="16"/>
      <c r="D12" s="16"/>
      <c r="E12" s="16"/>
      <c r="F12" s="17"/>
      <c r="G12" s="17"/>
      <c r="H12" s="16"/>
      <c r="I12" s="16"/>
      <c r="J12" s="18" t="str">
        <f aca="true">IF(OR(A12="",G12="",H12="Closed"),"",IF(TODAY()&gt;G12,TODAY()-G12,0))</f>
        <v/>
      </c>
      <c r="K12" s="18" t="str">
        <f aca="false">IF(A12="","",IF(OR(B12="",C12="",E12="",G12=""),"Type, description, owner, target date needed","OK"))</f>
        <v/>
      </c>
    </row>
    <row r="13" customFormat="false" ht="15" hidden="false" customHeight="false" outlineLevel="0" collapsed="false">
      <c r="A13" s="16"/>
      <c r="B13" s="16"/>
      <c r="C13" s="16"/>
      <c r="D13" s="16"/>
      <c r="E13" s="16"/>
      <c r="F13" s="17"/>
      <c r="G13" s="17"/>
      <c r="H13" s="16"/>
      <c r="I13" s="16"/>
      <c r="J13" s="18" t="str">
        <f aca="true">IF(OR(A13="",G13="",H13="Closed"),"",IF(TODAY()&gt;G13,TODAY()-G13,0))</f>
        <v/>
      </c>
      <c r="K13" s="18" t="str">
        <f aca="false">IF(A13="","",IF(OR(B13="",C13="",E13="",G13=""),"Type, description, owner, target date needed","OK"))</f>
        <v/>
      </c>
    </row>
    <row r="14" customFormat="false" ht="15" hidden="false" customHeight="false" outlineLevel="0" collapsed="false">
      <c r="A14" s="16"/>
      <c r="B14" s="16"/>
      <c r="C14" s="16"/>
      <c r="D14" s="16"/>
      <c r="E14" s="16"/>
      <c r="F14" s="17"/>
      <c r="G14" s="17"/>
      <c r="H14" s="16"/>
      <c r="I14" s="16"/>
      <c r="J14" s="18" t="str">
        <f aca="true">IF(OR(A14="",G14="",H14="Closed"),"",IF(TODAY()&gt;G14,TODAY()-G14,0))</f>
        <v/>
      </c>
      <c r="K14" s="18" t="str">
        <f aca="false">IF(A14="","",IF(OR(B14="",C14="",E14="",G14=""),"Type, description, owner, target date needed","OK"))</f>
        <v/>
      </c>
    </row>
    <row r="15" customFormat="false" ht="15" hidden="false" customHeight="false" outlineLevel="0" collapsed="false">
      <c r="A15" s="16"/>
      <c r="B15" s="16"/>
      <c r="C15" s="16"/>
      <c r="D15" s="16"/>
      <c r="E15" s="16"/>
      <c r="F15" s="17"/>
      <c r="G15" s="17"/>
      <c r="H15" s="16"/>
      <c r="I15" s="16"/>
      <c r="J15" s="18" t="str">
        <f aca="true">IF(OR(A15="",G15="",H15="Closed"),"",IF(TODAY()&gt;G15,TODAY()-G15,0))</f>
        <v/>
      </c>
      <c r="K15" s="18" t="str">
        <f aca="false">IF(A15="","",IF(OR(B15="",C15="",E15="",G15=""),"Type, description, owner, target date needed","OK"))</f>
        <v/>
      </c>
    </row>
    <row r="16" customFormat="false" ht="15" hidden="false" customHeight="false" outlineLevel="0" collapsed="false">
      <c r="A16" s="16"/>
      <c r="B16" s="16"/>
      <c r="C16" s="16"/>
      <c r="D16" s="16"/>
      <c r="E16" s="16"/>
      <c r="F16" s="17"/>
      <c r="G16" s="17"/>
      <c r="H16" s="16"/>
      <c r="I16" s="16"/>
      <c r="J16" s="18" t="str">
        <f aca="true">IF(OR(A16="",G16="",H16="Closed"),"",IF(TODAY()&gt;G16,TODAY()-G16,0))</f>
        <v/>
      </c>
      <c r="K16" s="18" t="str">
        <f aca="false">IF(A16="","",IF(OR(B16="",C16="",E16="",G16=""),"Type, description, owner, target date needed","OK"))</f>
        <v/>
      </c>
    </row>
    <row r="17" customFormat="false" ht="15" hidden="false" customHeight="false" outlineLevel="0" collapsed="false">
      <c r="A17" s="16"/>
      <c r="B17" s="16"/>
      <c r="C17" s="16"/>
      <c r="D17" s="16"/>
      <c r="E17" s="16"/>
      <c r="F17" s="17"/>
      <c r="G17" s="17"/>
      <c r="H17" s="16"/>
      <c r="I17" s="16"/>
      <c r="J17" s="18" t="str">
        <f aca="true">IF(OR(A17="",G17="",H17="Closed"),"",IF(TODAY()&gt;G17,TODAY()-G17,0))</f>
        <v/>
      </c>
      <c r="K17" s="18" t="str">
        <f aca="false">IF(A17="","",IF(OR(B17="",C17="",E17="",G17=""),"Type, description, owner, target date needed","OK"))</f>
        <v/>
      </c>
    </row>
    <row r="18" customFormat="false" ht="15" hidden="false" customHeight="false" outlineLevel="0" collapsed="false">
      <c r="A18" s="16"/>
      <c r="B18" s="16"/>
      <c r="C18" s="16"/>
      <c r="D18" s="16"/>
      <c r="E18" s="16"/>
      <c r="F18" s="17"/>
      <c r="G18" s="17"/>
      <c r="H18" s="16"/>
      <c r="I18" s="16"/>
      <c r="J18" s="18" t="str">
        <f aca="true">IF(OR(A18="",G18="",H18="Closed"),"",IF(TODAY()&gt;G18,TODAY()-G18,0))</f>
        <v/>
      </c>
      <c r="K18" s="18" t="str">
        <f aca="false">IF(A18="","",IF(OR(B18="",C18="",E18="",G18=""),"Type, description, owner, target date needed","OK"))</f>
        <v/>
      </c>
    </row>
    <row r="19" customFormat="false" ht="15" hidden="false" customHeight="false" outlineLevel="0" collapsed="false">
      <c r="A19" s="16"/>
      <c r="B19" s="16"/>
      <c r="C19" s="16"/>
      <c r="D19" s="16"/>
      <c r="E19" s="16"/>
      <c r="F19" s="17"/>
      <c r="G19" s="17"/>
      <c r="H19" s="16"/>
      <c r="I19" s="16"/>
      <c r="J19" s="18" t="str">
        <f aca="true">IF(OR(A19="",G19="",H19="Closed"),"",IF(TODAY()&gt;G19,TODAY()-G19,0))</f>
        <v/>
      </c>
      <c r="K19" s="18" t="str">
        <f aca="false">IF(A19="","",IF(OR(B19="",C19="",E19="",G19=""),"Type, description, owner, target date needed","OK"))</f>
        <v/>
      </c>
    </row>
    <row r="20" customFormat="false" ht="15" hidden="false" customHeight="false" outlineLevel="0" collapsed="false">
      <c r="A20" s="16"/>
      <c r="B20" s="16"/>
      <c r="C20" s="16"/>
      <c r="D20" s="16"/>
      <c r="E20" s="16"/>
      <c r="F20" s="17"/>
      <c r="G20" s="17"/>
      <c r="H20" s="16"/>
      <c r="I20" s="16"/>
      <c r="J20" s="18" t="str">
        <f aca="true">IF(OR(A20="",G20="",H20="Closed"),"",IF(TODAY()&gt;G20,TODAY()-G20,0))</f>
        <v/>
      </c>
      <c r="K20" s="18" t="str">
        <f aca="false">IF(A20="","",IF(OR(B20="",C20="",E20="",G20=""),"Type, description, owner, target date needed","OK"))</f>
        <v/>
      </c>
    </row>
    <row r="21" customFormat="false" ht="15" hidden="false" customHeight="false" outlineLevel="0" collapsed="false">
      <c r="A21" s="16"/>
      <c r="B21" s="16"/>
      <c r="C21" s="16"/>
      <c r="D21" s="16"/>
      <c r="E21" s="16"/>
      <c r="F21" s="17"/>
      <c r="G21" s="17"/>
      <c r="H21" s="16"/>
      <c r="I21" s="16"/>
      <c r="J21" s="18" t="str">
        <f aca="true">IF(OR(A21="",G21="",H21="Closed"),"",IF(TODAY()&gt;G21,TODAY()-G21,0))</f>
        <v/>
      </c>
      <c r="K21" s="18" t="str">
        <f aca="false">IF(A21="","",IF(OR(B21="",C21="",E21="",G21=""),"Type, description, owner, target date needed","OK"))</f>
        <v/>
      </c>
    </row>
    <row r="22" customFormat="false" ht="15" hidden="false" customHeight="false" outlineLevel="0" collapsed="false">
      <c r="A22" s="16"/>
      <c r="B22" s="16"/>
      <c r="C22" s="16"/>
      <c r="D22" s="16"/>
      <c r="E22" s="16"/>
      <c r="F22" s="17"/>
      <c r="G22" s="17"/>
      <c r="H22" s="16"/>
      <c r="I22" s="16"/>
      <c r="J22" s="18" t="str">
        <f aca="true">IF(OR(A22="",G22="",H22="Closed"),"",IF(TODAY()&gt;G22,TODAY()-G22,0))</f>
        <v/>
      </c>
      <c r="K22" s="18" t="str">
        <f aca="false">IF(A22="","",IF(OR(B22="",C22="",E22="",G22=""),"Type, description, owner, target date needed","OK"))</f>
        <v/>
      </c>
    </row>
    <row r="23" customFormat="false" ht="15" hidden="false" customHeight="false" outlineLevel="0" collapsed="false">
      <c r="A23" s="16"/>
      <c r="B23" s="16"/>
      <c r="C23" s="16"/>
      <c r="D23" s="16"/>
      <c r="E23" s="16"/>
      <c r="F23" s="17"/>
      <c r="G23" s="17"/>
      <c r="H23" s="16"/>
      <c r="I23" s="16"/>
      <c r="J23" s="18" t="str">
        <f aca="true">IF(OR(A23="",G23="",H23="Closed"),"",IF(TODAY()&gt;G23,TODAY()-G23,0))</f>
        <v/>
      </c>
      <c r="K23" s="18" t="str">
        <f aca="false">IF(A23="","",IF(OR(B23="",C23="",E23="",G23=""),"Type, description, owner, target date needed","OK"))</f>
        <v/>
      </c>
    </row>
    <row r="24" customFormat="false" ht="15" hidden="false" customHeight="false" outlineLevel="0" collapsed="false">
      <c r="A24" s="16"/>
      <c r="B24" s="16"/>
      <c r="C24" s="16"/>
      <c r="D24" s="16"/>
      <c r="E24" s="16"/>
      <c r="F24" s="17"/>
      <c r="G24" s="17"/>
      <c r="H24" s="16"/>
      <c r="I24" s="16"/>
      <c r="J24" s="18" t="str">
        <f aca="true">IF(OR(A24="",G24="",H24="Closed"),"",IF(TODAY()&gt;G24,TODAY()-G24,0))</f>
        <v/>
      </c>
      <c r="K24" s="18" t="str">
        <f aca="false">IF(A24="","",IF(OR(B24="",C24="",E24="",G24=""),"Type, description, owner, target date needed","OK"))</f>
        <v/>
      </c>
    </row>
    <row r="25" customFormat="false" ht="15" hidden="false" customHeight="false" outlineLevel="0" collapsed="false">
      <c r="A25" s="16"/>
      <c r="B25" s="16"/>
      <c r="C25" s="16"/>
      <c r="D25" s="16"/>
      <c r="E25" s="16"/>
      <c r="F25" s="17"/>
      <c r="G25" s="17"/>
      <c r="H25" s="16"/>
      <c r="I25" s="16"/>
      <c r="J25" s="18" t="str">
        <f aca="true">IF(OR(A25="",G25="",H25="Closed"),"",IF(TODAY()&gt;G25,TODAY()-G25,0))</f>
        <v/>
      </c>
      <c r="K25" s="18" t="str">
        <f aca="false">IF(A25="","",IF(OR(B25="",C25="",E25="",G25=""),"Type, description, owner, target date needed","OK"))</f>
        <v/>
      </c>
    </row>
    <row r="26" customFormat="false" ht="15" hidden="false" customHeight="false" outlineLevel="0" collapsed="false">
      <c r="A26" s="16"/>
      <c r="B26" s="16"/>
      <c r="C26" s="16"/>
      <c r="D26" s="16"/>
      <c r="E26" s="16"/>
      <c r="F26" s="17"/>
      <c r="G26" s="17"/>
      <c r="H26" s="16"/>
      <c r="I26" s="16"/>
      <c r="J26" s="18" t="str">
        <f aca="true">IF(OR(A26="",G26="",H26="Closed"),"",IF(TODAY()&gt;G26,TODAY()-G26,0))</f>
        <v/>
      </c>
      <c r="K26" s="18" t="str">
        <f aca="false">IF(A26="","",IF(OR(B26="",C26="",E26="",G26=""),"Type, description, owner, target date needed","OK"))</f>
        <v/>
      </c>
    </row>
    <row r="27" customFormat="false" ht="15" hidden="false" customHeight="false" outlineLevel="0" collapsed="false">
      <c r="A27" s="16"/>
      <c r="B27" s="16"/>
      <c r="C27" s="16"/>
      <c r="D27" s="16"/>
      <c r="E27" s="16"/>
      <c r="F27" s="17"/>
      <c r="G27" s="17"/>
      <c r="H27" s="16"/>
      <c r="I27" s="16"/>
      <c r="J27" s="18" t="str">
        <f aca="true">IF(OR(A27="",G27="",H27="Closed"),"",IF(TODAY()&gt;G27,TODAY()-G27,0))</f>
        <v/>
      </c>
      <c r="K27" s="18" t="str">
        <f aca="false">IF(A27="","",IF(OR(B27="",C27="",E27="",G27=""),"Type, description, owner, target date needed","OK"))</f>
        <v/>
      </c>
    </row>
    <row r="28" customFormat="false" ht="15" hidden="false" customHeight="false" outlineLevel="0" collapsed="false">
      <c r="A28" s="16"/>
      <c r="B28" s="16"/>
      <c r="C28" s="16"/>
      <c r="D28" s="16"/>
      <c r="E28" s="16"/>
      <c r="F28" s="17"/>
      <c r="G28" s="17"/>
      <c r="H28" s="16"/>
      <c r="I28" s="16"/>
      <c r="J28" s="18" t="str">
        <f aca="true">IF(OR(A28="",G28="",H28="Closed"),"",IF(TODAY()&gt;G28,TODAY()-G28,0))</f>
        <v/>
      </c>
      <c r="K28" s="18" t="str">
        <f aca="false">IF(A28="","",IF(OR(B28="",C28="",E28="",G28=""),"Type, description, owner, target date needed","OK"))</f>
        <v/>
      </c>
    </row>
    <row r="29" customFormat="false" ht="15" hidden="false" customHeight="false" outlineLevel="0" collapsed="false">
      <c r="A29" s="16"/>
      <c r="B29" s="16"/>
      <c r="C29" s="16"/>
      <c r="D29" s="16"/>
      <c r="E29" s="16"/>
      <c r="F29" s="17"/>
      <c r="G29" s="17"/>
      <c r="H29" s="16"/>
      <c r="I29" s="16"/>
      <c r="J29" s="18" t="str">
        <f aca="true">IF(OR(A29="",G29="",H29="Closed"),"",IF(TODAY()&gt;G29,TODAY()-G29,0))</f>
        <v/>
      </c>
      <c r="K29" s="18" t="str">
        <f aca="false">IF(A29="","",IF(OR(B29="",C29="",E29="",G29=""),"Type, description, owner, target date needed","OK"))</f>
        <v/>
      </c>
    </row>
    <row r="30" customFormat="false" ht="15" hidden="false" customHeight="false" outlineLevel="0" collapsed="false">
      <c r="A30" s="16"/>
      <c r="B30" s="16"/>
      <c r="C30" s="16"/>
      <c r="D30" s="16"/>
      <c r="E30" s="16"/>
      <c r="F30" s="17"/>
      <c r="G30" s="17"/>
      <c r="H30" s="16"/>
      <c r="I30" s="16"/>
      <c r="J30" s="18" t="str">
        <f aca="true">IF(OR(A30="",G30="",H30="Closed"),"",IF(TODAY()&gt;G30,TODAY()-G30,0))</f>
        <v/>
      </c>
      <c r="K30" s="18" t="str">
        <f aca="false">IF(A30="","",IF(OR(B30="",C30="",E30="",G30=""),"Type, description, owner, target date needed","OK"))</f>
        <v/>
      </c>
    </row>
    <row r="31" customFormat="false" ht="15" hidden="false" customHeight="false" outlineLevel="0" collapsed="false">
      <c r="A31" s="16"/>
      <c r="B31" s="16"/>
      <c r="C31" s="16"/>
      <c r="D31" s="16"/>
      <c r="E31" s="16"/>
      <c r="F31" s="17"/>
      <c r="G31" s="17"/>
      <c r="H31" s="16"/>
      <c r="I31" s="16"/>
      <c r="J31" s="18" t="str">
        <f aca="true">IF(OR(A31="",G31="",H31="Closed"),"",IF(TODAY()&gt;G31,TODAY()-G31,0))</f>
        <v/>
      </c>
      <c r="K31" s="18" t="str">
        <f aca="false">IF(A31="","",IF(OR(B31="",C31="",E31="",G31=""),"Type, description, owner, target date needed","OK"))</f>
        <v/>
      </c>
    </row>
    <row r="32" customFormat="false" ht="15" hidden="false" customHeight="false" outlineLevel="0" collapsed="false">
      <c r="A32" s="16"/>
      <c r="B32" s="16"/>
      <c r="C32" s="16"/>
      <c r="D32" s="16"/>
      <c r="E32" s="16"/>
      <c r="F32" s="17"/>
      <c r="G32" s="17"/>
      <c r="H32" s="16"/>
      <c r="I32" s="16"/>
      <c r="J32" s="18" t="str">
        <f aca="true">IF(OR(A32="",G32="",H32="Closed"),"",IF(TODAY()&gt;G32,TODAY()-G32,0))</f>
        <v/>
      </c>
      <c r="K32" s="18" t="str">
        <f aca="false">IF(A32="","",IF(OR(B32="",C32="",E32="",G32=""),"Type, description, owner, target date needed","OK"))</f>
        <v/>
      </c>
    </row>
    <row r="33" customFormat="false" ht="15" hidden="false" customHeight="false" outlineLevel="0" collapsed="false">
      <c r="A33" s="16"/>
      <c r="B33" s="16"/>
      <c r="C33" s="16"/>
      <c r="D33" s="16"/>
      <c r="E33" s="16"/>
      <c r="F33" s="17"/>
      <c r="G33" s="17"/>
      <c r="H33" s="16"/>
      <c r="I33" s="16"/>
      <c r="J33" s="18" t="str">
        <f aca="true">IF(OR(A33="",G33="",H33="Closed"),"",IF(TODAY()&gt;G33,TODAY()-G33,0))</f>
        <v/>
      </c>
      <c r="K33" s="18" t="str">
        <f aca="false">IF(A33="","",IF(OR(B33="",C33="",E33="",G33=""),"Type, description, owner, target date needed","OK"))</f>
        <v/>
      </c>
    </row>
    <row r="34" customFormat="false" ht="15" hidden="false" customHeight="false" outlineLevel="0" collapsed="false">
      <c r="A34" s="16"/>
      <c r="B34" s="16"/>
      <c r="C34" s="16"/>
      <c r="D34" s="16"/>
      <c r="E34" s="16"/>
      <c r="F34" s="17"/>
      <c r="G34" s="17"/>
      <c r="H34" s="16"/>
      <c r="I34" s="16"/>
      <c r="J34" s="18" t="str">
        <f aca="true">IF(OR(A34="",G34="",H34="Closed"),"",IF(TODAY()&gt;G34,TODAY()-G34,0))</f>
        <v/>
      </c>
      <c r="K34" s="18" t="str">
        <f aca="false">IF(A34="","",IF(OR(B34="",C34="",E34="",G34=""),"Type, description, owner, target date needed","OK"))</f>
        <v/>
      </c>
    </row>
    <row r="35" customFormat="false" ht="15" hidden="false" customHeight="false" outlineLevel="0" collapsed="false">
      <c r="A35" s="16"/>
      <c r="B35" s="16"/>
      <c r="C35" s="16"/>
      <c r="D35" s="16"/>
      <c r="E35" s="16"/>
      <c r="F35" s="17"/>
      <c r="G35" s="17"/>
      <c r="H35" s="16"/>
      <c r="I35" s="16"/>
      <c r="J35" s="18" t="str">
        <f aca="true">IF(OR(A35="",G35="",H35="Closed"),"",IF(TODAY()&gt;G35,TODAY()-G35,0))</f>
        <v/>
      </c>
      <c r="K35" s="18" t="str">
        <f aca="false">IF(A35="","",IF(OR(B35="",C35="",E35="",G35=""),"Type, description, owner, target date needed","OK"))</f>
        <v/>
      </c>
    </row>
    <row r="36" customFormat="false" ht="15" hidden="false" customHeight="false" outlineLevel="0" collapsed="false">
      <c r="A36" s="16"/>
      <c r="B36" s="16"/>
      <c r="C36" s="16"/>
      <c r="D36" s="16"/>
      <c r="E36" s="16"/>
      <c r="F36" s="17"/>
      <c r="G36" s="17"/>
      <c r="H36" s="16"/>
      <c r="I36" s="16"/>
      <c r="J36" s="18" t="str">
        <f aca="true">IF(OR(A36="",G36="",H36="Closed"),"",IF(TODAY()&gt;G36,TODAY()-G36,0))</f>
        <v/>
      </c>
      <c r="K36" s="18" t="str">
        <f aca="false">IF(A36="","",IF(OR(B36="",C36="",E36="",G36=""),"Type, description, owner, target date needed","OK"))</f>
        <v/>
      </c>
    </row>
    <row r="37" customFormat="false" ht="15" hidden="false" customHeight="false" outlineLevel="0" collapsed="false">
      <c r="A37" s="16"/>
      <c r="B37" s="16"/>
      <c r="C37" s="16"/>
      <c r="D37" s="16"/>
      <c r="E37" s="16"/>
      <c r="F37" s="17"/>
      <c r="G37" s="17"/>
      <c r="H37" s="16"/>
      <c r="I37" s="16"/>
      <c r="J37" s="18" t="str">
        <f aca="true">IF(OR(A37="",G37="",H37="Closed"),"",IF(TODAY()&gt;G37,TODAY()-G37,0))</f>
        <v/>
      </c>
      <c r="K37" s="18" t="str">
        <f aca="false">IF(A37="","",IF(OR(B37="",C37="",E37="",G37=""),"Type, description, owner, target date needed","OK"))</f>
        <v/>
      </c>
    </row>
    <row r="38" customFormat="false" ht="15" hidden="false" customHeight="false" outlineLevel="0" collapsed="false">
      <c r="A38" s="16"/>
      <c r="B38" s="16"/>
      <c r="C38" s="16"/>
      <c r="D38" s="16"/>
      <c r="E38" s="16"/>
      <c r="F38" s="17"/>
      <c r="G38" s="17"/>
      <c r="H38" s="16"/>
      <c r="I38" s="16"/>
      <c r="J38" s="18" t="str">
        <f aca="true">IF(OR(A38="",G38="",H38="Closed"),"",IF(TODAY()&gt;G38,TODAY()-G38,0))</f>
        <v/>
      </c>
      <c r="K38" s="18" t="str">
        <f aca="false">IF(A38="","",IF(OR(B38="",C38="",E38="",G38=""),"Type, description, owner, target date needed","OK"))</f>
        <v/>
      </c>
    </row>
    <row r="39" customFormat="false" ht="15" hidden="false" customHeight="false" outlineLevel="0" collapsed="false">
      <c r="A39" s="16"/>
      <c r="B39" s="16"/>
      <c r="C39" s="16"/>
      <c r="D39" s="16"/>
      <c r="E39" s="16"/>
      <c r="F39" s="17"/>
      <c r="G39" s="17"/>
      <c r="H39" s="16"/>
      <c r="I39" s="16"/>
      <c r="J39" s="18" t="str">
        <f aca="true">IF(OR(A39="",G39="",H39="Closed"),"",IF(TODAY()&gt;G39,TODAY()-G39,0))</f>
        <v/>
      </c>
      <c r="K39" s="18" t="str">
        <f aca="false">IF(A39="","",IF(OR(B39="",C39="",E39="",G39=""),"Type, description, owner, target date needed","OK"))</f>
        <v/>
      </c>
    </row>
    <row r="40" customFormat="false" ht="15" hidden="false" customHeight="false" outlineLevel="0" collapsed="false">
      <c r="A40" s="16"/>
      <c r="B40" s="16"/>
      <c r="C40" s="16"/>
      <c r="D40" s="16"/>
      <c r="E40" s="16"/>
      <c r="F40" s="17"/>
      <c r="G40" s="17"/>
      <c r="H40" s="16"/>
      <c r="I40" s="16"/>
      <c r="J40" s="18" t="str">
        <f aca="true">IF(OR(A40="",G40="",H40="Closed"),"",IF(TODAY()&gt;G40,TODAY()-G40,0))</f>
        <v/>
      </c>
      <c r="K40" s="18" t="str">
        <f aca="false">IF(A40="","",IF(OR(B40="",C40="",E40="",G40=""),"Type, description, owner, target date needed","OK"))</f>
        <v/>
      </c>
    </row>
    <row r="41" customFormat="false" ht="15" hidden="false" customHeight="false" outlineLevel="0" collapsed="false">
      <c r="A41" s="16"/>
      <c r="B41" s="16"/>
      <c r="C41" s="16"/>
      <c r="D41" s="16"/>
      <c r="E41" s="16"/>
      <c r="F41" s="17"/>
      <c r="G41" s="17"/>
      <c r="H41" s="16"/>
      <c r="I41" s="16"/>
      <c r="J41" s="18" t="str">
        <f aca="true">IF(OR(A41="",G41="",H41="Closed"),"",IF(TODAY()&gt;G41,TODAY()-G41,0))</f>
        <v/>
      </c>
      <c r="K41" s="18" t="str">
        <f aca="false">IF(A41="","",IF(OR(B41="",C41="",E41="",G41=""),"Type, description, owner, target date needed","OK"))</f>
        <v/>
      </c>
    </row>
    <row r="42" customFormat="false" ht="15" hidden="false" customHeight="false" outlineLevel="0" collapsed="false">
      <c r="A42" s="16"/>
      <c r="B42" s="16"/>
      <c r="C42" s="16"/>
      <c r="D42" s="16"/>
      <c r="E42" s="16"/>
      <c r="F42" s="17"/>
      <c r="G42" s="17"/>
      <c r="H42" s="16"/>
      <c r="I42" s="16"/>
      <c r="J42" s="18" t="str">
        <f aca="true">IF(OR(A42="",G42="",H42="Closed"),"",IF(TODAY()&gt;G42,TODAY()-G42,0))</f>
        <v/>
      </c>
      <c r="K42" s="18" t="str">
        <f aca="false">IF(A42="","",IF(OR(B42="",C42="",E42="",G42=""),"Type, description, owner, target date needed","OK"))</f>
        <v/>
      </c>
    </row>
    <row r="43" customFormat="false" ht="15" hidden="false" customHeight="false" outlineLevel="0" collapsed="false">
      <c r="A43" s="16"/>
      <c r="B43" s="16"/>
      <c r="C43" s="16"/>
      <c r="D43" s="16"/>
      <c r="E43" s="16"/>
      <c r="F43" s="17"/>
      <c r="G43" s="17"/>
      <c r="H43" s="16"/>
      <c r="I43" s="16"/>
      <c r="J43" s="18" t="str">
        <f aca="true">IF(OR(A43="",G43="",H43="Closed"),"",IF(TODAY()&gt;G43,TODAY()-G43,0))</f>
        <v/>
      </c>
      <c r="K43" s="18" t="str">
        <f aca="false">IF(A43="","",IF(OR(B43="",C43="",E43="",G43=""),"Type, description, owner, target date needed","OK"))</f>
        <v/>
      </c>
    </row>
    <row r="44" customFormat="false" ht="15" hidden="false" customHeight="false" outlineLevel="0" collapsed="false">
      <c r="A44" s="16"/>
      <c r="B44" s="16"/>
      <c r="C44" s="16"/>
      <c r="D44" s="16"/>
      <c r="E44" s="16"/>
      <c r="F44" s="17"/>
      <c r="G44" s="17"/>
      <c r="H44" s="16"/>
      <c r="I44" s="16"/>
      <c r="J44" s="18" t="str">
        <f aca="true">IF(OR(A44="",G44="",H44="Closed"),"",IF(TODAY()&gt;G44,TODAY()-G44,0))</f>
        <v/>
      </c>
      <c r="K44" s="18" t="str">
        <f aca="false">IF(A44="","",IF(OR(B44="",C44="",E44="",G44=""),"Type, description, owner, target date needed","OK"))</f>
        <v/>
      </c>
    </row>
    <row r="45" customFormat="false" ht="15" hidden="false" customHeight="false" outlineLevel="0" collapsed="false">
      <c r="A45" s="16"/>
      <c r="B45" s="16"/>
      <c r="C45" s="16"/>
      <c r="D45" s="16"/>
      <c r="E45" s="16"/>
      <c r="F45" s="17"/>
      <c r="G45" s="17"/>
      <c r="H45" s="16"/>
      <c r="I45" s="16"/>
      <c r="J45" s="18" t="str">
        <f aca="true">IF(OR(A45="",G45="",H45="Closed"),"",IF(TODAY()&gt;G45,TODAY()-G45,0))</f>
        <v/>
      </c>
      <c r="K45" s="18" t="str">
        <f aca="false">IF(A45="","",IF(OR(B45="",C45="",E45="",G45=""),"Type, description, owner, target date needed","OK"))</f>
        <v/>
      </c>
    </row>
    <row r="46" customFormat="false" ht="15" hidden="false" customHeight="false" outlineLevel="0" collapsed="false">
      <c r="A46" s="16"/>
      <c r="B46" s="16"/>
      <c r="C46" s="16"/>
      <c r="D46" s="16"/>
      <c r="E46" s="16"/>
      <c r="F46" s="17"/>
      <c r="G46" s="17"/>
      <c r="H46" s="16"/>
      <c r="I46" s="16"/>
      <c r="J46" s="18" t="str">
        <f aca="true">IF(OR(A46="",G46="",H46="Closed"),"",IF(TODAY()&gt;G46,TODAY()-G46,0))</f>
        <v/>
      </c>
      <c r="K46" s="18" t="str">
        <f aca="false">IF(A46="","",IF(OR(B46="",C46="",E46="",G46=""),"Type, description, owner, target date needed","OK"))</f>
        <v/>
      </c>
    </row>
    <row r="47" customFormat="false" ht="15" hidden="false" customHeight="false" outlineLevel="0" collapsed="false">
      <c r="A47" s="16"/>
      <c r="B47" s="16"/>
      <c r="C47" s="16"/>
      <c r="D47" s="16"/>
      <c r="E47" s="16"/>
      <c r="F47" s="17"/>
      <c r="G47" s="17"/>
      <c r="H47" s="16"/>
      <c r="I47" s="16"/>
      <c r="J47" s="18" t="str">
        <f aca="true">IF(OR(A47="",G47="",H47="Closed"),"",IF(TODAY()&gt;G47,TODAY()-G47,0))</f>
        <v/>
      </c>
      <c r="K47" s="18" t="str">
        <f aca="false">IF(A47="","",IF(OR(B47="",C47="",E47="",G47=""),"Type, description, owner, target date needed","OK"))</f>
        <v/>
      </c>
    </row>
    <row r="48" customFormat="false" ht="15" hidden="false" customHeight="false" outlineLevel="0" collapsed="false">
      <c r="A48" s="16"/>
      <c r="B48" s="16"/>
      <c r="C48" s="16"/>
      <c r="D48" s="16"/>
      <c r="E48" s="16"/>
      <c r="F48" s="17"/>
      <c r="G48" s="17"/>
      <c r="H48" s="16"/>
      <c r="I48" s="16"/>
      <c r="J48" s="18" t="str">
        <f aca="true">IF(OR(A48="",G48="",H48="Closed"),"",IF(TODAY()&gt;G48,TODAY()-G48,0))</f>
        <v/>
      </c>
      <c r="K48" s="18" t="str">
        <f aca="false">IF(A48="","",IF(OR(B48="",C48="",E48="",G48=""),"Type, description, owner, target date needed","OK"))</f>
        <v/>
      </c>
    </row>
    <row r="49" customFormat="false" ht="15" hidden="false" customHeight="false" outlineLevel="0" collapsed="false">
      <c r="A49" s="16"/>
      <c r="B49" s="16"/>
      <c r="C49" s="16"/>
      <c r="D49" s="16"/>
      <c r="E49" s="16"/>
      <c r="F49" s="17"/>
      <c r="G49" s="17"/>
      <c r="H49" s="16"/>
      <c r="I49" s="16"/>
      <c r="J49" s="18" t="str">
        <f aca="true">IF(OR(A49="",G49="",H49="Closed"),"",IF(TODAY()&gt;G49,TODAY()-G49,0))</f>
        <v/>
      </c>
      <c r="K49" s="18" t="str">
        <f aca="false">IF(A49="","",IF(OR(B49="",C49="",E49="",G49=""),"Type, description, owner, target date needed","OK"))</f>
        <v/>
      </c>
    </row>
    <row r="50" customFormat="false" ht="15" hidden="false" customHeight="false" outlineLevel="0" collapsed="false">
      <c r="A50" s="16"/>
      <c r="B50" s="16"/>
      <c r="C50" s="16"/>
      <c r="D50" s="16"/>
      <c r="E50" s="16"/>
      <c r="F50" s="17"/>
      <c r="G50" s="17"/>
      <c r="H50" s="16"/>
      <c r="I50" s="16"/>
      <c r="J50" s="18" t="str">
        <f aca="true">IF(OR(A50="",G50="",H50="Closed"),"",IF(TODAY()&gt;G50,TODAY()-G50,0))</f>
        <v/>
      </c>
      <c r="K50" s="18" t="str">
        <f aca="false">IF(A50="","",IF(OR(B50="",C50="",E50="",G50=""),"Type, description, owner, target date needed","OK"))</f>
        <v/>
      </c>
    </row>
    <row r="51" customFormat="false" ht="15" hidden="false" customHeight="false" outlineLevel="0" collapsed="false">
      <c r="A51" s="16"/>
      <c r="B51" s="16"/>
      <c r="C51" s="16"/>
      <c r="D51" s="16"/>
      <c r="E51" s="16"/>
      <c r="F51" s="17"/>
      <c r="G51" s="17"/>
      <c r="H51" s="16"/>
      <c r="I51" s="16"/>
      <c r="J51" s="18" t="str">
        <f aca="true">IF(OR(A51="",G51="",H51="Closed"),"",IF(TODAY()&gt;G51,TODAY()-G51,0))</f>
        <v/>
      </c>
      <c r="K51" s="18" t="str">
        <f aca="false">IF(A51="","",IF(OR(B51="",C51="",E51="",G51=""),"Type, description, owner, target date needed","OK"))</f>
        <v/>
      </c>
    </row>
    <row r="52" customFormat="false" ht="15" hidden="false" customHeight="false" outlineLevel="0" collapsed="false">
      <c r="A52" s="16"/>
      <c r="B52" s="16"/>
      <c r="C52" s="16"/>
      <c r="D52" s="16"/>
      <c r="E52" s="16"/>
      <c r="F52" s="17"/>
      <c r="G52" s="17"/>
      <c r="H52" s="16"/>
      <c r="I52" s="16"/>
      <c r="J52" s="18" t="str">
        <f aca="true">IF(OR(A52="",G52="",H52="Closed"),"",IF(TODAY()&gt;G52,TODAY()-G52,0))</f>
        <v/>
      </c>
      <c r="K52" s="18" t="str">
        <f aca="false">IF(A52="","",IF(OR(B52="",C52="",E52="",G52=""),"Type, description, owner, target date needed","OK"))</f>
        <v/>
      </c>
    </row>
    <row r="53" customFormat="false" ht="15" hidden="false" customHeight="false" outlineLevel="0" collapsed="false">
      <c r="A53" s="16"/>
      <c r="B53" s="16"/>
      <c r="C53" s="16"/>
      <c r="D53" s="16"/>
      <c r="E53" s="16"/>
      <c r="F53" s="17"/>
      <c r="G53" s="17"/>
      <c r="H53" s="16"/>
      <c r="I53" s="16"/>
      <c r="J53" s="18" t="str">
        <f aca="true">IF(OR(A53="",G53="",H53="Closed"),"",IF(TODAY()&gt;G53,TODAY()-G53,0))</f>
        <v/>
      </c>
      <c r="K53" s="18" t="str">
        <f aca="false">IF(A53="","",IF(OR(B53="",C53="",E53="",G53=""),"Type, description, owner, target date needed","OK"))</f>
        <v/>
      </c>
    </row>
    <row r="54" customFormat="false" ht="15" hidden="false" customHeight="false" outlineLevel="0" collapsed="false">
      <c r="A54" s="16"/>
      <c r="B54" s="16"/>
      <c r="C54" s="16"/>
      <c r="D54" s="16"/>
      <c r="E54" s="16"/>
      <c r="F54" s="17"/>
      <c r="G54" s="17"/>
      <c r="H54" s="16"/>
      <c r="I54" s="16"/>
      <c r="J54" s="18" t="str">
        <f aca="true">IF(OR(A54="",G54="",H54="Closed"),"",IF(TODAY()&gt;G54,TODAY()-G54,0))</f>
        <v/>
      </c>
      <c r="K54" s="18" t="str">
        <f aca="false">IF(A54="","",IF(OR(B54="",C54="",E54="",G54=""),"Type, description, owner, target date needed","OK"))</f>
        <v/>
      </c>
    </row>
    <row r="55" customFormat="false" ht="15" hidden="false" customHeight="false" outlineLevel="0" collapsed="false">
      <c r="A55" s="16"/>
      <c r="B55" s="16"/>
      <c r="C55" s="16"/>
      <c r="D55" s="16"/>
      <c r="E55" s="16"/>
      <c r="F55" s="17"/>
      <c r="G55" s="17"/>
      <c r="H55" s="16"/>
      <c r="I55" s="16"/>
      <c r="J55" s="18" t="str">
        <f aca="true">IF(OR(A55="",G55="",H55="Closed"),"",IF(TODAY()&gt;G55,TODAY()-G55,0))</f>
        <v/>
      </c>
      <c r="K55" s="18" t="str">
        <f aca="false">IF(A55="","",IF(OR(B55="",C55="",E55="",G55=""),"Type, description, owner, target date needed","OK"))</f>
        <v/>
      </c>
    </row>
    <row r="56" customFormat="false" ht="15" hidden="false" customHeight="false" outlineLevel="0" collapsed="false">
      <c r="A56" s="16"/>
      <c r="B56" s="16"/>
      <c r="C56" s="16"/>
      <c r="D56" s="16"/>
      <c r="E56" s="16"/>
      <c r="F56" s="17"/>
      <c r="G56" s="17"/>
      <c r="H56" s="16"/>
      <c r="I56" s="16"/>
      <c r="J56" s="18" t="str">
        <f aca="true">IF(OR(A56="",G56="",H56="Closed"),"",IF(TODAY()&gt;G56,TODAY()-G56,0))</f>
        <v/>
      </c>
      <c r="K56" s="18" t="str">
        <f aca="false">IF(A56="","",IF(OR(B56="",C56="",E56="",G56=""),"Type, description, owner, target date needed","OK"))</f>
        <v/>
      </c>
    </row>
    <row r="57" customFormat="false" ht="15" hidden="false" customHeight="false" outlineLevel="0" collapsed="false">
      <c r="A57" s="16"/>
      <c r="B57" s="16"/>
      <c r="C57" s="16"/>
      <c r="D57" s="16"/>
      <c r="E57" s="16"/>
      <c r="F57" s="17"/>
      <c r="G57" s="17"/>
      <c r="H57" s="16"/>
      <c r="I57" s="16"/>
      <c r="J57" s="18" t="str">
        <f aca="true">IF(OR(A57="",G57="",H57="Closed"),"",IF(TODAY()&gt;G57,TODAY()-G57,0))</f>
        <v/>
      </c>
      <c r="K57" s="18" t="str">
        <f aca="false">IF(A57="","",IF(OR(B57="",C57="",E57="",G57=""),"Type, description, owner, target date needed","OK"))</f>
        <v/>
      </c>
    </row>
    <row r="58" customFormat="false" ht="15" hidden="false" customHeight="false" outlineLevel="0" collapsed="false">
      <c r="A58" s="16"/>
      <c r="B58" s="16"/>
      <c r="C58" s="16"/>
      <c r="D58" s="16"/>
      <c r="E58" s="16"/>
      <c r="F58" s="17"/>
      <c r="G58" s="17"/>
      <c r="H58" s="16"/>
      <c r="I58" s="16"/>
      <c r="J58" s="18" t="str">
        <f aca="true">IF(OR(A58="",G58="",H58="Closed"),"",IF(TODAY()&gt;G58,TODAY()-G58,0))</f>
        <v/>
      </c>
      <c r="K58" s="18" t="str">
        <f aca="false">IF(A58="","",IF(OR(B58="",C58="",E58="",G58=""),"Type, description, owner, target date needed","OK"))</f>
        <v/>
      </c>
    </row>
    <row r="59" customFormat="false" ht="15" hidden="false" customHeight="false" outlineLevel="0" collapsed="false">
      <c r="A59" s="16"/>
      <c r="B59" s="16"/>
      <c r="C59" s="16"/>
      <c r="D59" s="16"/>
      <c r="E59" s="16"/>
      <c r="F59" s="17"/>
      <c r="G59" s="17"/>
      <c r="H59" s="16"/>
      <c r="I59" s="16"/>
      <c r="J59" s="18" t="str">
        <f aca="true">IF(OR(A59="",G59="",H59="Closed"),"",IF(TODAY()&gt;G59,TODAY()-G59,0))</f>
        <v/>
      </c>
      <c r="K59" s="18" t="str">
        <f aca="false">IF(A59="","",IF(OR(B59="",C59="",E59="",G59=""),"Type, description, owner, target date needed","OK"))</f>
        <v/>
      </c>
    </row>
    <row r="60" customFormat="false" ht="15" hidden="false" customHeight="false" outlineLevel="0" collapsed="false">
      <c r="A60" s="16"/>
      <c r="B60" s="16"/>
      <c r="C60" s="16"/>
      <c r="D60" s="16"/>
      <c r="E60" s="16"/>
      <c r="F60" s="17"/>
      <c r="G60" s="17"/>
      <c r="H60" s="16"/>
      <c r="I60" s="16"/>
      <c r="J60" s="18" t="str">
        <f aca="true">IF(OR(A60="",G60="",H60="Closed"),"",IF(TODAY()&gt;G60,TODAY()-G60,0))</f>
        <v/>
      </c>
      <c r="K60" s="18" t="str">
        <f aca="false">IF(A60="","",IF(OR(B60="",C60="",E60="",G60=""),"Type, description, owner, target date needed","OK"))</f>
        <v/>
      </c>
    </row>
    <row r="61" customFormat="false" ht="15" hidden="false" customHeight="false" outlineLevel="0" collapsed="false">
      <c r="A61" s="16"/>
      <c r="B61" s="16"/>
      <c r="C61" s="16"/>
      <c r="D61" s="16"/>
      <c r="E61" s="16"/>
      <c r="F61" s="17"/>
      <c r="G61" s="17"/>
      <c r="H61" s="16"/>
      <c r="I61" s="16"/>
      <c r="J61" s="18" t="str">
        <f aca="true">IF(OR(A61="",G61="",H61="Closed"),"",IF(TODAY()&gt;G61,TODAY()-G61,0))</f>
        <v/>
      </c>
      <c r="K61" s="18" t="str">
        <f aca="false">IF(A61="","",IF(OR(B61="",C61="",E61="",G61=""),"Type, description, owner, target date needed","OK"))</f>
        <v/>
      </c>
    </row>
    <row r="62" customFormat="false" ht="15" hidden="false" customHeight="false" outlineLevel="0" collapsed="false">
      <c r="A62" s="16"/>
      <c r="B62" s="16"/>
      <c r="C62" s="16"/>
      <c r="D62" s="16"/>
      <c r="E62" s="16"/>
      <c r="F62" s="17"/>
      <c r="G62" s="17"/>
      <c r="H62" s="16"/>
      <c r="I62" s="16"/>
      <c r="J62" s="18" t="str">
        <f aca="true">IF(OR(A62="",G62="",H62="Closed"),"",IF(TODAY()&gt;G62,TODAY()-G62,0))</f>
        <v/>
      </c>
      <c r="K62" s="18" t="str">
        <f aca="false">IF(A62="","",IF(OR(B62="",C62="",E62="",G62=""),"Type, description, owner, target date needed","OK"))</f>
        <v/>
      </c>
    </row>
    <row r="63" customFormat="false" ht="15" hidden="false" customHeight="false" outlineLevel="0" collapsed="false">
      <c r="A63" s="16"/>
      <c r="B63" s="16"/>
      <c r="C63" s="16"/>
      <c r="D63" s="16"/>
      <c r="E63" s="16"/>
      <c r="F63" s="17"/>
      <c r="G63" s="17"/>
      <c r="H63" s="16"/>
      <c r="I63" s="16"/>
      <c r="J63" s="18" t="str">
        <f aca="true">IF(OR(A63="",G63="",H63="Closed"),"",IF(TODAY()&gt;G63,TODAY()-G63,0))</f>
        <v/>
      </c>
      <c r="K63" s="18" t="str">
        <f aca="false">IF(A63="","",IF(OR(B63="",C63="",E63="",G63=""),"Type, description, owner, target date needed","OK"))</f>
        <v/>
      </c>
    </row>
    <row r="64" customFormat="false" ht="15" hidden="false" customHeight="false" outlineLevel="0" collapsed="false">
      <c r="A64" s="16"/>
      <c r="B64" s="16"/>
      <c r="C64" s="16"/>
      <c r="D64" s="16"/>
      <c r="E64" s="16"/>
      <c r="F64" s="17"/>
      <c r="G64" s="17"/>
      <c r="H64" s="16"/>
      <c r="I64" s="16"/>
      <c r="J64" s="18" t="str">
        <f aca="true">IF(OR(A64="",G64="",H64="Closed"),"",IF(TODAY()&gt;G64,TODAY()-G64,0))</f>
        <v/>
      </c>
      <c r="K64" s="18" t="str">
        <f aca="false">IF(A64="","",IF(OR(B64="",C64="",E64="",G64=""),"Type, description, owner, target date needed","OK"))</f>
        <v/>
      </c>
    </row>
    <row r="65" customFormat="false" ht="15" hidden="false" customHeight="false" outlineLevel="0" collapsed="false">
      <c r="A65" s="16"/>
      <c r="B65" s="16"/>
      <c r="C65" s="16"/>
      <c r="D65" s="16"/>
      <c r="E65" s="16"/>
      <c r="F65" s="17"/>
      <c r="G65" s="17"/>
      <c r="H65" s="16"/>
      <c r="I65" s="16"/>
      <c r="J65" s="18" t="str">
        <f aca="true">IF(OR(A65="",G65="",H65="Closed"),"",IF(TODAY()&gt;G65,TODAY()-G65,0))</f>
        <v/>
      </c>
      <c r="K65" s="18" t="str">
        <f aca="false">IF(A65="","",IF(OR(B65="",C65="",E65="",G65=""),"Type, description, owner, target date needed","OK"))</f>
        <v/>
      </c>
    </row>
    <row r="66" customFormat="false" ht="15" hidden="false" customHeight="false" outlineLevel="0" collapsed="false">
      <c r="A66" s="16"/>
      <c r="B66" s="16"/>
      <c r="C66" s="16"/>
      <c r="D66" s="16"/>
      <c r="E66" s="16"/>
      <c r="F66" s="17"/>
      <c r="G66" s="17"/>
      <c r="H66" s="16"/>
      <c r="I66" s="16"/>
      <c r="J66" s="18" t="str">
        <f aca="true">IF(OR(A66="",G66="",H66="Closed"),"",IF(TODAY()&gt;G66,TODAY()-G66,0))</f>
        <v/>
      </c>
      <c r="K66" s="18" t="str">
        <f aca="false">IF(A66="","",IF(OR(B66="",C66="",E66="",G66=""),"Type, description, owner, target date needed","OK"))</f>
        <v/>
      </c>
    </row>
    <row r="67" customFormat="false" ht="15" hidden="false" customHeight="false" outlineLevel="0" collapsed="false">
      <c r="A67" s="16"/>
      <c r="B67" s="16"/>
      <c r="C67" s="16"/>
      <c r="D67" s="16"/>
      <c r="E67" s="16"/>
      <c r="F67" s="17"/>
      <c r="G67" s="17"/>
      <c r="H67" s="16"/>
      <c r="I67" s="16"/>
      <c r="J67" s="18" t="str">
        <f aca="true">IF(OR(A67="",G67="",H67="Closed"),"",IF(TODAY()&gt;G67,TODAY()-G67,0))</f>
        <v/>
      </c>
      <c r="K67" s="18" t="str">
        <f aca="false">IF(A67="","",IF(OR(B67="",C67="",E67="",G67=""),"Type, description, owner, target date needed","OK"))</f>
        <v/>
      </c>
    </row>
    <row r="68" customFormat="false" ht="15" hidden="false" customHeight="false" outlineLevel="0" collapsed="false">
      <c r="A68" s="16"/>
      <c r="B68" s="16"/>
      <c r="C68" s="16"/>
      <c r="D68" s="16"/>
      <c r="E68" s="16"/>
      <c r="F68" s="17"/>
      <c r="G68" s="17"/>
      <c r="H68" s="16"/>
      <c r="I68" s="16"/>
      <c r="J68" s="18" t="str">
        <f aca="true">IF(OR(A68="",G68="",H68="Closed"),"",IF(TODAY()&gt;G68,TODAY()-G68,0))</f>
        <v/>
      </c>
      <c r="K68" s="18" t="str">
        <f aca="false">IF(A68="","",IF(OR(B68="",C68="",E68="",G68=""),"Type, description, owner, target date needed","OK"))</f>
        <v/>
      </c>
    </row>
    <row r="69" customFormat="false" ht="15" hidden="false" customHeight="false" outlineLevel="0" collapsed="false">
      <c r="A69" s="16"/>
      <c r="B69" s="16"/>
      <c r="C69" s="16"/>
      <c r="D69" s="16"/>
      <c r="E69" s="16"/>
      <c r="F69" s="17"/>
      <c r="G69" s="17"/>
      <c r="H69" s="16"/>
      <c r="I69" s="16"/>
      <c r="J69" s="18" t="str">
        <f aca="true">IF(OR(A69="",G69="",H69="Closed"),"",IF(TODAY()&gt;G69,TODAY()-G69,0))</f>
        <v/>
      </c>
      <c r="K69" s="18" t="str">
        <f aca="false">IF(A69="","",IF(OR(B69="",C69="",E69="",G69=""),"Type, description, owner, target date needed","OK"))</f>
        <v/>
      </c>
    </row>
    <row r="70" customFormat="false" ht="15" hidden="false" customHeight="false" outlineLevel="0" collapsed="false">
      <c r="A70" s="16"/>
      <c r="B70" s="16"/>
      <c r="C70" s="16"/>
      <c r="D70" s="16"/>
      <c r="E70" s="16"/>
      <c r="F70" s="17"/>
      <c r="G70" s="17"/>
      <c r="H70" s="16"/>
      <c r="I70" s="16"/>
      <c r="J70" s="18" t="str">
        <f aca="true">IF(OR(A70="",G70="",H70="Closed"),"",IF(TODAY()&gt;G70,TODAY()-G70,0))</f>
        <v/>
      </c>
      <c r="K70" s="18" t="str">
        <f aca="false">IF(A70="","",IF(OR(B70="",C70="",E70="",G70=""),"Type, description, owner, target date needed","OK"))</f>
        <v/>
      </c>
    </row>
    <row r="71" customFormat="false" ht="15" hidden="false" customHeight="false" outlineLevel="0" collapsed="false">
      <c r="A71" s="16"/>
      <c r="B71" s="16"/>
      <c r="C71" s="16"/>
      <c r="D71" s="16"/>
      <c r="E71" s="16"/>
      <c r="F71" s="17"/>
      <c r="G71" s="17"/>
      <c r="H71" s="16"/>
      <c r="I71" s="16"/>
      <c r="J71" s="18" t="str">
        <f aca="true">IF(OR(A71="",G71="",H71="Closed"),"",IF(TODAY()&gt;G71,TODAY()-G71,0))</f>
        <v/>
      </c>
      <c r="K71" s="18" t="str">
        <f aca="false">IF(A71="","",IF(OR(B71="",C71="",E71="",G71=""),"Type, description, owner, target date needed","OK"))</f>
        <v/>
      </c>
    </row>
    <row r="72" customFormat="false" ht="15" hidden="false" customHeight="false" outlineLevel="0" collapsed="false">
      <c r="A72" s="16"/>
      <c r="B72" s="16"/>
      <c r="C72" s="16"/>
      <c r="D72" s="16"/>
      <c r="E72" s="16"/>
      <c r="F72" s="17"/>
      <c r="G72" s="17"/>
      <c r="H72" s="16"/>
      <c r="I72" s="16"/>
      <c r="J72" s="18" t="str">
        <f aca="true">IF(OR(A72="",G72="",H72="Closed"),"",IF(TODAY()&gt;G72,TODAY()-G72,0))</f>
        <v/>
      </c>
      <c r="K72" s="18" t="str">
        <f aca="false">IF(A72="","",IF(OR(B72="",C72="",E72="",G72=""),"Type, description, owner, target date needed","OK"))</f>
        <v/>
      </c>
    </row>
    <row r="73" customFormat="false" ht="15" hidden="false" customHeight="false" outlineLevel="0" collapsed="false">
      <c r="A73" s="16"/>
      <c r="B73" s="16"/>
      <c r="C73" s="16"/>
      <c r="D73" s="16"/>
      <c r="E73" s="16"/>
      <c r="F73" s="17"/>
      <c r="G73" s="17"/>
      <c r="H73" s="16"/>
      <c r="I73" s="16"/>
      <c r="J73" s="18" t="str">
        <f aca="true">IF(OR(A73="",G73="",H73="Closed"),"",IF(TODAY()&gt;G73,TODAY()-G73,0))</f>
        <v/>
      </c>
      <c r="K73" s="18" t="str">
        <f aca="false">IF(A73="","",IF(OR(B73="",C73="",E73="",G73=""),"Type, description, owner, target date needed","OK"))</f>
        <v/>
      </c>
    </row>
    <row r="74" customFormat="false" ht="15" hidden="false" customHeight="false" outlineLevel="0" collapsed="false">
      <c r="A74" s="16"/>
      <c r="B74" s="16"/>
      <c r="C74" s="16"/>
      <c r="D74" s="16"/>
      <c r="E74" s="16"/>
      <c r="F74" s="17"/>
      <c r="G74" s="17"/>
      <c r="H74" s="16"/>
      <c r="I74" s="16"/>
      <c r="J74" s="18" t="str">
        <f aca="true">IF(OR(A74="",G74="",H74="Closed"),"",IF(TODAY()&gt;G74,TODAY()-G74,0))</f>
        <v/>
      </c>
      <c r="K74" s="18" t="str">
        <f aca="false">IF(A74="","",IF(OR(B74="",C74="",E74="",G74=""),"Type, description, owner, target date needed","OK"))</f>
        <v/>
      </c>
    </row>
    <row r="75" customFormat="false" ht="15" hidden="false" customHeight="false" outlineLevel="0" collapsed="false">
      <c r="A75" s="16"/>
      <c r="B75" s="16"/>
      <c r="C75" s="16"/>
      <c r="D75" s="16"/>
      <c r="E75" s="16"/>
      <c r="F75" s="17"/>
      <c r="G75" s="17"/>
      <c r="H75" s="16"/>
      <c r="I75" s="16"/>
      <c r="J75" s="18" t="str">
        <f aca="true">IF(OR(A75="",G75="",H75="Closed"),"",IF(TODAY()&gt;G75,TODAY()-G75,0))</f>
        <v/>
      </c>
      <c r="K75" s="18" t="str">
        <f aca="false">IF(A75="","",IF(OR(B75="",C75="",E75="",G75=""),"Type, description, owner, target date needed","OK"))</f>
        <v/>
      </c>
    </row>
    <row r="76" customFormat="false" ht="15" hidden="false" customHeight="false" outlineLevel="0" collapsed="false">
      <c r="A76" s="16"/>
      <c r="B76" s="16"/>
      <c r="C76" s="16"/>
      <c r="D76" s="16"/>
      <c r="E76" s="16"/>
      <c r="F76" s="17"/>
      <c r="G76" s="17"/>
      <c r="H76" s="16"/>
      <c r="I76" s="16"/>
      <c r="J76" s="18" t="str">
        <f aca="true">IF(OR(A76="",G76="",H76="Closed"),"",IF(TODAY()&gt;G76,TODAY()-G76,0))</f>
        <v/>
      </c>
      <c r="K76" s="18" t="str">
        <f aca="false">IF(A76="","",IF(OR(B76="",C76="",E76="",G76=""),"Type, description, owner, target date needed","OK"))</f>
        <v/>
      </c>
    </row>
    <row r="77" customFormat="false" ht="15" hidden="false" customHeight="false" outlineLevel="0" collapsed="false">
      <c r="A77" s="16"/>
      <c r="B77" s="16"/>
      <c r="C77" s="16"/>
      <c r="D77" s="16"/>
      <c r="E77" s="16"/>
      <c r="F77" s="17"/>
      <c r="G77" s="17"/>
      <c r="H77" s="16"/>
      <c r="I77" s="16"/>
      <c r="J77" s="18" t="str">
        <f aca="true">IF(OR(A77="",G77="",H77="Closed"),"",IF(TODAY()&gt;G77,TODAY()-G77,0))</f>
        <v/>
      </c>
      <c r="K77" s="18" t="str">
        <f aca="false">IF(A77="","",IF(OR(B77="",C77="",E77="",G77=""),"Type, description, owner, target date needed","OK"))</f>
        <v/>
      </c>
    </row>
    <row r="78" customFormat="false" ht="15" hidden="false" customHeight="false" outlineLevel="0" collapsed="false">
      <c r="A78" s="16"/>
      <c r="B78" s="16"/>
      <c r="C78" s="16"/>
      <c r="D78" s="16"/>
      <c r="E78" s="16"/>
      <c r="F78" s="17"/>
      <c r="G78" s="17"/>
      <c r="H78" s="16"/>
      <c r="I78" s="16"/>
      <c r="J78" s="18" t="str">
        <f aca="true">IF(OR(A78="",G78="",H78="Closed"),"",IF(TODAY()&gt;G78,TODAY()-G78,0))</f>
        <v/>
      </c>
      <c r="K78" s="18" t="str">
        <f aca="false">IF(A78="","",IF(OR(B78="",C78="",E78="",G78=""),"Type, description, owner, target date needed","OK"))</f>
        <v/>
      </c>
    </row>
    <row r="79" customFormat="false" ht="15" hidden="false" customHeight="false" outlineLevel="0" collapsed="false">
      <c r="A79" s="16"/>
      <c r="B79" s="16"/>
      <c r="C79" s="16"/>
      <c r="D79" s="16"/>
      <c r="E79" s="16"/>
      <c r="F79" s="17"/>
      <c r="G79" s="17"/>
      <c r="H79" s="16"/>
      <c r="I79" s="16"/>
      <c r="J79" s="18" t="str">
        <f aca="true">IF(OR(A79="",G79="",H79="Closed"),"",IF(TODAY()&gt;G79,TODAY()-G79,0))</f>
        <v/>
      </c>
      <c r="K79" s="18" t="str">
        <f aca="false">IF(A79="","",IF(OR(B79="",C79="",E79="",G79=""),"Type, description, owner, target date needed","OK"))</f>
        <v/>
      </c>
    </row>
    <row r="80" customFormat="false" ht="15" hidden="false" customHeight="false" outlineLevel="0" collapsed="false">
      <c r="A80" s="16"/>
      <c r="B80" s="16"/>
      <c r="C80" s="16"/>
      <c r="D80" s="16"/>
      <c r="E80" s="16"/>
      <c r="F80" s="17"/>
      <c r="G80" s="17"/>
      <c r="H80" s="16"/>
      <c r="I80" s="16"/>
      <c r="J80" s="18" t="str">
        <f aca="true">IF(OR(A80="",G80="",H80="Closed"),"",IF(TODAY()&gt;G80,TODAY()-G80,0))</f>
        <v/>
      </c>
      <c r="K80" s="18" t="str">
        <f aca="false">IF(A80="","",IF(OR(B80="",C80="",E80="",G80=""),"Type, description, owner, target date needed","OK"))</f>
        <v/>
      </c>
    </row>
    <row r="81" customFormat="false" ht="15" hidden="false" customHeight="false" outlineLevel="0" collapsed="false">
      <c r="A81" s="16"/>
      <c r="B81" s="16"/>
      <c r="C81" s="16"/>
      <c r="D81" s="16"/>
      <c r="E81" s="16"/>
      <c r="F81" s="17"/>
      <c r="G81" s="17"/>
      <c r="H81" s="16"/>
      <c r="I81" s="16"/>
      <c r="J81" s="18" t="str">
        <f aca="true">IF(OR(A81="",G81="",H81="Closed"),"",IF(TODAY()&gt;G81,TODAY()-G81,0))</f>
        <v/>
      </c>
      <c r="K81" s="18" t="str">
        <f aca="false">IF(A81="","",IF(OR(B81="",C81="",E81="",G81=""),"Type, description, owner, target date needed","OK"))</f>
        <v/>
      </c>
    </row>
    <row r="82" customFormat="false" ht="15" hidden="false" customHeight="false" outlineLevel="0" collapsed="false">
      <c r="A82" s="16"/>
      <c r="B82" s="16"/>
      <c r="C82" s="16"/>
      <c r="D82" s="16"/>
      <c r="E82" s="16"/>
      <c r="F82" s="17"/>
      <c r="G82" s="17"/>
      <c r="H82" s="16"/>
      <c r="I82" s="16"/>
      <c r="J82" s="18" t="str">
        <f aca="true">IF(OR(A82="",G82="",H82="Closed"),"",IF(TODAY()&gt;G82,TODAY()-G82,0))</f>
        <v/>
      </c>
      <c r="K82" s="18" t="str">
        <f aca="false">IF(A82="","",IF(OR(B82="",C82="",E82="",G82=""),"Type, description, owner, target date needed","OK"))</f>
        <v/>
      </c>
    </row>
    <row r="83" customFormat="false" ht="15" hidden="false" customHeight="false" outlineLevel="0" collapsed="false">
      <c r="A83" s="16"/>
      <c r="B83" s="16"/>
      <c r="C83" s="16"/>
      <c r="D83" s="16"/>
      <c r="E83" s="16"/>
      <c r="F83" s="17"/>
      <c r="G83" s="17"/>
      <c r="H83" s="16"/>
      <c r="I83" s="16"/>
      <c r="J83" s="18" t="str">
        <f aca="true">IF(OR(A83="",G83="",H83="Closed"),"",IF(TODAY()&gt;G83,TODAY()-G83,0))</f>
        <v/>
      </c>
      <c r="K83" s="18" t="str">
        <f aca="false">IF(A83="","",IF(OR(B83="",C83="",E83="",G83=""),"Type, description, owner, target date needed","OK"))</f>
        <v/>
      </c>
    </row>
    <row r="84" customFormat="false" ht="15" hidden="false" customHeight="false" outlineLevel="0" collapsed="false">
      <c r="A84" s="16"/>
      <c r="B84" s="16"/>
      <c r="C84" s="16"/>
      <c r="D84" s="16"/>
      <c r="E84" s="16"/>
      <c r="F84" s="17"/>
      <c r="G84" s="17"/>
      <c r="H84" s="16"/>
      <c r="I84" s="16"/>
      <c r="J84" s="18" t="str">
        <f aca="true">IF(OR(A84="",G84="",H84="Closed"),"",IF(TODAY()&gt;G84,TODAY()-G84,0))</f>
        <v/>
      </c>
      <c r="K84" s="18" t="str">
        <f aca="false">IF(A84="","",IF(OR(B84="",C84="",E84="",G84=""),"Type, description, owner, target date needed","OK"))</f>
        <v/>
      </c>
    </row>
    <row r="85" customFormat="false" ht="15" hidden="false" customHeight="false" outlineLevel="0" collapsed="false">
      <c r="A85" s="16"/>
      <c r="B85" s="16"/>
      <c r="C85" s="16"/>
      <c r="D85" s="16"/>
      <c r="E85" s="16"/>
      <c r="F85" s="17"/>
      <c r="G85" s="17"/>
      <c r="H85" s="16"/>
      <c r="I85" s="16"/>
      <c r="J85" s="18" t="str">
        <f aca="true">IF(OR(A85="",G85="",H85="Closed"),"",IF(TODAY()&gt;G85,TODAY()-G85,0))</f>
        <v/>
      </c>
      <c r="K85" s="18" t="str">
        <f aca="false">IF(A85="","",IF(OR(B85="",C85="",E85="",G85=""),"Type, description, owner, target date needed","OK"))</f>
        <v/>
      </c>
    </row>
    <row r="86" customFormat="false" ht="15" hidden="false" customHeight="false" outlineLevel="0" collapsed="false">
      <c r="A86" s="16"/>
      <c r="B86" s="16"/>
      <c r="C86" s="16"/>
      <c r="D86" s="16"/>
      <c r="E86" s="16"/>
      <c r="F86" s="17"/>
      <c r="G86" s="17"/>
      <c r="H86" s="16"/>
      <c r="I86" s="16"/>
      <c r="J86" s="18" t="str">
        <f aca="true">IF(OR(A86="",G86="",H86="Closed"),"",IF(TODAY()&gt;G86,TODAY()-G86,0))</f>
        <v/>
      </c>
      <c r="K86" s="18" t="str">
        <f aca="false">IF(A86="","",IF(OR(B86="",C86="",E86="",G86=""),"Type, description, owner, target date needed","OK"))</f>
        <v/>
      </c>
    </row>
    <row r="87" customFormat="false" ht="15" hidden="false" customHeight="false" outlineLevel="0" collapsed="false">
      <c r="A87" s="16"/>
      <c r="B87" s="16"/>
      <c r="C87" s="16"/>
      <c r="D87" s="16"/>
      <c r="E87" s="16"/>
      <c r="F87" s="17"/>
      <c r="G87" s="17"/>
      <c r="H87" s="16"/>
      <c r="I87" s="16"/>
      <c r="J87" s="18" t="str">
        <f aca="true">IF(OR(A87="",G87="",H87="Closed"),"",IF(TODAY()&gt;G87,TODAY()-G87,0))</f>
        <v/>
      </c>
      <c r="K87" s="18" t="str">
        <f aca="false">IF(A87="","",IF(OR(B87="",C87="",E87="",G87=""),"Type, description, owner, target date needed","OK"))</f>
        <v/>
      </c>
    </row>
    <row r="88" customFormat="false" ht="15" hidden="false" customHeight="false" outlineLevel="0" collapsed="false">
      <c r="A88" s="16"/>
      <c r="B88" s="16"/>
      <c r="C88" s="16"/>
      <c r="D88" s="16"/>
      <c r="E88" s="16"/>
      <c r="F88" s="17"/>
      <c r="G88" s="17"/>
      <c r="H88" s="16"/>
      <c r="I88" s="16"/>
      <c r="J88" s="18" t="str">
        <f aca="true">IF(OR(A88="",G88="",H88="Closed"),"",IF(TODAY()&gt;G88,TODAY()-G88,0))</f>
        <v/>
      </c>
      <c r="K88" s="18" t="str">
        <f aca="false">IF(A88="","",IF(OR(B88="",C88="",E88="",G88=""),"Type, description, owner, target date needed","OK"))</f>
        <v/>
      </c>
    </row>
    <row r="89" customFormat="false" ht="15" hidden="false" customHeight="false" outlineLevel="0" collapsed="false">
      <c r="A89" s="16"/>
      <c r="B89" s="16"/>
      <c r="C89" s="16"/>
      <c r="D89" s="16"/>
      <c r="E89" s="16"/>
      <c r="F89" s="17"/>
      <c r="G89" s="17"/>
      <c r="H89" s="16"/>
      <c r="I89" s="16"/>
      <c r="J89" s="18" t="str">
        <f aca="true">IF(OR(A89="",G89="",H89="Closed"),"",IF(TODAY()&gt;G89,TODAY()-G89,0))</f>
        <v/>
      </c>
      <c r="K89" s="18" t="str">
        <f aca="false">IF(A89="","",IF(OR(B89="",C89="",E89="",G89=""),"Type, description, owner, target date needed","OK"))</f>
        <v/>
      </c>
    </row>
    <row r="90" customFormat="false" ht="15" hidden="false" customHeight="false" outlineLevel="0" collapsed="false">
      <c r="A90" s="16"/>
      <c r="B90" s="16"/>
      <c r="C90" s="16"/>
      <c r="D90" s="16"/>
      <c r="E90" s="16"/>
      <c r="F90" s="17"/>
      <c r="G90" s="17"/>
      <c r="H90" s="16"/>
      <c r="I90" s="16"/>
      <c r="J90" s="18" t="str">
        <f aca="true">IF(OR(A90="",G90="",H90="Closed"),"",IF(TODAY()&gt;G90,TODAY()-G90,0))</f>
        <v/>
      </c>
      <c r="K90" s="18" t="str">
        <f aca="false">IF(A90="","",IF(OR(B90="",C90="",E90="",G90=""),"Type, description, owner, target date needed","OK"))</f>
        <v/>
      </c>
    </row>
    <row r="91" customFormat="false" ht="15" hidden="false" customHeight="false" outlineLevel="0" collapsed="false">
      <c r="A91" s="16"/>
      <c r="B91" s="16"/>
      <c r="C91" s="16"/>
      <c r="D91" s="16"/>
      <c r="E91" s="16"/>
      <c r="F91" s="17"/>
      <c r="G91" s="17"/>
      <c r="H91" s="16"/>
      <c r="I91" s="16"/>
      <c r="J91" s="18" t="str">
        <f aca="true">IF(OR(A91="",G91="",H91="Closed"),"",IF(TODAY()&gt;G91,TODAY()-G91,0))</f>
        <v/>
      </c>
      <c r="K91" s="18" t="str">
        <f aca="false">IF(A91="","",IF(OR(B91="",C91="",E91="",G91=""),"Type, description, owner, target date needed","OK"))</f>
        <v/>
      </c>
    </row>
    <row r="92" customFormat="false" ht="15" hidden="false" customHeight="false" outlineLevel="0" collapsed="false">
      <c r="A92" s="16"/>
      <c r="B92" s="16"/>
      <c r="C92" s="16"/>
      <c r="D92" s="16"/>
      <c r="E92" s="16"/>
      <c r="F92" s="17"/>
      <c r="G92" s="17"/>
      <c r="H92" s="16"/>
      <c r="I92" s="16"/>
      <c r="J92" s="18" t="str">
        <f aca="true">IF(OR(A92="",G92="",H92="Closed"),"",IF(TODAY()&gt;G92,TODAY()-G92,0))</f>
        <v/>
      </c>
      <c r="K92" s="18" t="str">
        <f aca="false">IF(A92="","",IF(OR(B92="",C92="",E92="",G92=""),"Type, description, owner, target date needed","OK"))</f>
        <v/>
      </c>
    </row>
    <row r="93" customFormat="false" ht="15" hidden="false" customHeight="false" outlineLevel="0" collapsed="false">
      <c r="A93" s="16"/>
      <c r="B93" s="16"/>
      <c r="C93" s="16"/>
      <c r="D93" s="16"/>
      <c r="E93" s="16"/>
      <c r="F93" s="17"/>
      <c r="G93" s="17"/>
      <c r="H93" s="16"/>
      <c r="I93" s="16"/>
      <c r="J93" s="18" t="str">
        <f aca="true">IF(OR(A93="",G93="",H93="Closed"),"",IF(TODAY()&gt;G93,TODAY()-G93,0))</f>
        <v/>
      </c>
      <c r="K93" s="18" t="str">
        <f aca="false">IF(A93="","",IF(OR(B93="",C93="",E93="",G93=""),"Type, description, owner, target date needed","OK"))</f>
        <v/>
      </c>
    </row>
    <row r="94" customFormat="false" ht="15" hidden="false" customHeight="false" outlineLevel="0" collapsed="false">
      <c r="A94" s="16"/>
      <c r="B94" s="16"/>
      <c r="C94" s="16"/>
      <c r="D94" s="16"/>
      <c r="E94" s="16"/>
      <c r="F94" s="17"/>
      <c r="G94" s="17"/>
      <c r="H94" s="16"/>
      <c r="I94" s="16"/>
      <c r="J94" s="18" t="str">
        <f aca="true">IF(OR(A94="",G94="",H94="Closed"),"",IF(TODAY()&gt;G94,TODAY()-G94,0))</f>
        <v/>
      </c>
      <c r="K94" s="18" t="str">
        <f aca="false">IF(A94="","",IF(OR(B94="",C94="",E94="",G94=""),"Type, description, owner, target date needed","OK"))</f>
        <v/>
      </c>
    </row>
    <row r="95" customFormat="false" ht="15" hidden="false" customHeight="false" outlineLevel="0" collapsed="false">
      <c r="A95" s="16"/>
      <c r="B95" s="16"/>
      <c r="C95" s="16"/>
      <c r="D95" s="16"/>
      <c r="E95" s="16"/>
      <c r="F95" s="17"/>
      <c r="G95" s="17"/>
      <c r="H95" s="16"/>
      <c r="I95" s="16"/>
      <c r="J95" s="18" t="str">
        <f aca="true">IF(OR(A95="",G95="",H95="Closed"),"",IF(TODAY()&gt;G95,TODAY()-G95,0))</f>
        <v/>
      </c>
      <c r="K95" s="18" t="str">
        <f aca="false">IF(A95="","",IF(OR(B95="",C95="",E95="",G95=""),"Type, description, owner, target date needed","OK"))</f>
        <v/>
      </c>
    </row>
    <row r="96" customFormat="false" ht="15" hidden="false" customHeight="false" outlineLevel="0" collapsed="false">
      <c r="A96" s="16"/>
      <c r="B96" s="16"/>
      <c r="C96" s="16"/>
      <c r="D96" s="16"/>
      <c r="E96" s="16"/>
      <c r="F96" s="17"/>
      <c r="G96" s="17"/>
      <c r="H96" s="16"/>
      <c r="I96" s="16"/>
      <c r="J96" s="18" t="str">
        <f aca="true">IF(OR(A96="",G96="",H96="Closed"),"",IF(TODAY()&gt;G96,TODAY()-G96,0))</f>
        <v/>
      </c>
      <c r="K96" s="18" t="str">
        <f aca="false">IF(A96="","",IF(OR(B96="",C96="",E96="",G96=""),"Type, description, owner, target date needed","OK"))</f>
        <v/>
      </c>
    </row>
    <row r="97" customFormat="false" ht="15" hidden="false" customHeight="false" outlineLevel="0" collapsed="false">
      <c r="A97" s="16"/>
      <c r="B97" s="16"/>
      <c r="C97" s="16"/>
      <c r="D97" s="16"/>
      <c r="E97" s="16"/>
      <c r="F97" s="17"/>
      <c r="G97" s="17"/>
      <c r="H97" s="16"/>
      <c r="I97" s="16"/>
      <c r="J97" s="18" t="str">
        <f aca="true">IF(OR(A97="",G97="",H97="Closed"),"",IF(TODAY()&gt;G97,TODAY()-G97,0))</f>
        <v/>
      </c>
      <c r="K97" s="18" t="str">
        <f aca="false">IF(A97="","",IF(OR(B97="",C97="",E97="",G97=""),"Type, description, owner, target date needed","OK"))</f>
        <v/>
      </c>
    </row>
    <row r="98" customFormat="false" ht="15" hidden="false" customHeight="false" outlineLevel="0" collapsed="false">
      <c r="A98" s="16"/>
      <c r="B98" s="16"/>
      <c r="C98" s="16"/>
      <c r="D98" s="16"/>
      <c r="E98" s="16"/>
      <c r="F98" s="17"/>
      <c r="G98" s="17"/>
      <c r="H98" s="16"/>
      <c r="I98" s="16"/>
      <c r="J98" s="18" t="str">
        <f aca="true">IF(OR(A98="",G98="",H98="Closed"),"",IF(TODAY()&gt;G98,TODAY()-G98,0))</f>
        <v/>
      </c>
      <c r="K98" s="18" t="str">
        <f aca="false">IF(A98="","",IF(OR(B98="",C98="",E98="",G98=""),"Type, description, owner, target date needed","OK"))</f>
        <v/>
      </c>
    </row>
    <row r="99" customFormat="false" ht="15" hidden="false" customHeight="false" outlineLevel="0" collapsed="false">
      <c r="A99" s="16"/>
      <c r="B99" s="16"/>
      <c r="C99" s="16"/>
      <c r="D99" s="16"/>
      <c r="E99" s="16"/>
      <c r="F99" s="17"/>
      <c r="G99" s="17"/>
      <c r="H99" s="16"/>
      <c r="I99" s="16"/>
      <c r="J99" s="18" t="str">
        <f aca="true">IF(OR(A99="",G99="",H99="Closed"),"",IF(TODAY()&gt;G99,TODAY()-G99,0))</f>
        <v/>
      </c>
      <c r="K99" s="18" t="str">
        <f aca="false">IF(A99="","",IF(OR(B99="",C99="",E99="",G99=""),"Type, description, owner, target date needed","OK"))</f>
        <v/>
      </c>
    </row>
    <row r="100" customFormat="false" ht="15" hidden="false" customHeight="false" outlineLevel="0" collapsed="false">
      <c r="A100" s="16"/>
      <c r="B100" s="16"/>
      <c r="C100" s="16"/>
      <c r="D100" s="16"/>
      <c r="E100" s="16"/>
      <c r="F100" s="17"/>
      <c r="G100" s="17"/>
      <c r="H100" s="16"/>
      <c r="I100" s="16"/>
      <c r="J100" s="18" t="str">
        <f aca="true">IF(OR(A100="",G100="",H100="Closed"),"",IF(TODAY()&gt;G100,TODAY()-G100,0))</f>
        <v/>
      </c>
      <c r="K100" s="18" t="str">
        <f aca="false">IF(A100="","",IF(OR(B100="",C100="",E100="",G100=""),"Type, description, owner, target date needed","OK"))</f>
        <v/>
      </c>
    </row>
    <row r="101" customFormat="false" ht="15" hidden="false" customHeight="false" outlineLevel="0" collapsed="false">
      <c r="A101" s="16"/>
      <c r="B101" s="16"/>
      <c r="C101" s="16"/>
      <c r="D101" s="16"/>
      <c r="E101" s="16"/>
      <c r="F101" s="17"/>
      <c r="G101" s="17"/>
      <c r="H101" s="16"/>
      <c r="I101" s="16"/>
      <c r="J101" s="18" t="str">
        <f aca="true">IF(OR(A101="",G101="",H101="Closed"),"",IF(TODAY()&gt;G101,TODAY()-G101,0))</f>
        <v/>
      </c>
      <c r="K101" s="18" t="str">
        <f aca="false">IF(A101="","",IF(OR(B101="",C101="",E101="",G101=""),"Type, description, owner, target date needed","OK"))</f>
        <v/>
      </c>
    </row>
    <row r="102" customFormat="false" ht="15" hidden="false" customHeight="false" outlineLevel="0" collapsed="false">
      <c r="A102" s="16"/>
      <c r="B102" s="16"/>
      <c r="C102" s="16"/>
      <c r="D102" s="16"/>
      <c r="E102" s="16"/>
      <c r="F102" s="17"/>
      <c r="G102" s="17"/>
      <c r="H102" s="16"/>
      <c r="I102" s="16"/>
      <c r="J102" s="18" t="str">
        <f aca="true">IF(OR(A102="",G102="",H102="Closed"),"",IF(TODAY()&gt;G102,TODAY()-G102,0))</f>
        <v/>
      </c>
      <c r="K102" s="18" t="str">
        <f aca="false">IF(A102="","",IF(OR(B102="",C102="",E102="",G102=""),"Type, description, owner, target date needed","OK"))</f>
        <v/>
      </c>
    </row>
    <row r="103" customFormat="false" ht="15" hidden="false" customHeight="false" outlineLevel="0" collapsed="false">
      <c r="A103" s="16"/>
      <c r="B103" s="16"/>
      <c r="C103" s="16"/>
      <c r="D103" s="16"/>
      <c r="E103" s="16"/>
      <c r="F103" s="17"/>
      <c r="G103" s="17"/>
      <c r="H103" s="16"/>
      <c r="I103" s="16"/>
      <c r="J103" s="18" t="str">
        <f aca="true">IF(OR(A103="",G103="",H103="Closed"),"",IF(TODAY()&gt;G103,TODAY()-G103,0))</f>
        <v/>
      </c>
      <c r="K103" s="18" t="str">
        <f aca="false">IF(A103="","",IF(OR(B103="",C103="",E103="",G103=""),"Type, description, owner, target date needed","OK"))</f>
        <v/>
      </c>
    </row>
    <row r="104" customFormat="false" ht="15" hidden="false" customHeight="false" outlineLevel="0" collapsed="false">
      <c r="A104" s="16"/>
      <c r="B104" s="16"/>
      <c r="C104" s="16"/>
      <c r="D104" s="16"/>
      <c r="E104" s="16"/>
      <c r="F104" s="17"/>
      <c r="G104" s="17"/>
      <c r="H104" s="16"/>
      <c r="I104" s="16"/>
      <c r="J104" s="18" t="str">
        <f aca="true">IF(OR(A104="",G104="",H104="Closed"),"",IF(TODAY()&gt;G104,TODAY()-G104,0))</f>
        <v/>
      </c>
      <c r="K104" s="18" t="str">
        <f aca="false">IF(A104="","",IF(OR(B104="",C104="",E104="",G104=""),"Type, description, owner, target date needed","OK"))</f>
        <v/>
      </c>
    </row>
    <row r="105" customFormat="false" ht="15" hidden="false" customHeight="false" outlineLevel="0" collapsed="false">
      <c r="A105" s="16"/>
      <c r="B105" s="16"/>
      <c r="C105" s="16"/>
      <c r="D105" s="16"/>
      <c r="E105" s="16"/>
      <c r="F105" s="17"/>
      <c r="G105" s="17"/>
      <c r="H105" s="16"/>
      <c r="I105" s="16"/>
      <c r="J105" s="18" t="str">
        <f aca="true">IF(OR(A105="",G105="",H105="Closed"),"",IF(TODAY()&gt;G105,TODAY()-G105,0))</f>
        <v/>
      </c>
      <c r="K105" s="18" t="str">
        <f aca="false">IF(A105="","",IF(OR(B105="",C105="",E105="",G105=""),"Type, description, owner, target date needed","OK"))</f>
        <v/>
      </c>
    </row>
    <row r="106" customFormat="false" ht="15" hidden="false" customHeight="false" outlineLevel="0" collapsed="false">
      <c r="A106" s="16"/>
      <c r="B106" s="16"/>
      <c r="C106" s="16"/>
      <c r="D106" s="16"/>
      <c r="E106" s="16"/>
      <c r="F106" s="17"/>
      <c r="G106" s="17"/>
      <c r="H106" s="16"/>
      <c r="I106" s="16"/>
      <c r="J106" s="18" t="str">
        <f aca="true">IF(OR(A106="",G106="",H106="Closed"),"",IF(TODAY()&gt;G106,TODAY()-G106,0))</f>
        <v/>
      </c>
      <c r="K106" s="18" t="str">
        <f aca="false">IF(A106="","",IF(OR(B106="",C106="",E106="",G106=""),"Type, description, owner, target date needed","OK"))</f>
        <v/>
      </c>
    </row>
    <row r="107" customFormat="false" ht="15" hidden="false" customHeight="false" outlineLevel="0" collapsed="false">
      <c r="A107" s="16"/>
      <c r="B107" s="16"/>
      <c r="C107" s="16"/>
      <c r="D107" s="16"/>
      <c r="E107" s="16"/>
      <c r="F107" s="17"/>
      <c r="G107" s="17"/>
      <c r="H107" s="16"/>
      <c r="I107" s="16"/>
      <c r="J107" s="18" t="str">
        <f aca="true">IF(OR(A107="",G107="",H107="Closed"),"",IF(TODAY()&gt;G107,TODAY()-G107,0))</f>
        <v/>
      </c>
      <c r="K107" s="18" t="str">
        <f aca="false">IF(A107="","",IF(OR(B107="",C107="",E107="",G107=""),"Type, description, owner, target date needed","OK"))</f>
        <v/>
      </c>
    </row>
    <row r="108" customFormat="false" ht="15" hidden="false" customHeight="false" outlineLevel="0" collapsed="false">
      <c r="A108" s="16"/>
      <c r="B108" s="16"/>
      <c r="C108" s="16"/>
      <c r="D108" s="16"/>
      <c r="E108" s="16"/>
      <c r="F108" s="17"/>
      <c r="G108" s="17"/>
      <c r="H108" s="16"/>
      <c r="I108" s="16"/>
      <c r="J108" s="18" t="str">
        <f aca="true">IF(OR(A108="",G108="",H108="Closed"),"",IF(TODAY()&gt;G108,TODAY()-G108,0))</f>
        <v/>
      </c>
      <c r="K108" s="18" t="str">
        <f aca="false">IF(A108="","",IF(OR(B108="",C108="",E108="",G108=""),"Type, description, owner, target date needed","OK"))</f>
        <v/>
      </c>
    </row>
    <row r="109" customFormat="false" ht="15" hidden="false" customHeight="false" outlineLevel="0" collapsed="false">
      <c r="A109" s="16"/>
      <c r="B109" s="16"/>
      <c r="C109" s="16"/>
      <c r="D109" s="16"/>
      <c r="E109" s="16"/>
      <c r="F109" s="17"/>
      <c r="G109" s="17"/>
      <c r="H109" s="16"/>
      <c r="I109" s="16"/>
      <c r="J109" s="18" t="str">
        <f aca="true">IF(OR(A109="",G109="",H109="Closed"),"",IF(TODAY()&gt;G109,TODAY()-G109,0))</f>
        <v/>
      </c>
      <c r="K109" s="18" t="str">
        <f aca="false">IF(A109="","",IF(OR(B109="",C109="",E109="",G109=""),"Type, description, owner, target date needed","OK"))</f>
        <v/>
      </c>
    </row>
    <row r="110" customFormat="false" ht="15" hidden="false" customHeight="false" outlineLevel="0" collapsed="false">
      <c r="A110" s="16"/>
      <c r="B110" s="16"/>
      <c r="C110" s="16"/>
      <c r="D110" s="16"/>
      <c r="E110" s="16"/>
      <c r="F110" s="17"/>
      <c r="G110" s="17"/>
      <c r="H110" s="16"/>
      <c r="I110" s="16"/>
      <c r="J110" s="18" t="str">
        <f aca="true">IF(OR(A110="",G110="",H110="Closed"),"",IF(TODAY()&gt;G110,TODAY()-G110,0))</f>
        <v/>
      </c>
      <c r="K110" s="18" t="str">
        <f aca="false">IF(A110="","",IF(OR(B110="",C110="",E110="",G110=""),"Type, description, owner, target date needed","OK"))</f>
        <v/>
      </c>
    </row>
    <row r="111" customFormat="false" ht="15" hidden="false" customHeight="false" outlineLevel="0" collapsed="false">
      <c r="A111" s="16"/>
      <c r="B111" s="16"/>
      <c r="C111" s="16"/>
      <c r="D111" s="16"/>
      <c r="E111" s="16"/>
      <c r="F111" s="17"/>
      <c r="G111" s="17"/>
      <c r="H111" s="16"/>
      <c r="I111" s="16"/>
      <c r="J111" s="18" t="str">
        <f aca="true">IF(OR(A111="",G111="",H111="Closed"),"",IF(TODAY()&gt;G111,TODAY()-G111,0))</f>
        <v/>
      </c>
      <c r="K111" s="18" t="str">
        <f aca="false">IF(A111="","",IF(OR(B111="",C111="",E111="",G111=""),"Type, description, owner, target date needed","OK"))</f>
        <v/>
      </c>
    </row>
    <row r="112" customFormat="false" ht="15" hidden="false" customHeight="false" outlineLevel="0" collapsed="false">
      <c r="A112" s="16"/>
      <c r="B112" s="16"/>
      <c r="C112" s="16"/>
      <c r="D112" s="16"/>
      <c r="E112" s="16"/>
      <c r="F112" s="17"/>
      <c r="G112" s="17"/>
      <c r="H112" s="16"/>
      <c r="I112" s="16"/>
      <c r="J112" s="18" t="str">
        <f aca="true">IF(OR(A112="",G112="",H112="Closed"),"",IF(TODAY()&gt;G112,TODAY()-G112,0))</f>
        <v/>
      </c>
      <c r="K112" s="18" t="str">
        <f aca="false">IF(A112="","",IF(OR(B112="",C112="",E112="",G112=""),"Type, description, owner, target date needed","OK"))</f>
        <v/>
      </c>
    </row>
    <row r="113" customFormat="false" ht="15" hidden="false" customHeight="false" outlineLevel="0" collapsed="false">
      <c r="A113" s="16"/>
      <c r="B113" s="16"/>
      <c r="C113" s="16"/>
      <c r="D113" s="16"/>
      <c r="E113" s="16"/>
      <c r="F113" s="17"/>
      <c r="G113" s="17"/>
      <c r="H113" s="16"/>
      <c r="I113" s="16"/>
      <c r="J113" s="18" t="str">
        <f aca="true">IF(OR(A113="",G113="",H113="Closed"),"",IF(TODAY()&gt;G113,TODAY()-G113,0))</f>
        <v/>
      </c>
      <c r="K113" s="18" t="str">
        <f aca="false">IF(A113="","",IF(OR(B113="",C113="",E113="",G113=""),"Type, description, owner, target date needed","OK"))</f>
        <v/>
      </c>
    </row>
    <row r="114" customFormat="false" ht="15" hidden="false" customHeight="false" outlineLevel="0" collapsed="false">
      <c r="A114" s="16"/>
      <c r="B114" s="16"/>
      <c r="C114" s="16"/>
      <c r="D114" s="16"/>
      <c r="E114" s="16"/>
      <c r="F114" s="17"/>
      <c r="G114" s="17"/>
      <c r="H114" s="16"/>
      <c r="I114" s="16"/>
      <c r="J114" s="18" t="str">
        <f aca="true">IF(OR(A114="",G114="",H114="Closed"),"",IF(TODAY()&gt;G114,TODAY()-G114,0))</f>
        <v/>
      </c>
      <c r="K114" s="18" t="str">
        <f aca="false">IF(A114="","",IF(OR(B114="",C114="",E114="",G114=""),"Type, description, owner, target date needed","OK"))</f>
        <v/>
      </c>
    </row>
    <row r="115" customFormat="false" ht="15" hidden="false" customHeight="false" outlineLevel="0" collapsed="false">
      <c r="A115" s="16"/>
      <c r="B115" s="16"/>
      <c r="C115" s="16"/>
      <c r="D115" s="16"/>
      <c r="E115" s="16"/>
      <c r="F115" s="17"/>
      <c r="G115" s="17"/>
      <c r="H115" s="16"/>
      <c r="I115" s="16"/>
      <c r="J115" s="18" t="str">
        <f aca="true">IF(OR(A115="",G115="",H115="Closed"),"",IF(TODAY()&gt;G115,TODAY()-G115,0))</f>
        <v/>
      </c>
      <c r="K115" s="18" t="str">
        <f aca="false">IF(A115="","",IF(OR(B115="",C115="",E115="",G115=""),"Type, description, owner, target date needed","OK"))</f>
        <v/>
      </c>
    </row>
    <row r="116" customFormat="false" ht="15" hidden="false" customHeight="false" outlineLevel="0" collapsed="false">
      <c r="A116" s="16"/>
      <c r="B116" s="16"/>
      <c r="C116" s="16"/>
      <c r="D116" s="16"/>
      <c r="E116" s="16"/>
      <c r="F116" s="17"/>
      <c r="G116" s="17"/>
      <c r="H116" s="16"/>
      <c r="I116" s="16"/>
      <c r="J116" s="18" t="str">
        <f aca="true">IF(OR(A116="",G116="",H116="Closed"),"",IF(TODAY()&gt;G116,TODAY()-G116,0))</f>
        <v/>
      </c>
      <c r="K116" s="18" t="str">
        <f aca="false">IF(A116="","",IF(OR(B116="",C116="",E116="",G116=""),"Type, description, owner, target date needed","OK"))</f>
        <v/>
      </c>
    </row>
    <row r="117" customFormat="false" ht="15" hidden="false" customHeight="false" outlineLevel="0" collapsed="false">
      <c r="A117" s="16"/>
      <c r="B117" s="16"/>
      <c r="C117" s="16"/>
      <c r="D117" s="16"/>
      <c r="E117" s="16"/>
      <c r="F117" s="17"/>
      <c r="G117" s="17"/>
      <c r="H117" s="16"/>
      <c r="I117" s="16"/>
      <c r="J117" s="18" t="str">
        <f aca="true">IF(OR(A117="",G117="",H117="Closed"),"",IF(TODAY()&gt;G117,TODAY()-G117,0))</f>
        <v/>
      </c>
      <c r="K117" s="18" t="str">
        <f aca="false">IF(A117="","",IF(OR(B117="",C117="",E117="",G117=""),"Type, description, owner, target date needed","OK"))</f>
        <v/>
      </c>
    </row>
    <row r="118" customFormat="false" ht="15" hidden="false" customHeight="false" outlineLevel="0" collapsed="false">
      <c r="A118" s="16"/>
      <c r="B118" s="16"/>
      <c r="C118" s="16"/>
      <c r="D118" s="16"/>
      <c r="E118" s="16"/>
      <c r="F118" s="17"/>
      <c r="G118" s="17"/>
      <c r="H118" s="16"/>
      <c r="I118" s="16"/>
      <c r="J118" s="18" t="str">
        <f aca="true">IF(OR(A118="",G118="",H118="Closed"),"",IF(TODAY()&gt;G118,TODAY()-G118,0))</f>
        <v/>
      </c>
      <c r="K118" s="18" t="str">
        <f aca="false">IF(A118="","",IF(OR(B118="",C118="",E118="",G118=""),"Type, description, owner, target date needed","OK"))</f>
        <v/>
      </c>
    </row>
    <row r="119" customFormat="false" ht="15" hidden="false" customHeight="false" outlineLevel="0" collapsed="false">
      <c r="A119" s="16"/>
      <c r="B119" s="16"/>
      <c r="C119" s="16"/>
      <c r="D119" s="16"/>
      <c r="E119" s="16"/>
      <c r="F119" s="17"/>
      <c r="G119" s="17"/>
      <c r="H119" s="16"/>
      <c r="I119" s="16"/>
      <c r="J119" s="18" t="str">
        <f aca="true">IF(OR(A119="",G119="",H119="Closed"),"",IF(TODAY()&gt;G119,TODAY()-G119,0))</f>
        <v/>
      </c>
      <c r="K119" s="18" t="str">
        <f aca="false">IF(A119="","",IF(OR(B119="",C119="",E119="",G119=""),"Type, description, owner, target date needed","OK"))</f>
        <v/>
      </c>
    </row>
    <row r="120" customFormat="false" ht="15" hidden="false" customHeight="false" outlineLevel="0" collapsed="false">
      <c r="A120" s="16"/>
      <c r="B120" s="16"/>
      <c r="C120" s="16"/>
      <c r="D120" s="16"/>
      <c r="E120" s="16"/>
      <c r="F120" s="17"/>
      <c r="G120" s="17"/>
      <c r="H120" s="16"/>
      <c r="I120" s="16"/>
      <c r="J120" s="18" t="str">
        <f aca="true">IF(OR(A120="",G120="",H120="Closed"),"",IF(TODAY()&gt;G120,TODAY()-G120,0))</f>
        <v/>
      </c>
      <c r="K120" s="18" t="str">
        <f aca="false">IF(A120="","",IF(OR(B120="",C120="",E120="",G120=""),"Type, description, owner, target date needed","OK"))</f>
        <v/>
      </c>
    </row>
    <row r="121" customFormat="false" ht="15" hidden="false" customHeight="false" outlineLevel="0" collapsed="false">
      <c r="A121" s="16"/>
      <c r="B121" s="16"/>
      <c r="C121" s="16"/>
      <c r="D121" s="16"/>
      <c r="E121" s="16"/>
      <c r="F121" s="17"/>
      <c r="G121" s="17"/>
      <c r="H121" s="16"/>
      <c r="I121" s="16"/>
      <c r="J121" s="18" t="str">
        <f aca="true">IF(OR(A121="",G121="",H121="Closed"),"",IF(TODAY()&gt;G121,TODAY()-G121,0))</f>
        <v/>
      </c>
      <c r="K121" s="18" t="str">
        <f aca="false">IF(A121="","",IF(OR(B121="",C121="",E121="",G121=""),"Type, description, owner, target date needed","OK"))</f>
        <v/>
      </c>
    </row>
    <row r="122" customFormat="false" ht="15" hidden="false" customHeight="false" outlineLevel="0" collapsed="false">
      <c r="A122" s="16"/>
      <c r="B122" s="16"/>
      <c r="C122" s="16"/>
      <c r="D122" s="16"/>
      <c r="E122" s="16"/>
      <c r="F122" s="17"/>
      <c r="G122" s="17"/>
      <c r="H122" s="16"/>
      <c r="I122" s="16"/>
      <c r="J122" s="18" t="str">
        <f aca="true">IF(OR(A122="",G122="",H122="Closed"),"",IF(TODAY()&gt;G122,TODAY()-G122,0))</f>
        <v/>
      </c>
      <c r="K122" s="18" t="str">
        <f aca="false">IF(A122="","",IF(OR(B122="",C122="",E122="",G122=""),"Type, description, owner, target date needed","OK"))</f>
        <v/>
      </c>
    </row>
    <row r="123" customFormat="false" ht="15" hidden="false" customHeight="false" outlineLevel="0" collapsed="false">
      <c r="A123" s="16"/>
      <c r="B123" s="16"/>
      <c r="C123" s="16"/>
      <c r="D123" s="16"/>
      <c r="E123" s="16"/>
      <c r="F123" s="17"/>
      <c r="G123" s="17"/>
      <c r="H123" s="16"/>
      <c r="I123" s="16"/>
      <c r="J123" s="18" t="str">
        <f aca="true">IF(OR(A123="",G123="",H123="Closed"),"",IF(TODAY()&gt;G123,TODAY()-G123,0))</f>
        <v/>
      </c>
      <c r="K123" s="18" t="str">
        <f aca="false">IF(A123="","",IF(OR(B123="",C123="",E123="",G123=""),"Type, description, owner, target date needed","OK"))</f>
        <v/>
      </c>
    </row>
    <row r="124" customFormat="false" ht="15" hidden="false" customHeight="false" outlineLevel="0" collapsed="false">
      <c r="A124" s="16"/>
      <c r="B124" s="16"/>
      <c r="C124" s="16"/>
      <c r="D124" s="16"/>
      <c r="E124" s="16"/>
      <c r="F124" s="17"/>
      <c r="G124" s="17"/>
      <c r="H124" s="16"/>
      <c r="I124" s="16"/>
      <c r="J124" s="18" t="str">
        <f aca="true">IF(OR(A124="",G124="",H124="Closed"),"",IF(TODAY()&gt;G124,TODAY()-G124,0))</f>
        <v/>
      </c>
      <c r="K124" s="18" t="str">
        <f aca="false">IF(A124="","",IF(OR(B124="",C124="",E124="",G124=""),"Type, description, owner, target date needed","OK"))</f>
        <v/>
      </c>
    </row>
    <row r="125" customFormat="false" ht="15" hidden="false" customHeight="false" outlineLevel="0" collapsed="false">
      <c r="A125" s="16"/>
      <c r="B125" s="16"/>
      <c r="C125" s="16"/>
      <c r="D125" s="16"/>
      <c r="E125" s="16"/>
      <c r="F125" s="17"/>
      <c r="G125" s="17"/>
      <c r="H125" s="16"/>
      <c r="I125" s="16"/>
      <c r="J125" s="18" t="str">
        <f aca="true">IF(OR(A125="",G125="",H125="Closed"),"",IF(TODAY()&gt;G125,TODAY()-G125,0))</f>
        <v/>
      </c>
      <c r="K125" s="18" t="str">
        <f aca="false">IF(A125="","",IF(OR(B125="",C125="",E125="",G125=""),"Type, description, owner, target date needed","OK"))</f>
        <v/>
      </c>
    </row>
    <row r="126" customFormat="false" ht="15" hidden="false" customHeight="false" outlineLevel="0" collapsed="false">
      <c r="A126" s="16"/>
      <c r="B126" s="16"/>
      <c r="C126" s="16"/>
      <c r="D126" s="16"/>
      <c r="E126" s="16"/>
      <c r="F126" s="17"/>
      <c r="G126" s="17"/>
      <c r="H126" s="16"/>
      <c r="I126" s="16"/>
      <c r="J126" s="18" t="str">
        <f aca="true">IF(OR(A126="",G126="",H126="Closed"),"",IF(TODAY()&gt;G126,TODAY()-G126,0))</f>
        <v/>
      </c>
      <c r="K126" s="18" t="str">
        <f aca="false">IF(A126="","",IF(OR(B126="",C126="",E126="",G126=""),"Type, description, owner, target date needed","OK"))</f>
        <v/>
      </c>
    </row>
    <row r="127" customFormat="false" ht="15" hidden="false" customHeight="false" outlineLevel="0" collapsed="false">
      <c r="A127" s="16"/>
      <c r="B127" s="16"/>
      <c r="C127" s="16"/>
      <c r="D127" s="16"/>
      <c r="E127" s="16"/>
      <c r="F127" s="17"/>
      <c r="G127" s="17"/>
      <c r="H127" s="16"/>
      <c r="I127" s="16"/>
      <c r="J127" s="18" t="str">
        <f aca="true">IF(OR(A127="",G127="",H127="Closed"),"",IF(TODAY()&gt;G127,TODAY()-G127,0))</f>
        <v/>
      </c>
      <c r="K127" s="18" t="str">
        <f aca="false">IF(A127="","",IF(OR(B127="",C127="",E127="",G127=""),"Type, description, owner, target date needed","OK"))</f>
        <v/>
      </c>
    </row>
    <row r="128" customFormat="false" ht="15" hidden="false" customHeight="false" outlineLevel="0" collapsed="false">
      <c r="A128" s="16"/>
      <c r="B128" s="16"/>
      <c r="C128" s="16"/>
      <c r="D128" s="16"/>
      <c r="E128" s="16"/>
      <c r="F128" s="17"/>
      <c r="G128" s="17"/>
      <c r="H128" s="16"/>
      <c r="I128" s="16"/>
      <c r="J128" s="18" t="str">
        <f aca="true">IF(OR(A128="",G128="",H128="Closed"),"",IF(TODAY()&gt;G128,TODAY()-G128,0))</f>
        <v/>
      </c>
      <c r="K128" s="18" t="str">
        <f aca="false">IF(A128="","",IF(OR(B128="",C128="",E128="",G128=""),"Type, description, owner, target date needed","OK"))</f>
        <v/>
      </c>
    </row>
    <row r="129" customFormat="false" ht="15" hidden="false" customHeight="false" outlineLevel="0" collapsed="false">
      <c r="A129" s="16"/>
      <c r="B129" s="16"/>
      <c r="C129" s="16"/>
      <c r="D129" s="16"/>
      <c r="E129" s="16"/>
      <c r="F129" s="17"/>
      <c r="G129" s="17"/>
      <c r="H129" s="16"/>
      <c r="I129" s="16"/>
      <c r="J129" s="18" t="str">
        <f aca="true">IF(OR(A129="",G129="",H129="Closed"),"",IF(TODAY()&gt;G129,TODAY()-G129,0))</f>
        <v/>
      </c>
      <c r="K129" s="18" t="str">
        <f aca="false">IF(A129="","",IF(OR(B129="",C129="",E129="",G129=""),"Type, description, owner, target date needed","OK"))</f>
        <v/>
      </c>
    </row>
    <row r="130" customFormat="false" ht="15" hidden="false" customHeight="false" outlineLevel="0" collapsed="false">
      <c r="A130" s="16"/>
      <c r="B130" s="16"/>
      <c r="C130" s="16"/>
      <c r="D130" s="16"/>
      <c r="E130" s="16"/>
      <c r="F130" s="17"/>
      <c r="G130" s="17"/>
      <c r="H130" s="16"/>
      <c r="I130" s="16"/>
      <c r="J130" s="18" t="str">
        <f aca="true">IF(OR(A130="",G130="",H130="Closed"),"",IF(TODAY()&gt;G130,TODAY()-G130,0))</f>
        <v/>
      </c>
      <c r="K130" s="18" t="str">
        <f aca="false">IF(A130="","",IF(OR(B130="",C130="",E130="",G130=""),"Type, description, owner, target date needed","OK"))</f>
        <v/>
      </c>
    </row>
    <row r="131" customFormat="false" ht="15" hidden="false" customHeight="false" outlineLevel="0" collapsed="false">
      <c r="A131" s="16"/>
      <c r="B131" s="16"/>
      <c r="C131" s="16"/>
      <c r="D131" s="16"/>
      <c r="E131" s="16"/>
      <c r="F131" s="17"/>
      <c r="G131" s="17"/>
      <c r="H131" s="16"/>
      <c r="I131" s="16"/>
      <c r="J131" s="18" t="str">
        <f aca="true">IF(OR(A131="",G131="",H131="Closed"),"",IF(TODAY()&gt;G131,TODAY()-G131,0))</f>
        <v/>
      </c>
      <c r="K131" s="18" t="str">
        <f aca="false">IF(A131="","",IF(OR(B131="",C131="",E131="",G131=""),"Type, description, owner, target date needed","OK"))</f>
        <v/>
      </c>
    </row>
    <row r="132" customFormat="false" ht="15" hidden="false" customHeight="false" outlineLevel="0" collapsed="false">
      <c r="A132" s="16"/>
      <c r="B132" s="16"/>
      <c r="C132" s="16"/>
      <c r="D132" s="16"/>
      <c r="E132" s="16"/>
      <c r="F132" s="17"/>
      <c r="G132" s="17"/>
      <c r="H132" s="16"/>
      <c r="I132" s="16"/>
      <c r="J132" s="18" t="str">
        <f aca="true">IF(OR(A132="",G132="",H132="Closed"),"",IF(TODAY()&gt;G132,TODAY()-G132,0))</f>
        <v/>
      </c>
      <c r="K132" s="18" t="str">
        <f aca="false">IF(A132="","",IF(OR(B132="",C132="",E132="",G132=""),"Type, description, owner, target date needed","OK"))</f>
        <v/>
      </c>
    </row>
    <row r="133" customFormat="false" ht="15" hidden="false" customHeight="false" outlineLevel="0" collapsed="false">
      <c r="A133" s="16"/>
      <c r="B133" s="16"/>
      <c r="C133" s="16"/>
      <c r="D133" s="16"/>
      <c r="E133" s="16"/>
      <c r="F133" s="17"/>
      <c r="G133" s="17"/>
      <c r="H133" s="16"/>
      <c r="I133" s="16"/>
      <c r="J133" s="18" t="str">
        <f aca="true">IF(OR(A133="",G133="",H133="Closed"),"",IF(TODAY()&gt;G133,TODAY()-G133,0))</f>
        <v/>
      </c>
      <c r="K133" s="18" t="str">
        <f aca="false">IF(A133="","",IF(OR(B133="",C133="",E133="",G133=""),"Type, description, owner, target date needed","OK"))</f>
        <v/>
      </c>
    </row>
    <row r="134" customFormat="false" ht="15" hidden="false" customHeight="false" outlineLevel="0" collapsed="false">
      <c r="A134" s="16"/>
      <c r="B134" s="16"/>
      <c r="C134" s="16"/>
      <c r="D134" s="16"/>
      <c r="E134" s="16"/>
      <c r="F134" s="17"/>
      <c r="G134" s="17"/>
      <c r="H134" s="16"/>
      <c r="I134" s="16"/>
      <c r="J134" s="18" t="str">
        <f aca="true">IF(OR(A134="",G134="",H134="Closed"),"",IF(TODAY()&gt;G134,TODAY()-G134,0))</f>
        <v/>
      </c>
      <c r="K134" s="18" t="str">
        <f aca="false">IF(A134="","",IF(OR(B134="",C134="",E134="",G134=""),"Type, description, owner, target date needed","OK"))</f>
        <v/>
      </c>
    </row>
    <row r="135" customFormat="false" ht="15" hidden="false" customHeight="false" outlineLevel="0" collapsed="false">
      <c r="A135" s="16"/>
      <c r="B135" s="16"/>
      <c r="C135" s="16"/>
      <c r="D135" s="16"/>
      <c r="E135" s="16"/>
      <c r="F135" s="17"/>
      <c r="G135" s="17"/>
      <c r="H135" s="16"/>
      <c r="I135" s="16"/>
      <c r="J135" s="18" t="str">
        <f aca="true">IF(OR(A135="",G135="",H135="Closed"),"",IF(TODAY()&gt;G135,TODAY()-G135,0))</f>
        <v/>
      </c>
      <c r="K135" s="18" t="str">
        <f aca="false">IF(A135="","",IF(OR(B135="",C135="",E135="",G135=""),"Type, description, owner, target date needed","OK"))</f>
        <v/>
      </c>
    </row>
    <row r="136" customFormat="false" ht="15" hidden="false" customHeight="false" outlineLevel="0" collapsed="false">
      <c r="A136" s="16"/>
      <c r="B136" s="16"/>
      <c r="C136" s="16"/>
      <c r="D136" s="16"/>
      <c r="E136" s="16"/>
      <c r="F136" s="17"/>
      <c r="G136" s="17"/>
      <c r="H136" s="16"/>
      <c r="I136" s="16"/>
      <c r="J136" s="18" t="str">
        <f aca="true">IF(OR(A136="",G136="",H136="Closed"),"",IF(TODAY()&gt;G136,TODAY()-G136,0))</f>
        <v/>
      </c>
      <c r="K136" s="18" t="str">
        <f aca="false">IF(A136="","",IF(OR(B136="",C136="",E136="",G136=""),"Type, description, owner, target date needed","OK"))</f>
        <v/>
      </c>
    </row>
    <row r="137" customFormat="false" ht="15" hidden="false" customHeight="false" outlineLevel="0" collapsed="false">
      <c r="A137" s="16"/>
      <c r="B137" s="16"/>
      <c r="C137" s="16"/>
      <c r="D137" s="16"/>
      <c r="E137" s="16"/>
      <c r="F137" s="17"/>
      <c r="G137" s="17"/>
      <c r="H137" s="16"/>
      <c r="I137" s="16"/>
      <c r="J137" s="18" t="str">
        <f aca="true">IF(OR(A137="",G137="",H137="Closed"),"",IF(TODAY()&gt;G137,TODAY()-G137,0))</f>
        <v/>
      </c>
      <c r="K137" s="18" t="str">
        <f aca="false">IF(A137="","",IF(OR(B137="",C137="",E137="",G137=""),"Type, description, owner, target date needed","OK"))</f>
        <v/>
      </c>
    </row>
    <row r="138" customFormat="false" ht="15" hidden="false" customHeight="false" outlineLevel="0" collapsed="false">
      <c r="A138" s="16"/>
      <c r="B138" s="16"/>
      <c r="C138" s="16"/>
      <c r="D138" s="16"/>
      <c r="E138" s="16"/>
      <c r="F138" s="17"/>
      <c r="G138" s="17"/>
      <c r="H138" s="16"/>
      <c r="I138" s="16"/>
      <c r="J138" s="18" t="str">
        <f aca="true">IF(OR(A138="",G138="",H138="Closed"),"",IF(TODAY()&gt;G138,TODAY()-G138,0))</f>
        <v/>
      </c>
      <c r="K138" s="18" t="str">
        <f aca="false">IF(A138="","",IF(OR(B138="",C138="",E138="",G138=""),"Type, description, owner, target date needed","OK"))</f>
        <v/>
      </c>
    </row>
    <row r="139" customFormat="false" ht="15" hidden="false" customHeight="false" outlineLevel="0" collapsed="false">
      <c r="A139" s="16"/>
      <c r="B139" s="16"/>
      <c r="C139" s="16"/>
      <c r="D139" s="16"/>
      <c r="E139" s="16"/>
      <c r="F139" s="17"/>
      <c r="G139" s="17"/>
      <c r="H139" s="16"/>
      <c r="I139" s="16"/>
      <c r="J139" s="18" t="str">
        <f aca="true">IF(OR(A139="",G139="",H139="Closed"),"",IF(TODAY()&gt;G139,TODAY()-G139,0))</f>
        <v/>
      </c>
      <c r="K139" s="18" t="str">
        <f aca="false">IF(A139="","",IF(OR(B139="",C139="",E139="",G139=""),"Type, description, owner, target date needed","OK"))</f>
        <v/>
      </c>
    </row>
    <row r="140" customFormat="false" ht="15" hidden="false" customHeight="false" outlineLevel="0" collapsed="false">
      <c r="A140" s="16"/>
      <c r="B140" s="16"/>
      <c r="C140" s="16"/>
      <c r="D140" s="16"/>
      <c r="E140" s="16"/>
      <c r="F140" s="17"/>
      <c r="G140" s="17"/>
      <c r="H140" s="16"/>
      <c r="I140" s="16"/>
      <c r="J140" s="18" t="str">
        <f aca="true">IF(OR(A140="",G140="",H140="Closed"),"",IF(TODAY()&gt;G140,TODAY()-G140,0))</f>
        <v/>
      </c>
      <c r="K140" s="18" t="str">
        <f aca="false">IF(A140="","",IF(OR(B140="",C140="",E140="",G140=""),"Type, description, owner, target date needed","OK"))</f>
        <v/>
      </c>
    </row>
    <row r="141" customFormat="false" ht="15" hidden="false" customHeight="false" outlineLevel="0" collapsed="false">
      <c r="A141" s="16"/>
      <c r="B141" s="16"/>
      <c r="C141" s="16"/>
      <c r="D141" s="16"/>
      <c r="E141" s="16"/>
      <c r="F141" s="17"/>
      <c r="G141" s="17"/>
      <c r="H141" s="16"/>
      <c r="I141" s="16"/>
      <c r="J141" s="18" t="str">
        <f aca="true">IF(OR(A141="",G141="",H141="Closed"),"",IF(TODAY()&gt;G141,TODAY()-G141,0))</f>
        <v/>
      </c>
      <c r="K141" s="18" t="str">
        <f aca="false">IF(A141="","",IF(OR(B141="",C141="",E141="",G141=""),"Type, description, owner, target date needed","OK"))</f>
        <v/>
      </c>
    </row>
    <row r="142" customFormat="false" ht="15" hidden="false" customHeight="false" outlineLevel="0" collapsed="false">
      <c r="A142" s="16"/>
      <c r="B142" s="16"/>
      <c r="C142" s="16"/>
      <c r="D142" s="16"/>
      <c r="E142" s="16"/>
      <c r="F142" s="17"/>
      <c r="G142" s="17"/>
      <c r="H142" s="16"/>
      <c r="I142" s="16"/>
      <c r="J142" s="18" t="str">
        <f aca="true">IF(OR(A142="",G142="",H142="Closed"),"",IF(TODAY()&gt;G142,TODAY()-G142,0))</f>
        <v/>
      </c>
      <c r="K142" s="18" t="str">
        <f aca="false">IF(A142="","",IF(OR(B142="",C142="",E142="",G142=""),"Type, description, owner, target date needed","OK"))</f>
        <v/>
      </c>
    </row>
    <row r="143" customFormat="false" ht="15" hidden="false" customHeight="false" outlineLevel="0" collapsed="false">
      <c r="A143" s="16"/>
      <c r="B143" s="16"/>
      <c r="C143" s="16"/>
      <c r="D143" s="16"/>
      <c r="E143" s="16"/>
      <c r="F143" s="17"/>
      <c r="G143" s="17"/>
      <c r="H143" s="16"/>
      <c r="I143" s="16"/>
      <c r="J143" s="18" t="str">
        <f aca="true">IF(OR(A143="",G143="",H143="Closed"),"",IF(TODAY()&gt;G143,TODAY()-G143,0))</f>
        <v/>
      </c>
      <c r="K143" s="18" t="str">
        <f aca="false">IF(A143="","",IF(OR(B143="",C143="",E143="",G143=""),"Type, description, owner, target date needed","OK"))</f>
        <v/>
      </c>
    </row>
    <row r="144" customFormat="false" ht="15" hidden="false" customHeight="false" outlineLevel="0" collapsed="false">
      <c r="A144" s="16"/>
      <c r="B144" s="16"/>
      <c r="C144" s="16"/>
      <c r="D144" s="16"/>
      <c r="E144" s="16"/>
      <c r="F144" s="17"/>
      <c r="G144" s="17"/>
      <c r="H144" s="16"/>
      <c r="I144" s="16"/>
      <c r="J144" s="18" t="str">
        <f aca="true">IF(OR(A144="",G144="",H144="Closed"),"",IF(TODAY()&gt;G144,TODAY()-G144,0))</f>
        <v/>
      </c>
      <c r="K144" s="18" t="str">
        <f aca="false">IF(A144="","",IF(OR(B144="",C144="",E144="",G144=""),"Type, description, owner, target date needed","OK"))</f>
        <v/>
      </c>
    </row>
    <row r="145" customFormat="false" ht="15" hidden="false" customHeight="false" outlineLevel="0" collapsed="false">
      <c r="A145" s="16"/>
      <c r="B145" s="16"/>
      <c r="C145" s="16"/>
      <c r="D145" s="16"/>
      <c r="E145" s="16"/>
      <c r="F145" s="17"/>
      <c r="G145" s="17"/>
      <c r="H145" s="16"/>
      <c r="I145" s="16"/>
      <c r="J145" s="18" t="str">
        <f aca="true">IF(OR(A145="",G145="",H145="Closed"),"",IF(TODAY()&gt;G145,TODAY()-G145,0))</f>
        <v/>
      </c>
      <c r="K145" s="18" t="str">
        <f aca="false">IF(A145="","",IF(OR(B145="",C145="",E145="",G145=""),"Type, description, owner, target date needed","OK"))</f>
        <v/>
      </c>
    </row>
    <row r="146" customFormat="false" ht="15" hidden="false" customHeight="false" outlineLevel="0" collapsed="false">
      <c r="A146" s="16"/>
      <c r="B146" s="16"/>
      <c r="C146" s="16"/>
      <c r="D146" s="16"/>
      <c r="E146" s="16"/>
      <c r="F146" s="17"/>
      <c r="G146" s="17"/>
      <c r="H146" s="16"/>
      <c r="I146" s="16"/>
      <c r="J146" s="18" t="str">
        <f aca="true">IF(OR(A146="",G146="",H146="Closed"),"",IF(TODAY()&gt;G146,TODAY()-G146,0))</f>
        <v/>
      </c>
      <c r="K146" s="18" t="str">
        <f aca="false">IF(A146="","",IF(OR(B146="",C146="",E146="",G146=""),"Type, description, owner, target date needed","OK"))</f>
        <v/>
      </c>
    </row>
    <row r="147" customFormat="false" ht="15" hidden="false" customHeight="false" outlineLevel="0" collapsed="false">
      <c r="A147" s="16"/>
      <c r="B147" s="16"/>
      <c r="C147" s="16"/>
      <c r="D147" s="16"/>
      <c r="E147" s="16"/>
      <c r="F147" s="17"/>
      <c r="G147" s="17"/>
      <c r="H147" s="16"/>
      <c r="I147" s="16"/>
      <c r="J147" s="18" t="str">
        <f aca="true">IF(OR(A147="",G147="",H147="Closed"),"",IF(TODAY()&gt;G147,TODAY()-G147,0))</f>
        <v/>
      </c>
      <c r="K147" s="18" t="str">
        <f aca="false">IF(A147="","",IF(OR(B147="",C147="",E147="",G147=""),"Type, description, owner, target date needed","OK"))</f>
        <v/>
      </c>
    </row>
    <row r="148" customFormat="false" ht="15" hidden="false" customHeight="false" outlineLevel="0" collapsed="false">
      <c r="A148" s="16"/>
      <c r="B148" s="16"/>
      <c r="C148" s="16"/>
      <c r="D148" s="16"/>
      <c r="E148" s="16"/>
      <c r="F148" s="17"/>
      <c r="G148" s="17"/>
      <c r="H148" s="16"/>
      <c r="I148" s="16"/>
      <c r="J148" s="18" t="str">
        <f aca="true">IF(OR(A148="",G148="",H148="Closed"),"",IF(TODAY()&gt;G148,TODAY()-G148,0))</f>
        <v/>
      </c>
      <c r="K148" s="18" t="str">
        <f aca="false">IF(A148="","",IF(OR(B148="",C148="",E148="",G148=""),"Type, description, owner, target date needed","OK"))</f>
        <v/>
      </c>
    </row>
    <row r="149" customFormat="false" ht="15" hidden="false" customHeight="false" outlineLevel="0" collapsed="false">
      <c r="A149" s="16"/>
      <c r="B149" s="16"/>
      <c r="C149" s="16"/>
      <c r="D149" s="16"/>
      <c r="E149" s="16"/>
      <c r="F149" s="17"/>
      <c r="G149" s="17"/>
      <c r="H149" s="16"/>
      <c r="I149" s="16"/>
      <c r="J149" s="18" t="str">
        <f aca="true">IF(OR(A149="",G149="",H149="Closed"),"",IF(TODAY()&gt;G149,TODAY()-G149,0))</f>
        <v/>
      </c>
      <c r="K149" s="18" t="str">
        <f aca="false">IF(A149="","",IF(OR(B149="",C149="",E149="",G149=""),"Type, description, owner, target date needed","OK"))</f>
        <v/>
      </c>
    </row>
    <row r="150" customFormat="false" ht="15" hidden="false" customHeight="false" outlineLevel="0" collapsed="false">
      <c r="A150" s="16"/>
      <c r="B150" s="16"/>
      <c r="C150" s="16"/>
      <c r="D150" s="16"/>
      <c r="E150" s="16"/>
      <c r="F150" s="17"/>
      <c r="G150" s="17"/>
      <c r="H150" s="16"/>
      <c r="I150" s="16"/>
      <c r="J150" s="18" t="str">
        <f aca="true">IF(OR(A150="",G150="",H150="Closed"),"",IF(TODAY()&gt;G150,TODAY()-G150,0))</f>
        <v/>
      </c>
      <c r="K150" s="18" t="str">
        <f aca="false">IF(A150="","",IF(OR(B150="",C150="",E150="",G150=""),"Type, description, owner, target date needed","OK"))</f>
        <v/>
      </c>
    </row>
    <row r="151" customFormat="false" ht="15" hidden="false" customHeight="false" outlineLevel="0" collapsed="false">
      <c r="A151" s="16"/>
      <c r="B151" s="16"/>
      <c r="C151" s="16"/>
      <c r="D151" s="16"/>
      <c r="E151" s="16"/>
      <c r="F151" s="17"/>
      <c r="G151" s="17"/>
      <c r="H151" s="16"/>
      <c r="I151" s="16"/>
      <c r="J151" s="18" t="str">
        <f aca="true">IF(OR(A151="",G151="",H151="Closed"),"",IF(TODAY()&gt;G151,TODAY()-G151,0))</f>
        <v/>
      </c>
      <c r="K151" s="18" t="str">
        <f aca="false">IF(A151="","",IF(OR(B151="",C151="",E151="",G151=""),"Type, description, owner, target date needed","OK"))</f>
        <v/>
      </c>
    </row>
    <row r="152" customFormat="false" ht="15" hidden="false" customHeight="false" outlineLevel="0" collapsed="false">
      <c r="A152" s="16"/>
      <c r="B152" s="16"/>
      <c r="C152" s="16"/>
      <c r="D152" s="16"/>
      <c r="E152" s="16"/>
      <c r="F152" s="17"/>
      <c r="G152" s="17"/>
      <c r="H152" s="16"/>
      <c r="I152" s="16"/>
      <c r="J152" s="18" t="str">
        <f aca="true">IF(OR(A152="",G152="",H152="Closed"),"",IF(TODAY()&gt;G152,TODAY()-G152,0))</f>
        <v/>
      </c>
      <c r="K152" s="18" t="str">
        <f aca="false">IF(A152="","",IF(OR(B152="",C152="",E152="",G152=""),"Type, description, owner, target date needed","OK"))</f>
        <v/>
      </c>
    </row>
    <row r="153" customFormat="false" ht="15" hidden="false" customHeight="false" outlineLevel="0" collapsed="false">
      <c r="A153" s="16"/>
      <c r="B153" s="16"/>
      <c r="C153" s="16"/>
      <c r="D153" s="16"/>
      <c r="E153" s="16"/>
      <c r="F153" s="17"/>
      <c r="G153" s="17"/>
      <c r="H153" s="16"/>
      <c r="I153" s="16"/>
      <c r="J153" s="18" t="str">
        <f aca="true">IF(OR(A153="",G153="",H153="Closed"),"",IF(TODAY()&gt;G153,TODAY()-G153,0))</f>
        <v/>
      </c>
      <c r="K153" s="18" t="str">
        <f aca="false">IF(A153="","",IF(OR(B153="",C153="",E153="",G153=""),"Type, description, owner, target date needed","OK"))</f>
        <v/>
      </c>
    </row>
    <row r="154" customFormat="false" ht="15" hidden="false" customHeight="false" outlineLevel="0" collapsed="false">
      <c r="A154" s="16"/>
      <c r="B154" s="16"/>
      <c r="C154" s="16"/>
      <c r="D154" s="16"/>
      <c r="E154" s="16"/>
      <c r="F154" s="17"/>
      <c r="G154" s="17"/>
      <c r="H154" s="16"/>
      <c r="I154" s="16"/>
      <c r="J154" s="18" t="str">
        <f aca="true">IF(OR(A154="",G154="",H154="Closed"),"",IF(TODAY()&gt;G154,TODAY()-G154,0))</f>
        <v/>
      </c>
      <c r="K154" s="18" t="str">
        <f aca="false">IF(A154="","",IF(OR(B154="",C154="",E154="",G154=""),"Type, description, owner, target date needed","OK"))</f>
        <v/>
      </c>
    </row>
    <row r="155" customFormat="false" ht="15" hidden="false" customHeight="false" outlineLevel="0" collapsed="false">
      <c r="A155" s="16"/>
      <c r="B155" s="16"/>
      <c r="C155" s="16"/>
      <c r="D155" s="16"/>
      <c r="E155" s="16"/>
      <c r="F155" s="17"/>
      <c r="G155" s="17"/>
      <c r="H155" s="16"/>
      <c r="I155" s="16"/>
      <c r="J155" s="18" t="str">
        <f aca="true">IF(OR(A155="",G155="",H155="Closed"),"",IF(TODAY()&gt;G155,TODAY()-G155,0))</f>
        <v/>
      </c>
      <c r="K155" s="18" t="str">
        <f aca="false">IF(A155="","",IF(OR(B155="",C155="",E155="",G155=""),"Type, description, owner, target date needed","OK"))</f>
        <v/>
      </c>
    </row>
    <row r="156" customFormat="false" ht="15" hidden="false" customHeight="false" outlineLevel="0" collapsed="false">
      <c r="A156" s="16"/>
      <c r="B156" s="16"/>
      <c r="C156" s="16"/>
      <c r="D156" s="16"/>
      <c r="E156" s="16"/>
      <c r="F156" s="17"/>
      <c r="G156" s="17"/>
      <c r="H156" s="16"/>
      <c r="I156" s="16"/>
      <c r="J156" s="18" t="str">
        <f aca="true">IF(OR(A156="",G156="",H156="Closed"),"",IF(TODAY()&gt;G156,TODAY()-G156,0))</f>
        <v/>
      </c>
      <c r="K156" s="18" t="str">
        <f aca="false">IF(A156="","",IF(OR(B156="",C156="",E156="",G156=""),"Type, description, owner, target date needed","OK"))</f>
        <v/>
      </c>
    </row>
    <row r="157" customFormat="false" ht="15" hidden="false" customHeight="false" outlineLevel="0" collapsed="false">
      <c r="A157" s="16"/>
      <c r="B157" s="16"/>
      <c r="C157" s="16"/>
      <c r="D157" s="16"/>
      <c r="E157" s="16"/>
      <c r="F157" s="17"/>
      <c r="G157" s="17"/>
      <c r="H157" s="16"/>
      <c r="I157" s="16"/>
      <c r="J157" s="18" t="str">
        <f aca="true">IF(OR(A157="",G157="",H157="Closed"),"",IF(TODAY()&gt;G157,TODAY()-G157,0))</f>
        <v/>
      </c>
      <c r="K157" s="18" t="str">
        <f aca="false">IF(A157="","",IF(OR(B157="",C157="",E157="",G157=""),"Type, description, owner, target date needed","OK"))</f>
        <v/>
      </c>
    </row>
    <row r="158" customFormat="false" ht="15" hidden="false" customHeight="false" outlineLevel="0" collapsed="false">
      <c r="A158" s="16"/>
      <c r="B158" s="16"/>
      <c r="C158" s="16"/>
      <c r="D158" s="16"/>
      <c r="E158" s="16"/>
      <c r="F158" s="17"/>
      <c r="G158" s="17"/>
      <c r="H158" s="16"/>
      <c r="I158" s="16"/>
      <c r="J158" s="18" t="str">
        <f aca="true">IF(OR(A158="",G158="",H158="Closed"),"",IF(TODAY()&gt;G158,TODAY()-G158,0))</f>
        <v/>
      </c>
      <c r="K158" s="18" t="str">
        <f aca="false">IF(A158="","",IF(OR(B158="",C158="",E158="",G158=""),"Type, description, owner, target date needed","OK"))</f>
        <v/>
      </c>
    </row>
    <row r="159" customFormat="false" ht="15" hidden="false" customHeight="false" outlineLevel="0" collapsed="false">
      <c r="A159" s="16"/>
      <c r="B159" s="16"/>
      <c r="C159" s="16"/>
      <c r="D159" s="16"/>
      <c r="E159" s="16"/>
      <c r="F159" s="17"/>
      <c r="G159" s="17"/>
      <c r="H159" s="16"/>
      <c r="I159" s="16"/>
      <c r="J159" s="18" t="str">
        <f aca="true">IF(OR(A159="",G159="",H159="Closed"),"",IF(TODAY()&gt;G159,TODAY()-G159,0))</f>
        <v/>
      </c>
      <c r="K159" s="18" t="str">
        <f aca="false">IF(A159="","",IF(OR(B159="",C159="",E159="",G159=""),"Type, description, owner, target date needed","OK"))</f>
        <v/>
      </c>
    </row>
    <row r="160" customFormat="false" ht="15" hidden="false" customHeight="false" outlineLevel="0" collapsed="false">
      <c r="A160" s="16"/>
      <c r="B160" s="16"/>
      <c r="C160" s="16"/>
      <c r="D160" s="16"/>
      <c r="E160" s="16"/>
      <c r="F160" s="17"/>
      <c r="G160" s="17"/>
      <c r="H160" s="16"/>
      <c r="I160" s="16"/>
      <c r="J160" s="18" t="str">
        <f aca="true">IF(OR(A160="",G160="",H160="Closed"),"",IF(TODAY()&gt;G160,TODAY()-G160,0))</f>
        <v/>
      </c>
      <c r="K160" s="18" t="str">
        <f aca="false">IF(A160="","",IF(OR(B160="",C160="",E160="",G160=""),"Type, description, owner, target date needed","OK"))</f>
        <v/>
      </c>
    </row>
    <row r="161" customFormat="false" ht="15" hidden="false" customHeight="false" outlineLevel="0" collapsed="false">
      <c r="A161" s="16"/>
      <c r="B161" s="16"/>
      <c r="C161" s="16"/>
      <c r="D161" s="16"/>
      <c r="E161" s="16"/>
      <c r="F161" s="17"/>
      <c r="G161" s="17"/>
      <c r="H161" s="16"/>
      <c r="I161" s="16"/>
      <c r="J161" s="18" t="str">
        <f aca="true">IF(OR(A161="",G161="",H161="Closed"),"",IF(TODAY()&gt;G161,TODAY()-G161,0))</f>
        <v/>
      </c>
      <c r="K161" s="18" t="str">
        <f aca="false">IF(A161="","",IF(OR(B161="",C161="",E161="",G161=""),"Type, description, owner, target date needed","OK"))</f>
        <v/>
      </c>
    </row>
    <row r="162" customFormat="false" ht="15" hidden="false" customHeight="false" outlineLevel="0" collapsed="false">
      <c r="A162" s="16"/>
      <c r="B162" s="16"/>
      <c r="C162" s="16"/>
      <c r="D162" s="16"/>
      <c r="E162" s="16"/>
      <c r="F162" s="17"/>
      <c r="G162" s="17"/>
      <c r="H162" s="16"/>
      <c r="I162" s="16"/>
      <c r="J162" s="18" t="str">
        <f aca="true">IF(OR(A162="",G162="",H162="Closed"),"",IF(TODAY()&gt;G162,TODAY()-G162,0))</f>
        <v/>
      </c>
      <c r="K162" s="18" t="str">
        <f aca="false">IF(A162="","",IF(OR(B162="",C162="",E162="",G162=""),"Type, description, owner, target date needed","OK"))</f>
        <v/>
      </c>
    </row>
    <row r="163" customFormat="false" ht="15" hidden="false" customHeight="false" outlineLevel="0" collapsed="false">
      <c r="A163" s="16"/>
      <c r="B163" s="16"/>
      <c r="C163" s="16"/>
      <c r="D163" s="16"/>
      <c r="E163" s="16"/>
      <c r="F163" s="17"/>
      <c r="G163" s="17"/>
      <c r="H163" s="16"/>
      <c r="I163" s="16"/>
      <c r="J163" s="18" t="str">
        <f aca="true">IF(OR(A163="",G163="",H163="Closed"),"",IF(TODAY()&gt;G163,TODAY()-G163,0))</f>
        <v/>
      </c>
      <c r="K163" s="18" t="str">
        <f aca="false">IF(A163="","",IF(OR(B163="",C163="",E163="",G163=""),"Type, description, owner, target date needed","OK"))</f>
        <v/>
      </c>
    </row>
    <row r="164" customFormat="false" ht="15" hidden="false" customHeight="false" outlineLevel="0" collapsed="false">
      <c r="A164" s="16"/>
      <c r="B164" s="16"/>
      <c r="C164" s="16"/>
      <c r="D164" s="16"/>
      <c r="E164" s="16"/>
      <c r="F164" s="17"/>
      <c r="G164" s="17"/>
      <c r="H164" s="16"/>
      <c r="I164" s="16"/>
      <c r="J164" s="18" t="str">
        <f aca="true">IF(OR(A164="",G164="",H164="Closed"),"",IF(TODAY()&gt;G164,TODAY()-G164,0))</f>
        <v/>
      </c>
      <c r="K164" s="18" t="str">
        <f aca="false">IF(A164="","",IF(OR(B164="",C164="",E164="",G164=""),"Type, description, owner, target date needed","OK"))</f>
        <v/>
      </c>
    </row>
    <row r="165" customFormat="false" ht="15" hidden="false" customHeight="false" outlineLevel="0" collapsed="false">
      <c r="A165" s="16"/>
      <c r="B165" s="16"/>
      <c r="C165" s="16"/>
      <c r="D165" s="16"/>
      <c r="E165" s="16"/>
      <c r="F165" s="17"/>
      <c r="G165" s="17"/>
      <c r="H165" s="16"/>
      <c r="I165" s="16"/>
      <c r="J165" s="18" t="str">
        <f aca="true">IF(OR(A165="",G165="",H165="Closed"),"",IF(TODAY()&gt;G165,TODAY()-G165,0))</f>
        <v/>
      </c>
      <c r="K165" s="18" t="str">
        <f aca="false">IF(A165="","",IF(OR(B165="",C165="",E165="",G165=""),"Type, description, owner, target date needed","OK"))</f>
        <v/>
      </c>
    </row>
    <row r="166" customFormat="false" ht="15" hidden="false" customHeight="false" outlineLevel="0" collapsed="false">
      <c r="A166" s="16"/>
      <c r="B166" s="16"/>
      <c r="C166" s="16"/>
      <c r="D166" s="16"/>
      <c r="E166" s="16"/>
      <c r="F166" s="17"/>
      <c r="G166" s="17"/>
      <c r="H166" s="16"/>
      <c r="I166" s="16"/>
      <c r="J166" s="18" t="str">
        <f aca="true">IF(OR(A166="",G166="",H166="Closed"),"",IF(TODAY()&gt;G166,TODAY()-G166,0))</f>
        <v/>
      </c>
      <c r="K166" s="18" t="str">
        <f aca="false">IF(A166="","",IF(OR(B166="",C166="",E166="",G166=""),"Type, description, owner, target date needed","OK"))</f>
        <v/>
      </c>
    </row>
    <row r="167" customFormat="false" ht="15" hidden="false" customHeight="false" outlineLevel="0" collapsed="false">
      <c r="A167" s="16"/>
      <c r="B167" s="16"/>
      <c r="C167" s="16"/>
      <c r="D167" s="16"/>
      <c r="E167" s="16"/>
      <c r="F167" s="17"/>
      <c r="G167" s="17"/>
      <c r="H167" s="16"/>
      <c r="I167" s="16"/>
      <c r="J167" s="18" t="str">
        <f aca="true">IF(OR(A167="",G167="",H167="Closed"),"",IF(TODAY()&gt;G167,TODAY()-G167,0))</f>
        <v/>
      </c>
      <c r="K167" s="18" t="str">
        <f aca="false">IF(A167="","",IF(OR(B167="",C167="",E167="",G167=""),"Type, description, owner, target date needed","OK"))</f>
        <v/>
      </c>
    </row>
    <row r="168" customFormat="false" ht="15" hidden="false" customHeight="false" outlineLevel="0" collapsed="false">
      <c r="A168" s="16"/>
      <c r="B168" s="16"/>
      <c r="C168" s="16"/>
      <c r="D168" s="16"/>
      <c r="E168" s="16"/>
      <c r="F168" s="17"/>
      <c r="G168" s="17"/>
      <c r="H168" s="16"/>
      <c r="I168" s="16"/>
      <c r="J168" s="18" t="str">
        <f aca="true">IF(OR(A168="",G168="",H168="Closed"),"",IF(TODAY()&gt;G168,TODAY()-G168,0))</f>
        <v/>
      </c>
      <c r="K168" s="18" t="str">
        <f aca="false">IF(A168="","",IF(OR(B168="",C168="",E168="",G168=""),"Type, description, owner, target date needed","OK"))</f>
        <v/>
      </c>
    </row>
    <row r="169" customFormat="false" ht="15" hidden="false" customHeight="false" outlineLevel="0" collapsed="false">
      <c r="A169" s="16"/>
      <c r="B169" s="16"/>
      <c r="C169" s="16"/>
      <c r="D169" s="16"/>
      <c r="E169" s="16"/>
      <c r="F169" s="17"/>
      <c r="G169" s="17"/>
      <c r="H169" s="16"/>
      <c r="I169" s="16"/>
      <c r="J169" s="18" t="str">
        <f aca="true">IF(OR(A169="",G169="",H169="Closed"),"",IF(TODAY()&gt;G169,TODAY()-G169,0))</f>
        <v/>
      </c>
      <c r="K169" s="18" t="str">
        <f aca="false">IF(A169="","",IF(OR(B169="",C169="",E169="",G169=""),"Type, description, owner, target date needed","OK"))</f>
        <v/>
      </c>
    </row>
    <row r="170" customFormat="false" ht="15" hidden="false" customHeight="false" outlineLevel="0" collapsed="false">
      <c r="A170" s="16"/>
      <c r="B170" s="16"/>
      <c r="C170" s="16"/>
      <c r="D170" s="16"/>
      <c r="E170" s="16"/>
      <c r="F170" s="17"/>
      <c r="G170" s="17"/>
      <c r="H170" s="16"/>
      <c r="I170" s="16"/>
      <c r="J170" s="18" t="str">
        <f aca="true">IF(OR(A170="",G170="",H170="Closed"),"",IF(TODAY()&gt;G170,TODAY()-G170,0))</f>
        <v/>
      </c>
      <c r="K170" s="18" t="str">
        <f aca="false">IF(A170="","",IF(OR(B170="",C170="",E170="",G170=""),"Type, description, owner, target date needed","OK"))</f>
        <v/>
      </c>
    </row>
    <row r="171" customFormat="false" ht="15" hidden="false" customHeight="false" outlineLevel="0" collapsed="false">
      <c r="A171" s="16"/>
      <c r="B171" s="16"/>
      <c r="C171" s="16"/>
      <c r="D171" s="16"/>
      <c r="E171" s="16"/>
      <c r="F171" s="17"/>
      <c r="G171" s="17"/>
      <c r="H171" s="16"/>
      <c r="I171" s="16"/>
      <c r="J171" s="18" t="str">
        <f aca="true">IF(OR(A171="",G171="",H171="Closed"),"",IF(TODAY()&gt;G171,TODAY()-G171,0))</f>
        <v/>
      </c>
      <c r="K171" s="18" t="str">
        <f aca="false">IF(A171="","",IF(OR(B171="",C171="",E171="",G171=""),"Type, description, owner, target date needed","OK"))</f>
        <v/>
      </c>
    </row>
    <row r="172" customFormat="false" ht="15" hidden="false" customHeight="false" outlineLevel="0" collapsed="false">
      <c r="A172" s="16"/>
      <c r="B172" s="16"/>
      <c r="C172" s="16"/>
      <c r="D172" s="16"/>
      <c r="E172" s="16"/>
      <c r="F172" s="17"/>
      <c r="G172" s="17"/>
      <c r="H172" s="16"/>
      <c r="I172" s="16"/>
      <c r="J172" s="18" t="str">
        <f aca="true">IF(OR(A172="",G172="",H172="Closed"),"",IF(TODAY()&gt;G172,TODAY()-G172,0))</f>
        <v/>
      </c>
      <c r="K172" s="18" t="str">
        <f aca="false">IF(A172="","",IF(OR(B172="",C172="",E172="",G172=""),"Type, description, owner, target date needed","OK"))</f>
        <v/>
      </c>
    </row>
    <row r="173" customFormat="false" ht="15" hidden="false" customHeight="false" outlineLevel="0" collapsed="false">
      <c r="A173" s="16"/>
      <c r="B173" s="16"/>
      <c r="C173" s="16"/>
      <c r="D173" s="16"/>
      <c r="E173" s="16"/>
      <c r="F173" s="17"/>
      <c r="G173" s="17"/>
      <c r="H173" s="16"/>
      <c r="I173" s="16"/>
      <c r="J173" s="18" t="str">
        <f aca="true">IF(OR(A173="",G173="",H173="Closed"),"",IF(TODAY()&gt;G173,TODAY()-G173,0))</f>
        <v/>
      </c>
      <c r="K173" s="18" t="str">
        <f aca="false">IF(A173="","",IF(OR(B173="",C173="",E173="",G173=""),"Type, description, owner, target date needed","OK"))</f>
        <v/>
      </c>
    </row>
    <row r="174" customFormat="false" ht="15" hidden="false" customHeight="false" outlineLevel="0" collapsed="false">
      <c r="A174" s="16"/>
      <c r="B174" s="16"/>
      <c r="C174" s="16"/>
      <c r="D174" s="16"/>
      <c r="E174" s="16"/>
      <c r="F174" s="17"/>
      <c r="G174" s="17"/>
      <c r="H174" s="16"/>
      <c r="I174" s="16"/>
      <c r="J174" s="18" t="str">
        <f aca="true">IF(OR(A174="",G174="",H174="Closed"),"",IF(TODAY()&gt;G174,TODAY()-G174,0))</f>
        <v/>
      </c>
      <c r="K174" s="18" t="str">
        <f aca="false">IF(A174="","",IF(OR(B174="",C174="",E174="",G174=""),"Type, description, owner, target date needed","OK"))</f>
        <v/>
      </c>
    </row>
    <row r="175" customFormat="false" ht="15" hidden="false" customHeight="false" outlineLevel="0" collapsed="false">
      <c r="A175" s="16"/>
      <c r="B175" s="16"/>
      <c r="C175" s="16"/>
      <c r="D175" s="16"/>
      <c r="E175" s="16"/>
      <c r="F175" s="17"/>
      <c r="G175" s="17"/>
      <c r="H175" s="16"/>
      <c r="I175" s="16"/>
      <c r="J175" s="18" t="str">
        <f aca="true">IF(OR(A175="",G175="",H175="Closed"),"",IF(TODAY()&gt;G175,TODAY()-G175,0))</f>
        <v/>
      </c>
      <c r="K175" s="18" t="str">
        <f aca="false">IF(A175="","",IF(OR(B175="",C175="",E175="",G175=""),"Type, description, owner, target date needed","OK"))</f>
        <v/>
      </c>
    </row>
    <row r="176" customFormat="false" ht="15" hidden="false" customHeight="false" outlineLevel="0" collapsed="false">
      <c r="A176" s="16"/>
      <c r="B176" s="16"/>
      <c r="C176" s="16"/>
      <c r="D176" s="16"/>
      <c r="E176" s="16"/>
      <c r="F176" s="17"/>
      <c r="G176" s="17"/>
      <c r="H176" s="16"/>
      <c r="I176" s="16"/>
      <c r="J176" s="18" t="str">
        <f aca="true">IF(OR(A176="",G176="",H176="Closed"),"",IF(TODAY()&gt;G176,TODAY()-G176,0))</f>
        <v/>
      </c>
      <c r="K176" s="18" t="str">
        <f aca="false">IF(A176="","",IF(OR(B176="",C176="",E176="",G176=""),"Type, description, owner, target date needed","OK"))</f>
        <v/>
      </c>
    </row>
    <row r="177" customFormat="false" ht="15" hidden="false" customHeight="false" outlineLevel="0" collapsed="false">
      <c r="A177" s="16"/>
      <c r="B177" s="16"/>
      <c r="C177" s="16"/>
      <c r="D177" s="16"/>
      <c r="E177" s="16"/>
      <c r="F177" s="17"/>
      <c r="G177" s="17"/>
      <c r="H177" s="16"/>
      <c r="I177" s="16"/>
      <c r="J177" s="18" t="str">
        <f aca="true">IF(OR(A177="",G177="",H177="Closed"),"",IF(TODAY()&gt;G177,TODAY()-G177,0))</f>
        <v/>
      </c>
      <c r="K177" s="18" t="str">
        <f aca="false">IF(A177="","",IF(OR(B177="",C177="",E177="",G177=""),"Type, description, owner, target date needed","OK"))</f>
        <v/>
      </c>
    </row>
    <row r="178" customFormat="false" ht="15" hidden="false" customHeight="false" outlineLevel="0" collapsed="false">
      <c r="A178" s="16"/>
      <c r="B178" s="16"/>
      <c r="C178" s="16"/>
      <c r="D178" s="16"/>
      <c r="E178" s="16"/>
      <c r="F178" s="17"/>
      <c r="G178" s="17"/>
      <c r="H178" s="16"/>
      <c r="I178" s="16"/>
      <c r="J178" s="18" t="str">
        <f aca="true">IF(OR(A178="",G178="",H178="Closed"),"",IF(TODAY()&gt;G178,TODAY()-G178,0))</f>
        <v/>
      </c>
      <c r="K178" s="18" t="str">
        <f aca="false">IF(A178="","",IF(OR(B178="",C178="",E178="",G178=""),"Type, description, owner, target date needed","OK"))</f>
        <v/>
      </c>
    </row>
    <row r="179" customFormat="false" ht="15" hidden="false" customHeight="false" outlineLevel="0" collapsed="false">
      <c r="A179" s="16"/>
      <c r="B179" s="16"/>
      <c r="C179" s="16"/>
      <c r="D179" s="16"/>
      <c r="E179" s="16"/>
      <c r="F179" s="17"/>
      <c r="G179" s="17"/>
      <c r="H179" s="16"/>
      <c r="I179" s="16"/>
      <c r="J179" s="18" t="str">
        <f aca="true">IF(OR(A179="",G179="",H179="Closed"),"",IF(TODAY()&gt;G179,TODAY()-G179,0))</f>
        <v/>
      </c>
      <c r="K179" s="18" t="str">
        <f aca="false">IF(A179="","",IF(OR(B179="",C179="",E179="",G179=""),"Type, description, owner, target date needed","OK"))</f>
        <v/>
      </c>
    </row>
    <row r="180" customFormat="false" ht="15" hidden="false" customHeight="false" outlineLevel="0" collapsed="false">
      <c r="A180" s="16"/>
      <c r="B180" s="16"/>
      <c r="C180" s="16"/>
      <c r="D180" s="16"/>
      <c r="E180" s="16"/>
      <c r="F180" s="17"/>
      <c r="G180" s="17"/>
      <c r="H180" s="16"/>
      <c r="I180" s="16"/>
      <c r="J180" s="18" t="str">
        <f aca="true">IF(OR(A180="",G180="",H180="Closed"),"",IF(TODAY()&gt;G180,TODAY()-G180,0))</f>
        <v/>
      </c>
      <c r="K180" s="18" t="str">
        <f aca="false">IF(A180="","",IF(OR(B180="",C180="",E180="",G180=""),"Type, description, owner, target date needed","OK"))</f>
        <v/>
      </c>
    </row>
    <row r="181" customFormat="false" ht="15" hidden="false" customHeight="false" outlineLevel="0" collapsed="false">
      <c r="A181" s="16"/>
      <c r="B181" s="16"/>
      <c r="C181" s="16"/>
      <c r="D181" s="16"/>
      <c r="E181" s="16"/>
      <c r="F181" s="17"/>
      <c r="G181" s="17"/>
      <c r="H181" s="16"/>
      <c r="I181" s="16"/>
      <c r="J181" s="18" t="str">
        <f aca="true">IF(OR(A181="",G181="",H181="Closed"),"",IF(TODAY()&gt;G181,TODAY()-G181,0))</f>
        <v/>
      </c>
      <c r="K181" s="18" t="str">
        <f aca="false">IF(A181="","",IF(OR(B181="",C181="",E181="",G181=""),"Type, description, owner, target date needed","OK"))</f>
        <v/>
      </c>
    </row>
    <row r="182" customFormat="false" ht="15" hidden="false" customHeight="false" outlineLevel="0" collapsed="false">
      <c r="A182" s="16"/>
      <c r="B182" s="16"/>
      <c r="C182" s="16"/>
      <c r="D182" s="16"/>
      <c r="E182" s="16"/>
      <c r="F182" s="17"/>
      <c r="G182" s="17"/>
      <c r="H182" s="16"/>
      <c r="I182" s="16"/>
      <c r="J182" s="18" t="str">
        <f aca="true">IF(OR(A182="",G182="",H182="Closed"),"",IF(TODAY()&gt;G182,TODAY()-G182,0))</f>
        <v/>
      </c>
      <c r="K182" s="18" t="str">
        <f aca="false">IF(A182="","",IF(OR(B182="",C182="",E182="",G182=""),"Type, description, owner, target date needed","OK"))</f>
        <v/>
      </c>
    </row>
    <row r="183" customFormat="false" ht="15" hidden="false" customHeight="false" outlineLevel="0" collapsed="false">
      <c r="A183" s="16"/>
      <c r="B183" s="16"/>
      <c r="C183" s="16"/>
      <c r="D183" s="16"/>
      <c r="E183" s="16"/>
      <c r="F183" s="17"/>
      <c r="G183" s="17"/>
      <c r="H183" s="16"/>
      <c r="I183" s="16"/>
      <c r="J183" s="18" t="str">
        <f aca="true">IF(OR(A183="",G183="",H183="Closed"),"",IF(TODAY()&gt;G183,TODAY()-G183,0))</f>
        <v/>
      </c>
      <c r="K183" s="18" t="str">
        <f aca="false">IF(A183="","",IF(OR(B183="",C183="",E183="",G183=""),"Type, description, owner, target date needed","OK"))</f>
        <v/>
      </c>
    </row>
    <row r="184" customFormat="false" ht="15" hidden="false" customHeight="false" outlineLevel="0" collapsed="false">
      <c r="A184" s="16"/>
      <c r="B184" s="16"/>
      <c r="C184" s="16"/>
      <c r="D184" s="16"/>
      <c r="E184" s="16"/>
      <c r="F184" s="17"/>
      <c r="G184" s="17"/>
      <c r="H184" s="16"/>
      <c r="I184" s="16"/>
      <c r="J184" s="18" t="str">
        <f aca="true">IF(OR(A184="",G184="",H184="Closed"),"",IF(TODAY()&gt;G184,TODAY()-G184,0))</f>
        <v/>
      </c>
      <c r="K184" s="18" t="str">
        <f aca="false">IF(A184="","",IF(OR(B184="",C184="",E184="",G184=""),"Type, description, owner, target date needed","OK"))</f>
        <v/>
      </c>
    </row>
    <row r="185" customFormat="false" ht="15" hidden="false" customHeight="false" outlineLevel="0" collapsed="false">
      <c r="A185" s="16"/>
      <c r="B185" s="16"/>
      <c r="C185" s="16"/>
      <c r="D185" s="16"/>
      <c r="E185" s="16"/>
      <c r="F185" s="17"/>
      <c r="G185" s="17"/>
      <c r="H185" s="16"/>
      <c r="I185" s="16"/>
      <c r="J185" s="18" t="str">
        <f aca="true">IF(OR(A185="",G185="",H185="Closed"),"",IF(TODAY()&gt;G185,TODAY()-G185,0))</f>
        <v/>
      </c>
      <c r="K185" s="18" t="str">
        <f aca="false">IF(A185="","",IF(OR(B185="",C185="",E185="",G185=""),"Type, description, owner, target date needed","OK"))</f>
        <v/>
      </c>
    </row>
    <row r="186" customFormat="false" ht="15" hidden="false" customHeight="false" outlineLevel="0" collapsed="false">
      <c r="A186" s="16"/>
      <c r="B186" s="16"/>
      <c r="C186" s="16"/>
      <c r="D186" s="16"/>
      <c r="E186" s="16"/>
      <c r="F186" s="17"/>
      <c r="G186" s="17"/>
      <c r="H186" s="16"/>
      <c r="I186" s="16"/>
      <c r="J186" s="18" t="str">
        <f aca="true">IF(OR(A186="",G186="",H186="Closed"),"",IF(TODAY()&gt;G186,TODAY()-G186,0))</f>
        <v/>
      </c>
      <c r="K186" s="18" t="str">
        <f aca="false">IF(A186="","",IF(OR(B186="",C186="",E186="",G186=""),"Type, description, owner, target date needed","OK"))</f>
        <v/>
      </c>
    </row>
    <row r="187" customFormat="false" ht="15" hidden="false" customHeight="false" outlineLevel="0" collapsed="false">
      <c r="A187" s="16"/>
      <c r="B187" s="16"/>
      <c r="C187" s="16"/>
      <c r="D187" s="16"/>
      <c r="E187" s="16"/>
      <c r="F187" s="17"/>
      <c r="G187" s="17"/>
      <c r="H187" s="16"/>
      <c r="I187" s="16"/>
      <c r="J187" s="18" t="str">
        <f aca="true">IF(OR(A187="",G187="",H187="Closed"),"",IF(TODAY()&gt;G187,TODAY()-G187,0))</f>
        <v/>
      </c>
      <c r="K187" s="18" t="str">
        <f aca="false">IF(A187="","",IF(OR(B187="",C187="",E187="",G187=""),"Type, description, owner, target date needed","OK"))</f>
        <v/>
      </c>
    </row>
    <row r="188" customFormat="false" ht="15" hidden="false" customHeight="false" outlineLevel="0" collapsed="false">
      <c r="A188" s="16"/>
      <c r="B188" s="16"/>
      <c r="C188" s="16"/>
      <c r="D188" s="16"/>
      <c r="E188" s="16"/>
      <c r="F188" s="17"/>
      <c r="G188" s="17"/>
      <c r="H188" s="16"/>
      <c r="I188" s="16"/>
      <c r="J188" s="18" t="str">
        <f aca="true">IF(OR(A188="",G188="",H188="Closed"),"",IF(TODAY()&gt;G188,TODAY()-G188,0))</f>
        <v/>
      </c>
      <c r="K188" s="18" t="str">
        <f aca="false">IF(A188="","",IF(OR(B188="",C188="",E188="",G188=""),"Type, description, owner, target date needed","OK"))</f>
        <v/>
      </c>
    </row>
    <row r="189" customFormat="false" ht="15" hidden="false" customHeight="false" outlineLevel="0" collapsed="false">
      <c r="A189" s="16"/>
      <c r="B189" s="16"/>
      <c r="C189" s="16"/>
      <c r="D189" s="16"/>
      <c r="E189" s="16"/>
      <c r="F189" s="17"/>
      <c r="G189" s="17"/>
      <c r="H189" s="16"/>
      <c r="I189" s="16"/>
      <c r="J189" s="18" t="str">
        <f aca="true">IF(OR(A189="",G189="",H189="Closed"),"",IF(TODAY()&gt;G189,TODAY()-G189,0))</f>
        <v/>
      </c>
      <c r="K189" s="18" t="str">
        <f aca="false">IF(A189="","",IF(OR(B189="",C189="",E189="",G189=""),"Type, description, owner, target date needed","OK"))</f>
        <v/>
      </c>
    </row>
    <row r="190" customFormat="false" ht="15" hidden="false" customHeight="false" outlineLevel="0" collapsed="false">
      <c r="A190" s="16"/>
      <c r="B190" s="16"/>
      <c r="C190" s="16"/>
      <c r="D190" s="16"/>
      <c r="E190" s="16"/>
      <c r="F190" s="17"/>
      <c r="G190" s="17"/>
      <c r="H190" s="16"/>
      <c r="I190" s="16"/>
      <c r="J190" s="18" t="str">
        <f aca="true">IF(OR(A190="",G190="",H190="Closed"),"",IF(TODAY()&gt;G190,TODAY()-G190,0))</f>
        <v/>
      </c>
      <c r="K190" s="18" t="str">
        <f aca="false">IF(A190="","",IF(OR(B190="",C190="",E190="",G190=""),"Type, description, owner, target date needed","OK"))</f>
        <v/>
      </c>
    </row>
    <row r="191" customFormat="false" ht="15" hidden="false" customHeight="false" outlineLevel="0" collapsed="false">
      <c r="A191" s="16"/>
      <c r="B191" s="16"/>
      <c r="C191" s="16"/>
      <c r="D191" s="16"/>
      <c r="E191" s="16"/>
      <c r="F191" s="17"/>
      <c r="G191" s="17"/>
      <c r="H191" s="16"/>
      <c r="I191" s="16"/>
      <c r="J191" s="18" t="str">
        <f aca="true">IF(OR(A191="",G191="",H191="Closed"),"",IF(TODAY()&gt;G191,TODAY()-G191,0))</f>
        <v/>
      </c>
      <c r="K191" s="18" t="str">
        <f aca="false">IF(A191="","",IF(OR(B191="",C191="",E191="",G191=""),"Type, description, owner, target date needed","OK"))</f>
        <v/>
      </c>
    </row>
    <row r="192" customFormat="false" ht="15" hidden="false" customHeight="false" outlineLevel="0" collapsed="false">
      <c r="A192" s="16"/>
      <c r="B192" s="16"/>
      <c r="C192" s="16"/>
      <c r="D192" s="16"/>
      <c r="E192" s="16"/>
      <c r="F192" s="17"/>
      <c r="G192" s="17"/>
      <c r="H192" s="16"/>
      <c r="I192" s="16"/>
      <c r="J192" s="18" t="str">
        <f aca="true">IF(OR(A192="",G192="",H192="Closed"),"",IF(TODAY()&gt;G192,TODAY()-G192,0))</f>
        <v/>
      </c>
      <c r="K192" s="18" t="str">
        <f aca="false">IF(A192="","",IF(OR(B192="",C192="",E192="",G192=""),"Type, description, owner, target date needed","OK"))</f>
        <v/>
      </c>
    </row>
    <row r="193" customFormat="false" ht="15" hidden="false" customHeight="false" outlineLevel="0" collapsed="false">
      <c r="A193" s="16"/>
      <c r="B193" s="16"/>
      <c r="C193" s="16"/>
      <c r="D193" s="16"/>
      <c r="E193" s="16"/>
      <c r="F193" s="17"/>
      <c r="G193" s="17"/>
      <c r="H193" s="16"/>
      <c r="I193" s="16"/>
      <c r="J193" s="18" t="str">
        <f aca="true">IF(OR(A193="",G193="",H193="Closed"),"",IF(TODAY()&gt;G193,TODAY()-G193,0))</f>
        <v/>
      </c>
      <c r="K193" s="18" t="str">
        <f aca="false">IF(A193="","",IF(OR(B193="",C193="",E193="",G193=""),"Type, description, owner, target date needed","OK"))</f>
        <v/>
      </c>
    </row>
    <row r="194" customFormat="false" ht="15" hidden="false" customHeight="false" outlineLevel="0" collapsed="false">
      <c r="A194" s="16"/>
      <c r="B194" s="16"/>
      <c r="C194" s="16"/>
      <c r="D194" s="16"/>
      <c r="E194" s="16"/>
      <c r="F194" s="17"/>
      <c r="G194" s="17"/>
      <c r="H194" s="16"/>
      <c r="I194" s="16"/>
      <c r="J194" s="18" t="str">
        <f aca="true">IF(OR(A194="",G194="",H194="Closed"),"",IF(TODAY()&gt;G194,TODAY()-G194,0))</f>
        <v/>
      </c>
      <c r="K194" s="18" t="str">
        <f aca="false">IF(A194="","",IF(OR(B194="",C194="",E194="",G194=""),"Type, description, owner, target date needed","OK"))</f>
        <v/>
      </c>
    </row>
    <row r="195" customFormat="false" ht="15" hidden="false" customHeight="false" outlineLevel="0" collapsed="false">
      <c r="A195" s="16"/>
      <c r="B195" s="16"/>
      <c r="C195" s="16"/>
      <c r="D195" s="16"/>
      <c r="E195" s="16"/>
      <c r="F195" s="17"/>
      <c r="G195" s="17"/>
      <c r="H195" s="16"/>
      <c r="I195" s="16"/>
      <c r="J195" s="18" t="str">
        <f aca="true">IF(OR(A195="",G195="",H195="Closed"),"",IF(TODAY()&gt;G195,TODAY()-G195,0))</f>
        <v/>
      </c>
      <c r="K195" s="18" t="str">
        <f aca="false">IF(A195="","",IF(OR(B195="",C195="",E195="",G195=""),"Type, description, owner, target date needed","OK"))</f>
        <v/>
      </c>
    </row>
    <row r="196" customFormat="false" ht="15" hidden="false" customHeight="false" outlineLevel="0" collapsed="false">
      <c r="A196" s="16"/>
      <c r="B196" s="16"/>
      <c r="C196" s="16"/>
      <c r="D196" s="16"/>
      <c r="E196" s="16"/>
      <c r="F196" s="17"/>
      <c r="G196" s="17"/>
      <c r="H196" s="16"/>
      <c r="I196" s="16"/>
      <c r="J196" s="18" t="str">
        <f aca="true">IF(OR(A196="",G196="",H196="Closed"),"",IF(TODAY()&gt;G196,TODAY()-G196,0))</f>
        <v/>
      </c>
      <c r="K196" s="18" t="str">
        <f aca="false">IF(A196="","",IF(OR(B196="",C196="",E196="",G196=""),"Type, description, owner, target date needed","OK"))</f>
        <v/>
      </c>
    </row>
    <row r="197" customFormat="false" ht="15" hidden="false" customHeight="false" outlineLevel="0" collapsed="false">
      <c r="A197" s="16"/>
      <c r="B197" s="16"/>
      <c r="C197" s="16"/>
      <c r="D197" s="16"/>
      <c r="E197" s="16"/>
      <c r="F197" s="17"/>
      <c r="G197" s="17"/>
      <c r="H197" s="16"/>
      <c r="I197" s="16"/>
      <c r="J197" s="18" t="str">
        <f aca="true">IF(OR(A197="",G197="",H197="Closed"),"",IF(TODAY()&gt;G197,TODAY()-G197,0))</f>
        <v/>
      </c>
      <c r="K197" s="18" t="str">
        <f aca="false">IF(A197="","",IF(OR(B197="",C197="",E197="",G197=""),"Type, description, owner, target date needed","OK"))</f>
        <v/>
      </c>
    </row>
    <row r="198" customFormat="false" ht="15" hidden="false" customHeight="false" outlineLevel="0" collapsed="false">
      <c r="A198" s="16"/>
      <c r="B198" s="16"/>
      <c r="C198" s="16"/>
      <c r="D198" s="16"/>
      <c r="E198" s="16"/>
      <c r="F198" s="17"/>
      <c r="G198" s="17"/>
      <c r="H198" s="16"/>
      <c r="I198" s="16"/>
      <c r="J198" s="18" t="str">
        <f aca="true">IF(OR(A198="",G198="",H198="Closed"),"",IF(TODAY()&gt;G198,TODAY()-G198,0))</f>
        <v/>
      </c>
      <c r="K198" s="18" t="str">
        <f aca="false">IF(A198="","",IF(OR(B198="",C198="",E198="",G198=""),"Type, description, owner, target date needed","OK"))</f>
        <v/>
      </c>
    </row>
    <row r="199" customFormat="false" ht="15" hidden="false" customHeight="false" outlineLevel="0" collapsed="false">
      <c r="A199" s="16"/>
      <c r="B199" s="16"/>
      <c r="C199" s="16"/>
      <c r="D199" s="16"/>
      <c r="E199" s="16"/>
      <c r="F199" s="17"/>
      <c r="G199" s="17"/>
      <c r="H199" s="16"/>
      <c r="I199" s="16"/>
      <c r="J199" s="18" t="str">
        <f aca="true">IF(OR(A199="",G199="",H199="Closed"),"",IF(TODAY()&gt;G199,TODAY()-G199,0))</f>
        <v/>
      </c>
      <c r="K199" s="18" t="str">
        <f aca="false">IF(A199="","",IF(OR(B199="",C199="",E199="",G199=""),"Type, description, owner, target date needed","OK"))</f>
        <v/>
      </c>
    </row>
    <row r="200" customFormat="false" ht="15" hidden="false" customHeight="false" outlineLevel="0" collapsed="false">
      <c r="A200" s="16"/>
      <c r="B200" s="16"/>
      <c r="C200" s="16"/>
      <c r="D200" s="16"/>
      <c r="E200" s="16"/>
      <c r="F200" s="17"/>
      <c r="G200" s="17"/>
      <c r="H200" s="16"/>
      <c r="I200" s="16"/>
      <c r="J200" s="18" t="str">
        <f aca="true">IF(OR(A200="",G200="",H200="Closed"),"",IF(TODAY()&gt;G200,TODAY()-G200,0))</f>
        <v/>
      </c>
      <c r="K200" s="18" t="str">
        <f aca="false">IF(A200="","",IF(OR(B200="",C200="",E200="",G200=""),"Type, description, owner, target date needed","OK"))</f>
        <v/>
      </c>
    </row>
    <row r="201" customFormat="false" ht="15" hidden="false" customHeight="false" outlineLevel="0" collapsed="false">
      <c r="A201" s="16"/>
      <c r="B201" s="16"/>
      <c r="C201" s="16"/>
      <c r="D201" s="16"/>
      <c r="E201" s="16"/>
      <c r="F201" s="17"/>
      <c r="G201" s="17"/>
      <c r="H201" s="16"/>
      <c r="I201" s="16"/>
      <c r="J201" s="18" t="str">
        <f aca="true">IF(OR(A201="",G201="",H201="Closed"),"",IF(TODAY()&gt;G201,TODAY()-G201,0))</f>
        <v/>
      </c>
      <c r="K201" s="18" t="str">
        <f aca="false">IF(A201="","",IF(OR(B201="",C201="",E201="",G201=""),"Type, description, owner, target date needed","OK"))</f>
        <v/>
      </c>
    </row>
    <row r="202" customFormat="false" ht="15" hidden="false" customHeight="false" outlineLevel="0" collapsed="false">
      <c r="A202" s="16"/>
      <c r="B202" s="16"/>
      <c r="C202" s="16"/>
      <c r="D202" s="16"/>
      <c r="E202" s="16"/>
      <c r="F202" s="17"/>
      <c r="G202" s="17"/>
      <c r="H202" s="16"/>
      <c r="I202" s="16"/>
      <c r="J202" s="18" t="str">
        <f aca="true">IF(OR(A202="",G202="",H202="Closed"),"",IF(TODAY()&gt;G202,TODAY()-G202,0))</f>
        <v/>
      </c>
      <c r="K202" s="18" t="str">
        <f aca="false">IF(A202="","",IF(OR(B202="",C202="",E202="",G202=""),"Type, description, owner, target date needed","OK"))</f>
        <v/>
      </c>
    </row>
    <row r="203" customFormat="false" ht="15" hidden="false" customHeight="false" outlineLevel="0" collapsed="false">
      <c r="A203" s="16"/>
      <c r="B203" s="16"/>
      <c r="C203" s="16"/>
      <c r="D203" s="16"/>
      <c r="E203" s="16"/>
      <c r="F203" s="17"/>
      <c r="G203" s="17"/>
      <c r="H203" s="16"/>
      <c r="I203" s="16"/>
      <c r="J203" s="18" t="str">
        <f aca="true">IF(OR(A203="",G203="",H203="Closed"),"",IF(TODAY()&gt;G203,TODAY()-G203,0))</f>
        <v/>
      </c>
      <c r="K203" s="18" t="str">
        <f aca="false">IF(A203="","",IF(OR(B203="",C203="",E203="",G203=""),"Type, description, owner, target date needed","OK"))</f>
        <v/>
      </c>
    </row>
    <row r="204" customFormat="false" ht="15" hidden="false" customHeight="false" outlineLevel="0" collapsed="false">
      <c r="A204" s="16"/>
      <c r="B204" s="16"/>
      <c r="C204" s="16"/>
      <c r="D204" s="16"/>
      <c r="E204" s="16"/>
      <c r="F204" s="17"/>
      <c r="G204" s="17"/>
      <c r="H204" s="16"/>
      <c r="I204" s="16"/>
      <c r="J204" s="18" t="str">
        <f aca="true">IF(OR(A204="",G204="",H204="Closed"),"",IF(TODAY()&gt;G204,TODAY()-G204,0))</f>
        <v/>
      </c>
      <c r="K204" s="18" t="str">
        <f aca="false">IF(A204="","",IF(OR(B204="",C204="",E204="",G204=""),"Type, description, owner, target date needed","OK"))</f>
        <v/>
      </c>
    </row>
  </sheetData>
  <autoFilter ref="A4:K204"/>
  <dataValidations count="2">
    <dataValidation allowBlank="true" error="Pick a value from the list." errorStyle="stop" operator="between" showDropDown="false" showErrorMessage="true" showInputMessage="false" sqref="B5:B204" type="list">
      <formula1>Lists!$C$2:$C$6</formula1>
      <formula2>0</formula2>
    </dataValidation>
    <dataValidation allowBlank="true" error="Pick a value from the list." errorStyle="stop" operator="between" showDropDown="false" showErrorMessage="true" showInputMessage="false" sqref="H5:H204" type="list">
      <formula1>Lists!$D$2:$D$4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70"/>
    <col collapsed="false" customWidth="true" hidden="false" outlineLevel="0" max="6" min="3" style="0" width="14"/>
  </cols>
  <sheetData>
    <row r="1" customFormat="false" ht="17.35" hidden="false" customHeight="false" outlineLevel="0" collapsed="false">
      <c r="A1" s="9" t="s">
        <v>98</v>
      </c>
    </row>
    <row r="2" customFormat="false" ht="15" hidden="false" customHeight="false" outlineLevel="0" collapsed="false">
      <c r="A2" s="10" t="s">
        <v>99</v>
      </c>
    </row>
    <row r="3" customFormat="false" ht="15" hidden="false" customHeight="false" outlineLevel="0" collapsed="false">
      <c r="A3" s="19" t="s">
        <v>100</v>
      </c>
      <c r="B3" s="16" t="s">
        <v>101</v>
      </c>
    </row>
    <row r="4" customFormat="false" ht="15" hidden="false" customHeight="false" outlineLevel="0" collapsed="false">
      <c r="A4" s="19" t="s">
        <v>102</v>
      </c>
      <c r="B4" s="16" t="s">
        <v>103</v>
      </c>
    </row>
    <row r="5" customFormat="false" ht="15" hidden="false" customHeight="false" outlineLevel="0" collapsed="false">
      <c r="A5" s="19" t="s">
        <v>104</v>
      </c>
      <c r="B5" s="16" t="s">
        <v>105</v>
      </c>
    </row>
    <row r="6" customFormat="false" ht="15" hidden="false" customHeight="false" outlineLevel="0" collapsed="false">
      <c r="A6" s="19" t="s">
        <v>106</v>
      </c>
      <c r="B6" s="16" t="s">
        <v>107</v>
      </c>
    </row>
    <row r="7" customFormat="false" ht="23.85" hidden="false" customHeight="false" outlineLevel="0" collapsed="false">
      <c r="A7" s="19" t="s">
        <v>108</v>
      </c>
      <c r="B7" s="16" t="s">
        <v>109</v>
      </c>
    </row>
    <row r="8" customFormat="false" ht="15" hidden="false" customHeight="false" outlineLevel="0" collapsed="false">
      <c r="A8" s="19" t="s">
        <v>110</v>
      </c>
      <c r="B8" s="16" t="s">
        <v>111</v>
      </c>
    </row>
    <row r="9" customFormat="false" ht="15" hidden="false" customHeight="false" outlineLevel="0" collapsed="false">
      <c r="A9" s="19" t="s">
        <v>112</v>
      </c>
      <c r="B9" s="17" t="n">
        <v>46023</v>
      </c>
    </row>
    <row r="10" customFormat="false" ht="15" hidden="false" customHeight="false" outlineLevel="0" collapsed="false">
      <c r="A10" s="19" t="s">
        <v>113</v>
      </c>
      <c r="B10" s="17" t="n">
        <v>46295</v>
      </c>
    </row>
    <row r="11" customFormat="false" ht="15" hidden="false" customHeight="false" outlineLevel="0" collapsed="false">
      <c r="A11" s="19" t="s">
        <v>114</v>
      </c>
      <c r="B11" s="17" t="n">
        <v>46297</v>
      </c>
    </row>
    <row r="12" customFormat="false" ht="15" hidden="false" customHeight="false" outlineLevel="0" collapsed="false">
      <c r="A12" s="19" t="s">
        <v>115</v>
      </c>
      <c r="B12" s="20" t="n">
        <v>2500000</v>
      </c>
    </row>
    <row r="13" customFormat="false" ht="15" hidden="false" customHeight="false" outlineLevel="0" collapsed="false">
      <c r="A13" s="19" t="s">
        <v>116</v>
      </c>
      <c r="B13" s="20" t="n">
        <v>125000</v>
      </c>
    </row>
    <row r="14" customFormat="false" ht="15" hidden="false" customHeight="false" outlineLevel="0" collapsed="false">
      <c r="A14" s="19" t="s">
        <v>117</v>
      </c>
      <c r="B14" s="16" t="s">
        <v>118</v>
      </c>
    </row>
    <row r="15" customFormat="false" ht="15" hidden="false" customHeight="false" outlineLevel="0" collapsed="false">
      <c r="A15" s="19" t="s">
        <v>119</v>
      </c>
      <c r="B15" s="16" t="s">
        <v>120</v>
      </c>
    </row>
    <row r="16" customFormat="false" ht="30" hidden="false" customHeight="true" outlineLevel="0" collapsed="false">
      <c r="A16" s="21" t="s">
        <v>121</v>
      </c>
      <c r="B16" s="22" t="str">
        <f aca="false">IF(B8="Scoping","No conclusion at scoping stage",IF(COUNTIF(Checks!C6:C40,"REVIEW")&gt;0,"Not yet supportable: coverage checks open",IF(COUNTIFS(Ref_Deficiencies!E2:E201,"Material weakness",Ref_Deficiencies!G2:G201,"&lt;&gt;Closed")&gt;0,"Material weakness(es) identified",IF(COUNTIFS(Ref_Deficiencies!E2:E201,"Significant deficiency",Ref_Deficiencies!G2:G201,"&lt;&gt;Closed")&gt;0,"No material weakness; significant deficiency(ies) identified",IF(COUNTA(Ref_Deficiencies!A2:A201)&gt;0,"No material weakness or significant deficiency; control deficiencies identified","No deficiencies identified")))))</f>
        <v>No conclusion at scoping stage</v>
      </c>
    </row>
    <row r="18" customFormat="false" ht="15" hidden="false" customHeight="false" outlineLevel="0" collapsed="false">
      <c r="A18" s="3" t="s">
        <v>122</v>
      </c>
    </row>
    <row r="19" customFormat="false" ht="15" hidden="false" customHeight="false" outlineLevel="0" collapsed="false">
      <c r="A19" s="5" t="s">
        <v>29</v>
      </c>
      <c r="B19" s="5" t="s">
        <v>123</v>
      </c>
      <c r="C19" s="5" t="s">
        <v>124</v>
      </c>
      <c r="D19" s="5" t="s">
        <v>125</v>
      </c>
      <c r="E19" s="5" t="s">
        <v>126</v>
      </c>
      <c r="F19" s="5" t="s">
        <v>127</v>
      </c>
    </row>
    <row r="20" customFormat="false" ht="15" hidden="false" customHeight="false" outlineLevel="0" collapsed="false">
      <c r="A20" s="23" t="s">
        <v>128</v>
      </c>
      <c r="B20" s="24" t="n">
        <f aca="false">COUNTIFS(Ref_Tests!$H$2:$H$201,A20,Ref_Tests!$C$2:$C$201,"TOE")</f>
        <v>0</v>
      </c>
      <c r="C20" s="24" t="n">
        <f aca="false">COUNTIFS(Ref_Tests!$H$2:$H$201,$A20,Ref_Tests!$C$2:$C$201,"TOE",Ref_Tests!$D$2:$D$201,"Effective")</f>
        <v>0</v>
      </c>
      <c r="D20" s="24" t="n">
        <f aca="false">COUNTIFS(Ref_Tests!$H$2:$H$201,$A20,Ref_Tests!$C$2:$C$201,"TOE",Ref_Tests!$D$2:$D$201,"Exception noted")</f>
        <v>0</v>
      </c>
      <c r="E20" s="24" t="n">
        <f aca="false">COUNTIFS(Ref_Tests!$H$2:$H$201,$A20,Ref_Tests!$C$2:$C$201,"TOE",Ref_Tests!$D$2:$D$201,"Ineffective")</f>
        <v>0</v>
      </c>
      <c r="F20" s="24" t="n">
        <f aca="false">COUNTIFS(Ref_Tests!$H$2:$H$201,$A20,Ref_Tests!$C$2:$C$201,"TOE",Ref_Tests!$D$2:$D$201,"Not started")</f>
        <v>0</v>
      </c>
    </row>
    <row r="21" customFormat="false" ht="15" hidden="false" customHeight="false" outlineLevel="0" collapsed="false">
      <c r="A21" s="23" t="s">
        <v>129</v>
      </c>
      <c r="B21" s="24" t="n">
        <f aca="false">COUNTIFS(Ref_Tests!$H$2:$H$201,A21,Ref_Tests!$C$2:$C$201,"TOE")</f>
        <v>1</v>
      </c>
      <c r="C21" s="24" t="n">
        <f aca="false">COUNTIFS(Ref_Tests!$H$2:$H$201,$A21,Ref_Tests!$C$2:$C$201,"TOE",Ref_Tests!$D$2:$D$201,"Effective")</f>
        <v>0</v>
      </c>
      <c r="D21" s="24" t="n">
        <f aca="false">COUNTIFS(Ref_Tests!$H$2:$H$201,$A21,Ref_Tests!$C$2:$C$201,"TOE",Ref_Tests!$D$2:$D$201,"Exception noted")</f>
        <v>0</v>
      </c>
      <c r="E21" s="24" t="n">
        <f aca="false">COUNTIFS(Ref_Tests!$H$2:$H$201,$A21,Ref_Tests!$C$2:$C$201,"TOE",Ref_Tests!$D$2:$D$201,"Ineffective")</f>
        <v>0</v>
      </c>
      <c r="F21" s="24" t="n">
        <f aca="false">COUNTIFS(Ref_Tests!$H$2:$H$201,$A21,Ref_Tests!$C$2:$C$201,"TOE",Ref_Tests!$D$2:$D$201,"Not started")</f>
        <v>1</v>
      </c>
    </row>
    <row r="22" customFormat="false" ht="15" hidden="false" customHeight="false" outlineLevel="0" collapsed="false">
      <c r="A22" s="23" t="s">
        <v>130</v>
      </c>
      <c r="B22" s="24" t="n">
        <f aca="false">COUNTIFS(Ref_Tests!$H$2:$H$201,A22,Ref_Tests!$C$2:$C$201,"TOE")</f>
        <v>0</v>
      </c>
      <c r="C22" s="24" t="n">
        <f aca="false">COUNTIFS(Ref_Tests!$H$2:$H$201,$A22,Ref_Tests!$C$2:$C$201,"TOE",Ref_Tests!$D$2:$D$201,"Effective")</f>
        <v>0</v>
      </c>
      <c r="D22" s="24" t="n">
        <f aca="false">COUNTIFS(Ref_Tests!$H$2:$H$201,$A22,Ref_Tests!$C$2:$C$201,"TOE",Ref_Tests!$D$2:$D$201,"Exception noted")</f>
        <v>0</v>
      </c>
      <c r="E22" s="24" t="n">
        <f aca="false">COUNTIFS(Ref_Tests!$H$2:$H$201,$A22,Ref_Tests!$C$2:$C$201,"TOE",Ref_Tests!$D$2:$D$201,"Ineffective")</f>
        <v>0</v>
      </c>
      <c r="F22" s="24" t="n">
        <f aca="false">COUNTIFS(Ref_Tests!$H$2:$H$201,$A22,Ref_Tests!$C$2:$C$201,"TOE",Ref_Tests!$D$2:$D$201,"Not started")</f>
        <v>0</v>
      </c>
    </row>
    <row r="23" customFormat="false" ht="15" hidden="false" customHeight="false" outlineLevel="0" collapsed="false">
      <c r="A23" s="23" t="s">
        <v>131</v>
      </c>
      <c r="B23" s="24" t="n">
        <f aca="false">COUNTIFS(Ref_Tests!$H$2:$H$201,A23,Ref_Tests!$C$2:$C$201,"TOE")</f>
        <v>0</v>
      </c>
      <c r="C23" s="24" t="n">
        <f aca="false">COUNTIFS(Ref_Tests!$H$2:$H$201,$A23,Ref_Tests!$C$2:$C$201,"TOE",Ref_Tests!$D$2:$D$201,"Effective")</f>
        <v>0</v>
      </c>
      <c r="D23" s="24" t="n">
        <f aca="false">COUNTIFS(Ref_Tests!$H$2:$H$201,$A23,Ref_Tests!$C$2:$C$201,"TOE",Ref_Tests!$D$2:$D$201,"Exception noted")</f>
        <v>0</v>
      </c>
      <c r="E23" s="24" t="n">
        <f aca="false">COUNTIFS(Ref_Tests!$H$2:$H$201,$A23,Ref_Tests!$C$2:$C$201,"TOE",Ref_Tests!$D$2:$D$201,"Ineffective")</f>
        <v>0</v>
      </c>
      <c r="F23" s="24" t="n">
        <f aca="false">COUNTIFS(Ref_Tests!$H$2:$H$201,$A23,Ref_Tests!$C$2:$C$201,"TOE",Ref_Tests!$D$2:$D$201,"Not started")</f>
        <v>0</v>
      </c>
    </row>
    <row r="24" customFormat="false" ht="15" hidden="false" customHeight="false" outlineLevel="0" collapsed="false">
      <c r="A24" s="23" t="s">
        <v>132</v>
      </c>
      <c r="B24" s="24" t="n">
        <f aca="false">COUNTIFS(Ref_Tests!$H$2:$H$201,A24,Ref_Tests!$C$2:$C$201,"TOE")</f>
        <v>0</v>
      </c>
      <c r="C24" s="24" t="n">
        <f aca="false">COUNTIFS(Ref_Tests!$H$2:$H$201,$A24,Ref_Tests!$C$2:$C$201,"TOE",Ref_Tests!$D$2:$D$201,"Effective")</f>
        <v>0</v>
      </c>
      <c r="D24" s="24" t="n">
        <f aca="false">COUNTIFS(Ref_Tests!$H$2:$H$201,$A24,Ref_Tests!$C$2:$C$201,"TOE",Ref_Tests!$D$2:$D$201,"Exception noted")</f>
        <v>0</v>
      </c>
      <c r="E24" s="24" t="n">
        <f aca="false">COUNTIFS(Ref_Tests!$H$2:$H$201,$A24,Ref_Tests!$C$2:$C$201,"TOE",Ref_Tests!$D$2:$D$201,"Ineffective")</f>
        <v>0</v>
      </c>
      <c r="F24" s="24" t="n">
        <f aca="false">COUNTIFS(Ref_Tests!$H$2:$H$201,$A24,Ref_Tests!$C$2:$C$201,"TOE",Ref_Tests!$D$2:$D$201,"Not started")</f>
        <v>0</v>
      </c>
    </row>
    <row r="25" customFormat="false" ht="15" hidden="false" customHeight="false" outlineLevel="0" collapsed="false">
      <c r="A25" s="23" t="s">
        <v>133</v>
      </c>
      <c r="B25" s="24" t="n">
        <f aca="false">COUNTIFS(Ref_Tests!$H$2:$H$201,A25,Ref_Tests!$C$2:$C$201,"TOE")</f>
        <v>0</v>
      </c>
      <c r="C25" s="24" t="n">
        <f aca="false">COUNTIFS(Ref_Tests!$H$2:$H$201,$A25,Ref_Tests!$C$2:$C$201,"TOE",Ref_Tests!$D$2:$D$201,"Effective")</f>
        <v>0</v>
      </c>
      <c r="D25" s="24" t="n">
        <f aca="false">COUNTIFS(Ref_Tests!$H$2:$H$201,$A25,Ref_Tests!$C$2:$C$201,"TOE",Ref_Tests!$D$2:$D$201,"Exception noted")</f>
        <v>0</v>
      </c>
      <c r="E25" s="24" t="n">
        <f aca="false">COUNTIFS(Ref_Tests!$H$2:$H$201,$A25,Ref_Tests!$C$2:$C$201,"TOE",Ref_Tests!$D$2:$D$201,"Ineffective")</f>
        <v>0</v>
      </c>
      <c r="F25" s="24" t="n">
        <f aca="false">COUNTIFS(Ref_Tests!$H$2:$H$201,$A25,Ref_Tests!$C$2:$C$201,"TOE",Ref_Tests!$D$2:$D$201,"Not started")</f>
        <v>0</v>
      </c>
    </row>
    <row r="26" customFormat="false" ht="15" hidden="false" customHeight="false" outlineLevel="0" collapsed="false">
      <c r="A26" s="23" t="s">
        <v>134</v>
      </c>
      <c r="B26" s="24" t="n">
        <f aca="false">COUNTIFS(Ref_Tests!$H$2:$H$201,A26,Ref_Tests!$C$2:$C$201,"TOE")</f>
        <v>0</v>
      </c>
      <c r="C26" s="24" t="n">
        <f aca="false">COUNTIFS(Ref_Tests!$H$2:$H$201,$A26,Ref_Tests!$C$2:$C$201,"TOE",Ref_Tests!$D$2:$D$201,"Effective")</f>
        <v>0</v>
      </c>
      <c r="D26" s="24" t="n">
        <f aca="false">COUNTIFS(Ref_Tests!$H$2:$H$201,$A26,Ref_Tests!$C$2:$C$201,"TOE",Ref_Tests!$D$2:$D$201,"Exception noted")</f>
        <v>0</v>
      </c>
      <c r="E26" s="24" t="n">
        <f aca="false">COUNTIFS(Ref_Tests!$H$2:$H$201,$A26,Ref_Tests!$C$2:$C$201,"TOE",Ref_Tests!$D$2:$D$201,"Ineffective")</f>
        <v>0</v>
      </c>
      <c r="F26" s="24" t="n">
        <f aca="false">COUNTIFS(Ref_Tests!$H$2:$H$201,$A26,Ref_Tests!$C$2:$C$201,"TOE",Ref_Tests!$D$2:$D$201,"Not started")</f>
        <v>0</v>
      </c>
    </row>
    <row r="27" customFormat="false" ht="15" hidden="false" customHeight="false" outlineLevel="0" collapsed="false">
      <c r="A27" s="23" t="s">
        <v>135</v>
      </c>
      <c r="B27" s="24" t="n">
        <f aca="false">COUNTIFS(Ref_Tests!$H$2:$H$201,A27,Ref_Tests!$C$2:$C$201,"TOE")</f>
        <v>0</v>
      </c>
      <c r="C27" s="24" t="n">
        <f aca="false">COUNTIFS(Ref_Tests!$H$2:$H$201,$A27,Ref_Tests!$C$2:$C$201,"TOE",Ref_Tests!$D$2:$D$201,"Effective")</f>
        <v>0</v>
      </c>
      <c r="D27" s="24" t="n">
        <f aca="false">COUNTIFS(Ref_Tests!$H$2:$H$201,$A27,Ref_Tests!$C$2:$C$201,"TOE",Ref_Tests!$D$2:$D$201,"Exception noted")</f>
        <v>0</v>
      </c>
      <c r="E27" s="24" t="n">
        <f aca="false">COUNTIFS(Ref_Tests!$H$2:$H$201,$A27,Ref_Tests!$C$2:$C$201,"TOE",Ref_Tests!$D$2:$D$201,"Ineffective")</f>
        <v>0</v>
      </c>
      <c r="F27" s="24" t="n">
        <f aca="false">COUNTIFS(Ref_Tests!$H$2:$H$201,$A27,Ref_Tests!$C$2:$C$201,"TOE",Ref_Tests!$D$2:$D$201,"Not started")</f>
        <v>0</v>
      </c>
    </row>
    <row r="29" customFormat="false" ht="15" hidden="false" customHeight="false" outlineLevel="0" collapsed="false">
      <c r="A29" s="3" t="s">
        <v>136</v>
      </c>
    </row>
    <row r="30" customFormat="false" ht="15" hidden="false" customHeight="false" outlineLevel="0" collapsed="false">
      <c r="A30" s="5" t="s">
        <v>137</v>
      </c>
      <c r="B30" s="5" t="s">
        <v>96</v>
      </c>
      <c r="C30" s="5" t="s">
        <v>138</v>
      </c>
    </row>
    <row r="31" customFormat="false" ht="15" hidden="false" customHeight="false" outlineLevel="0" collapsed="false">
      <c r="A31" s="25" t="s">
        <v>139</v>
      </c>
      <c r="B31" s="25" t="n">
        <f aca="false">COUNTIFS(Ref_Deficiencies!$E$2:$E$201,A31,Ref_Deficiencies!$G$2:$G$201,"&lt;&gt;Closed")</f>
        <v>1</v>
      </c>
      <c r="C31" s="25" t="n">
        <f aca="false">COUNTIFS(Ref_Deficiencies!$E$2:$E$201,A31,Ref_Deficiencies!$G$2:$G$201,"Closed")</f>
        <v>0</v>
      </c>
    </row>
    <row r="32" customFormat="false" ht="15" hidden="false" customHeight="false" outlineLevel="0" collapsed="false">
      <c r="A32" s="25" t="s">
        <v>140</v>
      </c>
      <c r="B32" s="25" t="n">
        <f aca="false">COUNTIFS(Ref_Deficiencies!$E$2:$E$201,A32,Ref_Deficiencies!$G$2:$G$201,"&lt;&gt;Closed")</f>
        <v>0</v>
      </c>
      <c r="C32" s="25" t="n">
        <f aca="false">COUNTIFS(Ref_Deficiencies!$E$2:$E$201,A32,Ref_Deficiencies!$G$2:$G$201,"Closed")</f>
        <v>0</v>
      </c>
    </row>
    <row r="33" customFormat="false" ht="15" hidden="false" customHeight="false" outlineLevel="0" collapsed="false">
      <c r="A33" s="25" t="s">
        <v>141</v>
      </c>
      <c r="B33" s="25" t="n">
        <f aca="false">COUNTIFS(Ref_Deficiencies!$E$2:$E$201,A33,Ref_Deficiencies!$G$2:$G$201,"&lt;&gt;Closed")</f>
        <v>0</v>
      </c>
      <c r="C33" s="25" t="n">
        <f aca="false">COUNTIFS(Ref_Deficiencies!$E$2:$E$201,A33,Ref_Deficiencies!$G$2:$G$201,"Closed")</f>
        <v>0</v>
      </c>
    </row>
  </sheetData>
  <dataValidations count="1">
    <dataValidation allowBlank="false" errorStyle="stop" operator="between" showDropDown="false" showErrorMessage="false" showInputMessage="false" sqref="B8" type="list">
      <formula1>"Scoping,Testing"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2"/>
    <col collapsed="false" customWidth="true" hidden="false" outlineLevel="0" max="5" min="4" style="0" width="16"/>
    <col collapsed="false" customWidth="true" hidden="false" outlineLevel="0" max="6" min="6" style="0" width="11"/>
    <col collapsed="false" customWidth="true" hidden="false" outlineLevel="0" max="7" min="7" style="0" width="20"/>
    <col collapsed="false" customWidth="true" hidden="false" outlineLevel="0" max="8" min="8" style="0" width="40"/>
  </cols>
  <sheetData>
    <row r="1" customFormat="false" ht="17.35" hidden="false" customHeight="false" outlineLevel="0" collapsed="false">
      <c r="A1" s="9" t="s">
        <v>142</v>
      </c>
    </row>
    <row r="2" customFormat="false" ht="15" hidden="false" customHeight="false" outlineLevel="0" collapsed="false">
      <c r="A2" s="10" t="s">
        <v>143</v>
      </c>
    </row>
    <row r="4" customFormat="false" ht="23.85" hidden="false" customHeight="false" outlineLevel="0" collapsed="false">
      <c r="A4" s="26" t="s">
        <v>144</v>
      </c>
      <c r="B4" s="26" t="s">
        <v>145</v>
      </c>
      <c r="C4" s="26" t="s">
        <v>146</v>
      </c>
      <c r="D4" s="26" t="s">
        <v>147</v>
      </c>
      <c r="E4" s="26" t="s">
        <v>148</v>
      </c>
      <c r="F4" s="26" t="s">
        <v>149</v>
      </c>
      <c r="G4" s="26" t="s">
        <v>150</v>
      </c>
      <c r="H4" s="26" t="s">
        <v>35</v>
      </c>
    </row>
    <row r="5" customFormat="false" ht="15" hidden="false" customHeight="false" outlineLevel="0" collapsed="false">
      <c r="A5" s="24" t="str">
        <f aca="false">IF(Ref_Risk_Control!A2="","",Ref_Risk_Control!A2)</f>
        <v>R-P2P-001</v>
      </c>
      <c r="B5" s="24" t="str">
        <f aca="false">IF(A5="","",Ref_Risk_Control!B2)</f>
        <v>Y</v>
      </c>
      <c r="C5" s="24" t="n">
        <f aca="false">IF(A5="","",Ref_Risk_Control!C2)</f>
        <v>1</v>
      </c>
      <c r="D5" s="24" t="str">
        <f aca="false">IF(A5="","",Ref_Risk_Control!D2)</f>
        <v>Not tested</v>
      </c>
      <c r="E5" s="24" t="str">
        <f aca="false">IF(A5="","",Ref_Risk_Control!E2)</f>
        <v>Not tested</v>
      </c>
      <c r="F5" s="24" t="n">
        <f aca="false">IF(A5="","",COUNTIF(Ref_Deficiencies!$D$2:$D$201,A5))</f>
        <v>0</v>
      </c>
      <c r="G5" s="24" t="str">
        <f aca="false">IF(A5="","",IF(F5=0,"—",IF(COUNTIFS(Ref_Deficiencies!$D$2:$D$201,A5,Ref_Deficiencies!$E$2:$E$201,"Material weakness")&gt;0,"Material weakness",IF(COUNTIFS(Ref_Deficiencies!$D$2:$D$201,A5,Ref_Deficiencies!$E$2:$E$201,"Significant deficiency")&gt;0,"Significant deficiency","Control deficiency"))))</f>
        <v>—</v>
      </c>
      <c r="H5" s="24" t="str">
        <f aca="false">IF(A5="","",IF(AND(B5="Y",C5=0),"GAP: no key control",IF(OR(E5="",E5="Not tested",E5="Pending"),"Not yet tested",IF(F5&gt;0,"Covered - deficiency ("&amp;G5&amp;")",IF(E5="Effective","Covered","Review result")))))</f>
        <v>Not yet tested</v>
      </c>
    </row>
    <row r="6" customFormat="false" ht="15" hidden="false" customHeight="false" outlineLevel="0" collapsed="false">
      <c r="A6" s="24" t="str">
        <f aca="false">IF(Ref_Risk_Control!A3="","",Ref_Risk_Control!A3)</f>
        <v>R-P2P-002</v>
      </c>
      <c r="B6" s="24" t="str">
        <f aca="false">IF(A6="","",Ref_Risk_Control!B3)</f>
        <v>Y</v>
      </c>
      <c r="C6" s="24" t="n">
        <f aca="false">IF(A6="","",Ref_Risk_Control!C3)</f>
        <v>1</v>
      </c>
      <c r="D6" s="24" t="str">
        <f aca="false">IF(A6="","",Ref_Risk_Control!D3)</f>
        <v>Not tested</v>
      </c>
      <c r="E6" s="24" t="str">
        <f aca="false">IF(A6="","",Ref_Risk_Control!E3)</f>
        <v>Not tested</v>
      </c>
      <c r="F6" s="24" t="n">
        <f aca="false">IF(A6="","",COUNTIF(Ref_Deficiencies!$D$2:$D$201,A6))</f>
        <v>0</v>
      </c>
      <c r="G6" s="24" t="str">
        <f aca="false">IF(A6="","",IF(F6=0,"—",IF(COUNTIFS(Ref_Deficiencies!$D$2:$D$201,A6,Ref_Deficiencies!$E$2:$E$201,"Material weakness")&gt;0,"Material weakness",IF(COUNTIFS(Ref_Deficiencies!$D$2:$D$201,A6,Ref_Deficiencies!$E$2:$E$201,"Significant deficiency")&gt;0,"Significant deficiency","Control deficiency"))))</f>
        <v>—</v>
      </c>
      <c r="H6" s="24" t="str">
        <f aca="false">IF(A6="","",IF(AND(B6="Y",C6=0),"GAP: no key control",IF(OR(E6="",E6="Not tested",E6="Pending"),"Not yet tested",IF(F6&gt;0,"Covered - deficiency ("&amp;G6&amp;")",IF(E6="Effective","Covered","Review result")))))</f>
        <v>Not yet tested</v>
      </c>
    </row>
    <row r="7" customFormat="false" ht="15" hidden="false" customHeight="false" outlineLevel="0" collapsed="false">
      <c r="A7" s="24" t="str">
        <f aca="false">IF(Ref_Risk_Control!A4="","",Ref_Risk_Control!A4)</f>
        <v>R-TECH-001</v>
      </c>
      <c r="B7" s="24" t="str">
        <f aca="false">IF(A7="","",Ref_Risk_Control!B4)</f>
        <v>Y</v>
      </c>
      <c r="C7" s="24" t="n">
        <f aca="false">IF(A7="","",Ref_Risk_Control!C4)</f>
        <v>3</v>
      </c>
      <c r="D7" s="24" t="str">
        <f aca="false">IF(A7="","",Ref_Risk_Control!D4)</f>
        <v>Not tested</v>
      </c>
      <c r="E7" s="24" t="str">
        <f aca="false">IF(A7="","",Ref_Risk_Control!E4)</f>
        <v>Not tested</v>
      </c>
      <c r="F7" s="24" t="n">
        <f aca="false">IF(A7="","",COUNTIF(Ref_Deficiencies!$D$2:$D$201,A7))</f>
        <v>1</v>
      </c>
      <c r="G7" s="24" t="str">
        <f aca="false">IF(A7="","",IF(F7=0,"—",IF(COUNTIFS(Ref_Deficiencies!$D$2:$D$201,A7,Ref_Deficiencies!$E$2:$E$201,"Material weakness")&gt;0,"Material weakness",IF(COUNTIFS(Ref_Deficiencies!$D$2:$D$201,A7,Ref_Deficiencies!$E$2:$E$201,"Significant deficiency")&gt;0,"Significant deficiency","Control deficiency"))))</f>
        <v>Control deficiency</v>
      </c>
      <c r="H7" s="24" t="str">
        <f aca="false">IF(A7="","",IF(AND(B7="Y",C7=0),"GAP: no key control",IF(OR(E7="",E7="Not tested",E7="Pending"),"Not yet tested",IF(F7&gt;0,"Covered - deficiency ("&amp;G7&amp;")",IF(E7="Effective","Covered","Review result")))))</f>
        <v>Not yet tested</v>
      </c>
    </row>
    <row r="8" customFormat="false" ht="15" hidden="false" customHeight="false" outlineLevel="0" collapsed="false">
      <c r="A8" s="24" t="str">
        <f aca="false">IF(Ref_Risk_Control!A5="","",Ref_Risk_Control!A5)</f>
        <v>R-TECH-003</v>
      </c>
      <c r="B8" s="24" t="str">
        <f aca="false">IF(A8="","",Ref_Risk_Control!B5)</f>
        <v>Y</v>
      </c>
      <c r="C8" s="24" t="n">
        <f aca="false">IF(A8="","",Ref_Risk_Control!C5)</f>
        <v>2</v>
      </c>
      <c r="D8" s="24" t="str">
        <f aca="false">IF(A8="","",Ref_Risk_Control!D5)</f>
        <v>Not tested</v>
      </c>
      <c r="E8" s="24" t="str">
        <f aca="false">IF(A8="","",Ref_Risk_Control!E5)</f>
        <v>Not tested</v>
      </c>
      <c r="F8" s="24" t="n">
        <f aca="false">IF(A8="","",COUNTIF(Ref_Deficiencies!$D$2:$D$201,A8))</f>
        <v>0</v>
      </c>
      <c r="G8" s="24" t="str">
        <f aca="false">IF(A8="","",IF(F8=0,"—",IF(COUNTIFS(Ref_Deficiencies!$D$2:$D$201,A8,Ref_Deficiencies!$E$2:$E$201,"Material weakness")&gt;0,"Material weakness",IF(COUNTIFS(Ref_Deficiencies!$D$2:$D$201,A8,Ref_Deficiencies!$E$2:$E$201,"Significant deficiency")&gt;0,"Significant deficiency","Control deficiency"))))</f>
        <v>—</v>
      </c>
      <c r="H8" s="24" t="str">
        <f aca="false">IF(A8="","",IF(AND(B8="Y",C8=0),"GAP: no key control",IF(OR(E8="",E8="Not tested",E8="Pending"),"Not yet tested",IF(F8&gt;0,"Covered - deficiency ("&amp;G8&amp;")",IF(E8="Effective","Covered","Review result")))))</f>
        <v>Not yet tested</v>
      </c>
    </row>
    <row r="9" customFormat="false" ht="15" hidden="false" customHeight="false" outlineLevel="0" collapsed="false">
      <c r="A9" s="24" t="str">
        <f aca="false">IF(Ref_Risk_Control!A6="","",Ref_Risk_Control!A6)</f>
        <v/>
      </c>
      <c r="B9" s="24" t="str">
        <f aca="false">IF(A9="","",Ref_Risk_Control!B6)</f>
        <v/>
      </c>
      <c r="C9" s="24" t="str">
        <f aca="false">IF(A9="","",Ref_Risk_Control!C6)</f>
        <v/>
      </c>
      <c r="D9" s="24" t="str">
        <f aca="false">IF(A9="","",Ref_Risk_Control!D6)</f>
        <v/>
      </c>
      <c r="E9" s="24" t="str">
        <f aca="false">IF(A9="","",Ref_Risk_Control!E6)</f>
        <v/>
      </c>
      <c r="F9" s="24" t="str">
        <f aca="false">IF(A9="","",COUNTIF(Ref_Deficiencies!$D$2:$D$201,A9))</f>
        <v/>
      </c>
      <c r="G9" s="24" t="str">
        <f aca="false">IF(A9="","",IF(F9=0,"—",IF(COUNTIFS(Ref_Deficiencies!$D$2:$D$201,A9,Ref_Deficiencies!$E$2:$E$201,"Material weakness")&gt;0,"Material weakness",IF(COUNTIFS(Ref_Deficiencies!$D$2:$D$201,A9,Ref_Deficiencies!$E$2:$E$201,"Significant deficiency")&gt;0,"Significant deficiency","Control deficiency"))))</f>
        <v/>
      </c>
      <c r="H9" s="24" t="str">
        <f aca="false">IF(A9="","",IF(AND(B9="Y",C9=0),"GAP: no key control",IF(OR(E9="",E9="Not tested",E9="Pending"),"Not yet tested",IF(F9&gt;0,"Covered - deficiency ("&amp;G9&amp;")",IF(E9="Effective","Covered","Review result")))))</f>
        <v/>
      </c>
    </row>
    <row r="10" customFormat="false" ht="15" hidden="false" customHeight="false" outlineLevel="0" collapsed="false">
      <c r="A10" s="24" t="str">
        <f aca="false">IF(Ref_Risk_Control!A7="","",Ref_Risk_Control!A7)</f>
        <v/>
      </c>
      <c r="B10" s="24" t="str">
        <f aca="false">IF(A10="","",Ref_Risk_Control!B7)</f>
        <v/>
      </c>
      <c r="C10" s="24" t="str">
        <f aca="false">IF(A10="","",Ref_Risk_Control!C7)</f>
        <v/>
      </c>
      <c r="D10" s="24" t="str">
        <f aca="false">IF(A10="","",Ref_Risk_Control!D7)</f>
        <v/>
      </c>
      <c r="E10" s="24" t="str">
        <f aca="false">IF(A10="","",Ref_Risk_Control!E7)</f>
        <v/>
      </c>
      <c r="F10" s="24" t="str">
        <f aca="false">IF(A10="","",COUNTIF(Ref_Deficiencies!$D$2:$D$201,A10))</f>
        <v/>
      </c>
      <c r="G10" s="24" t="str">
        <f aca="false">IF(A10="","",IF(F10=0,"—",IF(COUNTIFS(Ref_Deficiencies!$D$2:$D$201,A10,Ref_Deficiencies!$E$2:$E$201,"Material weakness")&gt;0,"Material weakness",IF(COUNTIFS(Ref_Deficiencies!$D$2:$D$201,A10,Ref_Deficiencies!$E$2:$E$201,"Significant deficiency")&gt;0,"Significant deficiency","Control deficiency"))))</f>
        <v/>
      </c>
      <c r="H10" s="24" t="str">
        <f aca="false">IF(A10="","",IF(AND(B10="Y",C10=0),"GAP: no key control",IF(OR(E10="",E10="Not tested",E10="Pending"),"Not yet tested",IF(F10&gt;0,"Covered - deficiency ("&amp;G10&amp;")",IF(E10="Effective","Covered","Review result")))))</f>
        <v/>
      </c>
    </row>
    <row r="11" customFormat="false" ht="15" hidden="false" customHeight="false" outlineLevel="0" collapsed="false">
      <c r="A11" s="24" t="str">
        <f aca="false">IF(Ref_Risk_Control!A8="","",Ref_Risk_Control!A8)</f>
        <v/>
      </c>
      <c r="B11" s="24" t="str">
        <f aca="false">IF(A11="","",Ref_Risk_Control!B8)</f>
        <v/>
      </c>
      <c r="C11" s="24" t="str">
        <f aca="false">IF(A11="","",Ref_Risk_Control!C8)</f>
        <v/>
      </c>
      <c r="D11" s="24" t="str">
        <f aca="false">IF(A11="","",Ref_Risk_Control!D8)</f>
        <v/>
      </c>
      <c r="E11" s="24" t="str">
        <f aca="false">IF(A11="","",Ref_Risk_Control!E8)</f>
        <v/>
      </c>
      <c r="F11" s="24" t="str">
        <f aca="false">IF(A11="","",COUNTIF(Ref_Deficiencies!$D$2:$D$201,A11))</f>
        <v/>
      </c>
      <c r="G11" s="24" t="str">
        <f aca="false">IF(A11="","",IF(F11=0,"—",IF(COUNTIFS(Ref_Deficiencies!$D$2:$D$201,A11,Ref_Deficiencies!$E$2:$E$201,"Material weakness")&gt;0,"Material weakness",IF(COUNTIFS(Ref_Deficiencies!$D$2:$D$201,A11,Ref_Deficiencies!$E$2:$E$201,"Significant deficiency")&gt;0,"Significant deficiency","Control deficiency"))))</f>
        <v/>
      </c>
      <c r="H11" s="24" t="str">
        <f aca="false">IF(A11="","",IF(AND(B11="Y",C11=0),"GAP: no key control",IF(OR(E11="",E11="Not tested",E11="Pending"),"Not yet tested",IF(F11&gt;0,"Covered - deficiency ("&amp;G11&amp;")",IF(E11="Effective","Covered","Review result")))))</f>
        <v/>
      </c>
    </row>
    <row r="12" customFormat="false" ht="15" hidden="false" customHeight="false" outlineLevel="0" collapsed="false">
      <c r="A12" s="24" t="str">
        <f aca="false">IF(Ref_Risk_Control!A9="","",Ref_Risk_Control!A9)</f>
        <v/>
      </c>
      <c r="B12" s="24" t="str">
        <f aca="false">IF(A12="","",Ref_Risk_Control!B9)</f>
        <v/>
      </c>
      <c r="C12" s="24" t="str">
        <f aca="false">IF(A12="","",Ref_Risk_Control!C9)</f>
        <v/>
      </c>
      <c r="D12" s="24" t="str">
        <f aca="false">IF(A12="","",Ref_Risk_Control!D9)</f>
        <v/>
      </c>
      <c r="E12" s="24" t="str">
        <f aca="false">IF(A12="","",Ref_Risk_Control!E9)</f>
        <v/>
      </c>
      <c r="F12" s="24" t="str">
        <f aca="false">IF(A12="","",COUNTIF(Ref_Deficiencies!$D$2:$D$201,A12))</f>
        <v/>
      </c>
      <c r="G12" s="24" t="str">
        <f aca="false">IF(A12="","",IF(F12=0,"—",IF(COUNTIFS(Ref_Deficiencies!$D$2:$D$201,A12,Ref_Deficiencies!$E$2:$E$201,"Material weakness")&gt;0,"Material weakness",IF(COUNTIFS(Ref_Deficiencies!$D$2:$D$201,A12,Ref_Deficiencies!$E$2:$E$201,"Significant deficiency")&gt;0,"Significant deficiency","Control deficiency"))))</f>
        <v/>
      </c>
      <c r="H12" s="24" t="str">
        <f aca="false">IF(A12="","",IF(AND(B12="Y",C12=0),"GAP: no key control",IF(OR(E12="",E12="Not tested",E12="Pending"),"Not yet tested",IF(F12&gt;0,"Covered - deficiency ("&amp;G12&amp;")",IF(E12="Effective","Covered","Review result")))))</f>
        <v/>
      </c>
    </row>
    <row r="13" customFormat="false" ht="15" hidden="false" customHeight="false" outlineLevel="0" collapsed="false">
      <c r="A13" s="24" t="str">
        <f aca="false">IF(Ref_Risk_Control!A10="","",Ref_Risk_Control!A10)</f>
        <v/>
      </c>
      <c r="B13" s="24" t="str">
        <f aca="false">IF(A13="","",Ref_Risk_Control!B10)</f>
        <v/>
      </c>
      <c r="C13" s="24" t="str">
        <f aca="false">IF(A13="","",Ref_Risk_Control!C10)</f>
        <v/>
      </c>
      <c r="D13" s="24" t="str">
        <f aca="false">IF(A13="","",Ref_Risk_Control!D10)</f>
        <v/>
      </c>
      <c r="E13" s="24" t="str">
        <f aca="false">IF(A13="","",Ref_Risk_Control!E10)</f>
        <v/>
      </c>
      <c r="F13" s="24" t="str">
        <f aca="false">IF(A13="","",COUNTIF(Ref_Deficiencies!$D$2:$D$201,A13))</f>
        <v/>
      </c>
      <c r="G13" s="24" t="str">
        <f aca="false">IF(A13="","",IF(F13=0,"—",IF(COUNTIFS(Ref_Deficiencies!$D$2:$D$201,A13,Ref_Deficiencies!$E$2:$E$201,"Material weakness")&gt;0,"Material weakness",IF(COUNTIFS(Ref_Deficiencies!$D$2:$D$201,A13,Ref_Deficiencies!$E$2:$E$201,"Significant deficiency")&gt;0,"Significant deficiency","Control deficiency"))))</f>
        <v/>
      </c>
      <c r="H13" s="24" t="str">
        <f aca="false">IF(A13="","",IF(AND(B13="Y",C13=0),"GAP: no key control",IF(OR(E13="",E13="Not tested",E13="Pending"),"Not yet tested",IF(F13&gt;0,"Covered - deficiency ("&amp;G13&amp;")",IF(E13="Effective","Covered","Review result")))))</f>
        <v/>
      </c>
    </row>
    <row r="14" customFormat="false" ht="15" hidden="false" customHeight="false" outlineLevel="0" collapsed="false">
      <c r="A14" s="24" t="str">
        <f aca="false">IF(Ref_Risk_Control!A11="","",Ref_Risk_Control!A11)</f>
        <v/>
      </c>
      <c r="B14" s="24" t="str">
        <f aca="false">IF(A14="","",Ref_Risk_Control!B11)</f>
        <v/>
      </c>
      <c r="C14" s="24" t="str">
        <f aca="false">IF(A14="","",Ref_Risk_Control!C11)</f>
        <v/>
      </c>
      <c r="D14" s="24" t="str">
        <f aca="false">IF(A14="","",Ref_Risk_Control!D11)</f>
        <v/>
      </c>
      <c r="E14" s="24" t="str">
        <f aca="false">IF(A14="","",Ref_Risk_Control!E11)</f>
        <v/>
      </c>
      <c r="F14" s="24" t="str">
        <f aca="false">IF(A14="","",COUNTIF(Ref_Deficiencies!$D$2:$D$201,A14))</f>
        <v/>
      </c>
      <c r="G14" s="24" t="str">
        <f aca="false">IF(A14="","",IF(F14=0,"—",IF(COUNTIFS(Ref_Deficiencies!$D$2:$D$201,A14,Ref_Deficiencies!$E$2:$E$201,"Material weakness")&gt;0,"Material weakness",IF(COUNTIFS(Ref_Deficiencies!$D$2:$D$201,A14,Ref_Deficiencies!$E$2:$E$201,"Significant deficiency")&gt;0,"Significant deficiency","Control deficiency"))))</f>
        <v/>
      </c>
      <c r="H14" s="24" t="str">
        <f aca="false">IF(A14="","",IF(AND(B14="Y",C14=0),"GAP: no key control",IF(OR(E14="",E14="Not tested",E14="Pending"),"Not yet tested",IF(F14&gt;0,"Covered - deficiency ("&amp;G14&amp;")",IF(E14="Effective","Covered","Review result")))))</f>
        <v/>
      </c>
    </row>
    <row r="15" customFormat="false" ht="15" hidden="false" customHeight="false" outlineLevel="0" collapsed="false">
      <c r="A15" s="24" t="str">
        <f aca="false">IF(Ref_Risk_Control!A12="","",Ref_Risk_Control!A12)</f>
        <v/>
      </c>
      <c r="B15" s="24" t="str">
        <f aca="false">IF(A15="","",Ref_Risk_Control!B12)</f>
        <v/>
      </c>
      <c r="C15" s="24" t="str">
        <f aca="false">IF(A15="","",Ref_Risk_Control!C12)</f>
        <v/>
      </c>
      <c r="D15" s="24" t="str">
        <f aca="false">IF(A15="","",Ref_Risk_Control!D12)</f>
        <v/>
      </c>
      <c r="E15" s="24" t="str">
        <f aca="false">IF(A15="","",Ref_Risk_Control!E12)</f>
        <v/>
      </c>
      <c r="F15" s="24" t="str">
        <f aca="false">IF(A15="","",COUNTIF(Ref_Deficiencies!$D$2:$D$201,A15))</f>
        <v/>
      </c>
      <c r="G15" s="24" t="str">
        <f aca="false">IF(A15="","",IF(F15=0,"—",IF(COUNTIFS(Ref_Deficiencies!$D$2:$D$201,A15,Ref_Deficiencies!$E$2:$E$201,"Material weakness")&gt;0,"Material weakness",IF(COUNTIFS(Ref_Deficiencies!$D$2:$D$201,A15,Ref_Deficiencies!$E$2:$E$201,"Significant deficiency")&gt;0,"Significant deficiency","Control deficiency"))))</f>
        <v/>
      </c>
      <c r="H15" s="24" t="str">
        <f aca="false">IF(A15="","",IF(AND(B15="Y",C15=0),"GAP: no key control",IF(OR(E15="",E15="Not tested",E15="Pending"),"Not yet tested",IF(F15&gt;0,"Covered - deficiency ("&amp;G15&amp;")",IF(E15="Effective","Covered","Review result")))))</f>
        <v/>
      </c>
    </row>
    <row r="16" customFormat="false" ht="15" hidden="false" customHeight="false" outlineLevel="0" collapsed="false">
      <c r="A16" s="24" t="str">
        <f aca="false">IF(Ref_Risk_Control!A13="","",Ref_Risk_Control!A13)</f>
        <v/>
      </c>
      <c r="B16" s="24" t="str">
        <f aca="false">IF(A16="","",Ref_Risk_Control!B13)</f>
        <v/>
      </c>
      <c r="C16" s="24" t="str">
        <f aca="false">IF(A16="","",Ref_Risk_Control!C13)</f>
        <v/>
      </c>
      <c r="D16" s="24" t="str">
        <f aca="false">IF(A16="","",Ref_Risk_Control!D13)</f>
        <v/>
      </c>
      <c r="E16" s="24" t="str">
        <f aca="false">IF(A16="","",Ref_Risk_Control!E13)</f>
        <v/>
      </c>
      <c r="F16" s="24" t="str">
        <f aca="false">IF(A16="","",COUNTIF(Ref_Deficiencies!$D$2:$D$201,A16))</f>
        <v/>
      </c>
      <c r="G16" s="24" t="str">
        <f aca="false">IF(A16="","",IF(F16=0,"—",IF(COUNTIFS(Ref_Deficiencies!$D$2:$D$201,A16,Ref_Deficiencies!$E$2:$E$201,"Material weakness")&gt;0,"Material weakness",IF(COUNTIFS(Ref_Deficiencies!$D$2:$D$201,A16,Ref_Deficiencies!$E$2:$E$201,"Significant deficiency")&gt;0,"Significant deficiency","Control deficiency"))))</f>
        <v/>
      </c>
      <c r="H16" s="24" t="str">
        <f aca="false">IF(A16="","",IF(AND(B16="Y",C16=0),"GAP: no key control",IF(OR(E16="",E16="Not tested",E16="Pending"),"Not yet tested",IF(F16&gt;0,"Covered - deficiency ("&amp;G16&amp;")",IF(E16="Effective","Covered","Review result")))))</f>
        <v/>
      </c>
    </row>
    <row r="17" customFormat="false" ht="15" hidden="false" customHeight="false" outlineLevel="0" collapsed="false">
      <c r="A17" s="24" t="str">
        <f aca="false">IF(Ref_Risk_Control!A14="","",Ref_Risk_Control!A14)</f>
        <v/>
      </c>
      <c r="B17" s="24" t="str">
        <f aca="false">IF(A17="","",Ref_Risk_Control!B14)</f>
        <v/>
      </c>
      <c r="C17" s="24" t="str">
        <f aca="false">IF(A17="","",Ref_Risk_Control!C14)</f>
        <v/>
      </c>
      <c r="D17" s="24" t="str">
        <f aca="false">IF(A17="","",Ref_Risk_Control!D14)</f>
        <v/>
      </c>
      <c r="E17" s="24" t="str">
        <f aca="false">IF(A17="","",Ref_Risk_Control!E14)</f>
        <v/>
      </c>
      <c r="F17" s="24" t="str">
        <f aca="false">IF(A17="","",COUNTIF(Ref_Deficiencies!$D$2:$D$201,A17))</f>
        <v/>
      </c>
      <c r="G17" s="24" t="str">
        <f aca="false">IF(A17="","",IF(F17=0,"—",IF(COUNTIFS(Ref_Deficiencies!$D$2:$D$201,A17,Ref_Deficiencies!$E$2:$E$201,"Material weakness")&gt;0,"Material weakness",IF(COUNTIFS(Ref_Deficiencies!$D$2:$D$201,A17,Ref_Deficiencies!$E$2:$E$201,"Significant deficiency")&gt;0,"Significant deficiency","Control deficiency"))))</f>
        <v/>
      </c>
      <c r="H17" s="24" t="str">
        <f aca="false">IF(A17="","",IF(AND(B17="Y",C17=0),"GAP: no key control",IF(OR(E17="",E17="Not tested",E17="Pending"),"Not yet tested",IF(F17&gt;0,"Covered - deficiency ("&amp;G17&amp;")",IF(E17="Effective","Covered","Review result")))))</f>
        <v/>
      </c>
    </row>
    <row r="18" customFormat="false" ht="15" hidden="false" customHeight="false" outlineLevel="0" collapsed="false">
      <c r="A18" s="24" t="str">
        <f aca="false">IF(Ref_Risk_Control!A15="","",Ref_Risk_Control!A15)</f>
        <v/>
      </c>
      <c r="B18" s="24" t="str">
        <f aca="false">IF(A18="","",Ref_Risk_Control!B15)</f>
        <v/>
      </c>
      <c r="C18" s="24" t="str">
        <f aca="false">IF(A18="","",Ref_Risk_Control!C15)</f>
        <v/>
      </c>
      <c r="D18" s="24" t="str">
        <f aca="false">IF(A18="","",Ref_Risk_Control!D15)</f>
        <v/>
      </c>
      <c r="E18" s="24" t="str">
        <f aca="false">IF(A18="","",Ref_Risk_Control!E15)</f>
        <v/>
      </c>
      <c r="F18" s="24" t="str">
        <f aca="false">IF(A18="","",COUNTIF(Ref_Deficiencies!$D$2:$D$201,A18))</f>
        <v/>
      </c>
      <c r="G18" s="24" t="str">
        <f aca="false">IF(A18="","",IF(F18=0,"—",IF(COUNTIFS(Ref_Deficiencies!$D$2:$D$201,A18,Ref_Deficiencies!$E$2:$E$201,"Material weakness")&gt;0,"Material weakness",IF(COUNTIFS(Ref_Deficiencies!$D$2:$D$201,A18,Ref_Deficiencies!$E$2:$E$201,"Significant deficiency")&gt;0,"Significant deficiency","Control deficiency"))))</f>
        <v/>
      </c>
      <c r="H18" s="24" t="str">
        <f aca="false">IF(A18="","",IF(AND(B18="Y",C18=0),"GAP: no key control",IF(OR(E18="",E18="Not tested",E18="Pending"),"Not yet tested",IF(F18&gt;0,"Covered - deficiency ("&amp;G18&amp;")",IF(E18="Effective","Covered","Review result")))))</f>
        <v/>
      </c>
    </row>
    <row r="19" customFormat="false" ht="15" hidden="false" customHeight="false" outlineLevel="0" collapsed="false">
      <c r="A19" s="24" t="str">
        <f aca="false">IF(Ref_Risk_Control!A16="","",Ref_Risk_Control!A16)</f>
        <v/>
      </c>
      <c r="B19" s="24" t="str">
        <f aca="false">IF(A19="","",Ref_Risk_Control!B16)</f>
        <v/>
      </c>
      <c r="C19" s="24" t="str">
        <f aca="false">IF(A19="","",Ref_Risk_Control!C16)</f>
        <v/>
      </c>
      <c r="D19" s="24" t="str">
        <f aca="false">IF(A19="","",Ref_Risk_Control!D16)</f>
        <v/>
      </c>
      <c r="E19" s="24" t="str">
        <f aca="false">IF(A19="","",Ref_Risk_Control!E16)</f>
        <v/>
      </c>
      <c r="F19" s="24" t="str">
        <f aca="false">IF(A19="","",COUNTIF(Ref_Deficiencies!$D$2:$D$201,A19))</f>
        <v/>
      </c>
      <c r="G19" s="24" t="str">
        <f aca="false">IF(A19="","",IF(F19=0,"—",IF(COUNTIFS(Ref_Deficiencies!$D$2:$D$201,A19,Ref_Deficiencies!$E$2:$E$201,"Material weakness")&gt;0,"Material weakness",IF(COUNTIFS(Ref_Deficiencies!$D$2:$D$201,A19,Ref_Deficiencies!$E$2:$E$201,"Significant deficiency")&gt;0,"Significant deficiency","Control deficiency"))))</f>
        <v/>
      </c>
      <c r="H19" s="24" t="str">
        <f aca="false">IF(A19="","",IF(AND(B19="Y",C19=0),"GAP: no key control",IF(OR(E19="",E19="Not tested",E19="Pending"),"Not yet tested",IF(F19&gt;0,"Covered - deficiency ("&amp;G19&amp;")",IF(E19="Effective","Covered","Review result")))))</f>
        <v/>
      </c>
    </row>
    <row r="20" customFormat="false" ht="15" hidden="false" customHeight="false" outlineLevel="0" collapsed="false">
      <c r="A20" s="24" t="str">
        <f aca="false">IF(Ref_Risk_Control!A17="","",Ref_Risk_Control!A17)</f>
        <v/>
      </c>
      <c r="B20" s="24" t="str">
        <f aca="false">IF(A20="","",Ref_Risk_Control!B17)</f>
        <v/>
      </c>
      <c r="C20" s="24" t="str">
        <f aca="false">IF(A20="","",Ref_Risk_Control!C17)</f>
        <v/>
      </c>
      <c r="D20" s="24" t="str">
        <f aca="false">IF(A20="","",Ref_Risk_Control!D17)</f>
        <v/>
      </c>
      <c r="E20" s="24" t="str">
        <f aca="false">IF(A20="","",Ref_Risk_Control!E17)</f>
        <v/>
      </c>
      <c r="F20" s="24" t="str">
        <f aca="false">IF(A20="","",COUNTIF(Ref_Deficiencies!$D$2:$D$201,A20))</f>
        <v/>
      </c>
      <c r="G20" s="24" t="str">
        <f aca="false">IF(A20="","",IF(F20=0,"—",IF(COUNTIFS(Ref_Deficiencies!$D$2:$D$201,A20,Ref_Deficiencies!$E$2:$E$201,"Material weakness")&gt;0,"Material weakness",IF(COUNTIFS(Ref_Deficiencies!$D$2:$D$201,A20,Ref_Deficiencies!$E$2:$E$201,"Significant deficiency")&gt;0,"Significant deficiency","Control deficiency"))))</f>
        <v/>
      </c>
      <c r="H20" s="24" t="str">
        <f aca="false">IF(A20="","",IF(AND(B20="Y",C20=0),"GAP: no key control",IF(OR(E20="",E20="Not tested",E20="Pending"),"Not yet tested",IF(F20&gt;0,"Covered - deficiency ("&amp;G20&amp;")",IF(E20="Effective","Covered","Review result")))))</f>
        <v/>
      </c>
    </row>
    <row r="21" customFormat="false" ht="15" hidden="false" customHeight="false" outlineLevel="0" collapsed="false">
      <c r="A21" s="24" t="str">
        <f aca="false">IF(Ref_Risk_Control!A18="","",Ref_Risk_Control!A18)</f>
        <v/>
      </c>
      <c r="B21" s="24" t="str">
        <f aca="false">IF(A21="","",Ref_Risk_Control!B18)</f>
        <v/>
      </c>
      <c r="C21" s="24" t="str">
        <f aca="false">IF(A21="","",Ref_Risk_Control!C18)</f>
        <v/>
      </c>
      <c r="D21" s="24" t="str">
        <f aca="false">IF(A21="","",Ref_Risk_Control!D18)</f>
        <v/>
      </c>
      <c r="E21" s="24" t="str">
        <f aca="false">IF(A21="","",Ref_Risk_Control!E18)</f>
        <v/>
      </c>
      <c r="F21" s="24" t="str">
        <f aca="false">IF(A21="","",COUNTIF(Ref_Deficiencies!$D$2:$D$201,A21))</f>
        <v/>
      </c>
      <c r="G21" s="24" t="str">
        <f aca="false">IF(A21="","",IF(F21=0,"—",IF(COUNTIFS(Ref_Deficiencies!$D$2:$D$201,A21,Ref_Deficiencies!$E$2:$E$201,"Material weakness")&gt;0,"Material weakness",IF(COUNTIFS(Ref_Deficiencies!$D$2:$D$201,A21,Ref_Deficiencies!$E$2:$E$201,"Significant deficiency")&gt;0,"Significant deficiency","Control deficiency"))))</f>
        <v/>
      </c>
      <c r="H21" s="24" t="str">
        <f aca="false">IF(A21="","",IF(AND(B21="Y",C21=0),"GAP: no key control",IF(OR(E21="",E21="Not tested",E21="Pending"),"Not yet tested",IF(F21&gt;0,"Covered - deficiency ("&amp;G21&amp;")",IF(E21="Effective","Covered","Review result")))))</f>
        <v/>
      </c>
    </row>
    <row r="22" customFormat="false" ht="15" hidden="false" customHeight="false" outlineLevel="0" collapsed="false">
      <c r="A22" s="24" t="str">
        <f aca="false">IF(Ref_Risk_Control!A19="","",Ref_Risk_Control!A19)</f>
        <v/>
      </c>
      <c r="B22" s="24" t="str">
        <f aca="false">IF(A22="","",Ref_Risk_Control!B19)</f>
        <v/>
      </c>
      <c r="C22" s="24" t="str">
        <f aca="false">IF(A22="","",Ref_Risk_Control!C19)</f>
        <v/>
      </c>
      <c r="D22" s="24" t="str">
        <f aca="false">IF(A22="","",Ref_Risk_Control!D19)</f>
        <v/>
      </c>
      <c r="E22" s="24" t="str">
        <f aca="false">IF(A22="","",Ref_Risk_Control!E19)</f>
        <v/>
      </c>
      <c r="F22" s="24" t="str">
        <f aca="false">IF(A22="","",COUNTIF(Ref_Deficiencies!$D$2:$D$201,A22))</f>
        <v/>
      </c>
      <c r="G22" s="24" t="str">
        <f aca="false">IF(A22="","",IF(F22=0,"—",IF(COUNTIFS(Ref_Deficiencies!$D$2:$D$201,A22,Ref_Deficiencies!$E$2:$E$201,"Material weakness")&gt;0,"Material weakness",IF(COUNTIFS(Ref_Deficiencies!$D$2:$D$201,A22,Ref_Deficiencies!$E$2:$E$201,"Significant deficiency")&gt;0,"Significant deficiency","Control deficiency"))))</f>
        <v/>
      </c>
      <c r="H22" s="24" t="str">
        <f aca="false">IF(A22="","",IF(AND(B22="Y",C22=0),"GAP: no key control",IF(OR(E22="",E22="Not tested",E22="Pending"),"Not yet tested",IF(F22&gt;0,"Covered - deficiency ("&amp;G22&amp;")",IF(E22="Effective","Covered","Review result")))))</f>
        <v/>
      </c>
    </row>
    <row r="23" customFormat="false" ht="15" hidden="false" customHeight="false" outlineLevel="0" collapsed="false">
      <c r="A23" s="24" t="str">
        <f aca="false">IF(Ref_Risk_Control!A20="","",Ref_Risk_Control!A20)</f>
        <v/>
      </c>
      <c r="B23" s="24" t="str">
        <f aca="false">IF(A23="","",Ref_Risk_Control!B20)</f>
        <v/>
      </c>
      <c r="C23" s="24" t="str">
        <f aca="false">IF(A23="","",Ref_Risk_Control!C20)</f>
        <v/>
      </c>
      <c r="D23" s="24" t="str">
        <f aca="false">IF(A23="","",Ref_Risk_Control!D20)</f>
        <v/>
      </c>
      <c r="E23" s="24" t="str">
        <f aca="false">IF(A23="","",Ref_Risk_Control!E20)</f>
        <v/>
      </c>
      <c r="F23" s="24" t="str">
        <f aca="false">IF(A23="","",COUNTIF(Ref_Deficiencies!$D$2:$D$201,A23))</f>
        <v/>
      </c>
      <c r="G23" s="24" t="str">
        <f aca="false">IF(A23="","",IF(F23=0,"—",IF(COUNTIFS(Ref_Deficiencies!$D$2:$D$201,A23,Ref_Deficiencies!$E$2:$E$201,"Material weakness")&gt;0,"Material weakness",IF(COUNTIFS(Ref_Deficiencies!$D$2:$D$201,A23,Ref_Deficiencies!$E$2:$E$201,"Significant deficiency")&gt;0,"Significant deficiency","Control deficiency"))))</f>
        <v/>
      </c>
      <c r="H23" s="24" t="str">
        <f aca="false">IF(A23="","",IF(AND(B23="Y",C23=0),"GAP: no key control",IF(OR(E23="",E23="Not tested",E23="Pending"),"Not yet tested",IF(F23&gt;0,"Covered - deficiency ("&amp;G23&amp;")",IF(E23="Effective","Covered","Review result")))))</f>
        <v/>
      </c>
    </row>
    <row r="24" customFormat="false" ht="15" hidden="false" customHeight="false" outlineLevel="0" collapsed="false">
      <c r="A24" s="24" t="str">
        <f aca="false">IF(Ref_Risk_Control!A21="","",Ref_Risk_Control!A21)</f>
        <v/>
      </c>
      <c r="B24" s="24" t="str">
        <f aca="false">IF(A24="","",Ref_Risk_Control!B21)</f>
        <v/>
      </c>
      <c r="C24" s="24" t="str">
        <f aca="false">IF(A24="","",Ref_Risk_Control!C21)</f>
        <v/>
      </c>
      <c r="D24" s="24" t="str">
        <f aca="false">IF(A24="","",Ref_Risk_Control!D21)</f>
        <v/>
      </c>
      <c r="E24" s="24" t="str">
        <f aca="false">IF(A24="","",Ref_Risk_Control!E21)</f>
        <v/>
      </c>
      <c r="F24" s="24" t="str">
        <f aca="false">IF(A24="","",COUNTIF(Ref_Deficiencies!$D$2:$D$201,A24))</f>
        <v/>
      </c>
      <c r="G24" s="24" t="str">
        <f aca="false">IF(A24="","",IF(F24=0,"—",IF(COUNTIFS(Ref_Deficiencies!$D$2:$D$201,A24,Ref_Deficiencies!$E$2:$E$201,"Material weakness")&gt;0,"Material weakness",IF(COUNTIFS(Ref_Deficiencies!$D$2:$D$201,A24,Ref_Deficiencies!$E$2:$E$201,"Significant deficiency")&gt;0,"Significant deficiency","Control deficiency"))))</f>
        <v/>
      </c>
      <c r="H24" s="24" t="str">
        <f aca="false">IF(A24="","",IF(AND(B24="Y",C24=0),"GAP: no key control",IF(OR(E24="",E24="Not tested",E24="Pending"),"Not yet tested",IF(F24&gt;0,"Covered - deficiency ("&amp;G24&amp;")",IF(E24="Effective","Covered","Review result")))))</f>
        <v/>
      </c>
    </row>
    <row r="25" customFormat="false" ht="15" hidden="false" customHeight="false" outlineLevel="0" collapsed="false">
      <c r="A25" s="24" t="str">
        <f aca="false">IF(Ref_Risk_Control!A22="","",Ref_Risk_Control!A22)</f>
        <v/>
      </c>
      <c r="B25" s="24" t="str">
        <f aca="false">IF(A25="","",Ref_Risk_Control!B22)</f>
        <v/>
      </c>
      <c r="C25" s="24" t="str">
        <f aca="false">IF(A25="","",Ref_Risk_Control!C22)</f>
        <v/>
      </c>
      <c r="D25" s="24" t="str">
        <f aca="false">IF(A25="","",Ref_Risk_Control!D22)</f>
        <v/>
      </c>
      <c r="E25" s="24" t="str">
        <f aca="false">IF(A25="","",Ref_Risk_Control!E22)</f>
        <v/>
      </c>
      <c r="F25" s="24" t="str">
        <f aca="false">IF(A25="","",COUNTIF(Ref_Deficiencies!$D$2:$D$201,A25))</f>
        <v/>
      </c>
      <c r="G25" s="24" t="str">
        <f aca="false">IF(A25="","",IF(F25=0,"—",IF(COUNTIFS(Ref_Deficiencies!$D$2:$D$201,A25,Ref_Deficiencies!$E$2:$E$201,"Material weakness")&gt;0,"Material weakness",IF(COUNTIFS(Ref_Deficiencies!$D$2:$D$201,A25,Ref_Deficiencies!$E$2:$E$201,"Significant deficiency")&gt;0,"Significant deficiency","Control deficiency"))))</f>
        <v/>
      </c>
      <c r="H25" s="24" t="str">
        <f aca="false">IF(A25="","",IF(AND(B25="Y",C25=0),"GAP: no key control",IF(OR(E25="",E25="Not tested",E25="Pending"),"Not yet tested",IF(F25&gt;0,"Covered - deficiency ("&amp;G25&amp;")",IF(E25="Effective","Covered","Review result")))))</f>
        <v/>
      </c>
    </row>
    <row r="26" customFormat="false" ht="15" hidden="false" customHeight="false" outlineLevel="0" collapsed="false">
      <c r="A26" s="24" t="str">
        <f aca="false">IF(Ref_Risk_Control!A23="","",Ref_Risk_Control!A23)</f>
        <v/>
      </c>
      <c r="B26" s="24" t="str">
        <f aca="false">IF(A26="","",Ref_Risk_Control!B23)</f>
        <v/>
      </c>
      <c r="C26" s="24" t="str">
        <f aca="false">IF(A26="","",Ref_Risk_Control!C23)</f>
        <v/>
      </c>
      <c r="D26" s="24" t="str">
        <f aca="false">IF(A26="","",Ref_Risk_Control!D23)</f>
        <v/>
      </c>
      <c r="E26" s="24" t="str">
        <f aca="false">IF(A26="","",Ref_Risk_Control!E23)</f>
        <v/>
      </c>
      <c r="F26" s="24" t="str">
        <f aca="false">IF(A26="","",COUNTIF(Ref_Deficiencies!$D$2:$D$201,A26))</f>
        <v/>
      </c>
      <c r="G26" s="24" t="str">
        <f aca="false">IF(A26="","",IF(F26=0,"—",IF(COUNTIFS(Ref_Deficiencies!$D$2:$D$201,A26,Ref_Deficiencies!$E$2:$E$201,"Material weakness")&gt;0,"Material weakness",IF(COUNTIFS(Ref_Deficiencies!$D$2:$D$201,A26,Ref_Deficiencies!$E$2:$E$201,"Significant deficiency")&gt;0,"Significant deficiency","Control deficiency"))))</f>
        <v/>
      </c>
      <c r="H26" s="24" t="str">
        <f aca="false">IF(A26="","",IF(AND(B26="Y",C26=0),"GAP: no key control",IF(OR(E26="",E26="Not tested",E26="Pending"),"Not yet tested",IF(F26&gt;0,"Covered - deficiency ("&amp;G26&amp;")",IF(E26="Effective","Covered","Review result")))))</f>
        <v/>
      </c>
    </row>
    <row r="27" customFormat="false" ht="15" hidden="false" customHeight="false" outlineLevel="0" collapsed="false">
      <c r="A27" s="24" t="str">
        <f aca="false">IF(Ref_Risk_Control!A24="","",Ref_Risk_Control!A24)</f>
        <v/>
      </c>
      <c r="B27" s="24" t="str">
        <f aca="false">IF(A27="","",Ref_Risk_Control!B24)</f>
        <v/>
      </c>
      <c r="C27" s="24" t="str">
        <f aca="false">IF(A27="","",Ref_Risk_Control!C24)</f>
        <v/>
      </c>
      <c r="D27" s="24" t="str">
        <f aca="false">IF(A27="","",Ref_Risk_Control!D24)</f>
        <v/>
      </c>
      <c r="E27" s="24" t="str">
        <f aca="false">IF(A27="","",Ref_Risk_Control!E24)</f>
        <v/>
      </c>
      <c r="F27" s="24" t="str">
        <f aca="false">IF(A27="","",COUNTIF(Ref_Deficiencies!$D$2:$D$201,A27))</f>
        <v/>
      </c>
      <c r="G27" s="24" t="str">
        <f aca="false">IF(A27="","",IF(F27=0,"—",IF(COUNTIFS(Ref_Deficiencies!$D$2:$D$201,A27,Ref_Deficiencies!$E$2:$E$201,"Material weakness")&gt;0,"Material weakness",IF(COUNTIFS(Ref_Deficiencies!$D$2:$D$201,A27,Ref_Deficiencies!$E$2:$E$201,"Significant deficiency")&gt;0,"Significant deficiency","Control deficiency"))))</f>
        <v/>
      </c>
      <c r="H27" s="24" t="str">
        <f aca="false">IF(A27="","",IF(AND(B27="Y",C27=0),"GAP: no key control",IF(OR(E27="",E27="Not tested",E27="Pending"),"Not yet tested",IF(F27&gt;0,"Covered - deficiency ("&amp;G27&amp;")",IF(E27="Effective","Covered","Review result")))))</f>
        <v/>
      </c>
    </row>
    <row r="28" customFormat="false" ht="15" hidden="false" customHeight="false" outlineLevel="0" collapsed="false">
      <c r="A28" s="24" t="str">
        <f aca="false">IF(Ref_Risk_Control!A25="","",Ref_Risk_Control!A25)</f>
        <v/>
      </c>
      <c r="B28" s="24" t="str">
        <f aca="false">IF(A28="","",Ref_Risk_Control!B25)</f>
        <v/>
      </c>
      <c r="C28" s="24" t="str">
        <f aca="false">IF(A28="","",Ref_Risk_Control!C25)</f>
        <v/>
      </c>
      <c r="D28" s="24" t="str">
        <f aca="false">IF(A28="","",Ref_Risk_Control!D25)</f>
        <v/>
      </c>
      <c r="E28" s="24" t="str">
        <f aca="false">IF(A28="","",Ref_Risk_Control!E25)</f>
        <v/>
      </c>
      <c r="F28" s="24" t="str">
        <f aca="false">IF(A28="","",COUNTIF(Ref_Deficiencies!$D$2:$D$201,A28))</f>
        <v/>
      </c>
      <c r="G28" s="24" t="str">
        <f aca="false">IF(A28="","",IF(F28=0,"—",IF(COUNTIFS(Ref_Deficiencies!$D$2:$D$201,A28,Ref_Deficiencies!$E$2:$E$201,"Material weakness")&gt;0,"Material weakness",IF(COUNTIFS(Ref_Deficiencies!$D$2:$D$201,A28,Ref_Deficiencies!$E$2:$E$201,"Significant deficiency")&gt;0,"Significant deficiency","Control deficiency"))))</f>
        <v/>
      </c>
      <c r="H28" s="24" t="str">
        <f aca="false">IF(A28="","",IF(AND(B28="Y",C28=0),"GAP: no key control",IF(OR(E28="",E28="Not tested",E28="Pending"),"Not yet tested",IF(F28&gt;0,"Covered - deficiency ("&amp;G28&amp;")",IF(E28="Effective","Covered","Review result")))))</f>
        <v/>
      </c>
    </row>
    <row r="29" customFormat="false" ht="15" hidden="false" customHeight="false" outlineLevel="0" collapsed="false">
      <c r="A29" s="24" t="str">
        <f aca="false">IF(Ref_Risk_Control!A26="","",Ref_Risk_Control!A26)</f>
        <v/>
      </c>
      <c r="B29" s="24" t="str">
        <f aca="false">IF(A29="","",Ref_Risk_Control!B26)</f>
        <v/>
      </c>
      <c r="C29" s="24" t="str">
        <f aca="false">IF(A29="","",Ref_Risk_Control!C26)</f>
        <v/>
      </c>
      <c r="D29" s="24" t="str">
        <f aca="false">IF(A29="","",Ref_Risk_Control!D26)</f>
        <v/>
      </c>
      <c r="E29" s="24" t="str">
        <f aca="false">IF(A29="","",Ref_Risk_Control!E26)</f>
        <v/>
      </c>
      <c r="F29" s="24" t="str">
        <f aca="false">IF(A29="","",COUNTIF(Ref_Deficiencies!$D$2:$D$201,A29))</f>
        <v/>
      </c>
      <c r="G29" s="24" t="str">
        <f aca="false">IF(A29="","",IF(F29=0,"—",IF(COUNTIFS(Ref_Deficiencies!$D$2:$D$201,A29,Ref_Deficiencies!$E$2:$E$201,"Material weakness")&gt;0,"Material weakness",IF(COUNTIFS(Ref_Deficiencies!$D$2:$D$201,A29,Ref_Deficiencies!$E$2:$E$201,"Significant deficiency")&gt;0,"Significant deficiency","Control deficiency"))))</f>
        <v/>
      </c>
      <c r="H29" s="24" t="str">
        <f aca="false">IF(A29="","",IF(AND(B29="Y",C29=0),"GAP: no key control",IF(OR(E29="",E29="Not tested",E29="Pending"),"Not yet tested",IF(F29&gt;0,"Covered - deficiency ("&amp;G29&amp;")",IF(E29="Effective","Covered","Review result")))))</f>
        <v/>
      </c>
    </row>
    <row r="30" customFormat="false" ht="15" hidden="false" customHeight="false" outlineLevel="0" collapsed="false">
      <c r="A30" s="24" t="str">
        <f aca="false">IF(Ref_Risk_Control!A27="","",Ref_Risk_Control!A27)</f>
        <v/>
      </c>
      <c r="B30" s="24" t="str">
        <f aca="false">IF(A30="","",Ref_Risk_Control!B27)</f>
        <v/>
      </c>
      <c r="C30" s="24" t="str">
        <f aca="false">IF(A30="","",Ref_Risk_Control!C27)</f>
        <v/>
      </c>
      <c r="D30" s="24" t="str">
        <f aca="false">IF(A30="","",Ref_Risk_Control!D27)</f>
        <v/>
      </c>
      <c r="E30" s="24" t="str">
        <f aca="false">IF(A30="","",Ref_Risk_Control!E27)</f>
        <v/>
      </c>
      <c r="F30" s="24" t="str">
        <f aca="false">IF(A30="","",COUNTIF(Ref_Deficiencies!$D$2:$D$201,A30))</f>
        <v/>
      </c>
      <c r="G30" s="24" t="str">
        <f aca="false">IF(A30="","",IF(F30=0,"—",IF(COUNTIFS(Ref_Deficiencies!$D$2:$D$201,A30,Ref_Deficiencies!$E$2:$E$201,"Material weakness")&gt;0,"Material weakness",IF(COUNTIFS(Ref_Deficiencies!$D$2:$D$201,A30,Ref_Deficiencies!$E$2:$E$201,"Significant deficiency")&gt;0,"Significant deficiency","Control deficiency"))))</f>
        <v/>
      </c>
      <c r="H30" s="24" t="str">
        <f aca="false">IF(A30="","",IF(AND(B30="Y",C30=0),"GAP: no key control",IF(OR(E30="",E30="Not tested",E30="Pending"),"Not yet tested",IF(F30&gt;0,"Covered - deficiency ("&amp;G30&amp;")",IF(E30="Effective","Covered","Review result")))))</f>
        <v/>
      </c>
    </row>
    <row r="31" customFormat="false" ht="15" hidden="false" customHeight="false" outlineLevel="0" collapsed="false">
      <c r="A31" s="24" t="str">
        <f aca="false">IF(Ref_Risk_Control!A28="","",Ref_Risk_Control!A28)</f>
        <v/>
      </c>
      <c r="B31" s="24" t="str">
        <f aca="false">IF(A31="","",Ref_Risk_Control!B28)</f>
        <v/>
      </c>
      <c r="C31" s="24" t="str">
        <f aca="false">IF(A31="","",Ref_Risk_Control!C28)</f>
        <v/>
      </c>
      <c r="D31" s="24" t="str">
        <f aca="false">IF(A31="","",Ref_Risk_Control!D28)</f>
        <v/>
      </c>
      <c r="E31" s="24" t="str">
        <f aca="false">IF(A31="","",Ref_Risk_Control!E28)</f>
        <v/>
      </c>
      <c r="F31" s="24" t="str">
        <f aca="false">IF(A31="","",COUNTIF(Ref_Deficiencies!$D$2:$D$201,A31))</f>
        <v/>
      </c>
      <c r="G31" s="24" t="str">
        <f aca="false">IF(A31="","",IF(F31=0,"—",IF(COUNTIFS(Ref_Deficiencies!$D$2:$D$201,A31,Ref_Deficiencies!$E$2:$E$201,"Material weakness")&gt;0,"Material weakness",IF(COUNTIFS(Ref_Deficiencies!$D$2:$D$201,A31,Ref_Deficiencies!$E$2:$E$201,"Significant deficiency")&gt;0,"Significant deficiency","Control deficiency"))))</f>
        <v/>
      </c>
      <c r="H31" s="24" t="str">
        <f aca="false">IF(A31="","",IF(AND(B31="Y",C31=0),"GAP: no key control",IF(OR(E31="",E31="Not tested",E31="Pending"),"Not yet tested",IF(F31&gt;0,"Covered - deficiency ("&amp;G31&amp;")",IF(E31="Effective","Covered","Review result")))))</f>
        <v/>
      </c>
    </row>
    <row r="32" customFormat="false" ht="15" hidden="false" customHeight="false" outlineLevel="0" collapsed="false">
      <c r="A32" s="24" t="str">
        <f aca="false">IF(Ref_Risk_Control!A29="","",Ref_Risk_Control!A29)</f>
        <v/>
      </c>
      <c r="B32" s="24" t="str">
        <f aca="false">IF(A32="","",Ref_Risk_Control!B29)</f>
        <v/>
      </c>
      <c r="C32" s="24" t="str">
        <f aca="false">IF(A32="","",Ref_Risk_Control!C29)</f>
        <v/>
      </c>
      <c r="D32" s="24" t="str">
        <f aca="false">IF(A32="","",Ref_Risk_Control!D29)</f>
        <v/>
      </c>
      <c r="E32" s="24" t="str">
        <f aca="false">IF(A32="","",Ref_Risk_Control!E29)</f>
        <v/>
      </c>
      <c r="F32" s="24" t="str">
        <f aca="false">IF(A32="","",COUNTIF(Ref_Deficiencies!$D$2:$D$201,A32))</f>
        <v/>
      </c>
      <c r="G32" s="24" t="str">
        <f aca="false">IF(A32="","",IF(F32=0,"—",IF(COUNTIFS(Ref_Deficiencies!$D$2:$D$201,A32,Ref_Deficiencies!$E$2:$E$201,"Material weakness")&gt;0,"Material weakness",IF(COUNTIFS(Ref_Deficiencies!$D$2:$D$201,A32,Ref_Deficiencies!$E$2:$E$201,"Significant deficiency")&gt;0,"Significant deficiency","Control deficiency"))))</f>
        <v/>
      </c>
      <c r="H32" s="24" t="str">
        <f aca="false">IF(A32="","",IF(AND(B32="Y",C32=0),"GAP: no key control",IF(OR(E32="",E32="Not tested",E32="Pending"),"Not yet tested",IF(F32&gt;0,"Covered - deficiency ("&amp;G32&amp;")",IF(E32="Effective","Covered","Review result")))))</f>
        <v/>
      </c>
    </row>
    <row r="33" customFormat="false" ht="15" hidden="false" customHeight="false" outlineLevel="0" collapsed="false">
      <c r="A33" s="24" t="str">
        <f aca="false">IF(Ref_Risk_Control!A30="","",Ref_Risk_Control!A30)</f>
        <v/>
      </c>
      <c r="B33" s="24" t="str">
        <f aca="false">IF(A33="","",Ref_Risk_Control!B30)</f>
        <v/>
      </c>
      <c r="C33" s="24" t="str">
        <f aca="false">IF(A33="","",Ref_Risk_Control!C30)</f>
        <v/>
      </c>
      <c r="D33" s="24" t="str">
        <f aca="false">IF(A33="","",Ref_Risk_Control!D30)</f>
        <v/>
      </c>
      <c r="E33" s="24" t="str">
        <f aca="false">IF(A33="","",Ref_Risk_Control!E30)</f>
        <v/>
      </c>
      <c r="F33" s="24" t="str">
        <f aca="false">IF(A33="","",COUNTIF(Ref_Deficiencies!$D$2:$D$201,A33))</f>
        <v/>
      </c>
      <c r="G33" s="24" t="str">
        <f aca="false">IF(A33="","",IF(F33=0,"—",IF(COUNTIFS(Ref_Deficiencies!$D$2:$D$201,A33,Ref_Deficiencies!$E$2:$E$201,"Material weakness")&gt;0,"Material weakness",IF(COUNTIFS(Ref_Deficiencies!$D$2:$D$201,A33,Ref_Deficiencies!$E$2:$E$201,"Significant deficiency")&gt;0,"Significant deficiency","Control deficiency"))))</f>
        <v/>
      </c>
      <c r="H33" s="24" t="str">
        <f aca="false">IF(A33="","",IF(AND(B33="Y",C33=0),"GAP: no key control",IF(OR(E33="",E33="Not tested",E33="Pending"),"Not yet tested",IF(F33&gt;0,"Covered - deficiency ("&amp;G33&amp;")",IF(E33="Effective","Covered","Review result")))))</f>
        <v/>
      </c>
    </row>
    <row r="34" customFormat="false" ht="15" hidden="false" customHeight="false" outlineLevel="0" collapsed="false">
      <c r="A34" s="24" t="str">
        <f aca="false">IF(Ref_Risk_Control!A31="","",Ref_Risk_Control!A31)</f>
        <v/>
      </c>
      <c r="B34" s="24" t="str">
        <f aca="false">IF(A34="","",Ref_Risk_Control!B31)</f>
        <v/>
      </c>
      <c r="C34" s="24" t="str">
        <f aca="false">IF(A34="","",Ref_Risk_Control!C31)</f>
        <v/>
      </c>
      <c r="D34" s="24" t="str">
        <f aca="false">IF(A34="","",Ref_Risk_Control!D31)</f>
        <v/>
      </c>
      <c r="E34" s="24" t="str">
        <f aca="false">IF(A34="","",Ref_Risk_Control!E31)</f>
        <v/>
      </c>
      <c r="F34" s="24" t="str">
        <f aca="false">IF(A34="","",COUNTIF(Ref_Deficiencies!$D$2:$D$201,A34))</f>
        <v/>
      </c>
      <c r="G34" s="24" t="str">
        <f aca="false">IF(A34="","",IF(F34=0,"—",IF(COUNTIFS(Ref_Deficiencies!$D$2:$D$201,A34,Ref_Deficiencies!$E$2:$E$201,"Material weakness")&gt;0,"Material weakness",IF(COUNTIFS(Ref_Deficiencies!$D$2:$D$201,A34,Ref_Deficiencies!$E$2:$E$201,"Significant deficiency")&gt;0,"Significant deficiency","Control deficiency"))))</f>
        <v/>
      </c>
      <c r="H34" s="24" t="str">
        <f aca="false">IF(A34="","",IF(AND(B34="Y",C34=0),"GAP: no key control",IF(OR(E34="",E34="Not tested",E34="Pending"),"Not yet tested",IF(F34&gt;0,"Covered - deficiency ("&amp;G34&amp;")",IF(E34="Effective","Covered","Review result")))))</f>
        <v/>
      </c>
    </row>
    <row r="35" customFormat="false" ht="15" hidden="false" customHeight="false" outlineLevel="0" collapsed="false">
      <c r="A35" s="24" t="str">
        <f aca="false">IF(Ref_Risk_Control!A32="","",Ref_Risk_Control!A32)</f>
        <v/>
      </c>
      <c r="B35" s="24" t="str">
        <f aca="false">IF(A35="","",Ref_Risk_Control!B32)</f>
        <v/>
      </c>
      <c r="C35" s="24" t="str">
        <f aca="false">IF(A35="","",Ref_Risk_Control!C32)</f>
        <v/>
      </c>
      <c r="D35" s="24" t="str">
        <f aca="false">IF(A35="","",Ref_Risk_Control!D32)</f>
        <v/>
      </c>
      <c r="E35" s="24" t="str">
        <f aca="false">IF(A35="","",Ref_Risk_Control!E32)</f>
        <v/>
      </c>
      <c r="F35" s="24" t="str">
        <f aca="false">IF(A35="","",COUNTIF(Ref_Deficiencies!$D$2:$D$201,A35))</f>
        <v/>
      </c>
      <c r="G35" s="24" t="str">
        <f aca="false">IF(A35="","",IF(F35=0,"—",IF(COUNTIFS(Ref_Deficiencies!$D$2:$D$201,A35,Ref_Deficiencies!$E$2:$E$201,"Material weakness")&gt;0,"Material weakness",IF(COUNTIFS(Ref_Deficiencies!$D$2:$D$201,A35,Ref_Deficiencies!$E$2:$E$201,"Significant deficiency")&gt;0,"Significant deficiency","Control deficiency"))))</f>
        <v/>
      </c>
      <c r="H35" s="24" t="str">
        <f aca="false">IF(A35="","",IF(AND(B35="Y",C35=0),"GAP: no key control",IF(OR(E35="",E35="Not tested",E35="Pending"),"Not yet tested",IF(F35&gt;0,"Covered - deficiency ("&amp;G35&amp;")",IF(E35="Effective","Covered","Review result")))))</f>
        <v/>
      </c>
    </row>
    <row r="36" customFormat="false" ht="15" hidden="false" customHeight="false" outlineLevel="0" collapsed="false">
      <c r="A36" s="24" t="str">
        <f aca="false">IF(Ref_Risk_Control!A33="","",Ref_Risk_Control!A33)</f>
        <v/>
      </c>
      <c r="B36" s="24" t="str">
        <f aca="false">IF(A36="","",Ref_Risk_Control!B33)</f>
        <v/>
      </c>
      <c r="C36" s="24" t="str">
        <f aca="false">IF(A36="","",Ref_Risk_Control!C33)</f>
        <v/>
      </c>
      <c r="D36" s="24" t="str">
        <f aca="false">IF(A36="","",Ref_Risk_Control!D33)</f>
        <v/>
      </c>
      <c r="E36" s="24" t="str">
        <f aca="false">IF(A36="","",Ref_Risk_Control!E33)</f>
        <v/>
      </c>
      <c r="F36" s="24" t="str">
        <f aca="false">IF(A36="","",COUNTIF(Ref_Deficiencies!$D$2:$D$201,A36))</f>
        <v/>
      </c>
      <c r="G36" s="24" t="str">
        <f aca="false">IF(A36="","",IF(F36=0,"—",IF(COUNTIFS(Ref_Deficiencies!$D$2:$D$201,A36,Ref_Deficiencies!$E$2:$E$201,"Material weakness")&gt;0,"Material weakness",IF(COUNTIFS(Ref_Deficiencies!$D$2:$D$201,A36,Ref_Deficiencies!$E$2:$E$201,"Significant deficiency")&gt;0,"Significant deficiency","Control deficiency"))))</f>
        <v/>
      </c>
      <c r="H36" s="24" t="str">
        <f aca="false">IF(A36="","",IF(AND(B36="Y",C36=0),"GAP: no key control",IF(OR(E36="",E36="Not tested",E36="Pending"),"Not yet tested",IF(F36&gt;0,"Covered - deficiency ("&amp;G36&amp;")",IF(E36="Effective","Covered","Review result")))))</f>
        <v/>
      </c>
    </row>
    <row r="37" customFormat="false" ht="15" hidden="false" customHeight="false" outlineLevel="0" collapsed="false">
      <c r="A37" s="24" t="str">
        <f aca="false">IF(Ref_Risk_Control!A34="","",Ref_Risk_Control!A34)</f>
        <v/>
      </c>
      <c r="B37" s="24" t="str">
        <f aca="false">IF(A37="","",Ref_Risk_Control!B34)</f>
        <v/>
      </c>
      <c r="C37" s="24" t="str">
        <f aca="false">IF(A37="","",Ref_Risk_Control!C34)</f>
        <v/>
      </c>
      <c r="D37" s="24" t="str">
        <f aca="false">IF(A37="","",Ref_Risk_Control!D34)</f>
        <v/>
      </c>
      <c r="E37" s="24" t="str">
        <f aca="false">IF(A37="","",Ref_Risk_Control!E34)</f>
        <v/>
      </c>
      <c r="F37" s="24" t="str">
        <f aca="false">IF(A37="","",COUNTIF(Ref_Deficiencies!$D$2:$D$201,A37))</f>
        <v/>
      </c>
      <c r="G37" s="24" t="str">
        <f aca="false">IF(A37="","",IF(F37=0,"—",IF(COUNTIFS(Ref_Deficiencies!$D$2:$D$201,A37,Ref_Deficiencies!$E$2:$E$201,"Material weakness")&gt;0,"Material weakness",IF(COUNTIFS(Ref_Deficiencies!$D$2:$D$201,A37,Ref_Deficiencies!$E$2:$E$201,"Significant deficiency")&gt;0,"Significant deficiency","Control deficiency"))))</f>
        <v/>
      </c>
      <c r="H37" s="24" t="str">
        <f aca="false">IF(A37="","",IF(AND(B37="Y",C37=0),"GAP: no key control",IF(OR(E37="",E37="Not tested",E37="Pending"),"Not yet tested",IF(F37&gt;0,"Covered - deficiency ("&amp;G37&amp;")",IF(E37="Effective","Covered","Review result")))))</f>
        <v/>
      </c>
    </row>
    <row r="38" customFormat="false" ht="15" hidden="false" customHeight="false" outlineLevel="0" collapsed="false">
      <c r="A38" s="24" t="str">
        <f aca="false">IF(Ref_Risk_Control!A35="","",Ref_Risk_Control!A35)</f>
        <v/>
      </c>
      <c r="B38" s="24" t="str">
        <f aca="false">IF(A38="","",Ref_Risk_Control!B35)</f>
        <v/>
      </c>
      <c r="C38" s="24" t="str">
        <f aca="false">IF(A38="","",Ref_Risk_Control!C35)</f>
        <v/>
      </c>
      <c r="D38" s="24" t="str">
        <f aca="false">IF(A38="","",Ref_Risk_Control!D35)</f>
        <v/>
      </c>
      <c r="E38" s="24" t="str">
        <f aca="false">IF(A38="","",Ref_Risk_Control!E35)</f>
        <v/>
      </c>
      <c r="F38" s="24" t="str">
        <f aca="false">IF(A38="","",COUNTIF(Ref_Deficiencies!$D$2:$D$201,A38))</f>
        <v/>
      </c>
      <c r="G38" s="24" t="str">
        <f aca="false">IF(A38="","",IF(F38=0,"—",IF(COUNTIFS(Ref_Deficiencies!$D$2:$D$201,A38,Ref_Deficiencies!$E$2:$E$201,"Material weakness")&gt;0,"Material weakness",IF(COUNTIFS(Ref_Deficiencies!$D$2:$D$201,A38,Ref_Deficiencies!$E$2:$E$201,"Significant deficiency")&gt;0,"Significant deficiency","Control deficiency"))))</f>
        <v/>
      </c>
      <c r="H38" s="24" t="str">
        <f aca="false">IF(A38="","",IF(AND(B38="Y",C38=0),"GAP: no key control",IF(OR(E38="",E38="Not tested",E38="Pending"),"Not yet tested",IF(F38&gt;0,"Covered - deficiency ("&amp;G38&amp;")",IF(E38="Effective","Covered","Review result")))))</f>
        <v/>
      </c>
    </row>
    <row r="39" customFormat="false" ht="15" hidden="false" customHeight="false" outlineLevel="0" collapsed="false">
      <c r="A39" s="24" t="str">
        <f aca="false">IF(Ref_Risk_Control!A36="","",Ref_Risk_Control!A36)</f>
        <v/>
      </c>
      <c r="B39" s="24" t="str">
        <f aca="false">IF(A39="","",Ref_Risk_Control!B36)</f>
        <v/>
      </c>
      <c r="C39" s="24" t="str">
        <f aca="false">IF(A39="","",Ref_Risk_Control!C36)</f>
        <v/>
      </c>
      <c r="D39" s="24" t="str">
        <f aca="false">IF(A39="","",Ref_Risk_Control!D36)</f>
        <v/>
      </c>
      <c r="E39" s="24" t="str">
        <f aca="false">IF(A39="","",Ref_Risk_Control!E36)</f>
        <v/>
      </c>
      <c r="F39" s="24" t="str">
        <f aca="false">IF(A39="","",COUNTIF(Ref_Deficiencies!$D$2:$D$201,A39))</f>
        <v/>
      </c>
      <c r="G39" s="24" t="str">
        <f aca="false">IF(A39="","",IF(F39=0,"—",IF(COUNTIFS(Ref_Deficiencies!$D$2:$D$201,A39,Ref_Deficiencies!$E$2:$E$201,"Material weakness")&gt;0,"Material weakness",IF(COUNTIFS(Ref_Deficiencies!$D$2:$D$201,A39,Ref_Deficiencies!$E$2:$E$201,"Significant deficiency")&gt;0,"Significant deficiency","Control deficiency"))))</f>
        <v/>
      </c>
      <c r="H39" s="24" t="str">
        <f aca="false">IF(A39="","",IF(AND(B39="Y",C39=0),"GAP: no key control",IF(OR(E39="",E39="Not tested",E39="Pending"),"Not yet tested",IF(F39&gt;0,"Covered - deficiency ("&amp;G39&amp;")",IF(E39="Effective","Covered","Review result")))))</f>
        <v/>
      </c>
    </row>
    <row r="40" customFormat="false" ht="15" hidden="false" customHeight="false" outlineLevel="0" collapsed="false">
      <c r="A40" s="24" t="str">
        <f aca="false">IF(Ref_Risk_Control!A37="","",Ref_Risk_Control!A37)</f>
        <v/>
      </c>
      <c r="B40" s="24" t="str">
        <f aca="false">IF(A40="","",Ref_Risk_Control!B37)</f>
        <v/>
      </c>
      <c r="C40" s="24" t="str">
        <f aca="false">IF(A40="","",Ref_Risk_Control!C37)</f>
        <v/>
      </c>
      <c r="D40" s="24" t="str">
        <f aca="false">IF(A40="","",Ref_Risk_Control!D37)</f>
        <v/>
      </c>
      <c r="E40" s="24" t="str">
        <f aca="false">IF(A40="","",Ref_Risk_Control!E37)</f>
        <v/>
      </c>
      <c r="F40" s="24" t="str">
        <f aca="false">IF(A40="","",COUNTIF(Ref_Deficiencies!$D$2:$D$201,A40))</f>
        <v/>
      </c>
      <c r="G40" s="24" t="str">
        <f aca="false">IF(A40="","",IF(F40=0,"—",IF(COUNTIFS(Ref_Deficiencies!$D$2:$D$201,A40,Ref_Deficiencies!$E$2:$E$201,"Material weakness")&gt;0,"Material weakness",IF(COUNTIFS(Ref_Deficiencies!$D$2:$D$201,A40,Ref_Deficiencies!$E$2:$E$201,"Significant deficiency")&gt;0,"Significant deficiency","Control deficiency"))))</f>
        <v/>
      </c>
      <c r="H40" s="24" t="str">
        <f aca="false">IF(A40="","",IF(AND(B40="Y",C40=0),"GAP: no key control",IF(OR(E40="",E40="Not tested",E40="Pending"),"Not yet tested",IF(F40&gt;0,"Covered - deficiency ("&amp;G40&amp;")",IF(E40="Effective","Covered","Review result")))))</f>
        <v/>
      </c>
    </row>
    <row r="41" customFormat="false" ht="15" hidden="false" customHeight="false" outlineLevel="0" collapsed="false">
      <c r="A41" s="24" t="str">
        <f aca="false">IF(Ref_Risk_Control!A38="","",Ref_Risk_Control!A38)</f>
        <v/>
      </c>
      <c r="B41" s="24" t="str">
        <f aca="false">IF(A41="","",Ref_Risk_Control!B38)</f>
        <v/>
      </c>
      <c r="C41" s="24" t="str">
        <f aca="false">IF(A41="","",Ref_Risk_Control!C38)</f>
        <v/>
      </c>
      <c r="D41" s="24" t="str">
        <f aca="false">IF(A41="","",Ref_Risk_Control!D38)</f>
        <v/>
      </c>
      <c r="E41" s="24" t="str">
        <f aca="false">IF(A41="","",Ref_Risk_Control!E38)</f>
        <v/>
      </c>
      <c r="F41" s="24" t="str">
        <f aca="false">IF(A41="","",COUNTIF(Ref_Deficiencies!$D$2:$D$201,A41))</f>
        <v/>
      </c>
      <c r="G41" s="24" t="str">
        <f aca="false">IF(A41="","",IF(F41=0,"—",IF(COUNTIFS(Ref_Deficiencies!$D$2:$D$201,A41,Ref_Deficiencies!$E$2:$E$201,"Material weakness")&gt;0,"Material weakness",IF(COUNTIFS(Ref_Deficiencies!$D$2:$D$201,A41,Ref_Deficiencies!$E$2:$E$201,"Significant deficiency")&gt;0,"Significant deficiency","Control deficiency"))))</f>
        <v/>
      </c>
      <c r="H41" s="24" t="str">
        <f aca="false">IF(A41="","",IF(AND(B41="Y",C41=0),"GAP: no key control",IF(OR(E41="",E41="Not tested",E41="Pending"),"Not yet tested",IF(F41&gt;0,"Covered - deficiency ("&amp;G41&amp;")",IF(E41="Effective","Covered","Review result")))))</f>
        <v/>
      </c>
    </row>
    <row r="42" customFormat="false" ht="15" hidden="false" customHeight="false" outlineLevel="0" collapsed="false">
      <c r="A42" s="24" t="str">
        <f aca="false">IF(Ref_Risk_Control!A39="","",Ref_Risk_Control!A39)</f>
        <v/>
      </c>
      <c r="B42" s="24" t="str">
        <f aca="false">IF(A42="","",Ref_Risk_Control!B39)</f>
        <v/>
      </c>
      <c r="C42" s="24" t="str">
        <f aca="false">IF(A42="","",Ref_Risk_Control!C39)</f>
        <v/>
      </c>
      <c r="D42" s="24" t="str">
        <f aca="false">IF(A42="","",Ref_Risk_Control!D39)</f>
        <v/>
      </c>
      <c r="E42" s="24" t="str">
        <f aca="false">IF(A42="","",Ref_Risk_Control!E39)</f>
        <v/>
      </c>
      <c r="F42" s="24" t="str">
        <f aca="false">IF(A42="","",COUNTIF(Ref_Deficiencies!$D$2:$D$201,A42))</f>
        <v/>
      </c>
      <c r="G42" s="24" t="str">
        <f aca="false">IF(A42="","",IF(F42=0,"—",IF(COUNTIFS(Ref_Deficiencies!$D$2:$D$201,A42,Ref_Deficiencies!$E$2:$E$201,"Material weakness")&gt;0,"Material weakness",IF(COUNTIFS(Ref_Deficiencies!$D$2:$D$201,A42,Ref_Deficiencies!$E$2:$E$201,"Significant deficiency")&gt;0,"Significant deficiency","Control deficiency"))))</f>
        <v/>
      </c>
      <c r="H42" s="24" t="str">
        <f aca="false">IF(A42="","",IF(AND(B42="Y",C42=0),"GAP: no key control",IF(OR(E42="",E42="Not tested",E42="Pending"),"Not yet tested",IF(F42&gt;0,"Covered - deficiency ("&amp;G42&amp;")",IF(E42="Effective","Covered","Review result")))))</f>
        <v/>
      </c>
    </row>
    <row r="43" customFormat="false" ht="15" hidden="false" customHeight="false" outlineLevel="0" collapsed="false">
      <c r="A43" s="24" t="str">
        <f aca="false">IF(Ref_Risk_Control!A40="","",Ref_Risk_Control!A40)</f>
        <v/>
      </c>
      <c r="B43" s="24" t="str">
        <f aca="false">IF(A43="","",Ref_Risk_Control!B40)</f>
        <v/>
      </c>
      <c r="C43" s="24" t="str">
        <f aca="false">IF(A43="","",Ref_Risk_Control!C40)</f>
        <v/>
      </c>
      <c r="D43" s="24" t="str">
        <f aca="false">IF(A43="","",Ref_Risk_Control!D40)</f>
        <v/>
      </c>
      <c r="E43" s="24" t="str">
        <f aca="false">IF(A43="","",Ref_Risk_Control!E40)</f>
        <v/>
      </c>
      <c r="F43" s="24" t="str">
        <f aca="false">IF(A43="","",COUNTIF(Ref_Deficiencies!$D$2:$D$201,A43))</f>
        <v/>
      </c>
      <c r="G43" s="24" t="str">
        <f aca="false">IF(A43="","",IF(F43=0,"—",IF(COUNTIFS(Ref_Deficiencies!$D$2:$D$201,A43,Ref_Deficiencies!$E$2:$E$201,"Material weakness")&gt;0,"Material weakness",IF(COUNTIFS(Ref_Deficiencies!$D$2:$D$201,A43,Ref_Deficiencies!$E$2:$E$201,"Significant deficiency")&gt;0,"Significant deficiency","Control deficiency"))))</f>
        <v/>
      </c>
      <c r="H43" s="24" t="str">
        <f aca="false">IF(A43="","",IF(AND(B43="Y",C43=0),"GAP: no key control",IF(OR(E43="",E43="Not tested",E43="Pending"),"Not yet tested",IF(F43&gt;0,"Covered - deficiency ("&amp;G43&amp;")",IF(E43="Effective","Covered","Review result")))))</f>
        <v/>
      </c>
    </row>
    <row r="44" customFormat="false" ht="15" hidden="false" customHeight="false" outlineLevel="0" collapsed="false">
      <c r="A44" s="24" t="str">
        <f aca="false">IF(Ref_Risk_Control!A41="","",Ref_Risk_Control!A41)</f>
        <v/>
      </c>
      <c r="B44" s="24" t="str">
        <f aca="false">IF(A44="","",Ref_Risk_Control!B41)</f>
        <v/>
      </c>
      <c r="C44" s="24" t="str">
        <f aca="false">IF(A44="","",Ref_Risk_Control!C41)</f>
        <v/>
      </c>
      <c r="D44" s="24" t="str">
        <f aca="false">IF(A44="","",Ref_Risk_Control!D41)</f>
        <v/>
      </c>
      <c r="E44" s="24" t="str">
        <f aca="false">IF(A44="","",Ref_Risk_Control!E41)</f>
        <v/>
      </c>
      <c r="F44" s="24" t="str">
        <f aca="false">IF(A44="","",COUNTIF(Ref_Deficiencies!$D$2:$D$201,A44))</f>
        <v/>
      </c>
      <c r="G44" s="24" t="str">
        <f aca="false">IF(A44="","",IF(F44=0,"—",IF(COUNTIFS(Ref_Deficiencies!$D$2:$D$201,A44,Ref_Deficiencies!$E$2:$E$201,"Material weakness")&gt;0,"Material weakness",IF(COUNTIFS(Ref_Deficiencies!$D$2:$D$201,A44,Ref_Deficiencies!$E$2:$E$201,"Significant deficiency")&gt;0,"Significant deficiency","Control deficiency"))))</f>
        <v/>
      </c>
      <c r="H44" s="24" t="str">
        <f aca="false">IF(A44="","",IF(AND(B44="Y",C44=0),"GAP: no key control",IF(OR(E44="",E44="Not tested",E44="Pending"),"Not yet tested",IF(F44&gt;0,"Covered - deficiency ("&amp;G44&amp;")",IF(E44="Effective","Covered","Review result")))))</f>
        <v/>
      </c>
    </row>
    <row r="45" customFormat="false" ht="15" hidden="false" customHeight="false" outlineLevel="0" collapsed="false">
      <c r="A45" s="24" t="str">
        <f aca="false">IF(Ref_Risk_Control!A42="","",Ref_Risk_Control!A42)</f>
        <v/>
      </c>
      <c r="B45" s="24" t="str">
        <f aca="false">IF(A45="","",Ref_Risk_Control!B42)</f>
        <v/>
      </c>
      <c r="C45" s="24" t="str">
        <f aca="false">IF(A45="","",Ref_Risk_Control!C42)</f>
        <v/>
      </c>
      <c r="D45" s="24" t="str">
        <f aca="false">IF(A45="","",Ref_Risk_Control!D42)</f>
        <v/>
      </c>
      <c r="E45" s="24" t="str">
        <f aca="false">IF(A45="","",Ref_Risk_Control!E42)</f>
        <v/>
      </c>
      <c r="F45" s="24" t="str">
        <f aca="false">IF(A45="","",COUNTIF(Ref_Deficiencies!$D$2:$D$201,A45))</f>
        <v/>
      </c>
      <c r="G45" s="24" t="str">
        <f aca="false">IF(A45="","",IF(F45=0,"—",IF(COUNTIFS(Ref_Deficiencies!$D$2:$D$201,A45,Ref_Deficiencies!$E$2:$E$201,"Material weakness")&gt;0,"Material weakness",IF(COUNTIFS(Ref_Deficiencies!$D$2:$D$201,A45,Ref_Deficiencies!$E$2:$E$201,"Significant deficiency")&gt;0,"Significant deficiency","Control deficiency"))))</f>
        <v/>
      </c>
      <c r="H45" s="24" t="str">
        <f aca="false">IF(A45="","",IF(AND(B45="Y",C45=0),"GAP: no key control",IF(OR(E45="",E45="Not tested",E45="Pending"),"Not yet tested",IF(F45&gt;0,"Covered - deficiency ("&amp;G45&amp;")",IF(E45="Effective","Covered","Review result")))))</f>
        <v/>
      </c>
    </row>
    <row r="46" customFormat="false" ht="15" hidden="false" customHeight="false" outlineLevel="0" collapsed="false">
      <c r="A46" s="24" t="str">
        <f aca="false">IF(Ref_Risk_Control!A43="","",Ref_Risk_Control!A43)</f>
        <v/>
      </c>
      <c r="B46" s="24" t="str">
        <f aca="false">IF(A46="","",Ref_Risk_Control!B43)</f>
        <v/>
      </c>
      <c r="C46" s="24" t="str">
        <f aca="false">IF(A46="","",Ref_Risk_Control!C43)</f>
        <v/>
      </c>
      <c r="D46" s="24" t="str">
        <f aca="false">IF(A46="","",Ref_Risk_Control!D43)</f>
        <v/>
      </c>
      <c r="E46" s="24" t="str">
        <f aca="false">IF(A46="","",Ref_Risk_Control!E43)</f>
        <v/>
      </c>
      <c r="F46" s="24" t="str">
        <f aca="false">IF(A46="","",COUNTIF(Ref_Deficiencies!$D$2:$D$201,A46))</f>
        <v/>
      </c>
      <c r="G46" s="24" t="str">
        <f aca="false">IF(A46="","",IF(F46=0,"—",IF(COUNTIFS(Ref_Deficiencies!$D$2:$D$201,A46,Ref_Deficiencies!$E$2:$E$201,"Material weakness")&gt;0,"Material weakness",IF(COUNTIFS(Ref_Deficiencies!$D$2:$D$201,A46,Ref_Deficiencies!$E$2:$E$201,"Significant deficiency")&gt;0,"Significant deficiency","Control deficiency"))))</f>
        <v/>
      </c>
      <c r="H46" s="24" t="str">
        <f aca="false">IF(A46="","",IF(AND(B46="Y",C46=0),"GAP: no key control",IF(OR(E46="",E46="Not tested",E46="Pending"),"Not yet tested",IF(F46&gt;0,"Covered - deficiency ("&amp;G46&amp;")",IF(E46="Effective","Covered","Review result")))))</f>
        <v/>
      </c>
    </row>
    <row r="47" customFormat="false" ht="15" hidden="false" customHeight="false" outlineLevel="0" collapsed="false">
      <c r="A47" s="24" t="str">
        <f aca="false">IF(Ref_Risk_Control!A44="","",Ref_Risk_Control!A44)</f>
        <v/>
      </c>
      <c r="B47" s="24" t="str">
        <f aca="false">IF(A47="","",Ref_Risk_Control!B44)</f>
        <v/>
      </c>
      <c r="C47" s="24" t="str">
        <f aca="false">IF(A47="","",Ref_Risk_Control!C44)</f>
        <v/>
      </c>
      <c r="D47" s="24" t="str">
        <f aca="false">IF(A47="","",Ref_Risk_Control!D44)</f>
        <v/>
      </c>
      <c r="E47" s="24" t="str">
        <f aca="false">IF(A47="","",Ref_Risk_Control!E44)</f>
        <v/>
      </c>
      <c r="F47" s="24" t="str">
        <f aca="false">IF(A47="","",COUNTIF(Ref_Deficiencies!$D$2:$D$201,A47))</f>
        <v/>
      </c>
      <c r="G47" s="24" t="str">
        <f aca="false">IF(A47="","",IF(F47=0,"—",IF(COUNTIFS(Ref_Deficiencies!$D$2:$D$201,A47,Ref_Deficiencies!$E$2:$E$201,"Material weakness")&gt;0,"Material weakness",IF(COUNTIFS(Ref_Deficiencies!$D$2:$D$201,A47,Ref_Deficiencies!$E$2:$E$201,"Significant deficiency")&gt;0,"Significant deficiency","Control deficiency"))))</f>
        <v/>
      </c>
      <c r="H47" s="24" t="str">
        <f aca="false">IF(A47="","",IF(AND(B47="Y",C47=0),"GAP: no key control",IF(OR(E47="",E47="Not tested",E47="Pending"),"Not yet tested",IF(F47&gt;0,"Covered - deficiency ("&amp;G47&amp;")",IF(E47="Effective","Covered","Review result")))))</f>
        <v/>
      </c>
    </row>
    <row r="48" customFormat="false" ht="15" hidden="false" customHeight="false" outlineLevel="0" collapsed="false">
      <c r="A48" s="24" t="str">
        <f aca="false">IF(Ref_Risk_Control!A45="","",Ref_Risk_Control!A45)</f>
        <v/>
      </c>
      <c r="B48" s="24" t="str">
        <f aca="false">IF(A48="","",Ref_Risk_Control!B45)</f>
        <v/>
      </c>
      <c r="C48" s="24" t="str">
        <f aca="false">IF(A48="","",Ref_Risk_Control!C45)</f>
        <v/>
      </c>
      <c r="D48" s="24" t="str">
        <f aca="false">IF(A48="","",Ref_Risk_Control!D45)</f>
        <v/>
      </c>
      <c r="E48" s="24" t="str">
        <f aca="false">IF(A48="","",Ref_Risk_Control!E45)</f>
        <v/>
      </c>
      <c r="F48" s="24" t="str">
        <f aca="false">IF(A48="","",COUNTIF(Ref_Deficiencies!$D$2:$D$201,A48))</f>
        <v/>
      </c>
      <c r="G48" s="24" t="str">
        <f aca="false">IF(A48="","",IF(F48=0,"—",IF(COUNTIFS(Ref_Deficiencies!$D$2:$D$201,A48,Ref_Deficiencies!$E$2:$E$201,"Material weakness")&gt;0,"Material weakness",IF(COUNTIFS(Ref_Deficiencies!$D$2:$D$201,A48,Ref_Deficiencies!$E$2:$E$201,"Significant deficiency")&gt;0,"Significant deficiency","Control deficiency"))))</f>
        <v/>
      </c>
      <c r="H48" s="24" t="str">
        <f aca="false">IF(A48="","",IF(AND(B48="Y",C48=0),"GAP: no key control",IF(OR(E48="",E48="Not tested",E48="Pending"),"Not yet tested",IF(F48&gt;0,"Covered - deficiency ("&amp;G48&amp;")",IF(E48="Effective","Covered","Review result")))))</f>
        <v/>
      </c>
    </row>
    <row r="49" customFormat="false" ht="15" hidden="false" customHeight="false" outlineLevel="0" collapsed="false">
      <c r="A49" s="24" t="str">
        <f aca="false">IF(Ref_Risk_Control!A46="","",Ref_Risk_Control!A46)</f>
        <v/>
      </c>
      <c r="B49" s="24" t="str">
        <f aca="false">IF(A49="","",Ref_Risk_Control!B46)</f>
        <v/>
      </c>
      <c r="C49" s="24" t="str">
        <f aca="false">IF(A49="","",Ref_Risk_Control!C46)</f>
        <v/>
      </c>
      <c r="D49" s="24" t="str">
        <f aca="false">IF(A49="","",Ref_Risk_Control!D46)</f>
        <v/>
      </c>
      <c r="E49" s="24" t="str">
        <f aca="false">IF(A49="","",Ref_Risk_Control!E46)</f>
        <v/>
      </c>
      <c r="F49" s="24" t="str">
        <f aca="false">IF(A49="","",COUNTIF(Ref_Deficiencies!$D$2:$D$201,A49))</f>
        <v/>
      </c>
      <c r="G49" s="24" t="str">
        <f aca="false">IF(A49="","",IF(F49=0,"—",IF(COUNTIFS(Ref_Deficiencies!$D$2:$D$201,A49,Ref_Deficiencies!$E$2:$E$201,"Material weakness")&gt;0,"Material weakness",IF(COUNTIFS(Ref_Deficiencies!$D$2:$D$201,A49,Ref_Deficiencies!$E$2:$E$201,"Significant deficiency")&gt;0,"Significant deficiency","Control deficiency"))))</f>
        <v/>
      </c>
      <c r="H49" s="24" t="str">
        <f aca="false">IF(A49="","",IF(AND(B49="Y",C49=0),"GAP: no key control",IF(OR(E49="",E49="Not tested",E49="Pending"),"Not yet tested",IF(F49&gt;0,"Covered - deficiency ("&amp;G49&amp;")",IF(E49="Effective","Covered","Review result")))))</f>
        <v/>
      </c>
    </row>
    <row r="50" customFormat="false" ht="15" hidden="false" customHeight="false" outlineLevel="0" collapsed="false">
      <c r="A50" s="24" t="str">
        <f aca="false">IF(Ref_Risk_Control!A47="","",Ref_Risk_Control!A47)</f>
        <v/>
      </c>
      <c r="B50" s="24" t="str">
        <f aca="false">IF(A50="","",Ref_Risk_Control!B47)</f>
        <v/>
      </c>
      <c r="C50" s="24" t="str">
        <f aca="false">IF(A50="","",Ref_Risk_Control!C47)</f>
        <v/>
      </c>
      <c r="D50" s="24" t="str">
        <f aca="false">IF(A50="","",Ref_Risk_Control!D47)</f>
        <v/>
      </c>
      <c r="E50" s="24" t="str">
        <f aca="false">IF(A50="","",Ref_Risk_Control!E47)</f>
        <v/>
      </c>
      <c r="F50" s="24" t="str">
        <f aca="false">IF(A50="","",COUNTIF(Ref_Deficiencies!$D$2:$D$201,A50))</f>
        <v/>
      </c>
      <c r="G50" s="24" t="str">
        <f aca="false">IF(A50="","",IF(F50=0,"—",IF(COUNTIFS(Ref_Deficiencies!$D$2:$D$201,A50,Ref_Deficiencies!$E$2:$E$201,"Material weakness")&gt;0,"Material weakness",IF(COUNTIFS(Ref_Deficiencies!$D$2:$D$201,A50,Ref_Deficiencies!$E$2:$E$201,"Significant deficiency")&gt;0,"Significant deficiency","Control deficiency"))))</f>
        <v/>
      </c>
      <c r="H50" s="24" t="str">
        <f aca="false">IF(A50="","",IF(AND(B50="Y",C50=0),"GAP: no key control",IF(OR(E50="",E50="Not tested",E50="Pending"),"Not yet tested",IF(F50&gt;0,"Covered - deficiency ("&amp;G50&amp;")",IF(E50="Effective","Covered","Review result")))))</f>
        <v/>
      </c>
    </row>
    <row r="51" customFormat="false" ht="15" hidden="false" customHeight="false" outlineLevel="0" collapsed="false">
      <c r="A51" s="24" t="str">
        <f aca="false">IF(Ref_Risk_Control!A48="","",Ref_Risk_Control!A48)</f>
        <v/>
      </c>
      <c r="B51" s="24" t="str">
        <f aca="false">IF(A51="","",Ref_Risk_Control!B48)</f>
        <v/>
      </c>
      <c r="C51" s="24" t="str">
        <f aca="false">IF(A51="","",Ref_Risk_Control!C48)</f>
        <v/>
      </c>
      <c r="D51" s="24" t="str">
        <f aca="false">IF(A51="","",Ref_Risk_Control!D48)</f>
        <v/>
      </c>
      <c r="E51" s="24" t="str">
        <f aca="false">IF(A51="","",Ref_Risk_Control!E48)</f>
        <v/>
      </c>
      <c r="F51" s="24" t="str">
        <f aca="false">IF(A51="","",COUNTIF(Ref_Deficiencies!$D$2:$D$201,A51))</f>
        <v/>
      </c>
      <c r="G51" s="24" t="str">
        <f aca="false">IF(A51="","",IF(F51=0,"—",IF(COUNTIFS(Ref_Deficiencies!$D$2:$D$201,A51,Ref_Deficiencies!$E$2:$E$201,"Material weakness")&gt;0,"Material weakness",IF(COUNTIFS(Ref_Deficiencies!$D$2:$D$201,A51,Ref_Deficiencies!$E$2:$E$201,"Significant deficiency")&gt;0,"Significant deficiency","Control deficiency"))))</f>
        <v/>
      </c>
      <c r="H51" s="24" t="str">
        <f aca="false">IF(A51="","",IF(AND(B51="Y",C51=0),"GAP: no key control",IF(OR(E51="",E51="Not tested",E51="Pending"),"Not yet tested",IF(F51&gt;0,"Covered - deficiency ("&amp;G51&amp;")",IF(E51="Effective","Covered","Review result")))))</f>
        <v/>
      </c>
    </row>
    <row r="52" customFormat="false" ht="15" hidden="false" customHeight="false" outlineLevel="0" collapsed="false">
      <c r="A52" s="24" t="str">
        <f aca="false">IF(Ref_Risk_Control!A49="","",Ref_Risk_Control!A49)</f>
        <v/>
      </c>
      <c r="B52" s="24" t="str">
        <f aca="false">IF(A52="","",Ref_Risk_Control!B49)</f>
        <v/>
      </c>
      <c r="C52" s="24" t="str">
        <f aca="false">IF(A52="","",Ref_Risk_Control!C49)</f>
        <v/>
      </c>
      <c r="D52" s="24" t="str">
        <f aca="false">IF(A52="","",Ref_Risk_Control!D49)</f>
        <v/>
      </c>
      <c r="E52" s="24" t="str">
        <f aca="false">IF(A52="","",Ref_Risk_Control!E49)</f>
        <v/>
      </c>
      <c r="F52" s="24" t="str">
        <f aca="false">IF(A52="","",COUNTIF(Ref_Deficiencies!$D$2:$D$201,A52))</f>
        <v/>
      </c>
      <c r="G52" s="24" t="str">
        <f aca="false">IF(A52="","",IF(F52=0,"—",IF(COUNTIFS(Ref_Deficiencies!$D$2:$D$201,A52,Ref_Deficiencies!$E$2:$E$201,"Material weakness")&gt;0,"Material weakness",IF(COUNTIFS(Ref_Deficiencies!$D$2:$D$201,A52,Ref_Deficiencies!$E$2:$E$201,"Significant deficiency")&gt;0,"Significant deficiency","Control deficiency"))))</f>
        <v/>
      </c>
      <c r="H52" s="24" t="str">
        <f aca="false">IF(A52="","",IF(AND(B52="Y",C52=0),"GAP: no key control",IF(OR(E52="",E52="Not tested",E52="Pending"),"Not yet tested",IF(F52&gt;0,"Covered - deficiency ("&amp;G52&amp;")",IF(E52="Effective","Covered","Review result")))))</f>
        <v/>
      </c>
    </row>
    <row r="53" customFormat="false" ht="15" hidden="false" customHeight="false" outlineLevel="0" collapsed="false">
      <c r="A53" s="24" t="str">
        <f aca="false">IF(Ref_Risk_Control!A50="","",Ref_Risk_Control!A50)</f>
        <v/>
      </c>
      <c r="B53" s="24" t="str">
        <f aca="false">IF(A53="","",Ref_Risk_Control!B50)</f>
        <v/>
      </c>
      <c r="C53" s="24" t="str">
        <f aca="false">IF(A53="","",Ref_Risk_Control!C50)</f>
        <v/>
      </c>
      <c r="D53" s="24" t="str">
        <f aca="false">IF(A53="","",Ref_Risk_Control!D50)</f>
        <v/>
      </c>
      <c r="E53" s="24" t="str">
        <f aca="false">IF(A53="","",Ref_Risk_Control!E50)</f>
        <v/>
      </c>
      <c r="F53" s="24" t="str">
        <f aca="false">IF(A53="","",COUNTIF(Ref_Deficiencies!$D$2:$D$201,A53))</f>
        <v/>
      </c>
      <c r="G53" s="24" t="str">
        <f aca="false">IF(A53="","",IF(F53=0,"—",IF(COUNTIFS(Ref_Deficiencies!$D$2:$D$201,A53,Ref_Deficiencies!$E$2:$E$201,"Material weakness")&gt;0,"Material weakness",IF(COUNTIFS(Ref_Deficiencies!$D$2:$D$201,A53,Ref_Deficiencies!$E$2:$E$201,"Significant deficiency")&gt;0,"Significant deficiency","Control deficiency"))))</f>
        <v/>
      </c>
      <c r="H53" s="24" t="str">
        <f aca="false">IF(A53="","",IF(AND(B53="Y",C53=0),"GAP: no key control",IF(OR(E53="",E53="Not tested",E53="Pending"),"Not yet tested",IF(F53&gt;0,"Covered - deficiency ("&amp;G53&amp;")",IF(E53="Effective","Covered","Review result")))))</f>
        <v/>
      </c>
    </row>
    <row r="54" customFormat="false" ht="15" hidden="false" customHeight="false" outlineLevel="0" collapsed="false">
      <c r="A54" s="24" t="str">
        <f aca="false">IF(Ref_Risk_Control!A51="","",Ref_Risk_Control!A51)</f>
        <v/>
      </c>
      <c r="B54" s="24" t="str">
        <f aca="false">IF(A54="","",Ref_Risk_Control!B51)</f>
        <v/>
      </c>
      <c r="C54" s="24" t="str">
        <f aca="false">IF(A54="","",Ref_Risk_Control!C51)</f>
        <v/>
      </c>
      <c r="D54" s="24" t="str">
        <f aca="false">IF(A54="","",Ref_Risk_Control!D51)</f>
        <v/>
      </c>
      <c r="E54" s="24" t="str">
        <f aca="false">IF(A54="","",Ref_Risk_Control!E51)</f>
        <v/>
      </c>
      <c r="F54" s="24" t="str">
        <f aca="false">IF(A54="","",COUNTIF(Ref_Deficiencies!$D$2:$D$201,A54))</f>
        <v/>
      </c>
      <c r="G54" s="24" t="str">
        <f aca="false">IF(A54="","",IF(F54=0,"—",IF(COUNTIFS(Ref_Deficiencies!$D$2:$D$201,A54,Ref_Deficiencies!$E$2:$E$201,"Material weakness")&gt;0,"Material weakness",IF(COUNTIFS(Ref_Deficiencies!$D$2:$D$201,A54,Ref_Deficiencies!$E$2:$E$201,"Significant deficiency")&gt;0,"Significant deficiency","Control deficiency"))))</f>
        <v/>
      </c>
      <c r="H54" s="24" t="str">
        <f aca="false">IF(A54="","",IF(AND(B54="Y",C54=0),"GAP: no key control",IF(OR(E54="",E54="Not tested",E54="Pending"),"Not yet tested",IF(F54&gt;0,"Covered - deficiency ("&amp;G54&amp;")",IF(E54="Effective","Covered","Review result")))))</f>
        <v/>
      </c>
    </row>
    <row r="55" customFormat="false" ht="15" hidden="false" customHeight="false" outlineLevel="0" collapsed="false">
      <c r="A55" s="24" t="str">
        <f aca="false">IF(Ref_Risk_Control!A52="","",Ref_Risk_Control!A52)</f>
        <v/>
      </c>
      <c r="B55" s="24" t="str">
        <f aca="false">IF(A55="","",Ref_Risk_Control!B52)</f>
        <v/>
      </c>
      <c r="C55" s="24" t="str">
        <f aca="false">IF(A55="","",Ref_Risk_Control!C52)</f>
        <v/>
      </c>
      <c r="D55" s="24" t="str">
        <f aca="false">IF(A55="","",Ref_Risk_Control!D52)</f>
        <v/>
      </c>
      <c r="E55" s="24" t="str">
        <f aca="false">IF(A55="","",Ref_Risk_Control!E52)</f>
        <v/>
      </c>
      <c r="F55" s="24" t="str">
        <f aca="false">IF(A55="","",COUNTIF(Ref_Deficiencies!$D$2:$D$201,A55))</f>
        <v/>
      </c>
      <c r="G55" s="24" t="str">
        <f aca="false">IF(A55="","",IF(F55=0,"—",IF(COUNTIFS(Ref_Deficiencies!$D$2:$D$201,A55,Ref_Deficiencies!$E$2:$E$201,"Material weakness")&gt;0,"Material weakness",IF(COUNTIFS(Ref_Deficiencies!$D$2:$D$201,A55,Ref_Deficiencies!$E$2:$E$201,"Significant deficiency")&gt;0,"Significant deficiency","Control deficiency"))))</f>
        <v/>
      </c>
      <c r="H55" s="24" t="str">
        <f aca="false">IF(A55="","",IF(AND(B55="Y",C55=0),"GAP: no key control",IF(OR(E55="",E55="Not tested",E55="Pending"),"Not yet tested",IF(F55&gt;0,"Covered - deficiency ("&amp;G55&amp;")",IF(E55="Effective","Covered","Review result")))))</f>
        <v/>
      </c>
    </row>
    <row r="56" customFormat="false" ht="15" hidden="false" customHeight="false" outlineLevel="0" collapsed="false">
      <c r="A56" s="24" t="str">
        <f aca="false">IF(Ref_Risk_Control!A53="","",Ref_Risk_Control!A53)</f>
        <v/>
      </c>
      <c r="B56" s="24" t="str">
        <f aca="false">IF(A56="","",Ref_Risk_Control!B53)</f>
        <v/>
      </c>
      <c r="C56" s="24" t="str">
        <f aca="false">IF(A56="","",Ref_Risk_Control!C53)</f>
        <v/>
      </c>
      <c r="D56" s="24" t="str">
        <f aca="false">IF(A56="","",Ref_Risk_Control!D53)</f>
        <v/>
      </c>
      <c r="E56" s="24" t="str">
        <f aca="false">IF(A56="","",Ref_Risk_Control!E53)</f>
        <v/>
      </c>
      <c r="F56" s="24" t="str">
        <f aca="false">IF(A56="","",COUNTIF(Ref_Deficiencies!$D$2:$D$201,A56))</f>
        <v/>
      </c>
      <c r="G56" s="24" t="str">
        <f aca="false">IF(A56="","",IF(F56=0,"—",IF(COUNTIFS(Ref_Deficiencies!$D$2:$D$201,A56,Ref_Deficiencies!$E$2:$E$201,"Material weakness")&gt;0,"Material weakness",IF(COUNTIFS(Ref_Deficiencies!$D$2:$D$201,A56,Ref_Deficiencies!$E$2:$E$201,"Significant deficiency")&gt;0,"Significant deficiency","Control deficiency"))))</f>
        <v/>
      </c>
      <c r="H56" s="24" t="str">
        <f aca="false">IF(A56="","",IF(AND(B56="Y",C56=0),"GAP: no key control",IF(OR(E56="",E56="Not tested",E56="Pending"),"Not yet tested",IF(F56&gt;0,"Covered - deficiency ("&amp;G56&amp;")",IF(E56="Effective","Covered","Review result")))))</f>
        <v/>
      </c>
    </row>
    <row r="57" customFormat="false" ht="15" hidden="false" customHeight="false" outlineLevel="0" collapsed="false">
      <c r="A57" s="24" t="str">
        <f aca="false">IF(Ref_Risk_Control!A54="","",Ref_Risk_Control!A54)</f>
        <v/>
      </c>
      <c r="B57" s="24" t="str">
        <f aca="false">IF(A57="","",Ref_Risk_Control!B54)</f>
        <v/>
      </c>
      <c r="C57" s="24" t="str">
        <f aca="false">IF(A57="","",Ref_Risk_Control!C54)</f>
        <v/>
      </c>
      <c r="D57" s="24" t="str">
        <f aca="false">IF(A57="","",Ref_Risk_Control!D54)</f>
        <v/>
      </c>
      <c r="E57" s="24" t="str">
        <f aca="false">IF(A57="","",Ref_Risk_Control!E54)</f>
        <v/>
      </c>
      <c r="F57" s="24" t="str">
        <f aca="false">IF(A57="","",COUNTIF(Ref_Deficiencies!$D$2:$D$201,A57))</f>
        <v/>
      </c>
      <c r="G57" s="24" t="str">
        <f aca="false">IF(A57="","",IF(F57=0,"—",IF(COUNTIFS(Ref_Deficiencies!$D$2:$D$201,A57,Ref_Deficiencies!$E$2:$E$201,"Material weakness")&gt;0,"Material weakness",IF(COUNTIFS(Ref_Deficiencies!$D$2:$D$201,A57,Ref_Deficiencies!$E$2:$E$201,"Significant deficiency")&gt;0,"Significant deficiency","Control deficiency"))))</f>
        <v/>
      </c>
      <c r="H57" s="24" t="str">
        <f aca="false">IF(A57="","",IF(AND(B57="Y",C57=0),"GAP: no key control",IF(OR(E57="",E57="Not tested",E57="Pending"),"Not yet tested",IF(F57&gt;0,"Covered - deficiency ("&amp;G57&amp;")",IF(E57="Effective","Covered","Review result")))))</f>
        <v/>
      </c>
    </row>
    <row r="58" customFormat="false" ht="15" hidden="false" customHeight="false" outlineLevel="0" collapsed="false">
      <c r="A58" s="24" t="str">
        <f aca="false">IF(Ref_Risk_Control!A55="","",Ref_Risk_Control!A55)</f>
        <v/>
      </c>
      <c r="B58" s="24" t="str">
        <f aca="false">IF(A58="","",Ref_Risk_Control!B55)</f>
        <v/>
      </c>
      <c r="C58" s="24" t="str">
        <f aca="false">IF(A58="","",Ref_Risk_Control!C55)</f>
        <v/>
      </c>
      <c r="D58" s="24" t="str">
        <f aca="false">IF(A58="","",Ref_Risk_Control!D55)</f>
        <v/>
      </c>
      <c r="E58" s="24" t="str">
        <f aca="false">IF(A58="","",Ref_Risk_Control!E55)</f>
        <v/>
      </c>
      <c r="F58" s="24" t="str">
        <f aca="false">IF(A58="","",COUNTIF(Ref_Deficiencies!$D$2:$D$201,A58))</f>
        <v/>
      </c>
      <c r="G58" s="24" t="str">
        <f aca="false">IF(A58="","",IF(F58=0,"—",IF(COUNTIFS(Ref_Deficiencies!$D$2:$D$201,A58,Ref_Deficiencies!$E$2:$E$201,"Material weakness")&gt;0,"Material weakness",IF(COUNTIFS(Ref_Deficiencies!$D$2:$D$201,A58,Ref_Deficiencies!$E$2:$E$201,"Significant deficiency")&gt;0,"Significant deficiency","Control deficiency"))))</f>
        <v/>
      </c>
      <c r="H58" s="24" t="str">
        <f aca="false">IF(A58="","",IF(AND(B58="Y",C58=0),"GAP: no key control",IF(OR(E58="",E58="Not tested",E58="Pending"),"Not yet tested",IF(F58&gt;0,"Covered - deficiency ("&amp;G58&amp;")",IF(E58="Effective","Covered","Review result")))))</f>
        <v/>
      </c>
    </row>
    <row r="59" customFormat="false" ht="15" hidden="false" customHeight="false" outlineLevel="0" collapsed="false">
      <c r="A59" s="24" t="str">
        <f aca="false">IF(Ref_Risk_Control!A56="","",Ref_Risk_Control!A56)</f>
        <v/>
      </c>
      <c r="B59" s="24" t="str">
        <f aca="false">IF(A59="","",Ref_Risk_Control!B56)</f>
        <v/>
      </c>
      <c r="C59" s="24" t="str">
        <f aca="false">IF(A59="","",Ref_Risk_Control!C56)</f>
        <v/>
      </c>
      <c r="D59" s="24" t="str">
        <f aca="false">IF(A59="","",Ref_Risk_Control!D56)</f>
        <v/>
      </c>
      <c r="E59" s="24" t="str">
        <f aca="false">IF(A59="","",Ref_Risk_Control!E56)</f>
        <v/>
      </c>
      <c r="F59" s="24" t="str">
        <f aca="false">IF(A59="","",COUNTIF(Ref_Deficiencies!$D$2:$D$201,A59))</f>
        <v/>
      </c>
      <c r="G59" s="24" t="str">
        <f aca="false">IF(A59="","",IF(F59=0,"—",IF(COUNTIFS(Ref_Deficiencies!$D$2:$D$201,A59,Ref_Deficiencies!$E$2:$E$201,"Material weakness")&gt;0,"Material weakness",IF(COUNTIFS(Ref_Deficiencies!$D$2:$D$201,A59,Ref_Deficiencies!$E$2:$E$201,"Significant deficiency")&gt;0,"Significant deficiency","Control deficiency"))))</f>
        <v/>
      </c>
      <c r="H59" s="24" t="str">
        <f aca="false">IF(A59="","",IF(AND(B59="Y",C59=0),"GAP: no key control",IF(OR(E59="",E59="Not tested",E59="Pending"),"Not yet tested",IF(F59&gt;0,"Covered - deficiency ("&amp;G59&amp;")",IF(E59="Effective","Covered","Review result")))))</f>
        <v/>
      </c>
    </row>
    <row r="60" customFormat="false" ht="15" hidden="false" customHeight="false" outlineLevel="0" collapsed="false">
      <c r="A60" s="24" t="str">
        <f aca="false">IF(Ref_Risk_Control!A57="","",Ref_Risk_Control!A57)</f>
        <v/>
      </c>
      <c r="B60" s="24" t="str">
        <f aca="false">IF(A60="","",Ref_Risk_Control!B57)</f>
        <v/>
      </c>
      <c r="C60" s="24" t="str">
        <f aca="false">IF(A60="","",Ref_Risk_Control!C57)</f>
        <v/>
      </c>
      <c r="D60" s="24" t="str">
        <f aca="false">IF(A60="","",Ref_Risk_Control!D57)</f>
        <v/>
      </c>
      <c r="E60" s="24" t="str">
        <f aca="false">IF(A60="","",Ref_Risk_Control!E57)</f>
        <v/>
      </c>
      <c r="F60" s="24" t="str">
        <f aca="false">IF(A60="","",COUNTIF(Ref_Deficiencies!$D$2:$D$201,A60))</f>
        <v/>
      </c>
      <c r="G60" s="24" t="str">
        <f aca="false">IF(A60="","",IF(F60=0,"—",IF(COUNTIFS(Ref_Deficiencies!$D$2:$D$201,A60,Ref_Deficiencies!$E$2:$E$201,"Material weakness")&gt;0,"Material weakness",IF(COUNTIFS(Ref_Deficiencies!$D$2:$D$201,A60,Ref_Deficiencies!$E$2:$E$201,"Significant deficiency")&gt;0,"Significant deficiency","Control deficiency"))))</f>
        <v/>
      </c>
      <c r="H60" s="24" t="str">
        <f aca="false">IF(A60="","",IF(AND(B60="Y",C60=0),"GAP: no key control",IF(OR(E60="",E60="Not tested",E60="Pending"),"Not yet tested",IF(F60&gt;0,"Covered - deficiency ("&amp;G60&amp;")",IF(E60="Effective","Covered","Review result")))))</f>
        <v/>
      </c>
    </row>
    <row r="61" customFormat="false" ht="15" hidden="false" customHeight="false" outlineLevel="0" collapsed="false">
      <c r="A61" s="24" t="str">
        <f aca="false">IF(Ref_Risk_Control!A58="","",Ref_Risk_Control!A58)</f>
        <v/>
      </c>
      <c r="B61" s="24" t="str">
        <f aca="false">IF(A61="","",Ref_Risk_Control!B58)</f>
        <v/>
      </c>
      <c r="C61" s="24" t="str">
        <f aca="false">IF(A61="","",Ref_Risk_Control!C58)</f>
        <v/>
      </c>
      <c r="D61" s="24" t="str">
        <f aca="false">IF(A61="","",Ref_Risk_Control!D58)</f>
        <v/>
      </c>
      <c r="E61" s="24" t="str">
        <f aca="false">IF(A61="","",Ref_Risk_Control!E58)</f>
        <v/>
      </c>
      <c r="F61" s="24" t="str">
        <f aca="false">IF(A61="","",COUNTIF(Ref_Deficiencies!$D$2:$D$201,A61))</f>
        <v/>
      </c>
      <c r="G61" s="24" t="str">
        <f aca="false">IF(A61="","",IF(F61=0,"—",IF(COUNTIFS(Ref_Deficiencies!$D$2:$D$201,A61,Ref_Deficiencies!$E$2:$E$201,"Material weakness")&gt;0,"Material weakness",IF(COUNTIFS(Ref_Deficiencies!$D$2:$D$201,A61,Ref_Deficiencies!$E$2:$E$201,"Significant deficiency")&gt;0,"Significant deficiency","Control deficiency"))))</f>
        <v/>
      </c>
      <c r="H61" s="24" t="str">
        <f aca="false">IF(A61="","",IF(AND(B61="Y",C61=0),"GAP: no key control",IF(OR(E61="",E61="Not tested",E61="Pending"),"Not yet tested",IF(F61&gt;0,"Covered - deficiency ("&amp;G61&amp;")",IF(E61="Effective","Covered","Review result")))))</f>
        <v/>
      </c>
    </row>
    <row r="62" customFormat="false" ht="15" hidden="false" customHeight="false" outlineLevel="0" collapsed="false">
      <c r="A62" s="24" t="str">
        <f aca="false">IF(Ref_Risk_Control!A59="","",Ref_Risk_Control!A59)</f>
        <v/>
      </c>
      <c r="B62" s="24" t="str">
        <f aca="false">IF(A62="","",Ref_Risk_Control!B59)</f>
        <v/>
      </c>
      <c r="C62" s="24" t="str">
        <f aca="false">IF(A62="","",Ref_Risk_Control!C59)</f>
        <v/>
      </c>
      <c r="D62" s="24" t="str">
        <f aca="false">IF(A62="","",Ref_Risk_Control!D59)</f>
        <v/>
      </c>
      <c r="E62" s="24" t="str">
        <f aca="false">IF(A62="","",Ref_Risk_Control!E59)</f>
        <v/>
      </c>
      <c r="F62" s="24" t="str">
        <f aca="false">IF(A62="","",COUNTIF(Ref_Deficiencies!$D$2:$D$201,A62))</f>
        <v/>
      </c>
      <c r="G62" s="24" t="str">
        <f aca="false">IF(A62="","",IF(F62=0,"—",IF(COUNTIFS(Ref_Deficiencies!$D$2:$D$201,A62,Ref_Deficiencies!$E$2:$E$201,"Material weakness")&gt;0,"Material weakness",IF(COUNTIFS(Ref_Deficiencies!$D$2:$D$201,A62,Ref_Deficiencies!$E$2:$E$201,"Significant deficiency")&gt;0,"Significant deficiency","Control deficiency"))))</f>
        <v/>
      </c>
      <c r="H62" s="24" t="str">
        <f aca="false">IF(A62="","",IF(AND(B62="Y",C62=0),"GAP: no key control",IF(OR(E62="",E62="Not tested",E62="Pending"),"Not yet tested",IF(F62&gt;0,"Covered - deficiency ("&amp;G62&amp;")",IF(E62="Effective","Covered","Review result")))))</f>
        <v/>
      </c>
    </row>
    <row r="63" customFormat="false" ht="15" hidden="false" customHeight="false" outlineLevel="0" collapsed="false">
      <c r="A63" s="24" t="str">
        <f aca="false">IF(Ref_Risk_Control!A60="","",Ref_Risk_Control!A60)</f>
        <v/>
      </c>
      <c r="B63" s="24" t="str">
        <f aca="false">IF(A63="","",Ref_Risk_Control!B60)</f>
        <v/>
      </c>
      <c r="C63" s="24" t="str">
        <f aca="false">IF(A63="","",Ref_Risk_Control!C60)</f>
        <v/>
      </c>
      <c r="D63" s="24" t="str">
        <f aca="false">IF(A63="","",Ref_Risk_Control!D60)</f>
        <v/>
      </c>
      <c r="E63" s="24" t="str">
        <f aca="false">IF(A63="","",Ref_Risk_Control!E60)</f>
        <v/>
      </c>
      <c r="F63" s="24" t="str">
        <f aca="false">IF(A63="","",COUNTIF(Ref_Deficiencies!$D$2:$D$201,A63))</f>
        <v/>
      </c>
      <c r="G63" s="24" t="str">
        <f aca="false">IF(A63="","",IF(F63=0,"—",IF(COUNTIFS(Ref_Deficiencies!$D$2:$D$201,A63,Ref_Deficiencies!$E$2:$E$201,"Material weakness")&gt;0,"Material weakness",IF(COUNTIFS(Ref_Deficiencies!$D$2:$D$201,A63,Ref_Deficiencies!$E$2:$E$201,"Significant deficiency")&gt;0,"Significant deficiency","Control deficiency"))))</f>
        <v/>
      </c>
      <c r="H63" s="24" t="str">
        <f aca="false">IF(A63="","",IF(AND(B63="Y",C63=0),"GAP: no key control",IF(OR(E63="",E63="Not tested",E63="Pending"),"Not yet tested",IF(F63&gt;0,"Covered - deficiency ("&amp;G63&amp;")",IF(E63="Effective","Covered","Review result")))))</f>
        <v/>
      </c>
    </row>
    <row r="64" customFormat="false" ht="15" hidden="false" customHeight="false" outlineLevel="0" collapsed="false">
      <c r="A64" s="24" t="str">
        <f aca="false">IF(Ref_Risk_Control!A61="","",Ref_Risk_Control!A61)</f>
        <v/>
      </c>
      <c r="B64" s="24" t="str">
        <f aca="false">IF(A64="","",Ref_Risk_Control!B61)</f>
        <v/>
      </c>
      <c r="C64" s="24" t="str">
        <f aca="false">IF(A64="","",Ref_Risk_Control!C61)</f>
        <v/>
      </c>
      <c r="D64" s="24" t="str">
        <f aca="false">IF(A64="","",Ref_Risk_Control!D61)</f>
        <v/>
      </c>
      <c r="E64" s="24" t="str">
        <f aca="false">IF(A64="","",Ref_Risk_Control!E61)</f>
        <v/>
      </c>
      <c r="F64" s="24" t="str">
        <f aca="false">IF(A64="","",COUNTIF(Ref_Deficiencies!$D$2:$D$201,A64))</f>
        <v/>
      </c>
      <c r="G64" s="24" t="str">
        <f aca="false">IF(A64="","",IF(F64=0,"—",IF(COUNTIFS(Ref_Deficiencies!$D$2:$D$201,A64,Ref_Deficiencies!$E$2:$E$201,"Material weakness")&gt;0,"Material weakness",IF(COUNTIFS(Ref_Deficiencies!$D$2:$D$201,A64,Ref_Deficiencies!$E$2:$E$201,"Significant deficiency")&gt;0,"Significant deficiency","Control deficiency"))))</f>
        <v/>
      </c>
      <c r="H64" s="24" t="str">
        <f aca="false">IF(A64="","",IF(AND(B64="Y",C64=0),"GAP: no key control",IF(OR(E64="",E64="Not tested",E64="Pending"),"Not yet tested",IF(F64&gt;0,"Covered - deficiency ("&amp;G64&amp;")",IF(E64="Effective","Covered","Review result")))))</f>
        <v/>
      </c>
    </row>
    <row r="65" customFormat="false" ht="15" hidden="false" customHeight="false" outlineLevel="0" collapsed="false">
      <c r="A65" s="24" t="str">
        <f aca="false">IF(Ref_Risk_Control!A62="","",Ref_Risk_Control!A62)</f>
        <v/>
      </c>
      <c r="B65" s="24" t="str">
        <f aca="false">IF(A65="","",Ref_Risk_Control!B62)</f>
        <v/>
      </c>
      <c r="C65" s="24" t="str">
        <f aca="false">IF(A65="","",Ref_Risk_Control!C62)</f>
        <v/>
      </c>
      <c r="D65" s="24" t="str">
        <f aca="false">IF(A65="","",Ref_Risk_Control!D62)</f>
        <v/>
      </c>
      <c r="E65" s="24" t="str">
        <f aca="false">IF(A65="","",Ref_Risk_Control!E62)</f>
        <v/>
      </c>
      <c r="F65" s="24" t="str">
        <f aca="false">IF(A65="","",COUNTIF(Ref_Deficiencies!$D$2:$D$201,A65))</f>
        <v/>
      </c>
      <c r="G65" s="24" t="str">
        <f aca="false">IF(A65="","",IF(F65=0,"—",IF(COUNTIFS(Ref_Deficiencies!$D$2:$D$201,A65,Ref_Deficiencies!$E$2:$E$201,"Material weakness")&gt;0,"Material weakness",IF(COUNTIFS(Ref_Deficiencies!$D$2:$D$201,A65,Ref_Deficiencies!$E$2:$E$201,"Significant deficiency")&gt;0,"Significant deficiency","Control deficiency"))))</f>
        <v/>
      </c>
      <c r="H65" s="24" t="str">
        <f aca="false">IF(A65="","",IF(AND(B65="Y",C65=0),"GAP: no key control",IF(OR(E65="",E65="Not tested",E65="Pending"),"Not yet tested",IF(F65&gt;0,"Covered - deficiency ("&amp;G65&amp;")",IF(E65="Effective","Covered","Review result")))))</f>
        <v/>
      </c>
    </row>
    <row r="66" customFormat="false" ht="15" hidden="false" customHeight="false" outlineLevel="0" collapsed="false">
      <c r="A66" s="24" t="str">
        <f aca="false">IF(Ref_Risk_Control!A63="","",Ref_Risk_Control!A63)</f>
        <v/>
      </c>
      <c r="B66" s="24" t="str">
        <f aca="false">IF(A66="","",Ref_Risk_Control!B63)</f>
        <v/>
      </c>
      <c r="C66" s="24" t="str">
        <f aca="false">IF(A66="","",Ref_Risk_Control!C63)</f>
        <v/>
      </c>
      <c r="D66" s="24" t="str">
        <f aca="false">IF(A66="","",Ref_Risk_Control!D63)</f>
        <v/>
      </c>
      <c r="E66" s="24" t="str">
        <f aca="false">IF(A66="","",Ref_Risk_Control!E63)</f>
        <v/>
      </c>
      <c r="F66" s="24" t="str">
        <f aca="false">IF(A66="","",COUNTIF(Ref_Deficiencies!$D$2:$D$201,A66))</f>
        <v/>
      </c>
      <c r="G66" s="24" t="str">
        <f aca="false">IF(A66="","",IF(F66=0,"—",IF(COUNTIFS(Ref_Deficiencies!$D$2:$D$201,A66,Ref_Deficiencies!$E$2:$E$201,"Material weakness")&gt;0,"Material weakness",IF(COUNTIFS(Ref_Deficiencies!$D$2:$D$201,A66,Ref_Deficiencies!$E$2:$E$201,"Significant deficiency")&gt;0,"Significant deficiency","Control deficiency"))))</f>
        <v/>
      </c>
      <c r="H66" s="24" t="str">
        <f aca="false">IF(A66="","",IF(AND(B66="Y",C66=0),"GAP: no key control",IF(OR(E66="",E66="Not tested",E66="Pending"),"Not yet tested",IF(F66&gt;0,"Covered - deficiency ("&amp;G66&amp;")",IF(E66="Effective","Covered","Review result")))))</f>
        <v/>
      </c>
    </row>
    <row r="67" customFormat="false" ht="15" hidden="false" customHeight="false" outlineLevel="0" collapsed="false">
      <c r="A67" s="24" t="str">
        <f aca="false">IF(Ref_Risk_Control!A64="","",Ref_Risk_Control!A64)</f>
        <v/>
      </c>
      <c r="B67" s="24" t="str">
        <f aca="false">IF(A67="","",Ref_Risk_Control!B64)</f>
        <v/>
      </c>
      <c r="C67" s="24" t="str">
        <f aca="false">IF(A67="","",Ref_Risk_Control!C64)</f>
        <v/>
      </c>
      <c r="D67" s="24" t="str">
        <f aca="false">IF(A67="","",Ref_Risk_Control!D64)</f>
        <v/>
      </c>
      <c r="E67" s="24" t="str">
        <f aca="false">IF(A67="","",Ref_Risk_Control!E64)</f>
        <v/>
      </c>
      <c r="F67" s="24" t="str">
        <f aca="false">IF(A67="","",COUNTIF(Ref_Deficiencies!$D$2:$D$201,A67))</f>
        <v/>
      </c>
      <c r="G67" s="24" t="str">
        <f aca="false">IF(A67="","",IF(F67=0,"—",IF(COUNTIFS(Ref_Deficiencies!$D$2:$D$201,A67,Ref_Deficiencies!$E$2:$E$201,"Material weakness")&gt;0,"Material weakness",IF(COUNTIFS(Ref_Deficiencies!$D$2:$D$201,A67,Ref_Deficiencies!$E$2:$E$201,"Significant deficiency")&gt;0,"Significant deficiency","Control deficiency"))))</f>
        <v/>
      </c>
      <c r="H67" s="24" t="str">
        <f aca="false">IF(A67="","",IF(AND(B67="Y",C67=0),"GAP: no key control",IF(OR(E67="",E67="Not tested",E67="Pending"),"Not yet tested",IF(F67&gt;0,"Covered - deficiency ("&amp;G67&amp;")",IF(E67="Effective","Covered","Review result")))))</f>
        <v/>
      </c>
    </row>
    <row r="68" customFormat="false" ht="15" hidden="false" customHeight="false" outlineLevel="0" collapsed="false">
      <c r="A68" s="24" t="str">
        <f aca="false">IF(Ref_Risk_Control!A65="","",Ref_Risk_Control!A65)</f>
        <v/>
      </c>
      <c r="B68" s="24" t="str">
        <f aca="false">IF(A68="","",Ref_Risk_Control!B65)</f>
        <v/>
      </c>
      <c r="C68" s="24" t="str">
        <f aca="false">IF(A68="","",Ref_Risk_Control!C65)</f>
        <v/>
      </c>
      <c r="D68" s="24" t="str">
        <f aca="false">IF(A68="","",Ref_Risk_Control!D65)</f>
        <v/>
      </c>
      <c r="E68" s="24" t="str">
        <f aca="false">IF(A68="","",Ref_Risk_Control!E65)</f>
        <v/>
      </c>
      <c r="F68" s="24" t="str">
        <f aca="false">IF(A68="","",COUNTIF(Ref_Deficiencies!$D$2:$D$201,A68))</f>
        <v/>
      </c>
      <c r="G68" s="24" t="str">
        <f aca="false">IF(A68="","",IF(F68=0,"—",IF(COUNTIFS(Ref_Deficiencies!$D$2:$D$201,A68,Ref_Deficiencies!$E$2:$E$201,"Material weakness")&gt;0,"Material weakness",IF(COUNTIFS(Ref_Deficiencies!$D$2:$D$201,A68,Ref_Deficiencies!$E$2:$E$201,"Significant deficiency")&gt;0,"Significant deficiency","Control deficiency"))))</f>
        <v/>
      </c>
      <c r="H68" s="24" t="str">
        <f aca="false">IF(A68="","",IF(AND(B68="Y",C68=0),"GAP: no key control",IF(OR(E68="",E68="Not tested",E68="Pending"),"Not yet tested",IF(F68&gt;0,"Covered - deficiency ("&amp;G68&amp;")",IF(E68="Effective","Covered","Review result")))))</f>
        <v/>
      </c>
    </row>
    <row r="69" customFormat="false" ht="15" hidden="false" customHeight="false" outlineLevel="0" collapsed="false">
      <c r="A69" s="24" t="str">
        <f aca="false">IF(Ref_Risk_Control!A66="","",Ref_Risk_Control!A66)</f>
        <v/>
      </c>
      <c r="B69" s="24" t="str">
        <f aca="false">IF(A69="","",Ref_Risk_Control!B66)</f>
        <v/>
      </c>
      <c r="C69" s="24" t="str">
        <f aca="false">IF(A69="","",Ref_Risk_Control!C66)</f>
        <v/>
      </c>
      <c r="D69" s="24" t="str">
        <f aca="false">IF(A69="","",Ref_Risk_Control!D66)</f>
        <v/>
      </c>
      <c r="E69" s="24" t="str">
        <f aca="false">IF(A69="","",Ref_Risk_Control!E66)</f>
        <v/>
      </c>
      <c r="F69" s="24" t="str">
        <f aca="false">IF(A69="","",COUNTIF(Ref_Deficiencies!$D$2:$D$201,A69))</f>
        <v/>
      </c>
      <c r="G69" s="24" t="str">
        <f aca="false">IF(A69="","",IF(F69=0,"—",IF(COUNTIFS(Ref_Deficiencies!$D$2:$D$201,A69,Ref_Deficiencies!$E$2:$E$201,"Material weakness")&gt;0,"Material weakness",IF(COUNTIFS(Ref_Deficiencies!$D$2:$D$201,A69,Ref_Deficiencies!$E$2:$E$201,"Significant deficiency")&gt;0,"Significant deficiency","Control deficiency"))))</f>
        <v/>
      </c>
      <c r="H69" s="24" t="str">
        <f aca="false">IF(A69="","",IF(AND(B69="Y",C69=0),"GAP: no key control",IF(OR(E69="",E69="Not tested",E69="Pending"),"Not yet tested",IF(F69&gt;0,"Covered - deficiency ("&amp;G69&amp;")",IF(E69="Effective","Covered","Review result")))))</f>
        <v/>
      </c>
    </row>
    <row r="70" customFormat="false" ht="15" hidden="false" customHeight="false" outlineLevel="0" collapsed="false">
      <c r="A70" s="24" t="str">
        <f aca="false">IF(Ref_Risk_Control!A67="","",Ref_Risk_Control!A67)</f>
        <v/>
      </c>
      <c r="B70" s="24" t="str">
        <f aca="false">IF(A70="","",Ref_Risk_Control!B67)</f>
        <v/>
      </c>
      <c r="C70" s="24" t="str">
        <f aca="false">IF(A70="","",Ref_Risk_Control!C67)</f>
        <v/>
      </c>
      <c r="D70" s="24" t="str">
        <f aca="false">IF(A70="","",Ref_Risk_Control!D67)</f>
        <v/>
      </c>
      <c r="E70" s="24" t="str">
        <f aca="false">IF(A70="","",Ref_Risk_Control!E67)</f>
        <v/>
      </c>
      <c r="F70" s="24" t="str">
        <f aca="false">IF(A70="","",COUNTIF(Ref_Deficiencies!$D$2:$D$201,A70))</f>
        <v/>
      </c>
      <c r="G70" s="24" t="str">
        <f aca="false">IF(A70="","",IF(F70=0,"—",IF(COUNTIFS(Ref_Deficiencies!$D$2:$D$201,A70,Ref_Deficiencies!$E$2:$E$201,"Material weakness")&gt;0,"Material weakness",IF(COUNTIFS(Ref_Deficiencies!$D$2:$D$201,A70,Ref_Deficiencies!$E$2:$E$201,"Significant deficiency")&gt;0,"Significant deficiency","Control deficiency"))))</f>
        <v/>
      </c>
      <c r="H70" s="24" t="str">
        <f aca="false">IF(A70="","",IF(AND(B70="Y",C70=0),"GAP: no key control",IF(OR(E70="",E70="Not tested",E70="Pending"),"Not yet tested",IF(F70&gt;0,"Covered - deficiency ("&amp;G70&amp;")",IF(E70="Effective","Covered","Review result")))))</f>
        <v/>
      </c>
    </row>
    <row r="71" customFormat="false" ht="15" hidden="false" customHeight="false" outlineLevel="0" collapsed="false">
      <c r="A71" s="24" t="str">
        <f aca="false">IF(Ref_Risk_Control!A68="","",Ref_Risk_Control!A68)</f>
        <v/>
      </c>
      <c r="B71" s="24" t="str">
        <f aca="false">IF(A71="","",Ref_Risk_Control!B68)</f>
        <v/>
      </c>
      <c r="C71" s="24" t="str">
        <f aca="false">IF(A71="","",Ref_Risk_Control!C68)</f>
        <v/>
      </c>
      <c r="D71" s="24" t="str">
        <f aca="false">IF(A71="","",Ref_Risk_Control!D68)</f>
        <v/>
      </c>
      <c r="E71" s="24" t="str">
        <f aca="false">IF(A71="","",Ref_Risk_Control!E68)</f>
        <v/>
      </c>
      <c r="F71" s="24" t="str">
        <f aca="false">IF(A71="","",COUNTIF(Ref_Deficiencies!$D$2:$D$201,A71))</f>
        <v/>
      </c>
      <c r="G71" s="24" t="str">
        <f aca="false">IF(A71="","",IF(F71=0,"—",IF(COUNTIFS(Ref_Deficiencies!$D$2:$D$201,A71,Ref_Deficiencies!$E$2:$E$201,"Material weakness")&gt;0,"Material weakness",IF(COUNTIFS(Ref_Deficiencies!$D$2:$D$201,A71,Ref_Deficiencies!$E$2:$E$201,"Significant deficiency")&gt;0,"Significant deficiency","Control deficiency"))))</f>
        <v/>
      </c>
      <c r="H71" s="24" t="str">
        <f aca="false">IF(A71="","",IF(AND(B71="Y",C71=0),"GAP: no key control",IF(OR(E71="",E71="Not tested",E71="Pending"),"Not yet tested",IF(F71&gt;0,"Covered - deficiency ("&amp;G71&amp;")",IF(E71="Effective","Covered","Review result")))))</f>
        <v/>
      </c>
    </row>
    <row r="72" customFormat="false" ht="15" hidden="false" customHeight="false" outlineLevel="0" collapsed="false">
      <c r="A72" s="24" t="str">
        <f aca="false">IF(Ref_Risk_Control!A69="","",Ref_Risk_Control!A69)</f>
        <v/>
      </c>
      <c r="B72" s="24" t="str">
        <f aca="false">IF(A72="","",Ref_Risk_Control!B69)</f>
        <v/>
      </c>
      <c r="C72" s="24" t="str">
        <f aca="false">IF(A72="","",Ref_Risk_Control!C69)</f>
        <v/>
      </c>
      <c r="D72" s="24" t="str">
        <f aca="false">IF(A72="","",Ref_Risk_Control!D69)</f>
        <v/>
      </c>
      <c r="E72" s="24" t="str">
        <f aca="false">IF(A72="","",Ref_Risk_Control!E69)</f>
        <v/>
      </c>
      <c r="F72" s="24" t="str">
        <f aca="false">IF(A72="","",COUNTIF(Ref_Deficiencies!$D$2:$D$201,A72))</f>
        <v/>
      </c>
      <c r="G72" s="24" t="str">
        <f aca="false">IF(A72="","",IF(F72=0,"—",IF(COUNTIFS(Ref_Deficiencies!$D$2:$D$201,A72,Ref_Deficiencies!$E$2:$E$201,"Material weakness")&gt;0,"Material weakness",IF(COUNTIFS(Ref_Deficiencies!$D$2:$D$201,A72,Ref_Deficiencies!$E$2:$E$201,"Significant deficiency")&gt;0,"Significant deficiency","Control deficiency"))))</f>
        <v/>
      </c>
      <c r="H72" s="24" t="str">
        <f aca="false">IF(A72="","",IF(AND(B72="Y",C72=0),"GAP: no key control",IF(OR(E72="",E72="Not tested",E72="Pending"),"Not yet tested",IF(F72&gt;0,"Covered - deficiency ("&amp;G72&amp;")",IF(E72="Effective","Covered","Review result")))))</f>
        <v/>
      </c>
    </row>
    <row r="73" customFormat="false" ht="15" hidden="false" customHeight="false" outlineLevel="0" collapsed="false">
      <c r="A73" s="24" t="str">
        <f aca="false">IF(Ref_Risk_Control!A70="","",Ref_Risk_Control!A70)</f>
        <v/>
      </c>
      <c r="B73" s="24" t="str">
        <f aca="false">IF(A73="","",Ref_Risk_Control!B70)</f>
        <v/>
      </c>
      <c r="C73" s="24" t="str">
        <f aca="false">IF(A73="","",Ref_Risk_Control!C70)</f>
        <v/>
      </c>
      <c r="D73" s="24" t="str">
        <f aca="false">IF(A73="","",Ref_Risk_Control!D70)</f>
        <v/>
      </c>
      <c r="E73" s="24" t="str">
        <f aca="false">IF(A73="","",Ref_Risk_Control!E70)</f>
        <v/>
      </c>
      <c r="F73" s="24" t="str">
        <f aca="false">IF(A73="","",COUNTIF(Ref_Deficiencies!$D$2:$D$201,A73))</f>
        <v/>
      </c>
      <c r="G73" s="24" t="str">
        <f aca="false">IF(A73="","",IF(F73=0,"—",IF(COUNTIFS(Ref_Deficiencies!$D$2:$D$201,A73,Ref_Deficiencies!$E$2:$E$201,"Material weakness")&gt;0,"Material weakness",IF(COUNTIFS(Ref_Deficiencies!$D$2:$D$201,A73,Ref_Deficiencies!$E$2:$E$201,"Significant deficiency")&gt;0,"Significant deficiency","Control deficiency"))))</f>
        <v/>
      </c>
      <c r="H73" s="24" t="str">
        <f aca="false">IF(A73="","",IF(AND(B73="Y",C73=0),"GAP: no key control",IF(OR(E73="",E73="Not tested",E73="Pending"),"Not yet tested",IF(F73&gt;0,"Covered - deficiency ("&amp;G73&amp;")",IF(E73="Effective","Covered","Review result")))))</f>
        <v/>
      </c>
    </row>
    <row r="74" customFormat="false" ht="15" hidden="false" customHeight="false" outlineLevel="0" collapsed="false">
      <c r="A74" s="24" t="str">
        <f aca="false">IF(Ref_Risk_Control!A71="","",Ref_Risk_Control!A71)</f>
        <v/>
      </c>
      <c r="B74" s="24" t="str">
        <f aca="false">IF(A74="","",Ref_Risk_Control!B71)</f>
        <v/>
      </c>
      <c r="C74" s="24" t="str">
        <f aca="false">IF(A74="","",Ref_Risk_Control!C71)</f>
        <v/>
      </c>
      <c r="D74" s="24" t="str">
        <f aca="false">IF(A74="","",Ref_Risk_Control!D71)</f>
        <v/>
      </c>
      <c r="E74" s="24" t="str">
        <f aca="false">IF(A74="","",Ref_Risk_Control!E71)</f>
        <v/>
      </c>
      <c r="F74" s="24" t="str">
        <f aca="false">IF(A74="","",COUNTIF(Ref_Deficiencies!$D$2:$D$201,A74))</f>
        <v/>
      </c>
      <c r="G74" s="24" t="str">
        <f aca="false">IF(A74="","",IF(F74=0,"—",IF(COUNTIFS(Ref_Deficiencies!$D$2:$D$201,A74,Ref_Deficiencies!$E$2:$E$201,"Material weakness")&gt;0,"Material weakness",IF(COUNTIFS(Ref_Deficiencies!$D$2:$D$201,A74,Ref_Deficiencies!$E$2:$E$201,"Significant deficiency")&gt;0,"Significant deficiency","Control deficiency"))))</f>
        <v/>
      </c>
      <c r="H74" s="24" t="str">
        <f aca="false">IF(A74="","",IF(AND(B74="Y",C74=0),"GAP: no key control",IF(OR(E74="",E74="Not tested",E74="Pending"),"Not yet tested",IF(F74&gt;0,"Covered - deficiency ("&amp;G74&amp;")",IF(E74="Effective","Covered","Review result")))))</f>
        <v/>
      </c>
    </row>
    <row r="75" customFormat="false" ht="15" hidden="false" customHeight="false" outlineLevel="0" collapsed="false">
      <c r="A75" s="24" t="str">
        <f aca="false">IF(Ref_Risk_Control!A72="","",Ref_Risk_Control!A72)</f>
        <v/>
      </c>
      <c r="B75" s="24" t="str">
        <f aca="false">IF(A75="","",Ref_Risk_Control!B72)</f>
        <v/>
      </c>
      <c r="C75" s="24" t="str">
        <f aca="false">IF(A75="","",Ref_Risk_Control!C72)</f>
        <v/>
      </c>
      <c r="D75" s="24" t="str">
        <f aca="false">IF(A75="","",Ref_Risk_Control!D72)</f>
        <v/>
      </c>
      <c r="E75" s="24" t="str">
        <f aca="false">IF(A75="","",Ref_Risk_Control!E72)</f>
        <v/>
      </c>
      <c r="F75" s="24" t="str">
        <f aca="false">IF(A75="","",COUNTIF(Ref_Deficiencies!$D$2:$D$201,A75))</f>
        <v/>
      </c>
      <c r="G75" s="24" t="str">
        <f aca="false">IF(A75="","",IF(F75=0,"—",IF(COUNTIFS(Ref_Deficiencies!$D$2:$D$201,A75,Ref_Deficiencies!$E$2:$E$201,"Material weakness")&gt;0,"Material weakness",IF(COUNTIFS(Ref_Deficiencies!$D$2:$D$201,A75,Ref_Deficiencies!$E$2:$E$201,"Significant deficiency")&gt;0,"Significant deficiency","Control deficiency"))))</f>
        <v/>
      </c>
      <c r="H75" s="24" t="str">
        <f aca="false">IF(A75="","",IF(AND(B75="Y",C75=0),"GAP: no key control",IF(OR(E75="",E75="Not tested",E75="Pending"),"Not yet tested",IF(F75&gt;0,"Covered - deficiency ("&amp;G75&amp;")",IF(E75="Effective","Covered","Review result")))))</f>
        <v/>
      </c>
    </row>
    <row r="76" customFormat="false" ht="15" hidden="false" customHeight="false" outlineLevel="0" collapsed="false">
      <c r="A76" s="24" t="str">
        <f aca="false">IF(Ref_Risk_Control!A73="","",Ref_Risk_Control!A73)</f>
        <v/>
      </c>
      <c r="B76" s="24" t="str">
        <f aca="false">IF(A76="","",Ref_Risk_Control!B73)</f>
        <v/>
      </c>
      <c r="C76" s="24" t="str">
        <f aca="false">IF(A76="","",Ref_Risk_Control!C73)</f>
        <v/>
      </c>
      <c r="D76" s="24" t="str">
        <f aca="false">IF(A76="","",Ref_Risk_Control!D73)</f>
        <v/>
      </c>
      <c r="E76" s="24" t="str">
        <f aca="false">IF(A76="","",Ref_Risk_Control!E73)</f>
        <v/>
      </c>
      <c r="F76" s="24" t="str">
        <f aca="false">IF(A76="","",COUNTIF(Ref_Deficiencies!$D$2:$D$201,A76))</f>
        <v/>
      </c>
      <c r="G76" s="24" t="str">
        <f aca="false">IF(A76="","",IF(F76=0,"—",IF(COUNTIFS(Ref_Deficiencies!$D$2:$D$201,A76,Ref_Deficiencies!$E$2:$E$201,"Material weakness")&gt;0,"Material weakness",IF(COUNTIFS(Ref_Deficiencies!$D$2:$D$201,A76,Ref_Deficiencies!$E$2:$E$201,"Significant deficiency")&gt;0,"Significant deficiency","Control deficiency"))))</f>
        <v/>
      </c>
      <c r="H76" s="24" t="str">
        <f aca="false">IF(A76="","",IF(AND(B76="Y",C76=0),"GAP: no key control",IF(OR(E76="",E76="Not tested",E76="Pending"),"Not yet tested",IF(F76&gt;0,"Covered - deficiency ("&amp;G76&amp;")",IF(E76="Effective","Covered","Review result")))))</f>
        <v/>
      </c>
    </row>
    <row r="77" customFormat="false" ht="15" hidden="false" customHeight="false" outlineLevel="0" collapsed="false">
      <c r="A77" s="24" t="str">
        <f aca="false">IF(Ref_Risk_Control!A74="","",Ref_Risk_Control!A74)</f>
        <v/>
      </c>
      <c r="B77" s="24" t="str">
        <f aca="false">IF(A77="","",Ref_Risk_Control!B74)</f>
        <v/>
      </c>
      <c r="C77" s="24" t="str">
        <f aca="false">IF(A77="","",Ref_Risk_Control!C74)</f>
        <v/>
      </c>
      <c r="D77" s="24" t="str">
        <f aca="false">IF(A77="","",Ref_Risk_Control!D74)</f>
        <v/>
      </c>
      <c r="E77" s="24" t="str">
        <f aca="false">IF(A77="","",Ref_Risk_Control!E74)</f>
        <v/>
      </c>
      <c r="F77" s="24" t="str">
        <f aca="false">IF(A77="","",COUNTIF(Ref_Deficiencies!$D$2:$D$201,A77))</f>
        <v/>
      </c>
      <c r="G77" s="24" t="str">
        <f aca="false">IF(A77="","",IF(F77=0,"—",IF(COUNTIFS(Ref_Deficiencies!$D$2:$D$201,A77,Ref_Deficiencies!$E$2:$E$201,"Material weakness")&gt;0,"Material weakness",IF(COUNTIFS(Ref_Deficiencies!$D$2:$D$201,A77,Ref_Deficiencies!$E$2:$E$201,"Significant deficiency")&gt;0,"Significant deficiency","Control deficiency"))))</f>
        <v/>
      </c>
      <c r="H77" s="24" t="str">
        <f aca="false">IF(A77="","",IF(AND(B77="Y",C77=0),"GAP: no key control",IF(OR(E77="",E77="Not tested",E77="Pending"),"Not yet tested",IF(F77&gt;0,"Covered - deficiency ("&amp;G77&amp;")",IF(E77="Effective","Covered","Review result")))))</f>
        <v/>
      </c>
    </row>
    <row r="78" customFormat="false" ht="15" hidden="false" customHeight="false" outlineLevel="0" collapsed="false">
      <c r="A78" s="24" t="str">
        <f aca="false">IF(Ref_Risk_Control!A75="","",Ref_Risk_Control!A75)</f>
        <v/>
      </c>
      <c r="B78" s="24" t="str">
        <f aca="false">IF(A78="","",Ref_Risk_Control!B75)</f>
        <v/>
      </c>
      <c r="C78" s="24" t="str">
        <f aca="false">IF(A78="","",Ref_Risk_Control!C75)</f>
        <v/>
      </c>
      <c r="D78" s="24" t="str">
        <f aca="false">IF(A78="","",Ref_Risk_Control!D75)</f>
        <v/>
      </c>
      <c r="E78" s="24" t="str">
        <f aca="false">IF(A78="","",Ref_Risk_Control!E75)</f>
        <v/>
      </c>
      <c r="F78" s="24" t="str">
        <f aca="false">IF(A78="","",COUNTIF(Ref_Deficiencies!$D$2:$D$201,A78))</f>
        <v/>
      </c>
      <c r="G78" s="24" t="str">
        <f aca="false">IF(A78="","",IF(F78=0,"—",IF(COUNTIFS(Ref_Deficiencies!$D$2:$D$201,A78,Ref_Deficiencies!$E$2:$E$201,"Material weakness")&gt;0,"Material weakness",IF(COUNTIFS(Ref_Deficiencies!$D$2:$D$201,A78,Ref_Deficiencies!$E$2:$E$201,"Significant deficiency")&gt;0,"Significant deficiency","Control deficiency"))))</f>
        <v/>
      </c>
      <c r="H78" s="24" t="str">
        <f aca="false">IF(A78="","",IF(AND(B78="Y",C78=0),"GAP: no key control",IF(OR(E78="",E78="Not tested",E78="Pending"),"Not yet tested",IF(F78&gt;0,"Covered - deficiency ("&amp;G78&amp;")",IF(E78="Effective","Covered","Review result")))))</f>
        <v/>
      </c>
    </row>
    <row r="79" customFormat="false" ht="15" hidden="false" customHeight="false" outlineLevel="0" collapsed="false">
      <c r="A79" s="24" t="str">
        <f aca="false">IF(Ref_Risk_Control!A76="","",Ref_Risk_Control!A76)</f>
        <v/>
      </c>
      <c r="B79" s="24" t="str">
        <f aca="false">IF(A79="","",Ref_Risk_Control!B76)</f>
        <v/>
      </c>
      <c r="C79" s="24" t="str">
        <f aca="false">IF(A79="","",Ref_Risk_Control!C76)</f>
        <v/>
      </c>
      <c r="D79" s="24" t="str">
        <f aca="false">IF(A79="","",Ref_Risk_Control!D76)</f>
        <v/>
      </c>
      <c r="E79" s="24" t="str">
        <f aca="false">IF(A79="","",Ref_Risk_Control!E76)</f>
        <v/>
      </c>
      <c r="F79" s="24" t="str">
        <f aca="false">IF(A79="","",COUNTIF(Ref_Deficiencies!$D$2:$D$201,A79))</f>
        <v/>
      </c>
      <c r="G79" s="24" t="str">
        <f aca="false">IF(A79="","",IF(F79=0,"—",IF(COUNTIFS(Ref_Deficiencies!$D$2:$D$201,A79,Ref_Deficiencies!$E$2:$E$201,"Material weakness")&gt;0,"Material weakness",IF(COUNTIFS(Ref_Deficiencies!$D$2:$D$201,A79,Ref_Deficiencies!$E$2:$E$201,"Significant deficiency")&gt;0,"Significant deficiency","Control deficiency"))))</f>
        <v/>
      </c>
      <c r="H79" s="24" t="str">
        <f aca="false">IF(A79="","",IF(AND(B79="Y",C79=0),"GAP: no key control",IF(OR(E79="",E79="Not tested",E79="Pending"),"Not yet tested",IF(F79&gt;0,"Covered - deficiency ("&amp;G79&amp;")",IF(E79="Effective","Covered","Review result")))))</f>
        <v/>
      </c>
    </row>
    <row r="80" customFormat="false" ht="15" hidden="false" customHeight="false" outlineLevel="0" collapsed="false">
      <c r="A80" s="24" t="str">
        <f aca="false">IF(Ref_Risk_Control!A77="","",Ref_Risk_Control!A77)</f>
        <v/>
      </c>
      <c r="B80" s="24" t="str">
        <f aca="false">IF(A80="","",Ref_Risk_Control!B77)</f>
        <v/>
      </c>
      <c r="C80" s="24" t="str">
        <f aca="false">IF(A80="","",Ref_Risk_Control!C77)</f>
        <v/>
      </c>
      <c r="D80" s="24" t="str">
        <f aca="false">IF(A80="","",Ref_Risk_Control!D77)</f>
        <v/>
      </c>
      <c r="E80" s="24" t="str">
        <f aca="false">IF(A80="","",Ref_Risk_Control!E77)</f>
        <v/>
      </c>
      <c r="F80" s="24" t="str">
        <f aca="false">IF(A80="","",COUNTIF(Ref_Deficiencies!$D$2:$D$201,A80))</f>
        <v/>
      </c>
      <c r="G80" s="24" t="str">
        <f aca="false">IF(A80="","",IF(F80=0,"—",IF(COUNTIFS(Ref_Deficiencies!$D$2:$D$201,A80,Ref_Deficiencies!$E$2:$E$201,"Material weakness")&gt;0,"Material weakness",IF(COUNTIFS(Ref_Deficiencies!$D$2:$D$201,A80,Ref_Deficiencies!$E$2:$E$201,"Significant deficiency")&gt;0,"Significant deficiency","Control deficiency"))))</f>
        <v/>
      </c>
      <c r="H80" s="24" t="str">
        <f aca="false">IF(A80="","",IF(AND(B80="Y",C80=0),"GAP: no key control",IF(OR(E80="",E80="Not tested",E80="Pending"),"Not yet tested",IF(F80&gt;0,"Covered - deficiency ("&amp;G80&amp;")",IF(E80="Effective","Covered","Review result")))))</f>
        <v/>
      </c>
    </row>
    <row r="81" customFormat="false" ht="15" hidden="false" customHeight="false" outlineLevel="0" collapsed="false">
      <c r="A81" s="24" t="str">
        <f aca="false">IF(Ref_Risk_Control!A78="","",Ref_Risk_Control!A78)</f>
        <v/>
      </c>
      <c r="B81" s="24" t="str">
        <f aca="false">IF(A81="","",Ref_Risk_Control!B78)</f>
        <v/>
      </c>
      <c r="C81" s="24" t="str">
        <f aca="false">IF(A81="","",Ref_Risk_Control!C78)</f>
        <v/>
      </c>
      <c r="D81" s="24" t="str">
        <f aca="false">IF(A81="","",Ref_Risk_Control!D78)</f>
        <v/>
      </c>
      <c r="E81" s="24" t="str">
        <f aca="false">IF(A81="","",Ref_Risk_Control!E78)</f>
        <v/>
      </c>
      <c r="F81" s="24" t="str">
        <f aca="false">IF(A81="","",COUNTIF(Ref_Deficiencies!$D$2:$D$201,A81))</f>
        <v/>
      </c>
      <c r="G81" s="24" t="str">
        <f aca="false">IF(A81="","",IF(F81=0,"—",IF(COUNTIFS(Ref_Deficiencies!$D$2:$D$201,A81,Ref_Deficiencies!$E$2:$E$201,"Material weakness")&gt;0,"Material weakness",IF(COUNTIFS(Ref_Deficiencies!$D$2:$D$201,A81,Ref_Deficiencies!$E$2:$E$201,"Significant deficiency")&gt;0,"Significant deficiency","Control deficiency"))))</f>
        <v/>
      </c>
      <c r="H81" s="24" t="str">
        <f aca="false">IF(A81="","",IF(AND(B81="Y",C81=0),"GAP: no key control",IF(OR(E81="",E81="Not tested",E81="Pending"),"Not yet tested",IF(F81&gt;0,"Covered - deficiency ("&amp;G81&amp;")",IF(E81="Effective","Covered","Review result")))))</f>
        <v/>
      </c>
    </row>
    <row r="82" customFormat="false" ht="15" hidden="false" customHeight="false" outlineLevel="0" collapsed="false">
      <c r="A82" s="24" t="str">
        <f aca="false">IF(Ref_Risk_Control!A79="","",Ref_Risk_Control!A79)</f>
        <v/>
      </c>
      <c r="B82" s="24" t="str">
        <f aca="false">IF(A82="","",Ref_Risk_Control!B79)</f>
        <v/>
      </c>
      <c r="C82" s="24" t="str">
        <f aca="false">IF(A82="","",Ref_Risk_Control!C79)</f>
        <v/>
      </c>
      <c r="D82" s="24" t="str">
        <f aca="false">IF(A82="","",Ref_Risk_Control!D79)</f>
        <v/>
      </c>
      <c r="E82" s="24" t="str">
        <f aca="false">IF(A82="","",Ref_Risk_Control!E79)</f>
        <v/>
      </c>
      <c r="F82" s="24" t="str">
        <f aca="false">IF(A82="","",COUNTIF(Ref_Deficiencies!$D$2:$D$201,A82))</f>
        <v/>
      </c>
      <c r="G82" s="24" t="str">
        <f aca="false">IF(A82="","",IF(F82=0,"—",IF(COUNTIFS(Ref_Deficiencies!$D$2:$D$201,A82,Ref_Deficiencies!$E$2:$E$201,"Material weakness")&gt;0,"Material weakness",IF(COUNTIFS(Ref_Deficiencies!$D$2:$D$201,A82,Ref_Deficiencies!$E$2:$E$201,"Significant deficiency")&gt;0,"Significant deficiency","Control deficiency"))))</f>
        <v/>
      </c>
      <c r="H82" s="24" t="str">
        <f aca="false">IF(A82="","",IF(AND(B82="Y",C82=0),"GAP: no key control",IF(OR(E82="",E82="Not tested",E82="Pending"),"Not yet tested",IF(F82&gt;0,"Covered - deficiency ("&amp;G82&amp;")",IF(E82="Effective","Covered","Review result")))))</f>
        <v/>
      </c>
    </row>
    <row r="83" customFormat="false" ht="15" hidden="false" customHeight="false" outlineLevel="0" collapsed="false">
      <c r="A83" s="24" t="str">
        <f aca="false">IF(Ref_Risk_Control!A80="","",Ref_Risk_Control!A80)</f>
        <v/>
      </c>
      <c r="B83" s="24" t="str">
        <f aca="false">IF(A83="","",Ref_Risk_Control!B80)</f>
        <v/>
      </c>
      <c r="C83" s="24" t="str">
        <f aca="false">IF(A83="","",Ref_Risk_Control!C80)</f>
        <v/>
      </c>
      <c r="D83" s="24" t="str">
        <f aca="false">IF(A83="","",Ref_Risk_Control!D80)</f>
        <v/>
      </c>
      <c r="E83" s="24" t="str">
        <f aca="false">IF(A83="","",Ref_Risk_Control!E80)</f>
        <v/>
      </c>
      <c r="F83" s="24" t="str">
        <f aca="false">IF(A83="","",COUNTIF(Ref_Deficiencies!$D$2:$D$201,A83))</f>
        <v/>
      </c>
      <c r="G83" s="24" t="str">
        <f aca="false">IF(A83="","",IF(F83=0,"—",IF(COUNTIFS(Ref_Deficiencies!$D$2:$D$201,A83,Ref_Deficiencies!$E$2:$E$201,"Material weakness")&gt;0,"Material weakness",IF(COUNTIFS(Ref_Deficiencies!$D$2:$D$201,A83,Ref_Deficiencies!$E$2:$E$201,"Significant deficiency")&gt;0,"Significant deficiency","Control deficiency"))))</f>
        <v/>
      </c>
      <c r="H83" s="24" t="str">
        <f aca="false">IF(A83="","",IF(AND(B83="Y",C83=0),"GAP: no key control",IF(OR(E83="",E83="Not tested",E83="Pending"),"Not yet tested",IF(F83&gt;0,"Covered - deficiency ("&amp;G83&amp;")",IF(E83="Effective","Covered","Review result")))))</f>
        <v/>
      </c>
    </row>
    <row r="84" customFormat="false" ht="15" hidden="false" customHeight="false" outlineLevel="0" collapsed="false">
      <c r="A84" s="24" t="str">
        <f aca="false">IF(Ref_Risk_Control!A81="","",Ref_Risk_Control!A81)</f>
        <v/>
      </c>
      <c r="B84" s="24" t="str">
        <f aca="false">IF(A84="","",Ref_Risk_Control!B81)</f>
        <v/>
      </c>
      <c r="C84" s="24" t="str">
        <f aca="false">IF(A84="","",Ref_Risk_Control!C81)</f>
        <v/>
      </c>
      <c r="D84" s="24" t="str">
        <f aca="false">IF(A84="","",Ref_Risk_Control!D81)</f>
        <v/>
      </c>
      <c r="E84" s="24" t="str">
        <f aca="false">IF(A84="","",Ref_Risk_Control!E81)</f>
        <v/>
      </c>
      <c r="F84" s="24" t="str">
        <f aca="false">IF(A84="","",COUNTIF(Ref_Deficiencies!$D$2:$D$201,A84))</f>
        <v/>
      </c>
      <c r="G84" s="24" t="str">
        <f aca="false">IF(A84="","",IF(F84=0,"—",IF(COUNTIFS(Ref_Deficiencies!$D$2:$D$201,A84,Ref_Deficiencies!$E$2:$E$201,"Material weakness")&gt;0,"Material weakness",IF(COUNTIFS(Ref_Deficiencies!$D$2:$D$201,A84,Ref_Deficiencies!$E$2:$E$201,"Significant deficiency")&gt;0,"Significant deficiency","Control deficiency"))))</f>
        <v/>
      </c>
      <c r="H84" s="24" t="str">
        <f aca="false">IF(A84="","",IF(AND(B84="Y",C84=0),"GAP: no key control",IF(OR(E84="",E84="Not tested",E84="Pending"),"Not yet tested",IF(F84&gt;0,"Covered - deficiency ("&amp;G84&amp;")",IF(E84="Effective","Covered","Review result")))))</f>
        <v/>
      </c>
    </row>
    <row r="85" customFormat="false" ht="15" hidden="false" customHeight="false" outlineLevel="0" collapsed="false">
      <c r="A85" s="24" t="str">
        <f aca="false">IF(Ref_Risk_Control!A82="","",Ref_Risk_Control!A82)</f>
        <v/>
      </c>
      <c r="B85" s="24" t="str">
        <f aca="false">IF(A85="","",Ref_Risk_Control!B82)</f>
        <v/>
      </c>
      <c r="C85" s="24" t="str">
        <f aca="false">IF(A85="","",Ref_Risk_Control!C82)</f>
        <v/>
      </c>
      <c r="D85" s="24" t="str">
        <f aca="false">IF(A85="","",Ref_Risk_Control!D82)</f>
        <v/>
      </c>
      <c r="E85" s="24" t="str">
        <f aca="false">IF(A85="","",Ref_Risk_Control!E82)</f>
        <v/>
      </c>
      <c r="F85" s="24" t="str">
        <f aca="false">IF(A85="","",COUNTIF(Ref_Deficiencies!$D$2:$D$201,A85))</f>
        <v/>
      </c>
      <c r="G85" s="24" t="str">
        <f aca="false">IF(A85="","",IF(F85=0,"—",IF(COUNTIFS(Ref_Deficiencies!$D$2:$D$201,A85,Ref_Deficiencies!$E$2:$E$201,"Material weakness")&gt;0,"Material weakness",IF(COUNTIFS(Ref_Deficiencies!$D$2:$D$201,A85,Ref_Deficiencies!$E$2:$E$201,"Significant deficiency")&gt;0,"Significant deficiency","Control deficiency"))))</f>
        <v/>
      </c>
      <c r="H85" s="24" t="str">
        <f aca="false">IF(A85="","",IF(AND(B85="Y",C85=0),"GAP: no key control",IF(OR(E85="",E85="Not tested",E85="Pending"),"Not yet tested",IF(F85&gt;0,"Covered - deficiency ("&amp;G85&amp;")",IF(E85="Effective","Covered","Review result")))))</f>
        <v/>
      </c>
    </row>
    <row r="86" customFormat="false" ht="15" hidden="false" customHeight="false" outlineLevel="0" collapsed="false">
      <c r="A86" s="24" t="str">
        <f aca="false">IF(Ref_Risk_Control!A83="","",Ref_Risk_Control!A83)</f>
        <v/>
      </c>
      <c r="B86" s="24" t="str">
        <f aca="false">IF(A86="","",Ref_Risk_Control!B83)</f>
        <v/>
      </c>
      <c r="C86" s="24" t="str">
        <f aca="false">IF(A86="","",Ref_Risk_Control!C83)</f>
        <v/>
      </c>
      <c r="D86" s="24" t="str">
        <f aca="false">IF(A86="","",Ref_Risk_Control!D83)</f>
        <v/>
      </c>
      <c r="E86" s="24" t="str">
        <f aca="false">IF(A86="","",Ref_Risk_Control!E83)</f>
        <v/>
      </c>
      <c r="F86" s="24" t="str">
        <f aca="false">IF(A86="","",COUNTIF(Ref_Deficiencies!$D$2:$D$201,A86))</f>
        <v/>
      </c>
      <c r="G86" s="24" t="str">
        <f aca="false">IF(A86="","",IF(F86=0,"—",IF(COUNTIFS(Ref_Deficiencies!$D$2:$D$201,A86,Ref_Deficiencies!$E$2:$E$201,"Material weakness")&gt;0,"Material weakness",IF(COUNTIFS(Ref_Deficiencies!$D$2:$D$201,A86,Ref_Deficiencies!$E$2:$E$201,"Significant deficiency")&gt;0,"Significant deficiency","Control deficiency"))))</f>
        <v/>
      </c>
      <c r="H86" s="24" t="str">
        <f aca="false">IF(A86="","",IF(AND(B86="Y",C86=0),"GAP: no key control",IF(OR(E86="",E86="Not tested",E86="Pending"),"Not yet tested",IF(F86&gt;0,"Covered - deficiency ("&amp;G86&amp;")",IF(E86="Effective","Covered","Review result")))))</f>
        <v/>
      </c>
    </row>
    <row r="87" customFormat="false" ht="15" hidden="false" customHeight="false" outlineLevel="0" collapsed="false">
      <c r="A87" s="24" t="str">
        <f aca="false">IF(Ref_Risk_Control!A84="","",Ref_Risk_Control!A84)</f>
        <v/>
      </c>
      <c r="B87" s="24" t="str">
        <f aca="false">IF(A87="","",Ref_Risk_Control!B84)</f>
        <v/>
      </c>
      <c r="C87" s="24" t="str">
        <f aca="false">IF(A87="","",Ref_Risk_Control!C84)</f>
        <v/>
      </c>
      <c r="D87" s="24" t="str">
        <f aca="false">IF(A87="","",Ref_Risk_Control!D84)</f>
        <v/>
      </c>
      <c r="E87" s="24" t="str">
        <f aca="false">IF(A87="","",Ref_Risk_Control!E84)</f>
        <v/>
      </c>
      <c r="F87" s="24" t="str">
        <f aca="false">IF(A87="","",COUNTIF(Ref_Deficiencies!$D$2:$D$201,A87))</f>
        <v/>
      </c>
      <c r="G87" s="24" t="str">
        <f aca="false">IF(A87="","",IF(F87=0,"—",IF(COUNTIFS(Ref_Deficiencies!$D$2:$D$201,A87,Ref_Deficiencies!$E$2:$E$201,"Material weakness")&gt;0,"Material weakness",IF(COUNTIFS(Ref_Deficiencies!$D$2:$D$201,A87,Ref_Deficiencies!$E$2:$E$201,"Significant deficiency")&gt;0,"Significant deficiency","Control deficiency"))))</f>
        <v/>
      </c>
      <c r="H87" s="24" t="str">
        <f aca="false">IF(A87="","",IF(AND(B87="Y",C87=0),"GAP: no key control",IF(OR(E87="",E87="Not tested",E87="Pending"),"Not yet tested",IF(F87&gt;0,"Covered - deficiency ("&amp;G87&amp;")",IF(E87="Effective","Covered","Review result")))))</f>
        <v/>
      </c>
    </row>
    <row r="88" customFormat="false" ht="15" hidden="false" customHeight="false" outlineLevel="0" collapsed="false">
      <c r="A88" s="24" t="str">
        <f aca="false">IF(Ref_Risk_Control!A85="","",Ref_Risk_Control!A85)</f>
        <v/>
      </c>
      <c r="B88" s="24" t="str">
        <f aca="false">IF(A88="","",Ref_Risk_Control!B85)</f>
        <v/>
      </c>
      <c r="C88" s="24" t="str">
        <f aca="false">IF(A88="","",Ref_Risk_Control!C85)</f>
        <v/>
      </c>
      <c r="D88" s="24" t="str">
        <f aca="false">IF(A88="","",Ref_Risk_Control!D85)</f>
        <v/>
      </c>
      <c r="E88" s="24" t="str">
        <f aca="false">IF(A88="","",Ref_Risk_Control!E85)</f>
        <v/>
      </c>
      <c r="F88" s="24" t="str">
        <f aca="false">IF(A88="","",COUNTIF(Ref_Deficiencies!$D$2:$D$201,A88))</f>
        <v/>
      </c>
      <c r="G88" s="24" t="str">
        <f aca="false">IF(A88="","",IF(F88=0,"—",IF(COUNTIFS(Ref_Deficiencies!$D$2:$D$201,A88,Ref_Deficiencies!$E$2:$E$201,"Material weakness")&gt;0,"Material weakness",IF(COUNTIFS(Ref_Deficiencies!$D$2:$D$201,A88,Ref_Deficiencies!$E$2:$E$201,"Significant deficiency")&gt;0,"Significant deficiency","Control deficiency"))))</f>
        <v/>
      </c>
      <c r="H88" s="24" t="str">
        <f aca="false">IF(A88="","",IF(AND(B88="Y",C88=0),"GAP: no key control",IF(OR(E88="",E88="Not tested",E88="Pending"),"Not yet tested",IF(F88&gt;0,"Covered - deficiency ("&amp;G88&amp;")",IF(E88="Effective","Covered","Review result")))))</f>
        <v/>
      </c>
    </row>
    <row r="89" customFormat="false" ht="15" hidden="false" customHeight="false" outlineLevel="0" collapsed="false">
      <c r="A89" s="24" t="str">
        <f aca="false">IF(Ref_Risk_Control!A86="","",Ref_Risk_Control!A86)</f>
        <v/>
      </c>
      <c r="B89" s="24" t="str">
        <f aca="false">IF(A89="","",Ref_Risk_Control!B86)</f>
        <v/>
      </c>
      <c r="C89" s="24" t="str">
        <f aca="false">IF(A89="","",Ref_Risk_Control!C86)</f>
        <v/>
      </c>
      <c r="D89" s="24" t="str">
        <f aca="false">IF(A89="","",Ref_Risk_Control!D86)</f>
        <v/>
      </c>
      <c r="E89" s="24" t="str">
        <f aca="false">IF(A89="","",Ref_Risk_Control!E86)</f>
        <v/>
      </c>
      <c r="F89" s="24" t="str">
        <f aca="false">IF(A89="","",COUNTIF(Ref_Deficiencies!$D$2:$D$201,A89))</f>
        <v/>
      </c>
      <c r="G89" s="24" t="str">
        <f aca="false">IF(A89="","",IF(F89=0,"—",IF(COUNTIFS(Ref_Deficiencies!$D$2:$D$201,A89,Ref_Deficiencies!$E$2:$E$201,"Material weakness")&gt;0,"Material weakness",IF(COUNTIFS(Ref_Deficiencies!$D$2:$D$201,A89,Ref_Deficiencies!$E$2:$E$201,"Significant deficiency")&gt;0,"Significant deficiency","Control deficiency"))))</f>
        <v/>
      </c>
      <c r="H89" s="24" t="str">
        <f aca="false">IF(A89="","",IF(AND(B89="Y",C89=0),"GAP: no key control",IF(OR(E89="",E89="Not tested",E89="Pending"),"Not yet tested",IF(F89&gt;0,"Covered - deficiency ("&amp;G89&amp;")",IF(E89="Effective","Covered","Review result")))))</f>
        <v/>
      </c>
    </row>
    <row r="90" customFormat="false" ht="15" hidden="false" customHeight="false" outlineLevel="0" collapsed="false">
      <c r="A90" s="24" t="str">
        <f aca="false">IF(Ref_Risk_Control!A87="","",Ref_Risk_Control!A87)</f>
        <v/>
      </c>
      <c r="B90" s="24" t="str">
        <f aca="false">IF(A90="","",Ref_Risk_Control!B87)</f>
        <v/>
      </c>
      <c r="C90" s="24" t="str">
        <f aca="false">IF(A90="","",Ref_Risk_Control!C87)</f>
        <v/>
      </c>
      <c r="D90" s="24" t="str">
        <f aca="false">IF(A90="","",Ref_Risk_Control!D87)</f>
        <v/>
      </c>
      <c r="E90" s="24" t="str">
        <f aca="false">IF(A90="","",Ref_Risk_Control!E87)</f>
        <v/>
      </c>
      <c r="F90" s="24" t="str">
        <f aca="false">IF(A90="","",COUNTIF(Ref_Deficiencies!$D$2:$D$201,A90))</f>
        <v/>
      </c>
      <c r="G90" s="24" t="str">
        <f aca="false">IF(A90="","",IF(F90=0,"—",IF(COUNTIFS(Ref_Deficiencies!$D$2:$D$201,A90,Ref_Deficiencies!$E$2:$E$201,"Material weakness")&gt;0,"Material weakness",IF(COUNTIFS(Ref_Deficiencies!$D$2:$D$201,A90,Ref_Deficiencies!$E$2:$E$201,"Significant deficiency")&gt;0,"Significant deficiency","Control deficiency"))))</f>
        <v/>
      </c>
      <c r="H90" s="24" t="str">
        <f aca="false">IF(A90="","",IF(AND(B90="Y",C90=0),"GAP: no key control",IF(OR(E90="",E90="Not tested",E90="Pending"),"Not yet tested",IF(F90&gt;0,"Covered - deficiency ("&amp;G90&amp;")",IF(E90="Effective","Covered","Review result")))))</f>
        <v/>
      </c>
    </row>
    <row r="91" customFormat="false" ht="15" hidden="false" customHeight="false" outlineLevel="0" collapsed="false">
      <c r="A91" s="24" t="str">
        <f aca="false">IF(Ref_Risk_Control!A88="","",Ref_Risk_Control!A88)</f>
        <v/>
      </c>
      <c r="B91" s="24" t="str">
        <f aca="false">IF(A91="","",Ref_Risk_Control!B88)</f>
        <v/>
      </c>
      <c r="C91" s="24" t="str">
        <f aca="false">IF(A91="","",Ref_Risk_Control!C88)</f>
        <v/>
      </c>
      <c r="D91" s="24" t="str">
        <f aca="false">IF(A91="","",Ref_Risk_Control!D88)</f>
        <v/>
      </c>
      <c r="E91" s="24" t="str">
        <f aca="false">IF(A91="","",Ref_Risk_Control!E88)</f>
        <v/>
      </c>
      <c r="F91" s="24" t="str">
        <f aca="false">IF(A91="","",COUNTIF(Ref_Deficiencies!$D$2:$D$201,A91))</f>
        <v/>
      </c>
      <c r="G91" s="24" t="str">
        <f aca="false">IF(A91="","",IF(F91=0,"—",IF(COUNTIFS(Ref_Deficiencies!$D$2:$D$201,A91,Ref_Deficiencies!$E$2:$E$201,"Material weakness")&gt;0,"Material weakness",IF(COUNTIFS(Ref_Deficiencies!$D$2:$D$201,A91,Ref_Deficiencies!$E$2:$E$201,"Significant deficiency")&gt;0,"Significant deficiency","Control deficiency"))))</f>
        <v/>
      </c>
      <c r="H91" s="24" t="str">
        <f aca="false">IF(A91="","",IF(AND(B91="Y",C91=0),"GAP: no key control",IF(OR(E91="",E91="Not tested",E91="Pending"),"Not yet tested",IF(F91&gt;0,"Covered - deficiency ("&amp;G91&amp;")",IF(E91="Effective","Covered","Review result")))))</f>
        <v/>
      </c>
    </row>
    <row r="92" customFormat="false" ht="15" hidden="false" customHeight="false" outlineLevel="0" collapsed="false">
      <c r="A92" s="24" t="str">
        <f aca="false">IF(Ref_Risk_Control!A89="","",Ref_Risk_Control!A89)</f>
        <v/>
      </c>
      <c r="B92" s="24" t="str">
        <f aca="false">IF(A92="","",Ref_Risk_Control!B89)</f>
        <v/>
      </c>
      <c r="C92" s="24" t="str">
        <f aca="false">IF(A92="","",Ref_Risk_Control!C89)</f>
        <v/>
      </c>
      <c r="D92" s="24" t="str">
        <f aca="false">IF(A92="","",Ref_Risk_Control!D89)</f>
        <v/>
      </c>
      <c r="E92" s="24" t="str">
        <f aca="false">IF(A92="","",Ref_Risk_Control!E89)</f>
        <v/>
      </c>
      <c r="F92" s="24" t="str">
        <f aca="false">IF(A92="","",COUNTIF(Ref_Deficiencies!$D$2:$D$201,A92))</f>
        <v/>
      </c>
      <c r="G92" s="24" t="str">
        <f aca="false">IF(A92="","",IF(F92=0,"—",IF(COUNTIFS(Ref_Deficiencies!$D$2:$D$201,A92,Ref_Deficiencies!$E$2:$E$201,"Material weakness")&gt;0,"Material weakness",IF(COUNTIFS(Ref_Deficiencies!$D$2:$D$201,A92,Ref_Deficiencies!$E$2:$E$201,"Significant deficiency")&gt;0,"Significant deficiency","Control deficiency"))))</f>
        <v/>
      </c>
      <c r="H92" s="24" t="str">
        <f aca="false">IF(A92="","",IF(AND(B92="Y",C92=0),"GAP: no key control",IF(OR(E92="",E92="Not tested",E92="Pending"),"Not yet tested",IF(F92&gt;0,"Covered - deficiency ("&amp;G92&amp;")",IF(E92="Effective","Covered","Review result")))))</f>
        <v/>
      </c>
    </row>
    <row r="93" customFormat="false" ht="15" hidden="false" customHeight="false" outlineLevel="0" collapsed="false">
      <c r="A93" s="24" t="str">
        <f aca="false">IF(Ref_Risk_Control!A90="","",Ref_Risk_Control!A90)</f>
        <v/>
      </c>
      <c r="B93" s="24" t="str">
        <f aca="false">IF(A93="","",Ref_Risk_Control!B90)</f>
        <v/>
      </c>
      <c r="C93" s="24" t="str">
        <f aca="false">IF(A93="","",Ref_Risk_Control!C90)</f>
        <v/>
      </c>
      <c r="D93" s="24" t="str">
        <f aca="false">IF(A93="","",Ref_Risk_Control!D90)</f>
        <v/>
      </c>
      <c r="E93" s="24" t="str">
        <f aca="false">IF(A93="","",Ref_Risk_Control!E90)</f>
        <v/>
      </c>
      <c r="F93" s="24" t="str">
        <f aca="false">IF(A93="","",COUNTIF(Ref_Deficiencies!$D$2:$D$201,A93))</f>
        <v/>
      </c>
      <c r="G93" s="24" t="str">
        <f aca="false">IF(A93="","",IF(F93=0,"—",IF(COUNTIFS(Ref_Deficiencies!$D$2:$D$201,A93,Ref_Deficiencies!$E$2:$E$201,"Material weakness")&gt;0,"Material weakness",IF(COUNTIFS(Ref_Deficiencies!$D$2:$D$201,A93,Ref_Deficiencies!$E$2:$E$201,"Significant deficiency")&gt;0,"Significant deficiency","Control deficiency"))))</f>
        <v/>
      </c>
      <c r="H93" s="24" t="str">
        <f aca="false">IF(A93="","",IF(AND(B93="Y",C93=0),"GAP: no key control",IF(OR(E93="",E93="Not tested",E93="Pending"),"Not yet tested",IF(F93&gt;0,"Covered - deficiency ("&amp;G93&amp;")",IF(E93="Effective","Covered","Review result")))))</f>
        <v/>
      </c>
    </row>
    <row r="94" customFormat="false" ht="15" hidden="false" customHeight="false" outlineLevel="0" collapsed="false">
      <c r="A94" s="24" t="str">
        <f aca="false">IF(Ref_Risk_Control!A91="","",Ref_Risk_Control!A91)</f>
        <v/>
      </c>
      <c r="B94" s="24" t="str">
        <f aca="false">IF(A94="","",Ref_Risk_Control!B91)</f>
        <v/>
      </c>
      <c r="C94" s="24" t="str">
        <f aca="false">IF(A94="","",Ref_Risk_Control!C91)</f>
        <v/>
      </c>
      <c r="D94" s="24" t="str">
        <f aca="false">IF(A94="","",Ref_Risk_Control!D91)</f>
        <v/>
      </c>
      <c r="E94" s="24" t="str">
        <f aca="false">IF(A94="","",Ref_Risk_Control!E91)</f>
        <v/>
      </c>
      <c r="F94" s="24" t="str">
        <f aca="false">IF(A94="","",COUNTIF(Ref_Deficiencies!$D$2:$D$201,A94))</f>
        <v/>
      </c>
      <c r="G94" s="24" t="str">
        <f aca="false">IF(A94="","",IF(F94=0,"—",IF(COUNTIFS(Ref_Deficiencies!$D$2:$D$201,A94,Ref_Deficiencies!$E$2:$E$201,"Material weakness")&gt;0,"Material weakness",IF(COUNTIFS(Ref_Deficiencies!$D$2:$D$201,A94,Ref_Deficiencies!$E$2:$E$201,"Significant deficiency")&gt;0,"Significant deficiency","Control deficiency"))))</f>
        <v/>
      </c>
      <c r="H94" s="24" t="str">
        <f aca="false">IF(A94="","",IF(AND(B94="Y",C94=0),"GAP: no key control",IF(OR(E94="",E94="Not tested",E94="Pending"),"Not yet tested",IF(F94&gt;0,"Covered - deficiency ("&amp;G94&amp;")",IF(E94="Effective","Covered","Review result")))))</f>
        <v/>
      </c>
    </row>
    <row r="95" customFormat="false" ht="15" hidden="false" customHeight="false" outlineLevel="0" collapsed="false">
      <c r="A95" s="24" t="str">
        <f aca="false">IF(Ref_Risk_Control!A92="","",Ref_Risk_Control!A92)</f>
        <v/>
      </c>
      <c r="B95" s="24" t="str">
        <f aca="false">IF(A95="","",Ref_Risk_Control!B92)</f>
        <v/>
      </c>
      <c r="C95" s="24" t="str">
        <f aca="false">IF(A95="","",Ref_Risk_Control!C92)</f>
        <v/>
      </c>
      <c r="D95" s="24" t="str">
        <f aca="false">IF(A95="","",Ref_Risk_Control!D92)</f>
        <v/>
      </c>
      <c r="E95" s="24" t="str">
        <f aca="false">IF(A95="","",Ref_Risk_Control!E92)</f>
        <v/>
      </c>
      <c r="F95" s="24" t="str">
        <f aca="false">IF(A95="","",COUNTIF(Ref_Deficiencies!$D$2:$D$201,A95))</f>
        <v/>
      </c>
      <c r="G95" s="24" t="str">
        <f aca="false">IF(A95="","",IF(F95=0,"—",IF(COUNTIFS(Ref_Deficiencies!$D$2:$D$201,A95,Ref_Deficiencies!$E$2:$E$201,"Material weakness")&gt;0,"Material weakness",IF(COUNTIFS(Ref_Deficiencies!$D$2:$D$201,A95,Ref_Deficiencies!$E$2:$E$201,"Significant deficiency")&gt;0,"Significant deficiency","Control deficiency"))))</f>
        <v/>
      </c>
      <c r="H95" s="24" t="str">
        <f aca="false">IF(A95="","",IF(AND(B95="Y",C95=0),"GAP: no key control",IF(OR(E95="",E95="Not tested",E95="Pending"),"Not yet tested",IF(F95&gt;0,"Covered - deficiency ("&amp;G95&amp;")",IF(E95="Effective","Covered","Review result")))))</f>
        <v/>
      </c>
    </row>
    <row r="96" customFormat="false" ht="15" hidden="false" customHeight="false" outlineLevel="0" collapsed="false">
      <c r="A96" s="24" t="str">
        <f aca="false">IF(Ref_Risk_Control!A93="","",Ref_Risk_Control!A93)</f>
        <v/>
      </c>
      <c r="B96" s="24" t="str">
        <f aca="false">IF(A96="","",Ref_Risk_Control!B93)</f>
        <v/>
      </c>
      <c r="C96" s="24" t="str">
        <f aca="false">IF(A96="","",Ref_Risk_Control!C93)</f>
        <v/>
      </c>
      <c r="D96" s="24" t="str">
        <f aca="false">IF(A96="","",Ref_Risk_Control!D93)</f>
        <v/>
      </c>
      <c r="E96" s="24" t="str">
        <f aca="false">IF(A96="","",Ref_Risk_Control!E93)</f>
        <v/>
      </c>
      <c r="F96" s="24" t="str">
        <f aca="false">IF(A96="","",COUNTIF(Ref_Deficiencies!$D$2:$D$201,A96))</f>
        <v/>
      </c>
      <c r="G96" s="24" t="str">
        <f aca="false">IF(A96="","",IF(F96=0,"—",IF(COUNTIFS(Ref_Deficiencies!$D$2:$D$201,A96,Ref_Deficiencies!$E$2:$E$201,"Material weakness")&gt;0,"Material weakness",IF(COUNTIFS(Ref_Deficiencies!$D$2:$D$201,A96,Ref_Deficiencies!$E$2:$E$201,"Significant deficiency")&gt;0,"Significant deficiency","Control deficiency"))))</f>
        <v/>
      </c>
      <c r="H96" s="24" t="str">
        <f aca="false">IF(A96="","",IF(AND(B96="Y",C96=0),"GAP: no key control",IF(OR(E96="",E96="Not tested",E96="Pending"),"Not yet tested",IF(F96&gt;0,"Covered - deficiency ("&amp;G96&amp;")",IF(E96="Effective","Covered","Review result")))))</f>
        <v/>
      </c>
    </row>
    <row r="97" customFormat="false" ht="15" hidden="false" customHeight="false" outlineLevel="0" collapsed="false">
      <c r="A97" s="24" t="str">
        <f aca="false">IF(Ref_Risk_Control!A94="","",Ref_Risk_Control!A94)</f>
        <v/>
      </c>
      <c r="B97" s="24" t="str">
        <f aca="false">IF(A97="","",Ref_Risk_Control!B94)</f>
        <v/>
      </c>
      <c r="C97" s="24" t="str">
        <f aca="false">IF(A97="","",Ref_Risk_Control!C94)</f>
        <v/>
      </c>
      <c r="D97" s="24" t="str">
        <f aca="false">IF(A97="","",Ref_Risk_Control!D94)</f>
        <v/>
      </c>
      <c r="E97" s="24" t="str">
        <f aca="false">IF(A97="","",Ref_Risk_Control!E94)</f>
        <v/>
      </c>
      <c r="F97" s="24" t="str">
        <f aca="false">IF(A97="","",COUNTIF(Ref_Deficiencies!$D$2:$D$201,A97))</f>
        <v/>
      </c>
      <c r="G97" s="24" t="str">
        <f aca="false">IF(A97="","",IF(F97=0,"—",IF(COUNTIFS(Ref_Deficiencies!$D$2:$D$201,A97,Ref_Deficiencies!$E$2:$E$201,"Material weakness")&gt;0,"Material weakness",IF(COUNTIFS(Ref_Deficiencies!$D$2:$D$201,A97,Ref_Deficiencies!$E$2:$E$201,"Significant deficiency")&gt;0,"Significant deficiency","Control deficiency"))))</f>
        <v/>
      </c>
      <c r="H97" s="24" t="str">
        <f aca="false">IF(A97="","",IF(AND(B97="Y",C97=0),"GAP: no key control",IF(OR(E97="",E97="Not tested",E97="Pending"),"Not yet tested",IF(F97&gt;0,"Covered - deficiency ("&amp;G97&amp;")",IF(E97="Effective","Covered","Review result")))))</f>
        <v/>
      </c>
    </row>
    <row r="98" customFormat="false" ht="15" hidden="false" customHeight="false" outlineLevel="0" collapsed="false">
      <c r="A98" s="24" t="str">
        <f aca="false">IF(Ref_Risk_Control!A95="","",Ref_Risk_Control!A95)</f>
        <v/>
      </c>
      <c r="B98" s="24" t="str">
        <f aca="false">IF(A98="","",Ref_Risk_Control!B95)</f>
        <v/>
      </c>
      <c r="C98" s="24" t="str">
        <f aca="false">IF(A98="","",Ref_Risk_Control!C95)</f>
        <v/>
      </c>
      <c r="D98" s="24" t="str">
        <f aca="false">IF(A98="","",Ref_Risk_Control!D95)</f>
        <v/>
      </c>
      <c r="E98" s="24" t="str">
        <f aca="false">IF(A98="","",Ref_Risk_Control!E95)</f>
        <v/>
      </c>
      <c r="F98" s="24" t="str">
        <f aca="false">IF(A98="","",COUNTIF(Ref_Deficiencies!$D$2:$D$201,A98))</f>
        <v/>
      </c>
      <c r="G98" s="24" t="str">
        <f aca="false">IF(A98="","",IF(F98=0,"—",IF(COUNTIFS(Ref_Deficiencies!$D$2:$D$201,A98,Ref_Deficiencies!$E$2:$E$201,"Material weakness")&gt;0,"Material weakness",IF(COUNTIFS(Ref_Deficiencies!$D$2:$D$201,A98,Ref_Deficiencies!$E$2:$E$201,"Significant deficiency")&gt;0,"Significant deficiency","Control deficiency"))))</f>
        <v/>
      </c>
      <c r="H98" s="24" t="str">
        <f aca="false">IF(A98="","",IF(AND(B98="Y",C98=0),"GAP: no key control",IF(OR(E98="",E98="Not tested",E98="Pending"),"Not yet tested",IF(F98&gt;0,"Covered - deficiency ("&amp;G98&amp;")",IF(E98="Effective","Covered","Review result")))))</f>
        <v/>
      </c>
    </row>
    <row r="99" customFormat="false" ht="15" hidden="false" customHeight="false" outlineLevel="0" collapsed="false">
      <c r="A99" s="24" t="str">
        <f aca="false">IF(Ref_Risk_Control!A96="","",Ref_Risk_Control!A96)</f>
        <v/>
      </c>
      <c r="B99" s="24" t="str">
        <f aca="false">IF(A99="","",Ref_Risk_Control!B96)</f>
        <v/>
      </c>
      <c r="C99" s="24" t="str">
        <f aca="false">IF(A99="","",Ref_Risk_Control!C96)</f>
        <v/>
      </c>
      <c r="D99" s="24" t="str">
        <f aca="false">IF(A99="","",Ref_Risk_Control!D96)</f>
        <v/>
      </c>
      <c r="E99" s="24" t="str">
        <f aca="false">IF(A99="","",Ref_Risk_Control!E96)</f>
        <v/>
      </c>
      <c r="F99" s="24" t="str">
        <f aca="false">IF(A99="","",COUNTIF(Ref_Deficiencies!$D$2:$D$201,A99))</f>
        <v/>
      </c>
      <c r="G99" s="24" t="str">
        <f aca="false">IF(A99="","",IF(F99=0,"—",IF(COUNTIFS(Ref_Deficiencies!$D$2:$D$201,A99,Ref_Deficiencies!$E$2:$E$201,"Material weakness")&gt;0,"Material weakness",IF(COUNTIFS(Ref_Deficiencies!$D$2:$D$201,A99,Ref_Deficiencies!$E$2:$E$201,"Significant deficiency")&gt;0,"Significant deficiency","Control deficiency"))))</f>
        <v/>
      </c>
      <c r="H99" s="24" t="str">
        <f aca="false">IF(A99="","",IF(AND(B99="Y",C99=0),"GAP: no key control",IF(OR(E99="",E99="Not tested",E99="Pending"),"Not yet tested",IF(F99&gt;0,"Covered - deficiency ("&amp;G99&amp;")",IF(E99="Effective","Covered","Review result")))))</f>
        <v/>
      </c>
    </row>
    <row r="100" customFormat="false" ht="15" hidden="false" customHeight="false" outlineLevel="0" collapsed="false">
      <c r="A100" s="24" t="str">
        <f aca="false">IF(Ref_Risk_Control!A97="","",Ref_Risk_Control!A97)</f>
        <v/>
      </c>
      <c r="B100" s="24" t="str">
        <f aca="false">IF(A100="","",Ref_Risk_Control!B97)</f>
        <v/>
      </c>
      <c r="C100" s="24" t="str">
        <f aca="false">IF(A100="","",Ref_Risk_Control!C97)</f>
        <v/>
      </c>
      <c r="D100" s="24" t="str">
        <f aca="false">IF(A100="","",Ref_Risk_Control!D97)</f>
        <v/>
      </c>
      <c r="E100" s="24" t="str">
        <f aca="false">IF(A100="","",Ref_Risk_Control!E97)</f>
        <v/>
      </c>
      <c r="F100" s="24" t="str">
        <f aca="false">IF(A100="","",COUNTIF(Ref_Deficiencies!$D$2:$D$201,A100))</f>
        <v/>
      </c>
      <c r="G100" s="24" t="str">
        <f aca="false">IF(A100="","",IF(F100=0,"—",IF(COUNTIFS(Ref_Deficiencies!$D$2:$D$201,A100,Ref_Deficiencies!$E$2:$E$201,"Material weakness")&gt;0,"Material weakness",IF(COUNTIFS(Ref_Deficiencies!$D$2:$D$201,A100,Ref_Deficiencies!$E$2:$E$201,"Significant deficiency")&gt;0,"Significant deficiency","Control deficiency"))))</f>
        <v/>
      </c>
      <c r="H100" s="24" t="str">
        <f aca="false">IF(A100="","",IF(AND(B100="Y",C100=0),"GAP: no key control",IF(OR(E100="",E100="Not tested",E100="Pending"),"Not yet tested",IF(F100&gt;0,"Covered - deficiency ("&amp;G100&amp;")",IF(E100="Effective","Covered","Review result")))))</f>
        <v/>
      </c>
    </row>
    <row r="101" customFormat="false" ht="15" hidden="false" customHeight="false" outlineLevel="0" collapsed="false">
      <c r="A101" s="24" t="str">
        <f aca="false">IF(Ref_Risk_Control!A98="","",Ref_Risk_Control!A98)</f>
        <v/>
      </c>
      <c r="B101" s="24" t="str">
        <f aca="false">IF(A101="","",Ref_Risk_Control!B98)</f>
        <v/>
      </c>
      <c r="C101" s="24" t="str">
        <f aca="false">IF(A101="","",Ref_Risk_Control!C98)</f>
        <v/>
      </c>
      <c r="D101" s="24" t="str">
        <f aca="false">IF(A101="","",Ref_Risk_Control!D98)</f>
        <v/>
      </c>
      <c r="E101" s="24" t="str">
        <f aca="false">IF(A101="","",Ref_Risk_Control!E98)</f>
        <v/>
      </c>
      <c r="F101" s="24" t="str">
        <f aca="false">IF(A101="","",COUNTIF(Ref_Deficiencies!$D$2:$D$201,A101))</f>
        <v/>
      </c>
      <c r="G101" s="24" t="str">
        <f aca="false">IF(A101="","",IF(F101=0,"—",IF(COUNTIFS(Ref_Deficiencies!$D$2:$D$201,A101,Ref_Deficiencies!$E$2:$E$201,"Material weakness")&gt;0,"Material weakness",IF(COUNTIFS(Ref_Deficiencies!$D$2:$D$201,A101,Ref_Deficiencies!$E$2:$E$201,"Significant deficiency")&gt;0,"Significant deficiency","Control deficiency"))))</f>
        <v/>
      </c>
      <c r="H101" s="24" t="str">
        <f aca="false">IF(A101="","",IF(AND(B101="Y",C101=0),"GAP: no key control",IF(OR(E101="",E101="Not tested",E101="Pending"),"Not yet tested",IF(F101&gt;0,"Covered - deficiency ("&amp;G101&amp;")",IF(E101="Effective","Covered","Review result")))))</f>
        <v/>
      </c>
    </row>
    <row r="102" customFormat="false" ht="15" hidden="false" customHeight="false" outlineLevel="0" collapsed="false">
      <c r="A102" s="24" t="str">
        <f aca="false">IF(Ref_Risk_Control!A99="","",Ref_Risk_Control!A99)</f>
        <v/>
      </c>
      <c r="B102" s="24" t="str">
        <f aca="false">IF(A102="","",Ref_Risk_Control!B99)</f>
        <v/>
      </c>
      <c r="C102" s="24" t="str">
        <f aca="false">IF(A102="","",Ref_Risk_Control!C99)</f>
        <v/>
      </c>
      <c r="D102" s="24" t="str">
        <f aca="false">IF(A102="","",Ref_Risk_Control!D99)</f>
        <v/>
      </c>
      <c r="E102" s="24" t="str">
        <f aca="false">IF(A102="","",Ref_Risk_Control!E99)</f>
        <v/>
      </c>
      <c r="F102" s="24" t="str">
        <f aca="false">IF(A102="","",COUNTIF(Ref_Deficiencies!$D$2:$D$201,A102))</f>
        <v/>
      </c>
      <c r="G102" s="24" t="str">
        <f aca="false">IF(A102="","",IF(F102=0,"—",IF(COUNTIFS(Ref_Deficiencies!$D$2:$D$201,A102,Ref_Deficiencies!$E$2:$E$201,"Material weakness")&gt;0,"Material weakness",IF(COUNTIFS(Ref_Deficiencies!$D$2:$D$201,A102,Ref_Deficiencies!$E$2:$E$201,"Significant deficiency")&gt;0,"Significant deficiency","Control deficiency"))))</f>
        <v/>
      </c>
      <c r="H102" s="24" t="str">
        <f aca="false">IF(A102="","",IF(AND(B102="Y",C102=0),"GAP: no key control",IF(OR(E102="",E102="Not tested",E102="Pending"),"Not yet tested",IF(F102&gt;0,"Covered - deficiency ("&amp;G102&amp;")",IF(E102="Effective","Covered","Review result")))))</f>
        <v/>
      </c>
    </row>
    <row r="103" customFormat="false" ht="15" hidden="false" customHeight="false" outlineLevel="0" collapsed="false">
      <c r="A103" s="24" t="str">
        <f aca="false">IF(Ref_Risk_Control!A100="","",Ref_Risk_Control!A100)</f>
        <v/>
      </c>
      <c r="B103" s="24" t="str">
        <f aca="false">IF(A103="","",Ref_Risk_Control!B100)</f>
        <v/>
      </c>
      <c r="C103" s="24" t="str">
        <f aca="false">IF(A103="","",Ref_Risk_Control!C100)</f>
        <v/>
      </c>
      <c r="D103" s="24" t="str">
        <f aca="false">IF(A103="","",Ref_Risk_Control!D100)</f>
        <v/>
      </c>
      <c r="E103" s="24" t="str">
        <f aca="false">IF(A103="","",Ref_Risk_Control!E100)</f>
        <v/>
      </c>
      <c r="F103" s="24" t="str">
        <f aca="false">IF(A103="","",COUNTIF(Ref_Deficiencies!$D$2:$D$201,A103))</f>
        <v/>
      </c>
      <c r="G103" s="24" t="str">
        <f aca="false">IF(A103="","",IF(F103=0,"—",IF(COUNTIFS(Ref_Deficiencies!$D$2:$D$201,A103,Ref_Deficiencies!$E$2:$E$201,"Material weakness")&gt;0,"Material weakness",IF(COUNTIFS(Ref_Deficiencies!$D$2:$D$201,A103,Ref_Deficiencies!$E$2:$E$201,"Significant deficiency")&gt;0,"Significant deficiency","Control deficiency"))))</f>
        <v/>
      </c>
      <c r="H103" s="24" t="str">
        <f aca="false">IF(A103="","",IF(AND(B103="Y",C103=0),"GAP: no key control",IF(OR(E103="",E103="Not tested",E103="Pending"),"Not yet tested",IF(F103&gt;0,"Covered - deficiency ("&amp;G103&amp;")",IF(E103="Effective","Covered","Review result")))))</f>
        <v/>
      </c>
    </row>
    <row r="104" customFormat="false" ht="15" hidden="false" customHeight="false" outlineLevel="0" collapsed="false">
      <c r="A104" s="24" t="str">
        <f aca="false">IF(Ref_Risk_Control!A101="","",Ref_Risk_Control!A101)</f>
        <v/>
      </c>
      <c r="B104" s="24" t="str">
        <f aca="false">IF(A104="","",Ref_Risk_Control!B101)</f>
        <v/>
      </c>
      <c r="C104" s="24" t="str">
        <f aca="false">IF(A104="","",Ref_Risk_Control!C101)</f>
        <v/>
      </c>
      <c r="D104" s="24" t="str">
        <f aca="false">IF(A104="","",Ref_Risk_Control!D101)</f>
        <v/>
      </c>
      <c r="E104" s="24" t="str">
        <f aca="false">IF(A104="","",Ref_Risk_Control!E101)</f>
        <v/>
      </c>
      <c r="F104" s="24" t="str">
        <f aca="false">IF(A104="","",COUNTIF(Ref_Deficiencies!$D$2:$D$201,A104))</f>
        <v/>
      </c>
      <c r="G104" s="24" t="str">
        <f aca="false">IF(A104="","",IF(F104=0,"—",IF(COUNTIFS(Ref_Deficiencies!$D$2:$D$201,A104,Ref_Deficiencies!$E$2:$E$201,"Material weakness")&gt;0,"Material weakness",IF(COUNTIFS(Ref_Deficiencies!$D$2:$D$201,A104,Ref_Deficiencies!$E$2:$E$201,"Significant deficiency")&gt;0,"Significant deficiency","Control deficiency"))))</f>
        <v/>
      </c>
      <c r="H104" s="24" t="str">
        <f aca="false">IF(A104="","",IF(AND(B104="Y",C104=0),"GAP: no key control",IF(OR(E104="",E104="Not tested",E104="Pending"),"Not yet tested",IF(F104&gt;0,"Covered - deficiency ("&amp;G104&amp;")",IF(E104="Effective","Covered","Review result")))))</f>
        <v/>
      </c>
    </row>
    <row r="105" customFormat="false" ht="15" hidden="false" customHeight="false" outlineLevel="0" collapsed="false">
      <c r="A105" s="24" t="str">
        <f aca="false">IF(Ref_Risk_Control!A102="","",Ref_Risk_Control!A102)</f>
        <v/>
      </c>
      <c r="B105" s="24" t="str">
        <f aca="false">IF(A105="","",Ref_Risk_Control!B102)</f>
        <v/>
      </c>
      <c r="C105" s="24" t="str">
        <f aca="false">IF(A105="","",Ref_Risk_Control!C102)</f>
        <v/>
      </c>
      <c r="D105" s="24" t="str">
        <f aca="false">IF(A105="","",Ref_Risk_Control!D102)</f>
        <v/>
      </c>
      <c r="E105" s="24" t="str">
        <f aca="false">IF(A105="","",Ref_Risk_Control!E102)</f>
        <v/>
      </c>
      <c r="F105" s="24" t="str">
        <f aca="false">IF(A105="","",COUNTIF(Ref_Deficiencies!$D$2:$D$201,A105))</f>
        <v/>
      </c>
      <c r="G105" s="24" t="str">
        <f aca="false">IF(A105="","",IF(F105=0,"—",IF(COUNTIFS(Ref_Deficiencies!$D$2:$D$201,A105,Ref_Deficiencies!$E$2:$E$201,"Material weakness")&gt;0,"Material weakness",IF(COUNTIFS(Ref_Deficiencies!$D$2:$D$201,A105,Ref_Deficiencies!$E$2:$E$201,"Significant deficiency")&gt;0,"Significant deficiency","Control deficiency"))))</f>
        <v/>
      </c>
      <c r="H105" s="24" t="str">
        <f aca="false">IF(A105="","",IF(AND(B105="Y",C105=0),"GAP: no key control",IF(OR(E105="",E105="Not tested",E105="Pending"),"Not yet tested",IF(F105&gt;0,"Covered - deficiency ("&amp;G105&amp;")",IF(E105="Effective","Covered","Review result")))))</f>
        <v/>
      </c>
    </row>
    <row r="106" customFormat="false" ht="15" hidden="false" customHeight="false" outlineLevel="0" collapsed="false">
      <c r="A106" s="24" t="str">
        <f aca="false">IF(Ref_Risk_Control!A103="","",Ref_Risk_Control!A103)</f>
        <v/>
      </c>
      <c r="B106" s="24" t="str">
        <f aca="false">IF(A106="","",Ref_Risk_Control!B103)</f>
        <v/>
      </c>
      <c r="C106" s="24" t="str">
        <f aca="false">IF(A106="","",Ref_Risk_Control!C103)</f>
        <v/>
      </c>
      <c r="D106" s="24" t="str">
        <f aca="false">IF(A106="","",Ref_Risk_Control!D103)</f>
        <v/>
      </c>
      <c r="E106" s="24" t="str">
        <f aca="false">IF(A106="","",Ref_Risk_Control!E103)</f>
        <v/>
      </c>
      <c r="F106" s="24" t="str">
        <f aca="false">IF(A106="","",COUNTIF(Ref_Deficiencies!$D$2:$D$201,A106))</f>
        <v/>
      </c>
      <c r="G106" s="24" t="str">
        <f aca="false">IF(A106="","",IF(F106=0,"—",IF(COUNTIFS(Ref_Deficiencies!$D$2:$D$201,A106,Ref_Deficiencies!$E$2:$E$201,"Material weakness")&gt;0,"Material weakness",IF(COUNTIFS(Ref_Deficiencies!$D$2:$D$201,A106,Ref_Deficiencies!$E$2:$E$201,"Significant deficiency")&gt;0,"Significant deficiency","Control deficiency"))))</f>
        <v/>
      </c>
      <c r="H106" s="24" t="str">
        <f aca="false">IF(A106="","",IF(AND(B106="Y",C106=0),"GAP: no key control",IF(OR(E106="",E106="Not tested",E106="Pending"),"Not yet tested",IF(F106&gt;0,"Covered - deficiency ("&amp;G106&amp;")",IF(E106="Effective","Covered","Review result")))))</f>
        <v/>
      </c>
    </row>
    <row r="107" customFormat="false" ht="15" hidden="false" customHeight="false" outlineLevel="0" collapsed="false">
      <c r="A107" s="24" t="str">
        <f aca="false">IF(Ref_Risk_Control!A104="","",Ref_Risk_Control!A104)</f>
        <v/>
      </c>
      <c r="B107" s="24" t="str">
        <f aca="false">IF(A107="","",Ref_Risk_Control!B104)</f>
        <v/>
      </c>
      <c r="C107" s="24" t="str">
        <f aca="false">IF(A107="","",Ref_Risk_Control!C104)</f>
        <v/>
      </c>
      <c r="D107" s="24" t="str">
        <f aca="false">IF(A107="","",Ref_Risk_Control!D104)</f>
        <v/>
      </c>
      <c r="E107" s="24" t="str">
        <f aca="false">IF(A107="","",Ref_Risk_Control!E104)</f>
        <v/>
      </c>
      <c r="F107" s="24" t="str">
        <f aca="false">IF(A107="","",COUNTIF(Ref_Deficiencies!$D$2:$D$201,A107))</f>
        <v/>
      </c>
      <c r="G107" s="24" t="str">
        <f aca="false">IF(A107="","",IF(F107=0,"—",IF(COUNTIFS(Ref_Deficiencies!$D$2:$D$201,A107,Ref_Deficiencies!$E$2:$E$201,"Material weakness")&gt;0,"Material weakness",IF(COUNTIFS(Ref_Deficiencies!$D$2:$D$201,A107,Ref_Deficiencies!$E$2:$E$201,"Significant deficiency")&gt;0,"Significant deficiency","Control deficiency"))))</f>
        <v/>
      </c>
      <c r="H107" s="24" t="str">
        <f aca="false">IF(A107="","",IF(AND(B107="Y",C107=0),"GAP: no key control",IF(OR(E107="",E107="Not tested",E107="Pending"),"Not yet tested",IF(F107&gt;0,"Covered - deficiency ("&amp;G107&amp;")",IF(E107="Effective","Covered","Review result")))))</f>
        <v/>
      </c>
    </row>
    <row r="108" customFormat="false" ht="15" hidden="false" customHeight="false" outlineLevel="0" collapsed="false">
      <c r="A108" s="24" t="str">
        <f aca="false">IF(Ref_Risk_Control!A105="","",Ref_Risk_Control!A105)</f>
        <v/>
      </c>
      <c r="B108" s="24" t="str">
        <f aca="false">IF(A108="","",Ref_Risk_Control!B105)</f>
        <v/>
      </c>
      <c r="C108" s="24" t="str">
        <f aca="false">IF(A108="","",Ref_Risk_Control!C105)</f>
        <v/>
      </c>
      <c r="D108" s="24" t="str">
        <f aca="false">IF(A108="","",Ref_Risk_Control!D105)</f>
        <v/>
      </c>
      <c r="E108" s="24" t="str">
        <f aca="false">IF(A108="","",Ref_Risk_Control!E105)</f>
        <v/>
      </c>
      <c r="F108" s="24" t="str">
        <f aca="false">IF(A108="","",COUNTIF(Ref_Deficiencies!$D$2:$D$201,A108))</f>
        <v/>
      </c>
      <c r="G108" s="24" t="str">
        <f aca="false">IF(A108="","",IF(F108=0,"—",IF(COUNTIFS(Ref_Deficiencies!$D$2:$D$201,A108,Ref_Deficiencies!$E$2:$E$201,"Material weakness")&gt;0,"Material weakness",IF(COUNTIFS(Ref_Deficiencies!$D$2:$D$201,A108,Ref_Deficiencies!$E$2:$E$201,"Significant deficiency")&gt;0,"Significant deficiency","Control deficiency"))))</f>
        <v/>
      </c>
      <c r="H108" s="24" t="str">
        <f aca="false">IF(A108="","",IF(AND(B108="Y",C108=0),"GAP: no key control",IF(OR(E108="",E108="Not tested",E108="Pending"),"Not yet tested",IF(F108&gt;0,"Covered - deficiency ("&amp;G108&amp;")",IF(E108="Effective","Covered","Review result")))))</f>
        <v/>
      </c>
    </row>
    <row r="109" customFormat="false" ht="15" hidden="false" customHeight="false" outlineLevel="0" collapsed="false">
      <c r="A109" s="24" t="str">
        <f aca="false">IF(Ref_Risk_Control!A106="","",Ref_Risk_Control!A106)</f>
        <v/>
      </c>
      <c r="B109" s="24" t="str">
        <f aca="false">IF(A109="","",Ref_Risk_Control!B106)</f>
        <v/>
      </c>
      <c r="C109" s="24" t="str">
        <f aca="false">IF(A109="","",Ref_Risk_Control!C106)</f>
        <v/>
      </c>
      <c r="D109" s="24" t="str">
        <f aca="false">IF(A109="","",Ref_Risk_Control!D106)</f>
        <v/>
      </c>
      <c r="E109" s="24" t="str">
        <f aca="false">IF(A109="","",Ref_Risk_Control!E106)</f>
        <v/>
      </c>
      <c r="F109" s="24" t="str">
        <f aca="false">IF(A109="","",COUNTIF(Ref_Deficiencies!$D$2:$D$201,A109))</f>
        <v/>
      </c>
      <c r="G109" s="24" t="str">
        <f aca="false">IF(A109="","",IF(F109=0,"—",IF(COUNTIFS(Ref_Deficiencies!$D$2:$D$201,A109,Ref_Deficiencies!$E$2:$E$201,"Material weakness")&gt;0,"Material weakness",IF(COUNTIFS(Ref_Deficiencies!$D$2:$D$201,A109,Ref_Deficiencies!$E$2:$E$201,"Significant deficiency")&gt;0,"Significant deficiency","Control deficiency"))))</f>
        <v/>
      </c>
      <c r="H109" s="24" t="str">
        <f aca="false">IF(A109="","",IF(AND(B109="Y",C109=0),"GAP: no key control",IF(OR(E109="",E109="Not tested",E109="Pending"),"Not yet tested",IF(F109&gt;0,"Covered - deficiency ("&amp;G109&amp;")",IF(E109="Effective","Covered","Review result")))))</f>
        <v/>
      </c>
    </row>
    <row r="110" customFormat="false" ht="15" hidden="false" customHeight="false" outlineLevel="0" collapsed="false">
      <c r="A110" s="24" t="str">
        <f aca="false">IF(Ref_Risk_Control!A107="","",Ref_Risk_Control!A107)</f>
        <v/>
      </c>
      <c r="B110" s="24" t="str">
        <f aca="false">IF(A110="","",Ref_Risk_Control!B107)</f>
        <v/>
      </c>
      <c r="C110" s="24" t="str">
        <f aca="false">IF(A110="","",Ref_Risk_Control!C107)</f>
        <v/>
      </c>
      <c r="D110" s="24" t="str">
        <f aca="false">IF(A110="","",Ref_Risk_Control!D107)</f>
        <v/>
      </c>
      <c r="E110" s="24" t="str">
        <f aca="false">IF(A110="","",Ref_Risk_Control!E107)</f>
        <v/>
      </c>
      <c r="F110" s="24" t="str">
        <f aca="false">IF(A110="","",COUNTIF(Ref_Deficiencies!$D$2:$D$201,A110))</f>
        <v/>
      </c>
      <c r="G110" s="24" t="str">
        <f aca="false">IF(A110="","",IF(F110=0,"—",IF(COUNTIFS(Ref_Deficiencies!$D$2:$D$201,A110,Ref_Deficiencies!$E$2:$E$201,"Material weakness")&gt;0,"Material weakness",IF(COUNTIFS(Ref_Deficiencies!$D$2:$D$201,A110,Ref_Deficiencies!$E$2:$E$201,"Significant deficiency")&gt;0,"Significant deficiency","Control deficiency"))))</f>
        <v/>
      </c>
      <c r="H110" s="24" t="str">
        <f aca="false">IF(A110="","",IF(AND(B110="Y",C110=0),"GAP: no key control",IF(OR(E110="",E110="Not tested",E110="Pending"),"Not yet tested",IF(F110&gt;0,"Covered - deficiency ("&amp;G110&amp;")",IF(E110="Effective","Covered","Review result")))))</f>
        <v/>
      </c>
    </row>
    <row r="111" customFormat="false" ht="15" hidden="false" customHeight="false" outlineLevel="0" collapsed="false">
      <c r="A111" s="24" t="str">
        <f aca="false">IF(Ref_Risk_Control!A108="","",Ref_Risk_Control!A108)</f>
        <v/>
      </c>
      <c r="B111" s="24" t="str">
        <f aca="false">IF(A111="","",Ref_Risk_Control!B108)</f>
        <v/>
      </c>
      <c r="C111" s="24" t="str">
        <f aca="false">IF(A111="","",Ref_Risk_Control!C108)</f>
        <v/>
      </c>
      <c r="D111" s="24" t="str">
        <f aca="false">IF(A111="","",Ref_Risk_Control!D108)</f>
        <v/>
      </c>
      <c r="E111" s="24" t="str">
        <f aca="false">IF(A111="","",Ref_Risk_Control!E108)</f>
        <v/>
      </c>
      <c r="F111" s="24" t="str">
        <f aca="false">IF(A111="","",COUNTIF(Ref_Deficiencies!$D$2:$D$201,A111))</f>
        <v/>
      </c>
      <c r="G111" s="24" t="str">
        <f aca="false">IF(A111="","",IF(F111=0,"—",IF(COUNTIFS(Ref_Deficiencies!$D$2:$D$201,A111,Ref_Deficiencies!$E$2:$E$201,"Material weakness")&gt;0,"Material weakness",IF(COUNTIFS(Ref_Deficiencies!$D$2:$D$201,A111,Ref_Deficiencies!$E$2:$E$201,"Significant deficiency")&gt;0,"Significant deficiency","Control deficiency"))))</f>
        <v/>
      </c>
      <c r="H111" s="24" t="str">
        <f aca="false">IF(A111="","",IF(AND(B111="Y",C111=0),"GAP: no key control",IF(OR(E111="",E111="Not tested",E111="Pending"),"Not yet tested",IF(F111&gt;0,"Covered - deficiency ("&amp;G111&amp;")",IF(E111="Effective","Covered","Review result")))))</f>
        <v/>
      </c>
    </row>
    <row r="112" customFormat="false" ht="15" hidden="false" customHeight="false" outlineLevel="0" collapsed="false">
      <c r="A112" s="24" t="str">
        <f aca="false">IF(Ref_Risk_Control!A109="","",Ref_Risk_Control!A109)</f>
        <v/>
      </c>
      <c r="B112" s="24" t="str">
        <f aca="false">IF(A112="","",Ref_Risk_Control!B109)</f>
        <v/>
      </c>
      <c r="C112" s="24" t="str">
        <f aca="false">IF(A112="","",Ref_Risk_Control!C109)</f>
        <v/>
      </c>
      <c r="D112" s="24" t="str">
        <f aca="false">IF(A112="","",Ref_Risk_Control!D109)</f>
        <v/>
      </c>
      <c r="E112" s="24" t="str">
        <f aca="false">IF(A112="","",Ref_Risk_Control!E109)</f>
        <v/>
      </c>
      <c r="F112" s="24" t="str">
        <f aca="false">IF(A112="","",COUNTIF(Ref_Deficiencies!$D$2:$D$201,A112))</f>
        <v/>
      </c>
      <c r="G112" s="24" t="str">
        <f aca="false">IF(A112="","",IF(F112=0,"—",IF(COUNTIFS(Ref_Deficiencies!$D$2:$D$201,A112,Ref_Deficiencies!$E$2:$E$201,"Material weakness")&gt;0,"Material weakness",IF(COUNTIFS(Ref_Deficiencies!$D$2:$D$201,A112,Ref_Deficiencies!$E$2:$E$201,"Significant deficiency")&gt;0,"Significant deficiency","Control deficiency"))))</f>
        <v/>
      </c>
      <c r="H112" s="24" t="str">
        <f aca="false">IF(A112="","",IF(AND(B112="Y",C112=0),"GAP: no key control",IF(OR(E112="",E112="Not tested",E112="Pending"),"Not yet tested",IF(F112&gt;0,"Covered - deficiency ("&amp;G112&amp;")",IF(E112="Effective","Covered","Review result")))))</f>
        <v/>
      </c>
    </row>
    <row r="113" customFormat="false" ht="15" hidden="false" customHeight="false" outlineLevel="0" collapsed="false">
      <c r="A113" s="24" t="str">
        <f aca="false">IF(Ref_Risk_Control!A110="","",Ref_Risk_Control!A110)</f>
        <v/>
      </c>
      <c r="B113" s="24" t="str">
        <f aca="false">IF(A113="","",Ref_Risk_Control!B110)</f>
        <v/>
      </c>
      <c r="C113" s="24" t="str">
        <f aca="false">IF(A113="","",Ref_Risk_Control!C110)</f>
        <v/>
      </c>
      <c r="D113" s="24" t="str">
        <f aca="false">IF(A113="","",Ref_Risk_Control!D110)</f>
        <v/>
      </c>
      <c r="E113" s="24" t="str">
        <f aca="false">IF(A113="","",Ref_Risk_Control!E110)</f>
        <v/>
      </c>
      <c r="F113" s="24" t="str">
        <f aca="false">IF(A113="","",COUNTIF(Ref_Deficiencies!$D$2:$D$201,A113))</f>
        <v/>
      </c>
      <c r="G113" s="24" t="str">
        <f aca="false">IF(A113="","",IF(F113=0,"—",IF(COUNTIFS(Ref_Deficiencies!$D$2:$D$201,A113,Ref_Deficiencies!$E$2:$E$201,"Material weakness")&gt;0,"Material weakness",IF(COUNTIFS(Ref_Deficiencies!$D$2:$D$201,A113,Ref_Deficiencies!$E$2:$E$201,"Significant deficiency")&gt;0,"Significant deficiency","Control deficiency"))))</f>
        <v/>
      </c>
      <c r="H113" s="24" t="str">
        <f aca="false">IF(A113="","",IF(AND(B113="Y",C113=0),"GAP: no key control",IF(OR(E113="",E113="Not tested",E113="Pending"),"Not yet tested",IF(F113&gt;0,"Covered - deficiency ("&amp;G113&amp;")",IF(E113="Effective","Covered","Review result")))))</f>
        <v/>
      </c>
    </row>
    <row r="114" customFormat="false" ht="15" hidden="false" customHeight="false" outlineLevel="0" collapsed="false">
      <c r="A114" s="24" t="str">
        <f aca="false">IF(Ref_Risk_Control!A111="","",Ref_Risk_Control!A111)</f>
        <v/>
      </c>
      <c r="B114" s="24" t="str">
        <f aca="false">IF(A114="","",Ref_Risk_Control!B111)</f>
        <v/>
      </c>
      <c r="C114" s="24" t="str">
        <f aca="false">IF(A114="","",Ref_Risk_Control!C111)</f>
        <v/>
      </c>
      <c r="D114" s="24" t="str">
        <f aca="false">IF(A114="","",Ref_Risk_Control!D111)</f>
        <v/>
      </c>
      <c r="E114" s="24" t="str">
        <f aca="false">IF(A114="","",Ref_Risk_Control!E111)</f>
        <v/>
      </c>
      <c r="F114" s="24" t="str">
        <f aca="false">IF(A114="","",COUNTIF(Ref_Deficiencies!$D$2:$D$201,A114))</f>
        <v/>
      </c>
      <c r="G114" s="24" t="str">
        <f aca="false">IF(A114="","",IF(F114=0,"—",IF(COUNTIFS(Ref_Deficiencies!$D$2:$D$201,A114,Ref_Deficiencies!$E$2:$E$201,"Material weakness")&gt;0,"Material weakness",IF(COUNTIFS(Ref_Deficiencies!$D$2:$D$201,A114,Ref_Deficiencies!$E$2:$E$201,"Significant deficiency")&gt;0,"Significant deficiency","Control deficiency"))))</f>
        <v/>
      </c>
      <c r="H114" s="24" t="str">
        <f aca="false">IF(A114="","",IF(AND(B114="Y",C114=0),"GAP: no key control",IF(OR(E114="",E114="Not tested",E114="Pending"),"Not yet tested",IF(F114&gt;0,"Covered - deficiency ("&amp;G114&amp;")",IF(E114="Effective","Covered","Review result")))))</f>
        <v/>
      </c>
    </row>
    <row r="115" customFormat="false" ht="15" hidden="false" customHeight="false" outlineLevel="0" collapsed="false">
      <c r="A115" s="24" t="str">
        <f aca="false">IF(Ref_Risk_Control!A112="","",Ref_Risk_Control!A112)</f>
        <v/>
      </c>
      <c r="B115" s="24" t="str">
        <f aca="false">IF(A115="","",Ref_Risk_Control!B112)</f>
        <v/>
      </c>
      <c r="C115" s="24" t="str">
        <f aca="false">IF(A115="","",Ref_Risk_Control!C112)</f>
        <v/>
      </c>
      <c r="D115" s="24" t="str">
        <f aca="false">IF(A115="","",Ref_Risk_Control!D112)</f>
        <v/>
      </c>
      <c r="E115" s="24" t="str">
        <f aca="false">IF(A115="","",Ref_Risk_Control!E112)</f>
        <v/>
      </c>
      <c r="F115" s="24" t="str">
        <f aca="false">IF(A115="","",COUNTIF(Ref_Deficiencies!$D$2:$D$201,A115))</f>
        <v/>
      </c>
      <c r="G115" s="24" t="str">
        <f aca="false">IF(A115="","",IF(F115=0,"—",IF(COUNTIFS(Ref_Deficiencies!$D$2:$D$201,A115,Ref_Deficiencies!$E$2:$E$201,"Material weakness")&gt;0,"Material weakness",IF(COUNTIFS(Ref_Deficiencies!$D$2:$D$201,A115,Ref_Deficiencies!$E$2:$E$201,"Significant deficiency")&gt;0,"Significant deficiency","Control deficiency"))))</f>
        <v/>
      </c>
      <c r="H115" s="24" t="str">
        <f aca="false">IF(A115="","",IF(AND(B115="Y",C115=0),"GAP: no key control",IF(OR(E115="",E115="Not tested",E115="Pending"),"Not yet tested",IF(F115&gt;0,"Covered - deficiency ("&amp;G115&amp;")",IF(E115="Effective","Covered","Review result")))))</f>
        <v/>
      </c>
    </row>
    <row r="116" customFormat="false" ht="15" hidden="false" customHeight="false" outlineLevel="0" collapsed="false">
      <c r="A116" s="24" t="str">
        <f aca="false">IF(Ref_Risk_Control!A113="","",Ref_Risk_Control!A113)</f>
        <v/>
      </c>
      <c r="B116" s="24" t="str">
        <f aca="false">IF(A116="","",Ref_Risk_Control!B113)</f>
        <v/>
      </c>
      <c r="C116" s="24" t="str">
        <f aca="false">IF(A116="","",Ref_Risk_Control!C113)</f>
        <v/>
      </c>
      <c r="D116" s="24" t="str">
        <f aca="false">IF(A116="","",Ref_Risk_Control!D113)</f>
        <v/>
      </c>
      <c r="E116" s="24" t="str">
        <f aca="false">IF(A116="","",Ref_Risk_Control!E113)</f>
        <v/>
      </c>
      <c r="F116" s="24" t="str">
        <f aca="false">IF(A116="","",COUNTIF(Ref_Deficiencies!$D$2:$D$201,A116))</f>
        <v/>
      </c>
      <c r="G116" s="24" t="str">
        <f aca="false">IF(A116="","",IF(F116=0,"—",IF(COUNTIFS(Ref_Deficiencies!$D$2:$D$201,A116,Ref_Deficiencies!$E$2:$E$201,"Material weakness")&gt;0,"Material weakness",IF(COUNTIFS(Ref_Deficiencies!$D$2:$D$201,A116,Ref_Deficiencies!$E$2:$E$201,"Significant deficiency")&gt;0,"Significant deficiency","Control deficiency"))))</f>
        <v/>
      </c>
      <c r="H116" s="24" t="str">
        <f aca="false">IF(A116="","",IF(AND(B116="Y",C116=0),"GAP: no key control",IF(OR(E116="",E116="Not tested",E116="Pending"),"Not yet tested",IF(F116&gt;0,"Covered - deficiency ("&amp;G116&amp;")",IF(E116="Effective","Covered","Review result")))))</f>
        <v/>
      </c>
    </row>
    <row r="117" customFormat="false" ht="15" hidden="false" customHeight="false" outlineLevel="0" collapsed="false">
      <c r="A117" s="24" t="str">
        <f aca="false">IF(Ref_Risk_Control!A114="","",Ref_Risk_Control!A114)</f>
        <v/>
      </c>
      <c r="B117" s="24" t="str">
        <f aca="false">IF(A117="","",Ref_Risk_Control!B114)</f>
        <v/>
      </c>
      <c r="C117" s="24" t="str">
        <f aca="false">IF(A117="","",Ref_Risk_Control!C114)</f>
        <v/>
      </c>
      <c r="D117" s="24" t="str">
        <f aca="false">IF(A117="","",Ref_Risk_Control!D114)</f>
        <v/>
      </c>
      <c r="E117" s="24" t="str">
        <f aca="false">IF(A117="","",Ref_Risk_Control!E114)</f>
        <v/>
      </c>
      <c r="F117" s="24" t="str">
        <f aca="false">IF(A117="","",COUNTIF(Ref_Deficiencies!$D$2:$D$201,A117))</f>
        <v/>
      </c>
      <c r="G117" s="24" t="str">
        <f aca="false">IF(A117="","",IF(F117=0,"—",IF(COUNTIFS(Ref_Deficiencies!$D$2:$D$201,A117,Ref_Deficiencies!$E$2:$E$201,"Material weakness")&gt;0,"Material weakness",IF(COUNTIFS(Ref_Deficiencies!$D$2:$D$201,A117,Ref_Deficiencies!$E$2:$E$201,"Significant deficiency")&gt;0,"Significant deficiency","Control deficiency"))))</f>
        <v/>
      </c>
      <c r="H117" s="24" t="str">
        <f aca="false">IF(A117="","",IF(AND(B117="Y",C117=0),"GAP: no key control",IF(OR(E117="",E117="Not tested",E117="Pending"),"Not yet tested",IF(F117&gt;0,"Covered - deficiency ("&amp;G117&amp;")",IF(E117="Effective","Covered","Review result")))))</f>
        <v/>
      </c>
    </row>
    <row r="118" customFormat="false" ht="15" hidden="false" customHeight="false" outlineLevel="0" collapsed="false">
      <c r="A118" s="24" t="str">
        <f aca="false">IF(Ref_Risk_Control!A115="","",Ref_Risk_Control!A115)</f>
        <v/>
      </c>
      <c r="B118" s="24" t="str">
        <f aca="false">IF(A118="","",Ref_Risk_Control!B115)</f>
        <v/>
      </c>
      <c r="C118" s="24" t="str">
        <f aca="false">IF(A118="","",Ref_Risk_Control!C115)</f>
        <v/>
      </c>
      <c r="D118" s="24" t="str">
        <f aca="false">IF(A118="","",Ref_Risk_Control!D115)</f>
        <v/>
      </c>
      <c r="E118" s="24" t="str">
        <f aca="false">IF(A118="","",Ref_Risk_Control!E115)</f>
        <v/>
      </c>
      <c r="F118" s="24" t="str">
        <f aca="false">IF(A118="","",COUNTIF(Ref_Deficiencies!$D$2:$D$201,A118))</f>
        <v/>
      </c>
      <c r="G118" s="24" t="str">
        <f aca="false">IF(A118="","",IF(F118=0,"—",IF(COUNTIFS(Ref_Deficiencies!$D$2:$D$201,A118,Ref_Deficiencies!$E$2:$E$201,"Material weakness")&gt;0,"Material weakness",IF(COUNTIFS(Ref_Deficiencies!$D$2:$D$201,A118,Ref_Deficiencies!$E$2:$E$201,"Significant deficiency")&gt;0,"Significant deficiency","Control deficiency"))))</f>
        <v/>
      </c>
      <c r="H118" s="24" t="str">
        <f aca="false">IF(A118="","",IF(AND(B118="Y",C118=0),"GAP: no key control",IF(OR(E118="",E118="Not tested",E118="Pending"),"Not yet tested",IF(F118&gt;0,"Covered - deficiency ("&amp;G118&amp;")",IF(E118="Effective","Covered","Review result")))))</f>
        <v/>
      </c>
    </row>
    <row r="119" customFormat="false" ht="15" hidden="false" customHeight="false" outlineLevel="0" collapsed="false">
      <c r="A119" s="24" t="str">
        <f aca="false">IF(Ref_Risk_Control!A116="","",Ref_Risk_Control!A116)</f>
        <v/>
      </c>
      <c r="B119" s="24" t="str">
        <f aca="false">IF(A119="","",Ref_Risk_Control!B116)</f>
        <v/>
      </c>
      <c r="C119" s="24" t="str">
        <f aca="false">IF(A119="","",Ref_Risk_Control!C116)</f>
        <v/>
      </c>
      <c r="D119" s="24" t="str">
        <f aca="false">IF(A119="","",Ref_Risk_Control!D116)</f>
        <v/>
      </c>
      <c r="E119" s="24" t="str">
        <f aca="false">IF(A119="","",Ref_Risk_Control!E116)</f>
        <v/>
      </c>
      <c r="F119" s="24" t="str">
        <f aca="false">IF(A119="","",COUNTIF(Ref_Deficiencies!$D$2:$D$201,A119))</f>
        <v/>
      </c>
      <c r="G119" s="24" t="str">
        <f aca="false">IF(A119="","",IF(F119=0,"—",IF(COUNTIFS(Ref_Deficiencies!$D$2:$D$201,A119,Ref_Deficiencies!$E$2:$E$201,"Material weakness")&gt;0,"Material weakness",IF(COUNTIFS(Ref_Deficiencies!$D$2:$D$201,A119,Ref_Deficiencies!$E$2:$E$201,"Significant deficiency")&gt;0,"Significant deficiency","Control deficiency"))))</f>
        <v/>
      </c>
      <c r="H119" s="24" t="str">
        <f aca="false">IF(A119="","",IF(AND(B119="Y",C119=0),"GAP: no key control",IF(OR(E119="",E119="Not tested",E119="Pending"),"Not yet tested",IF(F119&gt;0,"Covered - deficiency ("&amp;G119&amp;")",IF(E119="Effective","Covered","Review result")))))</f>
        <v/>
      </c>
    </row>
    <row r="120" customFormat="false" ht="15" hidden="false" customHeight="false" outlineLevel="0" collapsed="false">
      <c r="A120" s="24" t="str">
        <f aca="false">IF(Ref_Risk_Control!A117="","",Ref_Risk_Control!A117)</f>
        <v/>
      </c>
      <c r="B120" s="24" t="str">
        <f aca="false">IF(A120="","",Ref_Risk_Control!B117)</f>
        <v/>
      </c>
      <c r="C120" s="24" t="str">
        <f aca="false">IF(A120="","",Ref_Risk_Control!C117)</f>
        <v/>
      </c>
      <c r="D120" s="24" t="str">
        <f aca="false">IF(A120="","",Ref_Risk_Control!D117)</f>
        <v/>
      </c>
      <c r="E120" s="24" t="str">
        <f aca="false">IF(A120="","",Ref_Risk_Control!E117)</f>
        <v/>
      </c>
      <c r="F120" s="24" t="str">
        <f aca="false">IF(A120="","",COUNTIF(Ref_Deficiencies!$D$2:$D$201,A120))</f>
        <v/>
      </c>
      <c r="G120" s="24" t="str">
        <f aca="false">IF(A120="","",IF(F120=0,"—",IF(COUNTIFS(Ref_Deficiencies!$D$2:$D$201,A120,Ref_Deficiencies!$E$2:$E$201,"Material weakness")&gt;0,"Material weakness",IF(COUNTIFS(Ref_Deficiencies!$D$2:$D$201,A120,Ref_Deficiencies!$E$2:$E$201,"Significant deficiency")&gt;0,"Significant deficiency","Control deficiency"))))</f>
        <v/>
      </c>
      <c r="H120" s="24" t="str">
        <f aca="false">IF(A120="","",IF(AND(B120="Y",C120=0),"GAP: no key control",IF(OR(E120="",E120="Not tested",E120="Pending"),"Not yet tested",IF(F120&gt;0,"Covered - deficiency ("&amp;G120&amp;")",IF(E120="Effective","Covered","Review result")))))</f>
        <v/>
      </c>
    </row>
    <row r="121" customFormat="false" ht="15" hidden="false" customHeight="false" outlineLevel="0" collapsed="false">
      <c r="A121" s="24" t="str">
        <f aca="false">IF(Ref_Risk_Control!A118="","",Ref_Risk_Control!A118)</f>
        <v/>
      </c>
      <c r="B121" s="24" t="str">
        <f aca="false">IF(A121="","",Ref_Risk_Control!B118)</f>
        <v/>
      </c>
      <c r="C121" s="24" t="str">
        <f aca="false">IF(A121="","",Ref_Risk_Control!C118)</f>
        <v/>
      </c>
      <c r="D121" s="24" t="str">
        <f aca="false">IF(A121="","",Ref_Risk_Control!D118)</f>
        <v/>
      </c>
      <c r="E121" s="24" t="str">
        <f aca="false">IF(A121="","",Ref_Risk_Control!E118)</f>
        <v/>
      </c>
      <c r="F121" s="24" t="str">
        <f aca="false">IF(A121="","",COUNTIF(Ref_Deficiencies!$D$2:$D$201,A121))</f>
        <v/>
      </c>
      <c r="G121" s="24" t="str">
        <f aca="false">IF(A121="","",IF(F121=0,"—",IF(COUNTIFS(Ref_Deficiencies!$D$2:$D$201,A121,Ref_Deficiencies!$E$2:$E$201,"Material weakness")&gt;0,"Material weakness",IF(COUNTIFS(Ref_Deficiencies!$D$2:$D$201,A121,Ref_Deficiencies!$E$2:$E$201,"Significant deficiency")&gt;0,"Significant deficiency","Control deficiency"))))</f>
        <v/>
      </c>
      <c r="H121" s="24" t="str">
        <f aca="false">IF(A121="","",IF(AND(B121="Y",C121=0),"GAP: no key control",IF(OR(E121="",E121="Not tested",E121="Pending"),"Not yet tested",IF(F121&gt;0,"Covered - deficiency ("&amp;G121&amp;")",IF(E121="Effective","Covered","Review result")))))</f>
        <v/>
      </c>
    </row>
    <row r="122" customFormat="false" ht="15" hidden="false" customHeight="false" outlineLevel="0" collapsed="false">
      <c r="A122" s="24" t="str">
        <f aca="false">IF(Ref_Risk_Control!A119="","",Ref_Risk_Control!A119)</f>
        <v/>
      </c>
      <c r="B122" s="24" t="str">
        <f aca="false">IF(A122="","",Ref_Risk_Control!B119)</f>
        <v/>
      </c>
      <c r="C122" s="24" t="str">
        <f aca="false">IF(A122="","",Ref_Risk_Control!C119)</f>
        <v/>
      </c>
      <c r="D122" s="24" t="str">
        <f aca="false">IF(A122="","",Ref_Risk_Control!D119)</f>
        <v/>
      </c>
      <c r="E122" s="24" t="str">
        <f aca="false">IF(A122="","",Ref_Risk_Control!E119)</f>
        <v/>
      </c>
      <c r="F122" s="24" t="str">
        <f aca="false">IF(A122="","",COUNTIF(Ref_Deficiencies!$D$2:$D$201,A122))</f>
        <v/>
      </c>
      <c r="G122" s="24" t="str">
        <f aca="false">IF(A122="","",IF(F122=0,"—",IF(COUNTIFS(Ref_Deficiencies!$D$2:$D$201,A122,Ref_Deficiencies!$E$2:$E$201,"Material weakness")&gt;0,"Material weakness",IF(COUNTIFS(Ref_Deficiencies!$D$2:$D$201,A122,Ref_Deficiencies!$E$2:$E$201,"Significant deficiency")&gt;0,"Significant deficiency","Control deficiency"))))</f>
        <v/>
      </c>
      <c r="H122" s="24" t="str">
        <f aca="false">IF(A122="","",IF(AND(B122="Y",C122=0),"GAP: no key control",IF(OR(E122="",E122="Not tested",E122="Pending"),"Not yet tested",IF(F122&gt;0,"Covered - deficiency ("&amp;G122&amp;")",IF(E122="Effective","Covered","Review result")))))</f>
        <v/>
      </c>
    </row>
    <row r="123" customFormat="false" ht="15" hidden="false" customHeight="false" outlineLevel="0" collapsed="false">
      <c r="A123" s="24" t="str">
        <f aca="false">IF(Ref_Risk_Control!A120="","",Ref_Risk_Control!A120)</f>
        <v/>
      </c>
      <c r="B123" s="24" t="str">
        <f aca="false">IF(A123="","",Ref_Risk_Control!B120)</f>
        <v/>
      </c>
      <c r="C123" s="24" t="str">
        <f aca="false">IF(A123="","",Ref_Risk_Control!C120)</f>
        <v/>
      </c>
      <c r="D123" s="24" t="str">
        <f aca="false">IF(A123="","",Ref_Risk_Control!D120)</f>
        <v/>
      </c>
      <c r="E123" s="24" t="str">
        <f aca="false">IF(A123="","",Ref_Risk_Control!E120)</f>
        <v/>
      </c>
      <c r="F123" s="24" t="str">
        <f aca="false">IF(A123="","",COUNTIF(Ref_Deficiencies!$D$2:$D$201,A123))</f>
        <v/>
      </c>
      <c r="G123" s="24" t="str">
        <f aca="false">IF(A123="","",IF(F123=0,"—",IF(COUNTIFS(Ref_Deficiencies!$D$2:$D$201,A123,Ref_Deficiencies!$E$2:$E$201,"Material weakness")&gt;0,"Material weakness",IF(COUNTIFS(Ref_Deficiencies!$D$2:$D$201,A123,Ref_Deficiencies!$E$2:$E$201,"Significant deficiency")&gt;0,"Significant deficiency","Control deficiency"))))</f>
        <v/>
      </c>
      <c r="H123" s="24" t="str">
        <f aca="false">IF(A123="","",IF(AND(B123="Y",C123=0),"GAP: no key control",IF(OR(E123="",E123="Not tested",E123="Pending"),"Not yet tested",IF(F123&gt;0,"Covered - deficiency ("&amp;G123&amp;")",IF(E123="Effective","Covered","Review result")))))</f>
        <v/>
      </c>
    </row>
    <row r="124" customFormat="false" ht="15" hidden="false" customHeight="false" outlineLevel="0" collapsed="false">
      <c r="A124" s="24" t="str">
        <f aca="false">IF(Ref_Risk_Control!A121="","",Ref_Risk_Control!A121)</f>
        <v/>
      </c>
      <c r="B124" s="24" t="str">
        <f aca="false">IF(A124="","",Ref_Risk_Control!B121)</f>
        <v/>
      </c>
      <c r="C124" s="24" t="str">
        <f aca="false">IF(A124="","",Ref_Risk_Control!C121)</f>
        <v/>
      </c>
      <c r="D124" s="24" t="str">
        <f aca="false">IF(A124="","",Ref_Risk_Control!D121)</f>
        <v/>
      </c>
      <c r="E124" s="24" t="str">
        <f aca="false">IF(A124="","",Ref_Risk_Control!E121)</f>
        <v/>
      </c>
      <c r="F124" s="24" t="str">
        <f aca="false">IF(A124="","",COUNTIF(Ref_Deficiencies!$D$2:$D$201,A124))</f>
        <v/>
      </c>
      <c r="G124" s="24" t="str">
        <f aca="false">IF(A124="","",IF(F124=0,"—",IF(COUNTIFS(Ref_Deficiencies!$D$2:$D$201,A124,Ref_Deficiencies!$E$2:$E$201,"Material weakness")&gt;0,"Material weakness",IF(COUNTIFS(Ref_Deficiencies!$D$2:$D$201,A124,Ref_Deficiencies!$E$2:$E$201,"Significant deficiency")&gt;0,"Significant deficiency","Control deficiency"))))</f>
        <v/>
      </c>
      <c r="H124" s="24" t="str">
        <f aca="false">IF(A124="","",IF(AND(B124="Y",C124=0),"GAP: no key control",IF(OR(E124="",E124="Not tested",E124="Pending"),"Not yet tested",IF(F124&gt;0,"Covered - deficiency ("&amp;G124&amp;")",IF(E124="Effective","Covered","Review result")))))</f>
        <v/>
      </c>
    </row>
    <row r="125" customFormat="false" ht="15" hidden="false" customHeight="false" outlineLevel="0" collapsed="false">
      <c r="A125" s="24" t="str">
        <f aca="false">IF(Ref_Risk_Control!A122="","",Ref_Risk_Control!A122)</f>
        <v/>
      </c>
      <c r="B125" s="24" t="str">
        <f aca="false">IF(A125="","",Ref_Risk_Control!B122)</f>
        <v/>
      </c>
      <c r="C125" s="24" t="str">
        <f aca="false">IF(A125="","",Ref_Risk_Control!C122)</f>
        <v/>
      </c>
      <c r="D125" s="24" t="str">
        <f aca="false">IF(A125="","",Ref_Risk_Control!D122)</f>
        <v/>
      </c>
      <c r="E125" s="24" t="str">
        <f aca="false">IF(A125="","",Ref_Risk_Control!E122)</f>
        <v/>
      </c>
      <c r="F125" s="24" t="str">
        <f aca="false">IF(A125="","",COUNTIF(Ref_Deficiencies!$D$2:$D$201,A125))</f>
        <v/>
      </c>
      <c r="G125" s="24" t="str">
        <f aca="false">IF(A125="","",IF(F125=0,"—",IF(COUNTIFS(Ref_Deficiencies!$D$2:$D$201,A125,Ref_Deficiencies!$E$2:$E$201,"Material weakness")&gt;0,"Material weakness",IF(COUNTIFS(Ref_Deficiencies!$D$2:$D$201,A125,Ref_Deficiencies!$E$2:$E$201,"Significant deficiency")&gt;0,"Significant deficiency","Control deficiency"))))</f>
        <v/>
      </c>
      <c r="H125" s="24" t="str">
        <f aca="false">IF(A125="","",IF(AND(B125="Y",C125=0),"GAP: no key control",IF(OR(E125="",E125="Not tested",E125="Pending"),"Not yet tested",IF(F125&gt;0,"Covered - deficiency ("&amp;G125&amp;")",IF(E125="Effective","Covered","Review result")))))</f>
        <v/>
      </c>
    </row>
    <row r="126" customFormat="false" ht="15" hidden="false" customHeight="false" outlineLevel="0" collapsed="false">
      <c r="A126" s="24" t="str">
        <f aca="false">IF(Ref_Risk_Control!A123="","",Ref_Risk_Control!A123)</f>
        <v/>
      </c>
      <c r="B126" s="24" t="str">
        <f aca="false">IF(A126="","",Ref_Risk_Control!B123)</f>
        <v/>
      </c>
      <c r="C126" s="24" t="str">
        <f aca="false">IF(A126="","",Ref_Risk_Control!C123)</f>
        <v/>
      </c>
      <c r="D126" s="24" t="str">
        <f aca="false">IF(A126="","",Ref_Risk_Control!D123)</f>
        <v/>
      </c>
      <c r="E126" s="24" t="str">
        <f aca="false">IF(A126="","",Ref_Risk_Control!E123)</f>
        <v/>
      </c>
      <c r="F126" s="24" t="str">
        <f aca="false">IF(A126="","",COUNTIF(Ref_Deficiencies!$D$2:$D$201,A126))</f>
        <v/>
      </c>
      <c r="G126" s="24" t="str">
        <f aca="false">IF(A126="","",IF(F126=0,"—",IF(COUNTIFS(Ref_Deficiencies!$D$2:$D$201,A126,Ref_Deficiencies!$E$2:$E$201,"Material weakness")&gt;0,"Material weakness",IF(COUNTIFS(Ref_Deficiencies!$D$2:$D$201,A126,Ref_Deficiencies!$E$2:$E$201,"Significant deficiency")&gt;0,"Significant deficiency","Control deficiency"))))</f>
        <v/>
      </c>
      <c r="H126" s="24" t="str">
        <f aca="false">IF(A126="","",IF(AND(B126="Y",C126=0),"GAP: no key control",IF(OR(E126="",E126="Not tested",E126="Pending"),"Not yet tested",IF(F126&gt;0,"Covered - deficiency ("&amp;G126&amp;")",IF(E126="Effective","Covered","Review result")))))</f>
        <v/>
      </c>
    </row>
    <row r="127" customFormat="false" ht="15" hidden="false" customHeight="false" outlineLevel="0" collapsed="false">
      <c r="A127" s="24" t="str">
        <f aca="false">IF(Ref_Risk_Control!A124="","",Ref_Risk_Control!A124)</f>
        <v/>
      </c>
      <c r="B127" s="24" t="str">
        <f aca="false">IF(A127="","",Ref_Risk_Control!B124)</f>
        <v/>
      </c>
      <c r="C127" s="24" t="str">
        <f aca="false">IF(A127="","",Ref_Risk_Control!C124)</f>
        <v/>
      </c>
      <c r="D127" s="24" t="str">
        <f aca="false">IF(A127="","",Ref_Risk_Control!D124)</f>
        <v/>
      </c>
      <c r="E127" s="24" t="str">
        <f aca="false">IF(A127="","",Ref_Risk_Control!E124)</f>
        <v/>
      </c>
      <c r="F127" s="24" t="str">
        <f aca="false">IF(A127="","",COUNTIF(Ref_Deficiencies!$D$2:$D$201,A127))</f>
        <v/>
      </c>
      <c r="G127" s="24" t="str">
        <f aca="false">IF(A127="","",IF(F127=0,"—",IF(COUNTIFS(Ref_Deficiencies!$D$2:$D$201,A127,Ref_Deficiencies!$E$2:$E$201,"Material weakness")&gt;0,"Material weakness",IF(COUNTIFS(Ref_Deficiencies!$D$2:$D$201,A127,Ref_Deficiencies!$E$2:$E$201,"Significant deficiency")&gt;0,"Significant deficiency","Control deficiency"))))</f>
        <v/>
      </c>
      <c r="H127" s="24" t="str">
        <f aca="false">IF(A127="","",IF(AND(B127="Y",C127=0),"GAP: no key control",IF(OR(E127="",E127="Not tested",E127="Pending"),"Not yet tested",IF(F127&gt;0,"Covered - deficiency ("&amp;G127&amp;")",IF(E127="Effective","Covered","Review result")))))</f>
        <v/>
      </c>
    </row>
    <row r="128" customFormat="false" ht="15" hidden="false" customHeight="false" outlineLevel="0" collapsed="false">
      <c r="A128" s="24" t="str">
        <f aca="false">IF(Ref_Risk_Control!A125="","",Ref_Risk_Control!A125)</f>
        <v/>
      </c>
      <c r="B128" s="24" t="str">
        <f aca="false">IF(A128="","",Ref_Risk_Control!B125)</f>
        <v/>
      </c>
      <c r="C128" s="24" t="str">
        <f aca="false">IF(A128="","",Ref_Risk_Control!C125)</f>
        <v/>
      </c>
      <c r="D128" s="24" t="str">
        <f aca="false">IF(A128="","",Ref_Risk_Control!D125)</f>
        <v/>
      </c>
      <c r="E128" s="24" t="str">
        <f aca="false">IF(A128="","",Ref_Risk_Control!E125)</f>
        <v/>
      </c>
      <c r="F128" s="24" t="str">
        <f aca="false">IF(A128="","",COUNTIF(Ref_Deficiencies!$D$2:$D$201,A128))</f>
        <v/>
      </c>
      <c r="G128" s="24" t="str">
        <f aca="false">IF(A128="","",IF(F128=0,"—",IF(COUNTIFS(Ref_Deficiencies!$D$2:$D$201,A128,Ref_Deficiencies!$E$2:$E$201,"Material weakness")&gt;0,"Material weakness",IF(COUNTIFS(Ref_Deficiencies!$D$2:$D$201,A128,Ref_Deficiencies!$E$2:$E$201,"Significant deficiency")&gt;0,"Significant deficiency","Control deficiency"))))</f>
        <v/>
      </c>
      <c r="H128" s="24" t="str">
        <f aca="false">IF(A128="","",IF(AND(B128="Y",C128=0),"GAP: no key control",IF(OR(E128="",E128="Not tested",E128="Pending"),"Not yet tested",IF(F128&gt;0,"Covered - deficiency ("&amp;G128&amp;")",IF(E128="Effective","Covered","Review result")))))</f>
        <v/>
      </c>
    </row>
    <row r="129" customFormat="false" ht="15" hidden="false" customHeight="false" outlineLevel="0" collapsed="false">
      <c r="A129" s="24" t="str">
        <f aca="false">IF(Ref_Risk_Control!A126="","",Ref_Risk_Control!A126)</f>
        <v/>
      </c>
      <c r="B129" s="24" t="str">
        <f aca="false">IF(A129="","",Ref_Risk_Control!B126)</f>
        <v/>
      </c>
      <c r="C129" s="24" t="str">
        <f aca="false">IF(A129="","",Ref_Risk_Control!C126)</f>
        <v/>
      </c>
      <c r="D129" s="24" t="str">
        <f aca="false">IF(A129="","",Ref_Risk_Control!D126)</f>
        <v/>
      </c>
      <c r="E129" s="24" t="str">
        <f aca="false">IF(A129="","",Ref_Risk_Control!E126)</f>
        <v/>
      </c>
      <c r="F129" s="24" t="str">
        <f aca="false">IF(A129="","",COUNTIF(Ref_Deficiencies!$D$2:$D$201,A129))</f>
        <v/>
      </c>
      <c r="G129" s="24" t="str">
        <f aca="false">IF(A129="","",IF(F129=0,"—",IF(COUNTIFS(Ref_Deficiencies!$D$2:$D$201,A129,Ref_Deficiencies!$E$2:$E$201,"Material weakness")&gt;0,"Material weakness",IF(COUNTIFS(Ref_Deficiencies!$D$2:$D$201,A129,Ref_Deficiencies!$E$2:$E$201,"Significant deficiency")&gt;0,"Significant deficiency","Control deficiency"))))</f>
        <v/>
      </c>
      <c r="H129" s="24" t="str">
        <f aca="false">IF(A129="","",IF(AND(B129="Y",C129=0),"GAP: no key control",IF(OR(E129="",E129="Not tested",E129="Pending"),"Not yet tested",IF(F129&gt;0,"Covered - deficiency ("&amp;G129&amp;")",IF(E129="Effective","Covered","Review result")))))</f>
        <v/>
      </c>
    </row>
    <row r="130" customFormat="false" ht="15" hidden="false" customHeight="false" outlineLevel="0" collapsed="false">
      <c r="A130" s="24" t="str">
        <f aca="false">IF(Ref_Risk_Control!A127="","",Ref_Risk_Control!A127)</f>
        <v/>
      </c>
      <c r="B130" s="24" t="str">
        <f aca="false">IF(A130="","",Ref_Risk_Control!B127)</f>
        <v/>
      </c>
      <c r="C130" s="24" t="str">
        <f aca="false">IF(A130="","",Ref_Risk_Control!C127)</f>
        <v/>
      </c>
      <c r="D130" s="24" t="str">
        <f aca="false">IF(A130="","",Ref_Risk_Control!D127)</f>
        <v/>
      </c>
      <c r="E130" s="24" t="str">
        <f aca="false">IF(A130="","",Ref_Risk_Control!E127)</f>
        <v/>
      </c>
      <c r="F130" s="24" t="str">
        <f aca="false">IF(A130="","",COUNTIF(Ref_Deficiencies!$D$2:$D$201,A130))</f>
        <v/>
      </c>
      <c r="G130" s="24" t="str">
        <f aca="false">IF(A130="","",IF(F130=0,"—",IF(COUNTIFS(Ref_Deficiencies!$D$2:$D$201,A130,Ref_Deficiencies!$E$2:$E$201,"Material weakness")&gt;0,"Material weakness",IF(COUNTIFS(Ref_Deficiencies!$D$2:$D$201,A130,Ref_Deficiencies!$E$2:$E$201,"Significant deficiency")&gt;0,"Significant deficiency","Control deficiency"))))</f>
        <v/>
      </c>
      <c r="H130" s="24" t="str">
        <f aca="false">IF(A130="","",IF(AND(B130="Y",C130=0),"GAP: no key control",IF(OR(E130="",E130="Not tested",E130="Pending"),"Not yet tested",IF(F130&gt;0,"Covered - deficiency ("&amp;G130&amp;")",IF(E130="Effective","Covered","Review result")))))</f>
        <v/>
      </c>
    </row>
    <row r="131" customFormat="false" ht="15" hidden="false" customHeight="false" outlineLevel="0" collapsed="false">
      <c r="A131" s="24" t="str">
        <f aca="false">IF(Ref_Risk_Control!A128="","",Ref_Risk_Control!A128)</f>
        <v/>
      </c>
      <c r="B131" s="24" t="str">
        <f aca="false">IF(A131="","",Ref_Risk_Control!B128)</f>
        <v/>
      </c>
      <c r="C131" s="24" t="str">
        <f aca="false">IF(A131="","",Ref_Risk_Control!C128)</f>
        <v/>
      </c>
      <c r="D131" s="24" t="str">
        <f aca="false">IF(A131="","",Ref_Risk_Control!D128)</f>
        <v/>
      </c>
      <c r="E131" s="24" t="str">
        <f aca="false">IF(A131="","",Ref_Risk_Control!E128)</f>
        <v/>
      </c>
      <c r="F131" s="24" t="str">
        <f aca="false">IF(A131="","",COUNTIF(Ref_Deficiencies!$D$2:$D$201,A131))</f>
        <v/>
      </c>
      <c r="G131" s="24" t="str">
        <f aca="false">IF(A131="","",IF(F131=0,"—",IF(COUNTIFS(Ref_Deficiencies!$D$2:$D$201,A131,Ref_Deficiencies!$E$2:$E$201,"Material weakness")&gt;0,"Material weakness",IF(COUNTIFS(Ref_Deficiencies!$D$2:$D$201,A131,Ref_Deficiencies!$E$2:$E$201,"Significant deficiency")&gt;0,"Significant deficiency","Control deficiency"))))</f>
        <v/>
      </c>
      <c r="H131" s="24" t="str">
        <f aca="false">IF(A131="","",IF(AND(B131="Y",C131=0),"GAP: no key control",IF(OR(E131="",E131="Not tested",E131="Pending"),"Not yet tested",IF(F131&gt;0,"Covered - deficiency ("&amp;G131&amp;")",IF(E131="Effective","Covered","Review result")))))</f>
        <v/>
      </c>
    </row>
    <row r="132" customFormat="false" ht="15" hidden="false" customHeight="false" outlineLevel="0" collapsed="false">
      <c r="A132" s="24" t="str">
        <f aca="false">IF(Ref_Risk_Control!A129="","",Ref_Risk_Control!A129)</f>
        <v/>
      </c>
      <c r="B132" s="24" t="str">
        <f aca="false">IF(A132="","",Ref_Risk_Control!B129)</f>
        <v/>
      </c>
      <c r="C132" s="24" t="str">
        <f aca="false">IF(A132="","",Ref_Risk_Control!C129)</f>
        <v/>
      </c>
      <c r="D132" s="24" t="str">
        <f aca="false">IF(A132="","",Ref_Risk_Control!D129)</f>
        <v/>
      </c>
      <c r="E132" s="24" t="str">
        <f aca="false">IF(A132="","",Ref_Risk_Control!E129)</f>
        <v/>
      </c>
      <c r="F132" s="24" t="str">
        <f aca="false">IF(A132="","",COUNTIF(Ref_Deficiencies!$D$2:$D$201,A132))</f>
        <v/>
      </c>
      <c r="G132" s="24" t="str">
        <f aca="false">IF(A132="","",IF(F132=0,"—",IF(COUNTIFS(Ref_Deficiencies!$D$2:$D$201,A132,Ref_Deficiencies!$E$2:$E$201,"Material weakness")&gt;0,"Material weakness",IF(COUNTIFS(Ref_Deficiencies!$D$2:$D$201,A132,Ref_Deficiencies!$E$2:$E$201,"Significant deficiency")&gt;0,"Significant deficiency","Control deficiency"))))</f>
        <v/>
      </c>
      <c r="H132" s="24" t="str">
        <f aca="false">IF(A132="","",IF(AND(B132="Y",C132=0),"GAP: no key control",IF(OR(E132="",E132="Not tested",E132="Pending"),"Not yet tested",IF(F132&gt;0,"Covered - deficiency ("&amp;G132&amp;")",IF(E132="Effective","Covered","Review result")))))</f>
        <v/>
      </c>
    </row>
    <row r="133" customFormat="false" ht="15" hidden="false" customHeight="false" outlineLevel="0" collapsed="false">
      <c r="A133" s="24" t="str">
        <f aca="false">IF(Ref_Risk_Control!A130="","",Ref_Risk_Control!A130)</f>
        <v/>
      </c>
      <c r="B133" s="24" t="str">
        <f aca="false">IF(A133="","",Ref_Risk_Control!B130)</f>
        <v/>
      </c>
      <c r="C133" s="24" t="str">
        <f aca="false">IF(A133="","",Ref_Risk_Control!C130)</f>
        <v/>
      </c>
      <c r="D133" s="24" t="str">
        <f aca="false">IF(A133="","",Ref_Risk_Control!D130)</f>
        <v/>
      </c>
      <c r="E133" s="24" t="str">
        <f aca="false">IF(A133="","",Ref_Risk_Control!E130)</f>
        <v/>
      </c>
      <c r="F133" s="24" t="str">
        <f aca="false">IF(A133="","",COUNTIF(Ref_Deficiencies!$D$2:$D$201,A133))</f>
        <v/>
      </c>
      <c r="G133" s="24" t="str">
        <f aca="false">IF(A133="","",IF(F133=0,"—",IF(COUNTIFS(Ref_Deficiencies!$D$2:$D$201,A133,Ref_Deficiencies!$E$2:$E$201,"Material weakness")&gt;0,"Material weakness",IF(COUNTIFS(Ref_Deficiencies!$D$2:$D$201,A133,Ref_Deficiencies!$E$2:$E$201,"Significant deficiency")&gt;0,"Significant deficiency","Control deficiency"))))</f>
        <v/>
      </c>
      <c r="H133" s="24" t="str">
        <f aca="false">IF(A133="","",IF(AND(B133="Y",C133=0),"GAP: no key control",IF(OR(E133="",E133="Not tested",E133="Pending"),"Not yet tested",IF(F133&gt;0,"Covered - deficiency ("&amp;G133&amp;")",IF(E133="Effective","Covered","Review result")))))</f>
        <v/>
      </c>
    </row>
    <row r="134" customFormat="false" ht="15" hidden="false" customHeight="false" outlineLevel="0" collapsed="false">
      <c r="A134" s="24" t="str">
        <f aca="false">IF(Ref_Risk_Control!A131="","",Ref_Risk_Control!A131)</f>
        <v/>
      </c>
      <c r="B134" s="24" t="str">
        <f aca="false">IF(A134="","",Ref_Risk_Control!B131)</f>
        <v/>
      </c>
      <c r="C134" s="24" t="str">
        <f aca="false">IF(A134="","",Ref_Risk_Control!C131)</f>
        <v/>
      </c>
      <c r="D134" s="24" t="str">
        <f aca="false">IF(A134="","",Ref_Risk_Control!D131)</f>
        <v/>
      </c>
      <c r="E134" s="24" t="str">
        <f aca="false">IF(A134="","",Ref_Risk_Control!E131)</f>
        <v/>
      </c>
      <c r="F134" s="24" t="str">
        <f aca="false">IF(A134="","",COUNTIF(Ref_Deficiencies!$D$2:$D$201,A134))</f>
        <v/>
      </c>
      <c r="G134" s="24" t="str">
        <f aca="false">IF(A134="","",IF(F134=0,"—",IF(COUNTIFS(Ref_Deficiencies!$D$2:$D$201,A134,Ref_Deficiencies!$E$2:$E$201,"Material weakness")&gt;0,"Material weakness",IF(COUNTIFS(Ref_Deficiencies!$D$2:$D$201,A134,Ref_Deficiencies!$E$2:$E$201,"Significant deficiency")&gt;0,"Significant deficiency","Control deficiency"))))</f>
        <v/>
      </c>
      <c r="H134" s="24" t="str">
        <f aca="false">IF(A134="","",IF(AND(B134="Y",C134=0),"GAP: no key control",IF(OR(E134="",E134="Not tested",E134="Pending"),"Not yet tested",IF(F134&gt;0,"Covered - deficiency ("&amp;G134&amp;")",IF(E134="Effective","Covered","Review result")))))</f>
        <v/>
      </c>
    </row>
    <row r="135" customFormat="false" ht="15" hidden="false" customHeight="false" outlineLevel="0" collapsed="false">
      <c r="A135" s="24" t="str">
        <f aca="false">IF(Ref_Risk_Control!A132="","",Ref_Risk_Control!A132)</f>
        <v/>
      </c>
      <c r="B135" s="24" t="str">
        <f aca="false">IF(A135="","",Ref_Risk_Control!B132)</f>
        <v/>
      </c>
      <c r="C135" s="24" t="str">
        <f aca="false">IF(A135="","",Ref_Risk_Control!C132)</f>
        <v/>
      </c>
      <c r="D135" s="24" t="str">
        <f aca="false">IF(A135="","",Ref_Risk_Control!D132)</f>
        <v/>
      </c>
      <c r="E135" s="24" t="str">
        <f aca="false">IF(A135="","",Ref_Risk_Control!E132)</f>
        <v/>
      </c>
      <c r="F135" s="24" t="str">
        <f aca="false">IF(A135="","",COUNTIF(Ref_Deficiencies!$D$2:$D$201,A135))</f>
        <v/>
      </c>
      <c r="G135" s="24" t="str">
        <f aca="false">IF(A135="","",IF(F135=0,"—",IF(COUNTIFS(Ref_Deficiencies!$D$2:$D$201,A135,Ref_Deficiencies!$E$2:$E$201,"Material weakness")&gt;0,"Material weakness",IF(COUNTIFS(Ref_Deficiencies!$D$2:$D$201,A135,Ref_Deficiencies!$E$2:$E$201,"Significant deficiency")&gt;0,"Significant deficiency","Control deficiency"))))</f>
        <v/>
      </c>
      <c r="H135" s="24" t="str">
        <f aca="false">IF(A135="","",IF(AND(B135="Y",C135=0),"GAP: no key control",IF(OR(E135="",E135="Not tested",E135="Pending"),"Not yet tested",IF(F135&gt;0,"Covered - deficiency ("&amp;G135&amp;")",IF(E135="Effective","Covered","Review result")))))</f>
        <v/>
      </c>
    </row>
    <row r="136" customFormat="false" ht="15" hidden="false" customHeight="false" outlineLevel="0" collapsed="false">
      <c r="A136" s="24" t="str">
        <f aca="false">IF(Ref_Risk_Control!A133="","",Ref_Risk_Control!A133)</f>
        <v/>
      </c>
      <c r="B136" s="24" t="str">
        <f aca="false">IF(A136="","",Ref_Risk_Control!B133)</f>
        <v/>
      </c>
      <c r="C136" s="24" t="str">
        <f aca="false">IF(A136="","",Ref_Risk_Control!C133)</f>
        <v/>
      </c>
      <c r="D136" s="24" t="str">
        <f aca="false">IF(A136="","",Ref_Risk_Control!D133)</f>
        <v/>
      </c>
      <c r="E136" s="24" t="str">
        <f aca="false">IF(A136="","",Ref_Risk_Control!E133)</f>
        <v/>
      </c>
      <c r="F136" s="24" t="str">
        <f aca="false">IF(A136="","",COUNTIF(Ref_Deficiencies!$D$2:$D$201,A136))</f>
        <v/>
      </c>
      <c r="G136" s="24" t="str">
        <f aca="false">IF(A136="","",IF(F136=0,"—",IF(COUNTIFS(Ref_Deficiencies!$D$2:$D$201,A136,Ref_Deficiencies!$E$2:$E$201,"Material weakness")&gt;0,"Material weakness",IF(COUNTIFS(Ref_Deficiencies!$D$2:$D$201,A136,Ref_Deficiencies!$E$2:$E$201,"Significant deficiency")&gt;0,"Significant deficiency","Control deficiency"))))</f>
        <v/>
      </c>
      <c r="H136" s="24" t="str">
        <f aca="false">IF(A136="","",IF(AND(B136="Y",C136=0),"GAP: no key control",IF(OR(E136="",E136="Not tested",E136="Pending"),"Not yet tested",IF(F136&gt;0,"Covered - deficiency ("&amp;G136&amp;")",IF(E136="Effective","Covered","Review result")))))</f>
        <v/>
      </c>
    </row>
    <row r="137" customFormat="false" ht="15" hidden="false" customHeight="false" outlineLevel="0" collapsed="false">
      <c r="A137" s="24" t="str">
        <f aca="false">IF(Ref_Risk_Control!A134="","",Ref_Risk_Control!A134)</f>
        <v/>
      </c>
      <c r="B137" s="24" t="str">
        <f aca="false">IF(A137="","",Ref_Risk_Control!B134)</f>
        <v/>
      </c>
      <c r="C137" s="24" t="str">
        <f aca="false">IF(A137="","",Ref_Risk_Control!C134)</f>
        <v/>
      </c>
      <c r="D137" s="24" t="str">
        <f aca="false">IF(A137="","",Ref_Risk_Control!D134)</f>
        <v/>
      </c>
      <c r="E137" s="24" t="str">
        <f aca="false">IF(A137="","",Ref_Risk_Control!E134)</f>
        <v/>
      </c>
      <c r="F137" s="24" t="str">
        <f aca="false">IF(A137="","",COUNTIF(Ref_Deficiencies!$D$2:$D$201,A137))</f>
        <v/>
      </c>
      <c r="G137" s="24" t="str">
        <f aca="false">IF(A137="","",IF(F137=0,"—",IF(COUNTIFS(Ref_Deficiencies!$D$2:$D$201,A137,Ref_Deficiencies!$E$2:$E$201,"Material weakness")&gt;0,"Material weakness",IF(COUNTIFS(Ref_Deficiencies!$D$2:$D$201,A137,Ref_Deficiencies!$E$2:$E$201,"Significant deficiency")&gt;0,"Significant deficiency","Control deficiency"))))</f>
        <v/>
      </c>
      <c r="H137" s="24" t="str">
        <f aca="false">IF(A137="","",IF(AND(B137="Y",C137=0),"GAP: no key control",IF(OR(E137="",E137="Not tested",E137="Pending"),"Not yet tested",IF(F137&gt;0,"Covered - deficiency ("&amp;G137&amp;")",IF(E137="Effective","Covered","Review result")))))</f>
        <v/>
      </c>
    </row>
    <row r="138" customFormat="false" ht="15" hidden="false" customHeight="false" outlineLevel="0" collapsed="false">
      <c r="A138" s="24" t="str">
        <f aca="false">IF(Ref_Risk_Control!A135="","",Ref_Risk_Control!A135)</f>
        <v/>
      </c>
      <c r="B138" s="24" t="str">
        <f aca="false">IF(A138="","",Ref_Risk_Control!B135)</f>
        <v/>
      </c>
      <c r="C138" s="24" t="str">
        <f aca="false">IF(A138="","",Ref_Risk_Control!C135)</f>
        <v/>
      </c>
      <c r="D138" s="24" t="str">
        <f aca="false">IF(A138="","",Ref_Risk_Control!D135)</f>
        <v/>
      </c>
      <c r="E138" s="24" t="str">
        <f aca="false">IF(A138="","",Ref_Risk_Control!E135)</f>
        <v/>
      </c>
      <c r="F138" s="24" t="str">
        <f aca="false">IF(A138="","",COUNTIF(Ref_Deficiencies!$D$2:$D$201,A138))</f>
        <v/>
      </c>
      <c r="G138" s="24" t="str">
        <f aca="false">IF(A138="","",IF(F138=0,"—",IF(COUNTIFS(Ref_Deficiencies!$D$2:$D$201,A138,Ref_Deficiencies!$E$2:$E$201,"Material weakness")&gt;0,"Material weakness",IF(COUNTIFS(Ref_Deficiencies!$D$2:$D$201,A138,Ref_Deficiencies!$E$2:$E$201,"Significant deficiency")&gt;0,"Significant deficiency","Control deficiency"))))</f>
        <v/>
      </c>
      <c r="H138" s="24" t="str">
        <f aca="false">IF(A138="","",IF(AND(B138="Y",C138=0),"GAP: no key control",IF(OR(E138="",E138="Not tested",E138="Pending"),"Not yet tested",IF(F138&gt;0,"Covered - deficiency ("&amp;G138&amp;")",IF(E138="Effective","Covered","Review result")))))</f>
        <v/>
      </c>
    </row>
    <row r="139" customFormat="false" ht="15" hidden="false" customHeight="false" outlineLevel="0" collapsed="false">
      <c r="A139" s="24" t="str">
        <f aca="false">IF(Ref_Risk_Control!A136="","",Ref_Risk_Control!A136)</f>
        <v/>
      </c>
      <c r="B139" s="24" t="str">
        <f aca="false">IF(A139="","",Ref_Risk_Control!B136)</f>
        <v/>
      </c>
      <c r="C139" s="24" t="str">
        <f aca="false">IF(A139="","",Ref_Risk_Control!C136)</f>
        <v/>
      </c>
      <c r="D139" s="24" t="str">
        <f aca="false">IF(A139="","",Ref_Risk_Control!D136)</f>
        <v/>
      </c>
      <c r="E139" s="24" t="str">
        <f aca="false">IF(A139="","",Ref_Risk_Control!E136)</f>
        <v/>
      </c>
      <c r="F139" s="24" t="str">
        <f aca="false">IF(A139="","",COUNTIF(Ref_Deficiencies!$D$2:$D$201,A139))</f>
        <v/>
      </c>
      <c r="G139" s="24" t="str">
        <f aca="false">IF(A139="","",IF(F139=0,"—",IF(COUNTIFS(Ref_Deficiencies!$D$2:$D$201,A139,Ref_Deficiencies!$E$2:$E$201,"Material weakness")&gt;0,"Material weakness",IF(COUNTIFS(Ref_Deficiencies!$D$2:$D$201,A139,Ref_Deficiencies!$E$2:$E$201,"Significant deficiency")&gt;0,"Significant deficiency","Control deficiency"))))</f>
        <v/>
      </c>
      <c r="H139" s="24" t="str">
        <f aca="false">IF(A139="","",IF(AND(B139="Y",C139=0),"GAP: no key control",IF(OR(E139="",E139="Not tested",E139="Pending"),"Not yet tested",IF(F139&gt;0,"Covered - deficiency ("&amp;G139&amp;")",IF(E139="Effective","Covered","Review result")))))</f>
        <v/>
      </c>
    </row>
    <row r="140" customFormat="false" ht="15" hidden="false" customHeight="false" outlineLevel="0" collapsed="false">
      <c r="A140" s="24" t="str">
        <f aca="false">IF(Ref_Risk_Control!A137="","",Ref_Risk_Control!A137)</f>
        <v/>
      </c>
      <c r="B140" s="24" t="str">
        <f aca="false">IF(A140="","",Ref_Risk_Control!B137)</f>
        <v/>
      </c>
      <c r="C140" s="24" t="str">
        <f aca="false">IF(A140="","",Ref_Risk_Control!C137)</f>
        <v/>
      </c>
      <c r="D140" s="24" t="str">
        <f aca="false">IF(A140="","",Ref_Risk_Control!D137)</f>
        <v/>
      </c>
      <c r="E140" s="24" t="str">
        <f aca="false">IF(A140="","",Ref_Risk_Control!E137)</f>
        <v/>
      </c>
      <c r="F140" s="24" t="str">
        <f aca="false">IF(A140="","",COUNTIF(Ref_Deficiencies!$D$2:$D$201,A140))</f>
        <v/>
      </c>
      <c r="G140" s="24" t="str">
        <f aca="false">IF(A140="","",IF(F140=0,"—",IF(COUNTIFS(Ref_Deficiencies!$D$2:$D$201,A140,Ref_Deficiencies!$E$2:$E$201,"Material weakness")&gt;0,"Material weakness",IF(COUNTIFS(Ref_Deficiencies!$D$2:$D$201,A140,Ref_Deficiencies!$E$2:$E$201,"Significant deficiency")&gt;0,"Significant deficiency","Control deficiency"))))</f>
        <v/>
      </c>
      <c r="H140" s="24" t="str">
        <f aca="false">IF(A140="","",IF(AND(B140="Y",C140=0),"GAP: no key control",IF(OR(E140="",E140="Not tested",E140="Pending"),"Not yet tested",IF(F140&gt;0,"Covered - deficiency ("&amp;G140&amp;")",IF(E140="Effective","Covered","Review result")))))</f>
        <v/>
      </c>
    </row>
    <row r="141" customFormat="false" ht="15" hidden="false" customHeight="false" outlineLevel="0" collapsed="false">
      <c r="A141" s="24" t="str">
        <f aca="false">IF(Ref_Risk_Control!A138="","",Ref_Risk_Control!A138)</f>
        <v/>
      </c>
      <c r="B141" s="24" t="str">
        <f aca="false">IF(A141="","",Ref_Risk_Control!B138)</f>
        <v/>
      </c>
      <c r="C141" s="24" t="str">
        <f aca="false">IF(A141="","",Ref_Risk_Control!C138)</f>
        <v/>
      </c>
      <c r="D141" s="24" t="str">
        <f aca="false">IF(A141="","",Ref_Risk_Control!D138)</f>
        <v/>
      </c>
      <c r="E141" s="24" t="str">
        <f aca="false">IF(A141="","",Ref_Risk_Control!E138)</f>
        <v/>
      </c>
      <c r="F141" s="24" t="str">
        <f aca="false">IF(A141="","",COUNTIF(Ref_Deficiencies!$D$2:$D$201,A141))</f>
        <v/>
      </c>
      <c r="G141" s="24" t="str">
        <f aca="false">IF(A141="","",IF(F141=0,"—",IF(COUNTIFS(Ref_Deficiencies!$D$2:$D$201,A141,Ref_Deficiencies!$E$2:$E$201,"Material weakness")&gt;0,"Material weakness",IF(COUNTIFS(Ref_Deficiencies!$D$2:$D$201,A141,Ref_Deficiencies!$E$2:$E$201,"Significant deficiency")&gt;0,"Significant deficiency","Control deficiency"))))</f>
        <v/>
      </c>
      <c r="H141" s="24" t="str">
        <f aca="false">IF(A141="","",IF(AND(B141="Y",C141=0),"GAP: no key control",IF(OR(E141="",E141="Not tested",E141="Pending"),"Not yet tested",IF(F141&gt;0,"Covered - deficiency ("&amp;G141&amp;")",IF(E141="Effective","Covered","Review result")))))</f>
        <v/>
      </c>
    </row>
    <row r="142" customFormat="false" ht="15" hidden="false" customHeight="false" outlineLevel="0" collapsed="false">
      <c r="A142" s="24" t="str">
        <f aca="false">IF(Ref_Risk_Control!A139="","",Ref_Risk_Control!A139)</f>
        <v/>
      </c>
      <c r="B142" s="24" t="str">
        <f aca="false">IF(A142="","",Ref_Risk_Control!B139)</f>
        <v/>
      </c>
      <c r="C142" s="24" t="str">
        <f aca="false">IF(A142="","",Ref_Risk_Control!C139)</f>
        <v/>
      </c>
      <c r="D142" s="24" t="str">
        <f aca="false">IF(A142="","",Ref_Risk_Control!D139)</f>
        <v/>
      </c>
      <c r="E142" s="24" t="str">
        <f aca="false">IF(A142="","",Ref_Risk_Control!E139)</f>
        <v/>
      </c>
      <c r="F142" s="24" t="str">
        <f aca="false">IF(A142="","",COUNTIF(Ref_Deficiencies!$D$2:$D$201,A142))</f>
        <v/>
      </c>
      <c r="G142" s="24" t="str">
        <f aca="false">IF(A142="","",IF(F142=0,"—",IF(COUNTIFS(Ref_Deficiencies!$D$2:$D$201,A142,Ref_Deficiencies!$E$2:$E$201,"Material weakness")&gt;0,"Material weakness",IF(COUNTIFS(Ref_Deficiencies!$D$2:$D$201,A142,Ref_Deficiencies!$E$2:$E$201,"Significant deficiency")&gt;0,"Significant deficiency","Control deficiency"))))</f>
        <v/>
      </c>
      <c r="H142" s="24" t="str">
        <f aca="false">IF(A142="","",IF(AND(B142="Y",C142=0),"GAP: no key control",IF(OR(E142="",E142="Not tested",E142="Pending"),"Not yet tested",IF(F142&gt;0,"Covered - deficiency ("&amp;G142&amp;")",IF(E142="Effective","Covered","Review result")))))</f>
        <v/>
      </c>
    </row>
    <row r="143" customFormat="false" ht="15" hidden="false" customHeight="false" outlineLevel="0" collapsed="false">
      <c r="A143" s="24" t="str">
        <f aca="false">IF(Ref_Risk_Control!A140="","",Ref_Risk_Control!A140)</f>
        <v/>
      </c>
      <c r="B143" s="24" t="str">
        <f aca="false">IF(A143="","",Ref_Risk_Control!B140)</f>
        <v/>
      </c>
      <c r="C143" s="24" t="str">
        <f aca="false">IF(A143="","",Ref_Risk_Control!C140)</f>
        <v/>
      </c>
      <c r="D143" s="24" t="str">
        <f aca="false">IF(A143="","",Ref_Risk_Control!D140)</f>
        <v/>
      </c>
      <c r="E143" s="24" t="str">
        <f aca="false">IF(A143="","",Ref_Risk_Control!E140)</f>
        <v/>
      </c>
      <c r="F143" s="24" t="str">
        <f aca="false">IF(A143="","",COUNTIF(Ref_Deficiencies!$D$2:$D$201,A143))</f>
        <v/>
      </c>
      <c r="G143" s="24" t="str">
        <f aca="false">IF(A143="","",IF(F143=0,"—",IF(COUNTIFS(Ref_Deficiencies!$D$2:$D$201,A143,Ref_Deficiencies!$E$2:$E$201,"Material weakness")&gt;0,"Material weakness",IF(COUNTIFS(Ref_Deficiencies!$D$2:$D$201,A143,Ref_Deficiencies!$E$2:$E$201,"Significant deficiency")&gt;0,"Significant deficiency","Control deficiency"))))</f>
        <v/>
      </c>
      <c r="H143" s="24" t="str">
        <f aca="false">IF(A143="","",IF(AND(B143="Y",C143=0),"GAP: no key control",IF(OR(E143="",E143="Not tested",E143="Pending"),"Not yet tested",IF(F143&gt;0,"Covered - deficiency ("&amp;G143&amp;")",IF(E143="Effective","Covered","Review result")))))</f>
        <v/>
      </c>
    </row>
    <row r="144" customFormat="false" ht="15" hidden="false" customHeight="false" outlineLevel="0" collapsed="false">
      <c r="A144" s="24" t="str">
        <f aca="false">IF(Ref_Risk_Control!A141="","",Ref_Risk_Control!A141)</f>
        <v/>
      </c>
      <c r="B144" s="24" t="str">
        <f aca="false">IF(A144="","",Ref_Risk_Control!B141)</f>
        <v/>
      </c>
      <c r="C144" s="24" t="str">
        <f aca="false">IF(A144="","",Ref_Risk_Control!C141)</f>
        <v/>
      </c>
      <c r="D144" s="24" t="str">
        <f aca="false">IF(A144="","",Ref_Risk_Control!D141)</f>
        <v/>
      </c>
      <c r="E144" s="24" t="str">
        <f aca="false">IF(A144="","",Ref_Risk_Control!E141)</f>
        <v/>
      </c>
      <c r="F144" s="24" t="str">
        <f aca="false">IF(A144="","",COUNTIF(Ref_Deficiencies!$D$2:$D$201,A144))</f>
        <v/>
      </c>
      <c r="G144" s="24" t="str">
        <f aca="false">IF(A144="","",IF(F144=0,"—",IF(COUNTIFS(Ref_Deficiencies!$D$2:$D$201,A144,Ref_Deficiencies!$E$2:$E$201,"Material weakness")&gt;0,"Material weakness",IF(COUNTIFS(Ref_Deficiencies!$D$2:$D$201,A144,Ref_Deficiencies!$E$2:$E$201,"Significant deficiency")&gt;0,"Significant deficiency","Control deficiency"))))</f>
        <v/>
      </c>
      <c r="H144" s="24" t="str">
        <f aca="false">IF(A144="","",IF(AND(B144="Y",C144=0),"GAP: no key control",IF(OR(E144="",E144="Not tested",E144="Pending"),"Not yet tested",IF(F144&gt;0,"Covered - deficiency ("&amp;G144&amp;")",IF(E144="Effective","Covered","Review result")))))</f>
        <v/>
      </c>
    </row>
    <row r="145" customFormat="false" ht="15" hidden="false" customHeight="false" outlineLevel="0" collapsed="false">
      <c r="A145" s="24" t="str">
        <f aca="false">IF(Ref_Risk_Control!A142="","",Ref_Risk_Control!A142)</f>
        <v/>
      </c>
      <c r="B145" s="24" t="str">
        <f aca="false">IF(A145="","",Ref_Risk_Control!B142)</f>
        <v/>
      </c>
      <c r="C145" s="24" t="str">
        <f aca="false">IF(A145="","",Ref_Risk_Control!C142)</f>
        <v/>
      </c>
      <c r="D145" s="24" t="str">
        <f aca="false">IF(A145="","",Ref_Risk_Control!D142)</f>
        <v/>
      </c>
      <c r="E145" s="24" t="str">
        <f aca="false">IF(A145="","",Ref_Risk_Control!E142)</f>
        <v/>
      </c>
      <c r="F145" s="24" t="str">
        <f aca="false">IF(A145="","",COUNTIF(Ref_Deficiencies!$D$2:$D$201,A145))</f>
        <v/>
      </c>
      <c r="G145" s="24" t="str">
        <f aca="false">IF(A145="","",IF(F145=0,"—",IF(COUNTIFS(Ref_Deficiencies!$D$2:$D$201,A145,Ref_Deficiencies!$E$2:$E$201,"Material weakness")&gt;0,"Material weakness",IF(COUNTIFS(Ref_Deficiencies!$D$2:$D$201,A145,Ref_Deficiencies!$E$2:$E$201,"Significant deficiency")&gt;0,"Significant deficiency","Control deficiency"))))</f>
        <v/>
      </c>
      <c r="H145" s="24" t="str">
        <f aca="false">IF(A145="","",IF(AND(B145="Y",C145=0),"GAP: no key control",IF(OR(E145="",E145="Not tested",E145="Pending"),"Not yet tested",IF(F145&gt;0,"Covered - deficiency ("&amp;G145&amp;")",IF(E145="Effective","Covered","Review result")))))</f>
        <v/>
      </c>
    </row>
    <row r="146" customFormat="false" ht="15" hidden="false" customHeight="false" outlineLevel="0" collapsed="false">
      <c r="A146" s="24" t="str">
        <f aca="false">IF(Ref_Risk_Control!A143="","",Ref_Risk_Control!A143)</f>
        <v/>
      </c>
      <c r="B146" s="24" t="str">
        <f aca="false">IF(A146="","",Ref_Risk_Control!B143)</f>
        <v/>
      </c>
      <c r="C146" s="24" t="str">
        <f aca="false">IF(A146="","",Ref_Risk_Control!C143)</f>
        <v/>
      </c>
      <c r="D146" s="24" t="str">
        <f aca="false">IF(A146="","",Ref_Risk_Control!D143)</f>
        <v/>
      </c>
      <c r="E146" s="24" t="str">
        <f aca="false">IF(A146="","",Ref_Risk_Control!E143)</f>
        <v/>
      </c>
      <c r="F146" s="24" t="str">
        <f aca="false">IF(A146="","",COUNTIF(Ref_Deficiencies!$D$2:$D$201,A146))</f>
        <v/>
      </c>
      <c r="G146" s="24" t="str">
        <f aca="false">IF(A146="","",IF(F146=0,"—",IF(COUNTIFS(Ref_Deficiencies!$D$2:$D$201,A146,Ref_Deficiencies!$E$2:$E$201,"Material weakness")&gt;0,"Material weakness",IF(COUNTIFS(Ref_Deficiencies!$D$2:$D$201,A146,Ref_Deficiencies!$E$2:$E$201,"Significant deficiency")&gt;0,"Significant deficiency","Control deficiency"))))</f>
        <v/>
      </c>
      <c r="H146" s="24" t="str">
        <f aca="false">IF(A146="","",IF(AND(B146="Y",C146=0),"GAP: no key control",IF(OR(E146="",E146="Not tested",E146="Pending"),"Not yet tested",IF(F146&gt;0,"Covered - deficiency ("&amp;G146&amp;")",IF(E146="Effective","Covered","Review result")))))</f>
        <v/>
      </c>
    </row>
    <row r="147" customFormat="false" ht="15" hidden="false" customHeight="false" outlineLevel="0" collapsed="false">
      <c r="A147" s="24" t="str">
        <f aca="false">IF(Ref_Risk_Control!A144="","",Ref_Risk_Control!A144)</f>
        <v/>
      </c>
      <c r="B147" s="24" t="str">
        <f aca="false">IF(A147="","",Ref_Risk_Control!B144)</f>
        <v/>
      </c>
      <c r="C147" s="24" t="str">
        <f aca="false">IF(A147="","",Ref_Risk_Control!C144)</f>
        <v/>
      </c>
      <c r="D147" s="24" t="str">
        <f aca="false">IF(A147="","",Ref_Risk_Control!D144)</f>
        <v/>
      </c>
      <c r="E147" s="24" t="str">
        <f aca="false">IF(A147="","",Ref_Risk_Control!E144)</f>
        <v/>
      </c>
      <c r="F147" s="24" t="str">
        <f aca="false">IF(A147="","",COUNTIF(Ref_Deficiencies!$D$2:$D$201,A147))</f>
        <v/>
      </c>
      <c r="G147" s="24" t="str">
        <f aca="false">IF(A147="","",IF(F147=0,"—",IF(COUNTIFS(Ref_Deficiencies!$D$2:$D$201,A147,Ref_Deficiencies!$E$2:$E$201,"Material weakness")&gt;0,"Material weakness",IF(COUNTIFS(Ref_Deficiencies!$D$2:$D$201,A147,Ref_Deficiencies!$E$2:$E$201,"Significant deficiency")&gt;0,"Significant deficiency","Control deficiency"))))</f>
        <v/>
      </c>
      <c r="H147" s="24" t="str">
        <f aca="false">IF(A147="","",IF(AND(B147="Y",C147=0),"GAP: no key control",IF(OR(E147="",E147="Not tested",E147="Pending"),"Not yet tested",IF(F147&gt;0,"Covered - deficiency ("&amp;G147&amp;")",IF(E147="Effective","Covered","Review result")))))</f>
        <v/>
      </c>
    </row>
    <row r="148" customFormat="false" ht="15" hidden="false" customHeight="false" outlineLevel="0" collapsed="false">
      <c r="A148" s="24" t="str">
        <f aca="false">IF(Ref_Risk_Control!A145="","",Ref_Risk_Control!A145)</f>
        <v/>
      </c>
      <c r="B148" s="24" t="str">
        <f aca="false">IF(A148="","",Ref_Risk_Control!B145)</f>
        <v/>
      </c>
      <c r="C148" s="24" t="str">
        <f aca="false">IF(A148="","",Ref_Risk_Control!C145)</f>
        <v/>
      </c>
      <c r="D148" s="24" t="str">
        <f aca="false">IF(A148="","",Ref_Risk_Control!D145)</f>
        <v/>
      </c>
      <c r="E148" s="24" t="str">
        <f aca="false">IF(A148="","",Ref_Risk_Control!E145)</f>
        <v/>
      </c>
      <c r="F148" s="24" t="str">
        <f aca="false">IF(A148="","",COUNTIF(Ref_Deficiencies!$D$2:$D$201,A148))</f>
        <v/>
      </c>
      <c r="G148" s="24" t="str">
        <f aca="false">IF(A148="","",IF(F148=0,"—",IF(COUNTIFS(Ref_Deficiencies!$D$2:$D$201,A148,Ref_Deficiencies!$E$2:$E$201,"Material weakness")&gt;0,"Material weakness",IF(COUNTIFS(Ref_Deficiencies!$D$2:$D$201,A148,Ref_Deficiencies!$E$2:$E$201,"Significant deficiency")&gt;0,"Significant deficiency","Control deficiency"))))</f>
        <v/>
      </c>
      <c r="H148" s="24" t="str">
        <f aca="false">IF(A148="","",IF(AND(B148="Y",C148=0),"GAP: no key control",IF(OR(E148="",E148="Not tested",E148="Pending"),"Not yet tested",IF(F148&gt;0,"Covered - deficiency ("&amp;G148&amp;")",IF(E148="Effective","Covered","Review result")))))</f>
        <v/>
      </c>
    </row>
    <row r="149" customFormat="false" ht="15" hidden="false" customHeight="false" outlineLevel="0" collapsed="false">
      <c r="A149" s="24" t="str">
        <f aca="false">IF(Ref_Risk_Control!A146="","",Ref_Risk_Control!A146)</f>
        <v/>
      </c>
      <c r="B149" s="24" t="str">
        <f aca="false">IF(A149="","",Ref_Risk_Control!B146)</f>
        <v/>
      </c>
      <c r="C149" s="24" t="str">
        <f aca="false">IF(A149="","",Ref_Risk_Control!C146)</f>
        <v/>
      </c>
      <c r="D149" s="24" t="str">
        <f aca="false">IF(A149="","",Ref_Risk_Control!D146)</f>
        <v/>
      </c>
      <c r="E149" s="24" t="str">
        <f aca="false">IF(A149="","",Ref_Risk_Control!E146)</f>
        <v/>
      </c>
      <c r="F149" s="24" t="str">
        <f aca="false">IF(A149="","",COUNTIF(Ref_Deficiencies!$D$2:$D$201,A149))</f>
        <v/>
      </c>
      <c r="G149" s="24" t="str">
        <f aca="false">IF(A149="","",IF(F149=0,"—",IF(COUNTIFS(Ref_Deficiencies!$D$2:$D$201,A149,Ref_Deficiencies!$E$2:$E$201,"Material weakness")&gt;0,"Material weakness",IF(COUNTIFS(Ref_Deficiencies!$D$2:$D$201,A149,Ref_Deficiencies!$E$2:$E$201,"Significant deficiency")&gt;0,"Significant deficiency","Control deficiency"))))</f>
        <v/>
      </c>
      <c r="H149" s="24" t="str">
        <f aca="false">IF(A149="","",IF(AND(B149="Y",C149=0),"GAP: no key control",IF(OR(E149="",E149="Not tested",E149="Pending"),"Not yet tested",IF(F149&gt;0,"Covered - deficiency ("&amp;G149&amp;")",IF(E149="Effective","Covered","Review result")))))</f>
        <v/>
      </c>
    </row>
    <row r="150" customFormat="false" ht="15" hidden="false" customHeight="false" outlineLevel="0" collapsed="false">
      <c r="A150" s="24" t="str">
        <f aca="false">IF(Ref_Risk_Control!A147="","",Ref_Risk_Control!A147)</f>
        <v/>
      </c>
      <c r="B150" s="24" t="str">
        <f aca="false">IF(A150="","",Ref_Risk_Control!B147)</f>
        <v/>
      </c>
      <c r="C150" s="24" t="str">
        <f aca="false">IF(A150="","",Ref_Risk_Control!C147)</f>
        <v/>
      </c>
      <c r="D150" s="24" t="str">
        <f aca="false">IF(A150="","",Ref_Risk_Control!D147)</f>
        <v/>
      </c>
      <c r="E150" s="24" t="str">
        <f aca="false">IF(A150="","",Ref_Risk_Control!E147)</f>
        <v/>
      </c>
      <c r="F150" s="24" t="str">
        <f aca="false">IF(A150="","",COUNTIF(Ref_Deficiencies!$D$2:$D$201,A150))</f>
        <v/>
      </c>
      <c r="G150" s="24" t="str">
        <f aca="false">IF(A150="","",IF(F150=0,"—",IF(COUNTIFS(Ref_Deficiencies!$D$2:$D$201,A150,Ref_Deficiencies!$E$2:$E$201,"Material weakness")&gt;0,"Material weakness",IF(COUNTIFS(Ref_Deficiencies!$D$2:$D$201,A150,Ref_Deficiencies!$E$2:$E$201,"Significant deficiency")&gt;0,"Significant deficiency","Control deficiency"))))</f>
        <v/>
      </c>
      <c r="H150" s="24" t="str">
        <f aca="false">IF(A150="","",IF(AND(B150="Y",C150=0),"GAP: no key control",IF(OR(E150="",E150="Not tested",E150="Pending"),"Not yet tested",IF(F150&gt;0,"Covered - deficiency ("&amp;G150&amp;")",IF(E150="Effective","Covered","Review result")))))</f>
        <v/>
      </c>
    </row>
    <row r="151" customFormat="false" ht="15" hidden="false" customHeight="false" outlineLevel="0" collapsed="false">
      <c r="A151" s="24" t="str">
        <f aca="false">IF(Ref_Risk_Control!A148="","",Ref_Risk_Control!A148)</f>
        <v/>
      </c>
      <c r="B151" s="24" t="str">
        <f aca="false">IF(A151="","",Ref_Risk_Control!B148)</f>
        <v/>
      </c>
      <c r="C151" s="24" t="str">
        <f aca="false">IF(A151="","",Ref_Risk_Control!C148)</f>
        <v/>
      </c>
      <c r="D151" s="24" t="str">
        <f aca="false">IF(A151="","",Ref_Risk_Control!D148)</f>
        <v/>
      </c>
      <c r="E151" s="24" t="str">
        <f aca="false">IF(A151="","",Ref_Risk_Control!E148)</f>
        <v/>
      </c>
      <c r="F151" s="24" t="str">
        <f aca="false">IF(A151="","",COUNTIF(Ref_Deficiencies!$D$2:$D$201,A151))</f>
        <v/>
      </c>
      <c r="G151" s="24" t="str">
        <f aca="false">IF(A151="","",IF(F151=0,"—",IF(COUNTIFS(Ref_Deficiencies!$D$2:$D$201,A151,Ref_Deficiencies!$E$2:$E$201,"Material weakness")&gt;0,"Material weakness",IF(COUNTIFS(Ref_Deficiencies!$D$2:$D$201,A151,Ref_Deficiencies!$E$2:$E$201,"Significant deficiency")&gt;0,"Significant deficiency","Control deficiency"))))</f>
        <v/>
      </c>
      <c r="H151" s="24" t="str">
        <f aca="false">IF(A151="","",IF(AND(B151="Y",C151=0),"GAP: no key control",IF(OR(E151="",E151="Not tested",E151="Pending"),"Not yet tested",IF(F151&gt;0,"Covered - deficiency ("&amp;G151&amp;")",IF(E151="Effective","Covered","Review result")))))</f>
        <v/>
      </c>
    </row>
    <row r="152" customFormat="false" ht="15" hidden="false" customHeight="false" outlineLevel="0" collapsed="false">
      <c r="A152" s="24" t="str">
        <f aca="false">IF(Ref_Risk_Control!A149="","",Ref_Risk_Control!A149)</f>
        <v/>
      </c>
      <c r="B152" s="24" t="str">
        <f aca="false">IF(A152="","",Ref_Risk_Control!B149)</f>
        <v/>
      </c>
      <c r="C152" s="24" t="str">
        <f aca="false">IF(A152="","",Ref_Risk_Control!C149)</f>
        <v/>
      </c>
      <c r="D152" s="24" t="str">
        <f aca="false">IF(A152="","",Ref_Risk_Control!D149)</f>
        <v/>
      </c>
      <c r="E152" s="24" t="str">
        <f aca="false">IF(A152="","",Ref_Risk_Control!E149)</f>
        <v/>
      </c>
      <c r="F152" s="24" t="str">
        <f aca="false">IF(A152="","",COUNTIF(Ref_Deficiencies!$D$2:$D$201,A152))</f>
        <v/>
      </c>
      <c r="G152" s="24" t="str">
        <f aca="false">IF(A152="","",IF(F152=0,"—",IF(COUNTIFS(Ref_Deficiencies!$D$2:$D$201,A152,Ref_Deficiencies!$E$2:$E$201,"Material weakness")&gt;0,"Material weakness",IF(COUNTIFS(Ref_Deficiencies!$D$2:$D$201,A152,Ref_Deficiencies!$E$2:$E$201,"Significant deficiency")&gt;0,"Significant deficiency","Control deficiency"))))</f>
        <v/>
      </c>
      <c r="H152" s="24" t="str">
        <f aca="false">IF(A152="","",IF(AND(B152="Y",C152=0),"GAP: no key control",IF(OR(E152="",E152="Not tested",E152="Pending"),"Not yet tested",IF(F152&gt;0,"Covered - deficiency ("&amp;G152&amp;")",IF(E152="Effective","Covered","Review result")))))</f>
        <v/>
      </c>
    </row>
    <row r="153" customFormat="false" ht="15" hidden="false" customHeight="false" outlineLevel="0" collapsed="false">
      <c r="A153" s="24" t="str">
        <f aca="false">IF(Ref_Risk_Control!A150="","",Ref_Risk_Control!A150)</f>
        <v/>
      </c>
      <c r="B153" s="24" t="str">
        <f aca="false">IF(A153="","",Ref_Risk_Control!B150)</f>
        <v/>
      </c>
      <c r="C153" s="24" t="str">
        <f aca="false">IF(A153="","",Ref_Risk_Control!C150)</f>
        <v/>
      </c>
      <c r="D153" s="24" t="str">
        <f aca="false">IF(A153="","",Ref_Risk_Control!D150)</f>
        <v/>
      </c>
      <c r="E153" s="24" t="str">
        <f aca="false">IF(A153="","",Ref_Risk_Control!E150)</f>
        <v/>
      </c>
      <c r="F153" s="24" t="str">
        <f aca="false">IF(A153="","",COUNTIF(Ref_Deficiencies!$D$2:$D$201,A153))</f>
        <v/>
      </c>
      <c r="G153" s="24" t="str">
        <f aca="false">IF(A153="","",IF(F153=0,"—",IF(COUNTIFS(Ref_Deficiencies!$D$2:$D$201,A153,Ref_Deficiencies!$E$2:$E$201,"Material weakness")&gt;0,"Material weakness",IF(COUNTIFS(Ref_Deficiencies!$D$2:$D$201,A153,Ref_Deficiencies!$E$2:$E$201,"Significant deficiency")&gt;0,"Significant deficiency","Control deficiency"))))</f>
        <v/>
      </c>
      <c r="H153" s="24" t="str">
        <f aca="false">IF(A153="","",IF(AND(B153="Y",C153=0),"GAP: no key control",IF(OR(E153="",E153="Not tested",E153="Pending"),"Not yet tested",IF(F153&gt;0,"Covered - deficiency ("&amp;G153&amp;")",IF(E153="Effective","Covered","Review result")))))</f>
        <v/>
      </c>
    </row>
    <row r="154" customFormat="false" ht="15" hidden="false" customHeight="false" outlineLevel="0" collapsed="false">
      <c r="A154" s="24" t="str">
        <f aca="false">IF(Ref_Risk_Control!A151="","",Ref_Risk_Control!A151)</f>
        <v/>
      </c>
      <c r="B154" s="24" t="str">
        <f aca="false">IF(A154="","",Ref_Risk_Control!B151)</f>
        <v/>
      </c>
      <c r="C154" s="24" t="str">
        <f aca="false">IF(A154="","",Ref_Risk_Control!C151)</f>
        <v/>
      </c>
      <c r="D154" s="24" t="str">
        <f aca="false">IF(A154="","",Ref_Risk_Control!D151)</f>
        <v/>
      </c>
      <c r="E154" s="24" t="str">
        <f aca="false">IF(A154="","",Ref_Risk_Control!E151)</f>
        <v/>
      </c>
      <c r="F154" s="24" t="str">
        <f aca="false">IF(A154="","",COUNTIF(Ref_Deficiencies!$D$2:$D$201,A154))</f>
        <v/>
      </c>
      <c r="G154" s="24" t="str">
        <f aca="false">IF(A154="","",IF(F154=0,"—",IF(COUNTIFS(Ref_Deficiencies!$D$2:$D$201,A154,Ref_Deficiencies!$E$2:$E$201,"Material weakness")&gt;0,"Material weakness",IF(COUNTIFS(Ref_Deficiencies!$D$2:$D$201,A154,Ref_Deficiencies!$E$2:$E$201,"Significant deficiency")&gt;0,"Significant deficiency","Control deficiency"))))</f>
        <v/>
      </c>
      <c r="H154" s="24" t="str">
        <f aca="false">IF(A154="","",IF(AND(B154="Y",C154=0),"GAP: no key control",IF(OR(E154="",E154="Not tested",E154="Pending"),"Not yet tested",IF(F154&gt;0,"Covered - deficiency ("&amp;G154&amp;")",IF(E154="Effective","Covered","Review result")))))</f>
        <v/>
      </c>
    </row>
    <row r="155" customFormat="false" ht="15" hidden="false" customHeight="false" outlineLevel="0" collapsed="false">
      <c r="A155" s="24" t="str">
        <f aca="false">IF(Ref_Risk_Control!A152="","",Ref_Risk_Control!A152)</f>
        <v/>
      </c>
      <c r="B155" s="24" t="str">
        <f aca="false">IF(A155="","",Ref_Risk_Control!B152)</f>
        <v/>
      </c>
      <c r="C155" s="24" t="str">
        <f aca="false">IF(A155="","",Ref_Risk_Control!C152)</f>
        <v/>
      </c>
      <c r="D155" s="24" t="str">
        <f aca="false">IF(A155="","",Ref_Risk_Control!D152)</f>
        <v/>
      </c>
      <c r="E155" s="24" t="str">
        <f aca="false">IF(A155="","",Ref_Risk_Control!E152)</f>
        <v/>
      </c>
      <c r="F155" s="24" t="str">
        <f aca="false">IF(A155="","",COUNTIF(Ref_Deficiencies!$D$2:$D$201,A155))</f>
        <v/>
      </c>
      <c r="G155" s="24" t="str">
        <f aca="false">IF(A155="","",IF(F155=0,"—",IF(COUNTIFS(Ref_Deficiencies!$D$2:$D$201,A155,Ref_Deficiencies!$E$2:$E$201,"Material weakness")&gt;0,"Material weakness",IF(COUNTIFS(Ref_Deficiencies!$D$2:$D$201,A155,Ref_Deficiencies!$E$2:$E$201,"Significant deficiency")&gt;0,"Significant deficiency","Control deficiency"))))</f>
        <v/>
      </c>
      <c r="H155" s="24" t="str">
        <f aca="false">IF(A155="","",IF(AND(B155="Y",C155=0),"GAP: no key control",IF(OR(E155="",E155="Not tested",E155="Pending"),"Not yet tested",IF(F155&gt;0,"Covered - deficiency ("&amp;G155&amp;")",IF(E155="Effective","Covered","Review result")))))</f>
        <v/>
      </c>
    </row>
    <row r="156" customFormat="false" ht="15" hidden="false" customHeight="false" outlineLevel="0" collapsed="false">
      <c r="A156" s="24" t="str">
        <f aca="false">IF(Ref_Risk_Control!A153="","",Ref_Risk_Control!A153)</f>
        <v/>
      </c>
      <c r="B156" s="24" t="str">
        <f aca="false">IF(A156="","",Ref_Risk_Control!B153)</f>
        <v/>
      </c>
      <c r="C156" s="24" t="str">
        <f aca="false">IF(A156="","",Ref_Risk_Control!C153)</f>
        <v/>
      </c>
      <c r="D156" s="24" t="str">
        <f aca="false">IF(A156="","",Ref_Risk_Control!D153)</f>
        <v/>
      </c>
      <c r="E156" s="24" t="str">
        <f aca="false">IF(A156="","",Ref_Risk_Control!E153)</f>
        <v/>
      </c>
      <c r="F156" s="24" t="str">
        <f aca="false">IF(A156="","",COUNTIF(Ref_Deficiencies!$D$2:$D$201,A156))</f>
        <v/>
      </c>
      <c r="G156" s="24" t="str">
        <f aca="false">IF(A156="","",IF(F156=0,"—",IF(COUNTIFS(Ref_Deficiencies!$D$2:$D$201,A156,Ref_Deficiencies!$E$2:$E$201,"Material weakness")&gt;0,"Material weakness",IF(COUNTIFS(Ref_Deficiencies!$D$2:$D$201,A156,Ref_Deficiencies!$E$2:$E$201,"Significant deficiency")&gt;0,"Significant deficiency","Control deficiency"))))</f>
        <v/>
      </c>
      <c r="H156" s="24" t="str">
        <f aca="false">IF(A156="","",IF(AND(B156="Y",C156=0),"GAP: no key control",IF(OR(E156="",E156="Not tested",E156="Pending"),"Not yet tested",IF(F156&gt;0,"Covered - deficiency ("&amp;G156&amp;")",IF(E156="Effective","Covered","Review result")))))</f>
        <v/>
      </c>
    </row>
    <row r="157" customFormat="false" ht="15" hidden="false" customHeight="false" outlineLevel="0" collapsed="false">
      <c r="A157" s="24" t="str">
        <f aca="false">IF(Ref_Risk_Control!A154="","",Ref_Risk_Control!A154)</f>
        <v/>
      </c>
      <c r="B157" s="24" t="str">
        <f aca="false">IF(A157="","",Ref_Risk_Control!B154)</f>
        <v/>
      </c>
      <c r="C157" s="24" t="str">
        <f aca="false">IF(A157="","",Ref_Risk_Control!C154)</f>
        <v/>
      </c>
      <c r="D157" s="24" t="str">
        <f aca="false">IF(A157="","",Ref_Risk_Control!D154)</f>
        <v/>
      </c>
      <c r="E157" s="24" t="str">
        <f aca="false">IF(A157="","",Ref_Risk_Control!E154)</f>
        <v/>
      </c>
      <c r="F157" s="24" t="str">
        <f aca="false">IF(A157="","",COUNTIF(Ref_Deficiencies!$D$2:$D$201,A157))</f>
        <v/>
      </c>
      <c r="G157" s="24" t="str">
        <f aca="false">IF(A157="","",IF(F157=0,"—",IF(COUNTIFS(Ref_Deficiencies!$D$2:$D$201,A157,Ref_Deficiencies!$E$2:$E$201,"Material weakness")&gt;0,"Material weakness",IF(COUNTIFS(Ref_Deficiencies!$D$2:$D$201,A157,Ref_Deficiencies!$E$2:$E$201,"Significant deficiency")&gt;0,"Significant deficiency","Control deficiency"))))</f>
        <v/>
      </c>
      <c r="H157" s="24" t="str">
        <f aca="false">IF(A157="","",IF(AND(B157="Y",C157=0),"GAP: no key control",IF(OR(E157="",E157="Not tested",E157="Pending"),"Not yet tested",IF(F157&gt;0,"Covered - deficiency ("&amp;G157&amp;")",IF(E157="Effective","Covered","Review result")))))</f>
        <v/>
      </c>
    </row>
    <row r="158" customFormat="false" ht="15" hidden="false" customHeight="false" outlineLevel="0" collapsed="false">
      <c r="A158" s="24" t="str">
        <f aca="false">IF(Ref_Risk_Control!A155="","",Ref_Risk_Control!A155)</f>
        <v/>
      </c>
      <c r="B158" s="24" t="str">
        <f aca="false">IF(A158="","",Ref_Risk_Control!B155)</f>
        <v/>
      </c>
      <c r="C158" s="24" t="str">
        <f aca="false">IF(A158="","",Ref_Risk_Control!C155)</f>
        <v/>
      </c>
      <c r="D158" s="24" t="str">
        <f aca="false">IF(A158="","",Ref_Risk_Control!D155)</f>
        <v/>
      </c>
      <c r="E158" s="24" t="str">
        <f aca="false">IF(A158="","",Ref_Risk_Control!E155)</f>
        <v/>
      </c>
      <c r="F158" s="24" t="str">
        <f aca="false">IF(A158="","",COUNTIF(Ref_Deficiencies!$D$2:$D$201,A158))</f>
        <v/>
      </c>
      <c r="G158" s="24" t="str">
        <f aca="false">IF(A158="","",IF(F158=0,"—",IF(COUNTIFS(Ref_Deficiencies!$D$2:$D$201,A158,Ref_Deficiencies!$E$2:$E$201,"Material weakness")&gt;0,"Material weakness",IF(COUNTIFS(Ref_Deficiencies!$D$2:$D$201,A158,Ref_Deficiencies!$E$2:$E$201,"Significant deficiency")&gt;0,"Significant deficiency","Control deficiency"))))</f>
        <v/>
      </c>
      <c r="H158" s="24" t="str">
        <f aca="false">IF(A158="","",IF(AND(B158="Y",C158=0),"GAP: no key control",IF(OR(E158="",E158="Not tested",E158="Pending"),"Not yet tested",IF(F158&gt;0,"Covered - deficiency ("&amp;G158&amp;")",IF(E158="Effective","Covered","Review result")))))</f>
        <v/>
      </c>
    </row>
    <row r="159" customFormat="false" ht="15" hidden="false" customHeight="false" outlineLevel="0" collapsed="false">
      <c r="A159" s="24" t="str">
        <f aca="false">IF(Ref_Risk_Control!A156="","",Ref_Risk_Control!A156)</f>
        <v/>
      </c>
      <c r="B159" s="24" t="str">
        <f aca="false">IF(A159="","",Ref_Risk_Control!B156)</f>
        <v/>
      </c>
      <c r="C159" s="24" t="str">
        <f aca="false">IF(A159="","",Ref_Risk_Control!C156)</f>
        <v/>
      </c>
      <c r="D159" s="24" t="str">
        <f aca="false">IF(A159="","",Ref_Risk_Control!D156)</f>
        <v/>
      </c>
      <c r="E159" s="24" t="str">
        <f aca="false">IF(A159="","",Ref_Risk_Control!E156)</f>
        <v/>
      </c>
      <c r="F159" s="24" t="str">
        <f aca="false">IF(A159="","",COUNTIF(Ref_Deficiencies!$D$2:$D$201,A159))</f>
        <v/>
      </c>
      <c r="G159" s="24" t="str">
        <f aca="false">IF(A159="","",IF(F159=0,"—",IF(COUNTIFS(Ref_Deficiencies!$D$2:$D$201,A159,Ref_Deficiencies!$E$2:$E$201,"Material weakness")&gt;0,"Material weakness",IF(COUNTIFS(Ref_Deficiencies!$D$2:$D$201,A159,Ref_Deficiencies!$E$2:$E$201,"Significant deficiency")&gt;0,"Significant deficiency","Control deficiency"))))</f>
        <v/>
      </c>
      <c r="H159" s="24" t="str">
        <f aca="false">IF(A159="","",IF(AND(B159="Y",C159=0),"GAP: no key control",IF(OR(E159="",E159="Not tested",E159="Pending"),"Not yet tested",IF(F159&gt;0,"Covered - deficiency ("&amp;G159&amp;")",IF(E159="Effective","Covered","Review result")))))</f>
        <v/>
      </c>
    </row>
    <row r="160" customFormat="false" ht="15" hidden="false" customHeight="false" outlineLevel="0" collapsed="false">
      <c r="A160" s="24" t="str">
        <f aca="false">IF(Ref_Risk_Control!A157="","",Ref_Risk_Control!A157)</f>
        <v/>
      </c>
      <c r="B160" s="24" t="str">
        <f aca="false">IF(A160="","",Ref_Risk_Control!B157)</f>
        <v/>
      </c>
      <c r="C160" s="24" t="str">
        <f aca="false">IF(A160="","",Ref_Risk_Control!C157)</f>
        <v/>
      </c>
      <c r="D160" s="24" t="str">
        <f aca="false">IF(A160="","",Ref_Risk_Control!D157)</f>
        <v/>
      </c>
      <c r="E160" s="24" t="str">
        <f aca="false">IF(A160="","",Ref_Risk_Control!E157)</f>
        <v/>
      </c>
      <c r="F160" s="24" t="str">
        <f aca="false">IF(A160="","",COUNTIF(Ref_Deficiencies!$D$2:$D$201,A160))</f>
        <v/>
      </c>
      <c r="G160" s="24" t="str">
        <f aca="false">IF(A160="","",IF(F160=0,"—",IF(COUNTIFS(Ref_Deficiencies!$D$2:$D$201,A160,Ref_Deficiencies!$E$2:$E$201,"Material weakness")&gt;0,"Material weakness",IF(COUNTIFS(Ref_Deficiencies!$D$2:$D$201,A160,Ref_Deficiencies!$E$2:$E$201,"Significant deficiency")&gt;0,"Significant deficiency","Control deficiency"))))</f>
        <v/>
      </c>
      <c r="H160" s="24" t="str">
        <f aca="false">IF(A160="","",IF(AND(B160="Y",C160=0),"GAP: no key control",IF(OR(E160="",E160="Not tested",E160="Pending"),"Not yet tested",IF(F160&gt;0,"Covered - deficiency ("&amp;G160&amp;")",IF(E160="Effective","Covered","Review result")))))</f>
        <v/>
      </c>
    </row>
    <row r="161" customFormat="false" ht="15" hidden="false" customHeight="false" outlineLevel="0" collapsed="false">
      <c r="A161" s="24" t="str">
        <f aca="false">IF(Ref_Risk_Control!A158="","",Ref_Risk_Control!A158)</f>
        <v/>
      </c>
      <c r="B161" s="24" t="str">
        <f aca="false">IF(A161="","",Ref_Risk_Control!B158)</f>
        <v/>
      </c>
      <c r="C161" s="24" t="str">
        <f aca="false">IF(A161="","",Ref_Risk_Control!C158)</f>
        <v/>
      </c>
      <c r="D161" s="24" t="str">
        <f aca="false">IF(A161="","",Ref_Risk_Control!D158)</f>
        <v/>
      </c>
      <c r="E161" s="24" t="str">
        <f aca="false">IF(A161="","",Ref_Risk_Control!E158)</f>
        <v/>
      </c>
      <c r="F161" s="24" t="str">
        <f aca="false">IF(A161="","",COUNTIF(Ref_Deficiencies!$D$2:$D$201,A161))</f>
        <v/>
      </c>
      <c r="G161" s="24" t="str">
        <f aca="false">IF(A161="","",IF(F161=0,"—",IF(COUNTIFS(Ref_Deficiencies!$D$2:$D$201,A161,Ref_Deficiencies!$E$2:$E$201,"Material weakness")&gt;0,"Material weakness",IF(COUNTIFS(Ref_Deficiencies!$D$2:$D$201,A161,Ref_Deficiencies!$E$2:$E$201,"Significant deficiency")&gt;0,"Significant deficiency","Control deficiency"))))</f>
        <v/>
      </c>
      <c r="H161" s="24" t="str">
        <f aca="false">IF(A161="","",IF(AND(B161="Y",C161=0),"GAP: no key control",IF(OR(E161="",E161="Not tested",E161="Pending"),"Not yet tested",IF(F161&gt;0,"Covered - deficiency ("&amp;G161&amp;")",IF(E161="Effective","Covered","Review result")))))</f>
        <v/>
      </c>
    </row>
    <row r="162" customFormat="false" ht="15" hidden="false" customHeight="false" outlineLevel="0" collapsed="false">
      <c r="A162" s="24" t="str">
        <f aca="false">IF(Ref_Risk_Control!A159="","",Ref_Risk_Control!A159)</f>
        <v/>
      </c>
      <c r="B162" s="24" t="str">
        <f aca="false">IF(A162="","",Ref_Risk_Control!B159)</f>
        <v/>
      </c>
      <c r="C162" s="24" t="str">
        <f aca="false">IF(A162="","",Ref_Risk_Control!C159)</f>
        <v/>
      </c>
      <c r="D162" s="24" t="str">
        <f aca="false">IF(A162="","",Ref_Risk_Control!D159)</f>
        <v/>
      </c>
      <c r="E162" s="24" t="str">
        <f aca="false">IF(A162="","",Ref_Risk_Control!E159)</f>
        <v/>
      </c>
      <c r="F162" s="24" t="str">
        <f aca="false">IF(A162="","",COUNTIF(Ref_Deficiencies!$D$2:$D$201,A162))</f>
        <v/>
      </c>
      <c r="G162" s="24" t="str">
        <f aca="false">IF(A162="","",IF(F162=0,"—",IF(COUNTIFS(Ref_Deficiencies!$D$2:$D$201,A162,Ref_Deficiencies!$E$2:$E$201,"Material weakness")&gt;0,"Material weakness",IF(COUNTIFS(Ref_Deficiencies!$D$2:$D$201,A162,Ref_Deficiencies!$E$2:$E$201,"Significant deficiency")&gt;0,"Significant deficiency","Control deficiency"))))</f>
        <v/>
      </c>
      <c r="H162" s="24" t="str">
        <f aca="false">IF(A162="","",IF(AND(B162="Y",C162=0),"GAP: no key control",IF(OR(E162="",E162="Not tested",E162="Pending"),"Not yet tested",IF(F162&gt;0,"Covered - deficiency ("&amp;G162&amp;")",IF(E162="Effective","Covered","Review result")))))</f>
        <v/>
      </c>
    </row>
    <row r="163" customFormat="false" ht="15" hidden="false" customHeight="false" outlineLevel="0" collapsed="false">
      <c r="A163" s="24" t="str">
        <f aca="false">IF(Ref_Risk_Control!A160="","",Ref_Risk_Control!A160)</f>
        <v/>
      </c>
      <c r="B163" s="24" t="str">
        <f aca="false">IF(A163="","",Ref_Risk_Control!B160)</f>
        <v/>
      </c>
      <c r="C163" s="24" t="str">
        <f aca="false">IF(A163="","",Ref_Risk_Control!C160)</f>
        <v/>
      </c>
      <c r="D163" s="24" t="str">
        <f aca="false">IF(A163="","",Ref_Risk_Control!D160)</f>
        <v/>
      </c>
      <c r="E163" s="24" t="str">
        <f aca="false">IF(A163="","",Ref_Risk_Control!E160)</f>
        <v/>
      </c>
      <c r="F163" s="24" t="str">
        <f aca="false">IF(A163="","",COUNTIF(Ref_Deficiencies!$D$2:$D$201,A163))</f>
        <v/>
      </c>
      <c r="G163" s="24" t="str">
        <f aca="false">IF(A163="","",IF(F163=0,"—",IF(COUNTIFS(Ref_Deficiencies!$D$2:$D$201,A163,Ref_Deficiencies!$E$2:$E$201,"Material weakness")&gt;0,"Material weakness",IF(COUNTIFS(Ref_Deficiencies!$D$2:$D$201,A163,Ref_Deficiencies!$E$2:$E$201,"Significant deficiency")&gt;0,"Significant deficiency","Control deficiency"))))</f>
        <v/>
      </c>
      <c r="H163" s="24" t="str">
        <f aca="false">IF(A163="","",IF(AND(B163="Y",C163=0),"GAP: no key control",IF(OR(E163="",E163="Not tested",E163="Pending"),"Not yet tested",IF(F163&gt;0,"Covered - deficiency ("&amp;G163&amp;")",IF(E163="Effective","Covered","Review result")))))</f>
        <v/>
      </c>
    </row>
    <row r="164" customFormat="false" ht="15" hidden="false" customHeight="false" outlineLevel="0" collapsed="false">
      <c r="A164" s="24" t="str">
        <f aca="false">IF(Ref_Risk_Control!A161="","",Ref_Risk_Control!A161)</f>
        <v/>
      </c>
      <c r="B164" s="24" t="str">
        <f aca="false">IF(A164="","",Ref_Risk_Control!B161)</f>
        <v/>
      </c>
      <c r="C164" s="24" t="str">
        <f aca="false">IF(A164="","",Ref_Risk_Control!C161)</f>
        <v/>
      </c>
      <c r="D164" s="24" t="str">
        <f aca="false">IF(A164="","",Ref_Risk_Control!D161)</f>
        <v/>
      </c>
      <c r="E164" s="24" t="str">
        <f aca="false">IF(A164="","",Ref_Risk_Control!E161)</f>
        <v/>
      </c>
      <c r="F164" s="24" t="str">
        <f aca="false">IF(A164="","",COUNTIF(Ref_Deficiencies!$D$2:$D$201,A164))</f>
        <v/>
      </c>
      <c r="G164" s="24" t="str">
        <f aca="false">IF(A164="","",IF(F164=0,"—",IF(COUNTIFS(Ref_Deficiencies!$D$2:$D$201,A164,Ref_Deficiencies!$E$2:$E$201,"Material weakness")&gt;0,"Material weakness",IF(COUNTIFS(Ref_Deficiencies!$D$2:$D$201,A164,Ref_Deficiencies!$E$2:$E$201,"Significant deficiency")&gt;0,"Significant deficiency","Control deficiency"))))</f>
        <v/>
      </c>
      <c r="H164" s="24" t="str">
        <f aca="false">IF(A164="","",IF(AND(B164="Y",C164=0),"GAP: no key control",IF(OR(E164="",E164="Not tested",E164="Pending"),"Not yet tested",IF(F164&gt;0,"Covered - deficiency ("&amp;G164&amp;")",IF(E164="Effective","Covered","Review result")))))</f>
        <v/>
      </c>
    </row>
    <row r="165" customFormat="false" ht="15" hidden="false" customHeight="false" outlineLevel="0" collapsed="false">
      <c r="A165" s="24" t="str">
        <f aca="false">IF(Ref_Risk_Control!A162="","",Ref_Risk_Control!A162)</f>
        <v/>
      </c>
      <c r="B165" s="24" t="str">
        <f aca="false">IF(A165="","",Ref_Risk_Control!B162)</f>
        <v/>
      </c>
      <c r="C165" s="24" t="str">
        <f aca="false">IF(A165="","",Ref_Risk_Control!C162)</f>
        <v/>
      </c>
      <c r="D165" s="24" t="str">
        <f aca="false">IF(A165="","",Ref_Risk_Control!D162)</f>
        <v/>
      </c>
      <c r="E165" s="24" t="str">
        <f aca="false">IF(A165="","",Ref_Risk_Control!E162)</f>
        <v/>
      </c>
      <c r="F165" s="24" t="str">
        <f aca="false">IF(A165="","",COUNTIF(Ref_Deficiencies!$D$2:$D$201,A165))</f>
        <v/>
      </c>
      <c r="G165" s="24" t="str">
        <f aca="false">IF(A165="","",IF(F165=0,"—",IF(COUNTIFS(Ref_Deficiencies!$D$2:$D$201,A165,Ref_Deficiencies!$E$2:$E$201,"Material weakness")&gt;0,"Material weakness",IF(COUNTIFS(Ref_Deficiencies!$D$2:$D$201,A165,Ref_Deficiencies!$E$2:$E$201,"Significant deficiency")&gt;0,"Significant deficiency","Control deficiency"))))</f>
        <v/>
      </c>
      <c r="H165" s="24" t="str">
        <f aca="false">IF(A165="","",IF(AND(B165="Y",C165=0),"GAP: no key control",IF(OR(E165="",E165="Not tested",E165="Pending"),"Not yet tested",IF(F165&gt;0,"Covered - deficiency ("&amp;G165&amp;")",IF(E165="Effective","Covered","Review result")))))</f>
        <v/>
      </c>
    </row>
    <row r="166" customFormat="false" ht="15" hidden="false" customHeight="false" outlineLevel="0" collapsed="false">
      <c r="A166" s="24" t="str">
        <f aca="false">IF(Ref_Risk_Control!A163="","",Ref_Risk_Control!A163)</f>
        <v/>
      </c>
      <c r="B166" s="24" t="str">
        <f aca="false">IF(A166="","",Ref_Risk_Control!B163)</f>
        <v/>
      </c>
      <c r="C166" s="24" t="str">
        <f aca="false">IF(A166="","",Ref_Risk_Control!C163)</f>
        <v/>
      </c>
      <c r="D166" s="24" t="str">
        <f aca="false">IF(A166="","",Ref_Risk_Control!D163)</f>
        <v/>
      </c>
      <c r="E166" s="24" t="str">
        <f aca="false">IF(A166="","",Ref_Risk_Control!E163)</f>
        <v/>
      </c>
      <c r="F166" s="24" t="str">
        <f aca="false">IF(A166="","",COUNTIF(Ref_Deficiencies!$D$2:$D$201,A166))</f>
        <v/>
      </c>
      <c r="G166" s="24" t="str">
        <f aca="false">IF(A166="","",IF(F166=0,"—",IF(COUNTIFS(Ref_Deficiencies!$D$2:$D$201,A166,Ref_Deficiencies!$E$2:$E$201,"Material weakness")&gt;0,"Material weakness",IF(COUNTIFS(Ref_Deficiencies!$D$2:$D$201,A166,Ref_Deficiencies!$E$2:$E$201,"Significant deficiency")&gt;0,"Significant deficiency","Control deficiency"))))</f>
        <v/>
      </c>
      <c r="H166" s="24" t="str">
        <f aca="false">IF(A166="","",IF(AND(B166="Y",C166=0),"GAP: no key control",IF(OR(E166="",E166="Not tested",E166="Pending"),"Not yet tested",IF(F166&gt;0,"Covered - deficiency ("&amp;G166&amp;")",IF(E166="Effective","Covered","Review result")))))</f>
        <v/>
      </c>
    </row>
    <row r="167" customFormat="false" ht="15" hidden="false" customHeight="false" outlineLevel="0" collapsed="false">
      <c r="A167" s="24" t="str">
        <f aca="false">IF(Ref_Risk_Control!A164="","",Ref_Risk_Control!A164)</f>
        <v/>
      </c>
      <c r="B167" s="24" t="str">
        <f aca="false">IF(A167="","",Ref_Risk_Control!B164)</f>
        <v/>
      </c>
      <c r="C167" s="24" t="str">
        <f aca="false">IF(A167="","",Ref_Risk_Control!C164)</f>
        <v/>
      </c>
      <c r="D167" s="24" t="str">
        <f aca="false">IF(A167="","",Ref_Risk_Control!D164)</f>
        <v/>
      </c>
      <c r="E167" s="24" t="str">
        <f aca="false">IF(A167="","",Ref_Risk_Control!E164)</f>
        <v/>
      </c>
      <c r="F167" s="24" t="str">
        <f aca="false">IF(A167="","",COUNTIF(Ref_Deficiencies!$D$2:$D$201,A167))</f>
        <v/>
      </c>
      <c r="G167" s="24" t="str">
        <f aca="false">IF(A167="","",IF(F167=0,"—",IF(COUNTIFS(Ref_Deficiencies!$D$2:$D$201,A167,Ref_Deficiencies!$E$2:$E$201,"Material weakness")&gt;0,"Material weakness",IF(COUNTIFS(Ref_Deficiencies!$D$2:$D$201,A167,Ref_Deficiencies!$E$2:$E$201,"Significant deficiency")&gt;0,"Significant deficiency","Control deficiency"))))</f>
        <v/>
      </c>
      <c r="H167" s="24" t="str">
        <f aca="false">IF(A167="","",IF(AND(B167="Y",C167=0),"GAP: no key control",IF(OR(E167="",E167="Not tested",E167="Pending"),"Not yet tested",IF(F167&gt;0,"Covered - deficiency ("&amp;G167&amp;")",IF(E167="Effective","Covered","Review result")))))</f>
        <v/>
      </c>
    </row>
    <row r="168" customFormat="false" ht="15" hidden="false" customHeight="false" outlineLevel="0" collapsed="false">
      <c r="A168" s="24" t="str">
        <f aca="false">IF(Ref_Risk_Control!A165="","",Ref_Risk_Control!A165)</f>
        <v/>
      </c>
      <c r="B168" s="24" t="str">
        <f aca="false">IF(A168="","",Ref_Risk_Control!B165)</f>
        <v/>
      </c>
      <c r="C168" s="24" t="str">
        <f aca="false">IF(A168="","",Ref_Risk_Control!C165)</f>
        <v/>
      </c>
      <c r="D168" s="24" t="str">
        <f aca="false">IF(A168="","",Ref_Risk_Control!D165)</f>
        <v/>
      </c>
      <c r="E168" s="24" t="str">
        <f aca="false">IF(A168="","",Ref_Risk_Control!E165)</f>
        <v/>
      </c>
      <c r="F168" s="24" t="str">
        <f aca="false">IF(A168="","",COUNTIF(Ref_Deficiencies!$D$2:$D$201,A168))</f>
        <v/>
      </c>
      <c r="G168" s="24" t="str">
        <f aca="false">IF(A168="","",IF(F168=0,"—",IF(COUNTIFS(Ref_Deficiencies!$D$2:$D$201,A168,Ref_Deficiencies!$E$2:$E$201,"Material weakness")&gt;0,"Material weakness",IF(COUNTIFS(Ref_Deficiencies!$D$2:$D$201,A168,Ref_Deficiencies!$E$2:$E$201,"Significant deficiency")&gt;0,"Significant deficiency","Control deficiency"))))</f>
        <v/>
      </c>
      <c r="H168" s="24" t="str">
        <f aca="false">IF(A168="","",IF(AND(B168="Y",C168=0),"GAP: no key control",IF(OR(E168="",E168="Not tested",E168="Pending"),"Not yet tested",IF(F168&gt;0,"Covered - deficiency ("&amp;G168&amp;")",IF(E168="Effective","Covered","Review result")))))</f>
        <v/>
      </c>
    </row>
    <row r="169" customFormat="false" ht="15" hidden="false" customHeight="false" outlineLevel="0" collapsed="false">
      <c r="A169" s="24" t="str">
        <f aca="false">IF(Ref_Risk_Control!A166="","",Ref_Risk_Control!A166)</f>
        <v/>
      </c>
      <c r="B169" s="24" t="str">
        <f aca="false">IF(A169="","",Ref_Risk_Control!B166)</f>
        <v/>
      </c>
      <c r="C169" s="24" t="str">
        <f aca="false">IF(A169="","",Ref_Risk_Control!C166)</f>
        <v/>
      </c>
      <c r="D169" s="24" t="str">
        <f aca="false">IF(A169="","",Ref_Risk_Control!D166)</f>
        <v/>
      </c>
      <c r="E169" s="24" t="str">
        <f aca="false">IF(A169="","",Ref_Risk_Control!E166)</f>
        <v/>
      </c>
      <c r="F169" s="24" t="str">
        <f aca="false">IF(A169="","",COUNTIF(Ref_Deficiencies!$D$2:$D$201,A169))</f>
        <v/>
      </c>
      <c r="G169" s="24" t="str">
        <f aca="false">IF(A169="","",IF(F169=0,"—",IF(COUNTIFS(Ref_Deficiencies!$D$2:$D$201,A169,Ref_Deficiencies!$E$2:$E$201,"Material weakness")&gt;0,"Material weakness",IF(COUNTIFS(Ref_Deficiencies!$D$2:$D$201,A169,Ref_Deficiencies!$E$2:$E$201,"Significant deficiency")&gt;0,"Significant deficiency","Control deficiency"))))</f>
        <v/>
      </c>
      <c r="H169" s="24" t="str">
        <f aca="false">IF(A169="","",IF(AND(B169="Y",C169=0),"GAP: no key control",IF(OR(E169="",E169="Not tested",E169="Pending"),"Not yet tested",IF(F169&gt;0,"Covered - deficiency ("&amp;G169&amp;")",IF(E169="Effective","Covered","Review result")))))</f>
        <v/>
      </c>
    </row>
    <row r="170" customFormat="false" ht="15" hidden="false" customHeight="false" outlineLevel="0" collapsed="false">
      <c r="A170" s="24" t="str">
        <f aca="false">IF(Ref_Risk_Control!A167="","",Ref_Risk_Control!A167)</f>
        <v/>
      </c>
      <c r="B170" s="24" t="str">
        <f aca="false">IF(A170="","",Ref_Risk_Control!B167)</f>
        <v/>
      </c>
      <c r="C170" s="24" t="str">
        <f aca="false">IF(A170="","",Ref_Risk_Control!C167)</f>
        <v/>
      </c>
      <c r="D170" s="24" t="str">
        <f aca="false">IF(A170="","",Ref_Risk_Control!D167)</f>
        <v/>
      </c>
      <c r="E170" s="24" t="str">
        <f aca="false">IF(A170="","",Ref_Risk_Control!E167)</f>
        <v/>
      </c>
      <c r="F170" s="24" t="str">
        <f aca="false">IF(A170="","",COUNTIF(Ref_Deficiencies!$D$2:$D$201,A170))</f>
        <v/>
      </c>
      <c r="G170" s="24" t="str">
        <f aca="false">IF(A170="","",IF(F170=0,"—",IF(COUNTIFS(Ref_Deficiencies!$D$2:$D$201,A170,Ref_Deficiencies!$E$2:$E$201,"Material weakness")&gt;0,"Material weakness",IF(COUNTIFS(Ref_Deficiencies!$D$2:$D$201,A170,Ref_Deficiencies!$E$2:$E$201,"Significant deficiency")&gt;0,"Significant deficiency","Control deficiency"))))</f>
        <v/>
      </c>
      <c r="H170" s="24" t="str">
        <f aca="false">IF(A170="","",IF(AND(B170="Y",C170=0),"GAP: no key control",IF(OR(E170="",E170="Not tested",E170="Pending"),"Not yet tested",IF(F170&gt;0,"Covered - deficiency ("&amp;G170&amp;")",IF(E170="Effective","Covered","Review result")))))</f>
        <v/>
      </c>
    </row>
    <row r="171" customFormat="false" ht="15" hidden="false" customHeight="false" outlineLevel="0" collapsed="false">
      <c r="A171" s="24" t="str">
        <f aca="false">IF(Ref_Risk_Control!A168="","",Ref_Risk_Control!A168)</f>
        <v/>
      </c>
      <c r="B171" s="24" t="str">
        <f aca="false">IF(A171="","",Ref_Risk_Control!B168)</f>
        <v/>
      </c>
      <c r="C171" s="24" t="str">
        <f aca="false">IF(A171="","",Ref_Risk_Control!C168)</f>
        <v/>
      </c>
      <c r="D171" s="24" t="str">
        <f aca="false">IF(A171="","",Ref_Risk_Control!D168)</f>
        <v/>
      </c>
      <c r="E171" s="24" t="str">
        <f aca="false">IF(A171="","",Ref_Risk_Control!E168)</f>
        <v/>
      </c>
      <c r="F171" s="24" t="str">
        <f aca="false">IF(A171="","",COUNTIF(Ref_Deficiencies!$D$2:$D$201,A171))</f>
        <v/>
      </c>
      <c r="G171" s="24" t="str">
        <f aca="false">IF(A171="","",IF(F171=0,"—",IF(COUNTIFS(Ref_Deficiencies!$D$2:$D$201,A171,Ref_Deficiencies!$E$2:$E$201,"Material weakness")&gt;0,"Material weakness",IF(COUNTIFS(Ref_Deficiencies!$D$2:$D$201,A171,Ref_Deficiencies!$E$2:$E$201,"Significant deficiency")&gt;0,"Significant deficiency","Control deficiency"))))</f>
        <v/>
      </c>
      <c r="H171" s="24" t="str">
        <f aca="false">IF(A171="","",IF(AND(B171="Y",C171=0),"GAP: no key control",IF(OR(E171="",E171="Not tested",E171="Pending"),"Not yet tested",IF(F171&gt;0,"Covered - deficiency ("&amp;G171&amp;")",IF(E171="Effective","Covered","Review result")))))</f>
        <v/>
      </c>
    </row>
    <row r="172" customFormat="false" ht="15" hidden="false" customHeight="false" outlineLevel="0" collapsed="false">
      <c r="A172" s="24" t="str">
        <f aca="false">IF(Ref_Risk_Control!A169="","",Ref_Risk_Control!A169)</f>
        <v/>
      </c>
      <c r="B172" s="24" t="str">
        <f aca="false">IF(A172="","",Ref_Risk_Control!B169)</f>
        <v/>
      </c>
      <c r="C172" s="24" t="str">
        <f aca="false">IF(A172="","",Ref_Risk_Control!C169)</f>
        <v/>
      </c>
      <c r="D172" s="24" t="str">
        <f aca="false">IF(A172="","",Ref_Risk_Control!D169)</f>
        <v/>
      </c>
      <c r="E172" s="24" t="str">
        <f aca="false">IF(A172="","",Ref_Risk_Control!E169)</f>
        <v/>
      </c>
      <c r="F172" s="24" t="str">
        <f aca="false">IF(A172="","",COUNTIF(Ref_Deficiencies!$D$2:$D$201,A172))</f>
        <v/>
      </c>
      <c r="G172" s="24" t="str">
        <f aca="false">IF(A172="","",IF(F172=0,"—",IF(COUNTIFS(Ref_Deficiencies!$D$2:$D$201,A172,Ref_Deficiencies!$E$2:$E$201,"Material weakness")&gt;0,"Material weakness",IF(COUNTIFS(Ref_Deficiencies!$D$2:$D$201,A172,Ref_Deficiencies!$E$2:$E$201,"Significant deficiency")&gt;0,"Significant deficiency","Control deficiency"))))</f>
        <v/>
      </c>
      <c r="H172" s="24" t="str">
        <f aca="false">IF(A172="","",IF(AND(B172="Y",C172=0),"GAP: no key control",IF(OR(E172="",E172="Not tested",E172="Pending"),"Not yet tested",IF(F172&gt;0,"Covered - deficiency ("&amp;G172&amp;")",IF(E172="Effective","Covered","Review result")))))</f>
        <v/>
      </c>
    </row>
    <row r="173" customFormat="false" ht="15" hidden="false" customHeight="false" outlineLevel="0" collapsed="false">
      <c r="A173" s="24" t="str">
        <f aca="false">IF(Ref_Risk_Control!A170="","",Ref_Risk_Control!A170)</f>
        <v/>
      </c>
      <c r="B173" s="24" t="str">
        <f aca="false">IF(A173="","",Ref_Risk_Control!B170)</f>
        <v/>
      </c>
      <c r="C173" s="24" t="str">
        <f aca="false">IF(A173="","",Ref_Risk_Control!C170)</f>
        <v/>
      </c>
      <c r="D173" s="24" t="str">
        <f aca="false">IF(A173="","",Ref_Risk_Control!D170)</f>
        <v/>
      </c>
      <c r="E173" s="24" t="str">
        <f aca="false">IF(A173="","",Ref_Risk_Control!E170)</f>
        <v/>
      </c>
      <c r="F173" s="24" t="str">
        <f aca="false">IF(A173="","",COUNTIF(Ref_Deficiencies!$D$2:$D$201,A173))</f>
        <v/>
      </c>
      <c r="G173" s="24" t="str">
        <f aca="false">IF(A173="","",IF(F173=0,"—",IF(COUNTIFS(Ref_Deficiencies!$D$2:$D$201,A173,Ref_Deficiencies!$E$2:$E$201,"Material weakness")&gt;0,"Material weakness",IF(COUNTIFS(Ref_Deficiencies!$D$2:$D$201,A173,Ref_Deficiencies!$E$2:$E$201,"Significant deficiency")&gt;0,"Significant deficiency","Control deficiency"))))</f>
        <v/>
      </c>
      <c r="H173" s="24" t="str">
        <f aca="false">IF(A173="","",IF(AND(B173="Y",C173=0),"GAP: no key control",IF(OR(E173="",E173="Not tested",E173="Pending"),"Not yet tested",IF(F173&gt;0,"Covered - deficiency ("&amp;G173&amp;")",IF(E173="Effective","Covered","Review result")))))</f>
        <v/>
      </c>
    </row>
    <row r="174" customFormat="false" ht="15" hidden="false" customHeight="false" outlineLevel="0" collapsed="false">
      <c r="A174" s="24" t="str">
        <f aca="false">IF(Ref_Risk_Control!A171="","",Ref_Risk_Control!A171)</f>
        <v/>
      </c>
      <c r="B174" s="24" t="str">
        <f aca="false">IF(A174="","",Ref_Risk_Control!B171)</f>
        <v/>
      </c>
      <c r="C174" s="24" t="str">
        <f aca="false">IF(A174="","",Ref_Risk_Control!C171)</f>
        <v/>
      </c>
      <c r="D174" s="24" t="str">
        <f aca="false">IF(A174="","",Ref_Risk_Control!D171)</f>
        <v/>
      </c>
      <c r="E174" s="24" t="str">
        <f aca="false">IF(A174="","",Ref_Risk_Control!E171)</f>
        <v/>
      </c>
      <c r="F174" s="24" t="str">
        <f aca="false">IF(A174="","",COUNTIF(Ref_Deficiencies!$D$2:$D$201,A174))</f>
        <v/>
      </c>
      <c r="G174" s="24" t="str">
        <f aca="false">IF(A174="","",IF(F174=0,"—",IF(COUNTIFS(Ref_Deficiencies!$D$2:$D$201,A174,Ref_Deficiencies!$E$2:$E$201,"Material weakness")&gt;0,"Material weakness",IF(COUNTIFS(Ref_Deficiencies!$D$2:$D$201,A174,Ref_Deficiencies!$E$2:$E$201,"Significant deficiency")&gt;0,"Significant deficiency","Control deficiency"))))</f>
        <v/>
      </c>
      <c r="H174" s="24" t="str">
        <f aca="false">IF(A174="","",IF(AND(B174="Y",C174=0),"GAP: no key control",IF(OR(E174="",E174="Not tested",E174="Pending"),"Not yet tested",IF(F174&gt;0,"Covered - deficiency ("&amp;G174&amp;")",IF(E174="Effective","Covered","Review result")))))</f>
        <v/>
      </c>
    </row>
    <row r="175" customFormat="false" ht="15" hidden="false" customHeight="false" outlineLevel="0" collapsed="false">
      <c r="A175" s="24" t="str">
        <f aca="false">IF(Ref_Risk_Control!A172="","",Ref_Risk_Control!A172)</f>
        <v/>
      </c>
      <c r="B175" s="24" t="str">
        <f aca="false">IF(A175="","",Ref_Risk_Control!B172)</f>
        <v/>
      </c>
      <c r="C175" s="24" t="str">
        <f aca="false">IF(A175="","",Ref_Risk_Control!C172)</f>
        <v/>
      </c>
      <c r="D175" s="24" t="str">
        <f aca="false">IF(A175="","",Ref_Risk_Control!D172)</f>
        <v/>
      </c>
      <c r="E175" s="24" t="str">
        <f aca="false">IF(A175="","",Ref_Risk_Control!E172)</f>
        <v/>
      </c>
      <c r="F175" s="24" t="str">
        <f aca="false">IF(A175="","",COUNTIF(Ref_Deficiencies!$D$2:$D$201,A175))</f>
        <v/>
      </c>
      <c r="G175" s="24" t="str">
        <f aca="false">IF(A175="","",IF(F175=0,"—",IF(COUNTIFS(Ref_Deficiencies!$D$2:$D$201,A175,Ref_Deficiencies!$E$2:$E$201,"Material weakness")&gt;0,"Material weakness",IF(COUNTIFS(Ref_Deficiencies!$D$2:$D$201,A175,Ref_Deficiencies!$E$2:$E$201,"Significant deficiency")&gt;0,"Significant deficiency","Control deficiency"))))</f>
        <v/>
      </c>
      <c r="H175" s="24" t="str">
        <f aca="false">IF(A175="","",IF(AND(B175="Y",C175=0),"GAP: no key control",IF(OR(E175="",E175="Not tested",E175="Pending"),"Not yet tested",IF(F175&gt;0,"Covered - deficiency ("&amp;G175&amp;")",IF(E175="Effective","Covered","Review result")))))</f>
        <v/>
      </c>
    </row>
    <row r="176" customFormat="false" ht="15" hidden="false" customHeight="false" outlineLevel="0" collapsed="false">
      <c r="A176" s="24" t="str">
        <f aca="false">IF(Ref_Risk_Control!A173="","",Ref_Risk_Control!A173)</f>
        <v/>
      </c>
      <c r="B176" s="24" t="str">
        <f aca="false">IF(A176="","",Ref_Risk_Control!B173)</f>
        <v/>
      </c>
      <c r="C176" s="24" t="str">
        <f aca="false">IF(A176="","",Ref_Risk_Control!C173)</f>
        <v/>
      </c>
      <c r="D176" s="24" t="str">
        <f aca="false">IF(A176="","",Ref_Risk_Control!D173)</f>
        <v/>
      </c>
      <c r="E176" s="24" t="str">
        <f aca="false">IF(A176="","",Ref_Risk_Control!E173)</f>
        <v/>
      </c>
      <c r="F176" s="24" t="str">
        <f aca="false">IF(A176="","",COUNTIF(Ref_Deficiencies!$D$2:$D$201,A176))</f>
        <v/>
      </c>
      <c r="G176" s="24" t="str">
        <f aca="false">IF(A176="","",IF(F176=0,"—",IF(COUNTIFS(Ref_Deficiencies!$D$2:$D$201,A176,Ref_Deficiencies!$E$2:$E$201,"Material weakness")&gt;0,"Material weakness",IF(COUNTIFS(Ref_Deficiencies!$D$2:$D$201,A176,Ref_Deficiencies!$E$2:$E$201,"Significant deficiency")&gt;0,"Significant deficiency","Control deficiency"))))</f>
        <v/>
      </c>
      <c r="H176" s="24" t="str">
        <f aca="false">IF(A176="","",IF(AND(B176="Y",C176=0),"GAP: no key control",IF(OR(E176="",E176="Not tested",E176="Pending"),"Not yet tested",IF(F176&gt;0,"Covered - deficiency ("&amp;G176&amp;")",IF(E176="Effective","Covered","Review result")))))</f>
        <v/>
      </c>
    </row>
    <row r="177" customFormat="false" ht="15" hidden="false" customHeight="false" outlineLevel="0" collapsed="false">
      <c r="A177" s="24" t="str">
        <f aca="false">IF(Ref_Risk_Control!A174="","",Ref_Risk_Control!A174)</f>
        <v/>
      </c>
      <c r="B177" s="24" t="str">
        <f aca="false">IF(A177="","",Ref_Risk_Control!B174)</f>
        <v/>
      </c>
      <c r="C177" s="24" t="str">
        <f aca="false">IF(A177="","",Ref_Risk_Control!C174)</f>
        <v/>
      </c>
      <c r="D177" s="24" t="str">
        <f aca="false">IF(A177="","",Ref_Risk_Control!D174)</f>
        <v/>
      </c>
      <c r="E177" s="24" t="str">
        <f aca="false">IF(A177="","",Ref_Risk_Control!E174)</f>
        <v/>
      </c>
      <c r="F177" s="24" t="str">
        <f aca="false">IF(A177="","",COUNTIF(Ref_Deficiencies!$D$2:$D$201,A177))</f>
        <v/>
      </c>
      <c r="G177" s="24" t="str">
        <f aca="false">IF(A177="","",IF(F177=0,"—",IF(COUNTIFS(Ref_Deficiencies!$D$2:$D$201,A177,Ref_Deficiencies!$E$2:$E$201,"Material weakness")&gt;0,"Material weakness",IF(COUNTIFS(Ref_Deficiencies!$D$2:$D$201,A177,Ref_Deficiencies!$E$2:$E$201,"Significant deficiency")&gt;0,"Significant deficiency","Control deficiency"))))</f>
        <v/>
      </c>
      <c r="H177" s="24" t="str">
        <f aca="false">IF(A177="","",IF(AND(B177="Y",C177=0),"GAP: no key control",IF(OR(E177="",E177="Not tested",E177="Pending"),"Not yet tested",IF(F177&gt;0,"Covered - deficiency ("&amp;G177&amp;")",IF(E177="Effective","Covered","Review result")))))</f>
        <v/>
      </c>
    </row>
    <row r="178" customFormat="false" ht="15" hidden="false" customHeight="false" outlineLevel="0" collapsed="false">
      <c r="A178" s="24" t="str">
        <f aca="false">IF(Ref_Risk_Control!A175="","",Ref_Risk_Control!A175)</f>
        <v/>
      </c>
      <c r="B178" s="24" t="str">
        <f aca="false">IF(A178="","",Ref_Risk_Control!B175)</f>
        <v/>
      </c>
      <c r="C178" s="24" t="str">
        <f aca="false">IF(A178="","",Ref_Risk_Control!C175)</f>
        <v/>
      </c>
      <c r="D178" s="24" t="str">
        <f aca="false">IF(A178="","",Ref_Risk_Control!D175)</f>
        <v/>
      </c>
      <c r="E178" s="24" t="str">
        <f aca="false">IF(A178="","",Ref_Risk_Control!E175)</f>
        <v/>
      </c>
      <c r="F178" s="24" t="str">
        <f aca="false">IF(A178="","",COUNTIF(Ref_Deficiencies!$D$2:$D$201,A178))</f>
        <v/>
      </c>
      <c r="G178" s="24" t="str">
        <f aca="false">IF(A178="","",IF(F178=0,"—",IF(COUNTIFS(Ref_Deficiencies!$D$2:$D$201,A178,Ref_Deficiencies!$E$2:$E$201,"Material weakness")&gt;0,"Material weakness",IF(COUNTIFS(Ref_Deficiencies!$D$2:$D$201,A178,Ref_Deficiencies!$E$2:$E$201,"Significant deficiency")&gt;0,"Significant deficiency","Control deficiency"))))</f>
        <v/>
      </c>
      <c r="H178" s="24" t="str">
        <f aca="false">IF(A178="","",IF(AND(B178="Y",C178=0),"GAP: no key control",IF(OR(E178="",E178="Not tested",E178="Pending"),"Not yet tested",IF(F178&gt;0,"Covered - deficiency ("&amp;G178&amp;")",IF(E178="Effective","Covered","Review result")))))</f>
        <v/>
      </c>
    </row>
    <row r="179" customFormat="false" ht="15" hidden="false" customHeight="false" outlineLevel="0" collapsed="false">
      <c r="A179" s="24" t="str">
        <f aca="false">IF(Ref_Risk_Control!A176="","",Ref_Risk_Control!A176)</f>
        <v/>
      </c>
      <c r="B179" s="24" t="str">
        <f aca="false">IF(A179="","",Ref_Risk_Control!B176)</f>
        <v/>
      </c>
      <c r="C179" s="24" t="str">
        <f aca="false">IF(A179="","",Ref_Risk_Control!C176)</f>
        <v/>
      </c>
      <c r="D179" s="24" t="str">
        <f aca="false">IF(A179="","",Ref_Risk_Control!D176)</f>
        <v/>
      </c>
      <c r="E179" s="24" t="str">
        <f aca="false">IF(A179="","",Ref_Risk_Control!E176)</f>
        <v/>
      </c>
      <c r="F179" s="24" t="str">
        <f aca="false">IF(A179="","",COUNTIF(Ref_Deficiencies!$D$2:$D$201,A179))</f>
        <v/>
      </c>
      <c r="G179" s="24" t="str">
        <f aca="false">IF(A179="","",IF(F179=0,"—",IF(COUNTIFS(Ref_Deficiencies!$D$2:$D$201,A179,Ref_Deficiencies!$E$2:$E$201,"Material weakness")&gt;0,"Material weakness",IF(COUNTIFS(Ref_Deficiencies!$D$2:$D$201,A179,Ref_Deficiencies!$E$2:$E$201,"Significant deficiency")&gt;0,"Significant deficiency","Control deficiency"))))</f>
        <v/>
      </c>
      <c r="H179" s="24" t="str">
        <f aca="false">IF(A179="","",IF(AND(B179="Y",C179=0),"GAP: no key control",IF(OR(E179="",E179="Not tested",E179="Pending"),"Not yet tested",IF(F179&gt;0,"Covered - deficiency ("&amp;G179&amp;")",IF(E179="Effective","Covered","Review result")))))</f>
        <v/>
      </c>
    </row>
    <row r="180" customFormat="false" ht="15" hidden="false" customHeight="false" outlineLevel="0" collapsed="false">
      <c r="A180" s="24" t="str">
        <f aca="false">IF(Ref_Risk_Control!A177="","",Ref_Risk_Control!A177)</f>
        <v/>
      </c>
      <c r="B180" s="24" t="str">
        <f aca="false">IF(A180="","",Ref_Risk_Control!B177)</f>
        <v/>
      </c>
      <c r="C180" s="24" t="str">
        <f aca="false">IF(A180="","",Ref_Risk_Control!C177)</f>
        <v/>
      </c>
      <c r="D180" s="24" t="str">
        <f aca="false">IF(A180="","",Ref_Risk_Control!D177)</f>
        <v/>
      </c>
      <c r="E180" s="24" t="str">
        <f aca="false">IF(A180="","",Ref_Risk_Control!E177)</f>
        <v/>
      </c>
      <c r="F180" s="24" t="str">
        <f aca="false">IF(A180="","",COUNTIF(Ref_Deficiencies!$D$2:$D$201,A180))</f>
        <v/>
      </c>
      <c r="G180" s="24" t="str">
        <f aca="false">IF(A180="","",IF(F180=0,"—",IF(COUNTIFS(Ref_Deficiencies!$D$2:$D$201,A180,Ref_Deficiencies!$E$2:$E$201,"Material weakness")&gt;0,"Material weakness",IF(COUNTIFS(Ref_Deficiencies!$D$2:$D$201,A180,Ref_Deficiencies!$E$2:$E$201,"Significant deficiency")&gt;0,"Significant deficiency","Control deficiency"))))</f>
        <v/>
      </c>
      <c r="H180" s="24" t="str">
        <f aca="false">IF(A180="","",IF(AND(B180="Y",C180=0),"GAP: no key control",IF(OR(E180="",E180="Not tested",E180="Pending"),"Not yet tested",IF(F180&gt;0,"Covered - deficiency ("&amp;G180&amp;")",IF(E180="Effective","Covered","Review result")))))</f>
        <v/>
      </c>
    </row>
    <row r="181" customFormat="false" ht="15" hidden="false" customHeight="false" outlineLevel="0" collapsed="false">
      <c r="A181" s="24" t="str">
        <f aca="false">IF(Ref_Risk_Control!A178="","",Ref_Risk_Control!A178)</f>
        <v/>
      </c>
      <c r="B181" s="24" t="str">
        <f aca="false">IF(A181="","",Ref_Risk_Control!B178)</f>
        <v/>
      </c>
      <c r="C181" s="24" t="str">
        <f aca="false">IF(A181="","",Ref_Risk_Control!C178)</f>
        <v/>
      </c>
      <c r="D181" s="24" t="str">
        <f aca="false">IF(A181="","",Ref_Risk_Control!D178)</f>
        <v/>
      </c>
      <c r="E181" s="24" t="str">
        <f aca="false">IF(A181="","",Ref_Risk_Control!E178)</f>
        <v/>
      </c>
      <c r="F181" s="24" t="str">
        <f aca="false">IF(A181="","",COUNTIF(Ref_Deficiencies!$D$2:$D$201,A181))</f>
        <v/>
      </c>
      <c r="G181" s="24" t="str">
        <f aca="false">IF(A181="","",IF(F181=0,"—",IF(COUNTIFS(Ref_Deficiencies!$D$2:$D$201,A181,Ref_Deficiencies!$E$2:$E$201,"Material weakness")&gt;0,"Material weakness",IF(COUNTIFS(Ref_Deficiencies!$D$2:$D$201,A181,Ref_Deficiencies!$E$2:$E$201,"Significant deficiency")&gt;0,"Significant deficiency","Control deficiency"))))</f>
        <v/>
      </c>
      <c r="H181" s="24" t="str">
        <f aca="false">IF(A181="","",IF(AND(B181="Y",C181=0),"GAP: no key control",IF(OR(E181="",E181="Not tested",E181="Pending"),"Not yet tested",IF(F181&gt;0,"Covered - deficiency ("&amp;G181&amp;")",IF(E181="Effective","Covered","Review result")))))</f>
        <v/>
      </c>
    </row>
    <row r="182" customFormat="false" ht="15" hidden="false" customHeight="false" outlineLevel="0" collapsed="false">
      <c r="A182" s="24" t="str">
        <f aca="false">IF(Ref_Risk_Control!A179="","",Ref_Risk_Control!A179)</f>
        <v/>
      </c>
      <c r="B182" s="24" t="str">
        <f aca="false">IF(A182="","",Ref_Risk_Control!B179)</f>
        <v/>
      </c>
      <c r="C182" s="24" t="str">
        <f aca="false">IF(A182="","",Ref_Risk_Control!C179)</f>
        <v/>
      </c>
      <c r="D182" s="24" t="str">
        <f aca="false">IF(A182="","",Ref_Risk_Control!D179)</f>
        <v/>
      </c>
      <c r="E182" s="24" t="str">
        <f aca="false">IF(A182="","",Ref_Risk_Control!E179)</f>
        <v/>
      </c>
      <c r="F182" s="24" t="str">
        <f aca="false">IF(A182="","",COUNTIF(Ref_Deficiencies!$D$2:$D$201,A182))</f>
        <v/>
      </c>
      <c r="G182" s="24" t="str">
        <f aca="false">IF(A182="","",IF(F182=0,"—",IF(COUNTIFS(Ref_Deficiencies!$D$2:$D$201,A182,Ref_Deficiencies!$E$2:$E$201,"Material weakness")&gt;0,"Material weakness",IF(COUNTIFS(Ref_Deficiencies!$D$2:$D$201,A182,Ref_Deficiencies!$E$2:$E$201,"Significant deficiency")&gt;0,"Significant deficiency","Control deficiency"))))</f>
        <v/>
      </c>
      <c r="H182" s="24" t="str">
        <f aca="false">IF(A182="","",IF(AND(B182="Y",C182=0),"GAP: no key control",IF(OR(E182="",E182="Not tested",E182="Pending"),"Not yet tested",IF(F182&gt;0,"Covered - deficiency ("&amp;G182&amp;")",IF(E182="Effective","Covered","Review result")))))</f>
        <v/>
      </c>
    </row>
    <row r="183" customFormat="false" ht="15" hidden="false" customHeight="false" outlineLevel="0" collapsed="false">
      <c r="A183" s="24" t="str">
        <f aca="false">IF(Ref_Risk_Control!A180="","",Ref_Risk_Control!A180)</f>
        <v/>
      </c>
      <c r="B183" s="24" t="str">
        <f aca="false">IF(A183="","",Ref_Risk_Control!B180)</f>
        <v/>
      </c>
      <c r="C183" s="24" t="str">
        <f aca="false">IF(A183="","",Ref_Risk_Control!C180)</f>
        <v/>
      </c>
      <c r="D183" s="24" t="str">
        <f aca="false">IF(A183="","",Ref_Risk_Control!D180)</f>
        <v/>
      </c>
      <c r="E183" s="24" t="str">
        <f aca="false">IF(A183="","",Ref_Risk_Control!E180)</f>
        <v/>
      </c>
      <c r="F183" s="24" t="str">
        <f aca="false">IF(A183="","",COUNTIF(Ref_Deficiencies!$D$2:$D$201,A183))</f>
        <v/>
      </c>
      <c r="G183" s="24" t="str">
        <f aca="false">IF(A183="","",IF(F183=0,"—",IF(COUNTIFS(Ref_Deficiencies!$D$2:$D$201,A183,Ref_Deficiencies!$E$2:$E$201,"Material weakness")&gt;0,"Material weakness",IF(COUNTIFS(Ref_Deficiencies!$D$2:$D$201,A183,Ref_Deficiencies!$E$2:$E$201,"Significant deficiency")&gt;0,"Significant deficiency","Control deficiency"))))</f>
        <v/>
      </c>
      <c r="H183" s="24" t="str">
        <f aca="false">IF(A183="","",IF(AND(B183="Y",C183=0),"GAP: no key control",IF(OR(E183="",E183="Not tested",E183="Pending"),"Not yet tested",IF(F183&gt;0,"Covered - deficiency ("&amp;G183&amp;")",IF(E183="Effective","Covered","Review result")))))</f>
        <v/>
      </c>
    </row>
    <row r="184" customFormat="false" ht="15" hidden="false" customHeight="false" outlineLevel="0" collapsed="false">
      <c r="A184" s="24" t="str">
        <f aca="false">IF(Ref_Risk_Control!A181="","",Ref_Risk_Control!A181)</f>
        <v/>
      </c>
      <c r="B184" s="24" t="str">
        <f aca="false">IF(A184="","",Ref_Risk_Control!B181)</f>
        <v/>
      </c>
      <c r="C184" s="24" t="str">
        <f aca="false">IF(A184="","",Ref_Risk_Control!C181)</f>
        <v/>
      </c>
      <c r="D184" s="24" t="str">
        <f aca="false">IF(A184="","",Ref_Risk_Control!D181)</f>
        <v/>
      </c>
      <c r="E184" s="24" t="str">
        <f aca="false">IF(A184="","",Ref_Risk_Control!E181)</f>
        <v/>
      </c>
      <c r="F184" s="24" t="str">
        <f aca="false">IF(A184="","",COUNTIF(Ref_Deficiencies!$D$2:$D$201,A184))</f>
        <v/>
      </c>
      <c r="G184" s="24" t="str">
        <f aca="false">IF(A184="","",IF(F184=0,"—",IF(COUNTIFS(Ref_Deficiencies!$D$2:$D$201,A184,Ref_Deficiencies!$E$2:$E$201,"Material weakness")&gt;0,"Material weakness",IF(COUNTIFS(Ref_Deficiencies!$D$2:$D$201,A184,Ref_Deficiencies!$E$2:$E$201,"Significant deficiency")&gt;0,"Significant deficiency","Control deficiency"))))</f>
        <v/>
      </c>
      <c r="H184" s="24" t="str">
        <f aca="false">IF(A184="","",IF(AND(B184="Y",C184=0),"GAP: no key control",IF(OR(E184="",E184="Not tested",E184="Pending"),"Not yet tested",IF(F184&gt;0,"Covered - deficiency ("&amp;G184&amp;")",IF(E184="Effective","Covered","Review result")))))</f>
        <v/>
      </c>
    </row>
    <row r="185" customFormat="false" ht="15" hidden="false" customHeight="false" outlineLevel="0" collapsed="false">
      <c r="A185" s="24" t="str">
        <f aca="false">IF(Ref_Risk_Control!A182="","",Ref_Risk_Control!A182)</f>
        <v/>
      </c>
      <c r="B185" s="24" t="str">
        <f aca="false">IF(A185="","",Ref_Risk_Control!B182)</f>
        <v/>
      </c>
      <c r="C185" s="24" t="str">
        <f aca="false">IF(A185="","",Ref_Risk_Control!C182)</f>
        <v/>
      </c>
      <c r="D185" s="24" t="str">
        <f aca="false">IF(A185="","",Ref_Risk_Control!D182)</f>
        <v/>
      </c>
      <c r="E185" s="24" t="str">
        <f aca="false">IF(A185="","",Ref_Risk_Control!E182)</f>
        <v/>
      </c>
      <c r="F185" s="24" t="str">
        <f aca="false">IF(A185="","",COUNTIF(Ref_Deficiencies!$D$2:$D$201,A185))</f>
        <v/>
      </c>
      <c r="G185" s="24" t="str">
        <f aca="false">IF(A185="","",IF(F185=0,"—",IF(COUNTIFS(Ref_Deficiencies!$D$2:$D$201,A185,Ref_Deficiencies!$E$2:$E$201,"Material weakness")&gt;0,"Material weakness",IF(COUNTIFS(Ref_Deficiencies!$D$2:$D$201,A185,Ref_Deficiencies!$E$2:$E$201,"Significant deficiency")&gt;0,"Significant deficiency","Control deficiency"))))</f>
        <v/>
      </c>
      <c r="H185" s="24" t="str">
        <f aca="false">IF(A185="","",IF(AND(B185="Y",C185=0),"GAP: no key control",IF(OR(E185="",E185="Not tested",E185="Pending"),"Not yet tested",IF(F185&gt;0,"Covered - deficiency ("&amp;G185&amp;")",IF(E185="Effective","Covered","Review result")))))</f>
        <v/>
      </c>
    </row>
    <row r="186" customFormat="false" ht="15" hidden="false" customHeight="false" outlineLevel="0" collapsed="false">
      <c r="A186" s="24" t="str">
        <f aca="false">IF(Ref_Risk_Control!A183="","",Ref_Risk_Control!A183)</f>
        <v/>
      </c>
      <c r="B186" s="24" t="str">
        <f aca="false">IF(A186="","",Ref_Risk_Control!B183)</f>
        <v/>
      </c>
      <c r="C186" s="24" t="str">
        <f aca="false">IF(A186="","",Ref_Risk_Control!C183)</f>
        <v/>
      </c>
      <c r="D186" s="24" t="str">
        <f aca="false">IF(A186="","",Ref_Risk_Control!D183)</f>
        <v/>
      </c>
      <c r="E186" s="24" t="str">
        <f aca="false">IF(A186="","",Ref_Risk_Control!E183)</f>
        <v/>
      </c>
      <c r="F186" s="24" t="str">
        <f aca="false">IF(A186="","",COUNTIF(Ref_Deficiencies!$D$2:$D$201,A186))</f>
        <v/>
      </c>
      <c r="G186" s="24" t="str">
        <f aca="false">IF(A186="","",IF(F186=0,"—",IF(COUNTIFS(Ref_Deficiencies!$D$2:$D$201,A186,Ref_Deficiencies!$E$2:$E$201,"Material weakness")&gt;0,"Material weakness",IF(COUNTIFS(Ref_Deficiencies!$D$2:$D$201,A186,Ref_Deficiencies!$E$2:$E$201,"Significant deficiency")&gt;0,"Significant deficiency","Control deficiency"))))</f>
        <v/>
      </c>
      <c r="H186" s="24" t="str">
        <f aca="false">IF(A186="","",IF(AND(B186="Y",C186=0),"GAP: no key control",IF(OR(E186="",E186="Not tested",E186="Pending"),"Not yet tested",IF(F186&gt;0,"Covered - deficiency ("&amp;G186&amp;")",IF(E186="Effective","Covered","Review result")))))</f>
        <v/>
      </c>
    </row>
    <row r="187" customFormat="false" ht="15" hidden="false" customHeight="false" outlineLevel="0" collapsed="false">
      <c r="A187" s="24" t="str">
        <f aca="false">IF(Ref_Risk_Control!A184="","",Ref_Risk_Control!A184)</f>
        <v/>
      </c>
      <c r="B187" s="24" t="str">
        <f aca="false">IF(A187="","",Ref_Risk_Control!B184)</f>
        <v/>
      </c>
      <c r="C187" s="24" t="str">
        <f aca="false">IF(A187="","",Ref_Risk_Control!C184)</f>
        <v/>
      </c>
      <c r="D187" s="24" t="str">
        <f aca="false">IF(A187="","",Ref_Risk_Control!D184)</f>
        <v/>
      </c>
      <c r="E187" s="24" t="str">
        <f aca="false">IF(A187="","",Ref_Risk_Control!E184)</f>
        <v/>
      </c>
      <c r="F187" s="24" t="str">
        <f aca="false">IF(A187="","",COUNTIF(Ref_Deficiencies!$D$2:$D$201,A187))</f>
        <v/>
      </c>
      <c r="G187" s="24" t="str">
        <f aca="false">IF(A187="","",IF(F187=0,"—",IF(COUNTIFS(Ref_Deficiencies!$D$2:$D$201,A187,Ref_Deficiencies!$E$2:$E$201,"Material weakness")&gt;0,"Material weakness",IF(COUNTIFS(Ref_Deficiencies!$D$2:$D$201,A187,Ref_Deficiencies!$E$2:$E$201,"Significant deficiency")&gt;0,"Significant deficiency","Control deficiency"))))</f>
        <v/>
      </c>
      <c r="H187" s="24" t="str">
        <f aca="false">IF(A187="","",IF(AND(B187="Y",C187=0),"GAP: no key control",IF(OR(E187="",E187="Not tested",E187="Pending"),"Not yet tested",IF(F187&gt;0,"Covered - deficiency ("&amp;G187&amp;")",IF(E187="Effective","Covered","Review result")))))</f>
        <v/>
      </c>
    </row>
    <row r="188" customFormat="false" ht="15" hidden="false" customHeight="false" outlineLevel="0" collapsed="false">
      <c r="A188" s="24" t="str">
        <f aca="false">IF(Ref_Risk_Control!A185="","",Ref_Risk_Control!A185)</f>
        <v/>
      </c>
      <c r="B188" s="24" t="str">
        <f aca="false">IF(A188="","",Ref_Risk_Control!B185)</f>
        <v/>
      </c>
      <c r="C188" s="24" t="str">
        <f aca="false">IF(A188="","",Ref_Risk_Control!C185)</f>
        <v/>
      </c>
      <c r="D188" s="24" t="str">
        <f aca="false">IF(A188="","",Ref_Risk_Control!D185)</f>
        <v/>
      </c>
      <c r="E188" s="24" t="str">
        <f aca="false">IF(A188="","",Ref_Risk_Control!E185)</f>
        <v/>
      </c>
      <c r="F188" s="24" t="str">
        <f aca="false">IF(A188="","",COUNTIF(Ref_Deficiencies!$D$2:$D$201,A188))</f>
        <v/>
      </c>
      <c r="G188" s="24" t="str">
        <f aca="false">IF(A188="","",IF(F188=0,"—",IF(COUNTIFS(Ref_Deficiencies!$D$2:$D$201,A188,Ref_Deficiencies!$E$2:$E$201,"Material weakness")&gt;0,"Material weakness",IF(COUNTIFS(Ref_Deficiencies!$D$2:$D$201,A188,Ref_Deficiencies!$E$2:$E$201,"Significant deficiency")&gt;0,"Significant deficiency","Control deficiency"))))</f>
        <v/>
      </c>
      <c r="H188" s="24" t="str">
        <f aca="false">IF(A188="","",IF(AND(B188="Y",C188=0),"GAP: no key control",IF(OR(E188="",E188="Not tested",E188="Pending"),"Not yet tested",IF(F188&gt;0,"Covered - deficiency ("&amp;G188&amp;")",IF(E188="Effective","Covered","Review result")))))</f>
        <v/>
      </c>
    </row>
    <row r="189" customFormat="false" ht="15" hidden="false" customHeight="false" outlineLevel="0" collapsed="false">
      <c r="A189" s="24" t="str">
        <f aca="false">IF(Ref_Risk_Control!A186="","",Ref_Risk_Control!A186)</f>
        <v/>
      </c>
      <c r="B189" s="24" t="str">
        <f aca="false">IF(A189="","",Ref_Risk_Control!B186)</f>
        <v/>
      </c>
      <c r="C189" s="24" t="str">
        <f aca="false">IF(A189="","",Ref_Risk_Control!C186)</f>
        <v/>
      </c>
      <c r="D189" s="24" t="str">
        <f aca="false">IF(A189="","",Ref_Risk_Control!D186)</f>
        <v/>
      </c>
      <c r="E189" s="24" t="str">
        <f aca="false">IF(A189="","",Ref_Risk_Control!E186)</f>
        <v/>
      </c>
      <c r="F189" s="24" t="str">
        <f aca="false">IF(A189="","",COUNTIF(Ref_Deficiencies!$D$2:$D$201,A189))</f>
        <v/>
      </c>
      <c r="G189" s="24" t="str">
        <f aca="false">IF(A189="","",IF(F189=0,"—",IF(COUNTIFS(Ref_Deficiencies!$D$2:$D$201,A189,Ref_Deficiencies!$E$2:$E$201,"Material weakness")&gt;0,"Material weakness",IF(COUNTIFS(Ref_Deficiencies!$D$2:$D$201,A189,Ref_Deficiencies!$E$2:$E$201,"Significant deficiency")&gt;0,"Significant deficiency","Control deficiency"))))</f>
        <v/>
      </c>
      <c r="H189" s="24" t="str">
        <f aca="false">IF(A189="","",IF(AND(B189="Y",C189=0),"GAP: no key control",IF(OR(E189="",E189="Not tested",E189="Pending"),"Not yet tested",IF(F189&gt;0,"Covered - deficiency ("&amp;G189&amp;")",IF(E189="Effective","Covered","Review result")))))</f>
        <v/>
      </c>
    </row>
    <row r="190" customFormat="false" ht="15" hidden="false" customHeight="false" outlineLevel="0" collapsed="false">
      <c r="A190" s="24" t="str">
        <f aca="false">IF(Ref_Risk_Control!A187="","",Ref_Risk_Control!A187)</f>
        <v/>
      </c>
      <c r="B190" s="24" t="str">
        <f aca="false">IF(A190="","",Ref_Risk_Control!B187)</f>
        <v/>
      </c>
      <c r="C190" s="24" t="str">
        <f aca="false">IF(A190="","",Ref_Risk_Control!C187)</f>
        <v/>
      </c>
      <c r="D190" s="24" t="str">
        <f aca="false">IF(A190="","",Ref_Risk_Control!D187)</f>
        <v/>
      </c>
      <c r="E190" s="24" t="str">
        <f aca="false">IF(A190="","",Ref_Risk_Control!E187)</f>
        <v/>
      </c>
      <c r="F190" s="24" t="str">
        <f aca="false">IF(A190="","",COUNTIF(Ref_Deficiencies!$D$2:$D$201,A190))</f>
        <v/>
      </c>
      <c r="G190" s="24" t="str">
        <f aca="false">IF(A190="","",IF(F190=0,"—",IF(COUNTIFS(Ref_Deficiencies!$D$2:$D$201,A190,Ref_Deficiencies!$E$2:$E$201,"Material weakness")&gt;0,"Material weakness",IF(COUNTIFS(Ref_Deficiencies!$D$2:$D$201,A190,Ref_Deficiencies!$E$2:$E$201,"Significant deficiency")&gt;0,"Significant deficiency","Control deficiency"))))</f>
        <v/>
      </c>
      <c r="H190" s="24" t="str">
        <f aca="false">IF(A190="","",IF(AND(B190="Y",C190=0),"GAP: no key control",IF(OR(E190="",E190="Not tested",E190="Pending"),"Not yet tested",IF(F190&gt;0,"Covered - deficiency ("&amp;G190&amp;")",IF(E190="Effective","Covered","Review result")))))</f>
        <v/>
      </c>
    </row>
    <row r="191" customFormat="false" ht="15" hidden="false" customHeight="false" outlineLevel="0" collapsed="false">
      <c r="A191" s="24" t="str">
        <f aca="false">IF(Ref_Risk_Control!A188="","",Ref_Risk_Control!A188)</f>
        <v/>
      </c>
      <c r="B191" s="24" t="str">
        <f aca="false">IF(A191="","",Ref_Risk_Control!B188)</f>
        <v/>
      </c>
      <c r="C191" s="24" t="str">
        <f aca="false">IF(A191="","",Ref_Risk_Control!C188)</f>
        <v/>
      </c>
      <c r="D191" s="24" t="str">
        <f aca="false">IF(A191="","",Ref_Risk_Control!D188)</f>
        <v/>
      </c>
      <c r="E191" s="24" t="str">
        <f aca="false">IF(A191="","",Ref_Risk_Control!E188)</f>
        <v/>
      </c>
      <c r="F191" s="24" t="str">
        <f aca="false">IF(A191="","",COUNTIF(Ref_Deficiencies!$D$2:$D$201,A191))</f>
        <v/>
      </c>
      <c r="G191" s="24" t="str">
        <f aca="false">IF(A191="","",IF(F191=0,"—",IF(COUNTIFS(Ref_Deficiencies!$D$2:$D$201,A191,Ref_Deficiencies!$E$2:$E$201,"Material weakness")&gt;0,"Material weakness",IF(COUNTIFS(Ref_Deficiencies!$D$2:$D$201,A191,Ref_Deficiencies!$E$2:$E$201,"Significant deficiency")&gt;0,"Significant deficiency","Control deficiency"))))</f>
        <v/>
      </c>
      <c r="H191" s="24" t="str">
        <f aca="false">IF(A191="","",IF(AND(B191="Y",C191=0),"GAP: no key control",IF(OR(E191="",E191="Not tested",E191="Pending"),"Not yet tested",IF(F191&gt;0,"Covered - deficiency ("&amp;G191&amp;")",IF(E191="Effective","Covered","Review result")))))</f>
        <v/>
      </c>
    </row>
    <row r="192" customFormat="false" ht="15" hidden="false" customHeight="false" outlineLevel="0" collapsed="false">
      <c r="A192" s="24" t="str">
        <f aca="false">IF(Ref_Risk_Control!A189="","",Ref_Risk_Control!A189)</f>
        <v/>
      </c>
      <c r="B192" s="24" t="str">
        <f aca="false">IF(A192="","",Ref_Risk_Control!B189)</f>
        <v/>
      </c>
      <c r="C192" s="24" t="str">
        <f aca="false">IF(A192="","",Ref_Risk_Control!C189)</f>
        <v/>
      </c>
      <c r="D192" s="24" t="str">
        <f aca="false">IF(A192="","",Ref_Risk_Control!D189)</f>
        <v/>
      </c>
      <c r="E192" s="24" t="str">
        <f aca="false">IF(A192="","",Ref_Risk_Control!E189)</f>
        <v/>
      </c>
      <c r="F192" s="24" t="str">
        <f aca="false">IF(A192="","",COUNTIF(Ref_Deficiencies!$D$2:$D$201,A192))</f>
        <v/>
      </c>
      <c r="G192" s="24" t="str">
        <f aca="false">IF(A192="","",IF(F192=0,"—",IF(COUNTIFS(Ref_Deficiencies!$D$2:$D$201,A192,Ref_Deficiencies!$E$2:$E$201,"Material weakness")&gt;0,"Material weakness",IF(COUNTIFS(Ref_Deficiencies!$D$2:$D$201,A192,Ref_Deficiencies!$E$2:$E$201,"Significant deficiency")&gt;0,"Significant deficiency","Control deficiency"))))</f>
        <v/>
      </c>
      <c r="H192" s="24" t="str">
        <f aca="false">IF(A192="","",IF(AND(B192="Y",C192=0),"GAP: no key control",IF(OR(E192="",E192="Not tested",E192="Pending"),"Not yet tested",IF(F192&gt;0,"Covered - deficiency ("&amp;G192&amp;")",IF(E192="Effective","Covered","Review result")))))</f>
        <v/>
      </c>
    </row>
    <row r="193" customFormat="false" ht="15" hidden="false" customHeight="false" outlineLevel="0" collapsed="false">
      <c r="A193" s="24" t="str">
        <f aca="false">IF(Ref_Risk_Control!A190="","",Ref_Risk_Control!A190)</f>
        <v/>
      </c>
      <c r="B193" s="24" t="str">
        <f aca="false">IF(A193="","",Ref_Risk_Control!B190)</f>
        <v/>
      </c>
      <c r="C193" s="24" t="str">
        <f aca="false">IF(A193="","",Ref_Risk_Control!C190)</f>
        <v/>
      </c>
      <c r="D193" s="24" t="str">
        <f aca="false">IF(A193="","",Ref_Risk_Control!D190)</f>
        <v/>
      </c>
      <c r="E193" s="24" t="str">
        <f aca="false">IF(A193="","",Ref_Risk_Control!E190)</f>
        <v/>
      </c>
      <c r="F193" s="24" t="str">
        <f aca="false">IF(A193="","",COUNTIF(Ref_Deficiencies!$D$2:$D$201,A193))</f>
        <v/>
      </c>
      <c r="G193" s="24" t="str">
        <f aca="false">IF(A193="","",IF(F193=0,"—",IF(COUNTIFS(Ref_Deficiencies!$D$2:$D$201,A193,Ref_Deficiencies!$E$2:$E$201,"Material weakness")&gt;0,"Material weakness",IF(COUNTIFS(Ref_Deficiencies!$D$2:$D$201,A193,Ref_Deficiencies!$E$2:$E$201,"Significant deficiency")&gt;0,"Significant deficiency","Control deficiency"))))</f>
        <v/>
      </c>
      <c r="H193" s="24" t="str">
        <f aca="false">IF(A193="","",IF(AND(B193="Y",C193=0),"GAP: no key control",IF(OR(E193="",E193="Not tested",E193="Pending"),"Not yet tested",IF(F193&gt;0,"Covered - deficiency ("&amp;G193&amp;")",IF(E193="Effective","Covered","Review result")))))</f>
        <v/>
      </c>
    </row>
    <row r="194" customFormat="false" ht="15" hidden="false" customHeight="false" outlineLevel="0" collapsed="false">
      <c r="A194" s="24" t="str">
        <f aca="false">IF(Ref_Risk_Control!A191="","",Ref_Risk_Control!A191)</f>
        <v/>
      </c>
      <c r="B194" s="24" t="str">
        <f aca="false">IF(A194="","",Ref_Risk_Control!B191)</f>
        <v/>
      </c>
      <c r="C194" s="24" t="str">
        <f aca="false">IF(A194="","",Ref_Risk_Control!C191)</f>
        <v/>
      </c>
      <c r="D194" s="24" t="str">
        <f aca="false">IF(A194="","",Ref_Risk_Control!D191)</f>
        <v/>
      </c>
      <c r="E194" s="24" t="str">
        <f aca="false">IF(A194="","",Ref_Risk_Control!E191)</f>
        <v/>
      </c>
      <c r="F194" s="24" t="str">
        <f aca="false">IF(A194="","",COUNTIF(Ref_Deficiencies!$D$2:$D$201,A194))</f>
        <v/>
      </c>
      <c r="G194" s="24" t="str">
        <f aca="false">IF(A194="","",IF(F194=0,"—",IF(COUNTIFS(Ref_Deficiencies!$D$2:$D$201,A194,Ref_Deficiencies!$E$2:$E$201,"Material weakness")&gt;0,"Material weakness",IF(COUNTIFS(Ref_Deficiencies!$D$2:$D$201,A194,Ref_Deficiencies!$E$2:$E$201,"Significant deficiency")&gt;0,"Significant deficiency","Control deficiency"))))</f>
        <v/>
      </c>
      <c r="H194" s="24" t="str">
        <f aca="false">IF(A194="","",IF(AND(B194="Y",C194=0),"GAP: no key control",IF(OR(E194="",E194="Not tested",E194="Pending"),"Not yet tested",IF(F194&gt;0,"Covered - deficiency ("&amp;G194&amp;")",IF(E194="Effective","Covered","Review result")))))</f>
        <v/>
      </c>
    </row>
    <row r="195" customFormat="false" ht="15" hidden="false" customHeight="false" outlineLevel="0" collapsed="false">
      <c r="A195" s="24" t="str">
        <f aca="false">IF(Ref_Risk_Control!A192="","",Ref_Risk_Control!A192)</f>
        <v/>
      </c>
      <c r="B195" s="24" t="str">
        <f aca="false">IF(A195="","",Ref_Risk_Control!B192)</f>
        <v/>
      </c>
      <c r="C195" s="24" t="str">
        <f aca="false">IF(A195="","",Ref_Risk_Control!C192)</f>
        <v/>
      </c>
      <c r="D195" s="24" t="str">
        <f aca="false">IF(A195="","",Ref_Risk_Control!D192)</f>
        <v/>
      </c>
      <c r="E195" s="24" t="str">
        <f aca="false">IF(A195="","",Ref_Risk_Control!E192)</f>
        <v/>
      </c>
      <c r="F195" s="24" t="str">
        <f aca="false">IF(A195="","",COUNTIF(Ref_Deficiencies!$D$2:$D$201,A195))</f>
        <v/>
      </c>
      <c r="G195" s="24" t="str">
        <f aca="false">IF(A195="","",IF(F195=0,"—",IF(COUNTIFS(Ref_Deficiencies!$D$2:$D$201,A195,Ref_Deficiencies!$E$2:$E$201,"Material weakness")&gt;0,"Material weakness",IF(COUNTIFS(Ref_Deficiencies!$D$2:$D$201,A195,Ref_Deficiencies!$E$2:$E$201,"Significant deficiency")&gt;0,"Significant deficiency","Control deficiency"))))</f>
        <v/>
      </c>
      <c r="H195" s="24" t="str">
        <f aca="false">IF(A195="","",IF(AND(B195="Y",C195=0),"GAP: no key control",IF(OR(E195="",E195="Not tested",E195="Pending"),"Not yet tested",IF(F195&gt;0,"Covered - deficiency ("&amp;G195&amp;")",IF(E195="Effective","Covered","Review result")))))</f>
        <v/>
      </c>
    </row>
    <row r="196" customFormat="false" ht="15" hidden="false" customHeight="false" outlineLevel="0" collapsed="false">
      <c r="A196" s="24" t="str">
        <f aca="false">IF(Ref_Risk_Control!A193="","",Ref_Risk_Control!A193)</f>
        <v/>
      </c>
      <c r="B196" s="24" t="str">
        <f aca="false">IF(A196="","",Ref_Risk_Control!B193)</f>
        <v/>
      </c>
      <c r="C196" s="24" t="str">
        <f aca="false">IF(A196="","",Ref_Risk_Control!C193)</f>
        <v/>
      </c>
      <c r="D196" s="24" t="str">
        <f aca="false">IF(A196="","",Ref_Risk_Control!D193)</f>
        <v/>
      </c>
      <c r="E196" s="24" t="str">
        <f aca="false">IF(A196="","",Ref_Risk_Control!E193)</f>
        <v/>
      </c>
      <c r="F196" s="24" t="str">
        <f aca="false">IF(A196="","",COUNTIF(Ref_Deficiencies!$D$2:$D$201,A196))</f>
        <v/>
      </c>
      <c r="G196" s="24" t="str">
        <f aca="false">IF(A196="","",IF(F196=0,"—",IF(COUNTIFS(Ref_Deficiencies!$D$2:$D$201,A196,Ref_Deficiencies!$E$2:$E$201,"Material weakness")&gt;0,"Material weakness",IF(COUNTIFS(Ref_Deficiencies!$D$2:$D$201,A196,Ref_Deficiencies!$E$2:$E$201,"Significant deficiency")&gt;0,"Significant deficiency","Control deficiency"))))</f>
        <v/>
      </c>
      <c r="H196" s="24" t="str">
        <f aca="false">IF(A196="","",IF(AND(B196="Y",C196=0),"GAP: no key control",IF(OR(E196="",E196="Not tested",E196="Pending"),"Not yet tested",IF(F196&gt;0,"Covered - deficiency ("&amp;G196&amp;")",IF(E196="Effective","Covered","Review result")))))</f>
        <v/>
      </c>
    </row>
    <row r="197" customFormat="false" ht="15" hidden="false" customHeight="false" outlineLevel="0" collapsed="false">
      <c r="A197" s="24" t="str">
        <f aca="false">IF(Ref_Risk_Control!A194="","",Ref_Risk_Control!A194)</f>
        <v/>
      </c>
      <c r="B197" s="24" t="str">
        <f aca="false">IF(A197="","",Ref_Risk_Control!B194)</f>
        <v/>
      </c>
      <c r="C197" s="24" t="str">
        <f aca="false">IF(A197="","",Ref_Risk_Control!C194)</f>
        <v/>
      </c>
      <c r="D197" s="24" t="str">
        <f aca="false">IF(A197="","",Ref_Risk_Control!D194)</f>
        <v/>
      </c>
      <c r="E197" s="24" t="str">
        <f aca="false">IF(A197="","",Ref_Risk_Control!E194)</f>
        <v/>
      </c>
      <c r="F197" s="24" t="str">
        <f aca="false">IF(A197="","",COUNTIF(Ref_Deficiencies!$D$2:$D$201,A197))</f>
        <v/>
      </c>
      <c r="G197" s="24" t="str">
        <f aca="false">IF(A197="","",IF(F197=0,"—",IF(COUNTIFS(Ref_Deficiencies!$D$2:$D$201,A197,Ref_Deficiencies!$E$2:$E$201,"Material weakness")&gt;0,"Material weakness",IF(COUNTIFS(Ref_Deficiencies!$D$2:$D$201,A197,Ref_Deficiencies!$E$2:$E$201,"Significant deficiency")&gt;0,"Significant deficiency","Control deficiency"))))</f>
        <v/>
      </c>
      <c r="H197" s="24" t="str">
        <f aca="false">IF(A197="","",IF(AND(B197="Y",C197=0),"GAP: no key control",IF(OR(E197="",E197="Not tested",E197="Pending"),"Not yet tested",IF(F197&gt;0,"Covered - deficiency ("&amp;G197&amp;")",IF(E197="Effective","Covered","Review result")))))</f>
        <v/>
      </c>
    </row>
    <row r="198" customFormat="false" ht="15" hidden="false" customHeight="false" outlineLevel="0" collapsed="false">
      <c r="A198" s="24" t="str">
        <f aca="false">IF(Ref_Risk_Control!A195="","",Ref_Risk_Control!A195)</f>
        <v/>
      </c>
      <c r="B198" s="24" t="str">
        <f aca="false">IF(A198="","",Ref_Risk_Control!B195)</f>
        <v/>
      </c>
      <c r="C198" s="24" t="str">
        <f aca="false">IF(A198="","",Ref_Risk_Control!C195)</f>
        <v/>
      </c>
      <c r="D198" s="24" t="str">
        <f aca="false">IF(A198="","",Ref_Risk_Control!D195)</f>
        <v/>
      </c>
      <c r="E198" s="24" t="str">
        <f aca="false">IF(A198="","",Ref_Risk_Control!E195)</f>
        <v/>
      </c>
      <c r="F198" s="24" t="str">
        <f aca="false">IF(A198="","",COUNTIF(Ref_Deficiencies!$D$2:$D$201,A198))</f>
        <v/>
      </c>
      <c r="G198" s="24" t="str">
        <f aca="false">IF(A198="","",IF(F198=0,"—",IF(COUNTIFS(Ref_Deficiencies!$D$2:$D$201,A198,Ref_Deficiencies!$E$2:$E$201,"Material weakness")&gt;0,"Material weakness",IF(COUNTIFS(Ref_Deficiencies!$D$2:$D$201,A198,Ref_Deficiencies!$E$2:$E$201,"Significant deficiency")&gt;0,"Significant deficiency","Control deficiency"))))</f>
        <v/>
      </c>
      <c r="H198" s="24" t="str">
        <f aca="false">IF(A198="","",IF(AND(B198="Y",C198=0),"GAP: no key control",IF(OR(E198="",E198="Not tested",E198="Pending"),"Not yet tested",IF(F198&gt;0,"Covered - deficiency ("&amp;G198&amp;")",IF(E198="Effective","Covered","Review result")))))</f>
        <v/>
      </c>
    </row>
    <row r="199" customFormat="false" ht="15" hidden="false" customHeight="false" outlineLevel="0" collapsed="false">
      <c r="A199" s="24" t="str">
        <f aca="false">IF(Ref_Risk_Control!A196="","",Ref_Risk_Control!A196)</f>
        <v/>
      </c>
      <c r="B199" s="24" t="str">
        <f aca="false">IF(A199="","",Ref_Risk_Control!B196)</f>
        <v/>
      </c>
      <c r="C199" s="24" t="str">
        <f aca="false">IF(A199="","",Ref_Risk_Control!C196)</f>
        <v/>
      </c>
      <c r="D199" s="24" t="str">
        <f aca="false">IF(A199="","",Ref_Risk_Control!D196)</f>
        <v/>
      </c>
      <c r="E199" s="24" t="str">
        <f aca="false">IF(A199="","",Ref_Risk_Control!E196)</f>
        <v/>
      </c>
      <c r="F199" s="24" t="str">
        <f aca="false">IF(A199="","",COUNTIF(Ref_Deficiencies!$D$2:$D$201,A199))</f>
        <v/>
      </c>
      <c r="G199" s="24" t="str">
        <f aca="false">IF(A199="","",IF(F199=0,"—",IF(COUNTIFS(Ref_Deficiencies!$D$2:$D$201,A199,Ref_Deficiencies!$E$2:$E$201,"Material weakness")&gt;0,"Material weakness",IF(COUNTIFS(Ref_Deficiencies!$D$2:$D$201,A199,Ref_Deficiencies!$E$2:$E$201,"Significant deficiency")&gt;0,"Significant deficiency","Control deficiency"))))</f>
        <v/>
      </c>
      <c r="H199" s="24" t="str">
        <f aca="false">IF(A199="","",IF(AND(B199="Y",C199=0),"GAP: no key control",IF(OR(E199="",E199="Not tested",E199="Pending"),"Not yet tested",IF(F199&gt;0,"Covered - deficiency ("&amp;G199&amp;")",IF(E199="Effective","Covered","Review result")))))</f>
        <v/>
      </c>
    </row>
    <row r="200" customFormat="false" ht="15" hidden="false" customHeight="false" outlineLevel="0" collapsed="false">
      <c r="A200" s="24" t="str">
        <f aca="false">IF(Ref_Risk_Control!A197="","",Ref_Risk_Control!A197)</f>
        <v/>
      </c>
      <c r="B200" s="24" t="str">
        <f aca="false">IF(A200="","",Ref_Risk_Control!B197)</f>
        <v/>
      </c>
      <c r="C200" s="24" t="str">
        <f aca="false">IF(A200="","",Ref_Risk_Control!C197)</f>
        <v/>
      </c>
      <c r="D200" s="24" t="str">
        <f aca="false">IF(A200="","",Ref_Risk_Control!D197)</f>
        <v/>
      </c>
      <c r="E200" s="24" t="str">
        <f aca="false">IF(A200="","",Ref_Risk_Control!E197)</f>
        <v/>
      </c>
      <c r="F200" s="24" t="str">
        <f aca="false">IF(A200="","",COUNTIF(Ref_Deficiencies!$D$2:$D$201,A200))</f>
        <v/>
      </c>
      <c r="G200" s="24" t="str">
        <f aca="false">IF(A200="","",IF(F200=0,"—",IF(COUNTIFS(Ref_Deficiencies!$D$2:$D$201,A200,Ref_Deficiencies!$E$2:$E$201,"Material weakness")&gt;0,"Material weakness",IF(COUNTIFS(Ref_Deficiencies!$D$2:$D$201,A200,Ref_Deficiencies!$E$2:$E$201,"Significant deficiency")&gt;0,"Significant deficiency","Control deficiency"))))</f>
        <v/>
      </c>
      <c r="H200" s="24" t="str">
        <f aca="false">IF(A200="","",IF(AND(B200="Y",C200=0),"GAP: no key control",IF(OR(E200="",E200="Not tested",E200="Pending"),"Not yet tested",IF(F200&gt;0,"Covered - deficiency ("&amp;G200&amp;")",IF(E200="Effective","Covered","Review result")))))</f>
        <v/>
      </c>
    </row>
    <row r="201" customFormat="false" ht="15" hidden="false" customHeight="false" outlineLevel="0" collapsed="false">
      <c r="A201" s="24" t="str">
        <f aca="false">IF(Ref_Risk_Control!A198="","",Ref_Risk_Control!A198)</f>
        <v/>
      </c>
      <c r="B201" s="24" t="str">
        <f aca="false">IF(A201="","",Ref_Risk_Control!B198)</f>
        <v/>
      </c>
      <c r="C201" s="24" t="str">
        <f aca="false">IF(A201="","",Ref_Risk_Control!C198)</f>
        <v/>
      </c>
      <c r="D201" s="24" t="str">
        <f aca="false">IF(A201="","",Ref_Risk_Control!D198)</f>
        <v/>
      </c>
      <c r="E201" s="24" t="str">
        <f aca="false">IF(A201="","",Ref_Risk_Control!E198)</f>
        <v/>
      </c>
      <c r="F201" s="24" t="str">
        <f aca="false">IF(A201="","",COUNTIF(Ref_Deficiencies!$D$2:$D$201,A201))</f>
        <v/>
      </c>
      <c r="G201" s="24" t="str">
        <f aca="false">IF(A201="","",IF(F201=0,"—",IF(COUNTIFS(Ref_Deficiencies!$D$2:$D$201,A201,Ref_Deficiencies!$E$2:$E$201,"Material weakness")&gt;0,"Material weakness",IF(COUNTIFS(Ref_Deficiencies!$D$2:$D$201,A201,Ref_Deficiencies!$E$2:$E$201,"Significant deficiency")&gt;0,"Significant deficiency","Control deficiency"))))</f>
        <v/>
      </c>
      <c r="H201" s="24" t="str">
        <f aca="false">IF(A201="","",IF(AND(B201="Y",C201=0),"GAP: no key control",IF(OR(E201="",E201="Not tested",E201="Pending"),"Not yet tested",IF(F201&gt;0,"Covered - deficiency ("&amp;G201&amp;")",IF(E201="Effective","Covered","Review result")))))</f>
        <v/>
      </c>
    </row>
    <row r="202" customFormat="false" ht="15" hidden="false" customHeight="false" outlineLevel="0" collapsed="false">
      <c r="A202" s="24" t="str">
        <f aca="false">IF(Ref_Risk_Control!A199="","",Ref_Risk_Control!A199)</f>
        <v/>
      </c>
      <c r="B202" s="24" t="str">
        <f aca="false">IF(A202="","",Ref_Risk_Control!B199)</f>
        <v/>
      </c>
      <c r="C202" s="24" t="str">
        <f aca="false">IF(A202="","",Ref_Risk_Control!C199)</f>
        <v/>
      </c>
      <c r="D202" s="24" t="str">
        <f aca="false">IF(A202="","",Ref_Risk_Control!D199)</f>
        <v/>
      </c>
      <c r="E202" s="24" t="str">
        <f aca="false">IF(A202="","",Ref_Risk_Control!E199)</f>
        <v/>
      </c>
      <c r="F202" s="24" t="str">
        <f aca="false">IF(A202="","",COUNTIF(Ref_Deficiencies!$D$2:$D$201,A202))</f>
        <v/>
      </c>
      <c r="G202" s="24" t="str">
        <f aca="false">IF(A202="","",IF(F202=0,"—",IF(COUNTIFS(Ref_Deficiencies!$D$2:$D$201,A202,Ref_Deficiencies!$E$2:$E$201,"Material weakness")&gt;0,"Material weakness",IF(COUNTIFS(Ref_Deficiencies!$D$2:$D$201,A202,Ref_Deficiencies!$E$2:$E$201,"Significant deficiency")&gt;0,"Significant deficiency","Control deficiency"))))</f>
        <v/>
      </c>
      <c r="H202" s="24" t="str">
        <f aca="false">IF(A202="","",IF(AND(B202="Y",C202=0),"GAP: no key control",IF(OR(E202="",E202="Not tested",E202="Pending"),"Not yet tested",IF(F202&gt;0,"Covered - deficiency ("&amp;G202&amp;")",IF(E202="Effective","Covered","Review result")))))</f>
        <v/>
      </c>
    </row>
    <row r="203" customFormat="false" ht="15" hidden="false" customHeight="false" outlineLevel="0" collapsed="false">
      <c r="A203" s="24" t="str">
        <f aca="false">IF(Ref_Risk_Control!A200="","",Ref_Risk_Control!A200)</f>
        <v/>
      </c>
      <c r="B203" s="24" t="str">
        <f aca="false">IF(A203="","",Ref_Risk_Control!B200)</f>
        <v/>
      </c>
      <c r="C203" s="24" t="str">
        <f aca="false">IF(A203="","",Ref_Risk_Control!C200)</f>
        <v/>
      </c>
      <c r="D203" s="24" t="str">
        <f aca="false">IF(A203="","",Ref_Risk_Control!D200)</f>
        <v/>
      </c>
      <c r="E203" s="24" t="str">
        <f aca="false">IF(A203="","",Ref_Risk_Control!E200)</f>
        <v/>
      </c>
      <c r="F203" s="24" t="str">
        <f aca="false">IF(A203="","",COUNTIF(Ref_Deficiencies!$D$2:$D$201,A203))</f>
        <v/>
      </c>
      <c r="G203" s="24" t="str">
        <f aca="false">IF(A203="","",IF(F203=0,"—",IF(COUNTIFS(Ref_Deficiencies!$D$2:$D$201,A203,Ref_Deficiencies!$E$2:$E$201,"Material weakness")&gt;0,"Material weakness",IF(COUNTIFS(Ref_Deficiencies!$D$2:$D$201,A203,Ref_Deficiencies!$E$2:$E$201,"Significant deficiency")&gt;0,"Significant deficiency","Control deficiency"))))</f>
        <v/>
      </c>
      <c r="H203" s="24" t="str">
        <f aca="false">IF(A203="","",IF(AND(B203="Y",C203=0),"GAP: no key control",IF(OR(E203="",E203="Not tested",E203="Pending"),"Not yet tested",IF(F203&gt;0,"Covered - deficiency ("&amp;G203&amp;")",IF(E203="Effective","Covered","Review result")))))</f>
        <v/>
      </c>
    </row>
    <row r="204" customFormat="false" ht="15" hidden="false" customHeight="false" outlineLevel="0" collapsed="false">
      <c r="A204" s="24" t="str">
        <f aca="false">IF(Ref_Risk_Control!A201="","",Ref_Risk_Control!A201)</f>
        <v/>
      </c>
      <c r="B204" s="24" t="str">
        <f aca="false">IF(A204="","",Ref_Risk_Control!B201)</f>
        <v/>
      </c>
      <c r="C204" s="24" t="str">
        <f aca="false">IF(A204="","",Ref_Risk_Control!C201)</f>
        <v/>
      </c>
      <c r="D204" s="24" t="str">
        <f aca="false">IF(A204="","",Ref_Risk_Control!D201)</f>
        <v/>
      </c>
      <c r="E204" s="24" t="str">
        <f aca="false">IF(A204="","",Ref_Risk_Control!E201)</f>
        <v/>
      </c>
      <c r="F204" s="24" t="str">
        <f aca="false">IF(A204="","",COUNTIF(Ref_Deficiencies!$D$2:$D$201,A204))</f>
        <v/>
      </c>
      <c r="G204" s="24" t="str">
        <f aca="false">IF(A204="","",IF(F204=0,"—",IF(COUNTIFS(Ref_Deficiencies!$D$2:$D$201,A204,Ref_Deficiencies!$E$2:$E$201,"Material weakness")&gt;0,"Material weakness",IF(COUNTIFS(Ref_Deficiencies!$D$2:$D$201,A204,Ref_Deficiencies!$E$2:$E$201,"Significant deficiency")&gt;0,"Significant deficiency","Control deficiency"))))</f>
        <v/>
      </c>
      <c r="H204" s="24" t="str">
        <f aca="false">IF(A204="","",IF(AND(B204="Y",C204=0),"GAP: no key control",IF(OR(E204="",E204="Not tested",E204="Pending"),"Not yet tested",IF(F204&gt;0,"Covered - deficiency ("&amp;G204&amp;")",IF(E204="Effective","Covered","Review result")))))</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44"/>
  </cols>
  <sheetData>
    <row r="1" customFormat="false" ht="31.5" hidden="false" customHeight="true" outlineLevel="0" collapsed="false">
      <c r="A1" s="27" t="s">
        <v>151</v>
      </c>
      <c r="B1" s="27" t="s">
        <v>152</v>
      </c>
      <c r="C1" s="27" t="s">
        <v>153</v>
      </c>
      <c r="D1" s="27" t="s">
        <v>154</v>
      </c>
      <c r="E1" s="27" t="s">
        <v>155</v>
      </c>
    </row>
    <row r="2" customFormat="false" ht="15" hidden="false" customHeight="false" outlineLevel="0" collapsed="false">
      <c r="A2" s="28" t="s">
        <v>156</v>
      </c>
      <c r="B2" s="28" t="s">
        <v>157</v>
      </c>
      <c r="C2" s="28" t="n">
        <v>1</v>
      </c>
      <c r="D2" s="28" t="s">
        <v>158</v>
      </c>
      <c r="E2" s="28" t="s">
        <v>158</v>
      </c>
    </row>
    <row r="3" customFormat="false" ht="15" hidden="false" customHeight="false" outlineLevel="0" collapsed="false">
      <c r="A3" s="28" t="s">
        <v>159</v>
      </c>
      <c r="B3" s="28" t="s">
        <v>157</v>
      </c>
      <c r="C3" s="28" t="n">
        <v>1</v>
      </c>
      <c r="D3" s="28" t="s">
        <v>158</v>
      </c>
      <c r="E3" s="28" t="s">
        <v>158</v>
      </c>
    </row>
    <row r="4" customFormat="false" ht="15" hidden="false" customHeight="false" outlineLevel="0" collapsed="false">
      <c r="A4" s="28" t="s">
        <v>160</v>
      </c>
      <c r="B4" s="28" t="s">
        <v>157</v>
      </c>
      <c r="C4" s="28" t="n">
        <v>3</v>
      </c>
      <c r="D4" s="28" t="s">
        <v>158</v>
      </c>
      <c r="E4" s="28" t="s">
        <v>158</v>
      </c>
    </row>
    <row r="5" customFormat="false" ht="15" hidden="false" customHeight="false" outlineLevel="0" collapsed="false">
      <c r="A5" s="28" t="s">
        <v>161</v>
      </c>
      <c r="B5" s="28" t="s">
        <v>157</v>
      </c>
      <c r="C5" s="28" t="n">
        <v>2</v>
      </c>
      <c r="D5" s="28" t="s">
        <v>158</v>
      </c>
      <c r="E5" s="28" t="s">
        <v>158</v>
      </c>
    </row>
    <row r="6" customFormat="false" ht="15" hidden="false" customHeight="false" outlineLevel="0" collapsed="false">
      <c r="A6" s="28"/>
      <c r="B6" s="28"/>
      <c r="C6" s="28"/>
      <c r="D6" s="28"/>
      <c r="E6" s="28"/>
    </row>
    <row r="7" customFormat="false" ht="15" hidden="false" customHeight="false" outlineLevel="0" collapsed="false">
      <c r="A7" s="28"/>
      <c r="B7" s="28"/>
      <c r="C7" s="28"/>
      <c r="D7" s="28"/>
      <c r="E7" s="28"/>
    </row>
    <row r="8" customFormat="false" ht="15" hidden="false" customHeight="false" outlineLevel="0" collapsed="false">
      <c r="A8" s="28"/>
      <c r="B8" s="28"/>
      <c r="C8" s="28"/>
      <c r="D8" s="28"/>
      <c r="E8" s="28"/>
    </row>
    <row r="9" customFormat="false" ht="15" hidden="false" customHeight="false" outlineLevel="0" collapsed="false">
      <c r="A9" s="28"/>
      <c r="B9" s="28"/>
      <c r="C9" s="28"/>
      <c r="D9" s="28"/>
      <c r="E9" s="28"/>
    </row>
    <row r="10" customFormat="false" ht="15" hidden="false" customHeight="false" outlineLevel="0" collapsed="false">
      <c r="A10" s="28"/>
      <c r="B10" s="28"/>
      <c r="C10" s="28"/>
      <c r="D10" s="28"/>
      <c r="E10" s="28"/>
    </row>
    <row r="11" customFormat="false" ht="15" hidden="false" customHeight="false" outlineLevel="0" collapsed="false">
      <c r="A11" s="28"/>
      <c r="B11" s="28"/>
      <c r="C11" s="28"/>
      <c r="D11" s="28"/>
      <c r="E11" s="28"/>
    </row>
    <row r="12" customFormat="false" ht="15" hidden="false" customHeight="false" outlineLevel="0" collapsed="false">
      <c r="A12" s="28"/>
      <c r="B12" s="28"/>
      <c r="C12" s="28"/>
      <c r="D12" s="28"/>
      <c r="E12" s="28"/>
    </row>
    <row r="13" customFormat="false" ht="15" hidden="false" customHeight="false" outlineLevel="0" collapsed="false">
      <c r="A13" s="28"/>
      <c r="B13" s="28"/>
      <c r="C13" s="28"/>
      <c r="D13" s="28"/>
      <c r="E13" s="28"/>
    </row>
    <row r="14" customFormat="false" ht="15" hidden="false" customHeight="false" outlineLevel="0" collapsed="false">
      <c r="A14" s="28"/>
      <c r="B14" s="28"/>
      <c r="C14" s="28"/>
      <c r="D14" s="28"/>
      <c r="E14" s="28"/>
    </row>
    <row r="15" customFormat="false" ht="15" hidden="false" customHeight="false" outlineLevel="0" collapsed="false">
      <c r="A15" s="28"/>
      <c r="B15" s="28"/>
      <c r="C15" s="28"/>
      <c r="D15" s="28"/>
      <c r="E15" s="28"/>
    </row>
    <row r="16" customFormat="false" ht="15" hidden="false" customHeight="false" outlineLevel="0" collapsed="false">
      <c r="A16" s="28"/>
      <c r="B16" s="28"/>
      <c r="C16" s="28"/>
      <c r="D16" s="28"/>
      <c r="E16" s="28"/>
    </row>
    <row r="17" customFormat="false" ht="15" hidden="false" customHeight="false" outlineLevel="0" collapsed="false">
      <c r="A17" s="28"/>
      <c r="B17" s="28"/>
      <c r="C17" s="28"/>
      <c r="D17" s="28"/>
      <c r="E17" s="28"/>
    </row>
    <row r="18" customFormat="false" ht="15" hidden="false" customHeight="false" outlineLevel="0" collapsed="false">
      <c r="A18" s="28"/>
      <c r="B18" s="28"/>
      <c r="C18" s="28"/>
      <c r="D18" s="28"/>
      <c r="E18" s="28"/>
    </row>
    <row r="19" customFormat="false" ht="15" hidden="false" customHeight="false" outlineLevel="0" collapsed="false">
      <c r="A19" s="28"/>
      <c r="B19" s="28"/>
      <c r="C19" s="28"/>
      <c r="D19" s="28"/>
      <c r="E19" s="28"/>
    </row>
    <row r="20" customFormat="false" ht="15" hidden="false" customHeight="false" outlineLevel="0" collapsed="false">
      <c r="A20" s="28"/>
      <c r="B20" s="28"/>
      <c r="C20" s="28"/>
      <c r="D20" s="28"/>
      <c r="E20" s="28"/>
    </row>
    <row r="21" customFormat="false" ht="15" hidden="false" customHeight="false" outlineLevel="0" collapsed="false">
      <c r="A21" s="28"/>
      <c r="B21" s="28"/>
      <c r="C21" s="28"/>
      <c r="D21" s="28"/>
      <c r="E21" s="28"/>
    </row>
    <row r="22" customFormat="false" ht="15" hidden="false" customHeight="false" outlineLevel="0" collapsed="false">
      <c r="A22" s="28"/>
      <c r="B22" s="28"/>
      <c r="C22" s="28"/>
      <c r="D22" s="28"/>
      <c r="E22" s="28"/>
    </row>
    <row r="23" customFormat="false" ht="15" hidden="false" customHeight="false" outlineLevel="0" collapsed="false">
      <c r="A23" s="28"/>
      <c r="B23" s="28"/>
      <c r="C23" s="28"/>
      <c r="D23" s="28"/>
      <c r="E23" s="28"/>
    </row>
    <row r="24" customFormat="false" ht="15" hidden="false" customHeight="false" outlineLevel="0" collapsed="false">
      <c r="A24" s="28"/>
      <c r="B24" s="28"/>
      <c r="C24" s="28"/>
      <c r="D24" s="28"/>
      <c r="E24" s="28"/>
    </row>
    <row r="25" customFormat="false" ht="15" hidden="false" customHeight="false" outlineLevel="0" collapsed="false">
      <c r="A25" s="28"/>
      <c r="B25" s="28"/>
      <c r="C25" s="28"/>
      <c r="D25" s="28"/>
      <c r="E25" s="28"/>
    </row>
    <row r="26" customFormat="false" ht="15" hidden="false" customHeight="false" outlineLevel="0" collapsed="false">
      <c r="A26" s="28"/>
      <c r="B26" s="28"/>
      <c r="C26" s="28"/>
      <c r="D26" s="28"/>
      <c r="E26" s="28"/>
    </row>
    <row r="27" customFormat="false" ht="15" hidden="false" customHeight="false" outlineLevel="0" collapsed="false">
      <c r="A27" s="28"/>
      <c r="B27" s="28"/>
      <c r="C27" s="28"/>
      <c r="D27" s="28"/>
      <c r="E27" s="28"/>
    </row>
    <row r="28" customFormat="false" ht="15" hidden="false" customHeight="false" outlineLevel="0" collapsed="false">
      <c r="A28" s="28"/>
      <c r="B28" s="28"/>
      <c r="C28" s="28"/>
      <c r="D28" s="28"/>
      <c r="E28" s="28"/>
    </row>
    <row r="29" customFormat="false" ht="15" hidden="false" customHeight="false" outlineLevel="0" collapsed="false">
      <c r="A29" s="28"/>
      <c r="B29" s="28"/>
      <c r="C29" s="28"/>
      <c r="D29" s="28"/>
      <c r="E29" s="28"/>
    </row>
    <row r="30" customFormat="false" ht="15" hidden="false" customHeight="false" outlineLevel="0" collapsed="false">
      <c r="A30" s="28"/>
      <c r="B30" s="28"/>
      <c r="C30" s="28"/>
      <c r="D30" s="28"/>
      <c r="E30" s="28"/>
    </row>
    <row r="31" customFormat="false" ht="15" hidden="false" customHeight="false" outlineLevel="0" collapsed="false">
      <c r="A31" s="28"/>
      <c r="B31" s="28"/>
      <c r="C31" s="28"/>
      <c r="D31" s="28"/>
      <c r="E31" s="28"/>
    </row>
    <row r="32" customFormat="false" ht="15" hidden="false" customHeight="false" outlineLevel="0" collapsed="false">
      <c r="A32" s="28"/>
      <c r="B32" s="28"/>
      <c r="C32" s="28"/>
      <c r="D32" s="28"/>
      <c r="E32" s="28"/>
    </row>
    <row r="33" customFormat="false" ht="15" hidden="false" customHeight="false" outlineLevel="0" collapsed="false">
      <c r="A33" s="28"/>
      <c r="B33" s="28"/>
      <c r="C33" s="28"/>
      <c r="D33" s="28"/>
      <c r="E33" s="28"/>
    </row>
    <row r="34" customFormat="false" ht="15" hidden="false" customHeight="false" outlineLevel="0" collapsed="false">
      <c r="A34" s="28"/>
      <c r="B34" s="28"/>
      <c r="C34" s="28"/>
      <c r="D34" s="28"/>
      <c r="E34" s="28"/>
    </row>
    <row r="35" customFormat="false" ht="15" hidden="false" customHeight="false" outlineLevel="0" collapsed="false">
      <c r="A35" s="28"/>
      <c r="B35" s="28"/>
      <c r="C35" s="28"/>
      <c r="D35" s="28"/>
      <c r="E35" s="28"/>
    </row>
    <row r="36" customFormat="false" ht="15" hidden="false" customHeight="false" outlineLevel="0" collapsed="false">
      <c r="A36" s="28"/>
      <c r="B36" s="28"/>
      <c r="C36" s="28"/>
      <c r="D36" s="28"/>
      <c r="E36" s="28"/>
    </row>
    <row r="37" customFormat="false" ht="15" hidden="false" customHeight="false" outlineLevel="0" collapsed="false">
      <c r="A37" s="28"/>
      <c r="B37" s="28"/>
      <c r="C37" s="28"/>
      <c r="D37" s="28"/>
      <c r="E37" s="28"/>
    </row>
    <row r="38" customFormat="false" ht="15" hidden="false" customHeight="false" outlineLevel="0" collapsed="false">
      <c r="A38" s="28"/>
      <c r="B38" s="28"/>
      <c r="C38" s="28"/>
      <c r="D38" s="28"/>
      <c r="E38" s="28"/>
    </row>
    <row r="39" customFormat="false" ht="15" hidden="false" customHeight="false" outlineLevel="0" collapsed="false">
      <c r="A39" s="28"/>
      <c r="B39" s="28"/>
      <c r="C39" s="28"/>
      <c r="D39" s="28"/>
      <c r="E39" s="28"/>
    </row>
    <row r="40" customFormat="false" ht="15" hidden="false" customHeight="false" outlineLevel="0" collapsed="false">
      <c r="A40" s="28"/>
      <c r="B40" s="28"/>
      <c r="C40" s="28"/>
      <c r="D40" s="28"/>
      <c r="E40" s="28"/>
    </row>
    <row r="41" customFormat="false" ht="15" hidden="false" customHeight="false" outlineLevel="0" collapsed="false">
      <c r="A41" s="28"/>
      <c r="B41" s="28"/>
      <c r="C41" s="28"/>
      <c r="D41" s="28"/>
      <c r="E41" s="28"/>
    </row>
    <row r="42" customFormat="false" ht="15" hidden="false" customHeight="false" outlineLevel="0" collapsed="false">
      <c r="A42" s="28"/>
      <c r="B42" s="28"/>
      <c r="C42" s="28"/>
      <c r="D42" s="28"/>
      <c r="E42" s="28"/>
    </row>
    <row r="43" customFormat="false" ht="15" hidden="false" customHeight="false" outlineLevel="0" collapsed="false">
      <c r="A43" s="28"/>
      <c r="B43" s="28"/>
      <c r="C43" s="28"/>
      <c r="D43" s="28"/>
      <c r="E43" s="28"/>
    </row>
    <row r="44" customFormat="false" ht="15" hidden="false" customHeight="false" outlineLevel="0" collapsed="false">
      <c r="A44" s="28"/>
      <c r="B44" s="28"/>
      <c r="C44" s="28"/>
      <c r="D44" s="28"/>
      <c r="E44" s="28"/>
    </row>
    <row r="45" customFormat="false" ht="15" hidden="false" customHeight="false" outlineLevel="0" collapsed="false">
      <c r="A45" s="28"/>
      <c r="B45" s="28"/>
      <c r="C45" s="28"/>
      <c r="D45" s="28"/>
      <c r="E45" s="28"/>
    </row>
    <row r="46" customFormat="false" ht="15" hidden="false" customHeight="false" outlineLevel="0" collapsed="false">
      <c r="A46" s="28"/>
      <c r="B46" s="28"/>
      <c r="C46" s="28"/>
      <c r="D46" s="28"/>
      <c r="E46" s="28"/>
    </row>
    <row r="47" customFormat="false" ht="15" hidden="false" customHeight="false" outlineLevel="0" collapsed="false">
      <c r="A47" s="28"/>
      <c r="B47" s="28"/>
      <c r="C47" s="28"/>
      <c r="D47" s="28"/>
      <c r="E47" s="28"/>
    </row>
    <row r="48" customFormat="false" ht="15" hidden="false" customHeight="false" outlineLevel="0" collapsed="false">
      <c r="A48" s="28"/>
      <c r="B48" s="28"/>
      <c r="C48" s="28"/>
      <c r="D48" s="28"/>
      <c r="E48" s="28"/>
    </row>
    <row r="49" customFormat="false" ht="15" hidden="false" customHeight="false" outlineLevel="0" collapsed="false">
      <c r="A49" s="28"/>
      <c r="B49" s="28"/>
      <c r="C49" s="28"/>
      <c r="D49" s="28"/>
      <c r="E49" s="28"/>
    </row>
    <row r="50" customFormat="false" ht="15" hidden="false" customHeight="false" outlineLevel="0" collapsed="false">
      <c r="A50" s="28"/>
      <c r="B50" s="28"/>
      <c r="C50" s="28"/>
      <c r="D50" s="28"/>
      <c r="E50" s="28"/>
    </row>
    <row r="51" customFormat="false" ht="15" hidden="false" customHeight="false" outlineLevel="0" collapsed="false">
      <c r="A51" s="28"/>
      <c r="B51" s="28"/>
      <c r="C51" s="28"/>
      <c r="D51" s="28"/>
      <c r="E51" s="28"/>
    </row>
    <row r="52" customFormat="false" ht="15" hidden="false" customHeight="false" outlineLevel="0" collapsed="false">
      <c r="A52" s="28"/>
      <c r="B52" s="28"/>
      <c r="C52" s="28"/>
      <c r="D52" s="28"/>
      <c r="E52" s="28"/>
    </row>
    <row r="53" customFormat="false" ht="15" hidden="false" customHeight="false" outlineLevel="0" collapsed="false">
      <c r="A53" s="28"/>
      <c r="B53" s="28"/>
      <c r="C53" s="28"/>
      <c r="D53" s="28"/>
      <c r="E53" s="28"/>
    </row>
    <row r="54" customFormat="false" ht="15" hidden="false" customHeight="false" outlineLevel="0" collapsed="false">
      <c r="A54" s="28"/>
      <c r="B54" s="28"/>
      <c r="C54" s="28"/>
      <c r="D54" s="28"/>
      <c r="E54" s="28"/>
    </row>
    <row r="55" customFormat="false" ht="15" hidden="false" customHeight="false" outlineLevel="0" collapsed="false">
      <c r="A55" s="28"/>
      <c r="B55" s="28"/>
      <c r="C55" s="28"/>
      <c r="D55" s="28"/>
      <c r="E55" s="28"/>
    </row>
    <row r="56" customFormat="false" ht="15" hidden="false" customHeight="false" outlineLevel="0" collapsed="false">
      <c r="A56" s="28"/>
      <c r="B56" s="28"/>
      <c r="C56" s="28"/>
      <c r="D56" s="28"/>
      <c r="E56" s="28"/>
    </row>
    <row r="57" customFormat="false" ht="15" hidden="false" customHeight="false" outlineLevel="0" collapsed="false">
      <c r="A57" s="28"/>
      <c r="B57" s="28"/>
      <c r="C57" s="28"/>
      <c r="D57" s="28"/>
      <c r="E57" s="28"/>
    </row>
    <row r="58" customFormat="false" ht="15" hidden="false" customHeight="false" outlineLevel="0" collapsed="false">
      <c r="A58" s="28"/>
      <c r="B58" s="28"/>
      <c r="C58" s="28"/>
      <c r="D58" s="28"/>
      <c r="E58" s="28"/>
    </row>
    <row r="59" customFormat="false" ht="15" hidden="false" customHeight="false" outlineLevel="0" collapsed="false">
      <c r="A59" s="28"/>
      <c r="B59" s="28"/>
      <c r="C59" s="28"/>
      <c r="D59" s="28"/>
      <c r="E59" s="28"/>
    </row>
    <row r="60" customFormat="false" ht="15" hidden="false" customHeight="false" outlineLevel="0" collapsed="false">
      <c r="A60" s="28"/>
      <c r="B60" s="28"/>
      <c r="C60" s="28"/>
      <c r="D60" s="28"/>
      <c r="E60" s="28"/>
    </row>
    <row r="61" customFormat="false" ht="15" hidden="false" customHeight="false" outlineLevel="0" collapsed="false">
      <c r="A61" s="28"/>
      <c r="B61" s="28"/>
      <c r="C61" s="28"/>
      <c r="D61" s="28"/>
      <c r="E61" s="28"/>
    </row>
    <row r="62" customFormat="false" ht="15" hidden="false" customHeight="false" outlineLevel="0" collapsed="false">
      <c r="A62" s="28"/>
      <c r="B62" s="28"/>
      <c r="C62" s="28"/>
      <c r="D62" s="28"/>
      <c r="E62" s="28"/>
    </row>
    <row r="63" customFormat="false" ht="15" hidden="false" customHeight="false" outlineLevel="0" collapsed="false">
      <c r="A63" s="28"/>
      <c r="B63" s="28"/>
      <c r="C63" s="28"/>
      <c r="D63" s="28"/>
      <c r="E63" s="28"/>
    </row>
    <row r="64" customFormat="false" ht="15" hidden="false" customHeight="false" outlineLevel="0" collapsed="false">
      <c r="A64" s="28"/>
      <c r="B64" s="28"/>
      <c r="C64" s="28"/>
      <c r="D64" s="28"/>
      <c r="E64" s="28"/>
    </row>
    <row r="65" customFormat="false" ht="15" hidden="false" customHeight="false" outlineLevel="0" collapsed="false">
      <c r="A65" s="28"/>
      <c r="B65" s="28"/>
      <c r="C65" s="28"/>
      <c r="D65" s="28"/>
      <c r="E65" s="28"/>
    </row>
    <row r="66" customFormat="false" ht="15" hidden="false" customHeight="false" outlineLevel="0" collapsed="false">
      <c r="A66" s="28"/>
      <c r="B66" s="28"/>
      <c r="C66" s="28"/>
      <c r="D66" s="28"/>
      <c r="E66" s="28"/>
    </row>
    <row r="67" customFormat="false" ht="15" hidden="false" customHeight="false" outlineLevel="0" collapsed="false">
      <c r="A67" s="28"/>
      <c r="B67" s="28"/>
      <c r="C67" s="28"/>
      <c r="D67" s="28"/>
      <c r="E67" s="28"/>
    </row>
    <row r="68" customFormat="false" ht="15" hidden="false" customHeight="false" outlineLevel="0" collapsed="false">
      <c r="A68" s="28"/>
      <c r="B68" s="28"/>
      <c r="C68" s="28"/>
      <c r="D68" s="28"/>
      <c r="E68" s="28"/>
    </row>
    <row r="69" customFormat="false" ht="15" hidden="false" customHeight="false" outlineLevel="0" collapsed="false">
      <c r="A69" s="28"/>
      <c r="B69" s="28"/>
      <c r="C69" s="28"/>
      <c r="D69" s="28"/>
      <c r="E69" s="28"/>
    </row>
    <row r="70" customFormat="false" ht="15" hidden="false" customHeight="false" outlineLevel="0" collapsed="false">
      <c r="A70" s="28"/>
      <c r="B70" s="28"/>
      <c r="C70" s="28"/>
      <c r="D70" s="28"/>
      <c r="E70" s="28"/>
    </row>
    <row r="71" customFormat="false" ht="15" hidden="false" customHeight="false" outlineLevel="0" collapsed="false">
      <c r="A71" s="28"/>
      <c r="B71" s="28"/>
      <c r="C71" s="28"/>
      <c r="D71" s="28"/>
      <c r="E71" s="28"/>
    </row>
    <row r="72" customFormat="false" ht="15" hidden="false" customHeight="false" outlineLevel="0" collapsed="false">
      <c r="A72" s="28"/>
      <c r="B72" s="28"/>
      <c r="C72" s="28"/>
      <c r="D72" s="28"/>
      <c r="E72" s="28"/>
    </row>
    <row r="73" customFormat="false" ht="15" hidden="false" customHeight="false" outlineLevel="0" collapsed="false">
      <c r="A73" s="28"/>
      <c r="B73" s="28"/>
      <c r="C73" s="28"/>
      <c r="D73" s="28"/>
      <c r="E73" s="28"/>
    </row>
    <row r="74" customFormat="false" ht="15" hidden="false" customHeight="false" outlineLevel="0" collapsed="false">
      <c r="A74" s="28"/>
      <c r="B74" s="28"/>
      <c r="C74" s="28"/>
      <c r="D74" s="28"/>
      <c r="E74" s="28"/>
    </row>
    <row r="75" customFormat="false" ht="15" hidden="false" customHeight="false" outlineLevel="0" collapsed="false">
      <c r="A75" s="28"/>
      <c r="B75" s="28"/>
      <c r="C75" s="28"/>
      <c r="D75" s="28"/>
      <c r="E75" s="28"/>
    </row>
    <row r="76" customFormat="false" ht="15" hidden="false" customHeight="false" outlineLevel="0" collapsed="false">
      <c r="A76" s="28"/>
      <c r="B76" s="28"/>
      <c r="C76" s="28"/>
      <c r="D76" s="28"/>
      <c r="E76" s="28"/>
    </row>
    <row r="77" customFormat="false" ht="15" hidden="false" customHeight="false" outlineLevel="0" collapsed="false">
      <c r="A77" s="28"/>
      <c r="B77" s="28"/>
      <c r="C77" s="28"/>
      <c r="D77" s="28"/>
      <c r="E77" s="28"/>
    </row>
    <row r="78" customFormat="false" ht="15" hidden="false" customHeight="false" outlineLevel="0" collapsed="false">
      <c r="A78" s="28"/>
      <c r="B78" s="28"/>
      <c r="C78" s="28"/>
      <c r="D78" s="28"/>
      <c r="E78" s="28"/>
    </row>
    <row r="79" customFormat="false" ht="15" hidden="false" customHeight="false" outlineLevel="0" collapsed="false">
      <c r="A79" s="28"/>
      <c r="B79" s="28"/>
      <c r="C79" s="28"/>
      <c r="D79" s="28"/>
      <c r="E79" s="28"/>
    </row>
    <row r="80" customFormat="false" ht="15" hidden="false" customHeight="false" outlineLevel="0" collapsed="false">
      <c r="A80" s="28"/>
      <c r="B80" s="28"/>
      <c r="C80" s="28"/>
      <c r="D80" s="28"/>
      <c r="E80" s="28"/>
    </row>
    <row r="81" customFormat="false" ht="15" hidden="false" customHeight="false" outlineLevel="0" collapsed="false">
      <c r="A81" s="28"/>
      <c r="B81" s="28"/>
      <c r="C81" s="28"/>
      <c r="D81" s="28"/>
      <c r="E81" s="28"/>
    </row>
    <row r="82" customFormat="false" ht="15" hidden="false" customHeight="false" outlineLevel="0" collapsed="false">
      <c r="A82" s="28"/>
      <c r="B82" s="28"/>
      <c r="C82" s="28"/>
      <c r="D82" s="28"/>
      <c r="E82" s="28"/>
    </row>
    <row r="83" customFormat="false" ht="15" hidden="false" customHeight="false" outlineLevel="0" collapsed="false">
      <c r="A83" s="28"/>
      <c r="B83" s="28"/>
      <c r="C83" s="28"/>
      <c r="D83" s="28"/>
      <c r="E83" s="28"/>
    </row>
    <row r="84" customFormat="false" ht="15" hidden="false" customHeight="false" outlineLevel="0" collapsed="false">
      <c r="A84" s="28"/>
      <c r="B84" s="28"/>
      <c r="C84" s="28"/>
      <c r="D84" s="28"/>
      <c r="E84" s="28"/>
    </row>
    <row r="85" customFormat="false" ht="15" hidden="false" customHeight="false" outlineLevel="0" collapsed="false">
      <c r="A85" s="28"/>
      <c r="B85" s="28"/>
      <c r="C85" s="28"/>
      <c r="D85" s="28"/>
      <c r="E85" s="28"/>
    </row>
    <row r="86" customFormat="false" ht="15" hidden="false" customHeight="false" outlineLevel="0" collapsed="false">
      <c r="A86" s="28"/>
      <c r="B86" s="28"/>
      <c r="C86" s="28"/>
      <c r="D86" s="28"/>
      <c r="E86" s="28"/>
    </row>
    <row r="87" customFormat="false" ht="15" hidden="false" customHeight="false" outlineLevel="0" collapsed="false">
      <c r="A87" s="28"/>
      <c r="B87" s="28"/>
      <c r="C87" s="28"/>
      <c r="D87" s="28"/>
      <c r="E87" s="28"/>
    </row>
    <row r="88" customFormat="false" ht="15" hidden="false" customHeight="false" outlineLevel="0" collapsed="false">
      <c r="A88" s="28"/>
      <c r="B88" s="28"/>
      <c r="C88" s="28"/>
      <c r="D88" s="28"/>
      <c r="E88" s="28"/>
    </row>
    <row r="89" customFormat="false" ht="15" hidden="false" customHeight="false" outlineLevel="0" collapsed="false">
      <c r="A89" s="28"/>
      <c r="B89" s="28"/>
      <c r="C89" s="28"/>
      <c r="D89" s="28"/>
      <c r="E89" s="28"/>
    </row>
    <row r="90" customFormat="false" ht="15" hidden="false" customHeight="false" outlineLevel="0" collapsed="false">
      <c r="A90" s="28"/>
      <c r="B90" s="28"/>
      <c r="C90" s="28"/>
      <c r="D90" s="28"/>
      <c r="E90" s="28"/>
    </row>
    <row r="91" customFormat="false" ht="15" hidden="false" customHeight="false" outlineLevel="0" collapsed="false">
      <c r="A91" s="28"/>
      <c r="B91" s="28"/>
      <c r="C91" s="28"/>
      <c r="D91" s="28"/>
      <c r="E91" s="28"/>
    </row>
    <row r="92" customFormat="false" ht="15" hidden="false" customHeight="false" outlineLevel="0" collapsed="false">
      <c r="A92" s="28"/>
      <c r="B92" s="28"/>
      <c r="C92" s="28"/>
      <c r="D92" s="28"/>
      <c r="E92" s="28"/>
    </row>
    <row r="93" customFormat="false" ht="15" hidden="false" customHeight="false" outlineLevel="0" collapsed="false">
      <c r="A93" s="28"/>
      <c r="B93" s="28"/>
      <c r="C93" s="28"/>
      <c r="D93" s="28"/>
      <c r="E93" s="28"/>
    </row>
    <row r="94" customFormat="false" ht="15" hidden="false" customHeight="false" outlineLevel="0" collapsed="false">
      <c r="A94" s="28"/>
      <c r="B94" s="28"/>
      <c r="C94" s="28"/>
      <c r="D94" s="28"/>
      <c r="E94" s="28"/>
    </row>
    <row r="95" customFormat="false" ht="15" hidden="false" customHeight="false" outlineLevel="0" collapsed="false">
      <c r="A95" s="28"/>
      <c r="B95" s="28"/>
      <c r="C95" s="28"/>
      <c r="D95" s="28"/>
      <c r="E95" s="28"/>
    </row>
    <row r="96" customFormat="false" ht="15" hidden="false" customHeight="false" outlineLevel="0" collapsed="false">
      <c r="A96" s="28"/>
      <c r="B96" s="28"/>
      <c r="C96" s="28"/>
      <c r="D96" s="28"/>
      <c r="E96" s="28"/>
    </row>
    <row r="97" customFormat="false" ht="15" hidden="false" customHeight="false" outlineLevel="0" collapsed="false">
      <c r="A97" s="28"/>
      <c r="B97" s="28"/>
      <c r="C97" s="28"/>
      <c r="D97" s="28"/>
      <c r="E97" s="28"/>
    </row>
    <row r="98" customFormat="false" ht="15" hidden="false" customHeight="false" outlineLevel="0" collapsed="false">
      <c r="A98" s="28"/>
      <c r="B98" s="28"/>
      <c r="C98" s="28"/>
      <c r="D98" s="28"/>
      <c r="E98" s="28"/>
    </row>
    <row r="99" customFormat="false" ht="15" hidden="false" customHeight="false" outlineLevel="0" collapsed="false">
      <c r="A99" s="28"/>
      <c r="B99" s="28"/>
      <c r="C99" s="28"/>
      <c r="D99" s="28"/>
      <c r="E99" s="28"/>
    </row>
    <row r="100" customFormat="false" ht="15" hidden="false" customHeight="false" outlineLevel="0" collapsed="false">
      <c r="A100" s="28"/>
      <c r="B100" s="28"/>
      <c r="C100" s="28"/>
      <c r="D100" s="28"/>
      <c r="E100" s="28"/>
    </row>
    <row r="101" customFormat="false" ht="15" hidden="false" customHeight="false" outlineLevel="0" collapsed="false">
      <c r="A101" s="28"/>
      <c r="B101" s="28"/>
      <c r="C101" s="28"/>
      <c r="D101" s="28"/>
      <c r="E101" s="28"/>
    </row>
    <row r="102" customFormat="false" ht="15" hidden="false" customHeight="false" outlineLevel="0" collapsed="false">
      <c r="A102" s="28"/>
      <c r="B102" s="28"/>
      <c r="C102" s="28"/>
      <c r="D102" s="28"/>
      <c r="E102" s="28"/>
    </row>
    <row r="103" customFormat="false" ht="15" hidden="false" customHeight="false" outlineLevel="0" collapsed="false">
      <c r="A103" s="28"/>
      <c r="B103" s="28"/>
      <c r="C103" s="28"/>
      <c r="D103" s="28"/>
      <c r="E103" s="28"/>
    </row>
    <row r="104" customFormat="false" ht="15" hidden="false" customHeight="false" outlineLevel="0" collapsed="false">
      <c r="A104" s="28"/>
      <c r="B104" s="28"/>
      <c r="C104" s="28"/>
      <c r="D104" s="28"/>
      <c r="E104" s="28"/>
    </row>
    <row r="105" customFormat="false" ht="15" hidden="false" customHeight="false" outlineLevel="0" collapsed="false">
      <c r="A105" s="28"/>
      <c r="B105" s="28"/>
      <c r="C105" s="28"/>
      <c r="D105" s="28"/>
      <c r="E105" s="28"/>
    </row>
    <row r="106" customFormat="false" ht="15" hidden="false" customHeight="false" outlineLevel="0" collapsed="false">
      <c r="A106" s="28"/>
      <c r="B106" s="28"/>
      <c r="C106" s="28"/>
      <c r="D106" s="28"/>
      <c r="E106" s="28"/>
    </row>
    <row r="107" customFormat="false" ht="15" hidden="false" customHeight="false" outlineLevel="0" collapsed="false">
      <c r="A107" s="28"/>
      <c r="B107" s="28"/>
      <c r="C107" s="28"/>
      <c r="D107" s="28"/>
      <c r="E107" s="28"/>
    </row>
    <row r="108" customFormat="false" ht="15" hidden="false" customHeight="false" outlineLevel="0" collapsed="false">
      <c r="A108" s="28"/>
      <c r="B108" s="28"/>
      <c r="C108" s="28"/>
      <c r="D108" s="28"/>
      <c r="E108" s="28"/>
    </row>
    <row r="109" customFormat="false" ht="15" hidden="false" customHeight="false" outlineLevel="0" collapsed="false">
      <c r="A109" s="28"/>
      <c r="B109" s="28"/>
      <c r="C109" s="28"/>
      <c r="D109" s="28"/>
      <c r="E109" s="28"/>
    </row>
    <row r="110" customFormat="false" ht="15" hidden="false" customHeight="false" outlineLevel="0" collapsed="false">
      <c r="A110" s="28"/>
      <c r="B110" s="28"/>
      <c r="C110" s="28"/>
      <c r="D110" s="28"/>
      <c r="E110" s="28"/>
    </row>
    <row r="111" customFormat="false" ht="15" hidden="false" customHeight="false" outlineLevel="0" collapsed="false">
      <c r="A111" s="28"/>
      <c r="B111" s="28"/>
      <c r="C111" s="28"/>
      <c r="D111" s="28"/>
      <c r="E111" s="28"/>
    </row>
    <row r="112" customFormat="false" ht="15" hidden="false" customHeight="false" outlineLevel="0" collapsed="false">
      <c r="A112" s="28"/>
      <c r="B112" s="28"/>
      <c r="C112" s="28"/>
      <c r="D112" s="28"/>
      <c r="E112" s="28"/>
    </row>
    <row r="113" customFormat="false" ht="15" hidden="false" customHeight="false" outlineLevel="0" collapsed="false">
      <c r="A113" s="28"/>
      <c r="B113" s="28"/>
      <c r="C113" s="28"/>
      <c r="D113" s="28"/>
      <c r="E113" s="28"/>
    </row>
    <row r="114" customFormat="false" ht="15" hidden="false" customHeight="false" outlineLevel="0" collapsed="false">
      <c r="A114" s="28"/>
      <c r="B114" s="28"/>
      <c r="C114" s="28"/>
      <c r="D114" s="28"/>
      <c r="E114" s="28"/>
    </row>
    <row r="115" customFormat="false" ht="15" hidden="false" customHeight="false" outlineLevel="0" collapsed="false">
      <c r="A115" s="28"/>
      <c r="B115" s="28"/>
      <c r="C115" s="28"/>
      <c r="D115" s="28"/>
      <c r="E115" s="28"/>
    </row>
    <row r="116" customFormat="false" ht="15" hidden="false" customHeight="false" outlineLevel="0" collapsed="false">
      <c r="A116" s="28"/>
      <c r="B116" s="28"/>
      <c r="C116" s="28"/>
      <c r="D116" s="28"/>
      <c r="E116" s="28"/>
    </row>
    <row r="117" customFormat="false" ht="15" hidden="false" customHeight="false" outlineLevel="0" collapsed="false">
      <c r="A117" s="28"/>
      <c r="B117" s="28"/>
      <c r="C117" s="28"/>
      <c r="D117" s="28"/>
      <c r="E117" s="28"/>
    </row>
    <row r="118" customFormat="false" ht="15" hidden="false" customHeight="false" outlineLevel="0" collapsed="false">
      <c r="A118" s="28"/>
      <c r="B118" s="28"/>
      <c r="C118" s="28"/>
      <c r="D118" s="28"/>
      <c r="E118" s="28"/>
    </row>
    <row r="119" customFormat="false" ht="15" hidden="false" customHeight="false" outlineLevel="0" collapsed="false">
      <c r="A119" s="28"/>
      <c r="B119" s="28"/>
      <c r="C119" s="28"/>
      <c r="D119" s="28"/>
      <c r="E119" s="28"/>
    </row>
    <row r="120" customFormat="false" ht="15" hidden="false" customHeight="false" outlineLevel="0" collapsed="false">
      <c r="A120" s="28"/>
      <c r="B120" s="28"/>
      <c r="C120" s="28"/>
      <c r="D120" s="28"/>
      <c r="E120" s="28"/>
    </row>
    <row r="121" customFormat="false" ht="15" hidden="false" customHeight="false" outlineLevel="0" collapsed="false">
      <c r="A121" s="28"/>
      <c r="B121" s="28"/>
      <c r="C121" s="28"/>
      <c r="D121" s="28"/>
      <c r="E121" s="28"/>
    </row>
    <row r="122" customFormat="false" ht="15" hidden="false" customHeight="false" outlineLevel="0" collapsed="false">
      <c r="A122" s="28"/>
      <c r="B122" s="28"/>
      <c r="C122" s="28"/>
      <c r="D122" s="28"/>
      <c r="E122" s="28"/>
    </row>
    <row r="123" customFormat="false" ht="15" hidden="false" customHeight="false" outlineLevel="0" collapsed="false">
      <c r="A123" s="28"/>
      <c r="B123" s="28"/>
      <c r="C123" s="28"/>
      <c r="D123" s="28"/>
      <c r="E123" s="28"/>
    </row>
    <row r="124" customFormat="false" ht="15" hidden="false" customHeight="false" outlineLevel="0" collapsed="false">
      <c r="A124" s="28"/>
      <c r="B124" s="28"/>
      <c r="C124" s="28"/>
      <c r="D124" s="28"/>
      <c r="E124" s="28"/>
    </row>
    <row r="125" customFormat="false" ht="15" hidden="false" customHeight="false" outlineLevel="0" collapsed="false">
      <c r="A125" s="28"/>
      <c r="B125" s="28"/>
      <c r="C125" s="28"/>
      <c r="D125" s="28"/>
      <c r="E125" s="28"/>
    </row>
    <row r="126" customFormat="false" ht="15" hidden="false" customHeight="false" outlineLevel="0" collapsed="false">
      <c r="A126" s="28"/>
      <c r="B126" s="28"/>
      <c r="C126" s="28"/>
      <c r="D126" s="28"/>
      <c r="E126" s="28"/>
    </row>
    <row r="127" customFormat="false" ht="15" hidden="false" customHeight="false" outlineLevel="0" collapsed="false">
      <c r="A127" s="28"/>
      <c r="B127" s="28"/>
      <c r="C127" s="28"/>
      <c r="D127" s="28"/>
      <c r="E127" s="28"/>
    </row>
    <row r="128" customFormat="false" ht="15" hidden="false" customHeight="false" outlineLevel="0" collapsed="false">
      <c r="A128" s="28"/>
      <c r="B128" s="28"/>
      <c r="C128" s="28"/>
      <c r="D128" s="28"/>
      <c r="E128" s="28"/>
    </row>
    <row r="129" customFormat="false" ht="15" hidden="false" customHeight="false" outlineLevel="0" collapsed="false">
      <c r="A129" s="28"/>
      <c r="B129" s="28"/>
      <c r="C129" s="28"/>
      <c r="D129" s="28"/>
      <c r="E129" s="28"/>
    </row>
    <row r="130" customFormat="false" ht="15" hidden="false" customHeight="false" outlineLevel="0" collapsed="false">
      <c r="A130" s="28"/>
      <c r="B130" s="28"/>
      <c r="C130" s="28"/>
      <c r="D130" s="28"/>
      <c r="E130" s="28"/>
    </row>
    <row r="131" customFormat="false" ht="15" hidden="false" customHeight="false" outlineLevel="0" collapsed="false">
      <c r="A131" s="28"/>
      <c r="B131" s="28"/>
      <c r="C131" s="28"/>
      <c r="D131" s="28"/>
      <c r="E131" s="28"/>
    </row>
    <row r="132" customFormat="false" ht="15" hidden="false" customHeight="false" outlineLevel="0" collapsed="false">
      <c r="A132" s="28"/>
      <c r="B132" s="28"/>
      <c r="C132" s="28"/>
      <c r="D132" s="28"/>
      <c r="E132" s="28"/>
    </row>
    <row r="133" customFormat="false" ht="15" hidden="false" customHeight="false" outlineLevel="0" collapsed="false">
      <c r="A133" s="28"/>
      <c r="B133" s="28"/>
      <c r="C133" s="28"/>
      <c r="D133" s="28"/>
      <c r="E133" s="28"/>
    </row>
    <row r="134" customFormat="false" ht="15" hidden="false" customHeight="false" outlineLevel="0" collapsed="false">
      <c r="A134" s="28"/>
      <c r="B134" s="28"/>
      <c r="C134" s="28"/>
      <c r="D134" s="28"/>
      <c r="E134" s="28"/>
    </row>
    <row r="135" customFormat="false" ht="15" hidden="false" customHeight="false" outlineLevel="0" collapsed="false">
      <c r="A135" s="28"/>
      <c r="B135" s="28"/>
      <c r="C135" s="28"/>
      <c r="D135" s="28"/>
      <c r="E135" s="28"/>
    </row>
    <row r="136" customFormat="false" ht="15" hidden="false" customHeight="false" outlineLevel="0" collapsed="false">
      <c r="A136" s="28"/>
      <c r="B136" s="28"/>
      <c r="C136" s="28"/>
      <c r="D136" s="28"/>
      <c r="E136" s="28"/>
    </row>
    <row r="137" customFormat="false" ht="15" hidden="false" customHeight="false" outlineLevel="0" collapsed="false">
      <c r="A137" s="28"/>
      <c r="B137" s="28"/>
      <c r="C137" s="28"/>
      <c r="D137" s="28"/>
      <c r="E137" s="28"/>
    </row>
    <row r="138" customFormat="false" ht="15" hidden="false" customHeight="false" outlineLevel="0" collapsed="false">
      <c r="A138" s="28"/>
      <c r="B138" s="28"/>
      <c r="C138" s="28"/>
      <c r="D138" s="28"/>
      <c r="E138" s="28"/>
    </row>
    <row r="139" customFormat="false" ht="15" hidden="false" customHeight="false" outlineLevel="0" collapsed="false">
      <c r="A139" s="28"/>
      <c r="B139" s="28"/>
      <c r="C139" s="28"/>
      <c r="D139" s="28"/>
      <c r="E139" s="28"/>
    </row>
    <row r="140" customFormat="false" ht="15" hidden="false" customHeight="false" outlineLevel="0" collapsed="false">
      <c r="A140" s="28"/>
      <c r="B140" s="28"/>
      <c r="C140" s="28"/>
      <c r="D140" s="28"/>
      <c r="E140" s="28"/>
    </row>
    <row r="141" customFormat="false" ht="15" hidden="false" customHeight="false" outlineLevel="0" collapsed="false">
      <c r="A141" s="28"/>
      <c r="B141" s="28"/>
      <c r="C141" s="28"/>
      <c r="D141" s="28"/>
      <c r="E141" s="28"/>
    </row>
    <row r="142" customFormat="false" ht="15" hidden="false" customHeight="false" outlineLevel="0" collapsed="false">
      <c r="A142" s="28"/>
      <c r="B142" s="28"/>
      <c r="C142" s="28"/>
      <c r="D142" s="28"/>
      <c r="E142" s="28"/>
    </row>
    <row r="143" customFormat="false" ht="15" hidden="false" customHeight="false" outlineLevel="0" collapsed="false">
      <c r="A143" s="28"/>
      <c r="B143" s="28"/>
      <c r="C143" s="28"/>
      <c r="D143" s="28"/>
      <c r="E143" s="28"/>
    </row>
    <row r="144" customFormat="false" ht="15" hidden="false" customHeight="false" outlineLevel="0" collapsed="false">
      <c r="A144" s="28"/>
      <c r="B144" s="28"/>
      <c r="C144" s="28"/>
      <c r="D144" s="28"/>
      <c r="E144" s="28"/>
    </row>
    <row r="145" customFormat="false" ht="15" hidden="false" customHeight="false" outlineLevel="0" collapsed="false">
      <c r="A145" s="28"/>
      <c r="B145" s="28"/>
      <c r="C145" s="28"/>
      <c r="D145" s="28"/>
      <c r="E145" s="28"/>
    </row>
    <row r="146" customFormat="false" ht="15" hidden="false" customHeight="false" outlineLevel="0" collapsed="false">
      <c r="A146" s="28"/>
      <c r="B146" s="28"/>
      <c r="C146" s="28"/>
      <c r="D146" s="28"/>
      <c r="E146" s="28"/>
    </row>
    <row r="147" customFormat="false" ht="15" hidden="false" customHeight="false" outlineLevel="0" collapsed="false">
      <c r="A147" s="28"/>
      <c r="B147" s="28"/>
      <c r="C147" s="28"/>
      <c r="D147" s="28"/>
      <c r="E147" s="28"/>
    </row>
    <row r="148" customFormat="false" ht="15" hidden="false" customHeight="false" outlineLevel="0" collapsed="false">
      <c r="A148" s="28"/>
      <c r="B148" s="28"/>
      <c r="C148" s="28"/>
      <c r="D148" s="28"/>
      <c r="E148" s="28"/>
    </row>
    <row r="149" customFormat="false" ht="15" hidden="false" customHeight="false" outlineLevel="0" collapsed="false">
      <c r="A149" s="28"/>
      <c r="B149" s="28"/>
      <c r="C149" s="28"/>
      <c r="D149" s="28"/>
      <c r="E149" s="28"/>
    </row>
    <row r="150" customFormat="false" ht="15" hidden="false" customHeight="false" outlineLevel="0" collapsed="false">
      <c r="A150" s="28"/>
      <c r="B150" s="28"/>
      <c r="C150" s="28"/>
      <c r="D150" s="28"/>
      <c r="E150" s="28"/>
    </row>
    <row r="151" customFormat="false" ht="15" hidden="false" customHeight="false" outlineLevel="0" collapsed="false">
      <c r="A151" s="28"/>
      <c r="B151" s="28"/>
      <c r="C151" s="28"/>
      <c r="D151" s="28"/>
      <c r="E151" s="28"/>
    </row>
    <row r="152" customFormat="false" ht="15" hidden="false" customHeight="false" outlineLevel="0" collapsed="false">
      <c r="A152" s="28"/>
      <c r="B152" s="28"/>
      <c r="C152" s="28"/>
      <c r="D152" s="28"/>
      <c r="E152" s="28"/>
    </row>
    <row r="153" customFormat="false" ht="15" hidden="false" customHeight="false" outlineLevel="0" collapsed="false">
      <c r="A153" s="28"/>
      <c r="B153" s="28"/>
      <c r="C153" s="28"/>
      <c r="D153" s="28"/>
      <c r="E153" s="28"/>
    </row>
    <row r="154" customFormat="false" ht="15" hidden="false" customHeight="false" outlineLevel="0" collapsed="false">
      <c r="A154" s="28"/>
      <c r="B154" s="28"/>
      <c r="C154" s="28"/>
      <c r="D154" s="28"/>
      <c r="E154" s="28"/>
    </row>
    <row r="155" customFormat="false" ht="15" hidden="false" customHeight="false" outlineLevel="0" collapsed="false">
      <c r="A155" s="28"/>
      <c r="B155" s="28"/>
      <c r="C155" s="28"/>
      <c r="D155" s="28"/>
      <c r="E155" s="28"/>
    </row>
    <row r="156" customFormat="false" ht="15" hidden="false" customHeight="false" outlineLevel="0" collapsed="false">
      <c r="A156" s="28"/>
      <c r="B156" s="28"/>
      <c r="C156" s="28"/>
      <c r="D156" s="28"/>
      <c r="E156" s="28"/>
    </row>
    <row r="157" customFormat="false" ht="15" hidden="false" customHeight="false" outlineLevel="0" collapsed="false">
      <c r="A157" s="28"/>
      <c r="B157" s="28"/>
      <c r="C157" s="28"/>
      <c r="D157" s="28"/>
      <c r="E157" s="28"/>
    </row>
    <row r="158" customFormat="false" ht="15" hidden="false" customHeight="false" outlineLevel="0" collapsed="false">
      <c r="A158" s="28"/>
      <c r="B158" s="28"/>
      <c r="C158" s="28"/>
      <c r="D158" s="28"/>
      <c r="E158" s="28"/>
    </row>
    <row r="159" customFormat="false" ht="15" hidden="false" customHeight="false" outlineLevel="0" collapsed="false">
      <c r="A159" s="28"/>
      <c r="B159" s="28"/>
      <c r="C159" s="28"/>
      <c r="D159" s="28"/>
      <c r="E159" s="28"/>
    </row>
    <row r="160" customFormat="false" ht="15" hidden="false" customHeight="false" outlineLevel="0" collapsed="false">
      <c r="A160" s="28"/>
      <c r="B160" s="28"/>
      <c r="C160" s="28"/>
      <c r="D160" s="28"/>
      <c r="E160" s="28"/>
    </row>
    <row r="161" customFormat="false" ht="15" hidden="false" customHeight="false" outlineLevel="0" collapsed="false">
      <c r="A161" s="28"/>
      <c r="B161" s="28"/>
      <c r="C161" s="28"/>
      <c r="D161" s="28"/>
      <c r="E161" s="28"/>
    </row>
    <row r="162" customFormat="false" ht="15" hidden="false" customHeight="false" outlineLevel="0" collapsed="false">
      <c r="A162" s="28"/>
      <c r="B162" s="28"/>
      <c r="C162" s="28"/>
      <c r="D162" s="28"/>
      <c r="E162" s="28"/>
    </row>
    <row r="163" customFormat="false" ht="15" hidden="false" customHeight="false" outlineLevel="0" collapsed="false">
      <c r="A163" s="28"/>
      <c r="B163" s="28"/>
      <c r="C163" s="28"/>
      <c r="D163" s="28"/>
      <c r="E163" s="28"/>
    </row>
    <row r="164" customFormat="false" ht="15" hidden="false" customHeight="false" outlineLevel="0" collapsed="false">
      <c r="A164" s="28"/>
      <c r="B164" s="28"/>
      <c r="C164" s="28"/>
      <c r="D164" s="28"/>
      <c r="E164" s="28"/>
    </row>
    <row r="165" customFormat="false" ht="15" hidden="false" customHeight="false" outlineLevel="0" collapsed="false">
      <c r="A165" s="28"/>
      <c r="B165" s="28"/>
      <c r="C165" s="28"/>
      <c r="D165" s="28"/>
      <c r="E165" s="28"/>
    </row>
    <row r="166" customFormat="false" ht="15" hidden="false" customHeight="false" outlineLevel="0" collapsed="false">
      <c r="A166" s="28"/>
      <c r="B166" s="28"/>
      <c r="C166" s="28"/>
      <c r="D166" s="28"/>
      <c r="E166" s="28"/>
    </row>
    <row r="167" customFormat="false" ht="15" hidden="false" customHeight="false" outlineLevel="0" collapsed="false">
      <c r="A167" s="28"/>
      <c r="B167" s="28"/>
      <c r="C167" s="28"/>
      <c r="D167" s="28"/>
      <c r="E167" s="28"/>
    </row>
    <row r="168" customFormat="false" ht="15" hidden="false" customHeight="false" outlineLevel="0" collapsed="false">
      <c r="A168" s="28"/>
      <c r="B168" s="28"/>
      <c r="C168" s="28"/>
      <c r="D168" s="28"/>
      <c r="E168" s="28"/>
    </row>
    <row r="169" customFormat="false" ht="15" hidden="false" customHeight="false" outlineLevel="0" collapsed="false">
      <c r="A169" s="28"/>
      <c r="B169" s="28"/>
      <c r="C169" s="28"/>
      <c r="D169" s="28"/>
      <c r="E169" s="28"/>
    </row>
    <row r="170" customFormat="false" ht="15" hidden="false" customHeight="false" outlineLevel="0" collapsed="false">
      <c r="A170" s="28"/>
      <c r="B170" s="28"/>
      <c r="C170" s="28"/>
      <c r="D170" s="28"/>
      <c r="E170" s="28"/>
    </row>
    <row r="171" customFormat="false" ht="15" hidden="false" customHeight="false" outlineLevel="0" collapsed="false">
      <c r="A171" s="28"/>
      <c r="B171" s="28"/>
      <c r="C171" s="28"/>
      <c r="D171" s="28"/>
      <c r="E171" s="28"/>
    </row>
    <row r="172" customFormat="false" ht="15" hidden="false" customHeight="false" outlineLevel="0" collapsed="false">
      <c r="A172" s="28"/>
      <c r="B172" s="28"/>
      <c r="C172" s="28"/>
      <c r="D172" s="28"/>
      <c r="E172" s="28"/>
    </row>
    <row r="173" customFormat="false" ht="15" hidden="false" customHeight="false" outlineLevel="0" collapsed="false">
      <c r="A173" s="28"/>
      <c r="B173" s="28"/>
      <c r="C173" s="28"/>
      <c r="D173" s="28"/>
      <c r="E173" s="28"/>
    </row>
    <row r="174" customFormat="false" ht="15" hidden="false" customHeight="false" outlineLevel="0" collapsed="false">
      <c r="A174" s="28"/>
      <c r="B174" s="28"/>
      <c r="C174" s="28"/>
      <c r="D174" s="28"/>
      <c r="E174" s="28"/>
    </row>
    <row r="175" customFormat="false" ht="15" hidden="false" customHeight="false" outlineLevel="0" collapsed="false">
      <c r="A175" s="28"/>
      <c r="B175" s="28"/>
      <c r="C175" s="28"/>
      <c r="D175" s="28"/>
      <c r="E175" s="28"/>
    </row>
    <row r="176" customFormat="false" ht="15" hidden="false" customHeight="false" outlineLevel="0" collapsed="false">
      <c r="A176" s="28"/>
      <c r="B176" s="28"/>
      <c r="C176" s="28"/>
      <c r="D176" s="28"/>
      <c r="E176" s="28"/>
    </row>
    <row r="177" customFormat="false" ht="15" hidden="false" customHeight="false" outlineLevel="0" collapsed="false">
      <c r="A177" s="28"/>
      <c r="B177" s="28"/>
      <c r="C177" s="28"/>
      <c r="D177" s="28"/>
      <c r="E177" s="28"/>
    </row>
    <row r="178" customFormat="false" ht="15" hidden="false" customHeight="false" outlineLevel="0" collapsed="false">
      <c r="A178" s="28"/>
      <c r="B178" s="28"/>
      <c r="C178" s="28"/>
      <c r="D178" s="28"/>
      <c r="E178" s="28"/>
    </row>
    <row r="179" customFormat="false" ht="15" hidden="false" customHeight="false" outlineLevel="0" collapsed="false">
      <c r="A179" s="28"/>
      <c r="B179" s="28"/>
      <c r="C179" s="28"/>
      <c r="D179" s="28"/>
      <c r="E179" s="28"/>
    </row>
    <row r="180" customFormat="false" ht="15" hidden="false" customHeight="false" outlineLevel="0" collapsed="false">
      <c r="A180" s="28"/>
      <c r="B180" s="28"/>
      <c r="C180" s="28"/>
      <c r="D180" s="28"/>
      <c r="E180" s="28"/>
    </row>
    <row r="181" customFormat="false" ht="15" hidden="false" customHeight="false" outlineLevel="0" collapsed="false">
      <c r="A181" s="28"/>
      <c r="B181" s="28"/>
      <c r="C181" s="28"/>
      <c r="D181" s="28"/>
      <c r="E181" s="28"/>
    </row>
    <row r="182" customFormat="false" ht="15" hidden="false" customHeight="false" outlineLevel="0" collapsed="false">
      <c r="A182" s="28"/>
      <c r="B182" s="28"/>
      <c r="C182" s="28"/>
      <c r="D182" s="28"/>
      <c r="E182" s="28"/>
    </row>
    <row r="183" customFormat="false" ht="15" hidden="false" customHeight="false" outlineLevel="0" collapsed="false">
      <c r="A183" s="28"/>
      <c r="B183" s="28"/>
      <c r="C183" s="28"/>
      <c r="D183" s="28"/>
      <c r="E183" s="28"/>
    </row>
    <row r="184" customFormat="false" ht="15" hidden="false" customHeight="false" outlineLevel="0" collapsed="false">
      <c r="A184" s="28"/>
      <c r="B184" s="28"/>
      <c r="C184" s="28"/>
      <c r="D184" s="28"/>
      <c r="E184" s="28"/>
    </row>
    <row r="185" customFormat="false" ht="15" hidden="false" customHeight="false" outlineLevel="0" collapsed="false">
      <c r="A185" s="28"/>
      <c r="B185" s="28"/>
      <c r="C185" s="28"/>
      <c r="D185" s="28"/>
      <c r="E185" s="28"/>
    </row>
    <row r="186" customFormat="false" ht="15" hidden="false" customHeight="false" outlineLevel="0" collapsed="false">
      <c r="A186" s="28"/>
      <c r="B186" s="28"/>
      <c r="C186" s="28"/>
      <c r="D186" s="28"/>
      <c r="E186" s="28"/>
    </row>
    <row r="187" customFormat="false" ht="15" hidden="false" customHeight="false" outlineLevel="0" collapsed="false">
      <c r="A187" s="28"/>
      <c r="B187" s="28"/>
      <c r="C187" s="28"/>
      <c r="D187" s="28"/>
      <c r="E187" s="28"/>
    </row>
    <row r="188" customFormat="false" ht="15" hidden="false" customHeight="false" outlineLevel="0" collapsed="false">
      <c r="A188" s="28"/>
      <c r="B188" s="28"/>
      <c r="C188" s="28"/>
      <c r="D188" s="28"/>
      <c r="E188" s="28"/>
    </row>
    <row r="189" customFormat="false" ht="15" hidden="false" customHeight="false" outlineLevel="0" collapsed="false">
      <c r="A189" s="28"/>
      <c r="B189" s="28"/>
      <c r="C189" s="28"/>
      <c r="D189" s="28"/>
      <c r="E189" s="28"/>
    </row>
    <row r="190" customFormat="false" ht="15" hidden="false" customHeight="false" outlineLevel="0" collapsed="false">
      <c r="A190" s="28"/>
      <c r="B190" s="28"/>
      <c r="C190" s="28"/>
      <c r="D190" s="28"/>
      <c r="E190" s="28"/>
    </row>
    <row r="191" customFormat="false" ht="15" hidden="false" customHeight="false" outlineLevel="0" collapsed="false">
      <c r="A191" s="28"/>
      <c r="B191" s="28"/>
      <c r="C191" s="28"/>
      <c r="D191" s="28"/>
      <c r="E191" s="28"/>
    </row>
    <row r="192" customFormat="false" ht="15" hidden="false" customHeight="false" outlineLevel="0" collapsed="false">
      <c r="A192" s="28"/>
      <c r="B192" s="28"/>
      <c r="C192" s="28"/>
      <c r="D192" s="28"/>
      <c r="E192" s="28"/>
    </row>
    <row r="193" customFormat="false" ht="15" hidden="false" customHeight="false" outlineLevel="0" collapsed="false">
      <c r="A193" s="28"/>
      <c r="B193" s="28"/>
      <c r="C193" s="28"/>
      <c r="D193" s="28"/>
      <c r="E193" s="28"/>
    </row>
    <row r="194" customFormat="false" ht="15" hidden="false" customHeight="false" outlineLevel="0" collapsed="false">
      <c r="A194" s="28"/>
      <c r="B194" s="28"/>
      <c r="C194" s="28"/>
      <c r="D194" s="28"/>
      <c r="E194" s="28"/>
    </row>
    <row r="195" customFormat="false" ht="15" hidden="false" customHeight="false" outlineLevel="0" collapsed="false">
      <c r="A195" s="28"/>
      <c r="B195" s="28"/>
      <c r="C195" s="28"/>
      <c r="D195" s="28"/>
      <c r="E195" s="28"/>
    </row>
    <row r="196" customFormat="false" ht="15" hidden="false" customHeight="false" outlineLevel="0" collapsed="false">
      <c r="A196" s="28"/>
      <c r="B196" s="28"/>
      <c r="C196" s="28"/>
      <c r="D196" s="28"/>
      <c r="E196" s="28"/>
    </row>
    <row r="197" customFormat="false" ht="15" hidden="false" customHeight="false" outlineLevel="0" collapsed="false">
      <c r="A197" s="28"/>
      <c r="B197" s="28"/>
      <c r="C197" s="28"/>
      <c r="D197" s="28"/>
      <c r="E197" s="28"/>
    </row>
    <row r="198" customFormat="false" ht="15" hidden="false" customHeight="false" outlineLevel="0" collapsed="false">
      <c r="A198" s="28"/>
      <c r="B198" s="28"/>
      <c r="C198" s="28"/>
      <c r="D198" s="28"/>
      <c r="E198" s="28"/>
    </row>
    <row r="199" customFormat="false" ht="15" hidden="false" customHeight="false" outlineLevel="0" collapsed="false">
      <c r="A199" s="28"/>
      <c r="B199" s="28"/>
      <c r="C199" s="28"/>
      <c r="D199" s="28"/>
      <c r="E199" s="28"/>
    </row>
    <row r="200" customFormat="false" ht="15" hidden="false" customHeight="false" outlineLevel="0" collapsed="false">
      <c r="A200" s="28"/>
      <c r="B200" s="28"/>
      <c r="C200" s="28"/>
      <c r="D200" s="28"/>
      <c r="E200" s="28"/>
    </row>
    <row r="201" customFormat="false" ht="15" hidden="false" customHeight="false" outlineLevel="0" collapsed="false">
      <c r="A201" s="28"/>
      <c r="B201" s="28"/>
      <c r="C201" s="28"/>
      <c r="D201" s="28"/>
      <c r="E201" s="2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44"/>
  </cols>
  <sheetData>
    <row r="1" customFormat="false" ht="31.5" hidden="false" customHeight="true" outlineLevel="0" collapsed="false">
      <c r="A1" s="27" t="s">
        <v>162</v>
      </c>
      <c r="B1" s="27" t="s">
        <v>163</v>
      </c>
      <c r="C1" s="27" t="s">
        <v>164</v>
      </c>
    </row>
    <row r="2" customFormat="false" ht="15" hidden="false" customHeight="false" outlineLevel="0" collapsed="false">
      <c r="A2" s="28" t="s">
        <v>165</v>
      </c>
      <c r="B2" s="28" t="s">
        <v>128</v>
      </c>
      <c r="C2" s="28" t="s">
        <v>157</v>
      </c>
    </row>
    <row r="3" customFormat="false" ht="15" hidden="false" customHeight="false" outlineLevel="0" collapsed="false">
      <c r="A3" s="28" t="s">
        <v>166</v>
      </c>
      <c r="B3" s="28" t="s">
        <v>129</v>
      </c>
      <c r="C3" s="28" t="s">
        <v>157</v>
      </c>
    </row>
    <row r="4" customFormat="false" ht="15" hidden="false" customHeight="false" outlineLevel="0" collapsed="false">
      <c r="A4" s="28" t="s">
        <v>167</v>
      </c>
      <c r="B4" s="28" t="s">
        <v>132</v>
      </c>
      <c r="C4" s="28" t="s">
        <v>157</v>
      </c>
    </row>
    <row r="5" customFormat="false" ht="15" hidden="false" customHeight="false" outlineLevel="0" collapsed="false">
      <c r="A5" s="28"/>
      <c r="B5" s="28"/>
      <c r="C5" s="28"/>
    </row>
    <row r="6" customFormat="false" ht="15" hidden="false" customHeight="false" outlineLevel="0" collapsed="false">
      <c r="A6" s="28"/>
      <c r="B6" s="28"/>
      <c r="C6" s="28"/>
    </row>
    <row r="7" customFormat="false" ht="15" hidden="false" customHeight="false" outlineLevel="0" collapsed="false">
      <c r="A7" s="28"/>
      <c r="B7" s="28"/>
      <c r="C7" s="28"/>
    </row>
    <row r="8" customFormat="false" ht="15" hidden="false" customHeight="false" outlineLevel="0" collapsed="false">
      <c r="A8" s="28"/>
      <c r="B8" s="28"/>
      <c r="C8" s="28"/>
    </row>
    <row r="9" customFormat="false" ht="15" hidden="false" customHeight="false" outlineLevel="0" collapsed="false">
      <c r="A9" s="28"/>
      <c r="B9" s="28"/>
      <c r="C9" s="28"/>
    </row>
    <row r="10" customFormat="false" ht="15" hidden="false" customHeight="false" outlineLevel="0" collapsed="false">
      <c r="A10" s="28"/>
      <c r="B10" s="28"/>
      <c r="C10" s="28"/>
    </row>
    <row r="11" customFormat="false" ht="15" hidden="false" customHeight="false" outlineLevel="0" collapsed="false">
      <c r="A11" s="28"/>
      <c r="B11" s="28"/>
      <c r="C11" s="28"/>
    </row>
    <row r="12" customFormat="false" ht="15" hidden="false" customHeight="false" outlineLevel="0" collapsed="false">
      <c r="A12" s="28"/>
      <c r="B12" s="28"/>
      <c r="C12" s="28"/>
    </row>
    <row r="13" customFormat="false" ht="15" hidden="false" customHeight="false" outlineLevel="0" collapsed="false">
      <c r="A13" s="28"/>
      <c r="B13" s="28"/>
      <c r="C13" s="28"/>
    </row>
    <row r="14" customFormat="false" ht="15" hidden="false" customHeight="false" outlineLevel="0" collapsed="false">
      <c r="A14" s="28"/>
      <c r="B14" s="28"/>
      <c r="C14" s="28"/>
    </row>
    <row r="15" customFormat="false" ht="15" hidden="false" customHeight="false" outlineLevel="0" collapsed="false">
      <c r="A15" s="28"/>
      <c r="B15" s="28"/>
      <c r="C15" s="28"/>
    </row>
    <row r="16" customFormat="false" ht="15" hidden="false" customHeight="false" outlineLevel="0" collapsed="false">
      <c r="A16" s="28"/>
      <c r="B16" s="28"/>
      <c r="C16" s="28"/>
    </row>
    <row r="17" customFormat="false" ht="15" hidden="false" customHeight="false" outlineLevel="0" collapsed="false">
      <c r="A17" s="28"/>
      <c r="B17" s="28"/>
      <c r="C17" s="28"/>
    </row>
    <row r="18" customFormat="false" ht="15" hidden="false" customHeight="false" outlineLevel="0" collapsed="false">
      <c r="A18" s="28"/>
      <c r="B18" s="28"/>
      <c r="C18" s="28"/>
    </row>
    <row r="19" customFormat="false" ht="15" hidden="false" customHeight="false" outlineLevel="0" collapsed="false">
      <c r="A19" s="28"/>
      <c r="B19" s="28"/>
      <c r="C19" s="28"/>
    </row>
    <row r="20" customFormat="false" ht="15" hidden="false" customHeight="false" outlineLevel="0" collapsed="false">
      <c r="A20" s="28"/>
      <c r="B20" s="28"/>
      <c r="C20" s="28"/>
    </row>
    <row r="21" customFormat="false" ht="15" hidden="false" customHeight="false" outlineLevel="0" collapsed="false">
      <c r="A21" s="28"/>
      <c r="B21" s="28"/>
      <c r="C21" s="28"/>
    </row>
    <row r="22" customFormat="false" ht="15" hidden="false" customHeight="false" outlineLevel="0" collapsed="false">
      <c r="A22" s="28"/>
      <c r="B22" s="28"/>
      <c r="C22" s="28"/>
    </row>
    <row r="23" customFormat="false" ht="15" hidden="false" customHeight="false" outlineLevel="0" collapsed="false">
      <c r="A23" s="28"/>
      <c r="B23" s="28"/>
      <c r="C23" s="28"/>
    </row>
    <row r="24" customFormat="false" ht="15" hidden="false" customHeight="false" outlineLevel="0" collapsed="false">
      <c r="A24" s="28"/>
      <c r="B24" s="28"/>
      <c r="C24" s="28"/>
    </row>
    <row r="25" customFormat="false" ht="15" hidden="false" customHeight="false" outlineLevel="0" collapsed="false">
      <c r="A25" s="28"/>
      <c r="B25" s="28"/>
      <c r="C25" s="28"/>
    </row>
    <row r="26" customFormat="false" ht="15" hidden="false" customHeight="false" outlineLevel="0" collapsed="false">
      <c r="A26" s="28"/>
      <c r="B26" s="28"/>
      <c r="C26" s="28"/>
    </row>
    <row r="27" customFormat="false" ht="15" hidden="false" customHeight="false" outlineLevel="0" collapsed="false">
      <c r="A27" s="28"/>
      <c r="B27" s="28"/>
      <c r="C27" s="28"/>
    </row>
    <row r="28" customFormat="false" ht="15" hidden="false" customHeight="false" outlineLevel="0" collapsed="false">
      <c r="A28" s="28"/>
      <c r="B28" s="28"/>
      <c r="C28" s="28"/>
    </row>
    <row r="29" customFormat="false" ht="15" hidden="false" customHeight="false" outlineLevel="0" collapsed="false">
      <c r="A29" s="28"/>
      <c r="B29" s="28"/>
      <c r="C29" s="28"/>
    </row>
    <row r="30" customFormat="false" ht="15" hidden="false" customHeight="false" outlineLevel="0" collapsed="false">
      <c r="A30" s="28"/>
      <c r="B30" s="28"/>
      <c r="C30" s="28"/>
    </row>
    <row r="31" customFormat="false" ht="15" hidden="false" customHeight="false" outlineLevel="0" collapsed="false">
      <c r="A31" s="28"/>
      <c r="B31" s="28"/>
      <c r="C31" s="28"/>
    </row>
    <row r="32" customFormat="false" ht="15" hidden="false" customHeight="false" outlineLevel="0" collapsed="false">
      <c r="A32" s="28"/>
      <c r="B32" s="28"/>
      <c r="C32" s="28"/>
    </row>
    <row r="33" customFormat="false" ht="15" hidden="false" customHeight="false" outlineLevel="0" collapsed="false">
      <c r="A33" s="28"/>
      <c r="B33" s="28"/>
      <c r="C33" s="28"/>
    </row>
    <row r="34" customFormat="false" ht="15" hidden="false" customHeight="false" outlineLevel="0" collapsed="false">
      <c r="A34" s="28"/>
      <c r="B34" s="28"/>
      <c r="C34" s="28"/>
    </row>
    <row r="35" customFormat="false" ht="15" hidden="false" customHeight="false" outlineLevel="0" collapsed="false">
      <c r="A35" s="28"/>
      <c r="B35" s="28"/>
      <c r="C35" s="28"/>
    </row>
    <row r="36" customFormat="false" ht="15" hidden="false" customHeight="false" outlineLevel="0" collapsed="false">
      <c r="A36" s="28"/>
      <c r="B36" s="28"/>
      <c r="C36" s="28"/>
    </row>
    <row r="37" customFormat="false" ht="15" hidden="false" customHeight="false" outlineLevel="0" collapsed="false">
      <c r="A37" s="28"/>
      <c r="B37" s="28"/>
      <c r="C37" s="28"/>
    </row>
    <row r="38" customFormat="false" ht="15" hidden="false" customHeight="false" outlineLevel="0" collapsed="false">
      <c r="A38" s="28"/>
      <c r="B38" s="28"/>
      <c r="C38" s="28"/>
    </row>
    <row r="39" customFormat="false" ht="15" hidden="false" customHeight="false" outlineLevel="0" collapsed="false">
      <c r="A39" s="28"/>
      <c r="B39" s="28"/>
      <c r="C39" s="28"/>
    </row>
    <row r="40" customFormat="false" ht="15" hidden="false" customHeight="false" outlineLevel="0" collapsed="false">
      <c r="A40" s="28"/>
      <c r="B40" s="28"/>
      <c r="C40" s="28"/>
    </row>
    <row r="41" customFormat="false" ht="15" hidden="false" customHeight="false" outlineLevel="0" collapsed="false">
      <c r="A41" s="28"/>
      <c r="B41" s="28"/>
      <c r="C41" s="28"/>
    </row>
    <row r="42" customFormat="false" ht="15" hidden="false" customHeight="false" outlineLevel="0" collapsed="false">
      <c r="A42" s="28"/>
      <c r="B42" s="28"/>
      <c r="C42" s="28"/>
    </row>
    <row r="43" customFormat="false" ht="15" hidden="false" customHeight="false" outlineLevel="0" collapsed="false">
      <c r="A43" s="28"/>
      <c r="B43" s="28"/>
      <c r="C43" s="28"/>
    </row>
    <row r="44" customFormat="false" ht="15" hidden="false" customHeight="false" outlineLevel="0" collapsed="false">
      <c r="A44" s="28"/>
      <c r="B44" s="28"/>
      <c r="C44" s="28"/>
    </row>
    <row r="45" customFormat="false" ht="15" hidden="false" customHeight="false" outlineLevel="0" collapsed="false">
      <c r="A45" s="28"/>
      <c r="B45" s="28"/>
      <c r="C45" s="28"/>
    </row>
    <row r="46" customFormat="false" ht="15" hidden="false" customHeight="false" outlineLevel="0" collapsed="false">
      <c r="A46" s="28"/>
      <c r="B46" s="28"/>
      <c r="C46" s="28"/>
    </row>
    <row r="47" customFormat="false" ht="15" hidden="false" customHeight="false" outlineLevel="0" collapsed="false">
      <c r="A47" s="28"/>
      <c r="B47" s="28"/>
      <c r="C47" s="28"/>
    </row>
    <row r="48" customFormat="false" ht="15" hidden="false" customHeight="false" outlineLevel="0" collapsed="false">
      <c r="A48" s="28"/>
      <c r="B48" s="28"/>
      <c r="C48" s="28"/>
    </row>
    <row r="49" customFormat="false" ht="15" hidden="false" customHeight="false" outlineLevel="0" collapsed="false">
      <c r="A49" s="28"/>
      <c r="B49" s="28"/>
      <c r="C49" s="28"/>
    </row>
    <row r="50" customFormat="false" ht="15" hidden="false" customHeight="false" outlineLevel="0" collapsed="false">
      <c r="A50" s="28"/>
      <c r="B50" s="28"/>
      <c r="C50" s="28"/>
    </row>
    <row r="51" customFormat="false" ht="15" hidden="false" customHeight="false" outlineLevel="0" collapsed="false">
      <c r="A51" s="28"/>
      <c r="B51" s="28"/>
      <c r="C51" s="28"/>
    </row>
    <row r="52" customFormat="false" ht="15" hidden="false" customHeight="false" outlineLevel="0" collapsed="false">
      <c r="A52" s="28"/>
      <c r="B52" s="28"/>
      <c r="C52" s="28"/>
    </row>
    <row r="53" customFormat="false" ht="15" hidden="false" customHeight="false" outlineLevel="0" collapsed="false">
      <c r="A53" s="28"/>
      <c r="B53" s="28"/>
      <c r="C53" s="28"/>
    </row>
    <row r="54" customFormat="false" ht="15" hidden="false" customHeight="false" outlineLevel="0" collapsed="false">
      <c r="A54" s="28"/>
      <c r="B54" s="28"/>
      <c r="C54" s="28"/>
    </row>
    <row r="55" customFormat="false" ht="15" hidden="false" customHeight="false" outlineLevel="0" collapsed="false">
      <c r="A55" s="28"/>
      <c r="B55" s="28"/>
      <c r="C55" s="28"/>
    </row>
    <row r="56" customFormat="false" ht="15" hidden="false" customHeight="false" outlineLevel="0" collapsed="false">
      <c r="A56" s="28"/>
      <c r="B56" s="28"/>
      <c r="C56" s="28"/>
    </row>
    <row r="57" customFormat="false" ht="15" hidden="false" customHeight="false" outlineLevel="0" collapsed="false">
      <c r="A57" s="28"/>
      <c r="B57" s="28"/>
      <c r="C57" s="28"/>
    </row>
    <row r="58" customFormat="false" ht="15" hidden="false" customHeight="false" outlineLevel="0" collapsed="false">
      <c r="A58" s="28"/>
      <c r="B58" s="28"/>
      <c r="C58" s="28"/>
    </row>
    <row r="59" customFormat="false" ht="15" hidden="false" customHeight="false" outlineLevel="0" collapsed="false">
      <c r="A59" s="28"/>
      <c r="B59" s="28"/>
      <c r="C59" s="28"/>
    </row>
    <row r="60" customFormat="false" ht="15" hidden="false" customHeight="false" outlineLevel="0" collapsed="false">
      <c r="A60" s="28"/>
      <c r="B60" s="28"/>
      <c r="C60" s="28"/>
    </row>
    <row r="61" customFormat="false" ht="15" hidden="false" customHeight="false" outlineLevel="0" collapsed="false">
      <c r="A61" s="28"/>
      <c r="B61" s="28"/>
      <c r="C61" s="28"/>
    </row>
    <row r="62" customFormat="false" ht="15" hidden="false" customHeight="false" outlineLevel="0" collapsed="false">
      <c r="A62" s="28"/>
      <c r="B62" s="28"/>
      <c r="C62" s="28"/>
    </row>
    <row r="63" customFormat="false" ht="15" hidden="false" customHeight="false" outlineLevel="0" collapsed="false">
      <c r="A63" s="28"/>
      <c r="B63" s="28"/>
      <c r="C63" s="28"/>
    </row>
    <row r="64" customFormat="false" ht="15" hidden="false" customHeight="false" outlineLevel="0" collapsed="false">
      <c r="A64" s="28"/>
      <c r="B64" s="28"/>
      <c r="C64" s="28"/>
    </row>
    <row r="65" customFormat="false" ht="15" hidden="false" customHeight="false" outlineLevel="0" collapsed="false">
      <c r="A65" s="28"/>
      <c r="B65" s="28"/>
      <c r="C65" s="28"/>
    </row>
    <row r="66" customFormat="false" ht="15" hidden="false" customHeight="false" outlineLevel="0" collapsed="false">
      <c r="A66" s="28"/>
      <c r="B66" s="28"/>
      <c r="C66" s="28"/>
    </row>
    <row r="67" customFormat="false" ht="15" hidden="false" customHeight="false" outlineLevel="0" collapsed="false">
      <c r="A67" s="28"/>
      <c r="B67" s="28"/>
      <c r="C67" s="28"/>
    </row>
    <row r="68" customFormat="false" ht="15" hidden="false" customHeight="false" outlineLevel="0" collapsed="false">
      <c r="A68" s="28"/>
      <c r="B68" s="28"/>
      <c r="C68" s="28"/>
    </row>
    <row r="69" customFormat="false" ht="15" hidden="false" customHeight="false" outlineLevel="0" collapsed="false">
      <c r="A69" s="28"/>
      <c r="B69" s="28"/>
      <c r="C69" s="28"/>
    </row>
    <row r="70" customFormat="false" ht="15" hidden="false" customHeight="false" outlineLevel="0" collapsed="false">
      <c r="A70" s="28"/>
      <c r="B70" s="28"/>
      <c r="C70" s="28"/>
    </row>
    <row r="71" customFormat="false" ht="15" hidden="false" customHeight="false" outlineLevel="0" collapsed="false">
      <c r="A71" s="28"/>
      <c r="B71" s="28"/>
      <c r="C71" s="28"/>
    </row>
    <row r="72" customFormat="false" ht="15" hidden="false" customHeight="false" outlineLevel="0" collapsed="false">
      <c r="A72" s="28"/>
      <c r="B72" s="28"/>
      <c r="C72" s="28"/>
    </row>
    <row r="73" customFormat="false" ht="15" hidden="false" customHeight="false" outlineLevel="0" collapsed="false">
      <c r="A73" s="28"/>
      <c r="B73" s="28"/>
      <c r="C73" s="28"/>
    </row>
    <row r="74" customFormat="false" ht="15" hidden="false" customHeight="false" outlineLevel="0" collapsed="false">
      <c r="A74" s="28"/>
      <c r="B74" s="28"/>
      <c r="C74" s="28"/>
    </row>
    <row r="75" customFormat="false" ht="15" hidden="false" customHeight="false" outlineLevel="0" collapsed="false">
      <c r="A75" s="28"/>
      <c r="B75" s="28"/>
      <c r="C75" s="28"/>
    </row>
    <row r="76" customFormat="false" ht="15" hidden="false" customHeight="false" outlineLevel="0" collapsed="false">
      <c r="A76" s="28"/>
      <c r="B76" s="28"/>
      <c r="C76" s="28"/>
    </row>
    <row r="77" customFormat="false" ht="15" hidden="false" customHeight="false" outlineLevel="0" collapsed="false">
      <c r="A77" s="28"/>
      <c r="B77" s="28"/>
      <c r="C77" s="28"/>
    </row>
    <row r="78" customFormat="false" ht="15" hidden="false" customHeight="false" outlineLevel="0" collapsed="false">
      <c r="A78" s="28"/>
      <c r="B78" s="28"/>
      <c r="C78" s="28"/>
    </row>
    <row r="79" customFormat="false" ht="15" hidden="false" customHeight="false" outlineLevel="0" collapsed="false">
      <c r="A79" s="28"/>
      <c r="B79" s="28"/>
      <c r="C79" s="28"/>
    </row>
    <row r="80" customFormat="false" ht="15" hidden="false" customHeight="false" outlineLevel="0" collapsed="false">
      <c r="A80" s="28"/>
      <c r="B80" s="28"/>
      <c r="C80" s="28"/>
    </row>
    <row r="81" customFormat="false" ht="15" hidden="false" customHeight="false" outlineLevel="0" collapsed="false">
      <c r="A81" s="28"/>
      <c r="B81" s="28"/>
      <c r="C81" s="28"/>
    </row>
    <row r="82" customFormat="false" ht="15" hidden="false" customHeight="false" outlineLevel="0" collapsed="false">
      <c r="A82" s="28"/>
      <c r="B82" s="28"/>
      <c r="C82" s="28"/>
    </row>
    <row r="83" customFormat="false" ht="15" hidden="false" customHeight="false" outlineLevel="0" collapsed="false">
      <c r="A83" s="28"/>
      <c r="B83" s="28"/>
      <c r="C83" s="28"/>
    </row>
    <row r="84" customFormat="false" ht="15" hidden="false" customHeight="false" outlineLevel="0" collapsed="false">
      <c r="A84" s="28"/>
      <c r="B84" s="28"/>
      <c r="C84" s="28"/>
    </row>
    <row r="85" customFormat="false" ht="15" hidden="false" customHeight="false" outlineLevel="0" collapsed="false">
      <c r="A85" s="28"/>
      <c r="B85" s="28"/>
      <c r="C85" s="28"/>
    </row>
    <row r="86" customFormat="false" ht="15" hidden="false" customHeight="false" outlineLevel="0" collapsed="false">
      <c r="A86" s="28"/>
      <c r="B86" s="28"/>
      <c r="C86" s="28"/>
    </row>
    <row r="87" customFormat="false" ht="15" hidden="false" customHeight="false" outlineLevel="0" collapsed="false">
      <c r="A87" s="28"/>
      <c r="B87" s="28"/>
      <c r="C87" s="28"/>
    </row>
    <row r="88" customFormat="false" ht="15" hidden="false" customHeight="false" outlineLevel="0" collapsed="false">
      <c r="A88" s="28"/>
      <c r="B88" s="28"/>
      <c r="C88" s="28"/>
    </row>
    <row r="89" customFormat="false" ht="15" hidden="false" customHeight="false" outlineLevel="0" collapsed="false">
      <c r="A89" s="28"/>
      <c r="B89" s="28"/>
      <c r="C89" s="28"/>
    </row>
    <row r="90" customFormat="false" ht="15" hidden="false" customHeight="false" outlineLevel="0" collapsed="false">
      <c r="A90" s="28"/>
      <c r="B90" s="28"/>
      <c r="C90" s="28"/>
    </row>
    <row r="91" customFormat="false" ht="15" hidden="false" customHeight="false" outlineLevel="0" collapsed="false">
      <c r="A91" s="28"/>
      <c r="B91" s="28"/>
      <c r="C91" s="28"/>
    </row>
    <row r="92" customFormat="false" ht="15" hidden="false" customHeight="false" outlineLevel="0" collapsed="false">
      <c r="A92" s="28"/>
      <c r="B92" s="28"/>
      <c r="C92" s="28"/>
    </row>
    <row r="93" customFormat="false" ht="15" hidden="false" customHeight="false" outlineLevel="0" collapsed="false">
      <c r="A93" s="28"/>
      <c r="B93" s="28"/>
      <c r="C93" s="28"/>
    </row>
    <row r="94" customFormat="false" ht="15" hidden="false" customHeight="false" outlineLevel="0" collapsed="false">
      <c r="A94" s="28"/>
      <c r="B94" s="28"/>
      <c r="C94" s="28"/>
    </row>
    <row r="95" customFormat="false" ht="15" hidden="false" customHeight="false" outlineLevel="0" collapsed="false">
      <c r="A95" s="28"/>
      <c r="B95" s="28"/>
      <c r="C95" s="28"/>
    </row>
    <row r="96" customFormat="false" ht="15" hidden="false" customHeight="false" outlineLevel="0" collapsed="false">
      <c r="A96" s="28"/>
      <c r="B96" s="28"/>
      <c r="C96" s="28"/>
    </row>
    <row r="97" customFormat="false" ht="15" hidden="false" customHeight="false" outlineLevel="0" collapsed="false">
      <c r="A97" s="28"/>
      <c r="B97" s="28"/>
      <c r="C97" s="28"/>
    </row>
    <row r="98" customFormat="false" ht="15" hidden="false" customHeight="false" outlineLevel="0" collapsed="false">
      <c r="A98" s="28"/>
      <c r="B98" s="28"/>
      <c r="C98" s="28"/>
    </row>
    <row r="99" customFormat="false" ht="15" hidden="false" customHeight="false" outlineLevel="0" collapsed="false">
      <c r="A99" s="28"/>
      <c r="B99" s="28"/>
      <c r="C99" s="28"/>
    </row>
    <row r="100" customFormat="false" ht="15" hidden="false" customHeight="false" outlineLevel="0" collapsed="false">
      <c r="A100" s="28"/>
      <c r="B100" s="28"/>
      <c r="C100" s="28"/>
    </row>
    <row r="101" customFormat="false" ht="15" hidden="false" customHeight="false" outlineLevel="0" collapsed="false">
      <c r="A101" s="28"/>
      <c r="B101" s="28"/>
      <c r="C101" s="28"/>
    </row>
    <row r="102" customFormat="false" ht="15" hidden="false" customHeight="false" outlineLevel="0" collapsed="false">
      <c r="A102" s="28"/>
      <c r="B102" s="28"/>
      <c r="C102" s="28"/>
    </row>
    <row r="103" customFormat="false" ht="15" hidden="false" customHeight="false" outlineLevel="0" collapsed="false">
      <c r="A103" s="28"/>
      <c r="B103" s="28"/>
      <c r="C103" s="28"/>
    </row>
    <row r="104" customFormat="false" ht="15" hidden="false" customHeight="false" outlineLevel="0" collapsed="false">
      <c r="A104" s="28"/>
      <c r="B104" s="28"/>
      <c r="C104" s="28"/>
    </row>
    <row r="105" customFormat="false" ht="15" hidden="false" customHeight="false" outlineLevel="0" collapsed="false">
      <c r="A105" s="28"/>
      <c r="B105" s="28"/>
      <c r="C105" s="28"/>
    </row>
    <row r="106" customFormat="false" ht="15" hidden="false" customHeight="false" outlineLevel="0" collapsed="false">
      <c r="A106" s="28"/>
      <c r="B106" s="28"/>
      <c r="C106" s="28"/>
    </row>
    <row r="107" customFormat="false" ht="15" hidden="false" customHeight="false" outlineLevel="0" collapsed="false">
      <c r="A107" s="28"/>
      <c r="B107" s="28"/>
      <c r="C107" s="28"/>
    </row>
    <row r="108" customFormat="false" ht="15" hidden="false" customHeight="false" outlineLevel="0" collapsed="false">
      <c r="A108" s="28"/>
      <c r="B108" s="28"/>
      <c r="C108" s="28"/>
    </row>
    <row r="109" customFormat="false" ht="15" hidden="false" customHeight="false" outlineLevel="0" collapsed="false">
      <c r="A109" s="28"/>
      <c r="B109" s="28"/>
      <c r="C109" s="28"/>
    </row>
    <row r="110" customFormat="false" ht="15" hidden="false" customHeight="false" outlineLevel="0" collapsed="false">
      <c r="A110" s="28"/>
      <c r="B110" s="28"/>
      <c r="C110" s="28"/>
    </row>
    <row r="111" customFormat="false" ht="15" hidden="false" customHeight="false" outlineLevel="0" collapsed="false">
      <c r="A111" s="28"/>
      <c r="B111" s="28"/>
      <c r="C111" s="28"/>
    </row>
    <row r="112" customFormat="false" ht="15" hidden="false" customHeight="false" outlineLevel="0" collapsed="false">
      <c r="A112" s="28"/>
      <c r="B112" s="28"/>
      <c r="C112" s="28"/>
    </row>
    <row r="113" customFormat="false" ht="15" hidden="false" customHeight="false" outlineLevel="0" collapsed="false">
      <c r="A113" s="28"/>
      <c r="B113" s="28"/>
      <c r="C113" s="28"/>
    </row>
    <row r="114" customFormat="false" ht="15" hidden="false" customHeight="false" outlineLevel="0" collapsed="false">
      <c r="A114" s="28"/>
      <c r="B114" s="28"/>
      <c r="C114" s="28"/>
    </row>
    <row r="115" customFormat="false" ht="15" hidden="false" customHeight="false" outlineLevel="0" collapsed="false">
      <c r="A115" s="28"/>
      <c r="B115" s="28"/>
      <c r="C115" s="28"/>
    </row>
    <row r="116" customFormat="false" ht="15" hidden="false" customHeight="false" outlineLevel="0" collapsed="false">
      <c r="A116" s="28"/>
      <c r="B116" s="28"/>
      <c r="C116" s="28"/>
    </row>
    <row r="117" customFormat="false" ht="15" hidden="false" customHeight="false" outlineLevel="0" collapsed="false">
      <c r="A117" s="28"/>
      <c r="B117" s="28"/>
      <c r="C117" s="28"/>
    </row>
    <row r="118" customFormat="false" ht="15" hidden="false" customHeight="false" outlineLevel="0" collapsed="false">
      <c r="A118" s="28"/>
      <c r="B118" s="28"/>
      <c r="C118" s="28"/>
    </row>
    <row r="119" customFormat="false" ht="15" hidden="false" customHeight="false" outlineLevel="0" collapsed="false">
      <c r="A119" s="28"/>
      <c r="B119" s="28"/>
      <c r="C119" s="28"/>
    </row>
    <row r="120" customFormat="false" ht="15" hidden="false" customHeight="false" outlineLevel="0" collapsed="false">
      <c r="A120" s="28"/>
      <c r="B120" s="28"/>
      <c r="C120" s="28"/>
    </row>
    <row r="121" customFormat="false" ht="15" hidden="false" customHeight="false" outlineLevel="0" collapsed="false">
      <c r="A121" s="28"/>
      <c r="B121" s="28"/>
      <c r="C121" s="28"/>
    </row>
    <row r="122" customFormat="false" ht="15" hidden="false" customHeight="false" outlineLevel="0" collapsed="false">
      <c r="A122" s="28"/>
      <c r="B122" s="28"/>
      <c r="C122" s="28"/>
    </row>
    <row r="123" customFormat="false" ht="15" hidden="false" customHeight="false" outlineLevel="0" collapsed="false">
      <c r="A123" s="28"/>
      <c r="B123" s="28"/>
      <c r="C123" s="28"/>
    </row>
    <row r="124" customFormat="false" ht="15" hidden="false" customHeight="false" outlineLevel="0" collapsed="false">
      <c r="A124" s="28"/>
      <c r="B124" s="28"/>
      <c r="C124" s="28"/>
    </row>
    <row r="125" customFormat="false" ht="15" hidden="false" customHeight="false" outlineLevel="0" collapsed="false">
      <c r="A125" s="28"/>
      <c r="B125" s="28"/>
      <c r="C125" s="28"/>
    </row>
    <row r="126" customFormat="false" ht="15" hidden="false" customHeight="false" outlineLevel="0" collapsed="false">
      <c r="A126" s="28"/>
      <c r="B126" s="28"/>
      <c r="C126" s="28"/>
    </row>
    <row r="127" customFormat="false" ht="15" hidden="false" customHeight="false" outlineLevel="0" collapsed="false">
      <c r="A127" s="28"/>
      <c r="B127" s="28"/>
      <c r="C127" s="28"/>
    </row>
    <row r="128" customFormat="false" ht="15" hidden="false" customHeight="false" outlineLevel="0" collapsed="false">
      <c r="A128" s="28"/>
      <c r="B128" s="28"/>
      <c r="C128" s="28"/>
    </row>
    <row r="129" customFormat="false" ht="15" hidden="false" customHeight="false" outlineLevel="0" collapsed="false">
      <c r="A129" s="28"/>
      <c r="B129" s="28"/>
      <c r="C129" s="28"/>
    </row>
    <row r="130" customFormat="false" ht="15" hidden="false" customHeight="false" outlineLevel="0" collapsed="false">
      <c r="A130" s="28"/>
      <c r="B130" s="28"/>
      <c r="C130" s="28"/>
    </row>
    <row r="131" customFormat="false" ht="15" hidden="false" customHeight="false" outlineLevel="0" collapsed="false">
      <c r="A131" s="28"/>
      <c r="B131" s="28"/>
      <c r="C131" s="28"/>
    </row>
    <row r="132" customFormat="false" ht="15" hidden="false" customHeight="false" outlineLevel="0" collapsed="false">
      <c r="A132" s="28"/>
      <c r="B132" s="28"/>
      <c r="C132" s="28"/>
    </row>
    <row r="133" customFormat="false" ht="15" hidden="false" customHeight="false" outlineLevel="0" collapsed="false">
      <c r="A133" s="28"/>
      <c r="B133" s="28"/>
      <c r="C133" s="28"/>
    </row>
    <row r="134" customFormat="false" ht="15" hidden="false" customHeight="false" outlineLevel="0" collapsed="false">
      <c r="A134" s="28"/>
      <c r="B134" s="28"/>
      <c r="C134" s="28"/>
    </row>
    <row r="135" customFormat="false" ht="15" hidden="false" customHeight="false" outlineLevel="0" collapsed="false">
      <c r="A135" s="28"/>
      <c r="B135" s="28"/>
      <c r="C135" s="28"/>
    </row>
    <row r="136" customFormat="false" ht="15" hidden="false" customHeight="false" outlineLevel="0" collapsed="false">
      <c r="A136" s="28"/>
      <c r="B136" s="28"/>
      <c r="C136" s="28"/>
    </row>
    <row r="137" customFormat="false" ht="15" hidden="false" customHeight="false" outlineLevel="0" collapsed="false">
      <c r="A137" s="28"/>
      <c r="B137" s="28"/>
      <c r="C137" s="28"/>
    </row>
    <row r="138" customFormat="false" ht="15" hidden="false" customHeight="false" outlineLevel="0" collapsed="false">
      <c r="A138" s="28"/>
      <c r="B138" s="28"/>
      <c r="C138" s="28"/>
    </row>
    <row r="139" customFormat="false" ht="15" hidden="false" customHeight="false" outlineLevel="0" collapsed="false">
      <c r="A139" s="28"/>
      <c r="B139" s="28"/>
      <c r="C139" s="28"/>
    </row>
    <row r="140" customFormat="false" ht="15" hidden="false" customHeight="false" outlineLevel="0" collapsed="false">
      <c r="A140" s="28"/>
      <c r="B140" s="28"/>
      <c r="C140" s="28"/>
    </row>
    <row r="141" customFormat="false" ht="15" hidden="false" customHeight="false" outlineLevel="0" collapsed="false">
      <c r="A141" s="28"/>
      <c r="B141" s="28"/>
      <c r="C141" s="28"/>
    </row>
    <row r="142" customFormat="false" ht="15" hidden="false" customHeight="false" outlineLevel="0" collapsed="false">
      <c r="A142" s="28"/>
      <c r="B142" s="28"/>
      <c r="C142" s="28"/>
    </row>
    <row r="143" customFormat="false" ht="15" hidden="false" customHeight="false" outlineLevel="0" collapsed="false">
      <c r="A143" s="28"/>
      <c r="B143" s="28"/>
      <c r="C143" s="28"/>
    </row>
    <row r="144" customFormat="false" ht="15" hidden="false" customHeight="false" outlineLevel="0" collapsed="false">
      <c r="A144" s="28"/>
      <c r="B144" s="28"/>
      <c r="C144" s="28"/>
    </row>
    <row r="145" customFormat="false" ht="15" hidden="false" customHeight="false" outlineLevel="0" collapsed="false">
      <c r="A145" s="28"/>
      <c r="B145" s="28"/>
      <c r="C145" s="28"/>
    </row>
    <row r="146" customFormat="false" ht="15" hidden="false" customHeight="false" outlineLevel="0" collapsed="false">
      <c r="A146" s="28"/>
      <c r="B146" s="28"/>
      <c r="C146" s="28"/>
    </row>
    <row r="147" customFormat="false" ht="15" hidden="false" customHeight="false" outlineLevel="0" collapsed="false">
      <c r="A147" s="28"/>
      <c r="B147" s="28"/>
      <c r="C147" s="28"/>
    </row>
    <row r="148" customFormat="false" ht="15" hidden="false" customHeight="false" outlineLevel="0" collapsed="false">
      <c r="A148" s="28"/>
      <c r="B148" s="28"/>
      <c r="C148" s="28"/>
    </row>
    <row r="149" customFormat="false" ht="15" hidden="false" customHeight="false" outlineLevel="0" collapsed="false">
      <c r="A149" s="28"/>
      <c r="B149" s="28"/>
      <c r="C149" s="28"/>
    </row>
    <row r="150" customFormat="false" ht="15" hidden="false" customHeight="false" outlineLevel="0" collapsed="false">
      <c r="A150" s="28"/>
      <c r="B150" s="28"/>
      <c r="C150" s="28"/>
    </row>
    <row r="151" customFormat="false" ht="15" hidden="false" customHeight="false" outlineLevel="0" collapsed="false">
      <c r="A151" s="28"/>
      <c r="B151" s="28"/>
      <c r="C151" s="28"/>
    </row>
    <row r="152" customFormat="false" ht="15" hidden="false" customHeight="false" outlineLevel="0" collapsed="false">
      <c r="A152" s="28"/>
      <c r="B152" s="28"/>
      <c r="C152" s="28"/>
    </row>
    <row r="153" customFormat="false" ht="15" hidden="false" customHeight="false" outlineLevel="0" collapsed="false">
      <c r="A153" s="28"/>
      <c r="B153" s="28"/>
      <c r="C153" s="28"/>
    </row>
    <row r="154" customFormat="false" ht="15" hidden="false" customHeight="false" outlineLevel="0" collapsed="false">
      <c r="A154" s="28"/>
      <c r="B154" s="28"/>
      <c r="C154" s="28"/>
    </row>
    <row r="155" customFormat="false" ht="15" hidden="false" customHeight="false" outlineLevel="0" collapsed="false">
      <c r="A155" s="28"/>
      <c r="B155" s="28"/>
      <c r="C155" s="28"/>
    </row>
    <row r="156" customFormat="false" ht="15" hidden="false" customHeight="false" outlineLevel="0" collapsed="false">
      <c r="A156" s="28"/>
      <c r="B156" s="28"/>
      <c r="C156" s="28"/>
    </row>
    <row r="157" customFormat="false" ht="15" hidden="false" customHeight="false" outlineLevel="0" collapsed="false">
      <c r="A157" s="28"/>
      <c r="B157" s="28"/>
      <c r="C157" s="28"/>
    </row>
    <row r="158" customFormat="false" ht="15" hidden="false" customHeight="false" outlineLevel="0" collapsed="false">
      <c r="A158" s="28"/>
      <c r="B158" s="28"/>
      <c r="C158" s="28"/>
    </row>
    <row r="159" customFormat="false" ht="15" hidden="false" customHeight="false" outlineLevel="0" collapsed="false">
      <c r="A159" s="28"/>
      <c r="B159" s="28"/>
      <c r="C159" s="28"/>
    </row>
    <row r="160" customFormat="false" ht="15" hidden="false" customHeight="false" outlineLevel="0" collapsed="false">
      <c r="A160" s="28"/>
      <c r="B160" s="28"/>
      <c r="C160" s="28"/>
    </row>
    <row r="161" customFormat="false" ht="15" hidden="false" customHeight="false" outlineLevel="0" collapsed="false">
      <c r="A161" s="28"/>
      <c r="B161" s="28"/>
      <c r="C161" s="28"/>
    </row>
    <row r="162" customFormat="false" ht="15" hidden="false" customHeight="false" outlineLevel="0" collapsed="false">
      <c r="A162" s="28"/>
      <c r="B162" s="28"/>
      <c r="C162" s="28"/>
    </row>
    <row r="163" customFormat="false" ht="15" hidden="false" customHeight="false" outlineLevel="0" collapsed="false">
      <c r="A163" s="28"/>
      <c r="B163" s="28"/>
      <c r="C163" s="28"/>
    </row>
    <row r="164" customFormat="false" ht="15" hidden="false" customHeight="false" outlineLevel="0" collapsed="false">
      <c r="A164" s="28"/>
      <c r="B164" s="28"/>
      <c r="C164" s="28"/>
    </row>
    <row r="165" customFormat="false" ht="15" hidden="false" customHeight="false" outlineLevel="0" collapsed="false">
      <c r="A165" s="28"/>
      <c r="B165" s="28"/>
      <c r="C165" s="28"/>
    </row>
    <row r="166" customFormat="false" ht="15" hidden="false" customHeight="false" outlineLevel="0" collapsed="false">
      <c r="A166" s="28"/>
      <c r="B166" s="28"/>
      <c r="C166" s="28"/>
    </row>
    <row r="167" customFormat="false" ht="15" hidden="false" customHeight="false" outlineLevel="0" collapsed="false">
      <c r="A167" s="28"/>
      <c r="B167" s="28"/>
      <c r="C167" s="28"/>
    </row>
    <row r="168" customFormat="false" ht="15" hidden="false" customHeight="false" outlineLevel="0" collapsed="false">
      <c r="A168" s="28"/>
      <c r="B168" s="28"/>
      <c r="C168" s="28"/>
    </row>
    <row r="169" customFormat="false" ht="15" hidden="false" customHeight="false" outlineLevel="0" collapsed="false">
      <c r="A169" s="28"/>
      <c r="B169" s="28"/>
      <c r="C169" s="28"/>
    </row>
    <row r="170" customFormat="false" ht="15" hidden="false" customHeight="false" outlineLevel="0" collapsed="false">
      <c r="A170" s="28"/>
      <c r="B170" s="28"/>
      <c r="C170" s="28"/>
    </row>
    <row r="171" customFormat="false" ht="15" hidden="false" customHeight="false" outlineLevel="0" collapsed="false">
      <c r="A171" s="28"/>
      <c r="B171" s="28"/>
      <c r="C171" s="28"/>
    </row>
    <row r="172" customFormat="false" ht="15" hidden="false" customHeight="false" outlineLevel="0" collapsed="false">
      <c r="A172" s="28"/>
      <c r="B172" s="28"/>
      <c r="C172" s="28"/>
    </row>
    <row r="173" customFormat="false" ht="15" hidden="false" customHeight="false" outlineLevel="0" collapsed="false">
      <c r="A173" s="28"/>
      <c r="B173" s="28"/>
      <c r="C173" s="28"/>
    </row>
    <row r="174" customFormat="false" ht="15" hidden="false" customHeight="false" outlineLevel="0" collapsed="false">
      <c r="A174" s="28"/>
      <c r="B174" s="28"/>
      <c r="C174" s="28"/>
    </row>
    <row r="175" customFormat="false" ht="15" hidden="false" customHeight="false" outlineLevel="0" collapsed="false">
      <c r="A175" s="28"/>
      <c r="B175" s="28"/>
      <c r="C175" s="28"/>
    </row>
    <row r="176" customFormat="false" ht="15" hidden="false" customHeight="false" outlineLevel="0" collapsed="false">
      <c r="A176" s="28"/>
      <c r="B176" s="28"/>
      <c r="C176" s="28"/>
    </row>
    <row r="177" customFormat="false" ht="15" hidden="false" customHeight="false" outlineLevel="0" collapsed="false">
      <c r="A177" s="28"/>
      <c r="B177" s="28"/>
      <c r="C177" s="28"/>
    </row>
    <row r="178" customFormat="false" ht="15" hidden="false" customHeight="false" outlineLevel="0" collapsed="false">
      <c r="A178" s="28"/>
      <c r="B178" s="28"/>
      <c r="C178" s="28"/>
    </row>
    <row r="179" customFormat="false" ht="15" hidden="false" customHeight="false" outlineLevel="0" collapsed="false">
      <c r="A179" s="28"/>
      <c r="B179" s="28"/>
      <c r="C179" s="28"/>
    </row>
    <row r="180" customFormat="false" ht="15" hidden="false" customHeight="false" outlineLevel="0" collapsed="false">
      <c r="A180" s="28"/>
      <c r="B180" s="28"/>
      <c r="C180" s="28"/>
    </row>
    <row r="181" customFormat="false" ht="15" hidden="false" customHeight="false" outlineLevel="0" collapsed="false">
      <c r="A181" s="28"/>
      <c r="B181" s="28"/>
      <c r="C181" s="28"/>
    </row>
    <row r="182" customFormat="false" ht="15" hidden="false" customHeight="false" outlineLevel="0" collapsed="false">
      <c r="A182" s="28"/>
      <c r="B182" s="28"/>
      <c r="C182" s="28"/>
    </row>
    <row r="183" customFormat="false" ht="15" hidden="false" customHeight="false" outlineLevel="0" collapsed="false">
      <c r="A183" s="28"/>
      <c r="B183" s="28"/>
      <c r="C183" s="28"/>
    </row>
    <row r="184" customFormat="false" ht="15" hidden="false" customHeight="false" outlineLevel="0" collapsed="false">
      <c r="A184" s="28"/>
      <c r="B184" s="28"/>
      <c r="C184" s="28"/>
    </row>
    <row r="185" customFormat="false" ht="15" hidden="false" customHeight="false" outlineLevel="0" collapsed="false">
      <c r="A185" s="28"/>
      <c r="B185" s="28"/>
      <c r="C185" s="28"/>
    </row>
    <row r="186" customFormat="false" ht="15" hidden="false" customHeight="false" outlineLevel="0" collapsed="false">
      <c r="A186" s="28"/>
      <c r="B186" s="28"/>
      <c r="C186" s="28"/>
    </row>
    <row r="187" customFormat="false" ht="15" hidden="false" customHeight="false" outlineLevel="0" collapsed="false">
      <c r="A187" s="28"/>
      <c r="B187" s="28"/>
      <c r="C187" s="28"/>
    </row>
    <row r="188" customFormat="false" ht="15" hidden="false" customHeight="false" outlineLevel="0" collapsed="false">
      <c r="A188" s="28"/>
      <c r="B188" s="28"/>
      <c r="C188" s="28"/>
    </row>
    <row r="189" customFormat="false" ht="15" hidden="false" customHeight="false" outlineLevel="0" collapsed="false">
      <c r="A189" s="28"/>
      <c r="B189" s="28"/>
      <c r="C189" s="28"/>
    </row>
    <row r="190" customFormat="false" ht="15" hidden="false" customHeight="false" outlineLevel="0" collapsed="false">
      <c r="A190" s="28"/>
      <c r="B190" s="28"/>
      <c r="C190" s="28"/>
    </row>
    <row r="191" customFormat="false" ht="15" hidden="false" customHeight="false" outlineLevel="0" collapsed="false">
      <c r="A191" s="28"/>
      <c r="B191" s="28"/>
      <c r="C191" s="28"/>
    </row>
    <row r="192" customFormat="false" ht="15" hidden="false" customHeight="false" outlineLevel="0" collapsed="false">
      <c r="A192" s="28"/>
      <c r="B192" s="28"/>
      <c r="C192" s="28"/>
    </row>
    <row r="193" customFormat="false" ht="15" hidden="false" customHeight="false" outlineLevel="0" collapsed="false">
      <c r="A193" s="28"/>
      <c r="B193" s="28"/>
      <c r="C193" s="28"/>
    </row>
    <row r="194" customFormat="false" ht="15" hidden="false" customHeight="false" outlineLevel="0" collapsed="false">
      <c r="A194" s="28"/>
      <c r="B194" s="28"/>
      <c r="C194" s="28"/>
    </row>
    <row r="195" customFormat="false" ht="15" hidden="false" customHeight="false" outlineLevel="0" collapsed="false">
      <c r="A195" s="28"/>
      <c r="B195" s="28"/>
      <c r="C195" s="28"/>
    </row>
    <row r="196" customFormat="false" ht="15" hidden="false" customHeight="false" outlineLevel="0" collapsed="false">
      <c r="A196" s="28"/>
      <c r="B196" s="28"/>
      <c r="C196" s="28"/>
    </row>
    <row r="197" customFormat="false" ht="15" hidden="false" customHeight="false" outlineLevel="0" collapsed="false">
      <c r="A197" s="28"/>
      <c r="B197" s="28"/>
      <c r="C197" s="28"/>
    </row>
    <row r="198" customFormat="false" ht="15" hidden="false" customHeight="false" outlineLevel="0" collapsed="false">
      <c r="A198" s="28"/>
      <c r="B198" s="28"/>
      <c r="C198" s="28"/>
    </row>
    <row r="199" customFormat="false" ht="15" hidden="false" customHeight="false" outlineLevel="0" collapsed="false">
      <c r="A199" s="28"/>
      <c r="B199" s="28"/>
      <c r="C199" s="28"/>
    </row>
    <row r="200" customFormat="false" ht="15" hidden="false" customHeight="false" outlineLevel="0" collapsed="false">
      <c r="A200" s="28"/>
      <c r="B200" s="28"/>
      <c r="C200" s="28"/>
    </row>
    <row r="201" customFormat="false" ht="15" hidden="false" customHeight="false" outlineLevel="0" collapsed="false">
      <c r="A201" s="28"/>
      <c r="B201" s="28"/>
      <c r="C201" s="2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8" min="2" style="0" width="44"/>
  </cols>
  <sheetData>
    <row r="1" customFormat="false" ht="31.5" hidden="false" customHeight="true" outlineLevel="0" collapsed="false">
      <c r="A1" s="27" t="s">
        <v>168</v>
      </c>
      <c r="B1" s="27" t="s">
        <v>169</v>
      </c>
      <c r="C1" s="27" t="s">
        <v>170</v>
      </c>
      <c r="D1" s="27" t="s">
        <v>171</v>
      </c>
      <c r="E1" s="27" t="s">
        <v>172</v>
      </c>
      <c r="F1" s="27" t="s">
        <v>173</v>
      </c>
      <c r="G1" s="27" t="s">
        <v>174</v>
      </c>
      <c r="H1" s="27" t="s">
        <v>163</v>
      </c>
    </row>
    <row r="2" customFormat="false" ht="15" hidden="false" customHeight="false" outlineLevel="0" collapsed="false">
      <c r="A2" s="28" t="s">
        <v>175</v>
      </c>
      <c r="B2" s="28" t="s">
        <v>166</v>
      </c>
      <c r="C2" s="28" t="s">
        <v>176</v>
      </c>
      <c r="D2" s="28" t="s">
        <v>127</v>
      </c>
      <c r="E2" s="28" t="s">
        <v>127</v>
      </c>
      <c r="F2" s="28" t="s">
        <v>177</v>
      </c>
      <c r="G2" s="28" t="s">
        <v>177</v>
      </c>
      <c r="H2" s="28" t="s">
        <v>129</v>
      </c>
    </row>
    <row r="3" customFormat="false" ht="15" hidden="false" customHeight="false" outlineLevel="0" collapsed="false">
      <c r="A3" s="28" t="s">
        <v>178</v>
      </c>
      <c r="B3" s="28" t="s">
        <v>166</v>
      </c>
      <c r="C3" s="28" t="s">
        <v>179</v>
      </c>
      <c r="D3" s="28" t="s">
        <v>127</v>
      </c>
      <c r="E3" s="28" t="s">
        <v>127</v>
      </c>
      <c r="F3" s="28" t="s">
        <v>180</v>
      </c>
      <c r="G3" s="28" t="s">
        <v>157</v>
      </c>
      <c r="H3" s="28" t="s">
        <v>129</v>
      </c>
    </row>
    <row r="4" customFormat="false" ht="15" hidden="false" customHeight="false" outlineLevel="0" collapsed="false">
      <c r="A4" s="28"/>
      <c r="B4" s="28"/>
      <c r="C4" s="28"/>
      <c r="D4" s="28"/>
      <c r="E4" s="28"/>
      <c r="F4" s="28"/>
      <c r="G4" s="28"/>
      <c r="H4" s="28"/>
    </row>
    <row r="5" customFormat="false" ht="15" hidden="false" customHeight="false" outlineLevel="0" collapsed="false">
      <c r="A5" s="28"/>
      <c r="B5" s="28"/>
      <c r="C5" s="28"/>
      <c r="D5" s="28"/>
      <c r="E5" s="28"/>
      <c r="F5" s="28"/>
      <c r="G5" s="28"/>
      <c r="H5" s="28"/>
    </row>
    <row r="6" customFormat="false" ht="15" hidden="false" customHeight="false" outlineLevel="0" collapsed="false">
      <c r="A6" s="28"/>
      <c r="B6" s="28"/>
      <c r="C6" s="28"/>
      <c r="D6" s="28"/>
      <c r="E6" s="28"/>
      <c r="F6" s="28"/>
      <c r="G6" s="28"/>
      <c r="H6" s="28"/>
    </row>
    <row r="7" customFormat="false" ht="15" hidden="false" customHeight="false" outlineLevel="0" collapsed="false">
      <c r="A7" s="28"/>
      <c r="B7" s="28"/>
      <c r="C7" s="28"/>
      <c r="D7" s="28"/>
      <c r="E7" s="28"/>
      <c r="F7" s="28"/>
      <c r="G7" s="28"/>
      <c r="H7" s="28"/>
    </row>
    <row r="8" customFormat="false" ht="15" hidden="false" customHeight="false" outlineLevel="0" collapsed="false">
      <c r="A8" s="28"/>
      <c r="B8" s="28"/>
      <c r="C8" s="28"/>
      <c r="D8" s="28"/>
      <c r="E8" s="28"/>
      <c r="F8" s="28"/>
      <c r="G8" s="28"/>
      <c r="H8" s="28"/>
    </row>
    <row r="9" customFormat="false" ht="15" hidden="false" customHeight="false" outlineLevel="0" collapsed="false">
      <c r="A9" s="28"/>
      <c r="B9" s="28"/>
      <c r="C9" s="28"/>
      <c r="D9" s="28"/>
      <c r="E9" s="28"/>
      <c r="F9" s="28"/>
      <c r="G9" s="28"/>
      <c r="H9" s="28"/>
    </row>
    <row r="10" customFormat="false" ht="15" hidden="false" customHeight="false" outlineLevel="0" collapsed="false">
      <c r="A10" s="28"/>
      <c r="B10" s="28"/>
      <c r="C10" s="28"/>
      <c r="D10" s="28"/>
      <c r="E10" s="28"/>
      <c r="F10" s="28"/>
      <c r="G10" s="28"/>
      <c r="H10" s="28"/>
    </row>
    <row r="11" customFormat="false" ht="15" hidden="false" customHeight="false" outlineLevel="0" collapsed="false">
      <c r="A11" s="28"/>
      <c r="B11" s="28"/>
      <c r="C11" s="28"/>
      <c r="D11" s="28"/>
      <c r="E11" s="28"/>
      <c r="F11" s="28"/>
      <c r="G11" s="28"/>
      <c r="H11" s="28"/>
    </row>
    <row r="12" customFormat="false" ht="15" hidden="false" customHeight="false" outlineLevel="0" collapsed="false">
      <c r="A12" s="28"/>
      <c r="B12" s="28"/>
      <c r="C12" s="28"/>
      <c r="D12" s="28"/>
      <c r="E12" s="28"/>
      <c r="F12" s="28"/>
      <c r="G12" s="28"/>
      <c r="H12" s="28"/>
    </row>
    <row r="13" customFormat="false" ht="15" hidden="false" customHeight="false" outlineLevel="0" collapsed="false">
      <c r="A13" s="28"/>
      <c r="B13" s="28"/>
      <c r="C13" s="28"/>
      <c r="D13" s="28"/>
      <c r="E13" s="28"/>
      <c r="F13" s="28"/>
      <c r="G13" s="28"/>
      <c r="H13" s="28"/>
    </row>
    <row r="14" customFormat="false" ht="15" hidden="false" customHeight="false" outlineLevel="0" collapsed="false">
      <c r="A14" s="28"/>
      <c r="B14" s="28"/>
      <c r="C14" s="28"/>
      <c r="D14" s="28"/>
      <c r="E14" s="28"/>
      <c r="F14" s="28"/>
      <c r="G14" s="28"/>
      <c r="H14" s="28"/>
    </row>
    <row r="15" customFormat="false" ht="15" hidden="false" customHeight="false" outlineLevel="0" collapsed="false">
      <c r="A15" s="28"/>
      <c r="B15" s="28"/>
      <c r="C15" s="28"/>
      <c r="D15" s="28"/>
      <c r="E15" s="28"/>
      <c r="F15" s="28"/>
      <c r="G15" s="28"/>
      <c r="H15" s="28"/>
    </row>
    <row r="16" customFormat="false" ht="15" hidden="false" customHeight="false" outlineLevel="0" collapsed="false">
      <c r="A16" s="28"/>
      <c r="B16" s="28"/>
      <c r="C16" s="28"/>
      <c r="D16" s="28"/>
      <c r="E16" s="28"/>
      <c r="F16" s="28"/>
      <c r="G16" s="28"/>
      <c r="H16" s="28"/>
    </row>
    <row r="17" customFormat="false" ht="15" hidden="false" customHeight="false" outlineLevel="0" collapsed="false">
      <c r="A17" s="28"/>
      <c r="B17" s="28"/>
      <c r="C17" s="28"/>
      <c r="D17" s="28"/>
      <c r="E17" s="28"/>
      <c r="F17" s="28"/>
      <c r="G17" s="28"/>
      <c r="H17" s="28"/>
    </row>
    <row r="18" customFormat="false" ht="15" hidden="false" customHeight="false" outlineLevel="0" collapsed="false">
      <c r="A18" s="28"/>
      <c r="B18" s="28"/>
      <c r="C18" s="28"/>
      <c r="D18" s="28"/>
      <c r="E18" s="28"/>
      <c r="F18" s="28"/>
      <c r="G18" s="28"/>
      <c r="H18" s="28"/>
    </row>
    <row r="19" customFormat="false" ht="15" hidden="false" customHeight="false" outlineLevel="0" collapsed="false">
      <c r="A19" s="28"/>
      <c r="B19" s="28"/>
      <c r="C19" s="28"/>
      <c r="D19" s="28"/>
      <c r="E19" s="28"/>
      <c r="F19" s="28"/>
      <c r="G19" s="28"/>
      <c r="H19" s="28"/>
    </row>
    <row r="20" customFormat="false" ht="15" hidden="false" customHeight="false" outlineLevel="0" collapsed="false">
      <c r="A20" s="28"/>
      <c r="B20" s="28"/>
      <c r="C20" s="28"/>
      <c r="D20" s="28"/>
      <c r="E20" s="28"/>
      <c r="F20" s="28"/>
      <c r="G20" s="28"/>
      <c r="H20" s="28"/>
    </row>
    <row r="21" customFormat="false" ht="15" hidden="false" customHeight="false" outlineLevel="0" collapsed="false">
      <c r="A21" s="28"/>
      <c r="B21" s="28"/>
      <c r="C21" s="28"/>
      <c r="D21" s="28"/>
      <c r="E21" s="28"/>
      <c r="F21" s="28"/>
      <c r="G21" s="28"/>
      <c r="H21" s="28"/>
    </row>
    <row r="22" customFormat="false" ht="15" hidden="false" customHeight="false" outlineLevel="0" collapsed="false">
      <c r="A22" s="28"/>
      <c r="B22" s="28"/>
      <c r="C22" s="28"/>
      <c r="D22" s="28"/>
      <c r="E22" s="28"/>
      <c r="F22" s="28"/>
      <c r="G22" s="28"/>
      <c r="H22" s="28"/>
    </row>
    <row r="23" customFormat="false" ht="15" hidden="false" customHeight="false" outlineLevel="0" collapsed="false">
      <c r="A23" s="28"/>
      <c r="B23" s="28"/>
      <c r="C23" s="28"/>
      <c r="D23" s="28"/>
      <c r="E23" s="28"/>
      <c r="F23" s="28"/>
      <c r="G23" s="28"/>
      <c r="H23" s="28"/>
    </row>
    <row r="24" customFormat="false" ht="15" hidden="false" customHeight="false" outlineLevel="0" collapsed="false">
      <c r="A24" s="28"/>
      <c r="B24" s="28"/>
      <c r="C24" s="28"/>
      <c r="D24" s="28"/>
      <c r="E24" s="28"/>
      <c r="F24" s="28"/>
      <c r="G24" s="28"/>
      <c r="H24" s="28"/>
    </row>
    <row r="25" customFormat="false" ht="15" hidden="false" customHeight="false" outlineLevel="0" collapsed="false">
      <c r="A25" s="28"/>
      <c r="B25" s="28"/>
      <c r="C25" s="28"/>
      <c r="D25" s="28"/>
      <c r="E25" s="28"/>
      <c r="F25" s="28"/>
      <c r="G25" s="28"/>
      <c r="H25" s="28"/>
    </row>
    <row r="26" customFormat="false" ht="15" hidden="false" customHeight="false" outlineLevel="0" collapsed="false">
      <c r="A26" s="28"/>
      <c r="B26" s="28"/>
      <c r="C26" s="28"/>
      <c r="D26" s="28"/>
      <c r="E26" s="28"/>
      <c r="F26" s="28"/>
      <c r="G26" s="28"/>
      <c r="H26" s="28"/>
    </row>
    <row r="27" customFormat="false" ht="15" hidden="false" customHeight="false" outlineLevel="0" collapsed="false">
      <c r="A27" s="28"/>
      <c r="B27" s="28"/>
      <c r="C27" s="28"/>
      <c r="D27" s="28"/>
      <c r="E27" s="28"/>
      <c r="F27" s="28"/>
      <c r="G27" s="28"/>
      <c r="H27" s="28"/>
    </row>
    <row r="28" customFormat="false" ht="15" hidden="false" customHeight="false" outlineLevel="0" collapsed="false">
      <c r="A28" s="28"/>
      <c r="B28" s="28"/>
      <c r="C28" s="28"/>
      <c r="D28" s="28"/>
      <c r="E28" s="28"/>
      <c r="F28" s="28"/>
      <c r="G28" s="28"/>
      <c r="H28" s="28"/>
    </row>
    <row r="29" customFormat="false" ht="15" hidden="false" customHeight="false" outlineLevel="0" collapsed="false">
      <c r="A29" s="28"/>
      <c r="B29" s="28"/>
      <c r="C29" s="28"/>
      <c r="D29" s="28"/>
      <c r="E29" s="28"/>
      <c r="F29" s="28"/>
      <c r="G29" s="28"/>
      <c r="H29" s="28"/>
    </row>
    <row r="30" customFormat="false" ht="15" hidden="false" customHeight="false" outlineLevel="0" collapsed="false">
      <c r="A30" s="28"/>
      <c r="B30" s="28"/>
      <c r="C30" s="28"/>
      <c r="D30" s="28"/>
      <c r="E30" s="28"/>
      <c r="F30" s="28"/>
      <c r="G30" s="28"/>
      <c r="H30" s="28"/>
    </row>
    <row r="31" customFormat="false" ht="15" hidden="false" customHeight="false" outlineLevel="0" collapsed="false">
      <c r="A31" s="28"/>
      <c r="B31" s="28"/>
      <c r="C31" s="28"/>
      <c r="D31" s="28"/>
      <c r="E31" s="28"/>
      <c r="F31" s="28"/>
      <c r="G31" s="28"/>
      <c r="H31" s="28"/>
    </row>
    <row r="32" customFormat="false" ht="15" hidden="false" customHeight="false" outlineLevel="0" collapsed="false">
      <c r="A32" s="28"/>
      <c r="B32" s="28"/>
      <c r="C32" s="28"/>
      <c r="D32" s="28"/>
      <c r="E32" s="28"/>
      <c r="F32" s="28"/>
      <c r="G32" s="28"/>
      <c r="H32" s="28"/>
    </row>
    <row r="33" customFormat="false" ht="15" hidden="false" customHeight="false" outlineLevel="0" collapsed="false">
      <c r="A33" s="28"/>
      <c r="B33" s="28"/>
      <c r="C33" s="28"/>
      <c r="D33" s="28"/>
      <c r="E33" s="28"/>
      <c r="F33" s="28"/>
      <c r="G33" s="28"/>
      <c r="H33" s="28"/>
    </row>
    <row r="34" customFormat="false" ht="15" hidden="false" customHeight="false" outlineLevel="0" collapsed="false">
      <c r="A34" s="28"/>
      <c r="B34" s="28"/>
      <c r="C34" s="28"/>
      <c r="D34" s="28"/>
      <c r="E34" s="28"/>
      <c r="F34" s="28"/>
      <c r="G34" s="28"/>
      <c r="H34" s="28"/>
    </row>
    <row r="35" customFormat="false" ht="15" hidden="false" customHeight="false" outlineLevel="0" collapsed="false">
      <c r="A35" s="28"/>
      <c r="B35" s="28"/>
      <c r="C35" s="28"/>
      <c r="D35" s="28"/>
      <c r="E35" s="28"/>
      <c r="F35" s="28"/>
      <c r="G35" s="28"/>
      <c r="H35" s="28"/>
    </row>
    <row r="36" customFormat="false" ht="15" hidden="false" customHeight="false" outlineLevel="0" collapsed="false">
      <c r="A36" s="28"/>
      <c r="B36" s="28"/>
      <c r="C36" s="28"/>
      <c r="D36" s="28"/>
      <c r="E36" s="28"/>
      <c r="F36" s="28"/>
      <c r="G36" s="28"/>
      <c r="H36" s="28"/>
    </row>
    <row r="37" customFormat="false" ht="15" hidden="false" customHeight="false" outlineLevel="0" collapsed="false">
      <c r="A37" s="28"/>
      <c r="B37" s="28"/>
      <c r="C37" s="28"/>
      <c r="D37" s="28"/>
      <c r="E37" s="28"/>
      <c r="F37" s="28"/>
      <c r="G37" s="28"/>
      <c r="H37" s="28"/>
    </row>
    <row r="38" customFormat="false" ht="15" hidden="false" customHeight="false" outlineLevel="0" collapsed="false">
      <c r="A38" s="28"/>
      <c r="B38" s="28"/>
      <c r="C38" s="28"/>
      <c r="D38" s="28"/>
      <c r="E38" s="28"/>
      <c r="F38" s="28"/>
      <c r="G38" s="28"/>
      <c r="H38" s="28"/>
    </row>
    <row r="39" customFormat="false" ht="15" hidden="false" customHeight="false" outlineLevel="0" collapsed="false">
      <c r="A39" s="28"/>
      <c r="B39" s="28"/>
      <c r="C39" s="28"/>
      <c r="D39" s="28"/>
      <c r="E39" s="28"/>
      <c r="F39" s="28"/>
      <c r="G39" s="28"/>
      <c r="H39" s="28"/>
    </row>
    <row r="40" customFormat="false" ht="15" hidden="false" customHeight="false" outlineLevel="0" collapsed="false">
      <c r="A40" s="28"/>
      <c r="B40" s="28"/>
      <c r="C40" s="28"/>
      <c r="D40" s="28"/>
      <c r="E40" s="28"/>
      <c r="F40" s="28"/>
      <c r="G40" s="28"/>
      <c r="H40" s="28"/>
    </row>
    <row r="41" customFormat="false" ht="15" hidden="false" customHeight="false" outlineLevel="0" collapsed="false">
      <c r="A41" s="28"/>
      <c r="B41" s="28"/>
      <c r="C41" s="28"/>
      <c r="D41" s="28"/>
      <c r="E41" s="28"/>
      <c r="F41" s="28"/>
      <c r="G41" s="28"/>
      <c r="H41" s="28"/>
    </row>
    <row r="42" customFormat="false" ht="15" hidden="false" customHeight="false" outlineLevel="0" collapsed="false">
      <c r="A42" s="28"/>
      <c r="B42" s="28"/>
      <c r="C42" s="28"/>
      <c r="D42" s="28"/>
      <c r="E42" s="28"/>
      <c r="F42" s="28"/>
      <c r="G42" s="28"/>
      <c r="H42" s="28"/>
    </row>
    <row r="43" customFormat="false" ht="15" hidden="false" customHeight="false" outlineLevel="0" collapsed="false">
      <c r="A43" s="28"/>
      <c r="B43" s="28"/>
      <c r="C43" s="28"/>
      <c r="D43" s="28"/>
      <c r="E43" s="28"/>
      <c r="F43" s="28"/>
      <c r="G43" s="28"/>
      <c r="H43" s="28"/>
    </row>
    <row r="44" customFormat="false" ht="15" hidden="false" customHeight="false" outlineLevel="0" collapsed="false">
      <c r="A44" s="28"/>
      <c r="B44" s="28"/>
      <c r="C44" s="28"/>
      <c r="D44" s="28"/>
      <c r="E44" s="28"/>
      <c r="F44" s="28"/>
      <c r="G44" s="28"/>
      <c r="H44" s="28"/>
    </row>
    <row r="45" customFormat="false" ht="15" hidden="false" customHeight="false" outlineLevel="0" collapsed="false">
      <c r="A45" s="28"/>
      <c r="B45" s="28"/>
      <c r="C45" s="28"/>
      <c r="D45" s="28"/>
      <c r="E45" s="28"/>
      <c r="F45" s="28"/>
      <c r="G45" s="28"/>
      <c r="H45" s="28"/>
    </row>
    <row r="46" customFormat="false" ht="15" hidden="false" customHeight="false" outlineLevel="0" collapsed="false">
      <c r="A46" s="28"/>
      <c r="B46" s="28"/>
      <c r="C46" s="28"/>
      <c r="D46" s="28"/>
      <c r="E46" s="28"/>
      <c r="F46" s="28"/>
      <c r="G46" s="28"/>
      <c r="H46" s="28"/>
    </row>
    <row r="47" customFormat="false" ht="15" hidden="false" customHeight="false" outlineLevel="0" collapsed="false">
      <c r="A47" s="28"/>
      <c r="B47" s="28"/>
      <c r="C47" s="28"/>
      <c r="D47" s="28"/>
      <c r="E47" s="28"/>
      <c r="F47" s="28"/>
      <c r="G47" s="28"/>
      <c r="H47" s="28"/>
    </row>
    <row r="48" customFormat="false" ht="15" hidden="false" customHeight="false" outlineLevel="0" collapsed="false">
      <c r="A48" s="28"/>
      <c r="B48" s="28"/>
      <c r="C48" s="28"/>
      <c r="D48" s="28"/>
      <c r="E48" s="28"/>
      <c r="F48" s="28"/>
      <c r="G48" s="28"/>
      <c r="H48" s="28"/>
    </row>
    <row r="49" customFormat="false" ht="15" hidden="false" customHeight="false" outlineLevel="0" collapsed="false">
      <c r="A49" s="28"/>
      <c r="B49" s="28"/>
      <c r="C49" s="28"/>
      <c r="D49" s="28"/>
      <c r="E49" s="28"/>
      <c r="F49" s="28"/>
      <c r="G49" s="28"/>
      <c r="H49" s="28"/>
    </row>
    <row r="50" customFormat="false" ht="15" hidden="false" customHeight="false" outlineLevel="0" collapsed="false">
      <c r="A50" s="28"/>
      <c r="B50" s="28"/>
      <c r="C50" s="28"/>
      <c r="D50" s="28"/>
      <c r="E50" s="28"/>
      <c r="F50" s="28"/>
      <c r="G50" s="28"/>
      <c r="H50" s="28"/>
    </row>
    <row r="51" customFormat="false" ht="15" hidden="false" customHeight="false" outlineLevel="0" collapsed="false">
      <c r="A51" s="28"/>
      <c r="B51" s="28"/>
      <c r="C51" s="28"/>
      <c r="D51" s="28"/>
      <c r="E51" s="28"/>
      <c r="F51" s="28"/>
      <c r="G51" s="28"/>
      <c r="H51" s="28"/>
    </row>
    <row r="52" customFormat="false" ht="15" hidden="false" customHeight="false" outlineLevel="0" collapsed="false">
      <c r="A52" s="28"/>
      <c r="B52" s="28"/>
      <c r="C52" s="28"/>
      <c r="D52" s="28"/>
      <c r="E52" s="28"/>
      <c r="F52" s="28"/>
      <c r="G52" s="28"/>
      <c r="H52" s="28"/>
    </row>
    <row r="53" customFormat="false" ht="15" hidden="false" customHeight="false" outlineLevel="0" collapsed="false">
      <c r="A53" s="28"/>
      <c r="B53" s="28"/>
      <c r="C53" s="28"/>
      <c r="D53" s="28"/>
      <c r="E53" s="28"/>
      <c r="F53" s="28"/>
      <c r="G53" s="28"/>
      <c r="H53" s="28"/>
    </row>
    <row r="54" customFormat="false" ht="15" hidden="false" customHeight="false" outlineLevel="0" collapsed="false">
      <c r="A54" s="28"/>
      <c r="B54" s="28"/>
      <c r="C54" s="28"/>
      <c r="D54" s="28"/>
      <c r="E54" s="28"/>
      <c r="F54" s="28"/>
      <c r="G54" s="28"/>
      <c r="H54" s="28"/>
    </row>
    <row r="55" customFormat="false" ht="15" hidden="false" customHeight="false" outlineLevel="0" collapsed="false">
      <c r="A55" s="28"/>
      <c r="B55" s="28"/>
      <c r="C55" s="28"/>
      <c r="D55" s="28"/>
      <c r="E55" s="28"/>
      <c r="F55" s="28"/>
      <c r="G55" s="28"/>
      <c r="H55" s="28"/>
    </row>
    <row r="56" customFormat="false" ht="15" hidden="false" customHeight="false" outlineLevel="0" collapsed="false">
      <c r="A56" s="28"/>
      <c r="B56" s="28"/>
      <c r="C56" s="28"/>
      <c r="D56" s="28"/>
      <c r="E56" s="28"/>
      <c r="F56" s="28"/>
      <c r="G56" s="28"/>
      <c r="H56" s="28"/>
    </row>
    <row r="57" customFormat="false" ht="15" hidden="false" customHeight="false" outlineLevel="0" collapsed="false">
      <c r="A57" s="28"/>
      <c r="B57" s="28"/>
      <c r="C57" s="28"/>
      <c r="D57" s="28"/>
      <c r="E57" s="28"/>
      <c r="F57" s="28"/>
      <c r="G57" s="28"/>
      <c r="H57" s="28"/>
    </row>
    <row r="58" customFormat="false" ht="15" hidden="false" customHeight="false" outlineLevel="0" collapsed="false">
      <c r="A58" s="28"/>
      <c r="B58" s="28"/>
      <c r="C58" s="28"/>
      <c r="D58" s="28"/>
      <c r="E58" s="28"/>
      <c r="F58" s="28"/>
      <c r="G58" s="28"/>
      <c r="H58" s="28"/>
    </row>
    <row r="59" customFormat="false" ht="15" hidden="false" customHeight="false" outlineLevel="0" collapsed="false">
      <c r="A59" s="28"/>
      <c r="B59" s="28"/>
      <c r="C59" s="28"/>
      <c r="D59" s="28"/>
      <c r="E59" s="28"/>
      <c r="F59" s="28"/>
      <c r="G59" s="28"/>
      <c r="H59" s="28"/>
    </row>
    <row r="60" customFormat="false" ht="15" hidden="false" customHeight="false" outlineLevel="0" collapsed="false">
      <c r="A60" s="28"/>
      <c r="B60" s="28"/>
      <c r="C60" s="28"/>
      <c r="D60" s="28"/>
      <c r="E60" s="28"/>
      <c r="F60" s="28"/>
      <c r="G60" s="28"/>
      <c r="H60" s="28"/>
    </row>
    <row r="61" customFormat="false" ht="15" hidden="false" customHeight="false" outlineLevel="0" collapsed="false">
      <c r="A61" s="28"/>
      <c r="B61" s="28"/>
      <c r="C61" s="28"/>
      <c r="D61" s="28"/>
      <c r="E61" s="28"/>
      <c r="F61" s="28"/>
      <c r="G61" s="28"/>
      <c r="H61" s="28"/>
    </row>
    <row r="62" customFormat="false" ht="15" hidden="false" customHeight="false" outlineLevel="0" collapsed="false">
      <c r="A62" s="28"/>
      <c r="B62" s="28"/>
      <c r="C62" s="28"/>
      <c r="D62" s="28"/>
      <c r="E62" s="28"/>
      <c r="F62" s="28"/>
      <c r="G62" s="28"/>
      <c r="H62" s="28"/>
    </row>
    <row r="63" customFormat="false" ht="15" hidden="false" customHeight="false" outlineLevel="0" collapsed="false">
      <c r="A63" s="28"/>
      <c r="B63" s="28"/>
      <c r="C63" s="28"/>
      <c r="D63" s="28"/>
      <c r="E63" s="28"/>
      <c r="F63" s="28"/>
      <c r="G63" s="28"/>
      <c r="H63" s="28"/>
    </row>
    <row r="64" customFormat="false" ht="15" hidden="false" customHeight="false" outlineLevel="0" collapsed="false">
      <c r="A64" s="28"/>
      <c r="B64" s="28"/>
      <c r="C64" s="28"/>
      <c r="D64" s="28"/>
      <c r="E64" s="28"/>
      <c r="F64" s="28"/>
      <c r="G64" s="28"/>
      <c r="H64" s="28"/>
    </row>
    <row r="65" customFormat="false" ht="15" hidden="false" customHeight="false" outlineLevel="0" collapsed="false">
      <c r="A65" s="28"/>
      <c r="B65" s="28"/>
      <c r="C65" s="28"/>
      <c r="D65" s="28"/>
      <c r="E65" s="28"/>
      <c r="F65" s="28"/>
      <c r="G65" s="28"/>
      <c r="H65" s="28"/>
    </row>
    <row r="66" customFormat="false" ht="15" hidden="false" customHeight="false" outlineLevel="0" collapsed="false">
      <c r="A66" s="28"/>
      <c r="B66" s="28"/>
      <c r="C66" s="28"/>
      <c r="D66" s="28"/>
      <c r="E66" s="28"/>
      <c r="F66" s="28"/>
      <c r="G66" s="28"/>
      <c r="H66" s="28"/>
    </row>
    <row r="67" customFormat="false" ht="15" hidden="false" customHeight="false" outlineLevel="0" collapsed="false">
      <c r="A67" s="28"/>
      <c r="B67" s="28"/>
      <c r="C67" s="28"/>
      <c r="D67" s="28"/>
      <c r="E67" s="28"/>
      <c r="F67" s="28"/>
      <c r="G67" s="28"/>
      <c r="H67" s="28"/>
    </row>
    <row r="68" customFormat="false" ht="15" hidden="false" customHeight="false" outlineLevel="0" collapsed="false">
      <c r="A68" s="28"/>
      <c r="B68" s="28"/>
      <c r="C68" s="28"/>
      <c r="D68" s="28"/>
      <c r="E68" s="28"/>
      <c r="F68" s="28"/>
      <c r="G68" s="28"/>
      <c r="H68" s="28"/>
    </row>
    <row r="69" customFormat="false" ht="15" hidden="false" customHeight="false" outlineLevel="0" collapsed="false">
      <c r="A69" s="28"/>
      <c r="B69" s="28"/>
      <c r="C69" s="28"/>
      <c r="D69" s="28"/>
      <c r="E69" s="28"/>
      <c r="F69" s="28"/>
      <c r="G69" s="28"/>
      <c r="H69" s="28"/>
    </row>
    <row r="70" customFormat="false" ht="15" hidden="false" customHeight="false" outlineLevel="0" collapsed="false">
      <c r="A70" s="28"/>
      <c r="B70" s="28"/>
      <c r="C70" s="28"/>
      <c r="D70" s="28"/>
      <c r="E70" s="28"/>
      <c r="F70" s="28"/>
      <c r="G70" s="28"/>
      <c r="H70" s="28"/>
    </row>
    <row r="71" customFormat="false" ht="15" hidden="false" customHeight="false" outlineLevel="0" collapsed="false">
      <c r="A71" s="28"/>
      <c r="B71" s="28"/>
      <c r="C71" s="28"/>
      <c r="D71" s="28"/>
      <c r="E71" s="28"/>
      <c r="F71" s="28"/>
      <c r="G71" s="28"/>
      <c r="H71" s="28"/>
    </row>
    <row r="72" customFormat="false" ht="15" hidden="false" customHeight="false" outlineLevel="0" collapsed="false">
      <c r="A72" s="28"/>
      <c r="B72" s="28"/>
      <c r="C72" s="28"/>
      <c r="D72" s="28"/>
      <c r="E72" s="28"/>
      <c r="F72" s="28"/>
      <c r="G72" s="28"/>
      <c r="H72" s="28"/>
    </row>
    <row r="73" customFormat="false" ht="15" hidden="false" customHeight="false" outlineLevel="0" collapsed="false">
      <c r="A73" s="28"/>
      <c r="B73" s="28"/>
      <c r="C73" s="28"/>
      <c r="D73" s="28"/>
      <c r="E73" s="28"/>
      <c r="F73" s="28"/>
      <c r="G73" s="28"/>
      <c r="H73" s="28"/>
    </row>
    <row r="74" customFormat="false" ht="15" hidden="false" customHeight="false" outlineLevel="0" collapsed="false">
      <c r="A74" s="28"/>
      <c r="B74" s="28"/>
      <c r="C74" s="28"/>
      <c r="D74" s="28"/>
      <c r="E74" s="28"/>
      <c r="F74" s="28"/>
      <c r="G74" s="28"/>
      <c r="H74" s="28"/>
    </row>
    <row r="75" customFormat="false" ht="15" hidden="false" customHeight="false" outlineLevel="0" collapsed="false">
      <c r="A75" s="28"/>
      <c r="B75" s="28"/>
      <c r="C75" s="28"/>
      <c r="D75" s="28"/>
      <c r="E75" s="28"/>
      <c r="F75" s="28"/>
      <c r="G75" s="28"/>
      <c r="H75" s="28"/>
    </row>
    <row r="76" customFormat="false" ht="15" hidden="false" customHeight="false" outlineLevel="0" collapsed="false">
      <c r="A76" s="28"/>
      <c r="B76" s="28"/>
      <c r="C76" s="28"/>
      <c r="D76" s="28"/>
      <c r="E76" s="28"/>
      <c r="F76" s="28"/>
      <c r="G76" s="28"/>
      <c r="H76" s="28"/>
    </row>
    <row r="77" customFormat="false" ht="15" hidden="false" customHeight="false" outlineLevel="0" collapsed="false">
      <c r="A77" s="28"/>
      <c r="B77" s="28"/>
      <c r="C77" s="28"/>
      <c r="D77" s="28"/>
      <c r="E77" s="28"/>
      <c r="F77" s="28"/>
      <c r="G77" s="28"/>
      <c r="H77" s="28"/>
    </row>
    <row r="78" customFormat="false" ht="15" hidden="false" customHeight="false" outlineLevel="0" collapsed="false">
      <c r="A78" s="28"/>
      <c r="B78" s="28"/>
      <c r="C78" s="28"/>
      <c r="D78" s="28"/>
      <c r="E78" s="28"/>
      <c r="F78" s="28"/>
      <c r="G78" s="28"/>
      <c r="H78" s="28"/>
    </row>
    <row r="79" customFormat="false" ht="15" hidden="false" customHeight="false" outlineLevel="0" collapsed="false">
      <c r="A79" s="28"/>
      <c r="B79" s="28"/>
      <c r="C79" s="28"/>
      <c r="D79" s="28"/>
      <c r="E79" s="28"/>
      <c r="F79" s="28"/>
      <c r="G79" s="28"/>
      <c r="H79" s="28"/>
    </row>
    <row r="80" customFormat="false" ht="15" hidden="false" customHeight="false" outlineLevel="0" collapsed="false">
      <c r="A80" s="28"/>
      <c r="B80" s="28"/>
      <c r="C80" s="28"/>
      <c r="D80" s="28"/>
      <c r="E80" s="28"/>
      <c r="F80" s="28"/>
      <c r="G80" s="28"/>
      <c r="H80" s="28"/>
    </row>
    <row r="81" customFormat="false" ht="15" hidden="false" customHeight="false" outlineLevel="0" collapsed="false">
      <c r="A81" s="28"/>
      <c r="B81" s="28"/>
      <c r="C81" s="28"/>
      <c r="D81" s="28"/>
      <c r="E81" s="28"/>
      <c r="F81" s="28"/>
      <c r="G81" s="28"/>
      <c r="H81" s="28"/>
    </row>
    <row r="82" customFormat="false" ht="15" hidden="false" customHeight="false" outlineLevel="0" collapsed="false">
      <c r="A82" s="28"/>
      <c r="B82" s="28"/>
      <c r="C82" s="28"/>
      <c r="D82" s="28"/>
      <c r="E82" s="28"/>
      <c r="F82" s="28"/>
      <c r="G82" s="28"/>
      <c r="H82" s="28"/>
    </row>
    <row r="83" customFormat="false" ht="15" hidden="false" customHeight="false" outlineLevel="0" collapsed="false">
      <c r="A83" s="28"/>
      <c r="B83" s="28"/>
      <c r="C83" s="28"/>
      <c r="D83" s="28"/>
      <c r="E83" s="28"/>
      <c r="F83" s="28"/>
      <c r="G83" s="28"/>
      <c r="H83" s="28"/>
    </row>
    <row r="84" customFormat="false" ht="15" hidden="false" customHeight="false" outlineLevel="0" collapsed="false">
      <c r="A84" s="28"/>
      <c r="B84" s="28"/>
      <c r="C84" s="28"/>
      <c r="D84" s="28"/>
      <c r="E84" s="28"/>
      <c r="F84" s="28"/>
      <c r="G84" s="28"/>
      <c r="H84" s="28"/>
    </row>
    <row r="85" customFormat="false" ht="15" hidden="false" customHeight="false" outlineLevel="0" collapsed="false">
      <c r="A85" s="28"/>
      <c r="B85" s="28"/>
      <c r="C85" s="28"/>
      <c r="D85" s="28"/>
      <c r="E85" s="28"/>
      <c r="F85" s="28"/>
      <c r="G85" s="28"/>
      <c r="H85" s="28"/>
    </row>
    <row r="86" customFormat="false" ht="15" hidden="false" customHeight="false" outlineLevel="0" collapsed="false">
      <c r="A86" s="28"/>
      <c r="B86" s="28"/>
      <c r="C86" s="28"/>
      <c r="D86" s="28"/>
      <c r="E86" s="28"/>
      <c r="F86" s="28"/>
      <c r="G86" s="28"/>
      <c r="H86" s="28"/>
    </row>
    <row r="87" customFormat="false" ht="15" hidden="false" customHeight="false" outlineLevel="0" collapsed="false">
      <c r="A87" s="28"/>
      <c r="B87" s="28"/>
      <c r="C87" s="28"/>
      <c r="D87" s="28"/>
      <c r="E87" s="28"/>
      <c r="F87" s="28"/>
      <c r="G87" s="28"/>
      <c r="H87" s="28"/>
    </row>
    <row r="88" customFormat="false" ht="15" hidden="false" customHeight="false" outlineLevel="0" collapsed="false">
      <c r="A88" s="28"/>
      <c r="B88" s="28"/>
      <c r="C88" s="28"/>
      <c r="D88" s="28"/>
      <c r="E88" s="28"/>
      <c r="F88" s="28"/>
      <c r="G88" s="28"/>
      <c r="H88" s="28"/>
    </row>
    <row r="89" customFormat="false" ht="15" hidden="false" customHeight="false" outlineLevel="0" collapsed="false">
      <c r="A89" s="28"/>
      <c r="B89" s="28"/>
      <c r="C89" s="28"/>
      <c r="D89" s="28"/>
      <c r="E89" s="28"/>
      <c r="F89" s="28"/>
      <c r="G89" s="28"/>
      <c r="H89" s="28"/>
    </row>
    <row r="90" customFormat="false" ht="15" hidden="false" customHeight="false" outlineLevel="0" collapsed="false">
      <c r="A90" s="28"/>
      <c r="B90" s="28"/>
      <c r="C90" s="28"/>
      <c r="D90" s="28"/>
      <c r="E90" s="28"/>
      <c r="F90" s="28"/>
      <c r="G90" s="28"/>
      <c r="H90" s="28"/>
    </row>
    <row r="91" customFormat="false" ht="15" hidden="false" customHeight="false" outlineLevel="0" collapsed="false">
      <c r="A91" s="28"/>
      <c r="B91" s="28"/>
      <c r="C91" s="28"/>
      <c r="D91" s="28"/>
      <c r="E91" s="28"/>
      <c r="F91" s="28"/>
      <c r="G91" s="28"/>
      <c r="H91" s="28"/>
    </row>
    <row r="92" customFormat="false" ht="15" hidden="false" customHeight="false" outlineLevel="0" collapsed="false">
      <c r="A92" s="28"/>
      <c r="B92" s="28"/>
      <c r="C92" s="28"/>
      <c r="D92" s="28"/>
      <c r="E92" s="28"/>
      <c r="F92" s="28"/>
      <c r="G92" s="28"/>
      <c r="H92" s="28"/>
    </row>
    <row r="93" customFormat="false" ht="15" hidden="false" customHeight="false" outlineLevel="0" collapsed="false">
      <c r="A93" s="28"/>
      <c r="B93" s="28"/>
      <c r="C93" s="28"/>
      <c r="D93" s="28"/>
      <c r="E93" s="28"/>
      <c r="F93" s="28"/>
      <c r="G93" s="28"/>
      <c r="H93" s="28"/>
    </row>
    <row r="94" customFormat="false" ht="15" hidden="false" customHeight="false" outlineLevel="0" collapsed="false">
      <c r="A94" s="28"/>
      <c r="B94" s="28"/>
      <c r="C94" s="28"/>
      <c r="D94" s="28"/>
      <c r="E94" s="28"/>
      <c r="F94" s="28"/>
      <c r="G94" s="28"/>
      <c r="H94" s="28"/>
    </row>
    <row r="95" customFormat="false" ht="15" hidden="false" customHeight="false" outlineLevel="0" collapsed="false">
      <c r="A95" s="28"/>
      <c r="B95" s="28"/>
      <c r="C95" s="28"/>
      <c r="D95" s="28"/>
      <c r="E95" s="28"/>
      <c r="F95" s="28"/>
      <c r="G95" s="28"/>
      <c r="H95" s="28"/>
    </row>
    <row r="96" customFormat="false" ht="15" hidden="false" customHeight="false" outlineLevel="0" collapsed="false">
      <c r="A96" s="28"/>
      <c r="B96" s="28"/>
      <c r="C96" s="28"/>
      <c r="D96" s="28"/>
      <c r="E96" s="28"/>
      <c r="F96" s="28"/>
      <c r="G96" s="28"/>
      <c r="H96" s="28"/>
    </row>
    <row r="97" customFormat="false" ht="15" hidden="false" customHeight="false" outlineLevel="0" collapsed="false">
      <c r="A97" s="28"/>
      <c r="B97" s="28"/>
      <c r="C97" s="28"/>
      <c r="D97" s="28"/>
      <c r="E97" s="28"/>
      <c r="F97" s="28"/>
      <c r="G97" s="28"/>
      <c r="H97" s="28"/>
    </row>
    <row r="98" customFormat="false" ht="15" hidden="false" customHeight="false" outlineLevel="0" collapsed="false">
      <c r="A98" s="28"/>
      <c r="B98" s="28"/>
      <c r="C98" s="28"/>
      <c r="D98" s="28"/>
      <c r="E98" s="28"/>
      <c r="F98" s="28"/>
      <c r="G98" s="28"/>
      <c r="H98" s="28"/>
    </row>
    <row r="99" customFormat="false" ht="15" hidden="false" customHeight="false" outlineLevel="0" collapsed="false">
      <c r="A99" s="28"/>
      <c r="B99" s="28"/>
      <c r="C99" s="28"/>
      <c r="D99" s="28"/>
      <c r="E99" s="28"/>
      <c r="F99" s="28"/>
      <c r="G99" s="28"/>
      <c r="H99" s="28"/>
    </row>
    <row r="100" customFormat="false" ht="15" hidden="false" customHeight="false" outlineLevel="0" collapsed="false">
      <c r="A100" s="28"/>
      <c r="B100" s="28"/>
      <c r="C100" s="28"/>
      <c r="D100" s="28"/>
      <c r="E100" s="28"/>
      <c r="F100" s="28"/>
      <c r="G100" s="28"/>
      <c r="H100" s="28"/>
    </row>
    <row r="101" customFormat="false" ht="15" hidden="false" customHeight="false" outlineLevel="0" collapsed="false">
      <c r="A101" s="28"/>
      <c r="B101" s="28"/>
      <c r="C101" s="28"/>
      <c r="D101" s="28"/>
      <c r="E101" s="28"/>
      <c r="F101" s="28"/>
      <c r="G101" s="28"/>
      <c r="H101" s="28"/>
    </row>
    <row r="102" customFormat="false" ht="15" hidden="false" customHeight="false" outlineLevel="0" collapsed="false">
      <c r="A102" s="28"/>
      <c r="B102" s="28"/>
      <c r="C102" s="28"/>
      <c r="D102" s="28"/>
      <c r="E102" s="28"/>
      <c r="F102" s="28"/>
      <c r="G102" s="28"/>
      <c r="H102" s="28"/>
    </row>
    <row r="103" customFormat="false" ht="15" hidden="false" customHeight="false" outlineLevel="0" collapsed="false">
      <c r="A103" s="28"/>
      <c r="B103" s="28"/>
      <c r="C103" s="28"/>
      <c r="D103" s="28"/>
      <c r="E103" s="28"/>
      <c r="F103" s="28"/>
      <c r="G103" s="28"/>
      <c r="H103" s="28"/>
    </row>
    <row r="104" customFormat="false" ht="15" hidden="false" customHeight="false" outlineLevel="0" collapsed="false">
      <c r="A104" s="28"/>
      <c r="B104" s="28"/>
      <c r="C104" s="28"/>
      <c r="D104" s="28"/>
      <c r="E104" s="28"/>
      <c r="F104" s="28"/>
      <c r="G104" s="28"/>
      <c r="H104" s="28"/>
    </row>
    <row r="105" customFormat="false" ht="15" hidden="false" customHeight="false" outlineLevel="0" collapsed="false">
      <c r="A105" s="28"/>
      <c r="B105" s="28"/>
      <c r="C105" s="28"/>
      <c r="D105" s="28"/>
      <c r="E105" s="28"/>
      <c r="F105" s="28"/>
      <c r="G105" s="28"/>
      <c r="H105" s="28"/>
    </row>
    <row r="106" customFormat="false" ht="15" hidden="false" customHeight="false" outlineLevel="0" collapsed="false">
      <c r="A106" s="28"/>
      <c r="B106" s="28"/>
      <c r="C106" s="28"/>
      <c r="D106" s="28"/>
      <c r="E106" s="28"/>
      <c r="F106" s="28"/>
      <c r="G106" s="28"/>
      <c r="H106" s="28"/>
    </row>
    <row r="107" customFormat="false" ht="15" hidden="false" customHeight="false" outlineLevel="0" collapsed="false">
      <c r="A107" s="28"/>
      <c r="B107" s="28"/>
      <c r="C107" s="28"/>
      <c r="D107" s="28"/>
      <c r="E107" s="28"/>
      <c r="F107" s="28"/>
      <c r="G107" s="28"/>
      <c r="H107" s="28"/>
    </row>
    <row r="108" customFormat="false" ht="15" hidden="false" customHeight="false" outlineLevel="0" collapsed="false">
      <c r="A108" s="28"/>
      <c r="B108" s="28"/>
      <c r="C108" s="28"/>
      <c r="D108" s="28"/>
      <c r="E108" s="28"/>
      <c r="F108" s="28"/>
      <c r="G108" s="28"/>
      <c r="H108" s="28"/>
    </row>
    <row r="109" customFormat="false" ht="15" hidden="false" customHeight="false" outlineLevel="0" collapsed="false">
      <c r="A109" s="28"/>
      <c r="B109" s="28"/>
      <c r="C109" s="28"/>
      <c r="D109" s="28"/>
      <c r="E109" s="28"/>
      <c r="F109" s="28"/>
      <c r="G109" s="28"/>
      <c r="H109" s="28"/>
    </row>
    <row r="110" customFormat="false" ht="15" hidden="false" customHeight="false" outlineLevel="0" collapsed="false">
      <c r="A110" s="28"/>
      <c r="B110" s="28"/>
      <c r="C110" s="28"/>
      <c r="D110" s="28"/>
      <c r="E110" s="28"/>
      <c r="F110" s="28"/>
      <c r="G110" s="28"/>
      <c r="H110" s="28"/>
    </row>
    <row r="111" customFormat="false" ht="15" hidden="false" customHeight="false" outlineLevel="0" collapsed="false">
      <c r="A111" s="28"/>
      <c r="B111" s="28"/>
      <c r="C111" s="28"/>
      <c r="D111" s="28"/>
      <c r="E111" s="28"/>
      <c r="F111" s="28"/>
      <c r="G111" s="28"/>
      <c r="H111" s="28"/>
    </row>
    <row r="112" customFormat="false" ht="15" hidden="false" customHeight="false" outlineLevel="0" collapsed="false">
      <c r="A112" s="28"/>
      <c r="B112" s="28"/>
      <c r="C112" s="28"/>
      <c r="D112" s="28"/>
      <c r="E112" s="28"/>
      <c r="F112" s="28"/>
      <c r="G112" s="28"/>
      <c r="H112" s="28"/>
    </row>
    <row r="113" customFormat="false" ht="15" hidden="false" customHeight="false" outlineLevel="0" collapsed="false">
      <c r="A113" s="28"/>
      <c r="B113" s="28"/>
      <c r="C113" s="28"/>
      <c r="D113" s="28"/>
      <c r="E113" s="28"/>
      <c r="F113" s="28"/>
      <c r="G113" s="28"/>
      <c r="H113" s="28"/>
    </row>
    <row r="114" customFormat="false" ht="15" hidden="false" customHeight="false" outlineLevel="0" collapsed="false">
      <c r="A114" s="28"/>
      <c r="B114" s="28"/>
      <c r="C114" s="28"/>
      <c r="D114" s="28"/>
      <c r="E114" s="28"/>
      <c r="F114" s="28"/>
      <c r="G114" s="28"/>
      <c r="H114" s="28"/>
    </row>
    <row r="115" customFormat="false" ht="15" hidden="false" customHeight="false" outlineLevel="0" collapsed="false">
      <c r="A115" s="28"/>
      <c r="B115" s="28"/>
      <c r="C115" s="28"/>
      <c r="D115" s="28"/>
      <c r="E115" s="28"/>
      <c r="F115" s="28"/>
      <c r="G115" s="28"/>
      <c r="H115" s="28"/>
    </row>
    <row r="116" customFormat="false" ht="15" hidden="false" customHeight="false" outlineLevel="0" collapsed="false">
      <c r="A116" s="28"/>
      <c r="B116" s="28"/>
      <c r="C116" s="28"/>
      <c r="D116" s="28"/>
      <c r="E116" s="28"/>
      <c r="F116" s="28"/>
      <c r="G116" s="28"/>
      <c r="H116" s="28"/>
    </row>
    <row r="117" customFormat="false" ht="15" hidden="false" customHeight="false" outlineLevel="0" collapsed="false">
      <c r="A117" s="28"/>
      <c r="B117" s="28"/>
      <c r="C117" s="28"/>
      <c r="D117" s="28"/>
      <c r="E117" s="28"/>
      <c r="F117" s="28"/>
      <c r="G117" s="28"/>
      <c r="H117" s="28"/>
    </row>
    <row r="118" customFormat="false" ht="15" hidden="false" customHeight="false" outlineLevel="0" collapsed="false">
      <c r="A118" s="28"/>
      <c r="B118" s="28"/>
      <c r="C118" s="28"/>
      <c r="D118" s="28"/>
      <c r="E118" s="28"/>
      <c r="F118" s="28"/>
      <c r="G118" s="28"/>
      <c r="H118" s="28"/>
    </row>
    <row r="119" customFormat="false" ht="15" hidden="false" customHeight="false" outlineLevel="0" collapsed="false">
      <c r="A119" s="28"/>
      <c r="B119" s="28"/>
      <c r="C119" s="28"/>
      <c r="D119" s="28"/>
      <c r="E119" s="28"/>
      <c r="F119" s="28"/>
      <c r="G119" s="28"/>
      <c r="H119" s="28"/>
    </row>
    <row r="120" customFormat="false" ht="15" hidden="false" customHeight="false" outlineLevel="0" collapsed="false">
      <c r="A120" s="28"/>
      <c r="B120" s="28"/>
      <c r="C120" s="28"/>
      <c r="D120" s="28"/>
      <c r="E120" s="28"/>
      <c r="F120" s="28"/>
      <c r="G120" s="28"/>
      <c r="H120" s="28"/>
    </row>
    <row r="121" customFormat="false" ht="15" hidden="false" customHeight="false" outlineLevel="0" collapsed="false">
      <c r="A121" s="28"/>
      <c r="B121" s="28"/>
      <c r="C121" s="28"/>
      <c r="D121" s="28"/>
      <c r="E121" s="28"/>
      <c r="F121" s="28"/>
      <c r="G121" s="28"/>
      <c r="H121" s="28"/>
    </row>
    <row r="122" customFormat="false" ht="15" hidden="false" customHeight="false" outlineLevel="0" collapsed="false">
      <c r="A122" s="28"/>
      <c r="B122" s="28"/>
      <c r="C122" s="28"/>
      <c r="D122" s="28"/>
      <c r="E122" s="28"/>
      <c r="F122" s="28"/>
      <c r="G122" s="28"/>
      <c r="H122" s="28"/>
    </row>
    <row r="123" customFormat="false" ht="15" hidden="false" customHeight="false" outlineLevel="0" collapsed="false">
      <c r="A123" s="28"/>
      <c r="B123" s="28"/>
      <c r="C123" s="28"/>
      <c r="D123" s="28"/>
      <c r="E123" s="28"/>
      <c r="F123" s="28"/>
      <c r="G123" s="28"/>
      <c r="H123" s="28"/>
    </row>
    <row r="124" customFormat="false" ht="15" hidden="false" customHeight="false" outlineLevel="0" collapsed="false">
      <c r="A124" s="28"/>
      <c r="B124" s="28"/>
      <c r="C124" s="28"/>
      <c r="D124" s="28"/>
      <c r="E124" s="28"/>
      <c r="F124" s="28"/>
      <c r="G124" s="28"/>
      <c r="H124" s="28"/>
    </row>
    <row r="125" customFormat="false" ht="15" hidden="false" customHeight="false" outlineLevel="0" collapsed="false">
      <c r="A125" s="28"/>
      <c r="B125" s="28"/>
      <c r="C125" s="28"/>
      <c r="D125" s="28"/>
      <c r="E125" s="28"/>
      <c r="F125" s="28"/>
      <c r="G125" s="28"/>
      <c r="H125" s="28"/>
    </row>
    <row r="126" customFormat="false" ht="15" hidden="false" customHeight="false" outlineLevel="0" collapsed="false">
      <c r="A126" s="28"/>
      <c r="B126" s="28"/>
      <c r="C126" s="28"/>
      <c r="D126" s="28"/>
      <c r="E126" s="28"/>
      <c r="F126" s="28"/>
      <c r="G126" s="28"/>
      <c r="H126" s="28"/>
    </row>
    <row r="127" customFormat="false" ht="15" hidden="false" customHeight="false" outlineLevel="0" collapsed="false">
      <c r="A127" s="28"/>
      <c r="B127" s="28"/>
      <c r="C127" s="28"/>
      <c r="D127" s="28"/>
      <c r="E127" s="28"/>
      <c r="F127" s="28"/>
      <c r="G127" s="28"/>
      <c r="H127" s="28"/>
    </row>
    <row r="128" customFormat="false" ht="15" hidden="false" customHeight="false" outlineLevel="0" collapsed="false">
      <c r="A128" s="28"/>
      <c r="B128" s="28"/>
      <c r="C128" s="28"/>
      <c r="D128" s="28"/>
      <c r="E128" s="28"/>
      <c r="F128" s="28"/>
      <c r="G128" s="28"/>
      <c r="H128" s="28"/>
    </row>
    <row r="129" customFormat="false" ht="15" hidden="false" customHeight="false" outlineLevel="0" collapsed="false">
      <c r="A129" s="28"/>
      <c r="B129" s="28"/>
      <c r="C129" s="28"/>
      <c r="D129" s="28"/>
      <c r="E129" s="28"/>
      <c r="F129" s="28"/>
      <c r="G129" s="28"/>
      <c r="H129" s="28"/>
    </row>
    <row r="130" customFormat="false" ht="15" hidden="false" customHeight="false" outlineLevel="0" collapsed="false">
      <c r="A130" s="28"/>
      <c r="B130" s="28"/>
      <c r="C130" s="28"/>
      <c r="D130" s="28"/>
      <c r="E130" s="28"/>
      <c r="F130" s="28"/>
      <c r="G130" s="28"/>
      <c r="H130" s="28"/>
    </row>
    <row r="131" customFormat="false" ht="15" hidden="false" customHeight="false" outlineLevel="0" collapsed="false">
      <c r="A131" s="28"/>
      <c r="B131" s="28"/>
      <c r="C131" s="28"/>
      <c r="D131" s="28"/>
      <c r="E131" s="28"/>
      <c r="F131" s="28"/>
      <c r="G131" s="28"/>
      <c r="H131" s="28"/>
    </row>
    <row r="132" customFormat="false" ht="15" hidden="false" customHeight="false" outlineLevel="0" collapsed="false">
      <c r="A132" s="28"/>
      <c r="B132" s="28"/>
      <c r="C132" s="28"/>
      <c r="D132" s="28"/>
      <c r="E132" s="28"/>
      <c r="F132" s="28"/>
      <c r="G132" s="28"/>
      <c r="H132" s="28"/>
    </row>
    <row r="133" customFormat="false" ht="15" hidden="false" customHeight="false" outlineLevel="0" collapsed="false">
      <c r="A133" s="28"/>
      <c r="B133" s="28"/>
      <c r="C133" s="28"/>
      <c r="D133" s="28"/>
      <c r="E133" s="28"/>
      <c r="F133" s="28"/>
      <c r="G133" s="28"/>
      <c r="H133" s="28"/>
    </row>
    <row r="134" customFormat="false" ht="15" hidden="false" customHeight="false" outlineLevel="0" collapsed="false">
      <c r="A134" s="28"/>
      <c r="B134" s="28"/>
      <c r="C134" s="28"/>
      <c r="D134" s="28"/>
      <c r="E134" s="28"/>
      <c r="F134" s="28"/>
      <c r="G134" s="28"/>
      <c r="H134" s="28"/>
    </row>
    <row r="135" customFormat="false" ht="15" hidden="false" customHeight="false" outlineLevel="0" collapsed="false">
      <c r="A135" s="28"/>
      <c r="B135" s="28"/>
      <c r="C135" s="28"/>
      <c r="D135" s="28"/>
      <c r="E135" s="28"/>
      <c r="F135" s="28"/>
      <c r="G135" s="28"/>
      <c r="H135" s="28"/>
    </row>
    <row r="136" customFormat="false" ht="15" hidden="false" customHeight="false" outlineLevel="0" collapsed="false">
      <c r="A136" s="28"/>
      <c r="B136" s="28"/>
      <c r="C136" s="28"/>
      <c r="D136" s="28"/>
      <c r="E136" s="28"/>
      <c r="F136" s="28"/>
      <c r="G136" s="28"/>
      <c r="H136" s="28"/>
    </row>
    <row r="137" customFormat="false" ht="15" hidden="false" customHeight="false" outlineLevel="0" collapsed="false">
      <c r="A137" s="28"/>
      <c r="B137" s="28"/>
      <c r="C137" s="28"/>
      <c r="D137" s="28"/>
      <c r="E137" s="28"/>
      <c r="F137" s="28"/>
      <c r="G137" s="28"/>
      <c r="H137" s="28"/>
    </row>
    <row r="138" customFormat="false" ht="15" hidden="false" customHeight="false" outlineLevel="0" collapsed="false">
      <c r="A138" s="28"/>
      <c r="B138" s="28"/>
      <c r="C138" s="28"/>
      <c r="D138" s="28"/>
      <c r="E138" s="28"/>
      <c r="F138" s="28"/>
      <c r="G138" s="28"/>
      <c r="H138" s="28"/>
    </row>
    <row r="139" customFormat="false" ht="15" hidden="false" customHeight="false" outlineLevel="0" collapsed="false">
      <c r="A139" s="28"/>
      <c r="B139" s="28"/>
      <c r="C139" s="28"/>
      <c r="D139" s="28"/>
      <c r="E139" s="28"/>
      <c r="F139" s="28"/>
      <c r="G139" s="28"/>
      <c r="H139" s="28"/>
    </row>
    <row r="140" customFormat="false" ht="15" hidden="false" customHeight="false" outlineLevel="0" collapsed="false">
      <c r="A140" s="28"/>
      <c r="B140" s="28"/>
      <c r="C140" s="28"/>
      <c r="D140" s="28"/>
      <c r="E140" s="28"/>
      <c r="F140" s="28"/>
      <c r="G140" s="28"/>
      <c r="H140" s="28"/>
    </row>
    <row r="141" customFormat="false" ht="15" hidden="false" customHeight="false" outlineLevel="0" collapsed="false">
      <c r="A141" s="28"/>
      <c r="B141" s="28"/>
      <c r="C141" s="28"/>
      <c r="D141" s="28"/>
      <c r="E141" s="28"/>
      <c r="F141" s="28"/>
      <c r="G141" s="28"/>
      <c r="H141" s="28"/>
    </row>
    <row r="142" customFormat="false" ht="15" hidden="false" customHeight="false" outlineLevel="0" collapsed="false">
      <c r="A142" s="28"/>
      <c r="B142" s="28"/>
      <c r="C142" s="28"/>
      <c r="D142" s="28"/>
      <c r="E142" s="28"/>
      <c r="F142" s="28"/>
      <c r="G142" s="28"/>
      <c r="H142" s="28"/>
    </row>
    <row r="143" customFormat="false" ht="15" hidden="false" customHeight="false" outlineLevel="0" collapsed="false">
      <c r="A143" s="28"/>
      <c r="B143" s="28"/>
      <c r="C143" s="28"/>
      <c r="D143" s="28"/>
      <c r="E143" s="28"/>
      <c r="F143" s="28"/>
      <c r="G143" s="28"/>
      <c r="H143" s="28"/>
    </row>
    <row r="144" customFormat="false" ht="15" hidden="false" customHeight="false" outlineLevel="0" collapsed="false">
      <c r="A144" s="28"/>
      <c r="B144" s="28"/>
      <c r="C144" s="28"/>
      <c r="D144" s="28"/>
      <c r="E144" s="28"/>
      <c r="F144" s="28"/>
      <c r="G144" s="28"/>
      <c r="H144" s="28"/>
    </row>
    <row r="145" customFormat="false" ht="15" hidden="false" customHeight="false" outlineLevel="0" collapsed="false">
      <c r="A145" s="28"/>
      <c r="B145" s="28"/>
      <c r="C145" s="28"/>
      <c r="D145" s="28"/>
      <c r="E145" s="28"/>
      <c r="F145" s="28"/>
      <c r="G145" s="28"/>
      <c r="H145" s="28"/>
    </row>
    <row r="146" customFormat="false" ht="15" hidden="false" customHeight="false" outlineLevel="0" collapsed="false">
      <c r="A146" s="28"/>
      <c r="B146" s="28"/>
      <c r="C146" s="28"/>
      <c r="D146" s="28"/>
      <c r="E146" s="28"/>
      <c r="F146" s="28"/>
      <c r="G146" s="28"/>
      <c r="H146" s="28"/>
    </row>
    <row r="147" customFormat="false" ht="15" hidden="false" customHeight="false" outlineLevel="0" collapsed="false">
      <c r="A147" s="28"/>
      <c r="B147" s="28"/>
      <c r="C147" s="28"/>
      <c r="D147" s="28"/>
      <c r="E147" s="28"/>
      <c r="F147" s="28"/>
      <c r="G147" s="28"/>
      <c r="H147" s="28"/>
    </row>
    <row r="148" customFormat="false" ht="15" hidden="false" customHeight="false" outlineLevel="0" collapsed="false">
      <c r="A148" s="28"/>
      <c r="B148" s="28"/>
      <c r="C148" s="28"/>
      <c r="D148" s="28"/>
      <c r="E148" s="28"/>
      <c r="F148" s="28"/>
      <c r="G148" s="28"/>
      <c r="H148" s="28"/>
    </row>
    <row r="149" customFormat="false" ht="15" hidden="false" customHeight="false" outlineLevel="0" collapsed="false">
      <c r="A149" s="28"/>
      <c r="B149" s="28"/>
      <c r="C149" s="28"/>
      <c r="D149" s="28"/>
      <c r="E149" s="28"/>
      <c r="F149" s="28"/>
      <c r="G149" s="28"/>
      <c r="H149" s="28"/>
    </row>
    <row r="150" customFormat="false" ht="15" hidden="false" customHeight="false" outlineLevel="0" collapsed="false">
      <c r="A150" s="28"/>
      <c r="B150" s="28"/>
      <c r="C150" s="28"/>
      <c r="D150" s="28"/>
      <c r="E150" s="28"/>
      <c r="F150" s="28"/>
      <c r="G150" s="28"/>
      <c r="H150" s="28"/>
    </row>
    <row r="151" customFormat="false" ht="15" hidden="false" customHeight="false" outlineLevel="0" collapsed="false">
      <c r="A151" s="28"/>
      <c r="B151" s="28"/>
      <c r="C151" s="28"/>
      <c r="D151" s="28"/>
      <c r="E151" s="28"/>
      <c r="F151" s="28"/>
      <c r="G151" s="28"/>
      <c r="H151" s="28"/>
    </row>
    <row r="152" customFormat="false" ht="15" hidden="false" customHeight="false" outlineLevel="0" collapsed="false">
      <c r="A152" s="28"/>
      <c r="B152" s="28"/>
      <c r="C152" s="28"/>
      <c r="D152" s="28"/>
      <c r="E152" s="28"/>
      <c r="F152" s="28"/>
      <c r="G152" s="28"/>
      <c r="H152" s="28"/>
    </row>
    <row r="153" customFormat="false" ht="15" hidden="false" customHeight="false" outlineLevel="0" collapsed="false">
      <c r="A153" s="28"/>
      <c r="B153" s="28"/>
      <c r="C153" s="28"/>
      <c r="D153" s="28"/>
      <c r="E153" s="28"/>
      <c r="F153" s="28"/>
      <c r="G153" s="28"/>
      <c r="H153" s="28"/>
    </row>
    <row r="154" customFormat="false" ht="15" hidden="false" customHeight="false" outlineLevel="0" collapsed="false">
      <c r="A154" s="28"/>
      <c r="B154" s="28"/>
      <c r="C154" s="28"/>
      <c r="D154" s="28"/>
      <c r="E154" s="28"/>
      <c r="F154" s="28"/>
      <c r="G154" s="28"/>
      <c r="H154" s="28"/>
    </row>
    <row r="155" customFormat="false" ht="15" hidden="false" customHeight="false" outlineLevel="0" collapsed="false">
      <c r="A155" s="28"/>
      <c r="B155" s="28"/>
      <c r="C155" s="28"/>
      <c r="D155" s="28"/>
      <c r="E155" s="28"/>
      <c r="F155" s="28"/>
      <c r="G155" s="28"/>
      <c r="H155" s="28"/>
    </row>
    <row r="156" customFormat="false" ht="15" hidden="false" customHeight="false" outlineLevel="0" collapsed="false">
      <c r="A156" s="28"/>
      <c r="B156" s="28"/>
      <c r="C156" s="28"/>
      <c r="D156" s="28"/>
      <c r="E156" s="28"/>
      <c r="F156" s="28"/>
      <c r="G156" s="28"/>
      <c r="H156" s="28"/>
    </row>
    <row r="157" customFormat="false" ht="15" hidden="false" customHeight="false" outlineLevel="0" collapsed="false">
      <c r="A157" s="28"/>
      <c r="B157" s="28"/>
      <c r="C157" s="28"/>
      <c r="D157" s="28"/>
      <c r="E157" s="28"/>
      <c r="F157" s="28"/>
      <c r="G157" s="28"/>
      <c r="H157" s="28"/>
    </row>
    <row r="158" customFormat="false" ht="15" hidden="false" customHeight="false" outlineLevel="0" collapsed="false">
      <c r="A158" s="28"/>
      <c r="B158" s="28"/>
      <c r="C158" s="28"/>
      <c r="D158" s="28"/>
      <c r="E158" s="28"/>
      <c r="F158" s="28"/>
      <c r="G158" s="28"/>
      <c r="H158" s="28"/>
    </row>
    <row r="159" customFormat="false" ht="15" hidden="false" customHeight="false" outlineLevel="0" collapsed="false">
      <c r="A159" s="28"/>
      <c r="B159" s="28"/>
      <c r="C159" s="28"/>
      <c r="D159" s="28"/>
      <c r="E159" s="28"/>
      <c r="F159" s="28"/>
      <c r="G159" s="28"/>
      <c r="H159" s="28"/>
    </row>
    <row r="160" customFormat="false" ht="15" hidden="false" customHeight="false" outlineLevel="0" collapsed="false">
      <c r="A160" s="28"/>
      <c r="B160" s="28"/>
      <c r="C160" s="28"/>
      <c r="D160" s="28"/>
      <c r="E160" s="28"/>
      <c r="F160" s="28"/>
      <c r="G160" s="28"/>
      <c r="H160" s="28"/>
    </row>
    <row r="161" customFormat="false" ht="15" hidden="false" customHeight="false" outlineLevel="0" collapsed="false">
      <c r="A161" s="28"/>
      <c r="B161" s="28"/>
      <c r="C161" s="28"/>
      <c r="D161" s="28"/>
      <c r="E161" s="28"/>
      <c r="F161" s="28"/>
      <c r="G161" s="28"/>
      <c r="H161" s="28"/>
    </row>
    <row r="162" customFormat="false" ht="15" hidden="false" customHeight="false" outlineLevel="0" collapsed="false">
      <c r="A162" s="28"/>
      <c r="B162" s="28"/>
      <c r="C162" s="28"/>
      <c r="D162" s="28"/>
      <c r="E162" s="28"/>
      <c r="F162" s="28"/>
      <c r="G162" s="28"/>
      <c r="H162" s="28"/>
    </row>
    <row r="163" customFormat="false" ht="15" hidden="false" customHeight="false" outlineLevel="0" collapsed="false">
      <c r="A163" s="28"/>
      <c r="B163" s="28"/>
      <c r="C163" s="28"/>
      <c r="D163" s="28"/>
      <c r="E163" s="28"/>
      <c r="F163" s="28"/>
      <c r="G163" s="28"/>
      <c r="H163" s="28"/>
    </row>
    <row r="164" customFormat="false" ht="15" hidden="false" customHeight="false" outlineLevel="0" collapsed="false">
      <c r="A164" s="28"/>
      <c r="B164" s="28"/>
      <c r="C164" s="28"/>
      <c r="D164" s="28"/>
      <c r="E164" s="28"/>
      <c r="F164" s="28"/>
      <c r="G164" s="28"/>
      <c r="H164" s="28"/>
    </row>
    <row r="165" customFormat="false" ht="15" hidden="false" customHeight="false" outlineLevel="0" collapsed="false">
      <c r="A165" s="28"/>
      <c r="B165" s="28"/>
      <c r="C165" s="28"/>
      <c r="D165" s="28"/>
      <c r="E165" s="28"/>
      <c r="F165" s="28"/>
      <c r="G165" s="28"/>
      <c r="H165" s="28"/>
    </row>
    <row r="166" customFormat="false" ht="15" hidden="false" customHeight="false" outlineLevel="0" collapsed="false">
      <c r="A166" s="28"/>
      <c r="B166" s="28"/>
      <c r="C166" s="28"/>
      <c r="D166" s="28"/>
      <c r="E166" s="28"/>
      <c r="F166" s="28"/>
      <c r="G166" s="28"/>
      <c r="H166" s="28"/>
    </row>
    <row r="167" customFormat="false" ht="15" hidden="false" customHeight="false" outlineLevel="0" collapsed="false">
      <c r="A167" s="28"/>
      <c r="B167" s="28"/>
      <c r="C167" s="28"/>
      <c r="D167" s="28"/>
      <c r="E167" s="28"/>
      <c r="F167" s="28"/>
      <c r="G167" s="28"/>
      <c r="H167" s="28"/>
    </row>
    <row r="168" customFormat="false" ht="15" hidden="false" customHeight="false" outlineLevel="0" collapsed="false">
      <c r="A168" s="28"/>
      <c r="B168" s="28"/>
      <c r="C168" s="28"/>
      <c r="D168" s="28"/>
      <c r="E168" s="28"/>
      <c r="F168" s="28"/>
      <c r="G168" s="28"/>
      <c r="H168" s="28"/>
    </row>
    <row r="169" customFormat="false" ht="15" hidden="false" customHeight="false" outlineLevel="0" collapsed="false">
      <c r="A169" s="28"/>
      <c r="B169" s="28"/>
      <c r="C169" s="28"/>
      <c r="D169" s="28"/>
      <c r="E169" s="28"/>
      <c r="F169" s="28"/>
      <c r="G169" s="28"/>
      <c r="H169" s="28"/>
    </row>
    <row r="170" customFormat="false" ht="15" hidden="false" customHeight="false" outlineLevel="0" collapsed="false">
      <c r="A170" s="28"/>
      <c r="B170" s="28"/>
      <c r="C170" s="28"/>
      <c r="D170" s="28"/>
      <c r="E170" s="28"/>
      <c r="F170" s="28"/>
      <c r="G170" s="28"/>
      <c r="H170" s="28"/>
    </row>
    <row r="171" customFormat="false" ht="15" hidden="false" customHeight="false" outlineLevel="0" collapsed="false">
      <c r="A171" s="28"/>
      <c r="B171" s="28"/>
      <c r="C171" s="28"/>
      <c r="D171" s="28"/>
      <c r="E171" s="28"/>
      <c r="F171" s="28"/>
      <c r="G171" s="28"/>
      <c r="H171" s="28"/>
    </row>
    <row r="172" customFormat="false" ht="15" hidden="false" customHeight="false" outlineLevel="0" collapsed="false">
      <c r="A172" s="28"/>
      <c r="B172" s="28"/>
      <c r="C172" s="28"/>
      <c r="D172" s="28"/>
      <c r="E172" s="28"/>
      <c r="F172" s="28"/>
      <c r="G172" s="28"/>
      <c r="H172" s="28"/>
    </row>
    <row r="173" customFormat="false" ht="15" hidden="false" customHeight="false" outlineLevel="0" collapsed="false">
      <c r="A173" s="28"/>
      <c r="B173" s="28"/>
      <c r="C173" s="28"/>
      <c r="D173" s="28"/>
      <c r="E173" s="28"/>
      <c r="F173" s="28"/>
      <c r="G173" s="28"/>
      <c r="H173" s="28"/>
    </row>
    <row r="174" customFormat="false" ht="15" hidden="false" customHeight="false" outlineLevel="0" collapsed="false">
      <c r="A174" s="28"/>
      <c r="B174" s="28"/>
      <c r="C174" s="28"/>
      <c r="D174" s="28"/>
      <c r="E174" s="28"/>
      <c r="F174" s="28"/>
      <c r="G174" s="28"/>
      <c r="H174" s="28"/>
    </row>
    <row r="175" customFormat="false" ht="15" hidden="false" customHeight="false" outlineLevel="0" collapsed="false">
      <c r="A175" s="28"/>
      <c r="B175" s="28"/>
      <c r="C175" s="28"/>
      <c r="D175" s="28"/>
      <c r="E175" s="28"/>
      <c r="F175" s="28"/>
      <c r="G175" s="28"/>
      <c r="H175" s="28"/>
    </row>
    <row r="176" customFormat="false" ht="15" hidden="false" customHeight="false" outlineLevel="0" collapsed="false">
      <c r="A176" s="28"/>
      <c r="B176" s="28"/>
      <c r="C176" s="28"/>
      <c r="D176" s="28"/>
      <c r="E176" s="28"/>
      <c r="F176" s="28"/>
      <c r="G176" s="28"/>
      <c r="H176" s="28"/>
    </row>
    <row r="177" customFormat="false" ht="15" hidden="false" customHeight="false" outlineLevel="0" collapsed="false">
      <c r="A177" s="28"/>
      <c r="B177" s="28"/>
      <c r="C177" s="28"/>
      <c r="D177" s="28"/>
      <c r="E177" s="28"/>
      <c r="F177" s="28"/>
      <c r="G177" s="28"/>
      <c r="H177" s="28"/>
    </row>
    <row r="178" customFormat="false" ht="15" hidden="false" customHeight="false" outlineLevel="0" collapsed="false">
      <c r="A178" s="28"/>
      <c r="B178" s="28"/>
      <c r="C178" s="28"/>
      <c r="D178" s="28"/>
      <c r="E178" s="28"/>
      <c r="F178" s="28"/>
      <c r="G178" s="28"/>
      <c r="H178" s="28"/>
    </row>
    <row r="179" customFormat="false" ht="15" hidden="false" customHeight="false" outlineLevel="0" collapsed="false">
      <c r="A179" s="28"/>
      <c r="B179" s="28"/>
      <c r="C179" s="28"/>
      <c r="D179" s="28"/>
      <c r="E179" s="28"/>
      <c r="F179" s="28"/>
      <c r="G179" s="28"/>
      <c r="H179" s="28"/>
    </row>
    <row r="180" customFormat="false" ht="15" hidden="false" customHeight="false" outlineLevel="0" collapsed="false">
      <c r="A180" s="28"/>
      <c r="B180" s="28"/>
      <c r="C180" s="28"/>
      <c r="D180" s="28"/>
      <c r="E180" s="28"/>
      <c r="F180" s="28"/>
      <c r="G180" s="28"/>
      <c r="H180" s="28"/>
    </row>
    <row r="181" customFormat="false" ht="15" hidden="false" customHeight="false" outlineLevel="0" collapsed="false">
      <c r="A181" s="28"/>
      <c r="B181" s="28"/>
      <c r="C181" s="28"/>
      <c r="D181" s="28"/>
      <c r="E181" s="28"/>
      <c r="F181" s="28"/>
      <c r="G181" s="28"/>
      <c r="H181" s="28"/>
    </row>
    <row r="182" customFormat="false" ht="15" hidden="false" customHeight="false" outlineLevel="0" collapsed="false">
      <c r="A182" s="28"/>
      <c r="B182" s="28"/>
      <c r="C182" s="28"/>
      <c r="D182" s="28"/>
      <c r="E182" s="28"/>
      <c r="F182" s="28"/>
      <c r="G182" s="28"/>
      <c r="H182" s="28"/>
    </row>
    <row r="183" customFormat="false" ht="15" hidden="false" customHeight="false" outlineLevel="0" collapsed="false">
      <c r="A183" s="28"/>
      <c r="B183" s="28"/>
      <c r="C183" s="28"/>
      <c r="D183" s="28"/>
      <c r="E183" s="28"/>
      <c r="F183" s="28"/>
      <c r="G183" s="28"/>
      <c r="H183" s="28"/>
    </row>
    <row r="184" customFormat="false" ht="15" hidden="false" customHeight="false" outlineLevel="0" collapsed="false">
      <c r="A184" s="28"/>
      <c r="B184" s="28"/>
      <c r="C184" s="28"/>
      <c r="D184" s="28"/>
      <c r="E184" s="28"/>
      <c r="F184" s="28"/>
      <c r="G184" s="28"/>
      <c r="H184" s="28"/>
    </row>
    <row r="185" customFormat="false" ht="15" hidden="false" customHeight="false" outlineLevel="0" collapsed="false">
      <c r="A185" s="28"/>
      <c r="B185" s="28"/>
      <c r="C185" s="28"/>
      <c r="D185" s="28"/>
      <c r="E185" s="28"/>
      <c r="F185" s="28"/>
      <c r="G185" s="28"/>
      <c r="H185" s="28"/>
    </row>
    <row r="186" customFormat="false" ht="15" hidden="false" customHeight="false" outlineLevel="0" collapsed="false">
      <c r="A186" s="28"/>
      <c r="B186" s="28"/>
      <c r="C186" s="28"/>
      <c r="D186" s="28"/>
      <c r="E186" s="28"/>
      <c r="F186" s="28"/>
      <c r="G186" s="28"/>
      <c r="H186" s="28"/>
    </row>
    <row r="187" customFormat="false" ht="15" hidden="false" customHeight="false" outlineLevel="0" collapsed="false">
      <c r="A187" s="28"/>
      <c r="B187" s="28"/>
      <c r="C187" s="28"/>
      <c r="D187" s="28"/>
      <c r="E187" s="28"/>
      <c r="F187" s="28"/>
      <c r="G187" s="28"/>
      <c r="H187" s="28"/>
    </row>
    <row r="188" customFormat="false" ht="15" hidden="false" customHeight="false" outlineLevel="0" collapsed="false">
      <c r="A188" s="28"/>
      <c r="B188" s="28"/>
      <c r="C188" s="28"/>
      <c r="D188" s="28"/>
      <c r="E188" s="28"/>
      <c r="F188" s="28"/>
      <c r="G188" s="28"/>
      <c r="H188" s="28"/>
    </row>
    <row r="189" customFormat="false" ht="15" hidden="false" customHeight="false" outlineLevel="0" collapsed="false">
      <c r="A189" s="28"/>
      <c r="B189" s="28"/>
      <c r="C189" s="28"/>
      <c r="D189" s="28"/>
      <c r="E189" s="28"/>
      <c r="F189" s="28"/>
      <c r="G189" s="28"/>
      <c r="H189" s="28"/>
    </row>
    <row r="190" customFormat="false" ht="15" hidden="false" customHeight="false" outlineLevel="0" collapsed="false">
      <c r="A190" s="28"/>
      <c r="B190" s="28"/>
      <c r="C190" s="28"/>
      <c r="D190" s="28"/>
      <c r="E190" s="28"/>
      <c r="F190" s="28"/>
      <c r="G190" s="28"/>
      <c r="H190" s="28"/>
    </row>
    <row r="191" customFormat="false" ht="15" hidden="false" customHeight="false" outlineLevel="0" collapsed="false">
      <c r="A191" s="28"/>
      <c r="B191" s="28"/>
      <c r="C191" s="28"/>
      <c r="D191" s="28"/>
      <c r="E191" s="28"/>
      <c r="F191" s="28"/>
      <c r="G191" s="28"/>
      <c r="H191" s="28"/>
    </row>
    <row r="192" customFormat="false" ht="15" hidden="false" customHeight="false" outlineLevel="0" collapsed="false">
      <c r="A192" s="28"/>
      <c r="B192" s="28"/>
      <c r="C192" s="28"/>
      <c r="D192" s="28"/>
      <c r="E192" s="28"/>
      <c r="F192" s="28"/>
      <c r="G192" s="28"/>
      <c r="H192" s="28"/>
    </row>
    <row r="193" customFormat="false" ht="15" hidden="false" customHeight="false" outlineLevel="0" collapsed="false">
      <c r="A193" s="28"/>
      <c r="B193" s="28"/>
      <c r="C193" s="28"/>
      <c r="D193" s="28"/>
      <c r="E193" s="28"/>
      <c r="F193" s="28"/>
      <c r="G193" s="28"/>
      <c r="H193" s="28"/>
    </row>
    <row r="194" customFormat="false" ht="15" hidden="false" customHeight="false" outlineLevel="0" collapsed="false">
      <c r="A194" s="28"/>
      <c r="B194" s="28"/>
      <c r="C194" s="28"/>
      <c r="D194" s="28"/>
      <c r="E194" s="28"/>
      <c r="F194" s="28"/>
      <c r="G194" s="28"/>
      <c r="H194" s="28"/>
    </row>
    <row r="195" customFormat="false" ht="15" hidden="false" customHeight="false" outlineLevel="0" collapsed="false">
      <c r="A195" s="28"/>
      <c r="B195" s="28"/>
      <c r="C195" s="28"/>
      <c r="D195" s="28"/>
      <c r="E195" s="28"/>
      <c r="F195" s="28"/>
      <c r="G195" s="28"/>
      <c r="H195" s="28"/>
    </row>
    <row r="196" customFormat="false" ht="15" hidden="false" customHeight="false" outlineLevel="0" collapsed="false">
      <c r="A196" s="28"/>
      <c r="B196" s="28"/>
      <c r="C196" s="28"/>
      <c r="D196" s="28"/>
      <c r="E196" s="28"/>
      <c r="F196" s="28"/>
      <c r="G196" s="28"/>
      <c r="H196" s="28"/>
    </row>
    <row r="197" customFormat="false" ht="15" hidden="false" customHeight="false" outlineLevel="0" collapsed="false">
      <c r="A197" s="28"/>
      <c r="B197" s="28"/>
      <c r="C197" s="28"/>
      <c r="D197" s="28"/>
      <c r="E197" s="28"/>
      <c r="F197" s="28"/>
      <c r="G197" s="28"/>
      <c r="H197" s="28"/>
    </row>
    <row r="198" customFormat="false" ht="15" hidden="false" customHeight="false" outlineLevel="0" collapsed="false">
      <c r="A198" s="28"/>
      <c r="B198" s="28"/>
      <c r="C198" s="28"/>
      <c r="D198" s="28"/>
      <c r="E198" s="28"/>
      <c r="F198" s="28"/>
      <c r="G198" s="28"/>
      <c r="H198" s="28"/>
    </row>
    <row r="199" customFormat="false" ht="15" hidden="false" customHeight="false" outlineLevel="0" collapsed="false">
      <c r="A199" s="28"/>
      <c r="B199" s="28"/>
      <c r="C199" s="28"/>
      <c r="D199" s="28"/>
      <c r="E199" s="28"/>
      <c r="F199" s="28"/>
      <c r="G199" s="28"/>
      <c r="H199" s="28"/>
    </row>
    <row r="200" customFormat="false" ht="15" hidden="false" customHeight="false" outlineLevel="0" collapsed="false">
      <c r="A200" s="28"/>
      <c r="B200" s="28"/>
      <c r="C200" s="28"/>
      <c r="D200" s="28"/>
      <c r="E200" s="28"/>
      <c r="F200" s="28"/>
      <c r="G200" s="28"/>
      <c r="H200" s="28"/>
    </row>
    <row r="201" customFormat="false" ht="15" hidden="false" customHeight="false" outlineLevel="0" collapsed="false">
      <c r="A201" s="28"/>
      <c r="B201" s="28"/>
      <c r="C201" s="28"/>
      <c r="D201" s="28"/>
      <c r="E201" s="28"/>
      <c r="F201" s="28"/>
      <c r="G201" s="28"/>
      <c r="H201" s="2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7" min="2" style="0" width="44"/>
  </cols>
  <sheetData>
    <row r="1" customFormat="false" ht="31.5" hidden="false" customHeight="true" outlineLevel="0" collapsed="false">
      <c r="A1" s="27" t="s">
        <v>181</v>
      </c>
      <c r="B1" s="27" t="s">
        <v>182</v>
      </c>
      <c r="C1" s="27" t="s">
        <v>183</v>
      </c>
      <c r="D1" s="27" t="s">
        <v>184</v>
      </c>
      <c r="E1" s="27" t="s">
        <v>185</v>
      </c>
      <c r="F1" s="27" t="s">
        <v>186</v>
      </c>
      <c r="G1" s="27" t="s">
        <v>187</v>
      </c>
    </row>
    <row r="2" customFormat="false" ht="15" hidden="false" customHeight="false" outlineLevel="0" collapsed="false">
      <c r="A2" s="28" t="s">
        <v>188</v>
      </c>
      <c r="B2" s="28" t="s">
        <v>189</v>
      </c>
      <c r="C2" s="28" t="s">
        <v>165</v>
      </c>
      <c r="D2" s="28" t="s">
        <v>160</v>
      </c>
      <c r="E2" s="28" t="s">
        <v>139</v>
      </c>
      <c r="F2" s="28" t="s">
        <v>190</v>
      </c>
      <c r="G2" s="28" t="s">
        <v>96</v>
      </c>
    </row>
    <row r="3" customFormat="false" ht="15" hidden="false" customHeight="false" outlineLevel="0" collapsed="false">
      <c r="A3" s="28"/>
      <c r="B3" s="28"/>
      <c r="C3" s="28"/>
      <c r="D3" s="28"/>
      <c r="E3" s="28"/>
      <c r="F3" s="28"/>
      <c r="G3" s="28"/>
    </row>
    <row r="4" customFormat="false" ht="15" hidden="false" customHeight="false" outlineLevel="0" collapsed="false">
      <c r="A4" s="28"/>
      <c r="B4" s="28"/>
      <c r="C4" s="28"/>
      <c r="D4" s="28"/>
      <c r="E4" s="28"/>
      <c r="F4" s="28"/>
      <c r="G4" s="28"/>
    </row>
    <row r="5" customFormat="false" ht="15" hidden="false" customHeight="false" outlineLevel="0" collapsed="false">
      <c r="A5" s="28"/>
      <c r="B5" s="28"/>
      <c r="C5" s="28"/>
      <c r="D5" s="28"/>
      <c r="E5" s="28"/>
      <c r="F5" s="28"/>
      <c r="G5" s="28"/>
    </row>
    <row r="6" customFormat="false" ht="15" hidden="false" customHeight="false" outlineLevel="0" collapsed="false">
      <c r="A6" s="28"/>
      <c r="B6" s="28"/>
      <c r="C6" s="28"/>
      <c r="D6" s="28"/>
      <c r="E6" s="28"/>
      <c r="F6" s="28"/>
      <c r="G6" s="28"/>
    </row>
    <row r="7" customFormat="false" ht="15" hidden="false" customHeight="false" outlineLevel="0" collapsed="false">
      <c r="A7" s="28"/>
      <c r="B7" s="28"/>
      <c r="C7" s="28"/>
      <c r="D7" s="28"/>
      <c r="E7" s="28"/>
      <c r="F7" s="28"/>
      <c r="G7" s="28"/>
    </row>
    <row r="8" customFormat="false" ht="15" hidden="false" customHeight="false" outlineLevel="0" collapsed="false">
      <c r="A8" s="28"/>
      <c r="B8" s="28"/>
      <c r="C8" s="28"/>
      <c r="D8" s="28"/>
      <c r="E8" s="28"/>
      <c r="F8" s="28"/>
      <c r="G8" s="28"/>
    </row>
    <row r="9" customFormat="false" ht="15" hidden="false" customHeight="false" outlineLevel="0" collapsed="false">
      <c r="A9" s="28"/>
      <c r="B9" s="28"/>
      <c r="C9" s="28"/>
      <c r="D9" s="28"/>
      <c r="E9" s="28"/>
      <c r="F9" s="28"/>
      <c r="G9" s="28"/>
    </row>
    <row r="10" customFormat="false" ht="15" hidden="false" customHeight="false" outlineLevel="0" collapsed="false">
      <c r="A10" s="28"/>
      <c r="B10" s="28"/>
      <c r="C10" s="28"/>
      <c r="D10" s="28"/>
      <c r="E10" s="28"/>
      <c r="F10" s="28"/>
      <c r="G10" s="28"/>
    </row>
    <row r="11" customFormat="false" ht="15" hidden="false" customHeight="false" outlineLevel="0" collapsed="false">
      <c r="A11" s="28"/>
      <c r="B11" s="28"/>
      <c r="C11" s="28"/>
      <c r="D11" s="28"/>
      <c r="E11" s="28"/>
      <c r="F11" s="28"/>
      <c r="G11" s="28"/>
    </row>
    <row r="12" customFormat="false" ht="15" hidden="false" customHeight="false" outlineLevel="0" collapsed="false">
      <c r="A12" s="28"/>
      <c r="B12" s="28"/>
      <c r="C12" s="28"/>
      <c r="D12" s="28"/>
      <c r="E12" s="28"/>
      <c r="F12" s="28"/>
      <c r="G12" s="28"/>
    </row>
    <row r="13" customFormat="false" ht="15" hidden="false" customHeight="false" outlineLevel="0" collapsed="false">
      <c r="A13" s="28"/>
      <c r="B13" s="28"/>
      <c r="C13" s="28"/>
      <c r="D13" s="28"/>
      <c r="E13" s="28"/>
      <c r="F13" s="28"/>
      <c r="G13" s="28"/>
    </row>
    <row r="14" customFormat="false" ht="15" hidden="false" customHeight="false" outlineLevel="0" collapsed="false">
      <c r="A14" s="28"/>
      <c r="B14" s="28"/>
      <c r="C14" s="28"/>
      <c r="D14" s="28"/>
      <c r="E14" s="28"/>
      <c r="F14" s="28"/>
      <c r="G14" s="28"/>
    </row>
    <row r="15" customFormat="false" ht="15" hidden="false" customHeight="false" outlineLevel="0" collapsed="false">
      <c r="A15" s="28"/>
      <c r="B15" s="28"/>
      <c r="C15" s="28"/>
      <c r="D15" s="28"/>
      <c r="E15" s="28"/>
      <c r="F15" s="28"/>
      <c r="G15" s="28"/>
    </row>
    <row r="16" customFormat="false" ht="15" hidden="false" customHeight="false" outlineLevel="0" collapsed="false">
      <c r="A16" s="28"/>
      <c r="B16" s="28"/>
      <c r="C16" s="28"/>
      <c r="D16" s="28"/>
      <c r="E16" s="28"/>
      <c r="F16" s="28"/>
      <c r="G16" s="28"/>
    </row>
    <row r="17" customFormat="false" ht="15" hidden="false" customHeight="false" outlineLevel="0" collapsed="false">
      <c r="A17" s="28"/>
      <c r="B17" s="28"/>
      <c r="C17" s="28"/>
      <c r="D17" s="28"/>
      <c r="E17" s="28"/>
      <c r="F17" s="28"/>
      <c r="G17" s="28"/>
    </row>
    <row r="18" customFormat="false" ht="15" hidden="false" customHeight="false" outlineLevel="0" collapsed="false">
      <c r="A18" s="28"/>
      <c r="B18" s="28"/>
      <c r="C18" s="28"/>
      <c r="D18" s="28"/>
      <c r="E18" s="28"/>
      <c r="F18" s="28"/>
      <c r="G18" s="28"/>
    </row>
    <row r="19" customFormat="false" ht="15" hidden="false" customHeight="false" outlineLevel="0" collapsed="false">
      <c r="A19" s="28"/>
      <c r="B19" s="28"/>
      <c r="C19" s="28"/>
      <c r="D19" s="28"/>
      <c r="E19" s="28"/>
      <c r="F19" s="28"/>
      <c r="G19" s="28"/>
    </row>
    <row r="20" customFormat="false" ht="15" hidden="false" customHeight="false" outlineLevel="0" collapsed="false">
      <c r="A20" s="28"/>
      <c r="B20" s="28"/>
      <c r="C20" s="28"/>
      <c r="D20" s="28"/>
      <c r="E20" s="28"/>
      <c r="F20" s="28"/>
      <c r="G20" s="28"/>
    </row>
    <row r="21" customFormat="false" ht="15" hidden="false" customHeight="false" outlineLevel="0" collapsed="false">
      <c r="A21" s="28"/>
      <c r="B21" s="28"/>
      <c r="C21" s="28"/>
      <c r="D21" s="28"/>
      <c r="E21" s="28"/>
      <c r="F21" s="28"/>
      <c r="G21" s="28"/>
    </row>
    <row r="22" customFormat="false" ht="15" hidden="false" customHeight="false" outlineLevel="0" collapsed="false">
      <c r="A22" s="28"/>
      <c r="B22" s="28"/>
      <c r="C22" s="28"/>
      <c r="D22" s="28"/>
      <c r="E22" s="28"/>
      <c r="F22" s="28"/>
      <c r="G22" s="28"/>
    </row>
    <row r="23" customFormat="false" ht="15" hidden="false" customHeight="false" outlineLevel="0" collapsed="false">
      <c r="A23" s="28"/>
      <c r="B23" s="28"/>
      <c r="C23" s="28"/>
      <c r="D23" s="28"/>
      <c r="E23" s="28"/>
      <c r="F23" s="28"/>
      <c r="G23" s="28"/>
    </row>
    <row r="24" customFormat="false" ht="15" hidden="false" customHeight="false" outlineLevel="0" collapsed="false">
      <c r="A24" s="28"/>
      <c r="B24" s="28"/>
      <c r="C24" s="28"/>
      <c r="D24" s="28"/>
      <c r="E24" s="28"/>
      <c r="F24" s="28"/>
      <c r="G24" s="28"/>
    </row>
    <row r="25" customFormat="false" ht="15" hidden="false" customHeight="false" outlineLevel="0" collapsed="false">
      <c r="A25" s="28"/>
      <c r="B25" s="28"/>
      <c r="C25" s="28"/>
      <c r="D25" s="28"/>
      <c r="E25" s="28"/>
      <c r="F25" s="28"/>
      <c r="G25" s="28"/>
    </row>
    <row r="26" customFormat="false" ht="15" hidden="false" customHeight="false" outlineLevel="0" collapsed="false">
      <c r="A26" s="28"/>
      <c r="B26" s="28"/>
      <c r="C26" s="28"/>
      <c r="D26" s="28"/>
      <c r="E26" s="28"/>
      <c r="F26" s="28"/>
      <c r="G26" s="28"/>
    </row>
    <row r="27" customFormat="false" ht="15" hidden="false" customHeight="false" outlineLevel="0" collapsed="false">
      <c r="A27" s="28"/>
      <c r="B27" s="28"/>
      <c r="C27" s="28"/>
      <c r="D27" s="28"/>
      <c r="E27" s="28"/>
      <c r="F27" s="28"/>
      <c r="G27" s="28"/>
    </row>
    <row r="28" customFormat="false" ht="15" hidden="false" customHeight="false" outlineLevel="0" collapsed="false">
      <c r="A28" s="28"/>
      <c r="B28" s="28"/>
      <c r="C28" s="28"/>
      <c r="D28" s="28"/>
      <c r="E28" s="28"/>
      <c r="F28" s="28"/>
      <c r="G28" s="28"/>
    </row>
    <row r="29" customFormat="false" ht="15" hidden="false" customHeight="false" outlineLevel="0" collapsed="false">
      <c r="A29" s="28"/>
      <c r="B29" s="28"/>
      <c r="C29" s="28"/>
      <c r="D29" s="28"/>
      <c r="E29" s="28"/>
      <c r="F29" s="28"/>
      <c r="G29" s="28"/>
    </row>
    <row r="30" customFormat="false" ht="15" hidden="false" customHeight="false" outlineLevel="0" collapsed="false">
      <c r="A30" s="28"/>
      <c r="B30" s="28"/>
      <c r="C30" s="28"/>
      <c r="D30" s="28"/>
      <c r="E30" s="28"/>
      <c r="F30" s="28"/>
      <c r="G30" s="28"/>
    </row>
    <row r="31" customFormat="false" ht="15" hidden="false" customHeight="false" outlineLevel="0" collapsed="false">
      <c r="A31" s="28"/>
      <c r="B31" s="28"/>
      <c r="C31" s="28"/>
      <c r="D31" s="28"/>
      <c r="E31" s="28"/>
      <c r="F31" s="28"/>
      <c r="G31" s="28"/>
    </row>
    <row r="32" customFormat="false" ht="15" hidden="false" customHeight="false" outlineLevel="0" collapsed="false">
      <c r="A32" s="28"/>
      <c r="B32" s="28"/>
      <c r="C32" s="28"/>
      <c r="D32" s="28"/>
      <c r="E32" s="28"/>
      <c r="F32" s="28"/>
      <c r="G32" s="28"/>
    </row>
    <row r="33" customFormat="false" ht="15" hidden="false" customHeight="false" outlineLevel="0" collapsed="false">
      <c r="A33" s="28"/>
      <c r="B33" s="28"/>
      <c r="C33" s="28"/>
      <c r="D33" s="28"/>
      <c r="E33" s="28"/>
      <c r="F33" s="28"/>
      <c r="G33" s="28"/>
    </row>
    <row r="34" customFormat="false" ht="15" hidden="false" customHeight="false" outlineLevel="0" collapsed="false">
      <c r="A34" s="28"/>
      <c r="B34" s="28"/>
      <c r="C34" s="28"/>
      <c r="D34" s="28"/>
      <c r="E34" s="28"/>
      <c r="F34" s="28"/>
      <c r="G34" s="28"/>
    </row>
    <row r="35" customFormat="false" ht="15" hidden="false" customHeight="false" outlineLevel="0" collapsed="false">
      <c r="A35" s="28"/>
      <c r="B35" s="28"/>
      <c r="C35" s="28"/>
      <c r="D35" s="28"/>
      <c r="E35" s="28"/>
      <c r="F35" s="28"/>
      <c r="G35" s="28"/>
    </row>
    <row r="36" customFormat="false" ht="15" hidden="false" customHeight="false" outlineLevel="0" collapsed="false">
      <c r="A36" s="28"/>
      <c r="B36" s="28"/>
      <c r="C36" s="28"/>
      <c r="D36" s="28"/>
      <c r="E36" s="28"/>
      <c r="F36" s="28"/>
      <c r="G36" s="28"/>
    </row>
    <row r="37" customFormat="false" ht="15" hidden="false" customHeight="false" outlineLevel="0" collapsed="false">
      <c r="A37" s="28"/>
      <c r="B37" s="28"/>
      <c r="C37" s="28"/>
      <c r="D37" s="28"/>
      <c r="E37" s="28"/>
      <c r="F37" s="28"/>
      <c r="G37" s="28"/>
    </row>
    <row r="38" customFormat="false" ht="15" hidden="false" customHeight="false" outlineLevel="0" collapsed="false">
      <c r="A38" s="28"/>
      <c r="B38" s="28"/>
      <c r="C38" s="28"/>
      <c r="D38" s="28"/>
      <c r="E38" s="28"/>
      <c r="F38" s="28"/>
      <c r="G38" s="28"/>
    </row>
    <row r="39" customFormat="false" ht="15" hidden="false" customHeight="false" outlineLevel="0" collapsed="false">
      <c r="A39" s="28"/>
      <c r="B39" s="28"/>
      <c r="C39" s="28"/>
      <c r="D39" s="28"/>
      <c r="E39" s="28"/>
      <c r="F39" s="28"/>
      <c r="G39" s="28"/>
    </row>
    <row r="40" customFormat="false" ht="15" hidden="false" customHeight="false" outlineLevel="0" collapsed="false">
      <c r="A40" s="28"/>
      <c r="B40" s="28"/>
      <c r="C40" s="28"/>
      <c r="D40" s="28"/>
      <c r="E40" s="28"/>
      <c r="F40" s="28"/>
      <c r="G40" s="28"/>
    </row>
    <row r="41" customFormat="false" ht="15" hidden="false" customHeight="false" outlineLevel="0" collapsed="false">
      <c r="A41" s="28"/>
      <c r="B41" s="28"/>
      <c r="C41" s="28"/>
      <c r="D41" s="28"/>
      <c r="E41" s="28"/>
      <c r="F41" s="28"/>
      <c r="G41" s="28"/>
    </row>
    <row r="42" customFormat="false" ht="15" hidden="false" customHeight="false" outlineLevel="0" collapsed="false">
      <c r="A42" s="28"/>
      <c r="B42" s="28"/>
      <c r="C42" s="28"/>
      <c r="D42" s="28"/>
      <c r="E42" s="28"/>
      <c r="F42" s="28"/>
      <c r="G42" s="28"/>
    </row>
    <row r="43" customFormat="false" ht="15" hidden="false" customHeight="false" outlineLevel="0" collapsed="false">
      <c r="A43" s="28"/>
      <c r="B43" s="28"/>
      <c r="C43" s="28"/>
      <c r="D43" s="28"/>
      <c r="E43" s="28"/>
      <c r="F43" s="28"/>
      <c r="G43" s="28"/>
    </row>
    <row r="44" customFormat="false" ht="15" hidden="false" customHeight="false" outlineLevel="0" collapsed="false">
      <c r="A44" s="28"/>
      <c r="B44" s="28"/>
      <c r="C44" s="28"/>
      <c r="D44" s="28"/>
      <c r="E44" s="28"/>
      <c r="F44" s="28"/>
      <c r="G44" s="28"/>
    </row>
    <row r="45" customFormat="false" ht="15" hidden="false" customHeight="false" outlineLevel="0" collapsed="false">
      <c r="A45" s="28"/>
      <c r="B45" s="28"/>
      <c r="C45" s="28"/>
      <c r="D45" s="28"/>
      <c r="E45" s="28"/>
      <c r="F45" s="28"/>
      <c r="G45" s="28"/>
    </row>
    <row r="46" customFormat="false" ht="15" hidden="false" customHeight="false" outlineLevel="0" collapsed="false">
      <c r="A46" s="28"/>
      <c r="B46" s="28"/>
      <c r="C46" s="28"/>
      <c r="D46" s="28"/>
      <c r="E46" s="28"/>
      <c r="F46" s="28"/>
      <c r="G46" s="28"/>
    </row>
    <row r="47" customFormat="false" ht="15" hidden="false" customHeight="false" outlineLevel="0" collapsed="false">
      <c r="A47" s="28"/>
      <c r="B47" s="28"/>
      <c r="C47" s="28"/>
      <c r="D47" s="28"/>
      <c r="E47" s="28"/>
      <c r="F47" s="28"/>
      <c r="G47" s="28"/>
    </row>
    <row r="48" customFormat="false" ht="15" hidden="false" customHeight="false" outlineLevel="0" collapsed="false">
      <c r="A48" s="28"/>
      <c r="B48" s="28"/>
      <c r="C48" s="28"/>
      <c r="D48" s="28"/>
      <c r="E48" s="28"/>
      <c r="F48" s="28"/>
      <c r="G48" s="28"/>
    </row>
    <row r="49" customFormat="false" ht="15" hidden="false" customHeight="false" outlineLevel="0" collapsed="false">
      <c r="A49" s="28"/>
      <c r="B49" s="28"/>
      <c r="C49" s="28"/>
      <c r="D49" s="28"/>
      <c r="E49" s="28"/>
      <c r="F49" s="28"/>
      <c r="G49" s="28"/>
    </row>
    <row r="50" customFormat="false" ht="15" hidden="false" customHeight="false" outlineLevel="0" collapsed="false">
      <c r="A50" s="28"/>
      <c r="B50" s="28"/>
      <c r="C50" s="28"/>
      <c r="D50" s="28"/>
      <c r="E50" s="28"/>
      <c r="F50" s="28"/>
      <c r="G50" s="28"/>
    </row>
    <row r="51" customFormat="false" ht="15" hidden="false" customHeight="false" outlineLevel="0" collapsed="false">
      <c r="A51" s="28"/>
      <c r="B51" s="28"/>
      <c r="C51" s="28"/>
      <c r="D51" s="28"/>
      <c r="E51" s="28"/>
      <c r="F51" s="28"/>
      <c r="G51" s="28"/>
    </row>
    <row r="52" customFormat="false" ht="15" hidden="false" customHeight="false" outlineLevel="0" collapsed="false">
      <c r="A52" s="28"/>
      <c r="B52" s="28"/>
      <c r="C52" s="28"/>
      <c r="D52" s="28"/>
      <c r="E52" s="28"/>
      <c r="F52" s="28"/>
      <c r="G52" s="28"/>
    </row>
    <row r="53" customFormat="false" ht="15" hidden="false" customHeight="false" outlineLevel="0" collapsed="false">
      <c r="A53" s="28"/>
      <c r="B53" s="28"/>
      <c r="C53" s="28"/>
      <c r="D53" s="28"/>
      <c r="E53" s="28"/>
      <c r="F53" s="28"/>
      <c r="G53" s="28"/>
    </row>
    <row r="54" customFormat="false" ht="15" hidden="false" customHeight="false" outlineLevel="0" collapsed="false">
      <c r="A54" s="28"/>
      <c r="B54" s="28"/>
      <c r="C54" s="28"/>
      <c r="D54" s="28"/>
      <c r="E54" s="28"/>
      <c r="F54" s="28"/>
      <c r="G54" s="28"/>
    </row>
    <row r="55" customFormat="false" ht="15" hidden="false" customHeight="false" outlineLevel="0" collapsed="false">
      <c r="A55" s="28"/>
      <c r="B55" s="28"/>
      <c r="C55" s="28"/>
      <c r="D55" s="28"/>
      <c r="E55" s="28"/>
      <c r="F55" s="28"/>
      <c r="G55" s="28"/>
    </row>
    <row r="56" customFormat="false" ht="15" hidden="false" customHeight="false" outlineLevel="0" collapsed="false">
      <c r="A56" s="28"/>
      <c r="B56" s="28"/>
      <c r="C56" s="28"/>
      <c r="D56" s="28"/>
      <c r="E56" s="28"/>
      <c r="F56" s="28"/>
      <c r="G56" s="28"/>
    </row>
    <row r="57" customFormat="false" ht="15" hidden="false" customHeight="false" outlineLevel="0" collapsed="false">
      <c r="A57" s="28"/>
      <c r="B57" s="28"/>
      <c r="C57" s="28"/>
      <c r="D57" s="28"/>
      <c r="E57" s="28"/>
      <c r="F57" s="28"/>
      <c r="G57" s="28"/>
    </row>
    <row r="58" customFormat="false" ht="15" hidden="false" customHeight="false" outlineLevel="0" collapsed="false">
      <c r="A58" s="28"/>
      <c r="B58" s="28"/>
      <c r="C58" s="28"/>
      <c r="D58" s="28"/>
      <c r="E58" s="28"/>
      <c r="F58" s="28"/>
      <c r="G58" s="28"/>
    </row>
    <row r="59" customFormat="false" ht="15" hidden="false" customHeight="false" outlineLevel="0" collapsed="false">
      <c r="A59" s="28"/>
      <c r="B59" s="28"/>
      <c r="C59" s="28"/>
      <c r="D59" s="28"/>
      <c r="E59" s="28"/>
      <c r="F59" s="28"/>
      <c r="G59" s="28"/>
    </row>
    <row r="60" customFormat="false" ht="15" hidden="false" customHeight="false" outlineLevel="0" collapsed="false">
      <c r="A60" s="28"/>
      <c r="B60" s="28"/>
      <c r="C60" s="28"/>
      <c r="D60" s="28"/>
      <c r="E60" s="28"/>
      <c r="F60" s="28"/>
      <c r="G60" s="28"/>
    </row>
    <row r="61" customFormat="false" ht="15" hidden="false" customHeight="false" outlineLevel="0" collapsed="false">
      <c r="A61" s="28"/>
      <c r="B61" s="28"/>
      <c r="C61" s="28"/>
      <c r="D61" s="28"/>
      <c r="E61" s="28"/>
      <c r="F61" s="28"/>
      <c r="G61" s="28"/>
    </row>
    <row r="62" customFormat="false" ht="15" hidden="false" customHeight="false" outlineLevel="0" collapsed="false">
      <c r="A62" s="28"/>
      <c r="B62" s="28"/>
      <c r="C62" s="28"/>
      <c r="D62" s="28"/>
      <c r="E62" s="28"/>
      <c r="F62" s="28"/>
      <c r="G62" s="28"/>
    </row>
    <row r="63" customFormat="false" ht="15" hidden="false" customHeight="false" outlineLevel="0" collapsed="false">
      <c r="A63" s="28"/>
      <c r="B63" s="28"/>
      <c r="C63" s="28"/>
      <c r="D63" s="28"/>
      <c r="E63" s="28"/>
      <c r="F63" s="28"/>
      <c r="G63" s="28"/>
    </row>
    <row r="64" customFormat="false" ht="15" hidden="false" customHeight="false" outlineLevel="0" collapsed="false">
      <c r="A64" s="28"/>
      <c r="B64" s="28"/>
      <c r="C64" s="28"/>
      <c r="D64" s="28"/>
      <c r="E64" s="28"/>
      <c r="F64" s="28"/>
      <c r="G64" s="28"/>
    </row>
    <row r="65" customFormat="false" ht="15" hidden="false" customHeight="false" outlineLevel="0" collapsed="false">
      <c r="A65" s="28"/>
      <c r="B65" s="28"/>
      <c r="C65" s="28"/>
      <c r="D65" s="28"/>
      <c r="E65" s="28"/>
      <c r="F65" s="28"/>
      <c r="G65" s="28"/>
    </row>
    <row r="66" customFormat="false" ht="15" hidden="false" customHeight="false" outlineLevel="0" collapsed="false">
      <c r="A66" s="28"/>
      <c r="B66" s="28"/>
      <c r="C66" s="28"/>
      <c r="D66" s="28"/>
      <c r="E66" s="28"/>
      <c r="F66" s="28"/>
      <c r="G66" s="28"/>
    </row>
    <row r="67" customFormat="false" ht="15" hidden="false" customHeight="false" outlineLevel="0" collapsed="false">
      <c r="A67" s="28"/>
      <c r="B67" s="28"/>
      <c r="C67" s="28"/>
      <c r="D67" s="28"/>
      <c r="E67" s="28"/>
      <c r="F67" s="28"/>
      <c r="G67" s="28"/>
    </row>
    <row r="68" customFormat="false" ht="15" hidden="false" customHeight="false" outlineLevel="0" collapsed="false">
      <c r="A68" s="28"/>
      <c r="B68" s="28"/>
      <c r="C68" s="28"/>
      <c r="D68" s="28"/>
      <c r="E68" s="28"/>
      <c r="F68" s="28"/>
      <c r="G68" s="28"/>
    </row>
    <row r="69" customFormat="false" ht="15" hidden="false" customHeight="false" outlineLevel="0" collapsed="false">
      <c r="A69" s="28"/>
      <c r="B69" s="28"/>
      <c r="C69" s="28"/>
      <c r="D69" s="28"/>
      <c r="E69" s="28"/>
      <c r="F69" s="28"/>
      <c r="G69" s="28"/>
    </row>
    <row r="70" customFormat="false" ht="15" hidden="false" customHeight="false" outlineLevel="0" collapsed="false">
      <c r="A70" s="28"/>
      <c r="B70" s="28"/>
      <c r="C70" s="28"/>
      <c r="D70" s="28"/>
      <c r="E70" s="28"/>
      <c r="F70" s="28"/>
      <c r="G70" s="28"/>
    </row>
    <row r="71" customFormat="false" ht="15" hidden="false" customHeight="false" outlineLevel="0" collapsed="false">
      <c r="A71" s="28"/>
      <c r="B71" s="28"/>
      <c r="C71" s="28"/>
      <c r="D71" s="28"/>
      <c r="E71" s="28"/>
      <c r="F71" s="28"/>
      <c r="G71" s="28"/>
    </row>
    <row r="72" customFormat="false" ht="15" hidden="false" customHeight="false" outlineLevel="0" collapsed="false">
      <c r="A72" s="28"/>
      <c r="B72" s="28"/>
      <c r="C72" s="28"/>
      <c r="D72" s="28"/>
      <c r="E72" s="28"/>
      <c r="F72" s="28"/>
      <c r="G72" s="28"/>
    </row>
    <row r="73" customFormat="false" ht="15" hidden="false" customHeight="false" outlineLevel="0" collapsed="false">
      <c r="A73" s="28"/>
      <c r="B73" s="28"/>
      <c r="C73" s="28"/>
      <c r="D73" s="28"/>
      <c r="E73" s="28"/>
      <c r="F73" s="28"/>
      <c r="G73" s="28"/>
    </row>
    <row r="74" customFormat="false" ht="15" hidden="false" customHeight="false" outlineLevel="0" collapsed="false">
      <c r="A74" s="28"/>
      <c r="B74" s="28"/>
      <c r="C74" s="28"/>
      <c r="D74" s="28"/>
      <c r="E74" s="28"/>
      <c r="F74" s="28"/>
      <c r="G74" s="28"/>
    </row>
    <row r="75" customFormat="false" ht="15" hidden="false" customHeight="false" outlineLevel="0" collapsed="false">
      <c r="A75" s="28"/>
      <c r="B75" s="28"/>
      <c r="C75" s="28"/>
      <c r="D75" s="28"/>
      <c r="E75" s="28"/>
      <c r="F75" s="28"/>
      <c r="G75" s="28"/>
    </row>
    <row r="76" customFormat="false" ht="15" hidden="false" customHeight="false" outlineLevel="0" collapsed="false">
      <c r="A76" s="28"/>
      <c r="B76" s="28"/>
      <c r="C76" s="28"/>
      <c r="D76" s="28"/>
      <c r="E76" s="28"/>
      <c r="F76" s="28"/>
      <c r="G76" s="28"/>
    </row>
    <row r="77" customFormat="false" ht="15" hidden="false" customHeight="false" outlineLevel="0" collapsed="false">
      <c r="A77" s="28"/>
      <c r="B77" s="28"/>
      <c r="C77" s="28"/>
      <c r="D77" s="28"/>
      <c r="E77" s="28"/>
      <c r="F77" s="28"/>
      <c r="G77" s="28"/>
    </row>
    <row r="78" customFormat="false" ht="15" hidden="false" customHeight="false" outlineLevel="0" collapsed="false">
      <c r="A78" s="28"/>
      <c r="B78" s="28"/>
      <c r="C78" s="28"/>
      <c r="D78" s="28"/>
      <c r="E78" s="28"/>
      <c r="F78" s="28"/>
      <c r="G78" s="28"/>
    </row>
    <row r="79" customFormat="false" ht="15" hidden="false" customHeight="false" outlineLevel="0" collapsed="false">
      <c r="A79" s="28"/>
      <c r="B79" s="28"/>
      <c r="C79" s="28"/>
      <c r="D79" s="28"/>
      <c r="E79" s="28"/>
      <c r="F79" s="28"/>
      <c r="G79" s="28"/>
    </row>
    <row r="80" customFormat="false" ht="15" hidden="false" customHeight="false" outlineLevel="0" collapsed="false">
      <c r="A80" s="28"/>
      <c r="B80" s="28"/>
      <c r="C80" s="28"/>
      <c r="D80" s="28"/>
      <c r="E80" s="28"/>
      <c r="F80" s="28"/>
      <c r="G80" s="28"/>
    </row>
    <row r="81" customFormat="false" ht="15" hidden="false" customHeight="false" outlineLevel="0" collapsed="false">
      <c r="A81" s="28"/>
      <c r="B81" s="28"/>
      <c r="C81" s="28"/>
      <c r="D81" s="28"/>
      <c r="E81" s="28"/>
      <c r="F81" s="28"/>
      <c r="G81" s="28"/>
    </row>
    <row r="82" customFormat="false" ht="15" hidden="false" customHeight="false" outlineLevel="0" collapsed="false">
      <c r="A82" s="28"/>
      <c r="B82" s="28"/>
      <c r="C82" s="28"/>
      <c r="D82" s="28"/>
      <c r="E82" s="28"/>
      <c r="F82" s="28"/>
      <c r="G82" s="28"/>
    </row>
    <row r="83" customFormat="false" ht="15" hidden="false" customHeight="false" outlineLevel="0" collapsed="false">
      <c r="A83" s="28"/>
      <c r="B83" s="28"/>
      <c r="C83" s="28"/>
      <c r="D83" s="28"/>
      <c r="E83" s="28"/>
      <c r="F83" s="28"/>
      <c r="G83" s="28"/>
    </row>
    <row r="84" customFormat="false" ht="15" hidden="false" customHeight="false" outlineLevel="0" collapsed="false">
      <c r="A84" s="28"/>
      <c r="B84" s="28"/>
      <c r="C84" s="28"/>
      <c r="D84" s="28"/>
      <c r="E84" s="28"/>
      <c r="F84" s="28"/>
      <c r="G84" s="28"/>
    </row>
    <row r="85" customFormat="false" ht="15" hidden="false" customHeight="false" outlineLevel="0" collapsed="false">
      <c r="A85" s="28"/>
      <c r="B85" s="28"/>
      <c r="C85" s="28"/>
      <c r="D85" s="28"/>
      <c r="E85" s="28"/>
      <c r="F85" s="28"/>
      <c r="G85" s="28"/>
    </row>
    <row r="86" customFormat="false" ht="15" hidden="false" customHeight="false" outlineLevel="0" collapsed="false">
      <c r="A86" s="28"/>
      <c r="B86" s="28"/>
      <c r="C86" s="28"/>
      <c r="D86" s="28"/>
      <c r="E86" s="28"/>
      <c r="F86" s="28"/>
      <c r="G86" s="28"/>
    </row>
    <row r="87" customFormat="false" ht="15" hidden="false" customHeight="false" outlineLevel="0" collapsed="false">
      <c r="A87" s="28"/>
      <c r="B87" s="28"/>
      <c r="C87" s="28"/>
      <c r="D87" s="28"/>
      <c r="E87" s="28"/>
      <c r="F87" s="28"/>
      <c r="G87" s="28"/>
    </row>
    <row r="88" customFormat="false" ht="15" hidden="false" customHeight="false" outlineLevel="0" collapsed="false">
      <c r="A88" s="28"/>
      <c r="B88" s="28"/>
      <c r="C88" s="28"/>
      <c r="D88" s="28"/>
      <c r="E88" s="28"/>
      <c r="F88" s="28"/>
      <c r="G88" s="28"/>
    </row>
    <row r="89" customFormat="false" ht="15" hidden="false" customHeight="false" outlineLevel="0" collapsed="false">
      <c r="A89" s="28"/>
      <c r="B89" s="28"/>
      <c r="C89" s="28"/>
      <c r="D89" s="28"/>
      <c r="E89" s="28"/>
      <c r="F89" s="28"/>
      <c r="G89" s="28"/>
    </row>
    <row r="90" customFormat="false" ht="15" hidden="false" customHeight="false" outlineLevel="0" collapsed="false">
      <c r="A90" s="28"/>
      <c r="B90" s="28"/>
      <c r="C90" s="28"/>
      <c r="D90" s="28"/>
      <c r="E90" s="28"/>
      <c r="F90" s="28"/>
      <c r="G90" s="28"/>
    </row>
    <row r="91" customFormat="false" ht="15" hidden="false" customHeight="false" outlineLevel="0" collapsed="false">
      <c r="A91" s="28"/>
      <c r="B91" s="28"/>
      <c r="C91" s="28"/>
      <c r="D91" s="28"/>
      <c r="E91" s="28"/>
      <c r="F91" s="28"/>
      <c r="G91" s="28"/>
    </row>
    <row r="92" customFormat="false" ht="15" hidden="false" customHeight="false" outlineLevel="0" collapsed="false">
      <c r="A92" s="28"/>
      <c r="B92" s="28"/>
      <c r="C92" s="28"/>
      <c r="D92" s="28"/>
      <c r="E92" s="28"/>
      <c r="F92" s="28"/>
      <c r="G92" s="28"/>
    </row>
    <row r="93" customFormat="false" ht="15" hidden="false" customHeight="false" outlineLevel="0" collapsed="false">
      <c r="A93" s="28"/>
      <c r="B93" s="28"/>
      <c r="C93" s="28"/>
      <c r="D93" s="28"/>
      <c r="E93" s="28"/>
      <c r="F93" s="28"/>
      <c r="G93" s="28"/>
    </row>
    <row r="94" customFormat="false" ht="15" hidden="false" customHeight="false" outlineLevel="0" collapsed="false">
      <c r="A94" s="28"/>
      <c r="B94" s="28"/>
      <c r="C94" s="28"/>
      <c r="D94" s="28"/>
      <c r="E94" s="28"/>
      <c r="F94" s="28"/>
      <c r="G94" s="28"/>
    </row>
    <row r="95" customFormat="false" ht="15" hidden="false" customHeight="false" outlineLevel="0" collapsed="false">
      <c r="A95" s="28"/>
      <c r="B95" s="28"/>
      <c r="C95" s="28"/>
      <c r="D95" s="28"/>
      <c r="E95" s="28"/>
      <c r="F95" s="28"/>
      <c r="G95" s="28"/>
    </row>
    <row r="96" customFormat="false" ht="15" hidden="false" customHeight="false" outlineLevel="0" collapsed="false">
      <c r="A96" s="28"/>
      <c r="B96" s="28"/>
      <c r="C96" s="28"/>
      <c r="D96" s="28"/>
      <c r="E96" s="28"/>
      <c r="F96" s="28"/>
      <c r="G96" s="28"/>
    </row>
    <row r="97" customFormat="false" ht="15" hidden="false" customHeight="false" outlineLevel="0" collapsed="false">
      <c r="A97" s="28"/>
      <c r="B97" s="28"/>
      <c r="C97" s="28"/>
      <c r="D97" s="28"/>
      <c r="E97" s="28"/>
      <c r="F97" s="28"/>
      <c r="G97" s="28"/>
    </row>
    <row r="98" customFormat="false" ht="15" hidden="false" customHeight="false" outlineLevel="0" collapsed="false">
      <c r="A98" s="28"/>
      <c r="B98" s="28"/>
      <c r="C98" s="28"/>
      <c r="D98" s="28"/>
      <c r="E98" s="28"/>
      <c r="F98" s="28"/>
      <c r="G98" s="28"/>
    </row>
    <row r="99" customFormat="false" ht="15" hidden="false" customHeight="false" outlineLevel="0" collapsed="false">
      <c r="A99" s="28"/>
      <c r="B99" s="28"/>
      <c r="C99" s="28"/>
      <c r="D99" s="28"/>
      <c r="E99" s="28"/>
      <c r="F99" s="28"/>
      <c r="G99" s="28"/>
    </row>
    <row r="100" customFormat="false" ht="15" hidden="false" customHeight="false" outlineLevel="0" collapsed="false">
      <c r="A100" s="28"/>
      <c r="B100" s="28"/>
      <c r="C100" s="28"/>
      <c r="D100" s="28"/>
      <c r="E100" s="28"/>
      <c r="F100" s="28"/>
      <c r="G100" s="28"/>
    </row>
    <row r="101" customFormat="false" ht="15" hidden="false" customHeight="false" outlineLevel="0" collapsed="false">
      <c r="A101" s="28"/>
      <c r="B101" s="28"/>
      <c r="C101" s="28"/>
      <c r="D101" s="28"/>
      <c r="E101" s="28"/>
      <c r="F101" s="28"/>
      <c r="G101" s="28"/>
    </row>
    <row r="102" customFormat="false" ht="15" hidden="false" customHeight="false" outlineLevel="0" collapsed="false">
      <c r="A102" s="28"/>
      <c r="B102" s="28"/>
      <c r="C102" s="28"/>
      <c r="D102" s="28"/>
      <c r="E102" s="28"/>
      <c r="F102" s="28"/>
      <c r="G102" s="28"/>
    </row>
    <row r="103" customFormat="false" ht="15" hidden="false" customHeight="false" outlineLevel="0" collapsed="false">
      <c r="A103" s="28"/>
      <c r="B103" s="28"/>
      <c r="C103" s="28"/>
      <c r="D103" s="28"/>
      <c r="E103" s="28"/>
      <c r="F103" s="28"/>
      <c r="G103" s="28"/>
    </row>
    <row r="104" customFormat="false" ht="15" hidden="false" customHeight="false" outlineLevel="0" collapsed="false">
      <c r="A104" s="28"/>
      <c r="B104" s="28"/>
      <c r="C104" s="28"/>
      <c r="D104" s="28"/>
      <c r="E104" s="28"/>
      <c r="F104" s="28"/>
      <c r="G104" s="28"/>
    </row>
    <row r="105" customFormat="false" ht="15" hidden="false" customHeight="false" outlineLevel="0" collapsed="false">
      <c r="A105" s="28"/>
      <c r="B105" s="28"/>
      <c r="C105" s="28"/>
      <c r="D105" s="28"/>
      <c r="E105" s="28"/>
      <c r="F105" s="28"/>
      <c r="G105" s="28"/>
    </row>
    <row r="106" customFormat="false" ht="15" hidden="false" customHeight="false" outlineLevel="0" collapsed="false">
      <c r="A106" s="28"/>
      <c r="B106" s="28"/>
      <c r="C106" s="28"/>
      <c r="D106" s="28"/>
      <c r="E106" s="28"/>
      <c r="F106" s="28"/>
      <c r="G106" s="28"/>
    </row>
    <row r="107" customFormat="false" ht="15" hidden="false" customHeight="false" outlineLevel="0" collapsed="false">
      <c r="A107" s="28"/>
      <c r="B107" s="28"/>
      <c r="C107" s="28"/>
      <c r="D107" s="28"/>
      <c r="E107" s="28"/>
      <c r="F107" s="28"/>
      <c r="G107" s="28"/>
    </row>
    <row r="108" customFormat="false" ht="15" hidden="false" customHeight="false" outlineLevel="0" collapsed="false">
      <c r="A108" s="28"/>
      <c r="B108" s="28"/>
      <c r="C108" s="28"/>
      <c r="D108" s="28"/>
      <c r="E108" s="28"/>
      <c r="F108" s="28"/>
      <c r="G108" s="28"/>
    </row>
    <row r="109" customFormat="false" ht="15" hidden="false" customHeight="false" outlineLevel="0" collapsed="false">
      <c r="A109" s="28"/>
      <c r="B109" s="28"/>
      <c r="C109" s="28"/>
      <c r="D109" s="28"/>
      <c r="E109" s="28"/>
      <c r="F109" s="28"/>
      <c r="G109" s="28"/>
    </row>
    <row r="110" customFormat="false" ht="15" hidden="false" customHeight="false" outlineLevel="0" collapsed="false">
      <c r="A110" s="28"/>
      <c r="B110" s="28"/>
      <c r="C110" s="28"/>
      <c r="D110" s="28"/>
      <c r="E110" s="28"/>
      <c r="F110" s="28"/>
      <c r="G110" s="28"/>
    </row>
    <row r="111" customFormat="false" ht="15" hidden="false" customHeight="false" outlineLevel="0" collapsed="false">
      <c r="A111" s="28"/>
      <c r="B111" s="28"/>
      <c r="C111" s="28"/>
      <c r="D111" s="28"/>
      <c r="E111" s="28"/>
      <c r="F111" s="28"/>
      <c r="G111" s="28"/>
    </row>
    <row r="112" customFormat="false" ht="15" hidden="false" customHeight="false" outlineLevel="0" collapsed="false">
      <c r="A112" s="28"/>
      <c r="B112" s="28"/>
      <c r="C112" s="28"/>
      <c r="D112" s="28"/>
      <c r="E112" s="28"/>
      <c r="F112" s="28"/>
      <c r="G112" s="28"/>
    </row>
    <row r="113" customFormat="false" ht="15" hidden="false" customHeight="false" outlineLevel="0" collapsed="false">
      <c r="A113" s="28"/>
      <c r="B113" s="28"/>
      <c r="C113" s="28"/>
      <c r="D113" s="28"/>
      <c r="E113" s="28"/>
      <c r="F113" s="28"/>
      <c r="G113" s="28"/>
    </row>
    <row r="114" customFormat="false" ht="15" hidden="false" customHeight="false" outlineLevel="0" collapsed="false">
      <c r="A114" s="28"/>
      <c r="B114" s="28"/>
      <c r="C114" s="28"/>
      <c r="D114" s="28"/>
      <c r="E114" s="28"/>
      <c r="F114" s="28"/>
      <c r="G114" s="28"/>
    </row>
    <row r="115" customFormat="false" ht="15" hidden="false" customHeight="false" outlineLevel="0" collapsed="false">
      <c r="A115" s="28"/>
      <c r="B115" s="28"/>
      <c r="C115" s="28"/>
      <c r="D115" s="28"/>
      <c r="E115" s="28"/>
      <c r="F115" s="28"/>
      <c r="G115" s="28"/>
    </row>
    <row r="116" customFormat="false" ht="15" hidden="false" customHeight="false" outlineLevel="0" collapsed="false">
      <c r="A116" s="28"/>
      <c r="B116" s="28"/>
      <c r="C116" s="28"/>
      <c r="D116" s="28"/>
      <c r="E116" s="28"/>
      <c r="F116" s="28"/>
      <c r="G116" s="28"/>
    </row>
    <row r="117" customFormat="false" ht="15" hidden="false" customHeight="false" outlineLevel="0" collapsed="false">
      <c r="A117" s="28"/>
      <c r="B117" s="28"/>
      <c r="C117" s="28"/>
      <c r="D117" s="28"/>
      <c r="E117" s="28"/>
      <c r="F117" s="28"/>
      <c r="G117" s="28"/>
    </row>
    <row r="118" customFormat="false" ht="15" hidden="false" customHeight="false" outlineLevel="0" collapsed="false">
      <c r="A118" s="28"/>
      <c r="B118" s="28"/>
      <c r="C118" s="28"/>
      <c r="D118" s="28"/>
      <c r="E118" s="28"/>
      <c r="F118" s="28"/>
      <c r="G118" s="28"/>
    </row>
    <row r="119" customFormat="false" ht="15" hidden="false" customHeight="false" outlineLevel="0" collapsed="false">
      <c r="A119" s="28"/>
      <c r="B119" s="28"/>
      <c r="C119" s="28"/>
      <c r="D119" s="28"/>
      <c r="E119" s="28"/>
      <c r="F119" s="28"/>
      <c r="G119" s="28"/>
    </row>
    <row r="120" customFormat="false" ht="15" hidden="false" customHeight="false" outlineLevel="0" collapsed="false">
      <c r="A120" s="28"/>
      <c r="B120" s="28"/>
      <c r="C120" s="28"/>
      <c r="D120" s="28"/>
      <c r="E120" s="28"/>
      <c r="F120" s="28"/>
      <c r="G120" s="28"/>
    </row>
    <row r="121" customFormat="false" ht="15" hidden="false" customHeight="false" outlineLevel="0" collapsed="false">
      <c r="A121" s="28"/>
      <c r="B121" s="28"/>
      <c r="C121" s="28"/>
      <c r="D121" s="28"/>
      <c r="E121" s="28"/>
      <c r="F121" s="28"/>
      <c r="G121" s="28"/>
    </row>
    <row r="122" customFormat="false" ht="15" hidden="false" customHeight="false" outlineLevel="0" collapsed="false">
      <c r="A122" s="28"/>
      <c r="B122" s="28"/>
      <c r="C122" s="28"/>
      <c r="D122" s="28"/>
      <c r="E122" s="28"/>
      <c r="F122" s="28"/>
      <c r="G122" s="28"/>
    </row>
    <row r="123" customFormat="false" ht="15" hidden="false" customHeight="false" outlineLevel="0" collapsed="false">
      <c r="A123" s="28"/>
      <c r="B123" s="28"/>
      <c r="C123" s="28"/>
      <c r="D123" s="28"/>
      <c r="E123" s="28"/>
      <c r="F123" s="28"/>
      <c r="G123" s="28"/>
    </row>
    <row r="124" customFormat="false" ht="15" hidden="false" customHeight="false" outlineLevel="0" collapsed="false">
      <c r="A124" s="28"/>
      <c r="B124" s="28"/>
      <c r="C124" s="28"/>
      <c r="D124" s="28"/>
      <c r="E124" s="28"/>
      <c r="F124" s="28"/>
      <c r="G124" s="28"/>
    </row>
    <row r="125" customFormat="false" ht="15" hidden="false" customHeight="false" outlineLevel="0" collapsed="false">
      <c r="A125" s="28"/>
      <c r="B125" s="28"/>
      <c r="C125" s="28"/>
      <c r="D125" s="28"/>
      <c r="E125" s="28"/>
      <c r="F125" s="28"/>
      <c r="G125" s="28"/>
    </row>
    <row r="126" customFormat="false" ht="15" hidden="false" customHeight="false" outlineLevel="0" collapsed="false">
      <c r="A126" s="28"/>
      <c r="B126" s="28"/>
      <c r="C126" s="28"/>
      <c r="D126" s="28"/>
      <c r="E126" s="28"/>
      <c r="F126" s="28"/>
      <c r="G126" s="28"/>
    </row>
    <row r="127" customFormat="false" ht="15" hidden="false" customHeight="false" outlineLevel="0" collapsed="false">
      <c r="A127" s="28"/>
      <c r="B127" s="28"/>
      <c r="C127" s="28"/>
      <c r="D127" s="28"/>
      <c r="E127" s="28"/>
      <c r="F127" s="28"/>
      <c r="G127" s="28"/>
    </row>
    <row r="128" customFormat="false" ht="15" hidden="false" customHeight="false" outlineLevel="0" collapsed="false">
      <c r="A128" s="28"/>
      <c r="B128" s="28"/>
      <c r="C128" s="28"/>
      <c r="D128" s="28"/>
      <c r="E128" s="28"/>
      <c r="F128" s="28"/>
      <c r="G128" s="28"/>
    </row>
    <row r="129" customFormat="false" ht="15" hidden="false" customHeight="false" outlineLevel="0" collapsed="false">
      <c r="A129" s="28"/>
      <c r="B129" s="28"/>
      <c r="C129" s="28"/>
      <c r="D129" s="28"/>
      <c r="E129" s="28"/>
      <c r="F129" s="28"/>
      <c r="G129" s="28"/>
    </row>
    <row r="130" customFormat="false" ht="15" hidden="false" customHeight="false" outlineLevel="0" collapsed="false">
      <c r="A130" s="28"/>
      <c r="B130" s="28"/>
      <c r="C130" s="28"/>
      <c r="D130" s="28"/>
      <c r="E130" s="28"/>
      <c r="F130" s="28"/>
      <c r="G130" s="28"/>
    </row>
    <row r="131" customFormat="false" ht="15" hidden="false" customHeight="false" outlineLevel="0" collapsed="false">
      <c r="A131" s="28"/>
      <c r="B131" s="28"/>
      <c r="C131" s="28"/>
      <c r="D131" s="28"/>
      <c r="E131" s="28"/>
      <c r="F131" s="28"/>
      <c r="G131" s="28"/>
    </row>
    <row r="132" customFormat="false" ht="15" hidden="false" customHeight="false" outlineLevel="0" collapsed="false">
      <c r="A132" s="28"/>
      <c r="B132" s="28"/>
      <c r="C132" s="28"/>
      <c r="D132" s="28"/>
      <c r="E132" s="28"/>
      <c r="F132" s="28"/>
      <c r="G132" s="28"/>
    </row>
    <row r="133" customFormat="false" ht="15" hidden="false" customHeight="false" outlineLevel="0" collapsed="false">
      <c r="A133" s="28"/>
      <c r="B133" s="28"/>
      <c r="C133" s="28"/>
      <c r="D133" s="28"/>
      <c r="E133" s="28"/>
      <c r="F133" s="28"/>
      <c r="G133" s="28"/>
    </row>
    <row r="134" customFormat="false" ht="15" hidden="false" customHeight="false" outlineLevel="0" collapsed="false">
      <c r="A134" s="28"/>
      <c r="B134" s="28"/>
      <c r="C134" s="28"/>
      <c r="D134" s="28"/>
      <c r="E134" s="28"/>
      <c r="F134" s="28"/>
      <c r="G134" s="28"/>
    </row>
    <row r="135" customFormat="false" ht="15" hidden="false" customHeight="false" outlineLevel="0" collapsed="false">
      <c r="A135" s="28"/>
      <c r="B135" s="28"/>
      <c r="C135" s="28"/>
      <c r="D135" s="28"/>
      <c r="E135" s="28"/>
      <c r="F135" s="28"/>
      <c r="G135" s="28"/>
    </row>
    <row r="136" customFormat="false" ht="15" hidden="false" customHeight="false" outlineLevel="0" collapsed="false">
      <c r="A136" s="28"/>
      <c r="B136" s="28"/>
      <c r="C136" s="28"/>
      <c r="D136" s="28"/>
      <c r="E136" s="28"/>
      <c r="F136" s="28"/>
      <c r="G136" s="28"/>
    </row>
    <row r="137" customFormat="false" ht="15" hidden="false" customHeight="false" outlineLevel="0" collapsed="false">
      <c r="A137" s="28"/>
      <c r="B137" s="28"/>
      <c r="C137" s="28"/>
      <c r="D137" s="28"/>
      <c r="E137" s="28"/>
      <c r="F137" s="28"/>
      <c r="G137" s="28"/>
    </row>
    <row r="138" customFormat="false" ht="15" hidden="false" customHeight="false" outlineLevel="0" collapsed="false">
      <c r="A138" s="28"/>
      <c r="B138" s="28"/>
      <c r="C138" s="28"/>
      <c r="D138" s="28"/>
      <c r="E138" s="28"/>
      <c r="F138" s="28"/>
      <c r="G138" s="28"/>
    </row>
    <row r="139" customFormat="false" ht="15" hidden="false" customHeight="false" outlineLevel="0" collapsed="false">
      <c r="A139" s="28"/>
      <c r="B139" s="28"/>
      <c r="C139" s="28"/>
      <c r="D139" s="28"/>
      <c r="E139" s="28"/>
      <c r="F139" s="28"/>
      <c r="G139" s="28"/>
    </row>
    <row r="140" customFormat="false" ht="15" hidden="false" customHeight="false" outlineLevel="0" collapsed="false">
      <c r="A140" s="28"/>
      <c r="B140" s="28"/>
      <c r="C140" s="28"/>
      <c r="D140" s="28"/>
      <c r="E140" s="28"/>
      <c r="F140" s="28"/>
      <c r="G140" s="28"/>
    </row>
    <row r="141" customFormat="false" ht="15" hidden="false" customHeight="false" outlineLevel="0" collapsed="false">
      <c r="A141" s="28"/>
      <c r="B141" s="28"/>
      <c r="C141" s="28"/>
      <c r="D141" s="28"/>
      <c r="E141" s="28"/>
      <c r="F141" s="28"/>
      <c r="G141" s="28"/>
    </row>
    <row r="142" customFormat="false" ht="15" hidden="false" customHeight="false" outlineLevel="0" collapsed="false">
      <c r="A142" s="28"/>
      <c r="B142" s="28"/>
      <c r="C142" s="28"/>
      <c r="D142" s="28"/>
      <c r="E142" s="28"/>
      <c r="F142" s="28"/>
      <c r="G142" s="28"/>
    </row>
    <row r="143" customFormat="false" ht="15" hidden="false" customHeight="false" outlineLevel="0" collapsed="false">
      <c r="A143" s="28"/>
      <c r="B143" s="28"/>
      <c r="C143" s="28"/>
      <c r="D143" s="28"/>
      <c r="E143" s="28"/>
      <c r="F143" s="28"/>
      <c r="G143" s="28"/>
    </row>
    <row r="144" customFormat="false" ht="15" hidden="false" customHeight="false" outlineLevel="0" collapsed="false">
      <c r="A144" s="28"/>
      <c r="B144" s="28"/>
      <c r="C144" s="28"/>
      <c r="D144" s="28"/>
      <c r="E144" s="28"/>
      <c r="F144" s="28"/>
      <c r="G144" s="28"/>
    </row>
    <row r="145" customFormat="false" ht="15" hidden="false" customHeight="false" outlineLevel="0" collapsed="false">
      <c r="A145" s="28"/>
      <c r="B145" s="28"/>
      <c r="C145" s="28"/>
      <c r="D145" s="28"/>
      <c r="E145" s="28"/>
      <c r="F145" s="28"/>
      <c r="G145" s="28"/>
    </row>
    <row r="146" customFormat="false" ht="15" hidden="false" customHeight="false" outlineLevel="0" collapsed="false">
      <c r="A146" s="28"/>
      <c r="B146" s="28"/>
      <c r="C146" s="28"/>
      <c r="D146" s="28"/>
      <c r="E146" s="28"/>
      <c r="F146" s="28"/>
      <c r="G146" s="28"/>
    </row>
    <row r="147" customFormat="false" ht="15" hidden="false" customHeight="false" outlineLevel="0" collapsed="false">
      <c r="A147" s="28"/>
      <c r="B147" s="28"/>
      <c r="C147" s="28"/>
      <c r="D147" s="28"/>
      <c r="E147" s="28"/>
      <c r="F147" s="28"/>
      <c r="G147" s="28"/>
    </row>
    <row r="148" customFormat="false" ht="15" hidden="false" customHeight="false" outlineLevel="0" collapsed="false">
      <c r="A148" s="28"/>
      <c r="B148" s="28"/>
      <c r="C148" s="28"/>
      <c r="D148" s="28"/>
      <c r="E148" s="28"/>
      <c r="F148" s="28"/>
      <c r="G148" s="28"/>
    </row>
    <row r="149" customFormat="false" ht="15" hidden="false" customHeight="false" outlineLevel="0" collapsed="false">
      <c r="A149" s="28"/>
      <c r="B149" s="28"/>
      <c r="C149" s="28"/>
      <c r="D149" s="28"/>
      <c r="E149" s="28"/>
      <c r="F149" s="28"/>
      <c r="G149" s="28"/>
    </row>
    <row r="150" customFormat="false" ht="15" hidden="false" customHeight="false" outlineLevel="0" collapsed="false">
      <c r="A150" s="28"/>
      <c r="B150" s="28"/>
      <c r="C150" s="28"/>
      <c r="D150" s="28"/>
      <c r="E150" s="28"/>
      <c r="F150" s="28"/>
      <c r="G150" s="28"/>
    </row>
    <row r="151" customFormat="false" ht="15" hidden="false" customHeight="false" outlineLevel="0" collapsed="false">
      <c r="A151" s="28"/>
      <c r="B151" s="28"/>
      <c r="C151" s="28"/>
      <c r="D151" s="28"/>
      <c r="E151" s="28"/>
      <c r="F151" s="28"/>
      <c r="G151" s="28"/>
    </row>
    <row r="152" customFormat="false" ht="15" hidden="false" customHeight="false" outlineLevel="0" collapsed="false">
      <c r="A152" s="28"/>
      <c r="B152" s="28"/>
      <c r="C152" s="28"/>
      <c r="D152" s="28"/>
      <c r="E152" s="28"/>
      <c r="F152" s="28"/>
      <c r="G152" s="28"/>
    </row>
    <row r="153" customFormat="false" ht="15" hidden="false" customHeight="false" outlineLevel="0" collapsed="false">
      <c r="A153" s="28"/>
      <c r="B153" s="28"/>
      <c r="C153" s="28"/>
      <c r="D153" s="28"/>
      <c r="E153" s="28"/>
      <c r="F153" s="28"/>
      <c r="G153" s="28"/>
    </row>
    <row r="154" customFormat="false" ht="15" hidden="false" customHeight="false" outlineLevel="0" collapsed="false">
      <c r="A154" s="28"/>
      <c r="B154" s="28"/>
      <c r="C154" s="28"/>
      <c r="D154" s="28"/>
      <c r="E154" s="28"/>
      <c r="F154" s="28"/>
      <c r="G154" s="28"/>
    </row>
    <row r="155" customFormat="false" ht="15" hidden="false" customHeight="false" outlineLevel="0" collapsed="false">
      <c r="A155" s="28"/>
      <c r="B155" s="28"/>
      <c r="C155" s="28"/>
      <c r="D155" s="28"/>
      <c r="E155" s="28"/>
      <c r="F155" s="28"/>
      <c r="G155" s="28"/>
    </row>
    <row r="156" customFormat="false" ht="15" hidden="false" customHeight="false" outlineLevel="0" collapsed="false">
      <c r="A156" s="28"/>
      <c r="B156" s="28"/>
      <c r="C156" s="28"/>
      <c r="D156" s="28"/>
      <c r="E156" s="28"/>
      <c r="F156" s="28"/>
      <c r="G156" s="28"/>
    </row>
    <row r="157" customFormat="false" ht="15" hidden="false" customHeight="false" outlineLevel="0" collapsed="false">
      <c r="A157" s="28"/>
      <c r="B157" s="28"/>
      <c r="C157" s="28"/>
      <c r="D157" s="28"/>
      <c r="E157" s="28"/>
      <c r="F157" s="28"/>
      <c r="G157" s="28"/>
    </row>
    <row r="158" customFormat="false" ht="15" hidden="false" customHeight="false" outlineLevel="0" collapsed="false">
      <c r="A158" s="28"/>
      <c r="B158" s="28"/>
      <c r="C158" s="28"/>
      <c r="D158" s="28"/>
      <c r="E158" s="28"/>
      <c r="F158" s="28"/>
      <c r="G158" s="28"/>
    </row>
    <row r="159" customFormat="false" ht="15" hidden="false" customHeight="false" outlineLevel="0" collapsed="false">
      <c r="A159" s="28"/>
      <c r="B159" s="28"/>
      <c r="C159" s="28"/>
      <c r="D159" s="28"/>
      <c r="E159" s="28"/>
      <c r="F159" s="28"/>
      <c r="G159" s="28"/>
    </row>
    <row r="160" customFormat="false" ht="15" hidden="false" customHeight="false" outlineLevel="0" collapsed="false">
      <c r="A160" s="28"/>
      <c r="B160" s="28"/>
      <c r="C160" s="28"/>
      <c r="D160" s="28"/>
      <c r="E160" s="28"/>
      <c r="F160" s="28"/>
      <c r="G160" s="28"/>
    </row>
    <row r="161" customFormat="false" ht="15" hidden="false" customHeight="false" outlineLevel="0" collapsed="false">
      <c r="A161" s="28"/>
      <c r="B161" s="28"/>
      <c r="C161" s="28"/>
      <c r="D161" s="28"/>
      <c r="E161" s="28"/>
      <c r="F161" s="28"/>
      <c r="G161" s="28"/>
    </row>
    <row r="162" customFormat="false" ht="15" hidden="false" customHeight="false" outlineLevel="0" collapsed="false">
      <c r="A162" s="28"/>
      <c r="B162" s="28"/>
      <c r="C162" s="28"/>
      <c r="D162" s="28"/>
      <c r="E162" s="28"/>
      <c r="F162" s="28"/>
      <c r="G162" s="28"/>
    </row>
    <row r="163" customFormat="false" ht="15" hidden="false" customHeight="false" outlineLevel="0" collapsed="false">
      <c r="A163" s="28"/>
      <c r="B163" s="28"/>
      <c r="C163" s="28"/>
      <c r="D163" s="28"/>
      <c r="E163" s="28"/>
      <c r="F163" s="28"/>
      <c r="G163" s="28"/>
    </row>
    <row r="164" customFormat="false" ht="15" hidden="false" customHeight="false" outlineLevel="0" collapsed="false">
      <c r="A164" s="28"/>
      <c r="B164" s="28"/>
      <c r="C164" s="28"/>
      <c r="D164" s="28"/>
      <c r="E164" s="28"/>
      <c r="F164" s="28"/>
      <c r="G164" s="28"/>
    </row>
    <row r="165" customFormat="false" ht="15" hidden="false" customHeight="false" outlineLevel="0" collapsed="false">
      <c r="A165" s="28"/>
      <c r="B165" s="28"/>
      <c r="C165" s="28"/>
      <c r="D165" s="28"/>
      <c r="E165" s="28"/>
      <c r="F165" s="28"/>
      <c r="G165" s="28"/>
    </row>
    <row r="166" customFormat="false" ht="15" hidden="false" customHeight="false" outlineLevel="0" collapsed="false">
      <c r="A166" s="28"/>
      <c r="B166" s="28"/>
      <c r="C166" s="28"/>
      <c r="D166" s="28"/>
      <c r="E166" s="28"/>
      <c r="F166" s="28"/>
      <c r="G166" s="28"/>
    </row>
    <row r="167" customFormat="false" ht="15" hidden="false" customHeight="false" outlineLevel="0" collapsed="false">
      <c r="A167" s="28"/>
      <c r="B167" s="28"/>
      <c r="C167" s="28"/>
      <c r="D167" s="28"/>
      <c r="E167" s="28"/>
      <c r="F167" s="28"/>
      <c r="G167" s="28"/>
    </row>
    <row r="168" customFormat="false" ht="15" hidden="false" customHeight="false" outlineLevel="0" collapsed="false">
      <c r="A168" s="28"/>
      <c r="B168" s="28"/>
      <c r="C168" s="28"/>
      <c r="D168" s="28"/>
      <c r="E168" s="28"/>
      <c r="F168" s="28"/>
      <c r="G168" s="28"/>
    </row>
    <row r="169" customFormat="false" ht="15" hidden="false" customHeight="false" outlineLevel="0" collapsed="false">
      <c r="A169" s="28"/>
      <c r="B169" s="28"/>
      <c r="C169" s="28"/>
      <c r="D169" s="28"/>
      <c r="E169" s="28"/>
      <c r="F169" s="28"/>
      <c r="G169" s="28"/>
    </row>
    <row r="170" customFormat="false" ht="15" hidden="false" customHeight="false" outlineLevel="0" collapsed="false">
      <c r="A170" s="28"/>
      <c r="B170" s="28"/>
      <c r="C170" s="28"/>
      <c r="D170" s="28"/>
      <c r="E170" s="28"/>
      <c r="F170" s="28"/>
      <c r="G170" s="28"/>
    </row>
    <row r="171" customFormat="false" ht="15" hidden="false" customHeight="false" outlineLevel="0" collapsed="false">
      <c r="A171" s="28"/>
      <c r="B171" s="28"/>
      <c r="C171" s="28"/>
      <c r="D171" s="28"/>
      <c r="E171" s="28"/>
      <c r="F171" s="28"/>
      <c r="G171" s="28"/>
    </row>
    <row r="172" customFormat="false" ht="15" hidden="false" customHeight="false" outlineLevel="0" collapsed="false">
      <c r="A172" s="28"/>
      <c r="B172" s="28"/>
      <c r="C172" s="28"/>
      <c r="D172" s="28"/>
      <c r="E172" s="28"/>
      <c r="F172" s="28"/>
      <c r="G172" s="28"/>
    </row>
    <row r="173" customFormat="false" ht="15" hidden="false" customHeight="false" outlineLevel="0" collapsed="false">
      <c r="A173" s="28"/>
      <c r="B173" s="28"/>
      <c r="C173" s="28"/>
      <c r="D173" s="28"/>
      <c r="E173" s="28"/>
      <c r="F173" s="28"/>
      <c r="G173" s="28"/>
    </row>
    <row r="174" customFormat="false" ht="15" hidden="false" customHeight="false" outlineLevel="0" collapsed="false">
      <c r="A174" s="28"/>
      <c r="B174" s="28"/>
      <c r="C174" s="28"/>
      <c r="D174" s="28"/>
      <c r="E174" s="28"/>
      <c r="F174" s="28"/>
      <c r="G174" s="28"/>
    </row>
    <row r="175" customFormat="false" ht="15" hidden="false" customHeight="false" outlineLevel="0" collapsed="false">
      <c r="A175" s="28"/>
      <c r="B175" s="28"/>
      <c r="C175" s="28"/>
      <c r="D175" s="28"/>
      <c r="E175" s="28"/>
      <c r="F175" s="28"/>
      <c r="G175" s="28"/>
    </row>
    <row r="176" customFormat="false" ht="15" hidden="false" customHeight="false" outlineLevel="0" collapsed="false">
      <c r="A176" s="28"/>
      <c r="B176" s="28"/>
      <c r="C176" s="28"/>
      <c r="D176" s="28"/>
      <c r="E176" s="28"/>
      <c r="F176" s="28"/>
      <c r="G176" s="28"/>
    </row>
    <row r="177" customFormat="false" ht="15" hidden="false" customHeight="false" outlineLevel="0" collapsed="false">
      <c r="A177" s="28"/>
      <c r="B177" s="28"/>
      <c r="C177" s="28"/>
      <c r="D177" s="28"/>
      <c r="E177" s="28"/>
      <c r="F177" s="28"/>
      <c r="G177" s="28"/>
    </row>
    <row r="178" customFormat="false" ht="15" hidden="false" customHeight="false" outlineLevel="0" collapsed="false">
      <c r="A178" s="28"/>
      <c r="B178" s="28"/>
      <c r="C178" s="28"/>
      <c r="D178" s="28"/>
      <c r="E178" s="28"/>
      <c r="F178" s="28"/>
      <c r="G178" s="28"/>
    </row>
    <row r="179" customFormat="false" ht="15" hidden="false" customHeight="false" outlineLevel="0" collapsed="false">
      <c r="A179" s="28"/>
      <c r="B179" s="28"/>
      <c r="C179" s="28"/>
      <c r="D179" s="28"/>
      <c r="E179" s="28"/>
      <c r="F179" s="28"/>
      <c r="G179" s="28"/>
    </row>
    <row r="180" customFormat="false" ht="15" hidden="false" customHeight="false" outlineLevel="0" collapsed="false">
      <c r="A180" s="28"/>
      <c r="B180" s="28"/>
      <c r="C180" s="28"/>
      <c r="D180" s="28"/>
      <c r="E180" s="28"/>
      <c r="F180" s="28"/>
      <c r="G180" s="28"/>
    </row>
    <row r="181" customFormat="false" ht="15" hidden="false" customHeight="false" outlineLevel="0" collapsed="false">
      <c r="A181" s="28"/>
      <c r="B181" s="28"/>
      <c r="C181" s="28"/>
      <c r="D181" s="28"/>
      <c r="E181" s="28"/>
      <c r="F181" s="28"/>
      <c r="G181" s="28"/>
    </row>
    <row r="182" customFormat="false" ht="15" hidden="false" customHeight="false" outlineLevel="0" collapsed="false">
      <c r="A182" s="28"/>
      <c r="B182" s="28"/>
      <c r="C182" s="28"/>
      <c r="D182" s="28"/>
      <c r="E182" s="28"/>
      <c r="F182" s="28"/>
      <c r="G182" s="28"/>
    </row>
    <row r="183" customFormat="false" ht="15" hidden="false" customHeight="false" outlineLevel="0" collapsed="false">
      <c r="A183" s="28"/>
      <c r="B183" s="28"/>
      <c r="C183" s="28"/>
      <c r="D183" s="28"/>
      <c r="E183" s="28"/>
      <c r="F183" s="28"/>
      <c r="G183" s="28"/>
    </row>
    <row r="184" customFormat="false" ht="15" hidden="false" customHeight="false" outlineLevel="0" collapsed="false">
      <c r="A184" s="28"/>
      <c r="B184" s="28"/>
      <c r="C184" s="28"/>
      <c r="D184" s="28"/>
      <c r="E184" s="28"/>
      <c r="F184" s="28"/>
      <c r="G184" s="28"/>
    </row>
    <row r="185" customFormat="false" ht="15" hidden="false" customHeight="false" outlineLevel="0" collapsed="false">
      <c r="A185" s="28"/>
      <c r="B185" s="28"/>
      <c r="C185" s="28"/>
      <c r="D185" s="28"/>
      <c r="E185" s="28"/>
      <c r="F185" s="28"/>
      <c r="G185" s="28"/>
    </row>
    <row r="186" customFormat="false" ht="15" hidden="false" customHeight="false" outlineLevel="0" collapsed="false">
      <c r="A186" s="28"/>
      <c r="B186" s="28"/>
      <c r="C186" s="28"/>
      <c r="D186" s="28"/>
      <c r="E186" s="28"/>
      <c r="F186" s="28"/>
      <c r="G186" s="28"/>
    </row>
    <row r="187" customFormat="false" ht="15" hidden="false" customHeight="false" outlineLevel="0" collapsed="false">
      <c r="A187" s="28"/>
      <c r="B187" s="28"/>
      <c r="C187" s="28"/>
      <c r="D187" s="28"/>
      <c r="E187" s="28"/>
      <c r="F187" s="28"/>
      <c r="G187" s="28"/>
    </row>
    <row r="188" customFormat="false" ht="15" hidden="false" customHeight="false" outlineLevel="0" collapsed="false">
      <c r="A188" s="28"/>
      <c r="B188" s="28"/>
      <c r="C188" s="28"/>
      <c r="D188" s="28"/>
      <c r="E188" s="28"/>
      <c r="F188" s="28"/>
      <c r="G188" s="28"/>
    </row>
    <row r="189" customFormat="false" ht="15" hidden="false" customHeight="false" outlineLevel="0" collapsed="false">
      <c r="A189" s="28"/>
      <c r="B189" s="28"/>
      <c r="C189" s="28"/>
      <c r="D189" s="28"/>
      <c r="E189" s="28"/>
      <c r="F189" s="28"/>
      <c r="G189" s="28"/>
    </row>
    <row r="190" customFormat="false" ht="15" hidden="false" customHeight="false" outlineLevel="0" collapsed="false">
      <c r="A190" s="28"/>
      <c r="B190" s="28"/>
      <c r="C190" s="28"/>
      <c r="D190" s="28"/>
      <c r="E190" s="28"/>
      <c r="F190" s="28"/>
      <c r="G190" s="28"/>
    </row>
    <row r="191" customFormat="false" ht="15" hidden="false" customHeight="false" outlineLevel="0" collapsed="false">
      <c r="A191" s="28"/>
      <c r="B191" s="28"/>
      <c r="C191" s="28"/>
      <c r="D191" s="28"/>
      <c r="E191" s="28"/>
      <c r="F191" s="28"/>
      <c r="G191" s="28"/>
    </row>
    <row r="192" customFormat="false" ht="15" hidden="false" customHeight="false" outlineLevel="0" collapsed="false">
      <c r="A192" s="28"/>
      <c r="B192" s="28"/>
      <c r="C192" s="28"/>
      <c r="D192" s="28"/>
      <c r="E192" s="28"/>
      <c r="F192" s="28"/>
      <c r="G192" s="28"/>
    </row>
    <row r="193" customFormat="false" ht="15" hidden="false" customHeight="false" outlineLevel="0" collapsed="false">
      <c r="A193" s="28"/>
      <c r="B193" s="28"/>
      <c r="C193" s="28"/>
      <c r="D193" s="28"/>
      <c r="E193" s="28"/>
      <c r="F193" s="28"/>
      <c r="G193" s="28"/>
    </row>
    <row r="194" customFormat="false" ht="15" hidden="false" customHeight="false" outlineLevel="0" collapsed="false">
      <c r="A194" s="28"/>
      <c r="B194" s="28"/>
      <c r="C194" s="28"/>
      <c r="D194" s="28"/>
      <c r="E194" s="28"/>
      <c r="F194" s="28"/>
      <c r="G194" s="28"/>
    </row>
    <row r="195" customFormat="false" ht="15" hidden="false" customHeight="false" outlineLevel="0" collapsed="false">
      <c r="A195" s="28"/>
      <c r="B195" s="28"/>
      <c r="C195" s="28"/>
      <c r="D195" s="28"/>
      <c r="E195" s="28"/>
      <c r="F195" s="28"/>
      <c r="G195" s="28"/>
    </row>
    <row r="196" customFormat="false" ht="15" hidden="false" customHeight="false" outlineLevel="0" collapsed="false">
      <c r="A196" s="28"/>
      <c r="B196" s="28"/>
      <c r="C196" s="28"/>
      <c r="D196" s="28"/>
      <c r="E196" s="28"/>
      <c r="F196" s="28"/>
      <c r="G196" s="28"/>
    </row>
    <row r="197" customFormat="false" ht="15" hidden="false" customHeight="false" outlineLevel="0" collapsed="false">
      <c r="A197" s="28"/>
      <c r="B197" s="28"/>
      <c r="C197" s="28"/>
      <c r="D197" s="28"/>
      <c r="E197" s="28"/>
      <c r="F197" s="28"/>
      <c r="G197" s="28"/>
    </row>
    <row r="198" customFormat="false" ht="15" hidden="false" customHeight="false" outlineLevel="0" collapsed="false">
      <c r="A198" s="28"/>
      <c r="B198" s="28"/>
      <c r="C198" s="28"/>
      <c r="D198" s="28"/>
      <c r="E198" s="28"/>
      <c r="F198" s="28"/>
      <c r="G198" s="28"/>
    </row>
    <row r="199" customFormat="false" ht="15" hidden="false" customHeight="false" outlineLevel="0" collapsed="false">
      <c r="A199" s="28"/>
      <c r="B199" s="28"/>
      <c r="C199" s="28"/>
      <c r="D199" s="28"/>
      <c r="E199" s="28"/>
      <c r="F199" s="28"/>
      <c r="G199" s="28"/>
    </row>
    <row r="200" customFormat="false" ht="15" hidden="false" customHeight="false" outlineLevel="0" collapsed="false">
      <c r="A200" s="28"/>
      <c r="B200" s="28"/>
      <c r="C200" s="28"/>
      <c r="D200" s="28"/>
      <c r="E200" s="28"/>
      <c r="F200" s="28"/>
      <c r="G200" s="28"/>
    </row>
    <row r="201" customFormat="false" ht="15" hidden="false" customHeight="false" outlineLevel="0" collapsed="false">
      <c r="A201" s="28"/>
      <c r="B201" s="28"/>
      <c r="C201" s="28"/>
      <c r="D201" s="28"/>
      <c r="E201" s="28"/>
      <c r="F201" s="28"/>
      <c r="G201" s="2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44"/>
  </cols>
  <sheetData>
    <row r="1" customFormat="false" ht="31.5" hidden="false" customHeight="true" outlineLevel="0" collapsed="false">
      <c r="A1" s="27" t="s">
        <v>191</v>
      </c>
      <c r="B1" s="27" t="s">
        <v>192</v>
      </c>
      <c r="C1" s="27" t="s">
        <v>193</v>
      </c>
      <c r="D1" s="27" t="s">
        <v>194</v>
      </c>
    </row>
    <row r="2" customFormat="false" ht="15" hidden="false" customHeight="false" outlineLevel="0" collapsed="false">
      <c r="A2" s="28" t="s">
        <v>167</v>
      </c>
      <c r="B2" s="28" t="s">
        <v>166</v>
      </c>
      <c r="C2" s="28" t="s">
        <v>158</v>
      </c>
      <c r="D2" s="28" t="s">
        <v>195</v>
      </c>
    </row>
    <row r="3" customFormat="false" ht="15" hidden="false" customHeight="false" outlineLevel="0" collapsed="false">
      <c r="A3" s="28"/>
      <c r="B3" s="28"/>
      <c r="C3" s="28"/>
      <c r="D3" s="28"/>
    </row>
    <row r="4" customFormat="false" ht="15" hidden="false" customHeight="false" outlineLevel="0" collapsed="false">
      <c r="A4" s="28"/>
      <c r="B4" s="28"/>
      <c r="C4" s="28"/>
      <c r="D4" s="28"/>
    </row>
    <row r="5" customFormat="false" ht="15" hidden="false" customHeight="false" outlineLevel="0" collapsed="false">
      <c r="A5" s="28"/>
      <c r="B5" s="28"/>
      <c r="C5" s="28"/>
      <c r="D5" s="28"/>
    </row>
    <row r="6" customFormat="false" ht="15" hidden="false" customHeight="false" outlineLevel="0" collapsed="false">
      <c r="A6" s="28"/>
      <c r="B6" s="28"/>
      <c r="C6" s="28"/>
      <c r="D6" s="28"/>
    </row>
    <row r="7" customFormat="false" ht="15" hidden="false" customHeight="false" outlineLevel="0" collapsed="false">
      <c r="A7" s="28"/>
      <c r="B7" s="28"/>
      <c r="C7" s="28"/>
      <c r="D7" s="28"/>
    </row>
    <row r="8" customFormat="false" ht="15" hidden="false" customHeight="false" outlineLevel="0" collapsed="false">
      <c r="A8" s="28"/>
      <c r="B8" s="28"/>
      <c r="C8" s="28"/>
      <c r="D8" s="28"/>
    </row>
    <row r="9" customFormat="false" ht="15" hidden="false" customHeight="false" outlineLevel="0" collapsed="false">
      <c r="A9" s="28"/>
      <c r="B9" s="28"/>
      <c r="C9" s="28"/>
      <c r="D9" s="28"/>
    </row>
    <row r="10" customFormat="false" ht="15" hidden="false" customHeight="false" outlineLevel="0" collapsed="false">
      <c r="A10" s="28"/>
      <c r="B10" s="28"/>
      <c r="C10" s="28"/>
      <c r="D10" s="28"/>
    </row>
    <row r="11" customFormat="false" ht="15" hidden="false" customHeight="false" outlineLevel="0" collapsed="false">
      <c r="A11" s="28"/>
      <c r="B11" s="28"/>
      <c r="C11" s="28"/>
      <c r="D11" s="28"/>
    </row>
    <row r="12" customFormat="false" ht="15" hidden="false" customHeight="false" outlineLevel="0" collapsed="false">
      <c r="A12" s="28"/>
      <c r="B12" s="28"/>
      <c r="C12" s="28"/>
      <c r="D12" s="28"/>
    </row>
    <row r="13" customFormat="false" ht="15" hidden="false" customHeight="false" outlineLevel="0" collapsed="false">
      <c r="A13" s="28"/>
      <c r="B13" s="28"/>
      <c r="C13" s="28"/>
      <c r="D13" s="28"/>
    </row>
    <row r="14" customFormat="false" ht="15" hidden="false" customHeight="false" outlineLevel="0" collapsed="false">
      <c r="A14" s="28"/>
      <c r="B14" s="28"/>
      <c r="C14" s="28"/>
      <c r="D14" s="28"/>
    </row>
    <row r="15" customFormat="false" ht="15" hidden="false" customHeight="false" outlineLevel="0" collapsed="false">
      <c r="A15" s="28"/>
      <c r="B15" s="28"/>
      <c r="C15" s="28"/>
      <c r="D15" s="28"/>
    </row>
    <row r="16" customFormat="false" ht="15" hidden="false" customHeight="false" outlineLevel="0" collapsed="false">
      <c r="A16" s="28"/>
      <c r="B16" s="28"/>
      <c r="C16" s="28"/>
      <c r="D16" s="28"/>
    </row>
    <row r="17" customFormat="false" ht="15" hidden="false" customHeight="false" outlineLevel="0" collapsed="false">
      <c r="A17" s="28"/>
      <c r="B17" s="28"/>
      <c r="C17" s="28"/>
      <c r="D17" s="28"/>
    </row>
    <row r="18" customFormat="false" ht="15" hidden="false" customHeight="false" outlineLevel="0" collapsed="false">
      <c r="A18" s="28"/>
      <c r="B18" s="28"/>
      <c r="C18" s="28"/>
      <c r="D18" s="28"/>
    </row>
    <row r="19" customFormat="false" ht="15" hidden="false" customHeight="false" outlineLevel="0" collapsed="false">
      <c r="A19" s="28"/>
      <c r="B19" s="28"/>
      <c r="C19" s="28"/>
      <c r="D19" s="28"/>
    </row>
    <row r="20" customFormat="false" ht="15" hidden="false" customHeight="false" outlineLevel="0" collapsed="false">
      <c r="A20" s="28"/>
      <c r="B20" s="28"/>
      <c r="C20" s="28"/>
      <c r="D20" s="28"/>
    </row>
    <row r="21" customFormat="false" ht="15" hidden="false" customHeight="false" outlineLevel="0" collapsed="false">
      <c r="A21" s="28"/>
      <c r="B21" s="28"/>
      <c r="C21" s="28"/>
      <c r="D21" s="28"/>
    </row>
    <row r="22" customFormat="false" ht="15" hidden="false" customHeight="false" outlineLevel="0" collapsed="false">
      <c r="A22" s="28"/>
      <c r="B22" s="28"/>
      <c r="C22" s="28"/>
      <c r="D22" s="28"/>
    </row>
    <row r="23" customFormat="false" ht="15" hidden="false" customHeight="false" outlineLevel="0" collapsed="false">
      <c r="A23" s="28"/>
      <c r="B23" s="28"/>
      <c r="C23" s="28"/>
      <c r="D23" s="28"/>
    </row>
    <row r="24" customFormat="false" ht="15" hidden="false" customHeight="false" outlineLevel="0" collapsed="false">
      <c r="A24" s="28"/>
      <c r="B24" s="28"/>
      <c r="C24" s="28"/>
      <c r="D24" s="28"/>
    </row>
    <row r="25" customFormat="false" ht="15" hidden="false" customHeight="false" outlineLevel="0" collapsed="false">
      <c r="A25" s="28"/>
      <c r="B25" s="28"/>
      <c r="C25" s="28"/>
      <c r="D25" s="28"/>
    </row>
    <row r="26" customFormat="false" ht="15" hidden="false" customHeight="false" outlineLevel="0" collapsed="false">
      <c r="A26" s="28"/>
      <c r="B26" s="28"/>
      <c r="C26" s="28"/>
      <c r="D26" s="28"/>
    </row>
    <row r="27" customFormat="false" ht="15" hidden="false" customHeight="false" outlineLevel="0" collapsed="false">
      <c r="A27" s="28"/>
      <c r="B27" s="28"/>
      <c r="C27" s="28"/>
      <c r="D27" s="28"/>
    </row>
    <row r="28" customFormat="false" ht="15" hidden="false" customHeight="false" outlineLevel="0" collapsed="false">
      <c r="A28" s="28"/>
      <c r="B28" s="28"/>
      <c r="C28" s="28"/>
      <c r="D28" s="28"/>
    </row>
    <row r="29" customFormat="false" ht="15" hidden="false" customHeight="false" outlineLevel="0" collapsed="false">
      <c r="A29" s="28"/>
      <c r="B29" s="28"/>
      <c r="C29" s="28"/>
      <c r="D29" s="28"/>
    </row>
    <row r="30" customFormat="false" ht="15" hidden="false" customHeight="false" outlineLevel="0" collapsed="false">
      <c r="A30" s="28"/>
      <c r="B30" s="28"/>
      <c r="C30" s="28"/>
      <c r="D30" s="28"/>
    </row>
    <row r="31" customFormat="false" ht="15" hidden="false" customHeight="false" outlineLevel="0" collapsed="false">
      <c r="A31" s="28"/>
      <c r="B31" s="28"/>
      <c r="C31" s="28"/>
      <c r="D31" s="28"/>
    </row>
    <row r="32" customFormat="false" ht="15" hidden="false" customHeight="false" outlineLevel="0" collapsed="false">
      <c r="A32" s="28"/>
      <c r="B32" s="28"/>
      <c r="C32" s="28"/>
      <c r="D32" s="28"/>
    </row>
    <row r="33" customFormat="false" ht="15" hidden="false" customHeight="false" outlineLevel="0" collapsed="false">
      <c r="A33" s="28"/>
      <c r="B33" s="28"/>
      <c r="C33" s="28"/>
      <c r="D33" s="28"/>
    </row>
    <row r="34" customFormat="false" ht="15" hidden="false" customHeight="false" outlineLevel="0" collapsed="false">
      <c r="A34" s="28"/>
      <c r="B34" s="28"/>
      <c r="C34" s="28"/>
      <c r="D34" s="28"/>
    </row>
    <row r="35" customFormat="false" ht="15" hidden="false" customHeight="false" outlineLevel="0" collapsed="false">
      <c r="A35" s="28"/>
      <c r="B35" s="28"/>
      <c r="C35" s="28"/>
      <c r="D35" s="28"/>
    </row>
    <row r="36" customFormat="false" ht="15" hidden="false" customHeight="false" outlineLevel="0" collapsed="false">
      <c r="A36" s="28"/>
      <c r="B36" s="28"/>
      <c r="C36" s="28"/>
      <c r="D36" s="28"/>
    </row>
    <row r="37" customFormat="false" ht="15" hidden="false" customHeight="false" outlineLevel="0" collapsed="false">
      <c r="A37" s="28"/>
      <c r="B37" s="28"/>
      <c r="C37" s="28"/>
      <c r="D37" s="28"/>
    </row>
    <row r="38" customFormat="false" ht="15" hidden="false" customHeight="false" outlineLevel="0" collapsed="false">
      <c r="A38" s="28"/>
      <c r="B38" s="28"/>
      <c r="C38" s="28"/>
      <c r="D38" s="28"/>
    </row>
    <row r="39" customFormat="false" ht="15" hidden="false" customHeight="false" outlineLevel="0" collapsed="false">
      <c r="A39" s="28"/>
      <c r="B39" s="28"/>
      <c r="C39" s="28"/>
      <c r="D39" s="28"/>
    </row>
    <row r="40" customFormat="false" ht="15" hidden="false" customHeight="false" outlineLevel="0" collapsed="false">
      <c r="A40" s="28"/>
      <c r="B40" s="28"/>
      <c r="C40" s="28"/>
      <c r="D40" s="28"/>
    </row>
    <row r="41" customFormat="false" ht="15" hidden="false" customHeight="false" outlineLevel="0" collapsed="false">
      <c r="A41" s="28"/>
      <c r="B41" s="28"/>
      <c r="C41" s="28"/>
      <c r="D41" s="28"/>
    </row>
    <row r="42" customFormat="false" ht="15" hidden="false" customHeight="false" outlineLevel="0" collapsed="false">
      <c r="A42" s="28"/>
      <c r="B42" s="28"/>
      <c r="C42" s="28"/>
      <c r="D42" s="28"/>
    </row>
    <row r="43" customFormat="false" ht="15" hidden="false" customHeight="false" outlineLevel="0" collapsed="false">
      <c r="A43" s="28"/>
      <c r="B43" s="28"/>
      <c r="C43" s="28"/>
      <c r="D43" s="28"/>
    </row>
    <row r="44" customFormat="false" ht="15" hidden="false" customHeight="false" outlineLevel="0" collapsed="false">
      <c r="A44" s="28"/>
      <c r="B44" s="28"/>
      <c r="C44" s="28"/>
      <c r="D44" s="28"/>
    </row>
    <row r="45" customFormat="false" ht="15" hidden="false" customHeight="false" outlineLevel="0" collapsed="false">
      <c r="A45" s="28"/>
      <c r="B45" s="28"/>
      <c r="C45" s="28"/>
      <c r="D45" s="28"/>
    </row>
    <row r="46" customFormat="false" ht="15" hidden="false" customHeight="false" outlineLevel="0" collapsed="false">
      <c r="A46" s="28"/>
      <c r="B46" s="28"/>
      <c r="C46" s="28"/>
      <c r="D46" s="28"/>
    </row>
    <row r="47" customFormat="false" ht="15" hidden="false" customHeight="false" outlineLevel="0" collapsed="false">
      <c r="A47" s="28"/>
      <c r="B47" s="28"/>
      <c r="C47" s="28"/>
      <c r="D47" s="28"/>
    </row>
    <row r="48" customFormat="false" ht="15" hidden="false" customHeight="false" outlineLevel="0" collapsed="false">
      <c r="A48" s="28"/>
      <c r="B48" s="28"/>
      <c r="C48" s="28"/>
      <c r="D48" s="28"/>
    </row>
    <row r="49" customFormat="false" ht="15" hidden="false" customHeight="false" outlineLevel="0" collapsed="false">
      <c r="A49" s="28"/>
      <c r="B49" s="28"/>
      <c r="C49" s="28"/>
      <c r="D49" s="28"/>
    </row>
    <row r="50" customFormat="false" ht="15" hidden="false" customHeight="false" outlineLevel="0" collapsed="false">
      <c r="A50" s="28"/>
      <c r="B50" s="28"/>
      <c r="C50" s="28"/>
      <c r="D50" s="28"/>
    </row>
    <row r="51" customFormat="false" ht="15" hidden="false" customHeight="false" outlineLevel="0" collapsed="false">
      <c r="A51" s="28"/>
      <c r="B51" s="28"/>
      <c r="C51" s="28"/>
      <c r="D51" s="28"/>
    </row>
    <row r="52" customFormat="false" ht="15" hidden="false" customHeight="false" outlineLevel="0" collapsed="false">
      <c r="A52" s="28"/>
      <c r="B52" s="28"/>
      <c r="C52" s="28"/>
      <c r="D52" s="28"/>
    </row>
    <row r="53" customFormat="false" ht="15" hidden="false" customHeight="false" outlineLevel="0" collapsed="false">
      <c r="A53" s="28"/>
      <c r="B53" s="28"/>
      <c r="C53" s="28"/>
      <c r="D53" s="28"/>
    </row>
    <row r="54" customFormat="false" ht="15" hidden="false" customHeight="false" outlineLevel="0" collapsed="false">
      <c r="A54" s="28"/>
      <c r="B54" s="28"/>
      <c r="C54" s="28"/>
      <c r="D54" s="28"/>
    </row>
    <row r="55" customFormat="false" ht="15" hidden="false" customHeight="false" outlineLevel="0" collapsed="false">
      <c r="A55" s="28"/>
      <c r="B55" s="28"/>
      <c r="C55" s="28"/>
      <c r="D55" s="28"/>
    </row>
    <row r="56" customFormat="false" ht="15" hidden="false" customHeight="false" outlineLevel="0" collapsed="false">
      <c r="A56" s="28"/>
      <c r="B56" s="28"/>
      <c r="C56" s="28"/>
      <c r="D56" s="28"/>
    </row>
    <row r="57" customFormat="false" ht="15" hidden="false" customHeight="false" outlineLevel="0" collapsed="false">
      <c r="A57" s="28"/>
      <c r="B57" s="28"/>
      <c r="C57" s="28"/>
      <c r="D57" s="28"/>
    </row>
    <row r="58" customFormat="false" ht="15" hidden="false" customHeight="false" outlineLevel="0" collapsed="false">
      <c r="A58" s="28"/>
      <c r="B58" s="28"/>
      <c r="C58" s="28"/>
      <c r="D58" s="28"/>
    </row>
    <row r="59" customFormat="false" ht="15" hidden="false" customHeight="false" outlineLevel="0" collapsed="false">
      <c r="A59" s="28"/>
      <c r="B59" s="28"/>
      <c r="C59" s="28"/>
      <c r="D59" s="28"/>
    </row>
    <row r="60" customFormat="false" ht="15" hidden="false" customHeight="false" outlineLevel="0" collapsed="false">
      <c r="A60" s="28"/>
      <c r="B60" s="28"/>
      <c r="C60" s="28"/>
      <c r="D60" s="28"/>
    </row>
    <row r="61" customFormat="false" ht="15" hidden="false" customHeight="false" outlineLevel="0" collapsed="false">
      <c r="A61" s="28"/>
      <c r="B61" s="28"/>
      <c r="C61" s="28"/>
      <c r="D61" s="28"/>
    </row>
    <row r="62" customFormat="false" ht="15" hidden="false" customHeight="false" outlineLevel="0" collapsed="false">
      <c r="A62" s="28"/>
      <c r="B62" s="28"/>
      <c r="C62" s="28"/>
      <c r="D62" s="28"/>
    </row>
    <row r="63" customFormat="false" ht="15" hidden="false" customHeight="false" outlineLevel="0" collapsed="false">
      <c r="A63" s="28"/>
      <c r="B63" s="28"/>
      <c r="C63" s="28"/>
      <c r="D63" s="28"/>
    </row>
    <row r="64" customFormat="false" ht="15" hidden="false" customHeight="false" outlineLevel="0" collapsed="false">
      <c r="A64" s="28"/>
      <c r="B64" s="28"/>
      <c r="C64" s="28"/>
      <c r="D64" s="28"/>
    </row>
    <row r="65" customFormat="false" ht="15" hidden="false" customHeight="false" outlineLevel="0" collapsed="false">
      <c r="A65" s="28"/>
      <c r="B65" s="28"/>
      <c r="C65" s="28"/>
      <c r="D65" s="28"/>
    </row>
    <row r="66" customFormat="false" ht="15" hidden="false" customHeight="false" outlineLevel="0" collapsed="false">
      <c r="A66" s="28"/>
      <c r="B66" s="28"/>
      <c r="C66" s="28"/>
      <c r="D66" s="28"/>
    </row>
    <row r="67" customFormat="false" ht="15" hidden="false" customHeight="false" outlineLevel="0" collapsed="false">
      <c r="A67" s="28"/>
      <c r="B67" s="28"/>
      <c r="C67" s="28"/>
      <c r="D67" s="28"/>
    </row>
    <row r="68" customFormat="false" ht="15" hidden="false" customHeight="false" outlineLevel="0" collapsed="false">
      <c r="A68" s="28"/>
      <c r="B68" s="28"/>
      <c r="C68" s="28"/>
      <c r="D68" s="28"/>
    </row>
    <row r="69" customFormat="false" ht="15" hidden="false" customHeight="false" outlineLevel="0" collapsed="false">
      <c r="A69" s="28"/>
      <c r="B69" s="28"/>
      <c r="C69" s="28"/>
      <c r="D69" s="28"/>
    </row>
    <row r="70" customFormat="false" ht="15" hidden="false" customHeight="false" outlineLevel="0" collapsed="false">
      <c r="A70" s="28"/>
      <c r="B70" s="28"/>
      <c r="C70" s="28"/>
      <c r="D70" s="28"/>
    </row>
    <row r="71" customFormat="false" ht="15" hidden="false" customHeight="false" outlineLevel="0" collapsed="false">
      <c r="A71" s="28"/>
      <c r="B71" s="28"/>
      <c r="C71" s="28"/>
      <c r="D71" s="28"/>
    </row>
    <row r="72" customFormat="false" ht="15" hidden="false" customHeight="false" outlineLevel="0" collapsed="false">
      <c r="A72" s="28"/>
      <c r="B72" s="28"/>
      <c r="C72" s="28"/>
      <c r="D72" s="28"/>
    </row>
    <row r="73" customFormat="false" ht="15" hidden="false" customHeight="false" outlineLevel="0" collapsed="false">
      <c r="A73" s="28"/>
      <c r="B73" s="28"/>
      <c r="C73" s="28"/>
      <c r="D73" s="28"/>
    </row>
    <row r="74" customFormat="false" ht="15" hidden="false" customHeight="false" outlineLevel="0" collapsed="false">
      <c r="A74" s="28"/>
      <c r="B74" s="28"/>
      <c r="C74" s="28"/>
      <c r="D74" s="28"/>
    </row>
    <row r="75" customFormat="false" ht="15" hidden="false" customHeight="false" outlineLevel="0" collapsed="false">
      <c r="A75" s="28"/>
      <c r="B75" s="28"/>
      <c r="C75" s="28"/>
      <c r="D75" s="28"/>
    </row>
    <row r="76" customFormat="false" ht="15" hidden="false" customHeight="false" outlineLevel="0" collapsed="false">
      <c r="A76" s="28"/>
      <c r="B76" s="28"/>
      <c r="C76" s="28"/>
      <c r="D76" s="28"/>
    </row>
    <row r="77" customFormat="false" ht="15" hidden="false" customHeight="false" outlineLevel="0" collapsed="false">
      <c r="A77" s="28"/>
      <c r="B77" s="28"/>
      <c r="C77" s="28"/>
      <c r="D77" s="28"/>
    </row>
    <row r="78" customFormat="false" ht="15" hidden="false" customHeight="false" outlineLevel="0" collapsed="false">
      <c r="A78" s="28"/>
      <c r="B78" s="28"/>
      <c r="C78" s="28"/>
      <c r="D78" s="28"/>
    </row>
    <row r="79" customFormat="false" ht="15" hidden="false" customHeight="false" outlineLevel="0" collapsed="false">
      <c r="A79" s="28"/>
      <c r="B79" s="28"/>
      <c r="C79" s="28"/>
      <c r="D79" s="28"/>
    </row>
    <row r="80" customFormat="false" ht="15" hidden="false" customHeight="false" outlineLevel="0" collapsed="false">
      <c r="A80" s="28"/>
      <c r="B80" s="28"/>
      <c r="C80" s="28"/>
      <c r="D80" s="28"/>
    </row>
    <row r="81" customFormat="false" ht="15" hidden="false" customHeight="false" outlineLevel="0" collapsed="false">
      <c r="A81" s="28"/>
      <c r="B81" s="28"/>
      <c r="C81" s="28"/>
      <c r="D81" s="28"/>
    </row>
    <row r="82" customFormat="false" ht="15" hidden="false" customHeight="false" outlineLevel="0" collapsed="false">
      <c r="A82" s="28"/>
      <c r="B82" s="28"/>
      <c r="C82" s="28"/>
      <c r="D82" s="28"/>
    </row>
    <row r="83" customFormat="false" ht="15" hidden="false" customHeight="false" outlineLevel="0" collapsed="false">
      <c r="A83" s="28"/>
      <c r="B83" s="28"/>
      <c r="C83" s="28"/>
      <c r="D83" s="28"/>
    </row>
    <row r="84" customFormat="false" ht="15" hidden="false" customHeight="false" outlineLevel="0" collapsed="false">
      <c r="A84" s="28"/>
      <c r="B84" s="28"/>
      <c r="C84" s="28"/>
      <c r="D84" s="28"/>
    </row>
    <row r="85" customFormat="false" ht="15" hidden="false" customHeight="false" outlineLevel="0" collapsed="false">
      <c r="A85" s="28"/>
      <c r="B85" s="28"/>
      <c r="C85" s="28"/>
      <c r="D85" s="28"/>
    </row>
    <row r="86" customFormat="false" ht="15" hidden="false" customHeight="false" outlineLevel="0" collapsed="false">
      <c r="A86" s="28"/>
      <c r="B86" s="28"/>
      <c r="C86" s="28"/>
      <c r="D86" s="28"/>
    </row>
    <row r="87" customFormat="false" ht="15" hidden="false" customHeight="false" outlineLevel="0" collapsed="false">
      <c r="A87" s="28"/>
      <c r="B87" s="28"/>
      <c r="C87" s="28"/>
      <c r="D87" s="28"/>
    </row>
    <row r="88" customFormat="false" ht="15" hidden="false" customHeight="false" outlineLevel="0" collapsed="false">
      <c r="A88" s="28"/>
      <c r="B88" s="28"/>
      <c r="C88" s="28"/>
      <c r="D88" s="28"/>
    </row>
    <row r="89" customFormat="false" ht="15" hidden="false" customHeight="false" outlineLevel="0" collapsed="false">
      <c r="A89" s="28"/>
      <c r="B89" s="28"/>
      <c r="C89" s="28"/>
      <c r="D89" s="28"/>
    </row>
    <row r="90" customFormat="false" ht="15" hidden="false" customHeight="false" outlineLevel="0" collapsed="false">
      <c r="A90" s="28"/>
      <c r="B90" s="28"/>
      <c r="C90" s="28"/>
      <c r="D90" s="28"/>
    </row>
    <row r="91" customFormat="false" ht="15" hidden="false" customHeight="false" outlineLevel="0" collapsed="false">
      <c r="A91" s="28"/>
      <c r="B91" s="28"/>
      <c r="C91" s="28"/>
      <c r="D91" s="28"/>
    </row>
    <row r="92" customFormat="false" ht="15" hidden="false" customHeight="false" outlineLevel="0" collapsed="false">
      <c r="A92" s="28"/>
      <c r="B92" s="28"/>
      <c r="C92" s="28"/>
      <c r="D92" s="28"/>
    </row>
    <row r="93" customFormat="false" ht="15" hidden="false" customHeight="false" outlineLevel="0" collapsed="false">
      <c r="A93" s="28"/>
      <c r="B93" s="28"/>
      <c r="C93" s="28"/>
      <c r="D93" s="28"/>
    </row>
    <row r="94" customFormat="false" ht="15" hidden="false" customHeight="false" outlineLevel="0" collapsed="false">
      <c r="A94" s="28"/>
      <c r="B94" s="28"/>
      <c r="C94" s="28"/>
      <c r="D94" s="28"/>
    </row>
    <row r="95" customFormat="false" ht="15" hidden="false" customHeight="false" outlineLevel="0" collapsed="false">
      <c r="A95" s="28"/>
      <c r="B95" s="28"/>
      <c r="C95" s="28"/>
      <c r="D95" s="28"/>
    </row>
    <row r="96" customFormat="false" ht="15" hidden="false" customHeight="false" outlineLevel="0" collapsed="false">
      <c r="A96" s="28"/>
      <c r="B96" s="28"/>
      <c r="C96" s="28"/>
      <c r="D96" s="28"/>
    </row>
    <row r="97" customFormat="false" ht="15" hidden="false" customHeight="false" outlineLevel="0" collapsed="false">
      <c r="A97" s="28"/>
      <c r="B97" s="28"/>
      <c r="C97" s="28"/>
      <c r="D97" s="28"/>
    </row>
    <row r="98" customFormat="false" ht="15" hidden="false" customHeight="false" outlineLevel="0" collapsed="false">
      <c r="A98" s="28"/>
      <c r="B98" s="28"/>
      <c r="C98" s="28"/>
      <c r="D98" s="28"/>
    </row>
    <row r="99" customFormat="false" ht="15" hidden="false" customHeight="false" outlineLevel="0" collapsed="false">
      <c r="A99" s="28"/>
      <c r="B99" s="28"/>
      <c r="C99" s="28"/>
      <c r="D99" s="28"/>
    </row>
    <row r="100" customFormat="false" ht="15" hidden="false" customHeight="false" outlineLevel="0" collapsed="false">
      <c r="A100" s="28"/>
      <c r="B100" s="28"/>
      <c r="C100" s="28"/>
      <c r="D100" s="28"/>
    </row>
    <row r="101" customFormat="false" ht="15" hidden="false" customHeight="false" outlineLevel="0" collapsed="false">
      <c r="A101" s="28"/>
      <c r="B101" s="28"/>
      <c r="C101" s="28"/>
      <c r="D101" s="28"/>
    </row>
    <row r="102" customFormat="false" ht="15" hidden="false" customHeight="false" outlineLevel="0" collapsed="false">
      <c r="A102" s="28"/>
      <c r="B102" s="28"/>
      <c r="C102" s="28"/>
      <c r="D102" s="28"/>
    </row>
    <row r="103" customFormat="false" ht="15" hidden="false" customHeight="false" outlineLevel="0" collapsed="false">
      <c r="A103" s="28"/>
      <c r="B103" s="28"/>
      <c r="C103" s="28"/>
      <c r="D103" s="28"/>
    </row>
    <row r="104" customFormat="false" ht="15" hidden="false" customHeight="false" outlineLevel="0" collapsed="false">
      <c r="A104" s="28"/>
      <c r="B104" s="28"/>
      <c r="C104" s="28"/>
      <c r="D104" s="28"/>
    </row>
    <row r="105" customFormat="false" ht="15" hidden="false" customHeight="false" outlineLevel="0" collapsed="false">
      <c r="A105" s="28"/>
      <c r="B105" s="28"/>
      <c r="C105" s="28"/>
      <c r="D105" s="28"/>
    </row>
    <row r="106" customFormat="false" ht="15" hidden="false" customHeight="false" outlineLevel="0" collapsed="false">
      <c r="A106" s="28"/>
      <c r="B106" s="28"/>
      <c r="C106" s="28"/>
      <c r="D106" s="28"/>
    </row>
    <row r="107" customFormat="false" ht="15" hidden="false" customHeight="false" outlineLevel="0" collapsed="false">
      <c r="A107" s="28"/>
      <c r="B107" s="28"/>
      <c r="C107" s="28"/>
      <c r="D107" s="28"/>
    </row>
    <row r="108" customFormat="false" ht="15" hidden="false" customHeight="false" outlineLevel="0" collapsed="false">
      <c r="A108" s="28"/>
      <c r="B108" s="28"/>
      <c r="C108" s="28"/>
      <c r="D108" s="28"/>
    </row>
    <row r="109" customFormat="false" ht="15" hidden="false" customHeight="false" outlineLevel="0" collapsed="false">
      <c r="A109" s="28"/>
      <c r="B109" s="28"/>
      <c r="C109" s="28"/>
      <c r="D109" s="28"/>
    </row>
    <row r="110" customFormat="false" ht="15" hidden="false" customHeight="false" outlineLevel="0" collapsed="false">
      <c r="A110" s="28"/>
      <c r="B110" s="28"/>
      <c r="C110" s="28"/>
      <c r="D110" s="28"/>
    </row>
    <row r="111" customFormat="false" ht="15" hidden="false" customHeight="false" outlineLevel="0" collapsed="false">
      <c r="A111" s="28"/>
      <c r="B111" s="28"/>
      <c r="C111" s="28"/>
      <c r="D111" s="28"/>
    </row>
    <row r="112" customFormat="false" ht="15" hidden="false" customHeight="false" outlineLevel="0" collapsed="false">
      <c r="A112" s="28"/>
      <c r="B112" s="28"/>
      <c r="C112" s="28"/>
      <c r="D112" s="28"/>
    </row>
    <row r="113" customFormat="false" ht="15" hidden="false" customHeight="false" outlineLevel="0" collapsed="false">
      <c r="A113" s="28"/>
      <c r="B113" s="28"/>
      <c r="C113" s="28"/>
      <c r="D113" s="28"/>
    </row>
    <row r="114" customFormat="false" ht="15" hidden="false" customHeight="false" outlineLevel="0" collapsed="false">
      <c r="A114" s="28"/>
      <c r="B114" s="28"/>
      <c r="C114" s="28"/>
      <c r="D114" s="28"/>
    </row>
    <row r="115" customFormat="false" ht="15" hidden="false" customHeight="false" outlineLevel="0" collapsed="false">
      <c r="A115" s="28"/>
      <c r="B115" s="28"/>
      <c r="C115" s="28"/>
      <c r="D115" s="28"/>
    </row>
    <row r="116" customFormat="false" ht="15" hidden="false" customHeight="false" outlineLevel="0" collapsed="false">
      <c r="A116" s="28"/>
      <c r="B116" s="28"/>
      <c r="C116" s="28"/>
      <c r="D116" s="28"/>
    </row>
    <row r="117" customFormat="false" ht="15" hidden="false" customHeight="false" outlineLevel="0" collapsed="false">
      <c r="A117" s="28"/>
      <c r="B117" s="28"/>
      <c r="C117" s="28"/>
      <c r="D117" s="28"/>
    </row>
    <row r="118" customFormat="false" ht="15" hidden="false" customHeight="false" outlineLevel="0" collapsed="false">
      <c r="A118" s="28"/>
      <c r="B118" s="28"/>
      <c r="C118" s="28"/>
      <c r="D118" s="28"/>
    </row>
    <row r="119" customFormat="false" ht="15" hidden="false" customHeight="false" outlineLevel="0" collapsed="false">
      <c r="A119" s="28"/>
      <c r="B119" s="28"/>
      <c r="C119" s="28"/>
      <c r="D119" s="28"/>
    </row>
    <row r="120" customFormat="false" ht="15" hidden="false" customHeight="false" outlineLevel="0" collapsed="false">
      <c r="A120" s="28"/>
      <c r="B120" s="28"/>
      <c r="C120" s="28"/>
      <c r="D120" s="28"/>
    </row>
    <row r="121" customFormat="false" ht="15" hidden="false" customHeight="false" outlineLevel="0" collapsed="false">
      <c r="A121" s="28"/>
      <c r="B121" s="28"/>
      <c r="C121" s="28"/>
      <c r="D121" s="28"/>
    </row>
    <row r="122" customFormat="false" ht="15" hidden="false" customHeight="false" outlineLevel="0" collapsed="false">
      <c r="A122" s="28"/>
      <c r="B122" s="28"/>
      <c r="C122" s="28"/>
      <c r="D122" s="28"/>
    </row>
    <row r="123" customFormat="false" ht="15" hidden="false" customHeight="false" outlineLevel="0" collapsed="false">
      <c r="A123" s="28"/>
      <c r="B123" s="28"/>
      <c r="C123" s="28"/>
      <c r="D123" s="28"/>
    </row>
    <row r="124" customFormat="false" ht="15" hidden="false" customHeight="false" outlineLevel="0" collapsed="false">
      <c r="A124" s="28"/>
      <c r="B124" s="28"/>
      <c r="C124" s="28"/>
      <c r="D124" s="28"/>
    </row>
    <row r="125" customFormat="false" ht="15" hidden="false" customHeight="false" outlineLevel="0" collapsed="false">
      <c r="A125" s="28"/>
      <c r="B125" s="28"/>
      <c r="C125" s="28"/>
      <c r="D125" s="28"/>
    </row>
    <row r="126" customFormat="false" ht="15" hidden="false" customHeight="false" outlineLevel="0" collapsed="false">
      <c r="A126" s="28"/>
      <c r="B126" s="28"/>
      <c r="C126" s="28"/>
      <c r="D126" s="28"/>
    </row>
    <row r="127" customFormat="false" ht="15" hidden="false" customHeight="false" outlineLevel="0" collapsed="false">
      <c r="A127" s="28"/>
      <c r="B127" s="28"/>
      <c r="C127" s="28"/>
      <c r="D127" s="28"/>
    </row>
    <row r="128" customFormat="false" ht="15" hidden="false" customHeight="false" outlineLevel="0" collapsed="false">
      <c r="A128" s="28"/>
      <c r="B128" s="28"/>
      <c r="C128" s="28"/>
      <c r="D128" s="28"/>
    </row>
    <row r="129" customFormat="false" ht="15" hidden="false" customHeight="false" outlineLevel="0" collapsed="false">
      <c r="A129" s="28"/>
      <c r="B129" s="28"/>
      <c r="C129" s="28"/>
      <c r="D129" s="28"/>
    </row>
    <row r="130" customFormat="false" ht="15" hidden="false" customHeight="false" outlineLevel="0" collapsed="false">
      <c r="A130" s="28"/>
      <c r="B130" s="28"/>
      <c r="C130" s="28"/>
      <c r="D130" s="28"/>
    </row>
    <row r="131" customFormat="false" ht="15" hidden="false" customHeight="false" outlineLevel="0" collapsed="false">
      <c r="A131" s="28"/>
      <c r="B131" s="28"/>
      <c r="C131" s="28"/>
      <c r="D131" s="28"/>
    </row>
    <row r="132" customFormat="false" ht="15" hidden="false" customHeight="false" outlineLevel="0" collapsed="false">
      <c r="A132" s="28"/>
      <c r="B132" s="28"/>
      <c r="C132" s="28"/>
      <c r="D132" s="28"/>
    </row>
    <row r="133" customFormat="false" ht="15" hidden="false" customHeight="false" outlineLevel="0" collapsed="false">
      <c r="A133" s="28"/>
      <c r="B133" s="28"/>
      <c r="C133" s="28"/>
      <c r="D133" s="28"/>
    </row>
    <row r="134" customFormat="false" ht="15" hidden="false" customHeight="false" outlineLevel="0" collapsed="false">
      <c r="A134" s="28"/>
      <c r="B134" s="28"/>
      <c r="C134" s="28"/>
      <c r="D134" s="28"/>
    </row>
    <row r="135" customFormat="false" ht="15" hidden="false" customHeight="false" outlineLevel="0" collapsed="false">
      <c r="A135" s="28"/>
      <c r="B135" s="28"/>
      <c r="C135" s="28"/>
      <c r="D135" s="28"/>
    </row>
    <row r="136" customFormat="false" ht="15" hidden="false" customHeight="false" outlineLevel="0" collapsed="false">
      <c r="A136" s="28"/>
      <c r="B136" s="28"/>
      <c r="C136" s="28"/>
      <c r="D136" s="28"/>
    </row>
    <row r="137" customFormat="false" ht="15" hidden="false" customHeight="false" outlineLevel="0" collapsed="false">
      <c r="A137" s="28"/>
      <c r="B137" s="28"/>
      <c r="C137" s="28"/>
      <c r="D137" s="28"/>
    </row>
    <row r="138" customFormat="false" ht="15" hidden="false" customHeight="false" outlineLevel="0" collapsed="false">
      <c r="A138" s="28"/>
      <c r="B138" s="28"/>
      <c r="C138" s="28"/>
      <c r="D138" s="28"/>
    </row>
    <row r="139" customFormat="false" ht="15" hidden="false" customHeight="false" outlineLevel="0" collapsed="false">
      <c r="A139" s="28"/>
      <c r="B139" s="28"/>
      <c r="C139" s="28"/>
      <c r="D139" s="28"/>
    </row>
    <row r="140" customFormat="false" ht="15" hidden="false" customHeight="false" outlineLevel="0" collapsed="false">
      <c r="A140" s="28"/>
      <c r="B140" s="28"/>
      <c r="C140" s="28"/>
      <c r="D140" s="28"/>
    </row>
    <row r="141" customFormat="false" ht="15" hidden="false" customHeight="false" outlineLevel="0" collapsed="false">
      <c r="A141" s="28"/>
      <c r="B141" s="28"/>
      <c r="C141" s="28"/>
      <c r="D141" s="28"/>
    </row>
    <row r="142" customFormat="false" ht="15" hidden="false" customHeight="false" outlineLevel="0" collapsed="false">
      <c r="A142" s="28"/>
      <c r="B142" s="28"/>
      <c r="C142" s="28"/>
      <c r="D142" s="28"/>
    </row>
    <row r="143" customFormat="false" ht="15" hidden="false" customHeight="false" outlineLevel="0" collapsed="false">
      <c r="A143" s="28"/>
      <c r="B143" s="28"/>
      <c r="C143" s="28"/>
      <c r="D143" s="28"/>
    </row>
    <row r="144" customFormat="false" ht="15" hidden="false" customHeight="false" outlineLevel="0" collapsed="false">
      <c r="A144" s="28"/>
      <c r="B144" s="28"/>
      <c r="C144" s="28"/>
      <c r="D144" s="28"/>
    </row>
    <row r="145" customFormat="false" ht="15" hidden="false" customHeight="false" outlineLevel="0" collapsed="false">
      <c r="A145" s="28"/>
      <c r="B145" s="28"/>
      <c r="C145" s="28"/>
      <c r="D145" s="28"/>
    </row>
    <row r="146" customFormat="false" ht="15" hidden="false" customHeight="false" outlineLevel="0" collapsed="false">
      <c r="A146" s="28"/>
      <c r="B146" s="28"/>
      <c r="C146" s="28"/>
      <c r="D146" s="28"/>
    </row>
    <row r="147" customFormat="false" ht="15" hidden="false" customHeight="false" outlineLevel="0" collapsed="false">
      <c r="A147" s="28"/>
      <c r="B147" s="28"/>
      <c r="C147" s="28"/>
      <c r="D147" s="28"/>
    </row>
    <row r="148" customFormat="false" ht="15" hidden="false" customHeight="false" outlineLevel="0" collapsed="false">
      <c r="A148" s="28"/>
      <c r="B148" s="28"/>
      <c r="C148" s="28"/>
      <c r="D148" s="28"/>
    </row>
    <row r="149" customFormat="false" ht="15" hidden="false" customHeight="false" outlineLevel="0" collapsed="false">
      <c r="A149" s="28"/>
      <c r="B149" s="28"/>
      <c r="C149" s="28"/>
      <c r="D149" s="28"/>
    </row>
    <row r="150" customFormat="false" ht="15" hidden="false" customHeight="false" outlineLevel="0" collapsed="false">
      <c r="A150" s="28"/>
      <c r="B150" s="28"/>
      <c r="C150" s="28"/>
      <c r="D150" s="28"/>
    </row>
    <row r="151" customFormat="false" ht="15" hidden="false" customHeight="false" outlineLevel="0" collapsed="false">
      <c r="A151" s="28"/>
      <c r="B151" s="28"/>
      <c r="C151" s="28"/>
      <c r="D151" s="28"/>
    </row>
    <row r="152" customFormat="false" ht="15" hidden="false" customHeight="false" outlineLevel="0" collapsed="false">
      <c r="A152" s="28"/>
      <c r="B152" s="28"/>
      <c r="C152" s="28"/>
      <c r="D152" s="28"/>
    </row>
    <row r="153" customFormat="false" ht="15" hidden="false" customHeight="false" outlineLevel="0" collapsed="false">
      <c r="A153" s="28"/>
      <c r="B153" s="28"/>
      <c r="C153" s="28"/>
      <c r="D153" s="28"/>
    </row>
    <row r="154" customFormat="false" ht="15" hidden="false" customHeight="false" outlineLevel="0" collapsed="false">
      <c r="A154" s="28"/>
      <c r="B154" s="28"/>
      <c r="C154" s="28"/>
      <c r="D154" s="28"/>
    </row>
    <row r="155" customFormat="false" ht="15" hidden="false" customHeight="false" outlineLevel="0" collapsed="false">
      <c r="A155" s="28"/>
      <c r="B155" s="28"/>
      <c r="C155" s="28"/>
      <c r="D155" s="28"/>
    </row>
    <row r="156" customFormat="false" ht="15" hidden="false" customHeight="false" outlineLevel="0" collapsed="false">
      <c r="A156" s="28"/>
      <c r="B156" s="28"/>
      <c r="C156" s="28"/>
      <c r="D156" s="28"/>
    </row>
    <row r="157" customFormat="false" ht="15" hidden="false" customHeight="false" outlineLevel="0" collapsed="false">
      <c r="A157" s="28"/>
      <c r="B157" s="28"/>
      <c r="C157" s="28"/>
      <c r="D157" s="28"/>
    </row>
    <row r="158" customFormat="false" ht="15" hidden="false" customHeight="false" outlineLevel="0" collapsed="false">
      <c r="A158" s="28"/>
      <c r="B158" s="28"/>
      <c r="C158" s="28"/>
      <c r="D158" s="28"/>
    </row>
    <row r="159" customFormat="false" ht="15" hidden="false" customHeight="false" outlineLevel="0" collapsed="false">
      <c r="A159" s="28"/>
      <c r="B159" s="28"/>
      <c r="C159" s="28"/>
      <c r="D159" s="28"/>
    </row>
    <row r="160" customFormat="false" ht="15" hidden="false" customHeight="false" outlineLevel="0" collapsed="false">
      <c r="A160" s="28"/>
      <c r="B160" s="28"/>
      <c r="C160" s="28"/>
      <c r="D160" s="28"/>
    </row>
    <row r="161" customFormat="false" ht="15" hidden="false" customHeight="false" outlineLevel="0" collapsed="false">
      <c r="A161" s="28"/>
      <c r="B161" s="28"/>
      <c r="C161" s="28"/>
      <c r="D161" s="28"/>
    </row>
    <row r="162" customFormat="false" ht="15" hidden="false" customHeight="false" outlineLevel="0" collapsed="false">
      <c r="A162" s="28"/>
      <c r="B162" s="28"/>
      <c r="C162" s="28"/>
      <c r="D162" s="28"/>
    </row>
    <row r="163" customFormat="false" ht="15" hidden="false" customHeight="false" outlineLevel="0" collapsed="false">
      <c r="A163" s="28"/>
      <c r="B163" s="28"/>
      <c r="C163" s="28"/>
      <c r="D163" s="28"/>
    </row>
    <row r="164" customFormat="false" ht="15" hidden="false" customHeight="false" outlineLevel="0" collapsed="false">
      <c r="A164" s="28"/>
      <c r="B164" s="28"/>
      <c r="C164" s="28"/>
      <c r="D164" s="28"/>
    </row>
    <row r="165" customFormat="false" ht="15" hidden="false" customHeight="false" outlineLevel="0" collapsed="false">
      <c r="A165" s="28"/>
      <c r="B165" s="28"/>
      <c r="C165" s="28"/>
      <c r="D165" s="28"/>
    </row>
    <row r="166" customFormat="false" ht="15" hidden="false" customHeight="false" outlineLevel="0" collapsed="false">
      <c r="A166" s="28"/>
      <c r="B166" s="28"/>
      <c r="C166" s="28"/>
      <c r="D166" s="28"/>
    </row>
    <row r="167" customFormat="false" ht="15" hidden="false" customHeight="false" outlineLevel="0" collapsed="false">
      <c r="A167" s="28"/>
      <c r="B167" s="28"/>
      <c r="C167" s="28"/>
      <c r="D167" s="28"/>
    </row>
    <row r="168" customFormat="false" ht="15" hidden="false" customHeight="false" outlineLevel="0" collapsed="false">
      <c r="A168" s="28"/>
      <c r="B168" s="28"/>
      <c r="C168" s="28"/>
      <c r="D168" s="28"/>
    </row>
    <row r="169" customFormat="false" ht="15" hidden="false" customHeight="false" outlineLevel="0" collapsed="false">
      <c r="A169" s="28"/>
      <c r="B169" s="28"/>
      <c r="C169" s="28"/>
      <c r="D169" s="28"/>
    </row>
    <row r="170" customFormat="false" ht="15" hidden="false" customHeight="false" outlineLevel="0" collapsed="false">
      <c r="A170" s="28"/>
      <c r="B170" s="28"/>
      <c r="C170" s="28"/>
      <c r="D170" s="28"/>
    </row>
    <row r="171" customFormat="false" ht="15" hidden="false" customHeight="false" outlineLevel="0" collapsed="false">
      <c r="A171" s="28"/>
      <c r="B171" s="28"/>
      <c r="C171" s="28"/>
      <c r="D171" s="28"/>
    </row>
    <row r="172" customFormat="false" ht="15" hidden="false" customHeight="false" outlineLevel="0" collapsed="false">
      <c r="A172" s="28"/>
      <c r="B172" s="28"/>
      <c r="C172" s="28"/>
      <c r="D172" s="28"/>
    </row>
    <row r="173" customFormat="false" ht="15" hidden="false" customHeight="false" outlineLevel="0" collapsed="false">
      <c r="A173" s="28"/>
      <c r="B173" s="28"/>
      <c r="C173" s="28"/>
      <c r="D173" s="28"/>
    </row>
    <row r="174" customFormat="false" ht="15" hidden="false" customHeight="false" outlineLevel="0" collapsed="false">
      <c r="A174" s="28"/>
      <c r="B174" s="28"/>
      <c r="C174" s="28"/>
      <c r="D174" s="28"/>
    </row>
    <row r="175" customFormat="false" ht="15" hidden="false" customHeight="false" outlineLevel="0" collapsed="false">
      <c r="A175" s="28"/>
      <c r="B175" s="28"/>
      <c r="C175" s="28"/>
      <c r="D175" s="28"/>
    </row>
    <row r="176" customFormat="false" ht="15" hidden="false" customHeight="false" outlineLevel="0" collapsed="false">
      <c r="A176" s="28"/>
      <c r="B176" s="28"/>
      <c r="C176" s="28"/>
      <c r="D176" s="28"/>
    </row>
    <row r="177" customFormat="false" ht="15" hidden="false" customHeight="false" outlineLevel="0" collapsed="false">
      <c r="A177" s="28"/>
      <c r="B177" s="28"/>
      <c r="C177" s="28"/>
      <c r="D177" s="28"/>
    </row>
    <row r="178" customFormat="false" ht="15" hidden="false" customHeight="false" outlineLevel="0" collapsed="false">
      <c r="A178" s="28"/>
      <c r="B178" s="28"/>
      <c r="C178" s="28"/>
      <c r="D178" s="28"/>
    </row>
    <row r="179" customFormat="false" ht="15" hidden="false" customHeight="false" outlineLevel="0" collapsed="false">
      <c r="A179" s="28"/>
      <c r="B179" s="28"/>
      <c r="C179" s="28"/>
      <c r="D179" s="28"/>
    </row>
    <row r="180" customFormat="false" ht="15" hidden="false" customHeight="false" outlineLevel="0" collapsed="false">
      <c r="A180" s="28"/>
      <c r="B180" s="28"/>
      <c r="C180" s="28"/>
      <c r="D180" s="28"/>
    </row>
    <row r="181" customFormat="false" ht="15" hidden="false" customHeight="false" outlineLevel="0" collapsed="false">
      <c r="A181" s="28"/>
      <c r="B181" s="28"/>
      <c r="C181" s="28"/>
      <c r="D181" s="28"/>
    </row>
    <row r="182" customFormat="false" ht="15" hidden="false" customHeight="false" outlineLevel="0" collapsed="false">
      <c r="A182" s="28"/>
      <c r="B182" s="28"/>
      <c r="C182" s="28"/>
      <c r="D182" s="28"/>
    </row>
    <row r="183" customFormat="false" ht="15" hidden="false" customHeight="false" outlineLevel="0" collapsed="false">
      <c r="A183" s="28"/>
      <c r="B183" s="28"/>
      <c r="C183" s="28"/>
      <c r="D183" s="28"/>
    </row>
    <row r="184" customFormat="false" ht="15" hidden="false" customHeight="false" outlineLevel="0" collapsed="false">
      <c r="A184" s="28"/>
      <c r="B184" s="28"/>
      <c r="C184" s="28"/>
      <c r="D184" s="28"/>
    </row>
    <row r="185" customFormat="false" ht="15" hidden="false" customHeight="false" outlineLevel="0" collapsed="false">
      <c r="A185" s="28"/>
      <c r="B185" s="28"/>
      <c r="C185" s="28"/>
      <c r="D185" s="28"/>
    </row>
    <row r="186" customFormat="false" ht="15" hidden="false" customHeight="false" outlineLevel="0" collapsed="false">
      <c r="A186" s="28"/>
      <c r="B186" s="28"/>
      <c r="C186" s="28"/>
      <c r="D186" s="28"/>
    </row>
    <row r="187" customFormat="false" ht="15" hidden="false" customHeight="false" outlineLevel="0" collapsed="false">
      <c r="A187" s="28"/>
      <c r="B187" s="28"/>
      <c r="C187" s="28"/>
      <c r="D187" s="28"/>
    </row>
    <row r="188" customFormat="false" ht="15" hidden="false" customHeight="false" outlineLevel="0" collapsed="false">
      <c r="A188" s="28"/>
      <c r="B188" s="28"/>
      <c r="C188" s="28"/>
      <c r="D188" s="28"/>
    </row>
    <row r="189" customFormat="false" ht="15" hidden="false" customHeight="false" outlineLevel="0" collapsed="false">
      <c r="A189" s="28"/>
      <c r="B189" s="28"/>
      <c r="C189" s="28"/>
      <c r="D189" s="28"/>
    </row>
    <row r="190" customFormat="false" ht="15" hidden="false" customHeight="false" outlineLevel="0" collapsed="false">
      <c r="A190" s="28"/>
      <c r="B190" s="28"/>
      <c r="C190" s="28"/>
      <c r="D190" s="28"/>
    </row>
    <row r="191" customFormat="false" ht="15" hidden="false" customHeight="false" outlineLevel="0" collapsed="false">
      <c r="A191" s="28"/>
      <c r="B191" s="28"/>
      <c r="C191" s="28"/>
      <c r="D191" s="28"/>
    </row>
    <row r="192" customFormat="false" ht="15" hidden="false" customHeight="false" outlineLevel="0" collapsed="false">
      <c r="A192" s="28"/>
      <c r="B192" s="28"/>
      <c r="C192" s="28"/>
      <c r="D192" s="28"/>
    </row>
    <row r="193" customFormat="false" ht="15" hidden="false" customHeight="false" outlineLevel="0" collapsed="false">
      <c r="A193" s="28"/>
      <c r="B193" s="28"/>
      <c r="C193" s="28"/>
      <c r="D193" s="28"/>
    </row>
    <row r="194" customFormat="false" ht="15" hidden="false" customHeight="false" outlineLevel="0" collapsed="false">
      <c r="A194" s="28"/>
      <c r="B194" s="28"/>
      <c r="C194" s="28"/>
      <c r="D194" s="28"/>
    </row>
    <row r="195" customFormat="false" ht="15" hidden="false" customHeight="false" outlineLevel="0" collapsed="false">
      <c r="A195" s="28"/>
      <c r="B195" s="28"/>
      <c r="C195" s="28"/>
      <c r="D195" s="28"/>
    </row>
    <row r="196" customFormat="false" ht="15" hidden="false" customHeight="false" outlineLevel="0" collapsed="false">
      <c r="A196" s="28"/>
      <c r="B196" s="28"/>
      <c r="C196" s="28"/>
      <c r="D196" s="28"/>
    </row>
    <row r="197" customFormat="false" ht="15" hidden="false" customHeight="false" outlineLevel="0" collapsed="false">
      <c r="A197" s="28"/>
      <c r="B197" s="28"/>
      <c r="C197" s="28"/>
      <c r="D197" s="28"/>
    </row>
    <row r="198" customFormat="false" ht="15" hidden="false" customHeight="false" outlineLevel="0" collapsed="false">
      <c r="A198" s="28"/>
      <c r="B198" s="28"/>
      <c r="C198" s="28"/>
      <c r="D198" s="28"/>
    </row>
    <row r="199" customFormat="false" ht="15" hidden="false" customHeight="false" outlineLevel="0" collapsed="false">
      <c r="A199" s="28"/>
      <c r="B199" s="28"/>
      <c r="C199" s="28"/>
      <c r="D199" s="28"/>
    </row>
    <row r="200" customFormat="false" ht="15" hidden="false" customHeight="false" outlineLevel="0" collapsed="false">
      <c r="A200" s="28"/>
      <c r="B200" s="28"/>
      <c r="C200" s="28"/>
      <c r="D200" s="28"/>
    </row>
    <row r="201" customFormat="false" ht="15" hidden="false" customHeight="false" outlineLevel="0" collapsed="false">
      <c r="A201" s="28"/>
      <c r="B201" s="28"/>
      <c r="C201" s="28"/>
      <c r="D201" s="2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s>
  <sheetData>
    <row r="1" customFormat="false" ht="15" hidden="false" customHeight="false" outlineLevel="0" collapsed="false">
      <c r="A1" s="29" t="s">
        <v>196</v>
      </c>
      <c r="B1" s="29" t="s">
        <v>197</v>
      </c>
      <c r="C1" s="29" t="s">
        <v>198</v>
      </c>
      <c r="D1" s="29" t="s">
        <v>199</v>
      </c>
    </row>
    <row r="2" customFormat="false" ht="15" hidden="false" customHeight="false" outlineLevel="0" collapsed="false">
      <c r="A2" s="30" t="s">
        <v>75</v>
      </c>
      <c r="B2" s="30" t="s">
        <v>77</v>
      </c>
      <c r="C2" s="30" t="s">
        <v>200</v>
      </c>
      <c r="D2" s="30" t="s">
        <v>96</v>
      </c>
    </row>
    <row r="3" customFormat="false" ht="15" hidden="false" customHeight="false" outlineLevel="0" collapsed="false">
      <c r="A3" s="30" t="s">
        <v>201</v>
      </c>
      <c r="B3" s="30" t="s">
        <v>81</v>
      </c>
      <c r="C3" s="30" t="s">
        <v>94</v>
      </c>
      <c r="D3" s="30" t="s">
        <v>202</v>
      </c>
    </row>
    <row r="4" customFormat="false" ht="15" hidden="false" customHeight="false" outlineLevel="0" collapsed="false">
      <c r="A4" s="30" t="s">
        <v>40</v>
      </c>
      <c r="B4" s="30" t="s">
        <v>87</v>
      </c>
      <c r="C4" s="30" t="s">
        <v>203</v>
      </c>
      <c r="D4" s="30" t="s">
        <v>138</v>
      </c>
    </row>
    <row r="5" customFormat="false" ht="15" hidden="false" customHeight="false" outlineLevel="0" collapsed="false">
      <c r="A5" s="30" t="s">
        <v>204</v>
      </c>
      <c r="C5" s="30" t="s">
        <v>205</v>
      </c>
    </row>
    <row r="6" customFormat="false" ht="15" hidden="false" customHeight="false" outlineLevel="0" collapsed="false">
      <c r="A6" s="30" t="s">
        <v>206</v>
      </c>
      <c r="C6" s="30" t="s">
        <v>207</v>
      </c>
    </row>
    <row r="7" customFormat="false" ht="15" hidden="false" customHeight="false" outlineLevel="0" collapsed="false">
      <c r="A7" s="30"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208</v>
      </c>
    </row>
    <row r="2" customFormat="false" ht="15" hidden="false" customHeight="false" outlineLevel="0" collapsed="false">
      <c r="A2" s="10" t="s">
        <v>209</v>
      </c>
    </row>
    <row r="3" customFormat="false" ht="15" hidden="false" customHeight="false" outlineLevel="0" collapsed="false">
      <c r="A3" s="29" t="s">
        <v>210</v>
      </c>
      <c r="B3" s="31" t="str">
        <f aca="false">IF(COUNTIF(C6:C22,"REVIEW")=0,"ALL CHECKS PASS","REVIEW ITEMS: "&amp;COUNTIF(C6:C22,"REVIEW"))</f>
        <v>ALL CHECKS PASS</v>
      </c>
    </row>
    <row r="5" customFormat="false" ht="15" hidden="false" customHeight="false" outlineLevel="0" collapsed="false">
      <c r="A5" s="5" t="s">
        <v>48</v>
      </c>
      <c r="B5" s="5" t="s">
        <v>211</v>
      </c>
      <c r="C5" s="5" t="s">
        <v>35</v>
      </c>
      <c r="D5" s="5" t="s">
        <v>212</v>
      </c>
    </row>
    <row r="6" customFormat="false" ht="15" hidden="false" customHeight="false" outlineLevel="0" collapsed="false">
      <c r="A6" s="32" t="s">
        <v>213</v>
      </c>
      <c r="B6" s="32" t="n">
        <f aca="false">COUNTIF(Known_Unconfirmed_Outstanding!D5:D204,"Known")</f>
        <v>1</v>
      </c>
      <c r="C6" s="32" t="s">
        <v>214</v>
      </c>
      <c r="D6" s="32" t="s">
        <v>215</v>
      </c>
    </row>
    <row r="7" customFormat="false" ht="15" hidden="false" customHeight="false" outlineLevel="0" collapsed="false">
      <c r="A7" s="32" t="s">
        <v>216</v>
      </c>
      <c r="B7" s="32" t="n">
        <f aca="false">COUNTIF(Known_Unconfirmed_Outstanding!D5:D204,"Unconfirmed")</f>
        <v>1</v>
      </c>
      <c r="C7" s="32" t="s">
        <v>214</v>
      </c>
      <c r="D7" s="32" t="s">
        <v>217</v>
      </c>
    </row>
    <row r="8" customFormat="false" ht="15" hidden="false" customHeight="false" outlineLevel="0" collapsed="false">
      <c r="A8" s="32" t="s">
        <v>218</v>
      </c>
      <c r="B8" s="32" t="n">
        <f aca="false">COUNTIF(Known_Unconfirmed_Outstanding!D5:D204,"Outstanding")</f>
        <v>1</v>
      </c>
      <c r="C8" s="32" t="s">
        <v>214</v>
      </c>
      <c r="D8" s="32" t="s">
        <v>217</v>
      </c>
    </row>
    <row r="9" customFormat="false" ht="15" hidden="false" customHeight="false" outlineLevel="0" collapsed="false">
      <c r="A9" s="32" t="s">
        <v>219</v>
      </c>
      <c r="B9" s="32" t="n">
        <f aca="false">SUMPRODUCT((Known_Unconfirmed_Outstanding!I5:I204&lt;&gt;"")*(Known_Unconfirmed_Outstanding!I5:I204&lt;&gt;"OK")*(LEFT(Known_Unconfirmed_Outstanding!I5:I204,2)&lt;&gt;"OK"))</f>
        <v>0</v>
      </c>
      <c r="C9" s="32" t="str">
        <f aca="false">IF(B9=0,"PASS","REVIEW")</f>
        <v>PASS</v>
      </c>
      <c r="D9" s="32" t="s">
        <v>220</v>
      </c>
    </row>
    <row r="10" customFormat="false" ht="15" hidden="false" customHeight="false" outlineLevel="0" collapsed="false">
      <c r="A10" s="32" t="s">
        <v>221</v>
      </c>
      <c r="B10" s="32" t="n">
        <f aca="false">SUMPRODUCT((Dependencies!K5:K204&lt;&gt;"")*(Dependencies!K5:K204&lt;&gt;"OK")*(LEFT(Dependencies!K5:K204,2)&lt;&gt;"OK"))</f>
        <v>0</v>
      </c>
      <c r="C10" s="32" t="str">
        <f aca="false">IF(B10=0,"PASS","REVIEW")</f>
        <v>PASS</v>
      </c>
      <c r="D10" s="32" t="s">
        <v>220</v>
      </c>
    </row>
    <row r="11" customFormat="false" ht="15" hidden="false" customHeight="false" outlineLevel="0" collapsed="false">
      <c r="A11" s="32" t="s">
        <v>222</v>
      </c>
      <c r="B11" s="32" t="n">
        <f aca="false">COUNTIF(Dependencies!H5:H204,"Open")+COUNTIF(Dependencies!H5:H204,"In progress")</f>
        <v>1</v>
      </c>
      <c r="C11" s="32" t="s">
        <v>214</v>
      </c>
      <c r="D11" s="32" t="s">
        <v>223</v>
      </c>
    </row>
    <row r="12" customFormat="false" ht="15" hidden="false" customHeight="false" outlineLevel="0" collapsed="false">
      <c r="A12" s="32" t="s">
        <v>224</v>
      </c>
      <c r="B12" s="32" t="n">
        <f aca="false">COUNTIF(Dependencies!J5:J204,"&gt;0")</f>
        <v>0</v>
      </c>
      <c r="C12" s="32" t="s">
        <v>214</v>
      </c>
      <c r="D12" s="32" t="s">
        <v>225</v>
      </c>
    </row>
    <row r="13" customFormat="false" ht="15" hidden="false" customHeight="false" outlineLevel="0" collapsed="false">
      <c r="A13" s="32" t="s">
        <v>226</v>
      </c>
      <c r="B13" s="32" t="n">
        <f aca="false">IF(Engagement_Summary!B8="",1,0)</f>
        <v>0</v>
      </c>
      <c r="C13" s="32" t="str">
        <f aca="false">IF(B13=0,"PASS","REVIEW")</f>
        <v>PASS</v>
      </c>
      <c r="D13" s="32" t="s">
        <v>227</v>
      </c>
    </row>
    <row r="14" customFormat="false" ht="15" hidden="false" customHeight="false" outlineLevel="0" collapsed="false">
      <c r="A14" s="32" t="s">
        <v>228</v>
      </c>
      <c r="B14" s="32" t="n">
        <f aca="false">SUMPRODUCT((Ref_Risk_Control!B2:B201="Y")*(Ref_Risk_Control!C2:C201=0))</f>
        <v>0</v>
      </c>
      <c r="C14" s="32" t="str">
        <f aca="false">IF(B14=0,"PASS","REVIEW")</f>
        <v>PASS</v>
      </c>
      <c r="D14" s="32" t="s">
        <v>229</v>
      </c>
    </row>
    <row r="15" customFormat="false" ht="15" hidden="false" customHeight="false" outlineLevel="0" collapsed="false">
      <c r="A15" s="32" t="s">
        <v>230</v>
      </c>
      <c r="B15" s="32" t="n">
        <f aca="false">SUMPRODUCT((Ref_Controls!C2:C201="Y")*(COUNTIFS(Ref_Tests!B2:B201,Ref_Controls!A2:A201,Ref_Tests!C2:C201,"TOD")=0))</f>
        <v>2</v>
      </c>
      <c r="C15" s="32" t="str">
        <f aca="false">IF(Engagement_Summary!$B$8="Scoping","SCOPING",IF(B15=0,"PASS","REVIEW"))</f>
        <v>SCOPING</v>
      </c>
      <c r="D15" s="32" t="s">
        <v>231</v>
      </c>
    </row>
    <row r="16" customFormat="false" ht="15" hidden="false" customHeight="false" outlineLevel="0" collapsed="false">
      <c r="A16" s="32" t="s">
        <v>232</v>
      </c>
      <c r="B16" s="32" t="n">
        <f aca="false">SUMPRODUCT((Ref_Controls!C2:C201="Y")*(COUNTIFS(Ref_Tests!B2:B201,Ref_Controls!A2:A201,Ref_Tests!C2:C201,"TOE")=0))</f>
        <v>2</v>
      </c>
      <c r="C16" s="32" t="str">
        <f aca="false">IF(Engagement_Summary!$B$8="Scoping","SCOPING",IF(B16=0,"PASS","REVIEW"))</f>
        <v>SCOPING</v>
      </c>
      <c r="D16" s="32" t="s">
        <v>233</v>
      </c>
    </row>
    <row r="17" customFormat="false" ht="23.85" hidden="false" customHeight="false" outlineLevel="0" collapsed="false">
      <c r="A17" s="32" t="s">
        <v>234</v>
      </c>
      <c r="B17" s="32" t="n">
        <f aca="false">SUMPRODUCT((Ref_Tests!C2:C201="TOE")*(Ref_Tests!F2:F201&lt;&gt;"Pass")*(Ref_Tests!F2:F201&lt;&gt;"n/a"))</f>
        <v>0</v>
      </c>
      <c r="C17" s="32" t="str">
        <f aca="false">IF(Engagement_Summary!$B$8="Scoping","SCOPING",IF(B17=0,"PASS","REVIEW"))</f>
        <v>SCOPING</v>
      </c>
      <c r="D17" s="32" t="s">
        <v>235</v>
      </c>
    </row>
    <row r="18" customFormat="false" ht="15" hidden="false" customHeight="false" outlineLevel="0" collapsed="false">
      <c r="A18" s="32" t="s">
        <v>236</v>
      </c>
      <c r="B18" s="32" t="n">
        <f aca="false">SUMPRODUCT((Ref_Tests!C2:C201="TOE")*(Ref_Tests!G2:G201="N"))</f>
        <v>0</v>
      </c>
      <c r="C18" s="32" t="str">
        <f aca="false">IF(Engagement_Summary!$B$8="Scoping","SCOPING",IF(B18=0,"PASS","REVIEW"))</f>
        <v>SCOPING</v>
      </c>
      <c r="D18" s="32" t="s">
        <v>237</v>
      </c>
    </row>
    <row r="19" customFormat="false" ht="15" hidden="false" customHeight="false" outlineLevel="0" collapsed="false">
      <c r="A19" s="32" t="s">
        <v>238</v>
      </c>
      <c r="B19" s="32" t="n">
        <f aca="false">SUMPRODUCT((Ref_Tests!A2:A201&lt;&gt;"")*(Ref_Tests!E2:E201&lt;&gt;"Reviewed")*(Ref_Tests!E2:E201&lt;&gt;"Closed"))</f>
        <v>2</v>
      </c>
      <c r="C19" s="32" t="str">
        <f aca="false">IF(Engagement_Summary!$B$8="Scoping","SCOPING",IF(B19=0,"PASS","REVIEW"))</f>
        <v>SCOPING</v>
      </c>
      <c r="D19" s="32" t="s">
        <v>239</v>
      </c>
    </row>
    <row r="20" customFormat="false" ht="15" hidden="false" customHeight="false" outlineLevel="0" collapsed="false">
      <c r="A20" s="32" t="s">
        <v>240</v>
      </c>
      <c r="B20" s="32" t="n">
        <f aca="false">SUMPRODUCT(((Ref_Tests!D2:D201="Exception noted")+(Ref_Tests!D2:D201="Ineffective"))*(COUNTIF(Ref_Deficiencies!B2:B201,Ref_Tests!A2:A201)=0))</f>
        <v>0</v>
      </c>
      <c r="C20" s="32" t="str">
        <f aca="false">IF(Engagement_Summary!$B$8="Scoping","SCOPING",IF(B20=0,"PASS","REVIEW"))</f>
        <v>SCOPING</v>
      </c>
      <c r="D20" s="32" t="s">
        <v>241</v>
      </c>
    </row>
    <row r="21" customFormat="false" ht="23.85" hidden="false" customHeight="false" outlineLevel="0" collapsed="false">
      <c r="A21" s="32" t="s">
        <v>242</v>
      </c>
      <c r="B21" s="32" t="n">
        <f aca="false">SUMPRODUCT(((Ref_Reliance!C2:C201="Exception noted")+(Ref_Reliance!C2:C201="Ineffective"))*((Ref_Reliance!D2:D201="Pending")+(Ref_Reliance!D2:D201="Supported")))</f>
        <v>0</v>
      </c>
      <c r="C21" s="32" t="str">
        <f aca="false">IF(Engagement_Summary!$B$8="Scoping","SCOPING",IF(B21=0,"PASS","REVIEW"))</f>
        <v>SCOPING</v>
      </c>
      <c r="D21" s="32" t="s">
        <v>243</v>
      </c>
    </row>
    <row r="22" customFormat="false" ht="15" hidden="false" customHeight="false" outlineLevel="0" collapsed="false">
      <c r="A22" s="32" t="s">
        <v>244</v>
      </c>
      <c r="B22" s="32" t="n">
        <f aca="false">COUNTIFS(Ref_Deficiencies!G2:G201,"&lt;&gt;Closed",Ref_Deficiencies!A2:A201,"&lt;&gt;")</f>
        <v>1</v>
      </c>
      <c r="C22" s="32" t="s">
        <v>214</v>
      </c>
      <c r="D22" s="32"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2026-10-03T01:47:45Z</dcterms:created>
  <dc:creator>openpyxl</dc:creator>
  <dc:description/>
  <dc:language>en-US</dc:language>
  <cp:lastModifiedBy/>
  <dcterms:modified xsi:type="dcterms:W3CDTF">2026-10-03T01:47:46Z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