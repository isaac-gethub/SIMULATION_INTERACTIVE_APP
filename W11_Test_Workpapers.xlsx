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WP_Register" sheetId="2" state="visible" r:id="rId4"/>
    <sheet name="Workpaper" sheetId="3" state="visible" r:id="rId5"/>
    <sheet name="Templates" sheetId="4" state="visible" r:id="rId6"/>
    <sheet name="Ref_TEST" sheetId="5" state="visible" r:id="rId7"/>
    <sheet name="Lists" sheetId="6" state="hidden" r:id="rId8"/>
    <sheet name="Checks" sheetId="7" state="visible" r:id="rId9"/>
  </sheets>
  <definedNames>
    <definedName function="false" hidden="true" localSheetId="1" name="_xlnm._FilterDatabase" vbProcedure="false">WP_Register!$A$4:$L$204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<sst xmlns="http://schemas.openxmlformats.org/spreadsheetml/2006/main" count="302" uniqueCount="234">
  <si>
    <t xml:space="preserve">TIB SYSTEMS LLC  |  SAP Controls Project Foundation Workbook Set</t>
  </si>
  <si>
    <t xml:space="preserve">W11 — Test Workpapers</t>
  </si>
  <si>
    <t xml:space="preserve">Purpose</t>
  </si>
  <si>
    <t xml:space="preserve">A workpaper records what the tester actually did, so a reviewer who was not involved can understand, reperform and reach the same conclusion. This file holds the standard workpaper structure, the list of 15 templates by control area, and a register of workpapers.</t>
  </si>
  <si>
    <t xml:space="preserve">How to use this workbook</t>
  </si>
  <si>
    <t xml:space="preserve">1. Paste TEST-IDs from W10 into Ref_TEST.</t>
  </si>
  <si>
    <t xml:space="preserve">2. For each test, copy the Workpaper tab (right-click &gt; Move or Copy) and rename it with the TEST-ID.</t>
  </si>
  <si>
    <t xml:space="preserve">3. Complete header, population/IPE, sample, procedure and attribute grid. Every Met or Exception needs an EV-ID reference.</t>
  </si>
  <si>
    <t xml:space="preserve">4. Describe exceptions and root cause. The suggested result is a formula; the reviewer sets the final result.</t>
  </si>
  <si>
    <t xml:space="preserve">5. Log each workpaper in WP_Register. Raise DEF-IDs in W13.</t>
  </si>
  <si>
    <t xml:space="preserve">Colour legend</t>
  </si>
  <si>
    <t xml:space="preserve">Yellow cells with blue text = you enter data here.   Grey cells = formulas (do not overwrite).   Row 5 of each register is a worked ABC Manufacturing example: overwrite it with your first record.</t>
  </si>
  <si>
    <t xml:space="preserve">Completion gate</t>
  </si>
  <si>
    <t xml:space="preserve">Each test has a completed workpaper in the standard structure.</t>
  </si>
  <si>
    <t xml:space="preserve">Every attribute result references an EV-ID.</t>
  </si>
  <si>
    <t xml:space="preserve">Exceptions are explained with root cause.</t>
  </si>
  <si>
    <t xml:space="preserve">The reviewer has signed off before the result is entered in W10.</t>
  </si>
  <si>
    <t xml:space="preserve">Manual reference</t>
  </si>
  <si>
    <t xml:space="preserve">Part 2, Session 12 (W11); Parts 3A and 3B (templates).</t>
  </si>
  <si>
    <t xml:space="preserve">Column dictionary</t>
  </si>
  <si>
    <t xml:space="preserve">Tab</t>
  </si>
  <si>
    <t xml:space="preserve">Field</t>
  </si>
  <si>
    <t xml:space="preserve">Definition</t>
  </si>
  <si>
    <t xml:space="preserve">Allowed values / rule</t>
  </si>
  <si>
    <t xml:space="preserve">Type</t>
  </si>
  <si>
    <t xml:space="preserve">WP_Register</t>
  </si>
  <si>
    <t xml:space="preserve">WP ref</t>
  </si>
  <si>
    <t xml:space="preserve">Workpaper reference</t>
  </si>
  <si>
    <t xml:space="preserve">e.g. WP-PC-01_&lt;TEST-ID&gt;</t>
  </si>
  <si>
    <t xml:space="preserve">Input</t>
  </si>
  <si>
    <t xml:space="preserve">TEST-ID</t>
  </si>
  <si>
    <t xml:space="preserve">Test the workpaper supports</t>
  </si>
  <si>
    <t xml:space="preserve">Must exist in W10 (Ref_TEST)</t>
  </si>
  <si>
    <t xml:space="preserve">Template</t>
  </si>
  <si>
    <t xml:space="preserve">Standard template used</t>
  </si>
  <si>
    <t xml:space="preserve">From Templates tab</t>
  </si>
  <si>
    <t xml:space="preserve">Tester</t>
  </si>
  <si>
    <t xml:space="preserve">Who performed</t>
  </si>
  <si>
    <t xml:space="preserve">Name</t>
  </si>
  <si>
    <t xml:space="preserve">Items tested</t>
  </si>
  <si>
    <t xml:space="preserve">From the Workpaper tab</t>
  </si>
  <si>
    <t xml:space="preserve">Number</t>
  </si>
  <si>
    <t xml:space="preserve">Items with exception</t>
  </si>
  <si>
    <t xml:space="preserve">Result</t>
  </si>
  <si>
    <t xml:space="preserve">Outcome (after review)</t>
  </si>
  <si>
    <t xml:space="preserve">Dropdown</t>
  </si>
  <si>
    <t xml:space="preserve">Reviewed by</t>
  </si>
  <si>
    <t xml:space="preserve">Reviewer</t>
  </si>
  <si>
    <t xml:space="preserve">Name; different from tester</t>
  </si>
  <si>
    <t xml:space="preserve">Review date</t>
  </si>
  <si>
    <t xml:space="preserve">Date</t>
  </si>
  <si>
    <t xml:space="preserve">DEF-ID(s) / rationale</t>
  </si>
  <si>
    <t xml:space="preserve">Deficiency raised, or false-positive rationale</t>
  </si>
  <si>
    <t xml:space="preserve">Required if Exception noted / Ineffective</t>
  </si>
  <si>
    <t xml:space="preserve">Status</t>
  </si>
  <si>
    <t xml:space="preserve">Progress</t>
  </si>
  <si>
    <t xml:space="preserve">Check</t>
  </si>
  <si>
    <t xml:space="preserve">Automatic test</t>
  </si>
  <si>
    <t xml:space="preserve">Formula</t>
  </si>
  <si>
    <t xml:space="preserve">Version history</t>
  </si>
  <si>
    <t xml:space="preserve">0.1 — October 2026 — initial template (TIB Systems LLC)</t>
  </si>
  <si>
    <t xml:space="preserve">Cross-workbook links: keys from other workbooks are pasted as values into the Ref_ tabs, so this file works on its own and never breaks when files are moved.</t>
  </si>
  <si>
    <t xml:space="preserve">W11 — Workpaper Register</t>
  </si>
  <si>
    <t xml:space="preserve">One row per workpaper. Row 5 is a worked example.</t>
  </si>
  <si>
    <t xml:space="preserve">WP-PC-01_C-ITGC-PC-001-TOE</t>
  </si>
  <si>
    <t xml:space="preserve">C-ITGC-PC-001-TOE</t>
  </si>
  <si>
    <t xml:space="preserve">WP-PC-01</t>
  </si>
  <si>
    <t xml:space="preserve">Tester 1</t>
  </si>
  <si>
    <t xml:space="preserve">Exception noted</t>
  </si>
  <si>
    <t xml:space="preserve">Manager 1</t>
  </si>
  <si>
    <t xml:space="preserve">DEF-011</t>
  </si>
  <si>
    <t xml:space="preserve">Reviewed</t>
  </si>
  <si>
    <t xml:space="preserve">Workpaper — standard structure (copy this tab for each test)</t>
  </si>
  <si>
    <t xml:space="preserve">Yellow = input. Grey = formula. Rows 34–36 and header values are ABC examples (transport test): overwrite them.</t>
  </si>
  <si>
    <t xml:space="preserve">CTRL-ID</t>
  </si>
  <si>
    <t xml:space="preserve">C-ITGC-PC-001</t>
  </si>
  <si>
    <t xml:space="preserve">RISK-ID(s)</t>
  </si>
  <si>
    <t xml:space="preserve">R-TECH-003</t>
  </si>
  <si>
    <t xml:space="preserve">Control description</t>
  </si>
  <si>
    <t xml:space="preserve">Basis (who) imports each transport to PRD only after an approved change ticket and QAS test sign-off (what), on every import (when), using STMS and the ITSM ticket (how); evidence is the ticket and TPALOG record (evidence).</t>
  </si>
  <si>
    <t xml:space="preserve">System (SYS-ID)</t>
  </si>
  <si>
    <t xml:space="preserve">SYS-03</t>
  </si>
  <si>
    <t xml:space="preserve">Test type</t>
  </si>
  <si>
    <t xml:space="preserve">TOE</t>
  </si>
  <si>
    <t xml:space="preserve">Test period</t>
  </si>
  <si>
    <t xml:space="preserve">01-Jan-2026 to 30-Sep-2026</t>
  </si>
  <si>
    <t xml:space="preserve">Tester / date</t>
  </si>
  <si>
    <t xml:space="preserve">Tester 1 / 16-Oct-2026</t>
  </si>
  <si>
    <t xml:space="preserve">Reviewer / date</t>
  </si>
  <si>
    <t xml:space="preserve">Objective</t>
  </si>
  <si>
    <t xml:space="preserve">Did every transport imported to PRD in the period have approved change, testing and independent import?</t>
  </si>
  <si>
    <t xml:space="preserve">Population &amp; IPE</t>
  </si>
  <si>
    <t xml:space="preserve">Population EV-ID</t>
  </si>
  <si>
    <t xml:space="preserve">EV-019</t>
  </si>
  <si>
    <t xml:space="preserve">Record count</t>
  </si>
  <si>
    <t xml:space="preserve">IPE-ID / result</t>
  </si>
  <si>
    <t xml:space="preserve">IPE-002 / Pass</t>
  </si>
  <si>
    <t xml:space="preserve">Sample</t>
  </si>
  <si>
    <t xml:space="preserve">SMP-ID</t>
  </si>
  <si>
    <t xml:space="preserve">SMP-003</t>
  </si>
  <si>
    <t xml:space="preserve">Selection method / seed</t>
  </si>
  <si>
    <t xml:space="preserve">Random, seed 4471; plus 2 targeted ITAC-table transports</t>
  </si>
  <si>
    <t xml:space="preserve">Procedure performed (numbered steps actually done, with t-codes and tables)</t>
  </si>
  <si>
    <t xml:space="preserve">Step 1</t>
  </si>
  <si>
    <t xml:space="preserve">Confirm IPE-002 = Pass. Match every transport in TPALOG to a ticket reference (population analysis).</t>
  </si>
  <si>
    <t xml:space="preserve">Step 2</t>
  </si>
  <si>
    <t xml:space="preserve">Select 25 transports by seeded random selection plus targeted items; log in W12.</t>
  </si>
  <si>
    <t xml:space="preserve">Step 3</t>
  </si>
  <si>
    <t xml:space="preserve">Request tickets and test evidence (PBC-040).</t>
  </si>
  <si>
    <t xml:space="preserve">Step 4</t>
  </si>
  <si>
    <t xml:space="preserve">For each item test attributes A–E.</t>
  </si>
  <si>
    <t xml:space="preserve">Step 5</t>
  </si>
  <si>
    <t xml:space="preserve">Step 6</t>
  </si>
  <si>
    <t xml:space="preserve">Attribute grid (Met / Exception / n/a for each sample item)</t>
  </si>
  <si>
    <t xml:space="preserve">#</t>
  </si>
  <si>
    <t xml:space="preserve">Sample item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</si>
  <si>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</si>
  <si>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</si>
  <si>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</si>
  <si>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</si>
  <si>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</si>
  <si>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</si>
  <si>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EV-ID ref</t>
  </si>
  <si>
    <t xml:space="preserve">Notes</t>
  </si>
  <si>
    <t xml:space="preserve">Item result</t>
  </si>
  <si>
    <t xml:space="preserve">Attribute description →</t>
  </si>
  <si>
    <t xml:space="preserve">Ticket approved before import</t>
  </si>
  <si>
    <t xml:space="preserve">QAS test + sign-off</t>
  </si>
  <si>
    <t xml:space="preserve">Imported by non-developer</t>
  </si>
  <si>
    <t xml:space="preserve">Content agrees to ticket</t>
  </si>
  <si>
    <t xml:space="preserve">Emergency approved ≤2 days</t>
  </si>
  <si>
    <t xml:space="preserve">ECDK900114</t>
  </si>
  <si>
    <t xml:space="preserve">Met</t>
  </si>
  <si>
    <t xml:space="preserve">n/a</t>
  </si>
  <si>
    <t xml:space="preserve">EV-052</t>
  </si>
  <si>
    <t xml:space="preserve">Program fix</t>
  </si>
  <si>
    <t xml:space="preserve">ECDK900187</t>
  </si>
  <si>
    <t xml:space="preserve">Exception</t>
  </si>
  <si>
    <t xml:space="preserve">EV-053</t>
  </si>
  <si>
    <t xml:space="preserve">No QAS sign-off attached</t>
  </si>
  <si>
    <t xml:space="preserve">ECDK900201</t>
  </si>
  <si>
    <t xml:space="preserve">EV-054</t>
  </si>
  <si>
    <t xml:space="preserve">Targeted: T169G change</t>
  </si>
  <si>
    <t xml:space="preserve">Results</t>
  </si>
  <si>
    <t xml:space="preserve">Exceptions by attribute</t>
  </si>
  <si>
    <t xml:space="preserve">A to F →</t>
  </si>
  <si>
    <t xml:space="preserve">Suggested result</t>
  </si>
  <si>
    <t xml:space="preserve">Exceptions: description and root cause</t>
  </si>
  <si>
    <t xml:space="preserve">Transport ECDK900187: QAS test sign-off not attached. Cause from inquiry: sign-off held by email, not ITSM. Deviation, not false positive.</t>
  </si>
  <si>
    <t xml:space="preserve">Conclusion and rationale</t>
  </si>
  <si>
    <t xml:space="preserve">Final result (after review)</t>
  </si>
  <si>
    <t xml:space="preserve">DEF-ID(s) raised / false-positive rationale</t>
  </si>
  <si>
    <t xml:space="preserve">Reviewer sign-off / date</t>
  </si>
  <si>
    <t xml:space="preserve">Workpaper templates by control area</t>
  </si>
  <si>
    <t xml:space="preserve">Choose the template for each test. SAP navigation and worked tests are in Part 3A and 3B of the manual.</t>
  </si>
  <si>
    <t xml:space="preserve">Control area</t>
  </si>
  <si>
    <t xml:space="preserve">Typical SAP sources</t>
  </si>
  <si>
    <t xml:space="preserve">WP-AC-01</t>
  </si>
  <si>
    <t xml:space="preserve">User provisioning</t>
  </si>
  <si>
    <t xml:space="preserve">GRC ARM requests, SU01 change documents, USR02</t>
  </si>
  <si>
    <t xml:space="preserve">WP-AC-02</t>
  </si>
  <si>
    <t xml:space="preserve">Termination (leavers)</t>
  </si>
  <si>
    <t xml:space="preserve">HR leavers report, USR02 lock/validity, last logon</t>
  </si>
  <si>
    <t xml:space="preserve">WP-AC-03</t>
  </si>
  <si>
    <t xml:space="preserve">User access review</t>
  </si>
  <si>
    <t xml:space="preserve">GRC UAR campaign, review sign-offs, removal evidence</t>
  </si>
  <si>
    <t xml:space="preserve">WP-AC-04</t>
  </si>
  <si>
    <t xml:space="preserve">Privileged and generic IDs</t>
  </si>
  <si>
    <t xml:space="preserve">SUIM by profile, USR02 user types, DDIC/SAP* status</t>
  </si>
  <si>
    <t xml:space="preserve">WP-AC-05</t>
  </si>
  <si>
    <t xml:space="preserve">Emergency access (Firefighter)</t>
  </si>
  <si>
    <t xml:space="preserve">GRC EAM logs, request/approval, controller review</t>
  </si>
  <si>
    <t xml:space="preserve">WP-AC-06</t>
  </si>
  <si>
    <t xml:space="preserve">SoD and sensitive access</t>
  </si>
  <si>
    <t xml:space="preserve">GRC ARA results, W06 ruleset, mitigation assignment</t>
  </si>
  <si>
    <t xml:space="preserve">WP-AC-07</t>
  </si>
  <si>
    <t xml:space="preserve">Password and logon parameters</t>
  </si>
  <si>
    <t xml:space="preserve">RZ11 / RSPARAM</t>
  </si>
  <si>
    <t xml:space="preserve">Transport management</t>
  </si>
  <si>
    <t xml:space="preserve">STMS import history, E070/E071, ITSM tickets</t>
  </si>
  <si>
    <t xml:space="preserve">WP-PC-02</t>
  </si>
  <si>
    <t xml:space="preserve">System and client change settings</t>
  </si>
  <si>
    <t xml:space="preserve">SCC4, SE06, change logs</t>
  </si>
  <si>
    <t xml:space="preserve">WP-PC-03</t>
  </si>
  <si>
    <t xml:space="preserve">Direct changes / debug in production</t>
  </si>
  <si>
    <t xml:space="preserve">Security audit log, S_DEVELOP holders</t>
  </si>
  <si>
    <t xml:space="preserve">WP-CO-01</t>
  </si>
  <si>
    <t xml:space="preserve">Batch job monitoring</t>
  </si>
  <si>
    <t xml:space="preserve">SM37, TBTCO/TBTCP, failure tickets</t>
  </si>
  <si>
    <t xml:space="preserve">WP-CO-02</t>
  </si>
  <si>
    <t xml:space="preserve">Interface monitoring</t>
  </si>
  <si>
    <t xml:space="preserve">WE02/WE05, BD87, SM58, SXMB_MONI, reconciliations</t>
  </si>
  <si>
    <t xml:space="preserve">WP-CO-03</t>
  </si>
  <si>
    <t xml:space="preserve">Backup and recovery</t>
  </si>
  <si>
    <t xml:space="preserve">Backup logs, restore test evidence, SOC 1</t>
  </si>
  <si>
    <t xml:space="preserve">WP-ITAC-01</t>
  </si>
  <si>
    <t xml:space="preserve">Configuration controls</t>
  </si>
  <si>
    <t xml:space="preserve">SPRO paths (OMR6, OB52), table change logs</t>
  </si>
  <si>
    <t xml:space="preserve">WP-IPE-01</t>
  </si>
  <si>
    <t xml:space="preserve">Key reports</t>
  </si>
  <si>
    <t xml:space="preserve">Report logic, parameters, completeness and accuracy procedures</t>
  </si>
  <si>
    <t xml:space="preserve">TEST-IDs (paste from W10 Test_Plan)</t>
  </si>
  <si>
    <t xml:space="preserve">C-ITGC-PC-001-TOD</t>
  </si>
  <si>
    <t xml:space="preserve">C-ITGC-AC-002-TOE</t>
  </si>
  <si>
    <t xml:space="preserve">C-ITAC-004-TOE</t>
  </si>
  <si>
    <t xml:space="preserve">TRes</t>
  </si>
  <si>
    <t xml:space="preserve">TStat</t>
  </si>
  <si>
    <t xml:space="preserve">Not started</t>
  </si>
  <si>
    <t xml:space="preserve">Effective</t>
  </si>
  <si>
    <t xml:space="preserve">In progress</t>
  </si>
  <si>
    <t xml:space="preserve">Ready for review</t>
  </si>
  <si>
    <t xml:space="preserve">Ineffective</t>
  </si>
  <si>
    <t xml:space="preserve">Closed</t>
  </si>
  <si>
    <t xml:space="preserve">W11 — Completion checks</t>
  </si>
  <si>
    <t xml:space="preserve">All checks are formulas. A workbook passes its gate when every status reads PASS (INFO rows are counts for your information).</t>
  </si>
  <si>
    <t xml:space="preserve">Overall</t>
  </si>
  <si>
    <t xml:space="preserve">Count</t>
  </si>
  <si>
    <t xml:space="preserve">What to do if REVIEW</t>
  </si>
  <si>
    <t xml:space="preserve">Workpapers registered</t>
  </si>
  <si>
    <t xml:space="preserve">INFO</t>
  </si>
  <si>
    <t xml:space="preserve">—</t>
  </si>
  <si>
    <t xml:space="preserve">Duplicate workpaper refs</t>
  </si>
  <si>
    <t xml:space="preserve">One register row per workpaper.</t>
  </si>
  <si>
    <t xml:space="preserve">Register rows needing attention</t>
  </si>
  <si>
    <t xml:space="preserve">Read the Check column.</t>
  </si>
  <si>
    <t xml:space="preserve">W10 tests with no workpaper</t>
  </si>
  <si>
    <t xml:space="preserve">Create a workpaper from the Workpaper tab for each test.</t>
  </si>
  <si>
    <t xml:space="preserve">Workpapers reviewed</t>
  </si>
  <si>
    <t xml:space="preserve">Reviewer signs off before the result is entered in W10.</t>
  </si>
  <si>
    <t xml:space="preserve">Exceptions with no DEF-ID or rationale</t>
  </si>
  <si>
    <t xml:space="preserve">Raise a DEF in W13 or document the false-positive rationale.</t>
  </si>
  <si>
    <t xml:space="preserve">Workpaper tab: items tested (current copy)</t>
  </si>
  <si>
    <t xml:space="preserve">Workpaper tab: items with exception (current copy)</t>
  </si>
  <si>
    <t xml:space="preserve">See Workpaper!B69 for the suggested result.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</si>
</sst>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E7C8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0E7C8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10"/>
      <color rgb="FF0E7C8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B6B82"/>
        <bgColor rgb="FF555555"/>
      </patternFill>
    </fill>
    <fill>
      <patternFill patternType="solid">
        <fgColor rgb="FFFFF2CC"/>
        <bgColor rgb="FFEDEFF3"/>
      </patternFill>
    </fill>
    <fill>
      <patternFill patternType="solid">
        <fgColor rgb="FFEDEFF3"/>
        <bgColor rgb="FFDCE6F2"/>
      </patternFill>
    </fill>
    <fill>
      <patternFill patternType="solid">
        <fgColor rgb="FFDCE6F2"/>
        <bgColor rgb="FFEDEFF3"/>
      </patternFill>
    </fill>
    <fill>
      <patternFill patternType="solid">
        <fgColor rgb="FF0E7C8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B82"/>
          <bgColor rgb="FF000000"/>
        </patternFill>
      </fill>
    </dxf>
    <dxf>
      <fill>
        <patternFill patternType="solid">
          <fgColor rgb="FFEDEF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FC7D5"/>
      <rgbColor rgb="FF808080"/>
      <rgbColor rgb="FF9999FF"/>
      <rgbColor rgb="FF993366"/>
      <rgbColor rgb="FFFFF2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F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4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4" t="s">
        <v>5</v>
      </c>
      <c r="B8" s="4"/>
      <c r="C8" s="4"/>
      <c r="D8" s="4"/>
    </row>
    <row r="9" customFormat="false" ht="15" hidden="false" customHeight="true" outlineLevel="0" collapsed="false">
      <c r="A9" s="4" t="s">
        <v>6</v>
      </c>
      <c r="B9" s="4"/>
      <c r="C9" s="4"/>
      <c r="D9" s="4"/>
    </row>
    <row r="10" customFormat="false" ht="30" hidden="false" customHeight="true" outlineLevel="0" collapsed="false">
      <c r="A10" s="4" t="s">
        <v>7</v>
      </c>
      <c r="B10" s="4"/>
      <c r="C10" s="4"/>
      <c r="D10" s="4"/>
    </row>
    <row r="11" customFormat="false" ht="15" hidden="false" customHeight="true" outlineLevel="0" collapsed="false">
      <c r="A11" s="4" t="s">
        <v>8</v>
      </c>
      <c r="B11" s="4"/>
      <c r="C11" s="4"/>
      <c r="D11" s="4"/>
    </row>
    <row r="12" customFormat="false" ht="15" hidden="false" customHeight="true" outlineLevel="0" collapsed="false">
      <c r="A12" s="4" t="s">
        <v>9</v>
      </c>
      <c r="B12" s="4"/>
      <c r="C12" s="4"/>
      <c r="D12" s="4"/>
    </row>
    <row r="14" customFormat="false" ht="15" hidden="false" customHeight="false" outlineLevel="0" collapsed="false">
      <c r="A14" s="3" t="s">
        <v>10</v>
      </c>
    </row>
    <row r="15" customFormat="false" ht="30" hidden="false" customHeight="true" outlineLevel="0" collapsed="false">
      <c r="A15" s="4" t="s">
        <v>11</v>
      </c>
      <c r="B15" s="4"/>
      <c r="C15" s="4"/>
      <c r="D15" s="4"/>
    </row>
    <row r="17" customFormat="false" ht="15" hidden="false" customHeight="false" outlineLevel="0" collapsed="false">
      <c r="A17" s="3" t="s">
        <v>12</v>
      </c>
    </row>
    <row r="18" customFormat="false" ht="15" hidden="false" customHeight="true" outlineLevel="0" collapsed="false">
      <c r="A18" s="4" t="s">
        <v>13</v>
      </c>
      <c r="B18" s="4"/>
      <c r="C18" s="4"/>
      <c r="D18" s="4"/>
    </row>
    <row r="19" customFormat="false" ht="15" hidden="false" customHeight="true" outlineLevel="0" collapsed="false">
      <c r="A19" s="4" t="s">
        <v>14</v>
      </c>
      <c r="B19" s="4"/>
      <c r="C19" s="4"/>
      <c r="D19" s="4"/>
    </row>
    <row r="20" customFormat="false" ht="15" hidden="false" customHeight="true" outlineLevel="0" collapsed="false">
      <c r="A20" s="4" t="s">
        <v>15</v>
      </c>
      <c r="B20" s="4"/>
      <c r="C20" s="4"/>
      <c r="D20" s="4"/>
    </row>
    <row r="21" customFormat="false" ht="15" hidden="false" customHeight="true" outlineLevel="0" collapsed="false">
      <c r="A21" s="4" t="s">
        <v>16</v>
      </c>
      <c r="B21" s="4"/>
      <c r="C21" s="4"/>
      <c r="D21" s="4"/>
    </row>
    <row r="23" customFormat="false" ht="15" hidden="false" customHeight="false" outlineLevel="0" collapsed="false">
      <c r="A23" s="3" t="s">
        <v>17</v>
      </c>
    </row>
    <row r="24" customFormat="false" ht="15" hidden="false" customHeight="true" outlineLevel="0" collapsed="false">
      <c r="A24" s="4" t="s">
        <v>18</v>
      </c>
      <c r="B24" s="4"/>
      <c r="C24" s="4"/>
      <c r="D24" s="4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5" t="s">
        <v>20</v>
      </c>
      <c r="B27" s="5" t="s">
        <v>21</v>
      </c>
      <c r="C27" s="5" t="s">
        <v>22</v>
      </c>
      <c r="D27" s="5" t="s">
        <v>23</v>
      </c>
      <c r="E27" s="5" t="s">
        <v>24</v>
      </c>
    </row>
    <row r="28" customFormat="false" ht="15" hidden="false" customHeight="false" outlineLevel="0" collapsed="false">
      <c r="A28" s="6" t="s">
        <v>25</v>
      </c>
      <c r="B28" s="6" t="s">
        <v>26</v>
      </c>
      <c r="C28" s="6" t="s">
        <v>27</v>
      </c>
      <c r="D28" s="6" t="s">
        <v>28</v>
      </c>
      <c r="E28" s="6" t="s">
        <v>29</v>
      </c>
    </row>
    <row r="29" customFormat="false" ht="15" hidden="false" customHeight="false" outlineLevel="0" collapsed="false">
      <c r="A29" s="6" t="s">
        <v>25</v>
      </c>
      <c r="B29" s="6" t="s">
        <v>30</v>
      </c>
      <c r="C29" s="6" t="s">
        <v>31</v>
      </c>
      <c r="D29" s="6" t="s">
        <v>32</v>
      </c>
      <c r="E29" s="6" t="s">
        <v>29</v>
      </c>
    </row>
    <row r="30" customFormat="false" ht="15" hidden="false" customHeight="false" outlineLevel="0" collapsed="false">
      <c r="A30" s="6" t="s">
        <v>25</v>
      </c>
      <c r="B30" s="6" t="s">
        <v>33</v>
      </c>
      <c r="C30" s="6" t="s">
        <v>34</v>
      </c>
      <c r="D30" s="6" t="s">
        <v>35</v>
      </c>
      <c r="E30" s="6" t="s">
        <v>29</v>
      </c>
    </row>
    <row r="31" customFormat="false" ht="15" hidden="false" customHeight="false" outlineLevel="0" collapsed="false">
      <c r="A31" s="6" t="s">
        <v>25</v>
      </c>
      <c r="B31" s="6" t="s">
        <v>36</v>
      </c>
      <c r="C31" s="6" t="s">
        <v>37</v>
      </c>
      <c r="D31" s="6" t="s">
        <v>38</v>
      </c>
      <c r="E31" s="6" t="s">
        <v>29</v>
      </c>
    </row>
    <row r="32" customFormat="false" ht="15" hidden="false" customHeight="false" outlineLevel="0" collapsed="false">
      <c r="A32" s="6" t="s">
        <v>25</v>
      </c>
      <c r="B32" s="6" t="s">
        <v>39</v>
      </c>
      <c r="C32" s="6" t="s">
        <v>40</v>
      </c>
      <c r="D32" s="6" t="s">
        <v>41</v>
      </c>
      <c r="E32" s="6" t="s">
        <v>29</v>
      </c>
    </row>
    <row r="33" customFormat="false" ht="15" hidden="false" customHeight="false" outlineLevel="0" collapsed="false">
      <c r="A33" s="6" t="s">
        <v>25</v>
      </c>
      <c r="B33" s="6" t="s">
        <v>42</v>
      </c>
      <c r="C33" s="6" t="s">
        <v>40</v>
      </c>
      <c r="D33" s="6" t="s">
        <v>41</v>
      </c>
      <c r="E33" s="6" t="s">
        <v>29</v>
      </c>
    </row>
    <row r="34" customFormat="false" ht="15" hidden="false" customHeight="false" outlineLevel="0" collapsed="false">
      <c r="A34" s="6" t="s">
        <v>25</v>
      </c>
      <c r="B34" s="6" t="s">
        <v>43</v>
      </c>
      <c r="C34" s="6" t="s">
        <v>44</v>
      </c>
      <c r="D34" s="6" t="s">
        <v>45</v>
      </c>
      <c r="E34" s="6" t="s">
        <v>29</v>
      </c>
    </row>
    <row r="35" customFormat="false" ht="15" hidden="false" customHeight="false" outlineLevel="0" collapsed="false">
      <c r="A35" s="6" t="s">
        <v>25</v>
      </c>
      <c r="B35" s="6" t="s">
        <v>46</v>
      </c>
      <c r="C35" s="6" t="s">
        <v>47</v>
      </c>
      <c r="D35" s="6" t="s">
        <v>48</v>
      </c>
      <c r="E35" s="6" t="s">
        <v>29</v>
      </c>
    </row>
    <row r="36" customFormat="false" ht="15" hidden="false" customHeight="false" outlineLevel="0" collapsed="false">
      <c r="A36" s="6" t="s">
        <v>25</v>
      </c>
      <c r="B36" s="6" t="s">
        <v>49</v>
      </c>
      <c r="C36" s="6" t="s">
        <v>50</v>
      </c>
      <c r="D36" s="6" t="s">
        <v>50</v>
      </c>
      <c r="E36" s="6" t="s">
        <v>29</v>
      </c>
    </row>
    <row r="37" customFormat="false" ht="15" hidden="false" customHeight="false" outlineLevel="0" collapsed="false">
      <c r="A37" s="6" t="s">
        <v>25</v>
      </c>
      <c r="B37" s="6" t="s">
        <v>51</v>
      </c>
      <c r="C37" s="6" t="s">
        <v>52</v>
      </c>
      <c r="D37" s="6" t="s">
        <v>53</v>
      </c>
      <c r="E37" s="6" t="s">
        <v>29</v>
      </c>
    </row>
    <row r="38" customFormat="false" ht="15" hidden="false" customHeight="false" outlineLevel="0" collapsed="false">
      <c r="A38" s="6" t="s">
        <v>25</v>
      </c>
      <c r="B38" s="6" t="s">
        <v>54</v>
      </c>
      <c r="C38" s="6" t="s">
        <v>55</v>
      </c>
      <c r="D38" s="6" t="s">
        <v>45</v>
      </c>
      <c r="E38" s="6" t="s">
        <v>29</v>
      </c>
    </row>
    <row r="39" customFormat="false" ht="15" hidden="false" customHeight="false" outlineLevel="0" collapsed="false">
      <c r="A39" s="6" t="s">
        <v>25</v>
      </c>
      <c r="B39" s="6" t="s">
        <v>56</v>
      </c>
      <c r="C39" s="6" t="s">
        <v>57</v>
      </c>
      <c r="D39" s="6" t="s">
        <v>58</v>
      </c>
      <c r="E39" s="6" t="s">
        <v>58</v>
      </c>
    </row>
    <row r="41" customFormat="false" ht="15" hidden="false" customHeight="false" outlineLevel="0" collapsed="false">
      <c r="A41" s="3" t="s">
        <v>59</v>
      </c>
    </row>
    <row r="42" customFormat="false" ht="15" hidden="false" customHeight="false" outlineLevel="0" collapsed="false">
      <c r="A42" s="7" t="s">
        <v>60</v>
      </c>
    </row>
    <row r="43" customFormat="false" ht="15" hidden="false" customHeight="false" outlineLevel="0" collapsed="false">
      <c r="A43" s="8" t="s">
        <v>61</v>
      </c>
    </row>
  </sheetData>
  <mergeCells count="12">
    <mergeCell ref="A5:D5"/>
    <mergeCell ref="A8:D8"/>
    <mergeCell ref="A9:D9"/>
    <mergeCell ref="A10:D10"/>
    <mergeCell ref="A11:D11"/>
    <mergeCell ref="A12:D12"/>
    <mergeCell ref="A15:D15"/>
    <mergeCell ref="A18:D18"/>
    <mergeCell ref="A19:D19"/>
    <mergeCell ref="A20:D20"/>
    <mergeCell ref="A21:D2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34"/>
  </cols>
  <sheetData>
    <row r="1" customFormat="false" ht="17.35" hidden="false" customHeight="false" outlineLevel="0" collapsed="false">
      <c r="A1" s="9" t="s">
        <v>62</v>
      </c>
    </row>
    <row r="2" customFormat="false" ht="15" hidden="false" customHeight="false" outlineLevel="0" collapsed="false">
      <c r="A2" s="10" t="s">
        <v>63</v>
      </c>
    </row>
    <row r="4" customFormat="false" ht="31.5" hidden="false" customHeight="true" outlineLevel="0" collapsed="false">
      <c r="A4" s="11" t="s">
        <v>26</v>
      </c>
      <c r="B4" s="11" t="s">
        <v>30</v>
      </c>
      <c r="C4" s="11" t="s">
        <v>33</v>
      </c>
      <c r="D4" s="11" t="s">
        <v>36</v>
      </c>
      <c r="E4" s="11" t="s">
        <v>39</v>
      </c>
      <c r="F4" s="11" t="s">
        <v>42</v>
      </c>
      <c r="G4" s="11" t="s">
        <v>43</v>
      </c>
      <c r="H4" s="11" t="s">
        <v>46</v>
      </c>
      <c r="I4" s="11" t="s">
        <v>49</v>
      </c>
      <c r="J4" s="11" t="s">
        <v>51</v>
      </c>
      <c r="K4" s="11" t="s">
        <v>54</v>
      </c>
      <c r="L4" s="12" t="s">
        <v>56</v>
      </c>
    </row>
    <row r="5" customFormat="false" ht="23.85" hidden="false" customHeight="false" outlineLevel="0" collapsed="false">
      <c r="A5" s="13" t="s">
        <v>64</v>
      </c>
      <c r="B5" s="13" t="s">
        <v>65</v>
      </c>
      <c r="C5" s="13" t="s">
        <v>66</v>
      </c>
      <c r="D5" s="13" t="s">
        <v>67</v>
      </c>
      <c r="E5" s="13" t="n">
        <v>27</v>
      </c>
      <c r="F5" s="13" t="n">
        <v>1</v>
      </c>
      <c r="G5" s="13" t="s">
        <v>68</v>
      </c>
      <c r="H5" s="13" t="s">
        <v>69</v>
      </c>
      <c r="I5" s="14" t="n">
        <v>46314</v>
      </c>
      <c r="J5" s="13" t="s">
        <v>70</v>
      </c>
      <c r="K5" s="13" t="s">
        <v>71</v>
      </c>
      <c r="L5" s="15" t="str">
        <f aca="false">IF(A5="","",IF(COUNTIF(Ref_TEST!$A$2:$A$201,B5)=0,"TEST-ID not in W10",IF(C5="","Template needed",IF(AND(K5="Reviewed",H5=""),"Reviewer needed",IF(AND(F5&gt;0,G5="Effective"),"Exceptions recorded but result Effective",IF(AND(OR(G5="Exception noted",G5="Ineffective"),J5=""),"DEF-ID or rationale needed",IF(AND(H5&lt;&gt;"",H5=D5),"Reviewer must differ from tester","OK")))))))</f>
        <v>OK</v>
      </c>
    </row>
    <row r="6" customFormat="false" ht="15" hidden="false" customHeight="false" outlineLevel="0" collapsed="false">
      <c r="A6" s="16"/>
      <c r="B6" s="16"/>
      <c r="C6" s="16"/>
      <c r="D6" s="16"/>
      <c r="E6" s="16"/>
      <c r="F6" s="16"/>
      <c r="G6" s="16"/>
      <c r="H6" s="16"/>
      <c r="I6" s="17"/>
      <c r="J6" s="16"/>
      <c r="K6" s="16"/>
      <c r="L6" s="18" t="str">
        <f aca="false">IF(A6="","",IF(COUNTIF(Ref_TEST!$A$2:$A$201,B6)=0,"TEST-ID not in W10",IF(C6="","Template needed",IF(AND(K6="Reviewed",H6=""),"Reviewer needed",IF(AND(F6&gt;0,G6="Effective"),"Exceptions recorded but result Effective",IF(AND(OR(G6="Exception noted",G6="Ineffective"),J6=""),"DEF-ID or rationale needed",IF(AND(H6&lt;&gt;"",H6=D6),"Reviewer must differ from tester","OK")))))))</f>
        <v/>
      </c>
    </row>
    <row r="7" customFormat="false" ht="15" hidden="false" customHeight="false" outlineLevel="0" collapsed="false">
      <c r="A7" s="16"/>
      <c r="B7" s="16"/>
      <c r="C7" s="16"/>
      <c r="D7" s="16"/>
      <c r="E7" s="16"/>
      <c r="F7" s="16"/>
      <c r="G7" s="16"/>
      <c r="H7" s="16"/>
      <c r="I7" s="17"/>
      <c r="J7" s="16"/>
      <c r="K7" s="16"/>
      <c r="L7" s="18" t="str">
        <f aca="false">IF(A7="","",IF(COUNTIF(Ref_TEST!$A$2:$A$201,B7)=0,"TEST-ID not in W10",IF(C7="","Template needed",IF(AND(K7="Reviewed",H7=""),"Reviewer needed",IF(AND(F7&gt;0,G7="Effective"),"Exceptions recorded but result Effective",IF(AND(OR(G7="Exception noted",G7="Ineffective"),J7=""),"DEF-ID or rationale needed",IF(AND(H7&lt;&gt;"",H7=D7),"Reviewer must differ from tester","OK")))))))</f>
        <v/>
      </c>
    </row>
    <row r="8" customFormat="false" ht="15" hidden="false" customHeight="false" outlineLevel="0" collapsed="false">
      <c r="A8" s="16"/>
      <c r="B8" s="16"/>
      <c r="C8" s="16"/>
      <c r="D8" s="16"/>
      <c r="E8" s="16"/>
      <c r="F8" s="16"/>
      <c r="G8" s="16"/>
      <c r="H8" s="16"/>
      <c r="I8" s="17"/>
      <c r="J8" s="16"/>
      <c r="K8" s="16"/>
      <c r="L8" s="18" t="str">
        <f aca="false">IF(A8="","",IF(COUNTIF(Ref_TEST!$A$2:$A$201,B8)=0,"TEST-ID not in W10",IF(C8="","Template needed",IF(AND(K8="Reviewed",H8=""),"Reviewer needed",IF(AND(F8&gt;0,G8="Effective"),"Exceptions recorded but result Effective",IF(AND(OR(G8="Exception noted",G8="Ineffective"),J8=""),"DEF-ID or rationale needed",IF(AND(H8&lt;&gt;"",H8=D8),"Reviewer must differ from tester","OK")))))))</f>
        <v/>
      </c>
    </row>
    <row r="9" customFormat="false" ht="15" hidden="false" customHeight="false" outlineLevel="0" collapsed="false">
      <c r="A9" s="16"/>
      <c r="B9" s="16"/>
      <c r="C9" s="16"/>
      <c r="D9" s="16"/>
      <c r="E9" s="16"/>
      <c r="F9" s="16"/>
      <c r="G9" s="16"/>
      <c r="H9" s="16"/>
      <c r="I9" s="17"/>
      <c r="J9" s="16"/>
      <c r="K9" s="16"/>
      <c r="L9" s="18" t="str">
        <f aca="false">IF(A9="","",IF(COUNTIF(Ref_TEST!$A$2:$A$201,B9)=0,"TEST-ID not in W10",IF(C9="","Template needed",IF(AND(K9="Reviewed",H9=""),"Reviewer needed",IF(AND(F9&gt;0,G9="Effective"),"Exceptions recorded but result Effective",IF(AND(OR(G9="Exception noted",G9="Ineffective"),J9=""),"DEF-ID or rationale needed",IF(AND(H9&lt;&gt;"",H9=D9),"Reviewer must differ from tester","OK")))))))</f>
        <v/>
      </c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  <c r="G10" s="16"/>
      <c r="H10" s="16"/>
      <c r="I10" s="17"/>
      <c r="J10" s="16"/>
      <c r="K10" s="16"/>
      <c r="L10" s="18" t="str">
        <f aca="false">IF(A10="","",IF(COUNTIF(Ref_TEST!$A$2:$A$201,B10)=0,"TEST-ID not in W10",IF(C10="","Template needed",IF(AND(K10="Reviewed",H10=""),"Reviewer needed",IF(AND(F10&gt;0,G10="Effective"),"Exceptions recorded but result Effective",IF(AND(OR(G10="Exception noted",G10="Ineffective"),J10=""),"DEF-ID or rationale needed",IF(AND(H10&lt;&gt;"",H10=D10),"Reviewer must differ from tester","OK")))))))</f>
        <v/>
      </c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6"/>
      <c r="G11" s="16"/>
      <c r="H11" s="16"/>
      <c r="I11" s="17"/>
      <c r="J11" s="16"/>
      <c r="K11" s="16"/>
      <c r="L11" s="18" t="str">
        <f aca="false">IF(A11="","",IF(COUNTIF(Ref_TEST!$A$2:$A$201,B11)=0,"TEST-ID not in W10",IF(C11="","Template needed",IF(AND(K11="Reviewed",H11=""),"Reviewer needed",IF(AND(F11&gt;0,G11="Effective"),"Exceptions recorded but result Effective",IF(AND(OR(G11="Exception noted",G11="Ineffective"),J11=""),"DEF-ID or rationale needed",IF(AND(H11&lt;&gt;"",H11=D11),"Reviewer must differ from tester","OK")))))))</f>
        <v/>
      </c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  <c r="G12" s="16"/>
      <c r="H12" s="16"/>
      <c r="I12" s="17"/>
      <c r="J12" s="16"/>
      <c r="K12" s="16"/>
      <c r="L12" s="18" t="str">
        <f aca="false">IF(A12="","",IF(COUNTIF(Ref_TEST!$A$2:$A$201,B12)=0,"TEST-ID not in W10",IF(C12="","Template needed",IF(AND(K12="Reviewed",H12=""),"Reviewer needed",IF(AND(F12&gt;0,G12="Effective"),"Exceptions recorded but result Effective",IF(AND(OR(G12="Exception noted",G12="Ineffective"),J12=""),"DEF-ID or rationale needed",IF(AND(H12&lt;&gt;"",H12=D12),"Reviewer must differ from tester","OK")))))))</f>
        <v/>
      </c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6"/>
      <c r="G13" s="16"/>
      <c r="H13" s="16"/>
      <c r="I13" s="17"/>
      <c r="J13" s="16"/>
      <c r="K13" s="16"/>
      <c r="L13" s="18" t="str">
        <f aca="false">IF(A13="","",IF(COUNTIF(Ref_TEST!$A$2:$A$201,B13)=0,"TEST-ID not in W10",IF(C13="","Template needed",IF(AND(K13="Reviewed",H13=""),"Reviewer needed",IF(AND(F13&gt;0,G13="Effective"),"Exceptions recorded but result Effective",IF(AND(OR(G13="Exception noted",G13="Ineffective"),J13=""),"DEF-ID or rationale needed",IF(AND(H13&lt;&gt;"",H13=D13),"Reviewer must differ from tester","OK")))))))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6"/>
      <c r="I14" s="17"/>
      <c r="J14" s="16"/>
      <c r="K14" s="16"/>
      <c r="L14" s="18" t="str">
        <f aca="false">IF(A14="","",IF(COUNTIF(Ref_TEST!$A$2:$A$201,B14)=0,"TEST-ID not in W10",IF(C14="","Template needed",IF(AND(K14="Reviewed",H14=""),"Reviewer needed",IF(AND(F14&gt;0,G14="Effective"),"Exceptions recorded but result Effective",IF(AND(OR(G14="Exception noted",G14="Ineffective"),J14=""),"DEF-ID or rationale needed",IF(AND(H14&lt;&gt;"",H14=D14),"Reviewer must differ from tester","OK")))))))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17"/>
      <c r="J15" s="16"/>
      <c r="K15" s="16"/>
      <c r="L15" s="18" t="str">
        <f aca="false">IF(A15="","",IF(COUNTIF(Ref_TEST!$A$2:$A$201,B15)=0,"TEST-ID not in W10",IF(C15="","Template needed",IF(AND(K15="Reviewed",H15=""),"Reviewer needed",IF(AND(F15&gt;0,G15="Effective"),"Exceptions recorded but result Effective",IF(AND(OR(G15="Exception noted",G15="Ineffective"),J15=""),"DEF-ID or rationale needed",IF(AND(H15&lt;&gt;"",H15=D15),"Reviewer must differ from tester","OK")))))))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7"/>
      <c r="J16" s="16"/>
      <c r="K16" s="16"/>
      <c r="L16" s="18" t="str">
        <f aca="false">IF(A16="","",IF(COUNTIF(Ref_TEST!$A$2:$A$201,B16)=0,"TEST-ID not in W10",IF(C16="","Template needed",IF(AND(K16="Reviewed",H16=""),"Reviewer needed",IF(AND(F16&gt;0,G16="Effective"),"Exceptions recorded but result Effective",IF(AND(OR(G16="Exception noted",G16="Ineffective"),J16=""),"DEF-ID or rationale needed",IF(AND(H16&lt;&gt;"",H16=D16),"Reviewer must differ from tester","OK")))))))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7"/>
      <c r="J17" s="16"/>
      <c r="K17" s="16"/>
      <c r="L17" s="18" t="str">
        <f aca="false">IF(A17="","",IF(COUNTIF(Ref_TEST!$A$2:$A$201,B17)=0,"TEST-ID not in W10",IF(C17="","Template needed",IF(AND(K17="Reviewed",H17=""),"Reviewer needed",IF(AND(F17&gt;0,G17="Effective"),"Exceptions recorded but result Effective",IF(AND(OR(G17="Exception noted",G17="Ineffective"),J17=""),"DEF-ID or rationale needed",IF(AND(H17&lt;&gt;"",H17=D17),"Reviewer must differ from tester","OK")))))))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8" t="str">
        <f aca="false">IF(A18="","",IF(COUNTIF(Ref_TEST!$A$2:$A$201,B18)=0,"TEST-ID not in W10",IF(C18="","Template needed",IF(AND(K18="Reviewed",H18=""),"Reviewer needed",IF(AND(F18&gt;0,G18="Effective"),"Exceptions recorded but result Effective",IF(AND(OR(G18="Exception noted",G18="Ineffective"),J18=""),"DEF-ID or rationale needed",IF(AND(H18&lt;&gt;"",H18=D18),"Reviewer must differ from tester","OK")))))))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6"/>
      <c r="L19" s="18" t="str">
        <f aca="false">IF(A19="","",IF(COUNTIF(Ref_TEST!$A$2:$A$201,B19)=0,"TEST-ID not in W10",IF(C19="","Template needed",IF(AND(K19="Reviewed",H19=""),"Reviewer needed",IF(AND(F19&gt;0,G19="Effective"),"Exceptions recorded but result Effective",IF(AND(OR(G19="Exception noted",G19="Ineffective"),J19=""),"DEF-ID or rationale needed",IF(AND(H19&lt;&gt;"",H19=D19),"Reviewer must differ from tester","OK")))))))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7"/>
      <c r="J20" s="16"/>
      <c r="K20" s="16"/>
      <c r="L20" s="18" t="str">
        <f aca="false">IF(A20="","",IF(COUNTIF(Ref_TEST!$A$2:$A$201,B20)=0,"TEST-ID not in W10",IF(C20="","Template needed",IF(AND(K20="Reviewed",H20=""),"Reviewer needed",IF(AND(F20&gt;0,G20="Effective"),"Exceptions recorded but result Effective",IF(AND(OR(G20="Exception noted",G20="Ineffective"),J20=""),"DEF-ID or rationale needed",IF(AND(H20&lt;&gt;"",H20=D20),"Reviewer must differ from tester","OK")))))))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7"/>
      <c r="J21" s="16"/>
      <c r="K21" s="16"/>
      <c r="L21" s="18" t="str">
        <f aca="false">IF(A21="","",IF(COUNTIF(Ref_TEST!$A$2:$A$201,B21)=0,"TEST-ID not in W10",IF(C21="","Template needed",IF(AND(K21="Reviewed",H21=""),"Reviewer needed",IF(AND(F21&gt;0,G21="Effective"),"Exceptions recorded but result Effective",IF(AND(OR(G21="Exception noted",G21="Ineffective"),J21=""),"DEF-ID or rationale needed",IF(AND(H21&lt;&gt;"",H21=D21),"Reviewer must differ from tester","OK")))))))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17"/>
      <c r="J22" s="16"/>
      <c r="K22" s="16"/>
      <c r="L22" s="18" t="str">
        <f aca="false">IF(A22="","",IF(COUNTIF(Ref_TEST!$A$2:$A$201,B22)=0,"TEST-ID not in W10",IF(C22="","Template needed",IF(AND(K22="Reviewed",H22=""),"Reviewer needed",IF(AND(F22&gt;0,G22="Effective"),"Exceptions recorded but result Effective",IF(AND(OR(G22="Exception noted",G22="Ineffective"),J22=""),"DEF-ID or rationale needed",IF(AND(H22&lt;&gt;"",H22=D22),"Reviewer must differ from tester","OK")))))))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6"/>
      <c r="H23" s="16"/>
      <c r="I23" s="17"/>
      <c r="J23" s="16"/>
      <c r="K23" s="16"/>
      <c r="L23" s="18" t="str">
        <f aca="false">IF(A23="","",IF(COUNTIF(Ref_TEST!$A$2:$A$201,B23)=0,"TEST-ID not in W10",IF(C23="","Template needed",IF(AND(K23="Reviewed",H23=""),"Reviewer needed",IF(AND(F23&gt;0,G23="Effective"),"Exceptions recorded but result Effective",IF(AND(OR(G23="Exception noted",G23="Ineffective"),J23=""),"DEF-ID or rationale needed",IF(AND(H23&lt;&gt;"",H23=D23),"Reviewer must differ from tester","OK")))))))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17"/>
      <c r="J24" s="16"/>
      <c r="K24" s="16"/>
      <c r="L24" s="18" t="str">
        <f aca="false">IF(A24="","",IF(COUNTIF(Ref_TEST!$A$2:$A$201,B24)=0,"TEST-ID not in W10",IF(C24="","Template needed",IF(AND(K24="Reviewed",H24=""),"Reviewer needed",IF(AND(F24&gt;0,G24="Effective"),"Exceptions recorded but result Effective",IF(AND(OR(G24="Exception noted",G24="Ineffective"),J24=""),"DEF-ID or rationale needed",IF(AND(H24&lt;&gt;"",H24=D24),"Reviewer must differ from tester","OK")))))))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17"/>
      <c r="J25" s="16"/>
      <c r="K25" s="16"/>
      <c r="L25" s="18" t="str">
        <f aca="false">IF(A25="","",IF(COUNTIF(Ref_TEST!$A$2:$A$201,B25)=0,"TEST-ID not in W10",IF(C25="","Template needed",IF(AND(K25="Reviewed",H25=""),"Reviewer needed",IF(AND(F25&gt;0,G25="Effective"),"Exceptions recorded but result Effective",IF(AND(OR(G25="Exception noted",G25="Ineffective"),J25=""),"DEF-ID or rationale needed",IF(AND(H25&lt;&gt;"",H25=D25),"Reviewer must differ from tester","OK")))))))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  <c r="I26" s="17"/>
      <c r="J26" s="16"/>
      <c r="K26" s="16"/>
      <c r="L26" s="18" t="str">
        <f aca="false">IF(A26="","",IF(COUNTIF(Ref_TEST!$A$2:$A$201,B26)=0,"TEST-ID not in W10",IF(C26="","Template needed",IF(AND(K26="Reviewed",H26=""),"Reviewer needed",IF(AND(F26&gt;0,G26="Effective"),"Exceptions recorded but result Effective",IF(AND(OR(G26="Exception noted",G26="Ineffective"),J26=""),"DEF-ID or rationale needed",IF(AND(H26&lt;&gt;"",H26=D26),"Reviewer must differ from tester","OK")))))))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6"/>
      <c r="I27" s="17"/>
      <c r="J27" s="16"/>
      <c r="K27" s="16"/>
      <c r="L27" s="18" t="str">
        <f aca="false">IF(A27="","",IF(COUNTIF(Ref_TEST!$A$2:$A$201,B27)=0,"TEST-ID not in W10",IF(C27="","Template needed",IF(AND(K27="Reviewed",H27=""),"Reviewer needed",IF(AND(F27&gt;0,G27="Effective"),"Exceptions recorded but result Effective",IF(AND(OR(G27="Exception noted",G27="Ineffective"),J27=""),"DEF-ID or rationale needed",IF(AND(H27&lt;&gt;"",H27=D27),"Reviewer must differ from tester","OK")))))))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17"/>
      <c r="J28" s="16"/>
      <c r="K28" s="16"/>
      <c r="L28" s="18" t="str">
        <f aca="false">IF(A28="","",IF(COUNTIF(Ref_TEST!$A$2:$A$201,B28)=0,"TEST-ID not in W10",IF(C28="","Template needed",IF(AND(K28="Reviewed",H28=""),"Reviewer needed",IF(AND(F28&gt;0,G28="Effective"),"Exceptions recorded but result Effective",IF(AND(OR(G28="Exception noted",G28="Ineffective"),J28=""),"DEF-ID or rationale needed",IF(AND(H28&lt;&gt;"",H28=D28),"Reviewer must differ from tester","OK")))))))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7"/>
      <c r="J29" s="16"/>
      <c r="K29" s="16"/>
      <c r="L29" s="18" t="str">
        <f aca="false">IF(A29="","",IF(COUNTIF(Ref_TEST!$A$2:$A$201,B29)=0,"TEST-ID not in W10",IF(C29="","Template needed",IF(AND(K29="Reviewed",H29=""),"Reviewer needed",IF(AND(F29&gt;0,G29="Effective"),"Exceptions recorded but result Effective",IF(AND(OR(G29="Exception noted",G29="Ineffective"),J29=""),"DEF-ID or rationale needed",IF(AND(H29&lt;&gt;"",H29=D29),"Reviewer must differ from tester","OK")))))))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17"/>
      <c r="J30" s="16"/>
      <c r="K30" s="16"/>
      <c r="L30" s="18" t="str">
        <f aca="false">IF(A30="","",IF(COUNTIF(Ref_TEST!$A$2:$A$201,B30)=0,"TEST-ID not in W10",IF(C30="","Template needed",IF(AND(K30="Reviewed",H30=""),"Reviewer needed",IF(AND(F30&gt;0,G30="Effective"),"Exceptions recorded but result Effective",IF(AND(OR(G30="Exception noted",G30="Ineffective"),J30=""),"DEF-ID or rationale needed",IF(AND(H30&lt;&gt;"",H30=D30),"Reviewer must differ from tester","OK")))))))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  <c r="I31" s="17"/>
      <c r="J31" s="16"/>
      <c r="K31" s="16"/>
      <c r="L31" s="18" t="str">
        <f aca="false">IF(A31="","",IF(COUNTIF(Ref_TEST!$A$2:$A$201,B31)=0,"TEST-ID not in W10",IF(C31="","Template needed",IF(AND(K31="Reviewed",H31=""),"Reviewer needed",IF(AND(F31&gt;0,G31="Effective"),"Exceptions recorded but result Effective",IF(AND(OR(G31="Exception noted",G31="Ineffective"),J31=""),"DEF-ID or rationale needed",IF(AND(H31&lt;&gt;"",H31=D31),"Reviewer must differ from tester","OK")))))))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17"/>
      <c r="J32" s="16"/>
      <c r="K32" s="16"/>
      <c r="L32" s="18" t="str">
        <f aca="false">IF(A32="","",IF(COUNTIF(Ref_TEST!$A$2:$A$201,B32)=0,"TEST-ID not in W10",IF(C32="","Template needed",IF(AND(K32="Reviewed",H32=""),"Reviewer needed",IF(AND(F32&gt;0,G32="Effective"),"Exceptions recorded but result Effective",IF(AND(OR(G32="Exception noted",G32="Ineffective"),J32=""),"DEF-ID or rationale needed",IF(AND(H32&lt;&gt;"",H32=D32),"Reviewer must differ from tester","OK")))))))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6"/>
      <c r="H33" s="16"/>
      <c r="I33" s="17"/>
      <c r="J33" s="16"/>
      <c r="K33" s="16"/>
      <c r="L33" s="18" t="str">
        <f aca="false">IF(A33="","",IF(COUNTIF(Ref_TEST!$A$2:$A$201,B33)=0,"TEST-ID not in W10",IF(C33="","Template needed",IF(AND(K33="Reviewed",H33=""),"Reviewer needed",IF(AND(F33&gt;0,G33="Effective"),"Exceptions recorded but result Effective",IF(AND(OR(G33="Exception noted",G33="Ineffective"),J33=""),"DEF-ID or rationale needed",IF(AND(H33&lt;&gt;"",H33=D33),"Reviewer must differ from tester","OK")))))))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6"/>
      <c r="I34" s="17"/>
      <c r="J34" s="16"/>
      <c r="K34" s="16"/>
      <c r="L34" s="18" t="str">
        <f aca="false">IF(A34="","",IF(COUNTIF(Ref_TEST!$A$2:$A$201,B34)=0,"TEST-ID not in W10",IF(C34="","Template needed",IF(AND(K34="Reviewed",H34=""),"Reviewer needed",IF(AND(F34&gt;0,G34="Effective"),"Exceptions recorded but result Effective",IF(AND(OR(G34="Exception noted",G34="Ineffective"),J34=""),"DEF-ID or rationale needed",IF(AND(H34&lt;&gt;"",H34=D34),"Reviewer must differ from tester","OK")))))))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17"/>
      <c r="J35" s="16"/>
      <c r="K35" s="16"/>
      <c r="L35" s="18" t="str">
        <f aca="false">IF(A35="","",IF(COUNTIF(Ref_TEST!$A$2:$A$201,B35)=0,"TEST-ID not in W10",IF(C35="","Template needed",IF(AND(K35="Reviewed",H35=""),"Reviewer needed",IF(AND(F35&gt;0,G35="Effective"),"Exceptions recorded but result Effective",IF(AND(OR(G35="Exception noted",G35="Ineffective"),J35=""),"DEF-ID or rationale needed",IF(AND(H35&lt;&gt;"",H35=D35),"Reviewer must differ from tester","OK")))))))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6"/>
      <c r="H36" s="16"/>
      <c r="I36" s="17"/>
      <c r="J36" s="16"/>
      <c r="K36" s="16"/>
      <c r="L36" s="18" t="str">
        <f aca="false">IF(A36="","",IF(COUNTIF(Ref_TEST!$A$2:$A$201,B36)=0,"TEST-ID not in W10",IF(C36="","Template needed",IF(AND(K36="Reviewed",H36=""),"Reviewer needed",IF(AND(F36&gt;0,G36="Effective"),"Exceptions recorded but result Effective",IF(AND(OR(G36="Exception noted",G36="Ineffective"),J36=""),"DEF-ID or rationale needed",IF(AND(H36&lt;&gt;"",H36=D36),"Reviewer must differ from tester","OK")))))))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17"/>
      <c r="J37" s="16"/>
      <c r="K37" s="16"/>
      <c r="L37" s="18" t="str">
        <f aca="false">IF(A37="","",IF(COUNTIF(Ref_TEST!$A$2:$A$201,B37)=0,"TEST-ID not in W10",IF(C37="","Template needed",IF(AND(K37="Reviewed",H37=""),"Reviewer needed",IF(AND(F37&gt;0,G37="Effective"),"Exceptions recorded but result Effective",IF(AND(OR(G37="Exception noted",G37="Ineffective"),J37=""),"DEF-ID or rationale needed",IF(AND(H37&lt;&gt;"",H37=D37),"Reviewer must differ from tester","OK")))))))</f>
        <v/>
      </c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17"/>
      <c r="J38" s="16"/>
      <c r="K38" s="16"/>
      <c r="L38" s="18" t="str">
        <f aca="false">IF(A38="","",IF(COUNTIF(Ref_TEST!$A$2:$A$201,B38)=0,"TEST-ID not in W10",IF(C38="","Template needed",IF(AND(K38="Reviewed",H38=""),"Reviewer needed",IF(AND(F38&gt;0,G38="Effective"),"Exceptions recorded but result Effective",IF(AND(OR(G38="Exception noted",G38="Ineffective"),J38=""),"DEF-ID or rationale needed",IF(AND(H38&lt;&gt;"",H38=D38),"Reviewer must differ from tester","OK")))))))</f>
        <v/>
      </c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  <c r="I39" s="17"/>
      <c r="J39" s="16"/>
      <c r="K39" s="16"/>
      <c r="L39" s="18" t="str">
        <f aca="false">IF(A39="","",IF(COUNTIF(Ref_TEST!$A$2:$A$201,B39)=0,"TEST-ID not in W10",IF(C39="","Template needed",IF(AND(K39="Reviewed",H39=""),"Reviewer needed",IF(AND(F39&gt;0,G39="Effective"),"Exceptions recorded but result Effective",IF(AND(OR(G39="Exception noted",G39="Ineffective"),J39=""),"DEF-ID or rationale needed",IF(AND(H39&lt;&gt;"",H39=D39),"Reviewer must differ from tester","OK")))))))</f>
        <v/>
      </c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  <c r="I40" s="17"/>
      <c r="J40" s="16"/>
      <c r="K40" s="16"/>
      <c r="L40" s="18" t="str">
        <f aca="false">IF(A40="","",IF(COUNTIF(Ref_TEST!$A$2:$A$201,B40)=0,"TEST-ID not in W10",IF(C40="","Template needed",IF(AND(K40="Reviewed",H40=""),"Reviewer needed",IF(AND(F40&gt;0,G40="Effective"),"Exceptions recorded but result Effective",IF(AND(OR(G40="Exception noted",G40="Ineffective"),J40=""),"DEF-ID or rationale needed",IF(AND(H40&lt;&gt;"",H40=D40),"Reviewer must differ from tester","OK")))))))</f>
        <v/>
      </c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  <c r="I41" s="17"/>
      <c r="J41" s="16"/>
      <c r="K41" s="16"/>
      <c r="L41" s="18" t="str">
        <f aca="false">IF(A41="","",IF(COUNTIF(Ref_TEST!$A$2:$A$201,B41)=0,"TEST-ID not in W10",IF(C41="","Template needed",IF(AND(K41="Reviewed",H41=""),"Reviewer needed",IF(AND(F41&gt;0,G41="Effective"),"Exceptions recorded but result Effective",IF(AND(OR(G41="Exception noted",G41="Ineffective"),J41=""),"DEF-ID or rationale needed",IF(AND(H41&lt;&gt;"",H41=D41),"Reviewer must differ from tester","OK")))))))</f>
        <v/>
      </c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  <c r="I42" s="17"/>
      <c r="J42" s="16"/>
      <c r="K42" s="16"/>
      <c r="L42" s="18" t="str">
        <f aca="false">IF(A42="","",IF(COUNTIF(Ref_TEST!$A$2:$A$201,B42)=0,"TEST-ID not in W10",IF(C42="","Template needed",IF(AND(K42="Reviewed",H42=""),"Reviewer needed",IF(AND(F42&gt;0,G42="Effective"),"Exceptions recorded but result Effective",IF(AND(OR(G42="Exception noted",G42="Ineffective"),J42=""),"DEF-ID or rationale needed",IF(AND(H42&lt;&gt;"",H42=D42),"Reviewer must differ from tester","OK")))))))</f>
        <v/>
      </c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17"/>
      <c r="J43" s="16"/>
      <c r="K43" s="16"/>
      <c r="L43" s="18" t="str">
        <f aca="false">IF(A43="","",IF(COUNTIF(Ref_TEST!$A$2:$A$201,B43)=0,"TEST-ID not in W10",IF(C43="","Template needed",IF(AND(K43="Reviewed",H43=""),"Reviewer needed",IF(AND(F43&gt;0,G43="Effective"),"Exceptions recorded but result Effective",IF(AND(OR(G43="Exception noted",G43="Ineffective"),J43=""),"DEF-ID or rationale needed",IF(AND(H43&lt;&gt;"",H43=D43),"Reviewer must differ from tester","OK")))))))</f>
        <v/>
      </c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  <c r="I44" s="17"/>
      <c r="J44" s="16"/>
      <c r="K44" s="16"/>
      <c r="L44" s="18" t="str">
        <f aca="false">IF(A44="","",IF(COUNTIF(Ref_TEST!$A$2:$A$201,B44)=0,"TEST-ID not in W10",IF(C44="","Template needed",IF(AND(K44="Reviewed",H44=""),"Reviewer needed",IF(AND(F44&gt;0,G44="Effective"),"Exceptions recorded but result Effective",IF(AND(OR(G44="Exception noted",G44="Ineffective"),J44=""),"DEF-ID or rationale needed",IF(AND(H44&lt;&gt;"",H44=D44),"Reviewer must differ from tester","OK")))))))</f>
        <v/>
      </c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  <c r="I45" s="17"/>
      <c r="J45" s="16"/>
      <c r="K45" s="16"/>
      <c r="L45" s="18" t="str">
        <f aca="false">IF(A45="","",IF(COUNTIF(Ref_TEST!$A$2:$A$201,B45)=0,"TEST-ID not in W10",IF(C45="","Template needed",IF(AND(K45="Reviewed",H45=""),"Reviewer needed",IF(AND(F45&gt;0,G45="Effective"),"Exceptions recorded but result Effective",IF(AND(OR(G45="Exception noted",G45="Ineffective"),J45=""),"DEF-ID or rationale needed",IF(AND(H45&lt;&gt;"",H45=D45),"Reviewer must differ from tester","OK")))))))</f>
        <v/>
      </c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  <c r="I46" s="17"/>
      <c r="J46" s="16"/>
      <c r="K46" s="16"/>
      <c r="L46" s="18" t="str">
        <f aca="false">IF(A46="","",IF(COUNTIF(Ref_TEST!$A$2:$A$201,B46)=0,"TEST-ID not in W10",IF(C46="","Template needed",IF(AND(K46="Reviewed",H46=""),"Reviewer needed",IF(AND(F46&gt;0,G46="Effective"),"Exceptions recorded but result Effective",IF(AND(OR(G46="Exception noted",G46="Ineffective"),J46=""),"DEF-ID or rationale needed",IF(AND(H46&lt;&gt;"",H46=D46),"Reviewer must differ from tester","OK")))))))</f>
        <v/>
      </c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17"/>
      <c r="J47" s="16"/>
      <c r="K47" s="16"/>
      <c r="L47" s="18" t="str">
        <f aca="false">IF(A47="","",IF(COUNTIF(Ref_TEST!$A$2:$A$201,B47)=0,"TEST-ID not in W10",IF(C47="","Template needed",IF(AND(K47="Reviewed",H47=""),"Reviewer needed",IF(AND(F47&gt;0,G47="Effective"),"Exceptions recorded but result Effective",IF(AND(OR(G47="Exception noted",G47="Ineffective"),J47=""),"DEF-ID or rationale needed",IF(AND(H47&lt;&gt;"",H47=D47),"Reviewer must differ from tester","OK")))))))</f>
        <v/>
      </c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  <c r="I48" s="17"/>
      <c r="J48" s="16"/>
      <c r="K48" s="16"/>
      <c r="L48" s="18" t="str">
        <f aca="false">IF(A48="","",IF(COUNTIF(Ref_TEST!$A$2:$A$201,B48)=0,"TEST-ID not in W10",IF(C48="","Template needed",IF(AND(K48="Reviewed",H48=""),"Reviewer needed",IF(AND(F48&gt;0,G48="Effective"),"Exceptions recorded but result Effective",IF(AND(OR(G48="Exception noted",G48="Ineffective"),J48=""),"DEF-ID or rationale needed",IF(AND(H48&lt;&gt;"",H48=D48),"Reviewer must differ from tester","OK")))))))</f>
        <v/>
      </c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17"/>
      <c r="J49" s="16"/>
      <c r="K49" s="16"/>
      <c r="L49" s="18" t="str">
        <f aca="false">IF(A49="","",IF(COUNTIF(Ref_TEST!$A$2:$A$201,B49)=0,"TEST-ID not in W10",IF(C49="","Template needed",IF(AND(K49="Reviewed",H49=""),"Reviewer needed",IF(AND(F49&gt;0,G49="Effective"),"Exceptions recorded but result Effective",IF(AND(OR(G49="Exception noted",G49="Ineffective"),J49=""),"DEF-ID or rationale needed",IF(AND(H49&lt;&gt;"",H49=D49),"Reviewer must differ from tester","OK")))))))</f>
        <v/>
      </c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17"/>
      <c r="J50" s="16"/>
      <c r="K50" s="16"/>
      <c r="L50" s="18" t="str">
        <f aca="false">IF(A50="","",IF(COUNTIF(Ref_TEST!$A$2:$A$201,B50)=0,"TEST-ID not in W10",IF(C50="","Template needed",IF(AND(K50="Reviewed",H50=""),"Reviewer needed",IF(AND(F50&gt;0,G50="Effective"),"Exceptions recorded but result Effective",IF(AND(OR(G50="Exception noted",G50="Ineffective"),J50=""),"DEF-ID or rationale needed",IF(AND(H50&lt;&gt;"",H50=D50),"Reviewer must differ from tester","OK")))))))</f>
        <v/>
      </c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17"/>
      <c r="J51" s="16"/>
      <c r="K51" s="16"/>
      <c r="L51" s="18" t="str">
        <f aca="false">IF(A51="","",IF(COUNTIF(Ref_TEST!$A$2:$A$201,B51)=0,"TEST-ID not in W10",IF(C51="","Template needed",IF(AND(K51="Reviewed",H51=""),"Reviewer needed",IF(AND(F51&gt;0,G51="Effective"),"Exceptions recorded but result Effective",IF(AND(OR(G51="Exception noted",G51="Ineffective"),J51=""),"DEF-ID or rationale needed",IF(AND(H51&lt;&gt;"",H51=D51),"Reviewer must differ from tester","OK")))))))</f>
        <v/>
      </c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17"/>
      <c r="J52" s="16"/>
      <c r="K52" s="16"/>
      <c r="L52" s="18" t="str">
        <f aca="false">IF(A52="","",IF(COUNTIF(Ref_TEST!$A$2:$A$201,B52)=0,"TEST-ID not in W10",IF(C52="","Template needed",IF(AND(K52="Reviewed",H52=""),"Reviewer needed",IF(AND(F52&gt;0,G52="Effective"),"Exceptions recorded but result Effective",IF(AND(OR(G52="Exception noted",G52="Ineffective"),J52=""),"DEF-ID or rationale needed",IF(AND(H52&lt;&gt;"",H52=D52),"Reviewer must differ from tester","OK")))))))</f>
        <v/>
      </c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17"/>
      <c r="J53" s="16"/>
      <c r="K53" s="16"/>
      <c r="L53" s="18" t="str">
        <f aca="false">IF(A53="","",IF(COUNTIF(Ref_TEST!$A$2:$A$201,B53)=0,"TEST-ID not in W10",IF(C53="","Template needed",IF(AND(K53="Reviewed",H53=""),"Reviewer needed",IF(AND(F53&gt;0,G53="Effective"),"Exceptions recorded but result Effective",IF(AND(OR(G53="Exception noted",G53="Ineffective"),J53=""),"DEF-ID or rationale needed",IF(AND(H53&lt;&gt;"",H53=D53),"Reviewer must differ from tester","OK")))))))</f>
        <v/>
      </c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17"/>
      <c r="J54" s="16"/>
      <c r="K54" s="16"/>
      <c r="L54" s="18" t="str">
        <f aca="false">IF(A54="","",IF(COUNTIF(Ref_TEST!$A$2:$A$201,B54)=0,"TEST-ID not in W10",IF(C54="","Template needed",IF(AND(K54="Reviewed",H54=""),"Reviewer needed",IF(AND(F54&gt;0,G54="Effective"),"Exceptions recorded but result Effective",IF(AND(OR(G54="Exception noted",G54="Ineffective"),J54=""),"DEF-ID or rationale needed",IF(AND(H54&lt;&gt;"",H54=D54),"Reviewer must differ from tester","OK")))))))</f>
        <v/>
      </c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17"/>
      <c r="J55" s="16"/>
      <c r="K55" s="16"/>
      <c r="L55" s="18" t="str">
        <f aca="false">IF(A55="","",IF(COUNTIF(Ref_TEST!$A$2:$A$201,B55)=0,"TEST-ID not in W10",IF(C55="","Template needed",IF(AND(K55="Reviewed",H55=""),"Reviewer needed",IF(AND(F55&gt;0,G55="Effective"),"Exceptions recorded but result Effective",IF(AND(OR(G55="Exception noted",G55="Ineffective"),J55=""),"DEF-ID or rationale needed",IF(AND(H55&lt;&gt;"",H55=D55),"Reviewer must differ from tester","OK")))))))</f>
        <v/>
      </c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  <c r="I56" s="17"/>
      <c r="J56" s="16"/>
      <c r="K56" s="16"/>
      <c r="L56" s="18" t="str">
        <f aca="false">IF(A56="","",IF(COUNTIF(Ref_TEST!$A$2:$A$201,B56)=0,"TEST-ID not in W10",IF(C56="","Template needed",IF(AND(K56="Reviewed",H56=""),"Reviewer needed",IF(AND(F56&gt;0,G56="Effective"),"Exceptions recorded but result Effective",IF(AND(OR(G56="Exception noted",G56="Ineffective"),J56=""),"DEF-ID or rationale needed",IF(AND(H56&lt;&gt;"",H56=D56),"Reviewer must differ from tester","OK")))))))</f>
        <v/>
      </c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17"/>
      <c r="J57" s="16"/>
      <c r="K57" s="16"/>
      <c r="L57" s="18" t="str">
        <f aca="false">IF(A57="","",IF(COUNTIF(Ref_TEST!$A$2:$A$201,B57)=0,"TEST-ID not in W10",IF(C57="","Template needed",IF(AND(K57="Reviewed",H57=""),"Reviewer needed",IF(AND(F57&gt;0,G57="Effective"),"Exceptions recorded but result Effective",IF(AND(OR(G57="Exception noted",G57="Ineffective"),J57=""),"DEF-ID or rationale needed",IF(AND(H57&lt;&gt;"",H57=D57),"Reviewer must differ from tester","OK")))))))</f>
        <v/>
      </c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17"/>
      <c r="J58" s="16"/>
      <c r="K58" s="16"/>
      <c r="L58" s="18" t="str">
        <f aca="false">IF(A58="","",IF(COUNTIF(Ref_TEST!$A$2:$A$201,B58)=0,"TEST-ID not in W10",IF(C58="","Template needed",IF(AND(K58="Reviewed",H58=""),"Reviewer needed",IF(AND(F58&gt;0,G58="Effective"),"Exceptions recorded but result Effective",IF(AND(OR(G58="Exception noted",G58="Ineffective"),J58=""),"DEF-ID or rationale needed",IF(AND(H58&lt;&gt;"",H58=D58),"Reviewer must differ from tester","OK")))))))</f>
        <v/>
      </c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17"/>
      <c r="J59" s="16"/>
      <c r="K59" s="16"/>
      <c r="L59" s="18" t="str">
        <f aca="false">IF(A59="","",IF(COUNTIF(Ref_TEST!$A$2:$A$201,B59)=0,"TEST-ID not in W10",IF(C59="","Template needed",IF(AND(K59="Reviewed",H59=""),"Reviewer needed",IF(AND(F59&gt;0,G59="Effective"),"Exceptions recorded but result Effective",IF(AND(OR(G59="Exception noted",G59="Ineffective"),J59=""),"DEF-ID or rationale needed",IF(AND(H59&lt;&gt;"",H59=D59),"Reviewer must differ from tester","OK")))))))</f>
        <v/>
      </c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6"/>
      <c r="G60" s="16"/>
      <c r="H60" s="16"/>
      <c r="I60" s="17"/>
      <c r="J60" s="16"/>
      <c r="K60" s="16"/>
      <c r="L60" s="18" t="str">
        <f aca="false">IF(A60="","",IF(COUNTIF(Ref_TEST!$A$2:$A$201,B60)=0,"TEST-ID not in W10",IF(C60="","Template needed",IF(AND(K60="Reviewed",H60=""),"Reviewer needed",IF(AND(F60&gt;0,G60="Effective"),"Exceptions recorded but result Effective",IF(AND(OR(G60="Exception noted",G60="Ineffective"),J60=""),"DEF-ID or rationale needed",IF(AND(H60&lt;&gt;"",H60=D60),"Reviewer must differ from tester","OK")))))))</f>
        <v/>
      </c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6"/>
      <c r="G61" s="16"/>
      <c r="H61" s="16"/>
      <c r="I61" s="17"/>
      <c r="J61" s="16"/>
      <c r="K61" s="16"/>
      <c r="L61" s="18" t="str">
        <f aca="false">IF(A61="","",IF(COUNTIF(Ref_TEST!$A$2:$A$201,B61)=0,"TEST-ID not in W10",IF(C61="","Template needed",IF(AND(K61="Reviewed",H61=""),"Reviewer needed",IF(AND(F61&gt;0,G61="Effective"),"Exceptions recorded but result Effective",IF(AND(OR(G61="Exception noted",G61="Ineffective"),J61=""),"DEF-ID or rationale needed",IF(AND(H61&lt;&gt;"",H61=D61),"Reviewer must differ from tester","OK")))))))</f>
        <v/>
      </c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17"/>
      <c r="J62" s="16"/>
      <c r="K62" s="16"/>
      <c r="L62" s="18" t="str">
        <f aca="false">IF(A62="","",IF(COUNTIF(Ref_TEST!$A$2:$A$201,B62)=0,"TEST-ID not in W10",IF(C62="","Template needed",IF(AND(K62="Reviewed",H62=""),"Reviewer needed",IF(AND(F62&gt;0,G62="Effective"),"Exceptions recorded but result Effective",IF(AND(OR(G62="Exception noted",G62="Ineffective"),J62=""),"DEF-ID or rationale needed",IF(AND(H62&lt;&gt;"",H62=D62),"Reviewer must differ from tester","OK")))))))</f>
        <v/>
      </c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17"/>
      <c r="J63" s="16"/>
      <c r="K63" s="16"/>
      <c r="L63" s="18" t="str">
        <f aca="false">IF(A63="","",IF(COUNTIF(Ref_TEST!$A$2:$A$201,B63)=0,"TEST-ID not in W10",IF(C63="","Template needed",IF(AND(K63="Reviewed",H63=""),"Reviewer needed",IF(AND(F63&gt;0,G63="Effective"),"Exceptions recorded but result Effective",IF(AND(OR(G63="Exception noted",G63="Ineffective"),J63=""),"DEF-ID or rationale needed",IF(AND(H63&lt;&gt;"",H63=D63),"Reviewer must differ from tester","OK")))))))</f>
        <v/>
      </c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17"/>
      <c r="J64" s="16"/>
      <c r="K64" s="16"/>
      <c r="L64" s="18" t="str">
        <f aca="false">IF(A64="","",IF(COUNTIF(Ref_TEST!$A$2:$A$201,B64)=0,"TEST-ID not in W10",IF(C64="","Template needed",IF(AND(K64="Reviewed",H64=""),"Reviewer needed",IF(AND(F64&gt;0,G64="Effective"),"Exceptions recorded but result Effective",IF(AND(OR(G64="Exception noted",G64="Ineffective"),J64=""),"DEF-ID or rationale needed",IF(AND(H64&lt;&gt;"",H64=D64),"Reviewer must differ from tester","OK")))))))</f>
        <v/>
      </c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6"/>
      <c r="G65" s="16"/>
      <c r="H65" s="16"/>
      <c r="I65" s="17"/>
      <c r="J65" s="16"/>
      <c r="K65" s="16"/>
      <c r="L65" s="18" t="str">
        <f aca="false">IF(A65="","",IF(COUNTIF(Ref_TEST!$A$2:$A$201,B65)=0,"TEST-ID not in W10",IF(C65="","Template needed",IF(AND(K65="Reviewed",H65=""),"Reviewer needed",IF(AND(F65&gt;0,G65="Effective"),"Exceptions recorded but result Effective",IF(AND(OR(G65="Exception noted",G65="Ineffective"),J65=""),"DEF-ID or rationale needed",IF(AND(H65&lt;&gt;"",H65=D65),"Reviewer must differ from tester","OK")))))))</f>
        <v/>
      </c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6"/>
      <c r="G66" s="16"/>
      <c r="H66" s="16"/>
      <c r="I66" s="17"/>
      <c r="J66" s="16"/>
      <c r="K66" s="16"/>
      <c r="L66" s="18" t="str">
        <f aca="false">IF(A66="","",IF(COUNTIF(Ref_TEST!$A$2:$A$201,B66)=0,"TEST-ID not in W10",IF(C66="","Template needed",IF(AND(K66="Reviewed",H66=""),"Reviewer needed",IF(AND(F66&gt;0,G66="Effective"),"Exceptions recorded but result Effective",IF(AND(OR(G66="Exception noted",G66="Ineffective"),J66=""),"DEF-ID or rationale needed",IF(AND(H66&lt;&gt;"",H66=D66),"Reviewer must differ from tester","OK")))))))</f>
        <v/>
      </c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17"/>
      <c r="J67" s="16"/>
      <c r="K67" s="16"/>
      <c r="L67" s="18" t="str">
        <f aca="false">IF(A67="","",IF(COUNTIF(Ref_TEST!$A$2:$A$201,B67)=0,"TEST-ID not in W10",IF(C67="","Template needed",IF(AND(K67="Reviewed",H67=""),"Reviewer needed",IF(AND(F67&gt;0,G67="Effective"),"Exceptions recorded but result Effective",IF(AND(OR(G67="Exception noted",G67="Ineffective"),J67=""),"DEF-ID or rationale needed",IF(AND(H67&lt;&gt;"",H67=D67),"Reviewer must differ from tester","OK")))))))</f>
        <v/>
      </c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17"/>
      <c r="J68" s="16"/>
      <c r="K68" s="16"/>
      <c r="L68" s="18" t="str">
        <f aca="false">IF(A68="","",IF(COUNTIF(Ref_TEST!$A$2:$A$201,B68)=0,"TEST-ID not in W10",IF(C68="","Template needed",IF(AND(K68="Reviewed",H68=""),"Reviewer needed",IF(AND(F68&gt;0,G68="Effective"),"Exceptions recorded but result Effective",IF(AND(OR(G68="Exception noted",G68="Ineffective"),J68=""),"DEF-ID or rationale needed",IF(AND(H68&lt;&gt;"",H68=D68),"Reviewer must differ from tester","OK")))))))</f>
        <v/>
      </c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6"/>
      <c r="G69" s="16"/>
      <c r="H69" s="16"/>
      <c r="I69" s="17"/>
      <c r="J69" s="16"/>
      <c r="K69" s="16"/>
      <c r="L69" s="18" t="str">
        <f aca="false">IF(A69="","",IF(COUNTIF(Ref_TEST!$A$2:$A$201,B69)=0,"TEST-ID not in W10",IF(C69="","Template needed",IF(AND(K69="Reviewed",H69=""),"Reviewer needed",IF(AND(F69&gt;0,G69="Effective"),"Exceptions recorded but result Effective",IF(AND(OR(G69="Exception noted",G69="Ineffective"),J69=""),"DEF-ID or rationale needed",IF(AND(H69&lt;&gt;"",H69=D69),"Reviewer must differ from tester","OK")))))))</f>
        <v/>
      </c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6"/>
      <c r="G70" s="16"/>
      <c r="H70" s="16"/>
      <c r="I70" s="17"/>
      <c r="J70" s="16"/>
      <c r="K70" s="16"/>
      <c r="L70" s="18" t="str">
        <f aca="false">IF(A70="","",IF(COUNTIF(Ref_TEST!$A$2:$A$201,B70)=0,"TEST-ID not in W10",IF(C70="","Template needed",IF(AND(K70="Reviewed",H70=""),"Reviewer needed",IF(AND(F70&gt;0,G70="Effective"),"Exceptions recorded but result Effective",IF(AND(OR(G70="Exception noted",G70="Ineffective"),J70=""),"DEF-ID or rationale needed",IF(AND(H70&lt;&gt;"",H70=D70),"Reviewer must differ from tester","OK")))))))</f>
        <v/>
      </c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6"/>
      <c r="G71" s="16"/>
      <c r="H71" s="16"/>
      <c r="I71" s="17"/>
      <c r="J71" s="16"/>
      <c r="K71" s="16"/>
      <c r="L71" s="18" t="str">
        <f aca="false">IF(A71="","",IF(COUNTIF(Ref_TEST!$A$2:$A$201,B71)=0,"TEST-ID not in W10",IF(C71="","Template needed",IF(AND(K71="Reviewed",H71=""),"Reviewer needed",IF(AND(F71&gt;0,G71="Effective"),"Exceptions recorded but result Effective",IF(AND(OR(G71="Exception noted",G71="Ineffective"),J71=""),"DEF-ID or rationale needed",IF(AND(H71&lt;&gt;"",H71=D71),"Reviewer must differ from tester","OK")))))))</f>
        <v/>
      </c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17"/>
      <c r="J72" s="16"/>
      <c r="K72" s="16"/>
      <c r="L72" s="18" t="str">
        <f aca="false">IF(A72="","",IF(COUNTIF(Ref_TEST!$A$2:$A$201,B72)=0,"TEST-ID not in W10",IF(C72="","Template needed",IF(AND(K72="Reviewed",H72=""),"Reviewer needed",IF(AND(F72&gt;0,G72="Effective"),"Exceptions recorded but result Effective",IF(AND(OR(G72="Exception noted",G72="Ineffective"),J72=""),"DEF-ID or rationale needed",IF(AND(H72&lt;&gt;"",H72=D72),"Reviewer must differ from tester","OK")))))))</f>
        <v/>
      </c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17"/>
      <c r="J73" s="16"/>
      <c r="K73" s="16"/>
      <c r="L73" s="18" t="str">
        <f aca="false">IF(A73="","",IF(COUNTIF(Ref_TEST!$A$2:$A$201,B73)=0,"TEST-ID not in W10",IF(C73="","Template needed",IF(AND(K73="Reviewed",H73=""),"Reviewer needed",IF(AND(F73&gt;0,G73="Effective"),"Exceptions recorded but result Effective",IF(AND(OR(G73="Exception noted",G73="Ineffective"),J73=""),"DEF-ID or rationale needed",IF(AND(H73&lt;&gt;"",H73=D73),"Reviewer must differ from tester","OK")))))))</f>
        <v/>
      </c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17"/>
      <c r="J74" s="16"/>
      <c r="K74" s="16"/>
      <c r="L74" s="18" t="str">
        <f aca="false">IF(A74="","",IF(COUNTIF(Ref_TEST!$A$2:$A$201,B74)=0,"TEST-ID not in W10",IF(C74="","Template needed",IF(AND(K74="Reviewed",H74=""),"Reviewer needed",IF(AND(F74&gt;0,G74="Effective"),"Exceptions recorded but result Effective",IF(AND(OR(G74="Exception noted",G74="Ineffective"),J74=""),"DEF-ID or rationale needed",IF(AND(H74&lt;&gt;"",H74=D74),"Reviewer must differ from tester","OK")))))))</f>
        <v/>
      </c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17"/>
      <c r="J75" s="16"/>
      <c r="K75" s="16"/>
      <c r="L75" s="18" t="str">
        <f aca="false">IF(A75="","",IF(COUNTIF(Ref_TEST!$A$2:$A$201,B75)=0,"TEST-ID not in W10",IF(C75="","Template needed",IF(AND(K75="Reviewed",H75=""),"Reviewer needed",IF(AND(F75&gt;0,G75="Effective"),"Exceptions recorded but result Effective",IF(AND(OR(G75="Exception noted",G75="Ineffective"),J75=""),"DEF-ID or rationale needed",IF(AND(H75&lt;&gt;"",H75=D75),"Reviewer must differ from tester","OK")))))))</f>
        <v/>
      </c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17"/>
      <c r="J76" s="16"/>
      <c r="K76" s="16"/>
      <c r="L76" s="18" t="str">
        <f aca="false">IF(A76="","",IF(COUNTIF(Ref_TEST!$A$2:$A$201,B76)=0,"TEST-ID not in W10",IF(C76="","Template needed",IF(AND(K76="Reviewed",H76=""),"Reviewer needed",IF(AND(F76&gt;0,G76="Effective"),"Exceptions recorded but result Effective",IF(AND(OR(G76="Exception noted",G76="Ineffective"),J76=""),"DEF-ID or rationale needed",IF(AND(H76&lt;&gt;"",H76=D76),"Reviewer must differ from tester","OK")))))))</f>
        <v/>
      </c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17"/>
      <c r="J77" s="16"/>
      <c r="K77" s="16"/>
      <c r="L77" s="18" t="str">
        <f aca="false">IF(A77="","",IF(COUNTIF(Ref_TEST!$A$2:$A$201,B77)=0,"TEST-ID not in W10",IF(C77="","Template needed",IF(AND(K77="Reviewed",H77=""),"Reviewer needed",IF(AND(F77&gt;0,G77="Effective"),"Exceptions recorded but result Effective",IF(AND(OR(G77="Exception noted",G77="Ineffective"),J77=""),"DEF-ID or rationale needed",IF(AND(H77&lt;&gt;"",H77=D77),"Reviewer must differ from tester","OK")))))))</f>
        <v/>
      </c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17"/>
      <c r="J78" s="16"/>
      <c r="K78" s="16"/>
      <c r="L78" s="18" t="str">
        <f aca="false">IF(A78="","",IF(COUNTIF(Ref_TEST!$A$2:$A$201,B78)=0,"TEST-ID not in W10",IF(C78="","Template needed",IF(AND(K78="Reviewed",H78=""),"Reviewer needed",IF(AND(F78&gt;0,G78="Effective"),"Exceptions recorded but result Effective",IF(AND(OR(G78="Exception noted",G78="Ineffective"),J78=""),"DEF-ID or rationale needed",IF(AND(H78&lt;&gt;"",H78=D78),"Reviewer must differ from tester","OK")))))))</f>
        <v/>
      </c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17"/>
      <c r="J79" s="16"/>
      <c r="K79" s="16"/>
      <c r="L79" s="18" t="str">
        <f aca="false">IF(A79="","",IF(COUNTIF(Ref_TEST!$A$2:$A$201,B79)=0,"TEST-ID not in W10",IF(C79="","Template needed",IF(AND(K79="Reviewed",H79=""),"Reviewer needed",IF(AND(F79&gt;0,G79="Effective"),"Exceptions recorded but result Effective",IF(AND(OR(G79="Exception noted",G79="Ineffective"),J79=""),"DEF-ID or rationale needed",IF(AND(H79&lt;&gt;"",H79=D79),"Reviewer must differ from tester","OK")))))))</f>
        <v/>
      </c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17"/>
      <c r="J80" s="16"/>
      <c r="K80" s="16"/>
      <c r="L80" s="18" t="str">
        <f aca="false">IF(A80="","",IF(COUNTIF(Ref_TEST!$A$2:$A$201,B80)=0,"TEST-ID not in W10",IF(C80="","Template needed",IF(AND(K80="Reviewed",H80=""),"Reviewer needed",IF(AND(F80&gt;0,G80="Effective"),"Exceptions recorded but result Effective",IF(AND(OR(G80="Exception noted",G80="Ineffective"),J80=""),"DEF-ID or rationale needed",IF(AND(H80&lt;&gt;"",H80=D80),"Reviewer must differ from tester","OK")))))))</f>
        <v/>
      </c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17"/>
      <c r="J81" s="16"/>
      <c r="K81" s="16"/>
      <c r="L81" s="18" t="str">
        <f aca="false">IF(A81="","",IF(COUNTIF(Ref_TEST!$A$2:$A$201,B81)=0,"TEST-ID not in W10",IF(C81="","Template needed",IF(AND(K81="Reviewed",H81=""),"Reviewer needed",IF(AND(F81&gt;0,G81="Effective"),"Exceptions recorded but result Effective",IF(AND(OR(G81="Exception noted",G81="Ineffective"),J81=""),"DEF-ID or rationale needed",IF(AND(H81&lt;&gt;"",H81=D81),"Reviewer must differ from tester","OK")))))))</f>
        <v/>
      </c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17"/>
      <c r="J82" s="16"/>
      <c r="K82" s="16"/>
      <c r="L82" s="18" t="str">
        <f aca="false">IF(A82="","",IF(COUNTIF(Ref_TEST!$A$2:$A$201,B82)=0,"TEST-ID not in W10",IF(C82="","Template needed",IF(AND(K82="Reviewed",H82=""),"Reviewer needed",IF(AND(F82&gt;0,G82="Effective"),"Exceptions recorded but result Effective",IF(AND(OR(G82="Exception noted",G82="Ineffective"),J82=""),"DEF-ID or rationale needed",IF(AND(H82&lt;&gt;"",H82=D82),"Reviewer must differ from tester","OK")))))))</f>
        <v/>
      </c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17"/>
      <c r="J83" s="16"/>
      <c r="K83" s="16"/>
      <c r="L83" s="18" t="str">
        <f aca="false">IF(A83="","",IF(COUNTIF(Ref_TEST!$A$2:$A$201,B83)=0,"TEST-ID not in W10",IF(C83="","Template needed",IF(AND(K83="Reviewed",H83=""),"Reviewer needed",IF(AND(F83&gt;0,G83="Effective"),"Exceptions recorded but result Effective",IF(AND(OR(G83="Exception noted",G83="Ineffective"),J83=""),"DEF-ID or rationale needed",IF(AND(H83&lt;&gt;"",H83=D83),"Reviewer must differ from tester","OK")))))))</f>
        <v/>
      </c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17"/>
      <c r="J84" s="16"/>
      <c r="K84" s="16"/>
      <c r="L84" s="18" t="str">
        <f aca="false">IF(A84="","",IF(COUNTIF(Ref_TEST!$A$2:$A$201,B84)=0,"TEST-ID not in W10",IF(C84="","Template needed",IF(AND(K84="Reviewed",H84=""),"Reviewer needed",IF(AND(F84&gt;0,G84="Effective"),"Exceptions recorded but result Effective",IF(AND(OR(G84="Exception noted",G84="Ineffective"),J84=""),"DEF-ID or rationale needed",IF(AND(H84&lt;&gt;"",H84=D84),"Reviewer must differ from tester","OK")))))))</f>
        <v/>
      </c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17"/>
      <c r="J85" s="16"/>
      <c r="K85" s="16"/>
      <c r="L85" s="18" t="str">
        <f aca="false">IF(A85="","",IF(COUNTIF(Ref_TEST!$A$2:$A$201,B85)=0,"TEST-ID not in W10",IF(C85="","Template needed",IF(AND(K85="Reviewed",H85=""),"Reviewer needed",IF(AND(F85&gt;0,G85="Effective"),"Exceptions recorded but result Effective",IF(AND(OR(G85="Exception noted",G85="Ineffective"),J85=""),"DEF-ID or rationale needed",IF(AND(H85&lt;&gt;"",H85=D85),"Reviewer must differ from tester","OK")))))))</f>
        <v/>
      </c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17"/>
      <c r="J86" s="16"/>
      <c r="K86" s="16"/>
      <c r="L86" s="18" t="str">
        <f aca="false">IF(A86="","",IF(COUNTIF(Ref_TEST!$A$2:$A$201,B86)=0,"TEST-ID not in W10",IF(C86="","Template needed",IF(AND(K86="Reviewed",H86=""),"Reviewer needed",IF(AND(F86&gt;0,G86="Effective"),"Exceptions recorded but result Effective",IF(AND(OR(G86="Exception noted",G86="Ineffective"),J86=""),"DEF-ID or rationale needed",IF(AND(H86&lt;&gt;"",H86=D86),"Reviewer must differ from tester","OK")))))))</f>
        <v/>
      </c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17"/>
      <c r="J87" s="16"/>
      <c r="K87" s="16"/>
      <c r="L87" s="18" t="str">
        <f aca="false">IF(A87="","",IF(COUNTIF(Ref_TEST!$A$2:$A$201,B87)=0,"TEST-ID not in W10",IF(C87="","Template needed",IF(AND(K87="Reviewed",H87=""),"Reviewer needed",IF(AND(F87&gt;0,G87="Effective"),"Exceptions recorded but result Effective",IF(AND(OR(G87="Exception noted",G87="Ineffective"),J87=""),"DEF-ID or rationale needed",IF(AND(H87&lt;&gt;"",H87=D87),"Reviewer must differ from tester","OK")))))))</f>
        <v/>
      </c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17"/>
      <c r="J88" s="16"/>
      <c r="K88" s="16"/>
      <c r="L88" s="18" t="str">
        <f aca="false">IF(A88="","",IF(COUNTIF(Ref_TEST!$A$2:$A$201,B88)=0,"TEST-ID not in W10",IF(C88="","Template needed",IF(AND(K88="Reviewed",H88=""),"Reviewer needed",IF(AND(F88&gt;0,G88="Effective"),"Exceptions recorded but result Effective",IF(AND(OR(G88="Exception noted",G88="Ineffective"),J88=""),"DEF-ID or rationale needed",IF(AND(H88&lt;&gt;"",H88=D88),"Reviewer must differ from tester","OK")))))))</f>
        <v/>
      </c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17"/>
      <c r="J89" s="16"/>
      <c r="K89" s="16"/>
      <c r="L89" s="18" t="str">
        <f aca="false">IF(A89="","",IF(COUNTIF(Ref_TEST!$A$2:$A$201,B89)=0,"TEST-ID not in W10",IF(C89="","Template needed",IF(AND(K89="Reviewed",H89=""),"Reviewer needed",IF(AND(F89&gt;0,G89="Effective"),"Exceptions recorded but result Effective",IF(AND(OR(G89="Exception noted",G89="Ineffective"),J89=""),"DEF-ID or rationale needed",IF(AND(H89&lt;&gt;"",H89=D89),"Reviewer must differ from tester","OK")))))))</f>
        <v/>
      </c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17"/>
      <c r="J90" s="16"/>
      <c r="K90" s="16"/>
      <c r="L90" s="18" t="str">
        <f aca="false">IF(A90="","",IF(COUNTIF(Ref_TEST!$A$2:$A$201,B90)=0,"TEST-ID not in W10",IF(C90="","Template needed",IF(AND(K90="Reviewed",H90=""),"Reviewer needed",IF(AND(F90&gt;0,G90="Effective"),"Exceptions recorded but result Effective",IF(AND(OR(G90="Exception noted",G90="Ineffective"),J90=""),"DEF-ID or rationale needed",IF(AND(H90&lt;&gt;"",H90=D90),"Reviewer must differ from tester","OK")))))))</f>
        <v/>
      </c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7"/>
      <c r="J91" s="16"/>
      <c r="K91" s="16"/>
      <c r="L91" s="18" t="str">
        <f aca="false">IF(A91="","",IF(COUNTIF(Ref_TEST!$A$2:$A$201,B91)=0,"TEST-ID not in W10",IF(C91="","Template needed",IF(AND(K91="Reviewed",H91=""),"Reviewer needed",IF(AND(F91&gt;0,G91="Effective"),"Exceptions recorded but result Effective",IF(AND(OR(G91="Exception noted",G91="Ineffective"),J91=""),"DEF-ID or rationale needed",IF(AND(H91&lt;&gt;"",H91=D91),"Reviewer must differ from tester","OK")))))))</f>
        <v/>
      </c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7"/>
      <c r="J92" s="16"/>
      <c r="K92" s="16"/>
      <c r="L92" s="18" t="str">
        <f aca="false">IF(A92="","",IF(COUNTIF(Ref_TEST!$A$2:$A$201,B92)=0,"TEST-ID not in W10",IF(C92="","Template needed",IF(AND(K92="Reviewed",H92=""),"Reviewer needed",IF(AND(F92&gt;0,G92="Effective"),"Exceptions recorded but result Effective",IF(AND(OR(G92="Exception noted",G92="Ineffective"),J92=""),"DEF-ID or rationale needed",IF(AND(H92&lt;&gt;"",H92=D92),"Reviewer must differ from tester","OK")))))))</f>
        <v/>
      </c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7"/>
      <c r="J93" s="16"/>
      <c r="K93" s="16"/>
      <c r="L93" s="18" t="str">
        <f aca="false">IF(A93="","",IF(COUNTIF(Ref_TEST!$A$2:$A$201,B93)=0,"TEST-ID not in W10",IF(C93="","Template needed",IF(AND(K93="Reviewed",H93=""),"Reviewer needed",IF(AND(F93&gt;0,G93="Effective"),"Exceptions recorded but result Effective",IF(AND(OR(G93="Exception noted",G93="Ineffective"),J93=""),"DEF-ID or rationale needed",IF(AND(H93&lt;&gt;"",H93=D93),"Reviewer must differ from tester","OK")))))))</f>
        <v/>
      </c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7"/>
      <c r="J94" s="16"/>
      <c r="K94" s="16"/>
      <c r="L94" s="18" t="str">
        <f aca="false">IF(A94="","",IF(COUNTIF(Ref_TEST!$A$2:$A$201,B94)=0,"TEST-ID not in W10",IF(C94="","Template needed",IF(AND(K94="Reviewed",H94=""),"Reviewer needed",IF(AND(F94&gt;0,G94="Effective"),"Exceptions recorded but result Effective",IF(AND(OR(G94="Exception noted",G94="Ineffective"),J94=""),"DEF-ID or rationale needed",IF(AND(H94&lt;&gt;"",H94=D94),"Reviewer must differ from tester","OK")))))))</f>
        <v/>
      </c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7"/>
      <c r="J95" s="16"/>
      <c r="K95" s="16"/>
      <c r="L95" s="18" t="str">
        <f aca="false">IF(A95="","",IF(COUNTIF(Ref_TEST!$A$2:$A$201,B95)=0,"TEST-ID not in W10",IF(C95="","Template needed",IF(AND(K95="Reviewed",H95=""),"Reviewer needed",IF(AND(F95&gt;0,G95="Effective"),"Exceptions recorded but result Effective",IF(AND(OR(G95="Exception noted",G95="Ineffective"),J95=""),"DEF-ID or rationale needed",IF(AND(H95&lt;&gt;"",H95=D95),"Reviewer must differ from tester","OK")))))))</f>
        <v/>
      </c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7"/>
      <c r="J96" s="16"/>
      <c r="K96" s="16"/>
      <c r="L96" s="18" t="str">
        <f aca="false">IF(A96="","",IF(COUNTIF(Ref_TEST!$A$2:$A$201,B96)=0,"TEST-ID not in W10",IF(C96="","Template needed",IF(AND(K96="Reviewed",H96=""),"Reviewer needed",IF(AND(F96&gt;0,G96="Effective"),"Exceptions recorded but result Effective",IF(AND(OR(G96="Exception noted",G96="Ineffective"),J96=""),"DEF-ID or rationale needed",IF(AND(H96&lt;&gt;"",H96=D96),"Reviewer must differ from tester","OK")))))))</f>
        <v/>
      </c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7"/>
      <c r="J97" s="16"/>
      <c r="K97" s="16"/>
      <c r="L97" s="18" t="str">
        <f aca="false">IF(A97="","",IF(COUNTIF(Ref_TEST!$A$2:$A$201,B97)=0,"TEST-ID not in W10",IF(C97="","Template needed",IF(AND(K97="Reviewed",H97=""),"Reviewer needed",IF(AND(F97&gt;0,G97="Effective"),"Exceptions recorded but result Effective",IF(AND(OR(G97="Exception noted",G97="Ineffective"),J97=""),"DEF-ID or rationale needed",IF(AND(H97&lt;&gt;"",H97=D97),"Reviewer must differ from tester","OK")))))))</f>
        <v/>
      </c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7"/>
      <c r="J98" s="16"/>
      <c r="K98" s="16"/>
      <c r="L98" s="18" t="str">
        <f aca="false">IF(A98="","",IF(COUNTIF(Ref_TEST!$A$2:$A$201,B98)=0,"TEST-ID not in W10",IF(C98="","Template needed",IF(AND(K98="Reviewed",H98=""),"Reviewer needed",IF(AND(F98&gt;0,G98="Effective"),"Exceptions recorded but result Effective",IF(AND(OR(G98="Exception noted",G98="Ineffective"),J98=""),"DEF-ID or rationale needed",IF(AND(H98&lt;&gt;"",H98=D98),"Reviewer must differ from tester","OK")))))))</f>
        <v/>
      </c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7"/>
      <c r="J99" s="16"/>
      <c r="K99" s="16"/>
      <c r="L99" s="18" t="str">
        <f aca="false">IF(A99="","",IF(COUNTIF(Ref_TEST!$A$2:$A$201,B99)=0,"TEST-ID not in W10",IF(C99="","Template needed",IF(AND(K99="Reviewed",H99=""),"Reviewer needed",IF(AND(F99&gt;0,G99="Effective"),"Exceptions recorded but result Effective",IF(AND(OR(G99="Exception noted",G99="Ineffective"),J99=""),"DEF-ID or rationale needed",IF(AND(H99&lt;&gt;"",H99=D99),"Reviewer must differ from tester","OK")))))))</f>
        <v/>
      </c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7"/>
      <c r="J100" s="16"/>
      <c r="K100" s="16"/>
      <c r="L100" s="18" t="str">
        <f aca="false">IF(A100="","",IF(COUNTIF(Ref_TEST!$A$2:$A$201,B100)=0,"TEST-ID not in W10",IF(C100="","Template needed",IF(AND(K100="Reviewed",H100=""),"Reviewer needed",IF(AND(F100&gt;0,G100="Effective"),"Exceptions recorded but result Effective",IF(AND(OR(G100="Exception noted",G100="Ineffective"),J100=""),"DEF-ID or rationale needed",IF(AND(H100&lt;&gt;"",H100=D100),"Reviewer must differ from tester","OK")))))))</f>
        <v/>
      </c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7"/>
      <c r="J101" s="16"/>
      <c r="K101" s="16"/>
      <c r="L101" s="18" t="str">
        <f aca="false">IF(A101="","",IF(COUNTIF(Ref_TEST!$A$2:$A$201,B101)=0,"TEST-ID not in W10",IF(C101="","Template needed",IF(AND(K101="Reviewed",H101=""),"Reviewer needed",IF(AND(F101&gt;0,G101="Effective"),"Exceptions recorded but result Effective",IF(AND(OR(G101="Exception noted",G101="Ineffective"),J101=""),"DEF-ID or rationale needed",IF(AND(H101&lt;&gt;"",H101=D101),"Reviewer must differ from tester","OK")))))))</f>
        <v/>
      </c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7"/>
      <c r="J102" s="16"/>
      <c r="K102" s="16"/>
      <c r="L102" s="18" t="str">
        <f aca="false">IF(A102="","",IF(COUNTIF(Ref_TEST!$A$2:$A$201,B102)=0,"TEST-ID not in W10",IF(C102="","Template needed",IF(AND(K102="Reviewed",H102=""),"Reviewer needed",IF(AND(F102&gt;0,G102="Effective"),"Exceptions recorded but result Effective",IF(AND(OR(G102="Exception noted",G102="Ineffective"),J102=""),"DEF-ID or rationale needed",IF(AND(H102&lt;&gt;"",H102=D102),"Reviewer must differ from tester","OK")))))))</f>
        <v/>
      </c>
    </row>
    <row r="103" customFormat="false" ht="1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7"/>
      <c r="J103" s="16"/>
      <c r="K103" s="16"/>
      <c r="L103" s="18" t="str">
        <f aca="false">IF(A103="","",IF(COUNTIF(Ref_TEST!$A$2:$A$201,B103)=0,"TEST-ID not in W10",IF(C103="","Template needed",IF(AND(K103="Reviewed",H103=""),"Reviewer needed",IF(AND(F103&gt;0,G103="Effective"),"Exceptions recorded but result Effective",IF(AND(OR(G103="Exception noted",G103="Ineffective"),J103=""),"DEF-ID or rationale needed",IF(AND(H103&lt;&gt;"",H103=D103),"Reviewer must differ from tester","OK")))))))</f>
        <v/>
      </c>
    </row>
    <row r="104" customFormat="false" ht="1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7"/>
      <c r="J104" s="16"/>
      <c r="K104" s="16"/>
      <c r="L104" s="18" t="str">
        <f aca="false">IF(A104="","",IF(COUNTIF(Ref_TEST!$A$2:$A$201,B104)=0,"TEST-ID not in W10",IF(C104="","Template needed",IF(AND(K104="Reviewed",H104=""),"Reviewer needed",IF(AND(F104&gt;0,G104="Effective"),"Exceptions recorded but result Effective",IF(AND(OR(G104="Exception noted",G104="Ineffective"),J104=""),"DEF-ID or rationale needed",IF(AND(H104&lt;&gt;"",H104=D104),"Reviewer must differ from tester","OK")))))))</f>
        <v/>
      </c>
    </row>
    <row r="105" customFormat="false" ht="1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7"/>
      <c r="J105" s="16"/>
      <c r="K105" s="16"/>
      <c r="L105" s="18" t="str">
        <f aca="false">IF(A105="","",IF(COUNTIF(Ref_TEST!$A$2:$A$201,B105)=0,"TEST-ID not in W10",IF(C105="","Template needed",IF(AND(K105="Reviewed",H105=""),"Reviewer needed",IF(AND(F105&gt;0,G105="Effective"),"Exceptions recorded but result Effective",IF(AND(OR(G105="Exception noted",G105="Ineffective"),J105=""),"DEF-ID or rationale needed",IF(AND(H105&lt;&gt;"",H105=D105),"Reviewer must differ from tester","OK")))))))</f>
        <v/>
      </c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7"/>
      <c r="J106" s="16"/>
      <c r="K106" s="16"/>
      <c r="L106" s="18" t="str">
        <f aca="false">IF(A106="","",IF(COUNTIF(Ref_TEST!$A$2:$A$201,B106)=0,"TEST-ID not in W10",IF(C106="","Template needed",IF(AND(K106="Reviewed",H106=""),"Reviewer needed",IF(AND(F106&gt;0,G106="Effective"),"Exceptions recorded but result Effective",IF(AND(OR(G106="Exception noted",G106="Ineffective"),J106=""),"DEF-ID or rationale needed",IF(AND(H106&lt;&gt;"",H106=D106),"Reviewer must differ from tester","OK")))))))</f>
        <v/>
      </c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7"/>
      <c r="J107" s="16"/>
      <c r="K107" s="16"/>
      <c r="L107" s="18" t="str">
        <f aca="false">IF(A107="","",IF(COUNTIF(Ref_TEST!$A$2:$A$201,B107)=0,"TEST-ID not in W10",IF(C107="","Template needed",IF(AND(K107="Reviewed",H107=""),"Reviewer needed",IF(AND(F107&gt;0,G107="Effective"),"Exceptions recorded but result Effective",IF(AND(OR(G107="Exception noted",G107="Ineffective"),J107=""),"DEF-ID or rationale needed",IF(AND(H107&lt;&gt;"",H107=D107),"Reviewer must differ from tester","OK")))))))</f>
        <v/>
      </c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7"/>
      <c r="J108" s="16"/>
      <c r="K108" s="16"/>
      <c r="L108" s="18" t="str">
        <f aca="false">IF(A108="","",IF(COUNTIF(Ref_TEST!$A$2:$A$201,B108)=0,"TEST-ID not in W10",IF(C108="","Template needed",IF(AND(K108="Reviewed",H108=""),"Reviewer needed",IF(AND(F108&gt;0,G108="Effective"),"Exceptions recorded but result Effective",IF(AND(OR(G108="Exception noted",G108="Ineffective"),J108=""),"DEF-ID or rationale needed",IF(AND(H108&lt;&gt;"",H108=D108),"Reviewer must differ from tester","OK")))))))</f>
        <v/>
      </c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7"/>
      <c r="J109" s="16"/>
      <c r="K109" s="16"/>
      <c r="L109" s="18" t="str">
        <f aca="false">IF(A109="","",IF(COUNTIF(Ref_TEST!$A$2:$A$201,B109)=0,"TEST-ID not in W10",IF(C109="","Template needed",IF(AND(K109="Reviewed",H109=""),"Reviewer needed",IF(AND(F109&gt;0,G109="Effective"),"Exceptions recorded but result Effective",IF(AND(OR(G109="Exception noted",G109="Ineffective"),J109=""),"DEF-ID or rationale needed",IF(AND(H109&lt;&gt;"",H109=D109),"Reviewer must differ from tester","OK")))))))</f>
        <v/>
      </c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7"/>
      <c r="J110" s="16"/>
      <c r="K110" s="16"/>
      <c r="L110" s="18" t="str">
        <f aca="false">IF(A110="","",IF(COUNTIF(Ref_TEST!$A$2:$A$201,B110)=0,"TEST-ID not in W10",IF(C110="","Template needed",IF(AND(K110="Reviewed",H110=""),"Reviewer needed",IF(AND(F110&gt;0,G110="Effective"),"Exceptions recorded but result Effective",IF(AND(OR(G110="Exception noted",G110="Ineffective"),J110=""),"DEF-ID or rationale needed",IF(AND(H110&lt;&gt;"",H110=D110),"Reviewer must differ from tester","OK")))))))</f>
        <v/>
      </c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7"/>
      <c r="J111" s="16"/>
      <c r="K111" s="16"/>
      <c r="L111" s="18" t="str">
        <f aca="false">IF(A111="","",IF(COUNTIF(Ref_TEST!$A$2:$A$201,B111)=0,"TEST-ID not in W10",IF(C111="","Template needed",IF(AND(K111="Reviewed",H111=""),"Reviewer needed",IF(AND(F111&gt;0,G111="Effective"),"Exceptions recorded but result Effective",IF(AND(OR(G111="Exception noted",G111="Ineffective"),J111=""),"DEF-ID or rationale needed",IF(AND(H111&lt;&gt;"",H111=D111),"Reviewer must differ from tester","OK")))))))</f>
        <v/>
      </c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7"/>
      <c r="J112" s="16"/>
      <c r="K112" s="16"/>
      <c r="L112" s="18" t="str">
        <f aca="false">IF(A112="","",IF(COUNTIF(Ref_TEST!$A$2:$A$201,B112)=0,"TEST-ID not in W10",IF(C112="","Template needed",IF(AND(K112="Reviewed",H112=""),"Reviewer needed",IF(AND(F112&gt;0,G112="Effective"),"Exceptions recorded but result Effective",IF(AND(OR(G112="Exception noted",G112="Ineffective"),J112=""),"DEF-ID or rationale needed",IF(AND(H112&lt;&gt;"",H112=D112),"Reviewer must differ from tester","OK")))))))</f>
        <v/>
      </c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7"/>
      <c r="J113" s="16"/>
      <c r="K113" s="16"/>
      <c r="L113" s="18" t="str">
        <f aca="false">IF(A113="","",IF(COUNTIF(Ref_TEST!$A$2:$A$201,B113)=0,"TEST-ID not in W10",IF(C113="","Template needed",IF(AND(K113="Reviewed",H113=""),"Reviewer needed",IF(AND(F113&gt;0,G113="Effective"),"Exceptions recorded but result Effective",IF(AND(OR(G113="Exception noted",G113="Ineffective"),J113=""),"DEF-ID or rationale needed",IF(AND(H113&lt;&gt;"",H113=D113),"Reviewer must differ from tester","OK")))))))</f>
        <v/>
      </c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7"/>
      <c r="J114" s="16"/>
      <c r="K114" s="16"/>
      <c r="L114" s="18" t="str">
        <f aca="false">IF(A114="","",IF(COUNTIF(Ref_TEST!$A$2:$A$201,B114)=0,"TEST-ID not in W10",IF(C114="","Template needed",IF(AND(K114="Reviewed",H114=""),"Reviewer needed",IF(AND(F114&gt;0,G114="Effective"),"Exceptions recorded but result Effective",IF(AND(OR(G114="Exception noted",G114="Ineffective"),J114=""),"DEF-ID or rationale needed",IF(AND(H114&lt;&gt;"",H114=D114),"Reviewer must differ from tester","OK")))))))</f>
        <v/>
      </c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7"/>
      <c r="J115" s="16"/>
      <c r="K115" s="16"/>
      <c r="L115" s="18" t="str">
        <f aca="false">IF(A115="","",IF(COUNTIF(Ref_TEST!$A$2:$A$201,B115)=0,"TEST-ID not in W10",IF(C115="","Template needed",IF(AND(K115="Reviewed",H115=""),"Reviewer needed",IF(AND(F115&gt;0,G115="Effective"),"Exceptions recorded but result Effective",IF(AND(OR(G115="Exception noted",G115="Ineffective"),J115=""),"DEF-ID or rationale needed",IF(AND(H115&lt;&gt;"",H115=D115),"Reviewer must differ from tester","OK")))))))</f>
        <v/>
      </c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7"/>
      <c r="J116" s="16"/>
      <c r="K116" s="16"/>
      <c r="L116" s="18" t="str">
        <f aca="false">IF(A116="","",IF(COUNTIF(Ref_TEST!$A$2:$A$201,B116)=0,"TEST-ID not in W10",IF(C116="","Template needed",IF(AND(K116="Reviewed",H116=""),"Reviewer needed",IF(AND(F116&gt;0,G116="Effective"),"Exceptions recorded but result Effective",IF(AND(OR(G116="Exception noted",G116="Ineffective"),J116=""),"DEF-ID or rationale needed",IF(AND(H116&lt;&gt;"",H116=D116),"Reviewer must differ from tester","OK")))))))</f>
        <v/>
      </c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7"/>
      <c r="J117" s="16"/>
      <c r="K117" s="16"/>
      <c r="L117" s="18" t="str">
        <f aca="false">IF(A117="","",IF(COUNTIF(Ref_TEST!$A$2:$A$201,B117)=0,"TEST-ID not in W10",IF(C117="","Template needed",IF(AND(K117="Reviewed",H117=""),"Reviewer needed",IF(AND(F117&gt;0,G117="Effective"),"Exceptions recorded but result Effective",IF(AND(OR(G117="Exception noted",G117="Ineffective"),J117=""),"DEF-ID or rationale needed",IF(AND(H117&lt;&gt;"",H117=D117),"Reviewer must differ from tester","OK")))))))</f>
        <v/>
      </c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7"/>
      <c r="J118" s="16"/>
      <c r="K118" s="16"/>
      <c r="L118" s="18" t="str">
        <f aca="false">IF(A118="","",IF(COUNTIF(Ref_TEST!$A$2:$A$201,B118)=0,"TEST-ID not in W10",IF(C118="","Template needed",IF(AND(K118="Reviewed",H118=""),"Reviewer needed",IF(AND(F118&gt;0,G118="Effective"),"Exceptions recorded but result Effective",IF(AND(OR(G118="Exception noted",G118="Ineffective"),J118=""),"DEF-ID or rationale needed",IF(AND(H118&lt;&gt;"",H118=D118),"Reviewer must differ from tester","OK")))))))</f>
        <v/>
      </c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7"/>
      <c r="J119" s="16"/>
      <c r="K119" s="16"/>
      <c r="L119" s="18" t="str">
        <f aca="false">IF(A119="","",IF(COUNTIF(Ref_TEST!$A$2:$A$201,B119)=0,"TEST-ID not in W10",IF(C119="","Template needed",IF(AND(K119="Reviewed",H119=""),"Reviewer needed",IF(AND(F119&gt;0,G119="Effective"),"Exceptions recorded but result Effective",IF(AND(OR(G119="Exception noted",G119="Ineffective"),J119=""),"DEF-ID or rationale needed",IF(AND(H119&lt;&gt;"",H119=D119),"Reviewer must differ from tester","OK")))))))</f>
        <v/>
      </c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7"/>
      <c r="J120" s="16"/>
      <c r="K120" s="16"/>
      <c r="L120" s="18" t="str">
        <f aca="false">IF(A120="","",IF(COUNTIF(Ref_TEST!$A$2:$A$201,B120)=0,"TEST-ID not in W10",IF(C120="","Template needed",IF(AND(K120="Reviewed",H120=""),"Reviewer needed",IF(AND(F120&gt;0,G120="Effective"),"Exceptions recorded but result Effective",IF(AND(OR(G120="Exception noted",G120="Ineffective"),J120=""),"DEF-ID or rationale needed",IF(AND(H120&lt;&gt;"",H120=D120),"Reviewer must differ from tester","OK")))))))</f>
        <v/>
      </c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7"/>
      <c r="J121" s="16"/>
      <c r="K121" s="16"/>
      <c r="L121" s="18" t="str">
        <f aca="false">IF(A121="","",IF(COUNTIF(Ref_TEST!$A$2:$A$201,B121)=0,"TEST-ID not in W10",IF(C121="","Template needed",IF(AND(K121="Reviewed",H121=""),"Reviewer needed",IF(AND(F121&gt;0,G121="Effective"),"Exceptions recorded but result Effective",IF(AND(OR(G121="Exception noted",G121="Ineffective"),J121=""),"DEF-ID or rationale needed",IF(AND(H121&lt;&gt;"",H121=D121),"Reviewer must differ from tester","OK")))))))</f>
        <v/>
      </c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7"/>
      <c r="J122" s="16"/>
      <c r="K122" s="16"/>
      <c r="L122" s="18" t="str">
        <f aca="false">IF(A122="","",IF(COUNTIF(Ref_TEST!$A$2:$A$201,B122)=0,"TEST-ID not in W10",IF(C122="","Template needed",IF(AND(K122="Reviewed",H122=""),"Reviewer needed",IF(AND(F122&gt;0,G122="Effective"),"Exceptions recorded but result Effective",IF(AND(OR(G122="Exception noted",G122="Ineffective"),J122=""),"DEF-ID or rationale needed",IF(AND(H122&lt;&gt;"",H122=D122),"Reviewer must differ from tester","OK")))))))</f>
        <v/>
      </c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7"/>
      <c r="J123" s="16"/>
      <c r="K123" s="16"/>
      <c r="L123" s="18" t="str">
        <f aca="false">IF(A123="","",IF(COUNTIF(Ref_TEST!$A$2:$A$201,B123)=0,"TEST-ID not in W10",IF(C123="","Template needed",IF(AND(K123="Reviewed",H123=""),"Reviewer needed",IF(AND(F123&gt;0,G123="Effective"),"Exceptions recorded but result Effective",IF(AND(OR(G123="Exception noted",G123="Ineffective"),J123=""),"DEF-ID or rationale needed",IF(AND(H123&lt;&gt;"",H123=D123),"Reviewer must differ from tester","OK")))))))</f>
        <v/>
      </c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7"/>
      <c r="J124" s="16"/>
      <c r="K124" s="16"/>
      <c r="L124" s="18" t="str">
        <f aca="false">IF(A124="","",IF(COUNTIF(Ref_TEST!$A$2:$A$201,B124)=0,"TEST-ID not in W10",IF(C124="","Template needed",IF(AND(K124="Reviewed",H124=""),"Reviewer needed",IF(AND(F124&gt;0,G124="Effective"),"Exceptions recorded but result Effective",IF(AND(OR(G124="Exception noted",G124="Ineffective"),J124=""),"DEF-ID or rationale needed",IF(AND(H124&lt;&gt;"",H124=D124),"Reviewer must differ from tester","OK")))))))</f>
        <v/>
      </c>
    </row>
    <row r="125" customFormat="false" ht="1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7"/>
      <c r="J125" s="16"/>
      <c r="K125" s="16"/>
      <c r="L125" s="18" t="str">
        <f aca="false">IF(A125="","",IF(COUNTIF(Ref_TEST!$A$2:$A$201,B125)=0,"TEST-ID not in W10",IF(C125="","Template needed",IF(AND(K125="Reviewed",H125=""),"Reviewer needed",IF(AND(F125&gt;0,G125="Effective"),"Exceptions recorded but result Effective",IF(AND(OR(G125="Exception noted",G125="Ineffective"),J125=""),"DEF-ID or rationale needed",IF(AND(H125&lt;&gt;"",H125=D125),"Reviewer must differ from tester","OK")))))))</f>
        <v/>
      </c>
    </row>
    <row r="126" customFormat="false" ht="1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7"/>
      <c r="J126" s="16"/>
      <c r="K126" s="16"/>
      <c r="L126" s="18" t="str">
        <f aca="false">IF(A126="","",IF(COUNTIF(Ref_TEST!$A$2:$A$201,B126)=0,"TEST-ID not in W10",IF(C126="","Template needed",IF(AND(K126="Reviewed",H126=""),"Reviewer needed",IF(AND(F126&gt;0,G126="Effective"),"Exceptions recorded but result Effective",IF(AND(OR(G126="Exception noted",G126="Ineffective"),J126=""),"DEF-ID or rationale needed",IF(AND(H126&lt;&gt;"",H126=D126),"Reviewer must differ from tester","OK")))))))</f>
        <v/>
      </c>
    </row>
    <row r="127" customFormat="false" ht="1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7"/>
      <c r="J127" s="16"/>
      <c r="K127" s="16"/>
      <c r="L127" s="18" t="str">
        <f aca="false">IF(A127="","",IF(COUNTIF(Ref_TEST!$A$2:$A$201,B127)=0,"TEST-ID not in W10",IF(C127="","Template needed",IF(AND(K127="Reviewed",H127=""),"Reviewer needed",IF(AND(F127&gt;0,G127="Effective"),"Exceptions recorded but result Effective",IF(AND(OR(G127="Exception noted",G127="Ineffective"),J127=""),"DEF-ID or rationale needed",IF(AND(H127&lt;&gt;"",H127=D127),"Reviewer must differ from tester","OK")))))))</f>
        <v/>
      </c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7"/>
      <c r="J128" s="16"/>
      <c r="K128" s="16"/>
      <c r="L128" s="18" t="str">
        <f aca="false">IF(A128="","",IF(COUNTIF(Ref_TEST!$A$2:$A$201,B128)=0,"TEST-ID not in W10",IF(C128="","Template needed",IF(AND(K128="Reviewed",H128=""),"Reviewer needed",IF(AND(F128&gt;0,G128="Effective"),"Exceptions recorded but result Effective",IF(AND(OR(G128="Exception noted",G128="Ineffective"),J128=""),"DEF-ID or rationale needed",IF(AND(H128&lt;&gt;"",H128=D128),"Reviewer must differ from tester","OK")))))))</f>
        <v/>
      </c>
    </row>
    <row r="129" customFormat="false" ht="1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7"/>
      <c r="J129" s="16"/>
      <c r="K129" s="16"/>
      <c r="L129" s="18" t="str">
        <f aca="false">IF(A129="","",IF(COUNTIF(Ref_TEST!$A$2:$A$201,B129)=0,"TEST-ID not in W10",IF(C129="","Template needed",IF(AND(K129="Reviewed",H129=""),"Reviewer needed",IF(AND(F129&gt;0,G129="Effective"),"Exceptions recorded but result Effective",IF(AND(OR(G129="Exception noted",G129="Ineffective"),J129=""),"DEF-ID or rationale needed",IF(AND(H129&lt;&gt;"",H129=D129),"Reviewer must differ from tester","OK")))))))</f>
        <v/>
      </c>
    </row>
    <row r="130" customFormat="false" ht="1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7"/>
      <c r="J130" s="16"/>
      <c r="K130" s="16"/>
      <c r="L130" s="18" t="str">
        <f aca="false">IF(A130="","",IF(COUNTIF(Ref_TEST!$A$2:$A$201,B130)=0,"TEST-ID not in W10",IF(C130="","Template needed",IF(AND(K130="Reviewed",H130=""),"Reviewer needed",IF(AND(F130&gt;0,G130="Effective"),"Exceptions recorded but result Effective",IF(AND(OR(G130="Exception noted",G130="Ineffective"),J130=""),"DEF-ID or rationale needed",IF(AND(H130&lt;&gt;"",H130=D130),"Reviewer must differ from tester","OK")))))))</f>
        <v/>
      </c>
    </row>
    <row r="131" customFormat="false" ht="1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7"/>
      <c r="J131" s="16"/>
      <c r="K131" s="16"/>
      <c r="L131" s="18" t="str">
        <f aca="false">IF(A131="","",IF(COUNTIF(Ref_TEST!$A$2:$A$201,B131)=0,"TEST-ID not in W10",IF(C131="","Template needed",IF(AND(K131="Reviewed",H131=""),"Reviewer needed",IF(AND(F131&gt;0,G131="Effective"),"Exceptions recorded but result Effective",IF(AND(OR(G131="Exception noted",G131="Ineffective"),J131=""),"DEF-ID or rationale needed",IF(AND(H131&lt;&gt;"",H131=D131),"Reviewer must differ from tester","OK")))))))</f>
        <v/>
      </c>
    </row>
    <row r="132" customFormat="false" ht="1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7"/>
      <c r="J132" s="16"/>
      <c r="K132" s="16"/>
      <c r="L132" s="18" t="str">
        <f aca="false">IF(A132="","",IF(COUNTIF(Ref_TEST!$A$2:$A$201,B132)=0,"TEST-ID not in W10",IF(C132="","Template needed",IF(AND(K132="Reviewed",H132=""),"Reviewer needed",IF(AND(F132&gt;0,G132="Effective"),"Exceptions recorded but result Effective",IF(AND(OR(G132="Exception noted",G132="Ineffective"),J132=""),"DEF-ID or rationale needed",IF(AND(H132&lt;&gt;"",H132=D132),"Reviewer must differ from tester","OK")))))))</f>
        <v/>
      </c>
    </row>
    <row r="133" customFormat="false" ht="1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7"/>
      <c r="J133" s="16"/>
      <c r="K133" s="16"/>
      <c r="L133" s="18" t="str">
        <f aca="false">IF(A133="","",IF(COUNTIF(Ref_TEST!$A$2:$A$201,B133)=0,"TEST-ID not in W10",IF(C133="","Template needed",IF(AND(K133="Reviewed",H133=""),"Reviewer needed",IF(AND(F133&gt;0,G133="Effective"),"Exceptions recorded but result Effective",IF(AND(OR(G133="Exception noted",G133="Ineffective"),J133=""),"DEF-ID or rationale needed",IF(AND(H133&lt;&gt;"",H133=D133),"Reviewer must differ from tester","OK")))))))</f>
        <v/>
      </c>
    </row>
    <row r="134" customFormat="false" ht="1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7"/>
      <c r="J134" s="16"/>
      <c r="K134" s="16"/>
      <c r="L134" s="18" t="str">
        <f aca="false">IF(A134="","",IF(COUNTIF(Ref_TEST!$A$2:$A$201,B134)=0,"TEST-ID not in W10",IF(C134="","Template needed",IF(AND(K134="Reviewed",H134=""),"Reviewer needed",IF(AND(F134&gt;0,G134="Effective"),"Exceptions recorded but result Effective",IF(AND(OR(G134="Exception noted",G134="Ineffective"),J134=""),"DEF-ID or rationale needed",IF(AND(H134&lt;&gt;"",H134=D134),"Reviewer must differ from tester","OK")))))))</f>
        <v/>
      </c>
    </row>
    <row r="135" customFormat="false" ht="1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7"/>
      <c r="J135" s="16"/>
      <c r="K135" s="16"/>
      <c r="L135" s="18" t="str">
        <f aca="false">IF(A135="","",IF(COUNTIF(Ref_TEST!$A$2:$A$201,B135)=0,"TEST-ID not in W10",IF(C135="","Template needed",IF(AND(K135="Reviewed",H135=""),"Reviewer needed",IF(AND(F135&gt;0,G135="Effective"),"Exceptions recorded but result Effective",IF(AND(OR(G135="Exception noted",G135="Ineffective"),J135=""),"DEF-ID or rationale needed",IF(AND(H135&lt;&gt;"",H135=D135),"Reviewer must differ from tester","OK")))))))</f>
        <v/>
      </c>
    </row>
    <row r="136" customFormat="false" ht="1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7"/>
      <c r="J136" s="16"/>
      <c r="K136" s="16"/>
      <c r="L136" s="18" t="str">
        <f aca="false">IF(A136="","",IF(COUNTIF(Ref_TEST!$A$2:$A$201,B136)=0,"TEST-ID not in W10",IF(C136="","Template needed",IF(AND(K136="Reviewed",H136=""),"Reviewer needed",IF(AND(F136&gt;0,G136="Effective"),"Exceptions recorded but result Effective",IF(AND(OR(G136="Exception noted",G136="Ineffective"),J136=""),"DEF-ID or rationale needed",IF(AND(H136&lt;&gt;"",H136=D136),"Reviewer must differ from tester","OK")))))))</f>
        <v/>
      </c>
    </row>
    <row r="137" customFormat="false" ht="1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7"/>
      <c r="J137" s="16"/>
      <c r="K137" s="16"/>
      <c r="L137" s="18" t="str">
        <f aca="false">IF(A137="","",IF(COUNTIF(Ref_TEST!$A$2:$A$201,B137)=0,"TEST-ID not in W10",IF(C137="","Template needed",IF(AND(K137="Reviewed",H137=""),"Reviewer needed",IF(AND(F137&gt;0,G137="Effective"),"Exceptions recorded but result Effective",IF(AND(OR(G137="Exception noted",G137="Ineffective"),J137=""),"DEF-ID or rationale needed",IF(AND(H137&lt;&gt;"",H137=D137),"Reviewer must differ from tester","OK")))))))</f>
        <v/>
      </c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7"/>
      <c r="J138" s="16"/>
      <c r="K138" s="16"/>
      <c r="L138" s="18" t="str">
        <f aca="false">IF(A138="","",IF(COUNTIF(Ref_TEST!$A$2:$A$201,B138)=0,"TEST-ID not in W10",IF(C138="","Template needed",IF(AND(K138="Reviewed",H138=""),"Reviewer needed",IF(AND(F138&gt;0,G138="Effective"),"Exceptions recorded but result Effective",IF(AND(OR(G138="Exception noted",G138="Ineffective"),J138=""),"DEF-ID or rationale needed",IF(AND(H138&lt;&gt;"",H138=D138),"Reviewer must differ from tester","OK")))))))</f>
        <v/>
      </c>
    </row>
    <row r="139" customFormat="false" ht="1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7"/>
      <c r="J139" s="16"/>
      <c r="K139" s="16"/>
      <c r="L139" s="18" t="str">
        <f aca="false">IF(A139="","",IF(COUNTIF(Ref_TEST!$A$2:$A$201,B139)=0,"TEST-ID not in W10",IF(C139="","Template needed",IF(AND(K139="Reviewed",H139=""),"Reviewer needed",IF(AND(F139&gt;0,G139="Effective"),"Exceptions recorded but result Effective",IF(AND(OR(G139="Exception noted",G139="Ineffective"),J139=""),"DEF-ID or rationale needed",IF(AND(H139&lt;&gt;"",H139=D139),"Reviewer must differ from tester","OK")))))))</f>
        <v/>
      </c>
    </row>
    <row r="140" customFormat="false" ht="1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7"/>
      <c r="J140" s="16"/>
      <c r="K140" s="16"/>
      <c r="L140" s="18" t="str">
        <f aca="false">IF(A140="","",IF(COUNTIF(Ref_TEST!$A$2:$A$201,B140)=0,"TEST-ID not in W10",IF(C140="","Template needed",IF(AND(K140="Reviewed",H140=""),"Reviewer needed",IF(AND(F140&gt;0,G140="Effective"),"Exceptions recorded but result Effective",IF(AND(OR(G140="Exception noted",G140="Ineffective"),J140=""),"DEF-ID or rationale needed",IF(AND(H140&lt;&gt;"",H140=D140),"Reviewer must differ from tester","OK")))))))</f>
        <v/>
      </c>
    </row>
    <row r="141" customFormat="false" ht="1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7"/>
      <c r="J141" s="16"/>
      <c r="K141" s="16"/>
      <c r="L141" s="18" t="str">
        <f aca="false">IF(A141="","",IF(COUNTIF(Ref_TEST!$A$2:$A$201,B141)=0,"TEST-ID not in W10",IF(C141="","Template needed",IF(AND(K141="Reviewed",H141=""),"Reviewer needed",IF(AND(F141&gt;0,G141="Effective"),"Exceptions recorded but result Effective",IF(AND(OR(G141="Exception noted",G141="Ineffective"),J141=""),"DEF-ID or rationale needed",IF(AND(H141&lt;&gt;"",H141=D141),"Reviewer must differ from tester","OK")))))))</f>
        <v/>
      </c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7"/>
      <c r="J142" s="16"/>
      <c r="K142" s="16"/>
      <c r="L142" s="18" t="str">
        <f aca="false">IF(A142="","",IF(COUNTIF(Ref_TEST!$A$2:$A$201,B142)=0,"TEST-ID not in W10",IF(C142="","Template needed",IF(AND(K142="Reviewed",H142=""),"Reviewer needed",IF(AND(F142&gt;0,G142="Effective"),"Exceptions recorded but result Effective",IF(AND(OR(G142="Exception noted",G142="Ineffective"),J142=""),"DEF-ID or rationale needed",IF(AND(H142&lt;&gt;"",H142=D142),"Reviewer must differ from tester","OK")))))))</f>
        <v/>
      </c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7"/>
      <c r="J143" s="16"/>
      <c r="K143" s="16"/>
      <c r="L143" s="18" t="str">
        <f aca="false">IF(A143="","",IF(COUNTIF(Ref_TEST!$A$2:$A$201,B143)=0,"TEST-ID not in W10",IF(C143="","Template needed",IF(AND(K143="Reviewed",H143=""),"Reviewer needed",IF(AND(F143&gt;0,G143="Effective"),"Exceptions recorded but result Effective",IF(AND(OR(G143="Exception noted",G143="Ineffective"),J143=""),"DEF-ID or rationale needed",IF(AND(H143&lt;&gt;"",H143=D143),"Reviewer must differ from tester","OK")))))))</f>
        <v/>
      </c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7"/>
      <c r="J144" s="16"/>
      <c r="K144" s="16"/>
      <c r="L144" s="18" t="str">
        <f aca="false">IF(A144="","",IF(COUNTIF(Ref_TEST!$A$2:$A$201,B144)=0,"TEST-ID not in W10",IF(C144="","Template needed",IF(AND(K144="Reviewed",H144=""),"Reviewer needed",IF(AND(F144&gt;0,G144="Effective"),"Exceptions recorded but result Effective",IF(AND(OR(G144="Exception noted",G144="Ineffective"),J144=""),"DEF-ID or rationale needed",IF(AND(H144&lt;&gt;"",H144=D144),"Reviewer must differ from tester","OK")))))))</f>
        <v/>
      </c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7"/>
      <c r="J145" s="16"/>
      <c r="K145" s="16"/>
      <c r="L145" s="18" t="str">
        <f aca="false">IF(A145="","",IF(COUNTIF(Ref_TEST!$A$2:$A$201,B145)=0,"TEST-ID not in W10",IF(C145="","Template needed",IF(AND(K145="Reviewed",H145=""),"Reviewer needed",IF(AND(F145&gt;0,G145="Effective"),"Exceptions recorded but result Effective",IF(AND(OR(G145="Exception noted",G145="Ineffective"),J145=""),"DEF-ID or rationale needed",IF(AND(H145&lt;&gt;"",H145=D145),"Reviewer must differ from tester","OK")))))))</f>
        <v/>
      </c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7"/>
      <c r="J146" s="16"/>
      <c r="K146" s="16"/>
      <c r="L146" s="18" t="str">
        <f aca="false">IF(A146="","",IF(COUNTIF(Ref_TEST!$A$2:$A$201,B146)=0,"TEST-ID not in W10",IF(C146="","Template needed",IF(AND(K146="Reviewed",H146=""),"Reviewer needed",IF(AND(F146&gt;0,G146="Effective"),"Exceptions recorded but result Effective",IF(AND(OR(G146="Exception noted",G146="Ineffective"),J146=""),"DEF-ID or rationale needed",IF(AND(H146&lt;&gt;"",H146=D146),"Reviewer must differ from tester","OK")))))))</f>
        <v/>
      </c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7"/>
      <c r="J147" s="16"/>
      <c r="K147" s="16"/>
      <c r="L147" s="18" t="str">
        <f aca="false">IF(A147="","",IF(COUNTIF(Ref_TEST!$A$2:$A$201,B147)=0,"TEST-ID not in W10",IF(C147="","Template needed",IF(AND(K147="Reviewed",H147=""),"Reviewer needed",IF(AND(F147&gt;0,G147="Effective"),"Exceptions recorded but result Effective",IF(AND(OR(G147="Exception noted",G147="Ineffective"),J147=""),"DEF-ID or rationale needed",IF(AND(H147&lt;&gt;"",H147=D147),"Reviewer must differ from tester","OK")))))))</f>
        <v/>
      </c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7"/>
      <c r="J148" s="16"/>
      <c r="K148" s="16"/>
      <c r="L148" s="18" t="str">
        <f aca="false">IF(A148="","",IF(COUNTIF(Ref_TEST!$A$2:$A$201,B148)=0,"TEST-ID not in W10",IF(C148="","Template needed",IF(AND(K148="Reviewed",H148=""),"Reviewer needed",IF(AND(F148&gt;0,G148="Effective"),"Exceptions recorded but result Effective",IF(AND(OR(G148="Exception noted",G148="Ineffective"),J148=""),"DEF-ID or rationale needed",IF(AND(H148&lt;&gt;"",H148=D148),"Reviewer must differ from tester","OK")))))))</f>
        <v/>
      </c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7"/>
      <c r="J149" s="16"/>
      <c r="K149" s="16"/>
      <c r="L149" s="18" t="str">
        <f aca="false">IF(A149="","",IF(COUNTIF(Ref_TEST!$A$2:$A$201,B149)=0,"TEST-ID not in W10",IF(C149="","Template needed",IF(AND(K149="Reviewed",H149=""),"Reviewer needed",IF(AND(F149&gt;0,G149="Effective"),"Exceptions recorded but result Effective",IF(AND(OR(G149="Exception noted",G149="Ineffective"),J149=""),"DEF-ID or rationale needed",IF(AND(H149&lt;&gt;"",H149=D149),"Reviewer must differ from tester","OK")))))))</f>
        <v/>
      </c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7"/>
      <c r="J150" s="16"/>
      <c r="K150" s="16"/>
      <c r="L150" s="18" t="str">
        <f aca="false">IF(A150="","",IF(COUNTIF(Ref_TEST!$A$2:$A$201,B150)=0,"TEST-ID not in W10",IF(C150="","Template needed",IF(AND(K150="Reviewed",H150=""),"Reviewer needed",IF(AND(F150&gt;0,G150="Effective"),"Exceptions recorded but result Effective",IF(AND(OR(G150="Exception noted",G150="Ineffective"),J150=""),"DEF-ID or rationale needed",IF(AND(H150&lt;&gt;"",H150=D150),"Reviewer must differ from tester","OK")))))))</f>
        <v/>
      </c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7"/>
      <c r="J151" s="16"/>
      <c r="K151" s="16"/>
      <c r="L151" s="18" t="str">
        <f aca="false">IF(A151="","",IF(COUNTIF(Ref_TEST!$A$2:$A$201,B151)=0,"TEST-ID not in W10",IF(C151="","Template needed",IF(AND(K151="Reviewed",H151=""),"Reviewer needed",IF(AND(F151&gt;0,G151="Effective"),"Exceptions recorded but result Effective",IF(AND(OR(G151="Exception noted",G151="Ineffective"),J151=""),"DEF-ID or rationale needed",IF(AND(H151&lt;&gt;"",H151=D151),"Reviewer must differ from tester","OK")))))))</f>
        <v/>
      </c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7"/>
      <c r="J152" s="16"/>
      <c r="K152" s="16"/>
      <c r="L152" s="18" t="str">
        <f aca="false">IF(A152="","",IF(COUNTIF(Ref_TEST!$A$2:$A$201,B152)=0,"TEST-ID not in W10",IF(C152="","Template needed",IF(AND(K152="Reviewed",H152=""),"Reviewer needed",IF(AND(F152&gt;0,G152="Effective"),"Exceptions recorded but result Effective",IF(AND(OR(G152="Exception noted",G152="Ineffective"),J152=""),"DEF-ID or rationale needed",IF(AND(H152&lt;&gt;"",H152=D152),"Reviewer must differ from tester","OK")))))))</f>
        <v/>
      </c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7"/>
      <c r="J153" s="16"/>
      <c r="K153" s="16"/>
      <c r="L153" s="18" t="str">
        <f aca="false">IF(A153="","",IF(COUNTIF(Ref_TEST!$A$2:$A$201,B153)=0,"TEST-ID not in W10",IF(C153="","Template needed",IF(AND(K153="Reviewed",H153=""),"Reviewer needed",IF(AND(F153&gt;0,G153="Effective"),"Exceptions recorded but result Effective",IF(AND(OR(G153="Exception noted",G153="Ineffective"),J153=""),"DEF-ID or rationale needed",IF(AND(H153&lt;&gt;"",H153=D153),"Reviewer must differ from tester","OK")))))))</f>
        <v/>
      </c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7"/>
      <c r="J154" s="16"/>
      <c r="K154" s="16"/>
      <c r="L154" s="18" t="str">
        <f aca="false">IF(A154="","",IF(COUNTIF(Ref_TEST!$A$2:$A$201,B154)=0,"TEST-ID not in W10",IF(C154="","Template needed",IF(AND(K154="Reviewed",H154=""),"Reviewer needed",IF(AND(F154&gt;0,G154="Effective"),"Exceptions recorded but result Effective",IF(AND(OR(G154="Exception noted",G154="Ineffective"),J154=""),"DEF-ID or rationale needed",IF(AND(H154&lt;&gt;"",H154=D154),"Reviewer must differ from tester","OK")))))))</f>
        <v/>
      </c>
    </row>
    <row r="155" customFormat="false" ht="1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7"/>
      <c r="J155" s="16"/>
      <c r="K155" s="16"/>
      <c r="L155" s="18" t="str">
        <f aca="false">IF(A155="","",IF(COUNTIF(Ref_TEST!$A$2:$A$201,B155)=0,"TEST-ID not in W10",IF(C155="","Template needed",IF(AND(K155="Reviewed",H155=""),"Reviewer needed",IF(AND(F155&gt;0,G155="Effective"),"Exceptions recorded but result Effective",IF(AND(OR(G155="Exception noted",G155="Ineffective"),J155=""),"DEF-ID or rationale needed",IF(AND(H155&lt;&gt;"",H155=D155),"Reviewer must differ from tester","OK")))))))</f>
        <v/>
      </c>
    </row>
    <row r="156" customFormat="false" ht="1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7"/>
      <c r="J156" s="16"/>
      <c r="K156" s="16"/>
      <c r="L156" s="18" t="str">
        <f aca="false">IF(A156="","",IF(COUNTIF(Ref_TEST!$A$2:$A$201,B156)=0,"TEST-ID not in W10",IF(C156="","Template needed",IF(AND(K156="Reviewed",H156=""),"Reviewer needed",IF(AND(F156&gt;0,G156="Effective"),"Exceptions recorded but result Effective",IF(AND(OR(G156="Exception noted",G156="Ineffective"),J156=""),"DEF-ID or rationale needed",IF(AND(H156&lt;&gt;"",H156=D156),"Reviewer must differ from tester","OK")))))))</f>
        <v/>
      </c>
    </row>
    <row r="157" customFormat="false" ht="1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7"/>
      <c r="J157" s="16"/>
      <c r="K157" s="16"/>
      <c r="L157" s="18" t="str">
        <f aca="false">IF(A157="","",IF(COUNTIF(Ref_TEST!$A$2:$A$201,B157)=0,"TEST-ID not in W10",IF(C157="","Template needed",IF(AND(K157="Reviewed",H157=""),"Reviewer needed",IF(AND(F157&gt;0,G157="Effective"),"Exceptions recorded but result Effective",IF(AND(OR(G157="Exception noted",G157="Ineffective"),J157=""),"DEF-ID or rationale needed",IF(AND(H157&lt;&gt;"",H157=D157),"Reviewer must differ from tester","OK")))))))</f>
        <v/>
      </c>
    </row>
    <row r="158" customFormat="false" ht="1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7"/>
      <c r="J158" s="16"/>
      <c r="K158" s="16"/>
      <c r="L158" s="18" t="str">
        <f aca="false">IF(A158="","",IF(COUNTIF(Ref_TEST!$A$2:$A$201,B158)=0,"TEST-ID not in W10",IF(C158="","Template needed",IF(AND(K158="Reviewed",H158=""),"Reviewer needed",IF(AND(F158&gt;0,G158="Effective"),"Exceptions recorded but result Effective",IF(AND(OR(G158="Exception noted",G158="Ineffective"),J158=""),"DEF-ID or rationale needed",IF(AND(H158&lt;&gt;"",H158=D158),"Reviewer must differ from tester","OK")))))))</f>
        <v/>
      </c>
    </row>
    <row r="159" customFormat="false" ht="1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7"/>
      <c r="J159" s="16"/>
      <c r="K159" s="16"/>
      <c r="L159" s="18" t="str">
        <f aca="false">IF(A159="","",IF(COUNTIF(Ref_TEST!$A$2:$A$201,B159)=0,"TEST-ID not in W10",IF(C159="","Template needed",IF(AND(K159="Reviewed",H159=""),"Reviewer needed",IF(AND(F159&gt;0,G159="Effective"),"Exceptions recorded but result Effective",IF(AND(OR(G159="Exception noted",G159="Ineffective"),J159=""),"DEF-ID or rationale needed",IF(AND(H159&lt;&gt;"",H159=D159),"Reviewer must differ from tester","OK")))))))</f>
        <v/>
      </c>
    </row>
    <row r="160" customFormat="false" ht="1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7"/>
      <c r="J160" s="16"/>
      <c r="K160" s="16"/>
      <c r="L160" s="18" t="str">
        <f aca="false">IF(A160="","",IF(COUNTIF(Ref_TEST!$A$2:$A$201,B160)=0,"TEST-ID not in W10",IF(C160="","Template needed",IF(AND(K160="Reviewed",H160=""),"Reviewer needed",IF(AND(F160&gt;0,G160="Effective"),"Exceptions recorded but result Effective",IF(AND(OR(G160="Exception noted",G160="Ineffective"),J160=""),"DEF-ID or rationale needed",IF(AND(H160&lt;&gt;"",H160=D160),"Reviewer must differ from tester","OK")))))))</f>
        <v/>
      </c>
    </row>
    <row r="161" customFormat="false" ht="1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7"/>
      <c r="J161" s="16"/>
      <c r="K161" s="16"/>
      <c r="L161" s="18" t="str">
        <f aca="false">IF(A161="","",IF(COUNTIF(Ref_TEST!$A$2:$A$201,B161)=0,"TEST-ID not in W10",IF(C161="","Template needed",IF(AND(K161="Reviewed",H161=""),"Reviewer needed",IF(AND(F161&gt;0,G161="Effective"),"Exceptions recorded but result Effective",IF(AND(OR(G161="Exception noted",G161="Ineffective"),J161=""),"DEF-ID or rationale needed",IF(AND(H161&lt;&gt;"",H161=D161),"Reviewer must differ from tester","OK")))))))</f>
        <v/>
      </c>
    </row>
    <row r="162" customFormat="false" ht="1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7"/>
      <c r="J162" s="16"/>
      <c r="K162" s="16"/>
      <c r="L162" s="18" t="str">
        <f aca="false">IF(A162="","",IF(COUNTIF(Ref_TEST!$A$2:$A$201,B162)=0,"TEST-ID not in W10",IF(C162="","Template needed",IF(AND(K162="Reviewed",H162=""),"Reviewer needed",IF(AND(F162&gt;0,G162="Effective"),"Exceptions recorded but result Effective",IF(AND(OR(G162="Exception noted",G162="Ineffective"),J162=""),"DEF-ID or rationale needed",IF(AND(H162&lt;&gt;"",H162=D162),"Reviewer must differ from tester","OK")))))))</f>
        <v/>
      </c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7"/>
      <c r="J163" s="16"/>
      <c r="K163" s="16"/>
      <c r="L163" s="18" t="str">
        <f aca="false">IF(A163="","",IF(COUNTIF(Ref_TEST!$A$2:$A$201,B163)=0,"TEST-ID not in W10",IF(C163="","Template needed",IF(AND(K163="Reviewed",H163=""),"Reviewer needed",IF(AND(F163&gt;0,G163="Effective"),"Exceptions recorded but result Effective",IF(AND(OR(G163="Exception noted",G163="Ineffective"),J163=""),"DEF-ID or rationale needed",IF(AND(H163&lt;&gt;"",H163=D163),"Reviewer must differ from tester","OK")))))))</f>
        <v/>
      </c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7"/>
      <c r="J164" s="16"/>
      <c r="K164" s="16"/>
      <c r="L164" s="18" t="str">
        <f aca="false">IF(A164="","",IF(COUNTIF(Ref_TEST!$A$2:$A$201,B164)=0,"TEST-ID not in W10",IF(C164="","Template needed",IF(AND(K164="Reviewed",H164=""),"Reviewer needed",IF(AND(F164&gt;0,G164="Effective"),"Exceptions recorded but result Effective",IF(AND(OR(G164="Exception noted",G164="Ineffective"),J164=""),"DEF-ID or rationale needed",IF(AND(H164&lt;&gt;"",H164=D164),"Reviewer must differ from tester","OK")))))))</f>
        <v/>
      </c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7"/>
      <c r="J165" s="16"/>
      <c r="K165" s="16"/>
      <c r="L165" s="18" t="str">
        <f aca="false">IF(A165="","",IF(COUNTIF(Ref_TEST!$A$2:$A$201,B165)=0,"TEST-ID not in W10",IF(C165="","Template needed",IF(AND(K165="Reviewed",H165=""),"Reviewer needed",IF(AND(F165&gt;0,G165="Effective"),"Exceptions recorded but result Effective",IF(AND(OR(G165="Exception noted",G165="Ineffective"),J165=""),"DEF-ID or rationale needed",IF(AND(H165&lt;&gt;"",H165=D165),"Reviewer must differ from tester","OK")))))))</f>
        <v/>
      </c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7"/>
      <c r="J166" s="16"/>
      <c r="K166" s="16"/>
      <c r="L166" s="18" t="str">
        <f aca="false">IF(A166="","",IF(COUNTIF(Ref_TEST!$A$2:$A$201,B166)=0,"TEST-ID not in W10",IF(C166="","Template needed",IF(AND(K166="Reviewed",H166=""),"Reviewer needed",IF(AND(F166&gt;0,G166="Effective"),"Exceptions recorded but result Effective",IF(AND(OR(G166="Exception noted",G166="Ineffective"),J166=""),"DEF-ID or rationale needed",IF(AND(H166&lt;&gt;"",H166=D166),"Reviewer must differ from tester","OK")))))))</f>
        <v/>
      </c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7"/>
      <c r="J167" s="16"/>
      <c r="K167" s="16"/>
      <c r="L167" s="18" t="str">
        <f aca="false">IF(A167="","",IF(COUNTIF(Ref_TEST!$A$2:$A$201,B167)=0,"TEST-ID not in W10",IF(C167="","Template needed",IF(AND(K167="Reviewed",H167=""),"Reviewer needed",IF(AND(F167&gt;0,G167="Effective"),"Exceptions recorded but result Effective",IF(AND(OR(G167="Exception noted",G167="Ineffective"),J167=""),"DEF-ID or rationale needed",IF(AND(H167&lt;&gt;"",H167=D167),"Reviewer must differ from tester","OK")))))))</f>
        <v/>
      </c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7"/>
      <c r="J168" s="16"/>
      <c r="K168" s="16"/>
      <c r="L168" s="18" t="str">
        <f aca="false">IF(A168="","",IF(COUNTIF(Ref_TEST!$A$2:$A$201,B168)=0,"TEST-ID not in W10",IF(C168="","Template needed",IF(AND(K168="Reviewed",H168=""),"Reviewer needed",IF(AND(F168&gt;0,G168="Effective"),"Exceptions recorded but result Effective",IF(AND(OR(G168="Exception noted",G168="Ineffective"),J168=""),"DEF-ID or rationale needed",IF(AND(H168&lt;&gt;"",H168=D168),"Reviewer must differ from tester","OK")))))))</f>
        <v/>
      </c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7"/>
      <c r="J169" s="16"/>
      <c r="K169" s="16"/>
      <c r="L169" s="18" t="str">
        <f aca="false">IF(A169="","",IF(COUNTIF(Ref_TEST!$A$2:$A$201,B169)=0,"TEST-ID not in W10",IF(C169="","Template needed",IF(AND(K169="Reviewed",H169=""),"Reviewer needed",IF(AND(F169&gt;0,G169="Effective"),"Exceptions recorded but result Effective",IF(AND(OR(G169="Exception noted",G169="Ineffective"),J169=""),"DEF-ID or rationale needed",IF(AND(H169&lt;&gt;"",H169=D169),"Reviewer must differ from tester","OK")))))))</f>
        <v/>
      </c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7"/>
      <c r="J170" s="16"/>
      <c r="K170" s="16"/>
      <c r="L170" s="18" t="str">
        <f aca="false">IF(A170="","",IF(COUNTIF(Ref_TEST!$A$2:$A$201,B170)=0,"TEST-ID not in W10",IF(C170="","Template needed",IF(AND(K170="Reviewed",H170=""),"Reviewer needed",IF(AND(F170&gt;0,G170="Effective"),"Exceptions recorded but result Effective",IF(AND(OR(G170="Exception noted",G170="Ineffective"),J170=""),"DEF-ID or rationale needed",IF(AND(H170&lt;&gt;"",H170=D170),"Reviewer must differ from tester","OK")))))))</f>
        <v/>
      </c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7"/>
      <c r="J171" s="16"/>
      <c r="K171" s="16"/>
      <c r="L171" s="18" t="str">
        <f aca="false">IF(A171="","",IF(COUNTIF(Ref_TEST!$A$2:$A$201,B171)=0,"TEST-ID not in W10",IF(C171="","Template needed",IF(AND(K171="Reviewed",H171=""),"Reviewer needed",IF(AND(F171&gt;0,G171="Effective"),"Exceptions recorded but result Effective",IF(AND(OR(G171="Exception noted",G171="Ineffective"),J171=""),"DEF-ID or rationale needed",IF(AND(H171&lt;&gt;"",H171=D171),"Reviewer must differ from tester","OK")))))))</f>
        <v/>
      </c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7"/>
      <c r="J172" s="16"/>
      <c r="K172" s="16"/>
      <c r="L172" s="18" t="str">
        <f aca="false">IF(A172="","",IF(COUNTIF(Ref_TEST!$A$2:$A$201,B172)=0,"TEST-ID not in W10",IF(C172="","Template needed",IF(AND(K172="Reviewed",H172=""),"Reviewer needed",IF(AND(F172&gt;0,G172="Effective"),"Exceptions recorded but result Effective",IF(AND(OR(G172="Exception noted",G172="Ineffective"),J172=""),"DEF-ID or rationale needed",IF(AND(H172&lt;&gt;"",H172=D172),"Reviewer must differ from tester","OK")))))))</f>
        <v/>
      </c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7"/>
      <c r="J173" s="16"/>
      <c r="K173" s="16"/>
      <c r="L173" s="18" t="str">
        <f aca="false">IF(A173="","",IF(COUNTIF(Ref_TEST!$A$2:$A$201,B173)=0,"TEST-ID not in W10",IF(C173="","Template needed",IF(AND(K173="Reviewed",H173=""),"Reviewer needed",IF(AND(F173&gt;0,G173="Effective"),"Exceptions recorded but result Effective",IF(AND(OR(G173="Exception noted",G173="Ineffective"),J173=""),"DEF-ID or rationale needed",IF(AND(H173&lt;&gt;"",H173=D173),"Reviewer must differ from tester","OK")))))))</f>
        <v/>
      </c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7"/>
      <c r="J174" s="16"/>
      <c r="K174" s="16"/>
      <c r="L174" s="18" t="str">
        <f aca="false">IF(A174="","",IF(COUNTIF(Ref_TEST!$A$2:$A$201,B174)=0,"TEST-ID not in W10",IF(C174="","Template needed",IF(AND(K174="Reviewed",H174=""),"Reviewer needed",IF(AND(F174&gt;0,G174="Effective"),"Exceptions recorded but result Effective",IF(AND(OR(G174="Exception noted",G174="Ineffective"),J174=""),"DEF-ID or rationale needed",IF(AND(H174&lt;&gt;"",H174=D174),"Reviewer must differ from tester","OK")))))))</f>
        <v/>
      </c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7"/>
      <c r="J175" s="16"/>
      <c r="K175" s="16"/>
      <c r="L175" s="18" t="str">
        <f aca="false">IF(A175="","",IF(COUNTIF(Ref_TEST!$A$2:$A$201,B175)=0,"TEST-ID not in W10",IF(C175="","Template needed",IF(AND(K175="Reviewed",H175=""),"Reviewer needed",IF(AND(F175&gt;0,G175="Effective"),"Exceptions recorded but result Effective",IF(AND(OR(G175="Exception noted",G175="Ineffective"),J175=""),"DEF-ID or rationale needed",IF(AND(H175&lt;&gt;"",H175=D175),"Reviewer must differ from tester","OK")))))))</f>
        <v/>
      </c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7"/>
      <c r="J176" s="16"/>
      <c r="K176" s="16"/>
      <c r="L176" s="18" t="str">
        <f aca="false">IF(A176="","",IF(COUNTIF(Ref_TEST!$A$2:$A$201,B176)=0,"TEST-ID not in W10",IF(C176="","Template needed",IF(AND(K176="Reviewed",H176=""),"Reviewer needed",IF(AND(F176&gt;0,G176="Effective"),"Exceptions recorded but result Effective",IF(AND(OR(G176="Exception noted",G176="Ineffective"),J176=""),"DEF-ID or rationale needed",IF(AND(H176&lt;&gt;"",H176=D176),"Reviewer must differ from tester","OK")))))))</f>
        <v/>
      </c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7"/>
      <c r="J177" s="16"/>
      <c r="K177" s="16"/>
      <c r="L177" s="18" t="str">
        <f aca="false">IF(A177="","",IF(COUNTIF(Ref_TEST!$A$2:$A$201,B177)=0,"TEST-ID not in W10",IF(C177="","Template needed",IF(AND(K177="Reviewed",H177=""),"Reviewer needed",IF(AND(F177&gt;0,G177="Effective"),"Exceptions recorded but result Effective",IF(AND(OR(G177="Exception noted",G177="Ineffective"),J177=""),"DEF-ID or rationale needed",IF(AND(H177&lt;&gt;"",H177=D177),"Reviewer must differ from tester","OK")))))))</f>
        <v/>
      </c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7"/>
      <c r="J178" s="16"/>
      <c r="K178" s="16"/>
      <c r="L178" s="18" t="str">
        <f aca="false">IF(A178="","",IF(COUNTIF(Ref_TEST!$A$2:$A$201,B178)=0,"TEST-ID not in W10",IF(C178="","Template needed",IF(AND(K178="Reviewed",H178=""),"Reviewer needed",IF(AND(F178&gt;0,G178="Effective"),"Exceptions recorded but result Effective",IF(AND(OR(G178="Exception noted",G178="Ineffective"),J178=""),"DEF-ID or rationale needed",IF(AND(H178&lt;&gt;"",H178=D178),"Reviewer must differ from tester","OK")))))))</f>
        <v/>
      </c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7"/>
      <c r="J179" s="16"/>
      <c r="K179" s="16"/>
      <c r="L179" s="18" t="str">
        <f aca="false">IF(A179="","",IF(COUNTIF(Ref_TEST!$A$2:$A$201,B179)=0,"TEST-ID not in W10",IF(C179="","Template needed",IF(AND(K179="Reviewed",H179=""),"Reviewer needed",IF(AND(F179&gt;0,G179="Effective"),"Exceptions recorded but result Effective",IF(AND(OR(G179="Exception noted",G179="Ineffective"),J179=""),"DEF-ID or rationale needed",IF(AND(H179&lt;&gt;"",H179=D179),"Reviewer must differ from tester","OK")))))))</f>
        <v/>
      </c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7"/>
      <c r="J180" s="16"/>
      <c r="K180" s="16"/>
      <c r="L180" s="18" t="str">
        <f aca="false">IF(A180="","",IF(COUNTIF(Ref_TEST!$A$2:$A$201,B180)=0,"TEST-ID not in W10",IF(C180="","Template needed",IF(AND(K180="Reviewed",H180=""),"Reviewer needed",IF(AND(F180&gt;0,G180="Effective"),"Exceptions recorded but result Effective",IF(AND(OR(G180="Exception noted",G180="Ineffective"),J180=""),"DEF-ID or rationale needed",IF(AND(H180&lt;&gt;"",H180=D180),"Reviewer must differ from tester","OK")))))))</f>
        <v/>
      </c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7"/>
      <c r="J181" s="16"/>
      <c r="K181" s="16"/>
      <c r="L181" s="18" t="str">
        <f aca="false">IF(A181="","",IF(COUNTIF(Ref_TEST!$A$2:$A$201,B181)=0,"TEST-ID not in W10",IF(C181="","Template needed",IF(AND(K181="Reviewed",H181=""),"Reviewer needed",IF(AND(F181&gt;0,G181="Effective"),"Exceptions recorded but result Effective",IF(AND(OR(G181="Exception noted",G181="Ineffective"),J181=""),"DEF-ID or rationale needed",IF(AND(H181&lt;&gt;"",H181=D181),"Reviewer must differ from tester","OK")))))))</f>
        <v/>
      </c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7"/>
      <c r="J182" s="16"/>
      <c r="K182" s="16"/>
      <c r="L182" s="18" t="str">
        <f aca="false">IF(A182="","",IF(COUNTIF(Ref_TEST!$A$2:$A$201,B182)=0,"TEST-ID not in W10",IF(C182="","Template needed",IF(AND(K182="Reviewed",H182=""),"Reviewer needed",IF(AND(F182&gt;0,G182="Effective"),"Exceptions recorded but result Effective",IF(AND(OR(G182="Exception noted",G182="Ineffective"),J182=""),"DEF-ID or rationale needed",IF(AND(H182&lt;&gt;"",H182=D182),"Reviewer must differ from tester","OK")))))))</f>
        <v/>
      </c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7"/>
      <c r="J183" s="16"/>
      <c r="K183" s="16"/>
      <c r="L183" s="18" t="str">
        <f aca="false">IF(A183="","",IF(COUNTIF(Ref_TEST!$A$2:$A$201,B183)=0,"TEST-ID not in W10",IF(C183="","Template needed",IF(AND(K183="Reviewed",H183=""),"Reviewer needed",IF(AND(F183&gt;0,G183="Effective"),"Exceptions recorded but result Effective",IF(AND(OR(G183="Exception noted",G183="Ineffective"),J183=""),"DEF-ID or rationale needed",IF(AND(H183&lt;&gt;"",H183=D183),"Reviewer must differ from tester","OK")))))))</f>
        <v/>
      </c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7"/>
      <c r="J184" s="16"/>
      <c r="K184" s="16"/>
      <c r="L184" s="18" t="str">
        <f aca="false">IF(A184="","",IF(COUNTIF(Ref_TEST!$A$2:$A$201,B184)=0,"TEST-ID not in W10",IF(C184="","Template needed",IF(AND(K184="Reviewed",H184=""),"Reviewer needed",IF(AND(F184&gt;0,G184="Effective"),"Exceptions recorded but result Effective",IF(AND(OR(G184="Exception noted",G184="Ineffective"),J184=""),"DEF-ID or rationale needed",IF(AND(H184&lt;&gt;"",H184=D184),"Reviewer must differ from tester","OK")))))))</f>
        <v/>
      </c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7"/>
      <c r="J185" s="16"/>
      <c r="K185" s="16"/>
      <c r="L185" s="18" t="str">
        <f aca="false">IF(A185="","",IF(COUNTIF(Ref_TEST!$A$2:$A$201,B185)=0,"TEST-ID not in W10",IF(C185="","Template needed",IF(AND(K185="Reviewed",H185=""),"Reviewer needed",IF(AND(F185&gt;0,G185="Effective"),"Exceptions recorded but result Effective",IF(AND(OR(G185="Exception noted",G185="Ineffective"),J185=""),"DEF-ID or rationale needed",IF(AND(H185&lt;&gt;"",H185=D185),"Reviewer must differ from tester","OK")))))))</f>
        <v/>
      </c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7"/>
      <c r="J186" s="16"/>
      <c r="K186" s="16"/>
      <c r="L186" s="18" t="str">
        <f aca="false">IF(A186="","",IF(COUNTIF(Ref_TEST!$A$2:$A$201,B186)=0,"TEST-ID not in W10",IF(C186="","Template needed",IF(AND(K186="Reviewed",H186=""),"Reviewer needed",IF(AND(F186&gt;0,G186="Effective"),"Exceptions recorded but result Effective",IF(AND(OR(G186="Exception noted",G186="Ineffective"),J186=""),"DEF-ID or rationale needed",IF(AND(H186&lt;&gt;"",H186=D186),"Reviewer must differ from tester","OK")))))))</f>
        <v/>
      </c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7"/>
      <c r="J187" s="16"/>
      <c r="K187" s="16"/>
      <c r="L187" s="18" t="str">
        <f aca="false">IF(A187="","",IF(COUNTIF(Ref_TEST!$A$2:$A$201,B187)=0,"TEST-ID not in W10",IF(C187="","Template needed",IF(AND(K187="Reviewed",H187=""),"Reviewer needed",IF(AND(F187&gt;0,G187="Effective"),"Exceptions recorded but result Effective",IF(AND(OR(G187="Exception noted",G187="Ineffective"),J187=""),"DEF-ID or rationale needed",IF(AND(H187&lt;&gt;"",H187=D187),"Reviewer must differ from tester","OK")))))))</f>
        <v/>
      </c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7"/>
      <c r="J188" s="16"/>
      <c r="K188" s="16"/>
      <c r="L188" s="18" t="str">
        <f aca="false">IF(A188="","",IF(COUNTIF(Ref_TEST!$A$2:$A$201,B188)=0,"TEST-ID not in W10",IF(C188="","Template needed",IF(AND(K188="Reviewed",H188=""),"Reviewer needed",IF(AND(F188&gt;0,G188="Effective"),"Exceptions recorded but result Effective",IF(AND(OR(G188="Exception noted",G188="Ineffective"),J188=""),"DEF-ID or rationale needed",IF(AND(H188&lt;&gt;"",H188=D188),"Reviewer must differ from tester","OK")))))))</f>
        <v/>
      </c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7"/>
      <c r="J189" s="16"/>
      <c r="K189" s="16"/>
      <c r="L189" s="18" t="str">
        <f aca="false">IF(A189="","",IF(COUNTIF(Ref_TEST!$A$2:$A$201,B189)=0,"TEST-ID not in W10",IF(C189="","Template needed",IF(AND(K189="Reviewed",H189=""),"Reviewer needed",IF(AND(F189&gt;0,G189="Effective"),"Exceptions recorded but result Effective",IF(AND(OR(G189="Exception noted",G189="Ineffective"),J189=""),"DEF-ID or rationale needed",IF(AND(H189&lt;&gt;"",H189=D189),"Reviewer must differ from tester","OK")))))))</f>
        <v/>
      </c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7"/>
      <c r="J190" s="16"/>
      <c r="K190" s="16"/>
      <c r="L190" s="18" t="str">
        <f aca="false">IF(A190="","",IF(COUNTIF(Ref_TEST!$A$2:$A$201,B190)=0,"TEST-ID not in W10",IF(C190="","Template needed",IF(AND(K190="Reviewed",H190=""),"Reviewer needed",IF(AND(F190&gt;0,G190="Effective"),"Exceptions recorded but result Effective",IF(AND(OR(G190="Exception noted",G190="Ineffective"),J190=""),"DEF-ID or rationale needed",IF(AND(H190&lt;&gt;"",H190=D190),"Reviewer must differ from tester","OK")))))))</f>
        <v/>
      </c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7"/>
      <c r="J191" s="16"/>
      <c r="K191" s="16"/>
      <c r="L191" s="18" t="str">
        <f aca="false">IF(A191="","",IF(COUNTIF(Ref_TEST!$A$2:$A$201,B191)=0,"TEST-ID not in W10",IF(C191="","Template needed",IF(AND(K191="Reviewed",H191=""),"Reviewer needed",IF(AND(F191&gt;0,G191="Effective"),"Exceptions recorded but result Effective",IF(AND(OR(G191="Exception noted",G191="Ineffective"),J191=""),"DEF-ID or rationale needed",IF(AND(H191&lt;&gt;"",H191=D191),"Reviewer must differ from tester","OK")))))))</f>
        <v/>
      </c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7"/>
      <c r="J192" s="16"/>
      <c r="K192" s="16"/>
      <c r="L192" s="18" t="str">
        <f aca="false">IF(A192="","",IF(COUNTIF(Ref_TEST!$A$2:$A$201,B192)=0,"TEST-ID not in W10",IF(C192="","Template needed",IF(AND(K192="Reviewed",H192=""),"Reviewer needed",IF(AND(F192&gt;0,G192="Effective"),"Exceptions recorded but result Effective",IF(AND(OR(G192="Exception noted",G192="Ineffective"),J192=""),"DEF-ID or rationale needed",IF(AND(H192&lt;&gt;"",H192=D192),"Reviewer must differ from tester","OK")))))))</f>
        <v/>
      </c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7"/>
      <c r="J193" s="16"/>
      <c r="K193" s="16"/>
      <c r="L193" s="18" t="str">
        <f aca="false">IF(A193="","",IF(COUNTIF(Ref_TEST!$A$2:$A$201,B193)=0,"TEST-ID not in W10",IF(C193="","Template needed",IF(AND(K193="Reviewed",H193=""),"Reviewer needed",IF(AND(F193&gt;0,G193="Effective"),"Exceptions recorded but result Effective",IF(AND(OR(G193="Exception noted",G193="Ineffective"),J193=""),"DEF-ID or rationale needed",IF(AND(H193&lt;&gt;"",H193=D193),"Reviewer must differ from tester","OK")))))))</f>
        <v/>
      </c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7"/>
      <c r="J194" s="16"/>
      <c r="K194" s="16"/>
      <c r="L194" s="18" t="str">
        <f aca="false">IF(A194="","",IF(COUNTIF(Ref_TEST!$A$2:$A$201,B194)=0,"TEST-ID not in W10",IF(C194="","Template needed",IF(AND(K194="Reviewed",H194=""),"Reviewer needed",IF(AND(F194&gt;0,G194="Effective"),"Exceptions recorded but result Effective",IF(AND(OR(G194="Exception noted",G194="Ineffective"),J194=""),"DEF-ID or rationale needed",IF(AND(H194&lt;&gt;"",H194=D194),"Reviewer must differ from tester","OK")))))))</f>
        <v/>
      </c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7"/>
      <c r="J195" s="16"/>
      <c r="K195" s="16"/>
      <c r="L195" s="18" t="str">
        <f aca="false">IF(A195="","",IF(COUNTIF(Ref_TEST!$A$2:$A$201,B195)=0,"TEST-ID not in W10",IF(C195="","Template needed",IF(AND(K195="Reviewed",H195=""),"Reviewer needed",IF(AND(F195&gt;0,G195="Effective"),"Exceptions recorded but result Effective",IF(AND(OR(G195="Exception noted",G195="Ineffective"),J195=""),"DEF-ID or rationale needed",IF(AND(H195&lt;&gt;"",H195=D195),"Reviewer must differ from tester","OK")))))))</f>
        <v/>
      </c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7"/>
      <c r="J196" s="16"/>
      <c r="K196" s="16"/>
      <c r="L196" s="18" t="str">
        <f aca="false">IF(A196="","",IF(COUNTIF(Ref_TEST!$A$2:$A$201,B196)=0,"TEST-ID not in W10",IF(C196="","Template needed",IF(AND(K196="Reviewed",H196=""),"Reviewer needed",IF(AND(F196&gt;0,G196="Effective"),"Exceptions recorded but result Effective",IF(AND(OR(G196="Exception noted",G196="Ineffective"),J196=""),"DEF-ID or rationale needed",IF(AND(H196&lt;&gt;"",H196=D196),"Reviewer must differ from tester","OK")))))))</f>
        <v/>
      </c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7"/>
      <c r="J197" s="16"/>
      <c r="K197" s="16"/>
      <c r="L197" s="18" t="str">
        <f aca="false">IF(A197="","",IF(COUNTIF(Ref_TEST!$A$2:$A$201,B197)=0,"TEST-ID not in W10",IF(C197="","Template needed",IF(AND(K197="Reviewed",H197=""),"Reviewer needed",IF(AND(F197&gt;0,G197="Effective"),"Exceptions recorded but result Effective",IF(AND(OR(G197="Exception noted",G197="Ineffective"),J197=""),"DEF-ID or rationale needed",IF(AND(H197&lt;&gt;"",H197=D197),"Reviewer must differ from tester","OK")))))))</f>
        <v/>
      </c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7"/>
      <c r="J198" s="16"/>
      <c r="K198" s="16"/>
      <c r="L198" s="18" t="str">
        <f aca="false">IF(A198="","",IF(COUNTIF(Ref_TEST!$A$2:$A$201,B198)=0,"TEST-ID not in W10",IF(C198="","Template needed",IF(AND(K198="Reviewed",H198=""),"Reviewer needed",IF(AND(F198&gt;0,G198="Effective"),"Exceptions recorded but result Effective",IF(AND(OR(G198="Exception noted",G198="Ineffective"),J198=""),"DEF-ID or rationale needed",IF(AND(H198&lt;&gt;"",H198=D198),"Reviewer must differ from tester","OK")))))))</f>
        <v/>
      </c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7"/>
      <c r="J199" s="16"/>
      <c r="K199" s="16"/>
      <c r="L199" s="18" t="str">
        <f aca="false">IF(A199="","",IF(COUNTIF(Ref_TEST!$A$2:$A$201,B199)=0,"TEST-ID not in W10",IF(C199="","Template needed",IF(AND(K199="Reviewed",H199=""),"Reviewer needed",IF(AND(F199&gt;0,G199="Effective"),"Exceptions recorded but result Effective",IF(AND(OR(G199="Exception noted",G199="Ineffective"),J199=""),"DEF-ID or rationale needed",IF(AND(H199&lt;&gt;"",H199=D199),"Reviewer must differ from tester","OK")))))))</f>
        <v/>
      </c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7"/>
      <c r="J200" s="16"/>
      <c r="K200" s="16"/>
      <c r="L200" s="18" t="str">
        <f aca="false">IF(A200="","",IF(COUNTIF(Ref_TEST!$A$2:$A$201,B200)=0,"TEST-ID not in W10",IF(C200="","Template needed",IF(AND(K200="Reviewed",H200=""),"Reviewer needed",IF(AND(F200&gt;0,G200="Effective"),"Exceptions recorded but result Effective",IF(AND(OR(G200="Exception noted",G200="Ineffective"),J200=""),"DEF-ID or rationale needed",IF(AND(H200&lt;&gt;"",H200=D200),"Reviewer must differ from tester","OK")))))))</f>
        <v/>
      </c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7"/>
      <c r="J201" s="16"/>
      <c r="K201" s="16"/>
      <c r="L201" s="18" t="str">
        <f aca="false">IF(A201="","",IF(COUNTIF(Ref_TEST!$A$2:$A$201,B201)=0,"TEST-ID not in W10",IF(C201="","Template needed",IF(AND(K201="Reviewed",H201=""),"Reviewer needed",IF(AND(F201&gt;0,G201="Effective"),"Exceptions recorded but result Effective",IF(AND(OR(G201="Exception noted",G201="Ineffective"),J201=""),"DEF-ID or rationale needed",IF(AND(H201&lt;&gt;"",H201=D201),"Reviewer must differ from tester","OK")))))))</f>
        <v/>
      </c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7"/>
      <c r="J202" s="16"/>
      <c r="K202" s="16"/>
      <c r="L202" s="18" t="str">
        <f aca="false">IF(A202="","",IF(COUNTIF(Ref_TEST!$A$2:$A$201,B202)=0,"TEST-ID not in W10",IF(C202="","Template needed",IF(AND(K202="Reviewed",H202=""),"Reviewer needed",IF(AND(F202&gt;0,G202="Effective"),"Exceptions recorded but result Effective",IF(AND(OR(G202="Exception noted",G202="Ineffective"),J202=""),"DEF-ID or rationale needed",IF(AND(H202&lt;&gt;"",H202=D202),"Reviewer must differ from tester","OK")))))))</f>
        <v/>
      </c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7"/>
      <c r="J203" s="16"/>
      <c r="K203" s="16"/>
      <c r="L203" s="18" t="str">
        <f aca="false">IF(A203="","",IF(COUNTIF(Ref_TEST!$A$2:$A$201,B203)=0,"TEST-ID not in W10",IF(C203="","Template needed",IF(AND(K203="Reviewed",H203=""),"Reviewer needed",IF(AND(F203&gt;0,G203="Effective"),"Exceptions recorded but result Effective",IF(AND(OR(G203="Exception noted",G203="Ineffective"),J203=""),"DEF-ID or rationale needed",IF(AND(H203&lt;&gt;"",H203=D203),"Reviewer must differ from tester","OK")))))))</f>
        <v/>
      </c>
    </row>
    <row r="204" customFormat="false" ht="1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7"/>
      <c r="J204" s="16"/>
      <c r="K204" s="16"/>
      <c r="L204" s="18" t="str">
        <f aca="false">IF(A204="","",IF(COUNTIF(Ref_TEST!$A$2:$A$201,B204)=0,"TEST-ID not in W10",IF(C204="","Template needed",IF(AND(K204="Reviewed",H204=""),"Reviewer needed",IF(AND(F204&gt;0,G204="Effective"),"Exceptions recorded but result Effective",IF(AND(OR(G204="Exception noted",G204="Ineffective"),J204=""),"DEF-ID or rationale needed",IF(AND(H204&lt;&gt;"",H204=D204),"Reviewer must differ from tester","OK")))))))</f>
        <v/>
      </c>
    </row>
  </sheetData>
  <autoFilter ref="A4:L204"/>
  <dataValidations count="4">
    <dataValidation allowBlank="true" error="Pick a value from the list." errorStyle="warning" operator="between" showDropDown="false" showErrorMessage="true" showInputMessage="false" sqref="B5:B204" type="list">
      <formula1>Ref_TEST!$A$2:$A$201</formula1>
      <formula2>0</formula2>
    </dataValidation>
    <dataValidation allowBlank="true" error="Pick a value from the list." errorStyle="stop" operator="between" showDropDown="false" showErrorMessage="true" showInputMessage="false" sqref="C5:C204" type="list">
      <formula1>Templates!$A$5:$A$19</formula1>
      <formula2>0</formula2>
    </dataValidation>
    <dataValidation allowBlank="true" error="Pick a value from the list." errorStyle="stop" operator="between" showDropDown="false" showErrorMessage="true" showInputMessage="false" sqref="G5:G204" type="list">
      <formula1>Lists!$A$2:$A$5</formula1>
      <formula2>0</formula2>
    </dataValidation>
    <dataValidation allowBlank="true" error="Pick a value from the list." errorStyle="stop" operator="between" showDropDown="false" showErrorMessage="true" showInputMessage="false" sqref="K5:K204" type="list">
      <formula1>Lists!$B$2:$B$6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8" min="3" style="0" width="13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9" t="s">
        <v>72</v>
      </c>
    </row>
    <row r="2" customFormat="false" ht="15" hidden="false" customHeight="false" outlineLevel="0" collapsed="false">
      <c r="A2" s="10" t="s">
        <v>73</v>
      </c>
    </row>
    <row r="3" customFormat="false" ht="15" hidden="false" customHeight="true" outlineLevel="0" collapsed="false">
      <c r="A3" s="19" t="s">
        <v>30</v>
      </c>
      <c r="B3" s="16" t="s">
        <v>65</v>
      </c>
      <c r="C3" s="16"/>
      <c r="D3" s="16"/>
      <c r="E3" s="16"/>
      <c r="F3" s="16"/>
      <c r="G3" s="16"/>
      <c r="H3" s="16"/>
      <c r="I3" s="16"/>
      <c r="J3" s="16"/>
      <c r="K3" s="16"/>
    </row>
    <row r="4" customFormat="false" ht="15" hidden="false" customHeight="true" outlineLevel="0" collapsed="false">
      <c r="A4" s="19" t="s">
        <v>74</v>
      </c>
      <c r="B4" s="16" t="s">
        <v>75</v>
      </c>
      <c r="C4" s="16"/>
      <c r="D4" s="16"/>
      <c r="E4" s="16"/>
      <c r="F4" s="16"/>
      <c r="G4" s="16"/>
      <c r="H4" s="16"/>
      <c r="I4" s="16"/>
      <c r="J4" s="16"/>
      <c r="K4" s="16"/>
    </row>
    <row r="5" customFormat="false" ht="15" hidden="false" customHeight="true" outlineLevel="0" collapsed="false">
      <c r="A5" s="19" t="s">
        <v>76</v>
      </c>
      <c r="B5" s="16" t="s">
        <v>77</v>
      </c>
      <c r="C5" s="16"/>
      <c r="D5" s="16"/>
      <c r="E5" s="16"/>
      <c r="F5" s="16"/>
      <c r="G5" s="16"/>
      <c r="H5" s="16"/>
      <c r="I5" s="16"/>
      <c r="J5" s="16"/>
      <c r="K5" s="16"/>
    </row>
    <row r="6" customFormat="false" ht="45" hidden="false" customHeight="true" outlineLevel="0" collapsed="false">
      <c r="A6" s="19" t="s">
        <v>78</v>
      </c>
      <c r="B6" s="16" t="s">
        <v>79</v>
      </c>
      <c r="C6" s="16"/>
      <c r="D6" s="16"/>
      <c r="E6" s="16"/>
      <c r="F6" s="16"/>
      <c r="G6" s="16"/>
      <c r="H6" s="16"/>
      <c r="I6" s="16"/>
      <c r="J6" s="16"/>
      <c r="K6" s="16"/>
    </row>
    <row r="7" customFormat="false" ht="15" hidden="false" customHeight="true" outlineLevel="0" collapsed="false">
      <c r="A7" s="19" t="s">
        <v>80</v>
      </c>
      <c r="B7" s="16" t="s">
        <v>81</v>
      </c>
      <c r="C7" s="16"/>
      <c r="D7" s="16"/>
      <c r="E7" s="16"/>
      <c r="F7" s="16"/>
      <c r="G7" s="16"/>
      <c r="H7" s="16"/>
      <c r="I7" s="16"/>
      <c r="J7" s="16"/>
      <c r="K7" s="16"/>
    </row>
    <row r="8" customFormat="false" ht="15" hidden="false" customHeight="true" outlineLevel="0" collapsed="false">
      <c r="A8" s="19" t="s">
        <v>82</v>
      </c>
      <c r="B8" s="16" t="s">
        <v>83</v>
      </c>
      <c r="C8" s="16"/>
      <c r="D8" s="16"/>
      <c r="E8" s="16"/>
      <c r="F8" s="16"/>
      <c r="G8" s="16"/>
      <c r="H8" s="16"/>
      <c r="I8" s="16"/>
      <c r="J8" s="16"/>
      <c r="K8" s="16"/>
    </row>
    <row r="9" customFormat="false" ht="15" hidden="false" customHeight="true" outlineLevel="0" collapsed="false">
      <c r="A9" s="19" t="s">
        <v>84</v>
      </c>
      <c r="B9" s="16" t="s">
        <v>85</v>
      </c>
      <c r="C9" s="16"/>
      <c r="D9" s="16"/>
      <c r="E9" s="16"/>
      <c r="F9" s="16"/>
      <c r="G9" s="16"/>
      <c r="H9" s="16"/>
      <c r="I9" s="16"/>
      <c r="J9" s="16"/>
      <c r="K9" s="16"/>
    </row>
    <row r="10" customFormat="false" ht="15" hidden="false" customHeight="true" outlineLevel="0" collapsed="false">
      <c r="A10" s="19" t="s">
        <v>86</v>
      </c>
      <c r="B10" s="16" t="s">
        <v>87</v>
      </c>
      <c r="C10" s="16"/>
      <c r="D10" s="16"/>
      <c r="E10" s="16"/>
      <c r="F10" s="16"/>
      <c r="G10" s="16"/>
      <c r="H10" s="16"/>
      <c r="I10" s="16"/>
      <c r="J10" s="16"/>
      <c r="K10" s="16"/>
    </row>
    <row r="11" customFormat="false" ht="15" hidden="false" customHeight="false" outlineLevel="0" collapsed="false">
      <c r="A11" s="19" t="s">
        <v>88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customFormat="false" ht="45" hidden="false" customHeight="true" outlineLevel="0" collapsed="false">
      <c r="A12" s="19" t="s">
        <v>89</v>
      </c>
      <c r="B12" s="16" t="s">
        <v>90</v>
      </c>
      <c r="C12" s="16"/>
      <c r="D12" s="16"/>
      <c r="E12" s="16"/>
      <c r="F12" s="16"/>
      <c r="G12" s="16"/>
      <c r="H12" s="16"/>
      <c r="I12" s="16"/>
      <c r="J12" s="16"/>
      <c r="K12" s="16"/>
    </row>
    <row r="14" customFormat="false" ht="15" hidden="false" customHeight="false" outlineLevel="0" collapsed="false">
      <c r="A14" s="20" t="s">
        <v>91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customFormat="false" ht="15" hidden="false" customHeight="true" outlineLevel="0" collapsed="false">
      <c r="A15" s="19" t="s">
        <v>92</v>
      </c>
      <c r="B15" s="16" t="s">
        <v>93</v>
      </c>
      <c r="C15" s="16"/>
      <c r="D15" s="16"/>
      <c r="E15" s="16"/>
      <c r="F15" s="16"/>
      <c r="G15" s="16"/>
      <c r="H15" s="16"/>
      <c r="I15" s="16"/>
      <c r="J15" s="16"/>
      <c r="K15" s="16"/>
    </row>
    <row r="16" customFormat="false" ht="15" hidden="false" customHeight="false" outlineLevel="0" collapsed="false">
      <c r="A16" s="19" t="s">
        <v>94</v>
      </c>
      <c r="B16" s="16" t="n">
        <v>312</v>
      </c>
      <c r="C16" s="16"/>
      <c r="D16" s="16"/>
      <c r="E16" s="16"/>
      <c r="F16" s="16"/>
      <c r="G16" s="16"/>
      <c r="H16" s="16"/>
      <c r="I16" s="16"/>
      <c r="J16" s="16"/>
      <c r="K16" s="16"/>
    </row>
    <row r="17" customFormat="false" ht="15" hidden="false" customHeight="true" outlineLevel="0" collapsed="false">
      <c r="A17" s="19" t="s">
        <v>95</v>
      </c>
      <c r="B17" s="16" t="s">
        <v>96</v>
      </c>
      <c r="C17" s="16"/>
      <c r="D17" s="16"/>
      <c r="E17" s="16"/>
      <c r="F17" s="16"/>
      <c r="G17" s="16"/>
      <c r="H17" s="16"/>
      <c r="I17" s="16"/>
      <c r="J17" s="16"/>
      <c r="K17" s="16"/>
    </row>
    <row r="19" customFormat="false" ht="15" hidden="false" customHeight="false" outlineLevel="0" collapsed="false">
      <c r="A19" s="20" t="s">
        <v>97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customFormat="false" ht="15" hidden="false" customHeight="true" outlineLevel="0" collapsed="false">
      <c r="A20" s="19" t="s">
        <v>98</v>
      </c>
      <c r="B20" s="16" t="s">
        <v>99</v>
      </c>
      <c r="C20" s="16"/>
      <c r="D20" s="16"/>
      <c r="E20" s="16"/>
      <c r="F20" s="16"/>
      <c r="G20" s="16"/>
      <c r="H20" s="16"/>
      <c r="I20" s="16"/>
      <c r="J20" s="16"/>
      <c r="K20" s="16"/>
    </row>
    <row r="21" customFormat="false" ht="15" hidden="false" customHeight="true" outlineLevel="0" collapsed="false">
      <c r="A21" s="19" t="s">
        <v>100</v>
      </c>
      <c r="B21" s="16" t="s">
        <v>101</v>
      </c>
      <c r="C21" s="16"/>
      <c r="D21" s="16"/>
      <c r="E21" s="16"/>
      <c r="F21" s="16"/>
      <c r="G21" s="16"/>
      <c r="H21" s="16"/>
      <c r="I21" s="16"/>
      <c r="J21" s="16"/>
      <c r="K21" s="16"/>
    </row>
    <row r="23" customFormat="false" ht="15" hidden="false" customHeight="false" outlineLevel="0" collapsed="false">
      <c r="A23" s="20" t="s">
        <v>102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customFormat="false" ht="15" hidden="false" customHeight="true" outlineLevel="0" collapsed="false">
      <c r="A24" s="19" t="s">
        <v>103</v>
      </c>
      <c r="B24" s="16" t="s">
        <v>104</v>
      </c>
      <c r="C24" s="16"/>
      <c r="D24" s="16"/>
      <c r="E24" s="16"/>
      <c r="F24" s="16"/>
      <c r="G24" s="16"/>
      <c r="H24" s="16"/>
      <c r="I24" s="16"/>
      <c r="J24" s="16"/>
      <c r="K24" s="16"/>
    </row>
    <row r="25" customFormat="false" ht="15" hidden="false" customHeight="true" outlineLevel="0" collapsed="false">
      <c r="A25" s="19" t="s">
        <v>105</v>
      </c>
      <c r="B25" s="16" t="s">
        <v>106</v>
      </c>
      <c r="C25" s="16"/>
      <c r="D25" s="16"/>
      <c r="E25" s="16"/>
      <c r="F25" s="16"/>
      <c r="G25" s="16"/>
      <c r="H25" s="16"/>
      <c r="I25" s="16"/>
      <c r="J25" s="16"/>
      <c r="K25" s="16"/>
    </row>
    <row r="26" customFormat="false" ht="15" hidden="false" customHeight="true" outlineLevel="0" collapsed="false">
      <c r="A26" s="19" t="s">
        <v>107</v>
      </c>
      <c r="B26" s="16" t="s">
        <v>108</v>
      </c>
      <c r="C26" s="16"/>
      <c r="D26" s="16"/>
      <c r="E26" s="16"/>
      <c r="F26" s="16"/>
      <c r="G26" s="16"/>
      <c r="H26" s="16"/>
      <c r="I26" s="16"/>
      <c r="J26" s="16"/>
      <c r="K26" s="16"/>
    </row>
    <row r="27" customFormat="false" ht="15" hidden="false" customHeight="true" outlineLevel="0" collapsed="false">
      <c r="A27" s="19" t="s">
        <v>109</v>
      </c>
      <c r="B27" s="16" t="s">
        <v>110</v>
      </c>
      <c r="C27" s="16"/>
      <c r="D27" s="16"/>
      <c r="E27" s="16"/>
      <c r="F27" s="16"/>
      <c r="G27" s="16"/>
      <c r="H27" s="16"/>
      <c r="I27" s="16"/>
      <c r="J27" s="16"/>
      <c r="K27" s="16"/>
    </row>
    <row r="28" customFormat="false" ht="15" hidden="false" customHeight="false" outlineLevel="0" collapsed="false">
      <c r="A28" s="19" t="s">
        <v>111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customFormat="false" ht="15" hidden="false" customHeight="false" outlineLevel="0" collapsed="false">
      <c r="A29" s="19" t="s">
        <v>112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1" customFormat="false" ht="15" hidden="false" customHeight="false" outlineLevel="0" collapsed="false">
      <c r="A31" s="20" t="s">
        <v>113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customFormat="false" ht="15" hidden="false" customHeight="false" outlineLevel="0" collapsed="false">
      <c r="A32" s="22" t="s">
        <v>114</v>
      </c>
      <c r="B32" s="22" t="s">
        <v>115</v>
      </c>
      <c r="C32" s="22" t="s">
        <v>116</v>
      </c>
      <c r="D32" s="22" t="s">
        <v>117</v>
      </c>
      <c r="E32" s="22" t="s">
        <v>118</v>
      </c>
      <c r="F32" s="22" t="s">
        <v>119</v>
      </c>
      <c r="G32" s="22" t="s">
        <v>120</v>
      </c>
      <c r="H32" s="22" t="s">
        <v>121</v>
      </c>
      <c r="I32" s="22" t="s">
        <v>122</v>
      </c>
      <c r="J32" s="22" t="s">
        <v>123</v>
      </c>
      <c r="K32" s="22" t="s">
        <v>124</v>
      </c>
    </row>
    <row r="33" customFormat="false" ht="48" hidden="false" customHeight="true" outlineLevel="0" collapsed="false">
      <c r="A33" s="19"/>
      <c r="B33" s="23" t="s">
        <v>125</v>
      </c>
      <c r="C33" s="24" t="s">
        <v>126</v>
      </c>
      <c r="D33" s="24" t="s">
        <v>127</v>
      </c>
      <c r="E33" s="24" t="s">
        <v>128</v>
      </c>
      <c r="F33" s="24" t="s">
        <v>129</v>
      </c>
      <c r="G33" s="24" t="s">
        <v>130</v>
      </c>
      <c r="H33" s="24"/>
    </row>
    <row r="34" customFormat="false" ht="15" hidden="false" customHeight="false" outlineLevel="0" collapsed="false">
      <c r="A34" s="25" t="n">
        <f aca="false">IF(B34="","",ROW()-33)</f>
        <v>1</v>
      </c>
      <c r="B34" s="13" t="s">
        <v>131</v>
      </c>
      <c r="C34" s="13" t="s">
        <v>132</v>
      </c>
      <c r="D34" s="13" t="s">
        <v>132</v>
      </c>
      <c r="E34" s="13" t="s">
        <v>132</v>
      </c>
      <c r="F34" s="13" t="s">
        <v>132</v>
      </c>
      <c r="G34" s="13" t="s">
        <v>133</v>
      </c>
      <c r="H34" s="13"/>
      <c r="I34" s="13" t="s">
        <v>134</v>
      </c>
      <c r="J34" s="13" t="s">
        <v>135</v>
      </c>
      <c r="K34" s="25" t="str">
        <f aca="false">IF(B34="","",IF(COUNTIF(C34:H34,"Exception")&gt;0,"Exception",IF(COUNTA(C34:H34)=0,"Not tested","Met")))</f>
        <v>Met</v>
      </c>
    </row>
    <row r="35" customFormat="false" ht="15" hidden="false" customHeight="false" outlineLevel="0" collapsed="false">
      <c r="A35" s="25" t="n">
        <f aca="false">IF(B35="","",ROW()-33)</f>
        <v>2</v>
      </c>
      <c r="B35" s="13" t="s">
        <v>136</v>
      </c>
      <c r="C35" s="13" t="s">
        <v>132</v>
      </c>
      <c r="D35" s="13" t="s">
        <v>137</v>
      </c>
      <c r="E35" s="13" t="s">
        <v>132</v>
      </c>
      <c r="F35" s="13" t="s">
        <v>132</v>
      </c>
      <c r="G35" s="13" t="s">
        <v>133</v>
      </c>
      <c r="H35" s="13"/>
      <c r="I35" s="13" t="s">
        <v>138</v>
      </c>
      <c r="J35" s="13" t="s">
        <v>139</v>
      </c>
      <c r="K35" s="25" t="str">
        <f aca="false">IF(B35="","",IF(COUNTIF(C35:H35,"Exception")&gt;0,"Exception",IF(COUNTA(C35:H35)=0,"Not tested","Met")))</f>
        <v>Exception</v>
      </c>
    </row>
    <row r="36" customFormat="false" ht="15" hidden="false" customHeight="false" outlineLevel="0" collapsed="false">
      <c r="A36" s="25" t="n">
        <f aca="false">IF(B36="","",ROW()-33)</f>
        <v>3</v>
      </c>
      <c r="B36" s="13" t="s">
        <v>140</v>
      </c>
      <c r="C36" s="13" t="s">
        <v>132</v>
      </c>
      <c r="D36" s="13" t="s">
        <v>132</v>
      </c>
      <c r="E36" s="13" t="s">
        <v>132</v>
      </c>
      <c r="F36" s="13" t="s">
        <v>132</v>
      </c>
      <c r="G36" s="13" t="s">
        <v>133</v>
      </c>
      <c r="H36" s="13"/>
      <c r="I36" s="13" t="s">
        <v>141</v>
      </c>
      <c r="J36" s="13" t="s">
        <v>142</v>
      </c>
      <c r="K36" s="25" t="str">
        <f aca="false">IF(B36="","",IF(COUNTIF(C36:H36,"Exception")&gt;0,"Exception",IF(COUNTA(C36:H36)=0,"Not tested","Met")))</f>
        <v>Met</v>
      </c>
    </row>
    <row r="37" customFormat="false" ht="15" hidden="false" customHeight="false" outlineLevel="0" collapsed="false">
      <c r="A37" s="25" t="str">
        <f aca="false">IF(B37="","",ROW()-33)</f>
        <v/>
      </c>
      <c r="B37" s="16"/>
      <c r="C37" s="16"/>
      <c r="D37" s="16"/>
      <c r="E37" s="16"/>
      <c r="F37" s="16"/>
      <c r="G37" s="16"/>
      <c r="H37" s="16"/>
      <c r="I37" s="16"/>
      <c r="J37" s="16"/>
      <c r="K37" s="25" t="str">
        <f aca="false">IF(B37="","",IF(COUNTIF(C37:H37,"Exception")&gt;0,"Exception",IF(COUNTA(C37:H37)=0,"Not tested","Met")))</f>
        <v/>
      </c>
    </row>
    <row r="38" customFormat="false" ht="15" hidden="false" customHeight="false" outlineLevel="0" collapsed="false">
      <c r="A38" s="25" t="str">
        <f aca="false">IF(B38="","",ROW()-33)</f>
        <v/>
      </c>
      <c r="B38" s="16"/>
      <c r="C38" s="16"/>
      <c r="D38" s="16"/>
      <c r="E38" s="16"/>
      <c r="F38" s="16"/>
      <c r="G38" s="16"/>
      <c r="H38" s="16"/>
      <c r="I38" s="16"/>
      <c r="J38" s="16"/>
      <c r="K38" s="25" t="str">
        <f aca="false">IF(B38="","",IF(COUNTIF(C38:H38,"Exception")&gt;0,"Exception",IF(COUNTA(C38:H38)=0,"Not tested","Met")))</f>
        <v/>
      </c>
    </row>
    <row r="39" customFormat="false" ht="15" hidden="false" customHeight="false" outlineLevel="0" collapsed="false">
      <c r="A39" s="25" t="str">
        <f aca="false">IF(B39="","",ROW()-33)</f>
        <v/>
      </c>
      <c r="B39" s="16"/>
      <c r="C39" s="16"/>
      <c r="D39" s="16"/>
      <c r="E39" s="16"/>
      <c r="F39" s="16"/>
      <c r="G39" s="16"/>
      <c r="H39" s="16"/>
      <c r="I39" s="16"/>
      <c r="J39" s="16"/>
      <c r="K39" s="25" t="str">
        <f aca="false">IF(B39="","",IF(COUNTIF(C39:H39,"Exception")&gt;0,"Exception",IF(COUNTA(C39:H39)=0,"Not tested","Met")))</f>
        <v/>
      </c>
    </row>
    <row r="40" customFormat="false" ht="15" hidden="false" customHeight="false" outlineLevel="0" collapsed="false">
      <c r="A40" s="25" t="str">
        <f aca="false">IF(B40="","",ROW()-33)</f>
        <v/>
      </c>
      <c r="B40" s="16"/>
      <c r="C40" s="16"/>
      <c r="D40" s="16"/>
      <c r="E40" s="16"/>
      <c r="F40" s="16"/>
      <c r="G40" s="16"/>
      <c r="H40" s="16"/>
      <c r="I40" s="16"/>
      <c r="J40" s="16"/>
      <c r="K40" s="25" t="str">
        <f aca="false">IF(B40="","",IF(COUNTIF(C40:H40,"Exception")&gt;0,"Exception",IF(COUNTA(C40:H40)=0,"Not tested","Met")))</f>
        <v/>
      </c>
    </row>
    <row r="41" customFormat="false" ht="15" hidden="false" customHeight="false" outlineLevel="0" collapsed="false">
      <c r="A41" s="25" t="str">
        <f aca="false">IF(B41="","",ROW()-33)</f>
        <v/>
      </c>
      <c r="B41" s="16"/>
      <c r="C41" s="16"/>
      <c r="D41" s="16"/>
      <c r="E41" s="16"/>
      <c r="F41" s="16"/>
      <c r="G41" s="16"/>
      <c r="H41" s="16"/>
      <c r="I41" s="16"/>
      <c r="J41" s="16"/>
      <c r="K41" s="25" t="str">
        <f aca="false">IF(B41="","",IF(COUNTIF(C41:H41,"Exception")&gt;0,"Exception",IF(COUNTA(C41:H41)=0,"Not tested","Met")))</f>
        <v/>
      </c>
    </row>
    <row r="42" customFormat="false" ht="15" hidden="false" customHeight="false" outlineLevel="0" collapsed="false">
      <c r="A42" s="25" t="str">
        <f aca="false">IF(B42="","",ROW()-33)</f>
        <v/>
      </c>
      <c r="B42" s="16"/>
      <c r="C42" s="16"/>
      <c r="D42" s="16"/>
      <c r="E42" s="16"/>
      <c r="F42" s="16"/>
      <c r="G42" s="16"/>
      <c r="H42" s="16"/>
      <c r="I42" s="16"/>
      <c r="J42" s="16"/>
      <c r="K42" s="25" t="str">
        <f aca="false">IF(B42="","",IF(COUNTIF(C42:H42,"Exception")&gt;0,"Exception",IF(COUNTA(C42:H42)=0,"Not tested","Met")))</f>
        <v/>
      </c>
    </row>
    <row r="43" customFormat="false" ht="15" hidden="false" customHeight="false" outlineLevel="0" collapsed="false">
      <c r="A43" s="25" t="str">
        <f aca="false">IF(B43="","",ROW()-33)</f>
        <v/>
      </c>
      <c r="B43" s="16"/>
      <c r="C43" s="16"/>
      <c r="D43" s="16"/>
      <c r="E43" s="16"/>
      <c r="F43" s="16"/>
      <c r="G43" s="16"/>
      <c r="H43" s="16"/>
      <c r="I43" s="16"/>
      <c r="J43" s="16"/>
      <c r="K43" s="25" t="str">
        <f aca="false">IF(B43="","",IF(COUNTIF(C43:H43,"Exception")&gt;0,"Exception",IF(COUNTA(C43:H43)=0,"Not tested","Met")))</f>
        <v/>
      </c>
    </row>
    <row r="44" customFormat="false" ht="15" hidden="false" customHeight="false" outlineLevel="0" collapsed="false">
      <c r="A44" s="25" t="str">
        <f aca="false">IF(B44="","",ROW()-33)</f>
        <v/>
      </c>
      <c r="B44" s="16"/>
      <c r="C44" s="16"/>
      <c r="D44" s="16"/>
      <c r="E44" s="16"/>
      <c r="F44" s="16"/>
      <c r="G44" s="16"/>
      <c r="H44" s="16"/>
      <c r="I44" s="16"/>
      <c r="J44" s="16"/>
      <c r="K44" s="25" t="str">
        <f aca="false">IF(B44="","",IF(COUNTIF(C44:H44,"Exception")&gt;0,"Exception",IF(COUNTA(C44:H44)=0,"Not tested","Met")))</f>
        <v/>
      </c>
    </row>
    <row r="45" customFormat="false" ht="15" hidden="false" customHeight="false" outlineLevel="0" collapsed="false">
      <c r="A45" s="25" t="str">
        <f aca="false">IF(B45="","",ROW()-33)</f>
        <v/>
      </c>
      <c r="B45" s="16"/>
      <c r="C45" s="16"/>
      <c r="D45" s="16"/>
      <c r="E45" s="16"/>
      <c r="F45" s="16"/>
      <c r="G45" s="16"/>
      <c r="H45" s="16"/>
      <c r="I45" s="16"/>
      <c r="J45" s="16"/>
      <c r="K45" s="25" t="str">
        <f aca="false">IF(B45="","",IF(COUNTIF(C45:H45,"Exception")&gt;0,"Exception",IF(COUNTA(C45:H45)=0,"Not tested","Met")))</f>
        <v/>
      </c>
    </row>
    <row r="46" customFormat="false" ht="15" hidden="false" customHeight="false" outlineLevel="0" collapsed="false">
      <c r="A46" s="25" t="str">
        <f aca="false">IF(B46="","",ROW()-33)</f>
        <v/>
      </c>
      <c r="B46" s="16"/>
      <c r="C46" s="16"/>
      <c r="D46" s="16"/>
      <c r="E46" s="16"/>
      <c r="F46" s="16"/>
      <c r="G46" s="16"/>
      <c r="H46" s="16"/>
      <c r="I46" s="16"/>
      <c r="J46" s="16"/>
      <c r="K46" s="25" t="str">
        <f aca="false">IF(B46="","",IF(COUNTIF(C46:H46,"Exception")&gt;0,"Exception",IF(COUNTA(C46:H46)=0,"Not tested","Met")))</f>
        <v/>
      </c>
    </row>
    <row r="47" customFormat="false" ht="15" hidden="false" customHeight="false" outlineLevel="0" collapsed="false">
      <c r="A47" s="25" t="str">
        <f aca="false">IF(B47="","",ROW()-33)</f>
        <v/>
      </c>
      <c r="B47" s="16"/>
      <c r="C47" s="16"/>
      <c r="D47" s="16"/>
      <c r="E47" s="16"/>
      <c r="F47" s="16"/>
      <c r="G47" s="16"/>
      <c r="H47" s="16"/>
      <c r="I47" s="16"/>
      <c r="J47" s="16"/>
      <c r="K47" s="25" t="str">
        <f aca="false">IF(B47="","",IF(COUNTIF(C47:H47,"Exception")&gt;0,"Exception",IF(COUNTA(C47:H47)=0,"Not tested","Met")))</f>
        <v/>
      </c>
    </row>
    <row r="48" customFormat="false" ht="15" hidden="false" customHeight="false" outlineLevel="0" collapsed="false">
      <c r="A48" s="25" t="str">
        <f aca="false">IF(B48="","",ROW()-33)</f>
        <v/>
      </c>
      <c r="B48" s="16"/>
      <c r="C48" s="16"/>
      <c r="D48" s="16"/>
      <c r="E48" s="16"/>
      <c r="F48" s="16"/>
      <c r="G48" s="16"/>
      <c r="H48" s="16"/>
      <c r="I48" s="16"/>
      <c r="J48" s="16"/>
      <c r="K48" s="25" t="str">
        <f aca="false">IF(B48="","",IF(COUNTIF(C48:H48,"Exception")&gt;0,"Exception",IF(COUNTA(C48:H48)=0,"Not tested","Met")))</f>
        <v/>
      </c>
    </row>
    <row r="49" customFormat="false" ht="15" hidden="false" customHeight="false" outlineLevel="0" collapsed="false">
      <c r="A49" s="25" t="str">
        <f aca="false">IF(B49="","",ROW()-33)</f>
        <v/>
      </c>
      <c r="B49" s="16"/>
      <c r="C49" s="16"/>
      <c r="D49" s="16"/>
      <c r="E49" s="16"/>
      <c r="F49" s="16"/>
      <c r="G49" s="16"/>
      <c r="H49" s="16"/>
      <c r="I49" s="16"/>
      <c r="J49" s="16"/>
      <c r="K49" s="25" t="str">
        <f aca="false">IF(B49="","",IF(COUNTIF(C49:H49,"Exception")&gt;0,"Exception",IF(COUNTA(C49:H49)=0,"Not tested","Met")))</f>
        <v/>
      </c>
    </row>
    <row r="50" customFormat="false" ht="15" hidden="false" customHeight="false" outlineLevel="0" collapsed="false">
      <c r="A50" s="25" t="str">
        <f aca="false">IF(B50="","",ROW()-33)</f>
        <v/>
      </c>
      <c r="B50" s="16"/>
      <c r="C50" s="16"/>
      <c r="D50" s="16"/>
      <c r="E50" s="16"/>
      <c r="F50" s="16"/>
      <c r="G50" s="16"/>
      <c r="H50" s="16"/>
      <c r="I50" s="16"/>
      <c r="J50" s="16"/>
      <c r="K50" s="25" t="str">
        <f aca="false">IF(B50="","",IF(COUNTIF(C50:H50,"Exception")&gt;0,"Exception",IF(COUNTA(C50:H50)=0,"Not tested","Met")))</f>
        <v/>
      </c>
    </row>
    <row r="51" customFormat="false" ht="15" hidden="false" customHeight="false" outlineLevel="0" collapsed="false">
      <c r="A51" s="25" t="str">
        <f aca="false">IF(B51="","",ROW()-33)</f>
        <v/>
      </c>
      <c r="B51" s="16"/>
      <c r="C51" s="16"/>
      <c r="D51" s="16"/>
      <c r="E51" s="16"/>
      <c r="F51" s="16"/>
      <c r="G51" s="16"/>
      <c r="H51" s="16"/>
      <c r="I51" s="16"/>
      <c r="J51" s="16"/>
      <c r="K51" s="25" t="str">
        <f aca="false">IF(B51="","",IF(COUNTIF(C51:H51,"Exception")&gt;0,"Exception",IF(COUNTA(C51:H51)=0,"Not tested","Met")))</f>
        <v/>
      </c>
    </row>
    <row r="52" customFormat="false" ht="15" hidden="false" customHeight="false" outlineLevel="0" collapsed="false">
      <c r="A52" s="25" t="str">
        <f aca="false">IF(B52="","",ROW()-33)</f>
        <v/>
      </c>
      <c r="B52" s="16"/>
      <c r="C52" s="16"/>
      <c r="D52" s="16"/>
      <c r="E52" s="16"/>
      <c r="F52" s="16"/>
      <c r="G52" s="16"/>
      <c r="H52" s="16"/>
      <c r="I52" s="16"/>
      <c r="J52" s="16"/>
      <c r="K52" s="25" t="str">
        <f aca="false">IF(B52="","",IF(COUNTIF(C52:H52,"Exception")&gt;0,"Exception",IF(COUNTA(C52:H52)=0,"Not tested","Met")))</f>
        <v/>
      </c>
    </row>
    <row r="53" customFormat="false" ht="15" hidden="false" customHeight="false" outlineLevel="0" collapsed="false">
      <c r="A53" s="25" t="str">
        <f aca="false">IF(B53="","",ROW()-33)</f>
        <v/>
      </c>
      <c r="B53" s="16"/>
      <c r="C53" s="16"/>
      <c r="D53" s="16"/>
      <c r="E53" s="16"/>
      <c r="F53" s="16"/>
      <c r="G53" s="16"/>
      <c r="H53" s="16"/>
      <c r="I53" s="16"/>
      <c r="J53" s="16"/>
      <c r="K53" s="25" t="str">
        <f aca="false">IF(B53="","",IF(COUNTIF(C53:H53,"Exception")&gt;0,"Exception",IF(COUNTA(C53:H53)=0,"Not tested","Met")))</f>
        <v/>
      </c>
    </row>
    <row r="54" customFormat="false" ht="15" hidden="false" customHeight="false" outlineLevel="0" collapsed="false">
      <c r="A54" s="25" t="str">
        <f aca="false">IF(B54="","",ROW()-33)</f>
        <v/>
      </c>
      <c r="B54" s="16"/>
      <c r="C54" s="16"/>
      <c r="D54" s="16"/>
      <c r="E54" s="16"/>
      <c r="F54" s="16"/>
      <c r="G54" s="16"/>
      <c r="H54" s="16"/>
      <c r="I54" s="16"/>
      <c r="J54" s="16"/>
      <c r="K54" s="25" t="str">
        <f aca="false">IF(B54="","",IF(COUNTIF(C54:H54,"Exception")&gt;0,"Exception",IF(COUNTA(C54:H54)=0,"Not tested","Met")))</f>
        <v/>
      </c>
    </row>
    <row r="55" customFormat="false" ht="15" hidden="false" customHeight="false" outlineLevel="0" collapsed="false">
      <c r="A55" s="25" t="str">
        <f aca="false">IF(B55="","",ROW()-33)</f>
        <v/>
      </c>
      <c r="B55" s="16"/>
      <c r="C55" s="16"/>
      <c r="D55" s="16"/>
      <c r="E55" s="16"/>
      <c r="F55" s="16"/>
      <c r="G55" s="16"/>
      <c r="H55" s="16"/>
      <c r="I55" s="16"/>
      <c r="J55" s="16"/>
      <c r="K55" s="25" t="str">
        <f aca="false">IF(B55="","",IF(COUNTIF(C55:H55,"Exception")&gt;0,"Exception",IF(COUNTA(C55:H55)=0,"Not tested","Met")))</f>
        <v/>
      </c>
    </row>
    <row r="56" customFormat="false" ht="15" hidden="false" customHeight="false" outlineLevel="0" collapsed="false">
      <c r="A56" s="25" t="str">
        <f aca="false">IF(B56="","",ROW()-33)</f>
        <v/>
      </c>
      <c r="B56" s="16"/>
      <c r="C56" s="16"/>
      <c r="D56" s="16"/>
      <c r="E56" s="16"/>
      <c r="F56" s="16"/>
      <c r="G56" s="16"/>
      <c r="H56" s="16"/>
      <c r="I56" s="16"/>
      <c r="J56" s="16"/>
      <c r="K56" s="25" t="str">
        <f aca="false">IF(B56="","",IF(COUNTIF(C56:H56,"Exception")&gt;0,"Exception",IF(COUNTA(C56:H56)=0,"Not tested","Met")))</f>
        <v/>
      </c>
    </row>
    <row r="57" customFormat="false" ht="15" hidden="false" customHeight="false" outlineLevel="0" collapsed="false">
      <c r="A57" s="25" t="str">
        <f aca="false">IF(B57="","",ROW()-33)</f>
        <v/>
      </c>
      <c r="B57" s="16"/>
      <c r="C57" s="16"/>
      <c r="D57" s="16"/>
      <c r="E57" s="16"/>
      <c r="F57" s="16"/>
      <c r="G57" s="16"/>
      <c r="H57" s="16"/>
      <c r="I57" s="16"/>
      <c r="J57" s="16"/>
      <c r="K57" s="25" t="str">
        <f aca="false">IF(B57="","",IF(COUNTIF(C57:H57,"Exception")&gt;0,"Exception",IF(COUNTA(C57:H57)=0,"Not tested","Met")))</f>
        <v/>
      </c>
    </row>
    <row r="58" customFormat="false" ht="15" hidden="false" customHeight="false" outlineLevel="0" collapsed="false">
      <c r="A58" s="25" t="str">
        <f aca="false">IF(B58="","",ROW()-33)</f>
        <v/>
      </c>
      <c r="B58" s="16"/>
      <c r="C58" s="16"/>
      <c r="D58" s="16"/>
      <c r="E58" s="16"/>
      <c r="F58" s="16"/>
      <c r="G58" s="16"/>
      <c r="H58" s="16"/>
      <c r="I58" s="16"/>
      <c r="J58" s="16"/>
      <c r="K58" s="25" t="str">
        <f aca="false">IF(B58="","",IF(COUNTIF(C58:H58,"Exception")&gt;0,"Exception",IF(COUNTA(C58:H58)=0,"Not tested","Met")))</f>
        <v/>
      </c>
    </row>
    <row r="59" customFormat="false" ht="15" hidden="false" customHeight="false" outlineLevel="0" collapsed="false">
      <c r="A59" s="25" t="str">
        <f aca="false">IF(B59="","",ROW()-33)</f>
        <v/>
      </c>
      <c r="B59" s="16"/>
      <c r="C59" s="16"/>
      <c r="D59" s="16"/>
      <c r="E59" s="16"/>
      <c r="F59" s="16"/>
      <c r="G59" s="16"/>
      <c r="H59" s="16"/>
      <c r="I59" s="16"/>
      <c r="J59" s="16"/>
      <c r="K59" s="25" t="str">
        <f aca="false">IF(B59="","",IF(COUNTIF(C59:H59,"Exception")&gt;0,"Exception",IF(COUNTA(C59:H59)=0,"Not tested","Met")))</f>
        <v/>
      </c>
    </row>
    <row r="60" customFormat="false" ht="15" hidden="false" customHeight="false" outlineLevel="0" collapsed="false">
      <c r="A60" s="25" t="str">
        <f aca="false">IF(B60="","",ROW()-33)</f>
        <v/>
      </c>
      <c r="B60" s="16"/>
      <c r="C60" s="16"/>
      <c r="D60" s="16"/>
      <c r="E60" s="16"/>
      <c r="F60" s="16"/>
      <c r="G60" s="16"/>
      <c r="H60" s="16"/>
      <c r="I60" s="16"/>
      <c r="J60" s="16"/>
      <c r="K60" s="25" t="str">
        <f aca="false">IF(B60="","",IF(COUNTIF(C60:H60,"Exception")&gt;0,"Exception",IF(COUNTA(C60:H60)=0,"Not tested","Met")))</f>
        <v/>
      </c>
    </row>
    <row r="61" customFormat="false" ht="15" hidden="false" customHeight="false" outlineLevel="0" collapsed="false">
      <c r="A61" s="25" t="str">
        <f aca="false">IF(B61="","",ROW()-33)</f>
        <v/>
      </c>
      <c r="B61" s="16"/>
      <c r="C61" s="16"/>
      <c r="D61" s="16"/>
      <c r="E61" s="16"/>
      <c r="F61" s="16"/>
      <c r="G61" s="16"/>
      <c r="H61" s="16"/>
      <c r="I61" s="16"/>
      <c r="J61" s="16"/>
      <c r="K61" s="25" t="str">
        <f aca="false">IF(B61="","",IF(COUNTIF(C61:H61,"Exception")&gt;0,"Exception",IF(COUNTA(C61:H61)=0,"Not tested","Met")))</f>
        <v/>
      </c>
    </row>
    <row r="62" customFormat="false" ht="15" hidden="false" customHeight="false" outlineLevel="0" collapsed="false">
      <c r="A62" s="25" t="str">
        <f aca="false">IF(B62="","",ROW()-33)</f>
        <v/>
      </c>
      <c r="B62" s="16"/>
      <c r="C62" s="16"/>
      <c r="D62" s="16"/>
      <c r="E62" s="16"/>
      <c r="F62" s="16"/>
      <c r="G62" s="16"/>
      <c r="H62" s="16"/>
      <c r="I62" s="16"/>
      <c r="J62" s="16"/>
      <c r="K62" s="25" t="str">
        <f aca="false">IF(B62="","",IF(COUNTIF(C62:H62,"Exception")&gt;0,"Exception",IF(COUNTA(C62:H62)=0,"Not tested","Met")))</f>
        <v/>
      </c>
    </row>
    <row r="63" customFormat="false" ht="15" hidden="false" customHeight="false" outlineLevel="0" collapsed="false">
      <c r="A63" s="25" t="str">
        <f aca="false">IF(B63="","",ROW()-33)</f>
        <v/>
      </c>
      <c r="B63" s="16"/>
      <c r="C63" s="16"/>
      <c r="D63" s="16"/>
      <c r="E63" s="16"/>
      <c r="F63" s="16"/>
      <c r="G63" s="16"/>
      <c r="H63" s="16"/>
      <c r="I63" s="16"/>
      <c r="J63" s="16"/>
      <c r="K63" s="25" t="str">
        <f aca="false">IF(B63="","",IF(COUNTIF(C63:H63,"Exception")&gt;0,"Exception",IF(COUNTA(C63:H63)=0,"Not tested","Met")))</f>
        <v/>
      </c>
    </row>
    <row r="65" customFormat="false" ht="15" hidden="false" customHeight="false" outlineLevel="0" collapsed="false">
      <c r="A65" s="20" t="s">
        <v>143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</row>
    <row r="66" customFormat="false" ht="15" hidden="false" customHeight="false" outlineLevel="0" collapsed="false">
      <c r="A66" s="19" t="s">
        <v>39</v>
      </c>
      <c r="B66" s="26" t="n">
        <f aca="false">COUNTA(B34:B63)</f>
        <v>3</v>
      </c>
    </row>
    <row r="67" customFormat="false" ht="15" hidden="false" customHeight="false" outlineLevel="0" collapsed="false">
      <c r="A67" s="19" t="s">
        <v>42</v>
      </c>
      <c r="B67" s="26" t="n">
        <f aca="false">COUNTIF(K34:K63,"Exception")</f>
        <v>1</v>
      </c>
    </row>
    <row r="68" customFormat="false" ht="15" hidden="false" customHeight="false" outlineLevel="0" collapsed="false">
      <c r="A68" s="19" t="s">
        <v>144</v>
      </c>
      <c r="B68" s="7" t="s">
        <v>145</v>
      </c>
      <c r="C68" s="27" t="n">
        <f aca="false">COUNTIF(C34:C63,"Exception")</f>
        <v>0</v>
      </c>
      <c r="D68" s="27" t="n">
        <f aca="false">COUNTIF(D34:D63,"Exception")</f>
        <v>1</v>
      </c>
      <c r="E68" s="27" t="n">
        <f aca="false">COUNTIF(E34:E63,"Exception")</f>
        <v>0</v>
      </c>
      <c r="F68" s="27" t="n">
        <f aca="false">COUNTIF(F34:F63,"Exception")</f>
        <v>0</v>
      </c>
      <c r="G68" s="27" t="n">
        <f aca="false">COUNTIF(G34:G63,"Exception")</f>
        <v>0</v>
      </c>
      <c r="H68" s="27" t="n">
        <f aca="false">COUNTIF(H34:H63,"Exception")</f>
        <v>0</v>
      </c>
    </row>
    <row r="69" customFormat="false" ht="15" hidden="false" customHeight="false" outlineLevel="0" collapsed="false">
      <c r="A69" s="19" t="s">
        <v>146</v>
      </c>
      <c r="B69" s="26" t="str">
        <f aca="false">IF(B66=0,"Not started",IF(B67=0,"Effective","Exception noted: evaluate in W13 (Session 35)"))</f>
        <v>Exception noted: evaluate in W13 (Session 35)</v>
      </c>
    </row>
    <row r="71" customFormat="false" ht="45" hidden="false" customHeight="true" outlineLevel="0" collapsed="false">
      <c r="A71" s="19" t="s">
        <v>147</v>
      </c>
      <c r="B71" s="16" t="s">
        <v>148</v>
      </c>
      <c r="C71" s="16"/>
      <c r="D71" s="16"/>
      <c r="E71" s="16"/>
      <c r="F71" s="16"/>
      <c r="G71" s="16"/>
      <c r="H71" s="16"/>
      <c r="I71" s="16"/>
      <c r="J71" s="16"/>
      <c r="K71" s="16"/>
    </row>
    <row r="72" customFormat="false" ht="45" hidden="false" customHeight="true" outlineLevel="0" collapsed="false">
      <c r="A72" s="19" t="s">
        <v>149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customFormat="false" ht="15" hidden="false" customHeight="false" outlineLevel="0" collapsed="false">
      <c r="A73" s="19" t="s">
        <v>150</v>
      </c>
      <c r="B73" s="28"/>
    </row>
    <row r="74" customFormat="false" ht="45" hidden="false" customHeight="true" outlineLevel="0" collapsed="false">
      <c r="A74" s="19" t="s">
        <v>151</v>
      </c>
      <c r="B74" s="16" t="s">
        <v>70</v>
      </c>
      <c r="C74" s="16"/>
      <c r="D74" s="16"/>
      <c r="E74" s="16"/>
      <c r="F74" s="16"/>
      <c r="G74" s="16"/>
      <c r="H74" s="16"/>
      <c r="I74" s="16"/>
      <c r="J74" s="16"/>
      <c r="K74" s="16"/>
    </row>
    <row r="75" customFormat="false" ht="15" hidden="false" customHeight="false" outlineLevel="0" collapsed="false">
      <c r="A75" s="19" t="s">
        <v>152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</row>
  </sheetData>
  <mergeCells count="25">
    <mergeCell ref="B3:K3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B15:K15"/>
    <mergeCell ref="B16:K16"/>
    <mergeCell ref="B17:K17"/>
    <mergeCell ref="B20:K20"/>
    <mergeCell ref="B21:K21"/>
    <mergeCell ref="B24:K24"/>
    <mergeCell ref="B25:K25"/>
    <mergeCell ref="B26:K26"/>
    <mergeCell ref="B27:K27"/>
    <mergeCell ref="B28:K28"/>
    <mergeCell ref="B29:K29"/>
    <mergeCell ref="B71:K71"/>
    <mergeCell ref="B72:K72"/>
    <mergeCell ref="B74:K74"/>
    <mergeCell ref="B75:K75"/>
  </mergeCells>
  <dataValidations count="2">
    <dataValidation allowBlank="true" errorStyle="stop" operator="between" showDropDown="false" showErrorMessage="false" showInputMessage="false" sqref="C34:H63" type="list">
      <formula1>"Met,Exception,n/a"</formula1>
      <formula2>0</formula2>
    </dataValidation>
    <dataValidation allowBlank="true" errorStyle="stop" operator="between" showDropDown="false" showErrorMessage="false" showInputMessage="false" sqref="B73" type="list">
      <formula1>"Effective,Exception noted,Ineffective"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9" t="s">
        <v>153</v>
      </c>
    </row>
    <row r="2" customFormat="false" ht="15" hidden="false" customHeight="false" outlineLevel="0" collapsed="false">
      <c r="A2" s="10" t="s">
        <v>154</v>
      </c>
    </row>
    <row r="4" customFormat="false" ht="15" hidden="false" customHeight="false" outlineLevel="0" collapsed="false">
      <c r="A4" s="20" t="s">
        <v>33</v>
      </c>
      <c r="B4" s="20" t="s">
        <v>155</v>
      </c>
      <c r="C4" s="20" t="s">
        <v>156</v>
      </c>
    </row>
    <row r="5" customFormat="false" ht="15" hidden="false" customHeight="false" outlineLevel="0" collapsed="false">
      <c r="A5" s="29" t="s">
        <v>157</v>
      </c>
      <c r="B5" s="29" t="s">
        <v>158</v>
      </c>
      <c r="C5" s="29" t="s">
        <v>159</v>
      </c>
    </row>
    <row r="6" customFormat="false" ht="15" hidden="false" customHeight="false" outlineLevel="0" collapsed="false">
      <c r="A6" s="29" t="s">
        <v>160</v>
      </c>
      <c r="B6" s="29" t="s">
        <v>161</v>
      </c>
      <c r="C6" s="29" t="s">
        <v>162</v>
      </c>
    </row>
    <row r="7" customFormat="false" ht="15" hidden="false" customHeight="false" outlineLevel="0" collapsed="false">
      <c r="A7" s="29" t="s">
        <v>163</v>
      </c>
      <c r="B7" s="29" t="s">
        <v>164</v>
      </c>
      <c r="C7" s="29" t="s">
        <v>165</v>
      </c>
    </row>
    <row r="8" customFormat="false" ht="15" hidden="false" customHeight="false" outlineLevel="0" collapsed="false">
      <c r="A8" s="29" t="s">
        <v>166</v>
      </c>
      <c r="B8" s="29" t="s">
        <v>167</v>
      </c>
      <c r="C8" s="29" t="s">
        <v>168</v>
      </c>
    </row>
    <row r="9" customFormat="false" ht="15" hidden="false" customHeight="false" outlineLevel="0" collapsed="false">
      <c r="A9" s="29" t="s">
        <v>169</v>
      </c>
      <c r="B9" s="29" t="s">
        <v>170</v>
      </c>
      <c r="C9" s="29" t="s">
        <v>171</v>
      </c>
    </row>
    <row r="10" customFormat="false" ht="15" hidden="false" customHeight="false" outlineLevel="0" collapsed="false">
      <c r="A10" s="29" t="s">
        <v>172</v>
      </c>
      <c r="B10" s="29" t="s">
        <v>173</v>
      </c>
      <c r="C10" s="29" t="s">
        <v>174</v>
      </c>
    </row>
    <row r="11" customFormat="false" ht="15" hidden="false" customHeight="false" outlineLevel="0" collapsed="false">
      <c r="A11" s="29" t="s">
        <v>175</v>
      </c>
      <c r="B11" s="29" t="s">
        <v>176</v>
      </c>
      <c r="C11" s="29" t="s">
        <v>177</v>
      </c>
    </row>
    <row r="12" customFormat="false" ht="15" hidden="false" customHeight="false" outlineLevel="0" collapsed="false">
      <c r="A12" s="29" t="s">
        <v>66</v>
      </c>
      <c r="B12" s="29" t="s">
        <v>178</v>
      </c>
      <c r="C12" s="29" t="s">
        <v>179</v>
      </c>
    </row>
    <row r="13" customFormat="false" ht="15" hidden="false" customHeight="false" outlineLevel="0" collapsed="false">
      <c r="A13" s="29" t="s">
        <v>180</v>
      </c>
      <c r="B13" s="29" t="s">
        <v>181</v>
      </c>
      <c r="C13" s="29" t="s">
        <v>182</v>
      </c>
    </row>
    <row r="14" customFormat="false" ht="15" hidden="false" customHeight="false" outlineLevel="0" collapsed="false">
      <c r="A14" s="29" t="s">
        <v>183</v>
      </c>
      <c r="B14" s="29" t="s">
        <v>184</v>
      </c>
      <c r="C14" s="29" t="s">
        <v>185</v>
      </c>
    </row>
    <row r="15" customFormat="false" ht="15" hidden="false" customHeight="false" outlineLevel="0" collapsed="false">
      <c r="A15" s="29" t="s">
        <v>186</v>
      </c>
      <c r="B15" s="29" t="s">
        <v>187</v>
      </c>
      <c r="C15" s="29" t="s">
        <v>188</v>
      </c>
    </row>
    <row r="16" customFormat="false" ht="15" hidden="false" customHeight="false" outlineLevel="0" collapsed="false">
      <c r="A16" s="29" t="s">
        <v>189</v>
      </c>
      <c r="B16" s="29" t="s">
        <v>190</v>
      </c>
      <c r="C16" s="29" t="s">
        <v>191</v>
      </c>
    </row>
    <row r="17" customFormat="false" ht="15" hidden="false" customHeight="false" outlineLevel="0" collapsed="false">
      <c r="A17" s="29" t="s">
        <v>192</v>
      </c>
      <c r="B17" s="29" t="s">
        <v>193</v>
      </c>
      <c r="C17" s="29" t="s">
        <v>194</v>
      </c>
    </row>
    <row r="18" customFormat="false" ht="15" hidden="false" customHeight="false" outlineLevel="0" collapsed="false">
      <c r="A18" s="29" t="s">
        <v>195</v>
      </c>
      <c r="B18" s="29" t="s">
        <v>196</v>
      </c>
      <c r="C18" s="29" t="s">
        <v>197</v>
      </c>
    </row>
    <row r="19" customFormat="false" ht="15" hidden="false" customHeight="false" outlineLevel="0" collapsed="false">
      <c r="A19" s="29" t="s">
        <v>198</v>
      </c>
      <c r="B19" s="29" t="s">
        <v>199</v>
      </c>
      <c r="C19" s="29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31.5" hidden="false" customHeight="true" outlineLevel="0" collapsed="false">
      <c r="A1" s="30" t="s">
        <v>201</v>
      </c>
    </row>
    <row r="2" customFormat="false" ht="15" hidden="false" customHeight="false" outlineLevel="0" collapsed="false">
      <c r="A2" s="28" t="s">
        <v>202</v>
      </c>
    </row>
    <row r="3" customFormat="false" ht="15" hidden="false" customHeight="false" outlineLevel="0" collapsed="false">
      <c r="A3" s="28" t="s">
        <v>65</v>
      </c>
    </row>
    <row r="4" customFormat="false" ht="15" hidden="false" customHeight="false" outlineLevel="0" collapsed="false">
      <c r="A4" s="28" t="s">
        <v>203</v>
      </c>
    </row>
    <row r="5" customFormat="false" ht="15" hidden="false" customHeight="false" outlineLevel="0" collapsed="false">
      <c r="A5" s="28" t="s">
        <v>204</v>
      </c>
    </row>
    <row r="6" customFormat="false" ht="15" hidden="false" customHeight="false" outlineLevel="0" collapsed="false">
      <c r="A6" s="28"/>
    </row>
    <row r="7" customFormat="false" ht="15" hidden="false" customHeight="false" outlineLevel="0" collapsed="false">
      <c r="A7" s="28"/>
    </row>
    <row r="8" customFormat="false" ht="15" hidden="false" customHeight="false" outlineLevel="0" collapsed="false">
      <c r="A8" s="28"/>
    </row>
    <row r="9" customFormat="false" ht="15" hidden="false" customHeight="false" outlineLevel="0" collapsed="false">
      <c r="A9" s="28"/>
    </row>
    <row r="10" customFormat="false" ht="15" hidden="false" customHeight="false" outlineLevel="0" collapsed="false">
      <c r="A10" s="28"/>
    </row>
    <row r="11" customFormat="false" ht="15" hidden="false" customHeight="false" outlineLevel="0" collapsed="false">
      <c r="A11" s="28"/>
    </row>
    <row r="12" customFormat="false" ht="15" hidden="false" customHeight="false" outlineLevel="0" collapsed="false">
      <c r="A12" s="28"/>
    </row>
    <row r="13" customFormat="false" ht="15" hidden="false" customHeight="false" outlineLevel="0" collapsed="false">
      <c r="A13" s="28"/>
    </row>
    <row r="14" customFormat="false" ht="15" hidden="false" customHeight="false" outlineLevel="0" collapsed="false">
      <c r="A14" s="28"/>
    </row>
    <row r="15" customFormat="false" ht="15" hidden="false" customHeight="false" outlineLevel="0" collapsed="false">
      <c r="A15" s="28"/>
    </row>
    <row r="16" customFormat="false" ht="15" hidden="false" customHeight="false" outlineLevel="0" collapsed="false">
      <c r="A16" s="28"/>
    </row>
    <row r="17" customFormat="false" ht="15" hidden="false" customHeight="false" outlineLevel="0" collapsed="false">
      <c r="A17" s="28"/>
    </row>
    <row r="18" customFormat="false" ht="15" hidden="false" customHeight="false" outlineLevel="0" collapsed="false">
      <c r="A18" s="28"/>
    </row>
    <row r="19" customFormat="false" ht="15" hidden="false" customHeight="false" outlineLevel="0" collapsed="false">
      <c r="A19" s="28"/>
    </row>
    <row r="20" customFormat="false" ht="15" hidden="false" customHeight="false" outlineLevel="0" collapsed="false">
      <c r="A20" s="28"/>
    </row>
    <row r="21" customFormat="false" ht="15" hidden="false" customHeight="false" outlineLevel="0" collapsed="false">
      <c r="A21" s="28"/>
    </row>
    <row r="22" customFormat="false" ht="15" hidden="false" customHeight="false" outlineLevel="0" collapsed="false">
      <c r="A22" s="28"/>
    </row>
    <row r="23" customFormat="false" ht="15" hidden="false" customHeight="false" outlineLevel="0" collapsed="false">
      <c r="A23" s="28"/>
    </row>
    <row r="24" customFormat="false" ht="15" hidden="false" customHeight="false" outlineLevel="0" collapsed="false">
      <c r="A24" s="28"/>
    </row>
    <row r="25" customFormat="false" ht="15" hidden="false" customHeight="false" outlineLevel="0" collapsed="false">
      <c r="A25" s="28"/>
    </row>
    <row r="26" customFormat="false" ht="15" hidden="false" customHeight="false" outlineLevel="0" collapsed="false">
      <c r="A26" s="28"/>
    </row>
    <row r="27" customFormat="false" ht="15" hidden="false" customHeight="false" outlineLevel="0" collapsed="false">
      <c r="A27" s="28"/>
    </row>
    <row r="28" customFormat="false" ht="15" hidden="false" customHeight="false" outlineLevel="0" collapsed="false">
      <c r="A28" s="28"/>
    </row>
    <row r="29" customFormat="false" ht="15" hidden="false" customHeight="false" outlineLevel="0" collapsed="false">
      <c r="A29" s="28"/>
    </row>
    <row r="30" customFormat="false" ht="15" hidden="false" customHeight="false" outlineLevel="0" collapsed="false">
      <c r="A30" s="28"/>
    </row>
    <row r="31" customFormat="false" ht="15" hidden="false" customHeight="false" outlineLevel="0" collapsed="false">
      <c r="A31" s="28"/>
    </row>
    <row r="32" customFormat="false" ht="15" hidden="false" customHeight="false" outlineLevel="0" collapsed="false">
      <c r="A32" s="28"/>
    </row>
    <row r="33" customFormat="false" ht="15" hidden="false" customHeight="false" outlineLevel="0" collapsed="false">
      <c r="A33" s="28"/>
    </row>
    <row r="34" customFormat="false" ht="15" hidden="false" customHeight="false" outlineLevel="0" collapsed="false">
      <c r="A34" s="28"/>
    </row>
    <row r="35" customFormat="false" ht="15" hidden="false" customHeight="false" outlineLevel="0" collapsed="false">
      <c r="A35" s="28"/>
    </row>
    <row r="36" customFormat="false" ht="15" hidden="false" customHeight="false" outlineLevel="0" collapsed="false">
      <c r="A36" s="28"/>
    </row>
    <row r="37" customFormat="false" ht="15" hidden="false" customHeight="false" outlineLevel="0" collapsed="false">
      <c r="A37" s="28"/>
    </row>
    <row r="38" customFormat="false" ht="15" hidden="false" customHeight="false" outlineLevel="0" collapsed="false">
      <c r="A38" s="28"/>
    </row>
    <row r="39" customFormat="false" ht="15" hidden="false" customHeight="false" outlineLevel="0" collapsed="false">
      <c r="A39" s="28"/>
    </row>
    <row r="40" customFormat="false" ht="15" hidden="false" customHeight="false" outlineLevel="0" collapsed="false">
      <c r="A40" s="28"/>
    </row>
    <row r="41" customFormat="false" ht="15" hidden="false" customHeight="false" outlineLevel="0" collapsed="false">
      <c r="A41" s="28"/>
    </row>
    <row r="42" customFormat="false" ht="15" hidden="false" customHeight="false" outlineLevel="0" collapsed="false">
      <c r="A42" s="28"/>
    </row>
    <row r="43" customFormat="false" ht="15" hidden="false" customHeight="false" outlineLevel="0" collapsed="false">
      <c r="A43" s="28"/>
    </row>
    <row r="44" customFormat="false" ht="15" hidden="false" customHeight="false" outlineLevel="0" collapsed="false">
      <c r="A44" s="28"/>
    </row>
    <row r="45" customFormat="false" ht="15" hidden="false" customHeight="false" outlineLevel="0" collapsed="false">
      <c r="A45" s="28"/>
    </row>
    <row r="46" customFormat="false" ht="15" hidden="false" customHeight="false" outlineLevel="0" collapsed="false">
      <c r="A46" s="28"/>
    </row>
    <row r="47" customFormat="false" ht="15" hidden="false" customHeight="false" outlineLevel="0" collapsed="false">
      <c r="A47" s="28"/>
    </row>
    <row r="48" customFormat="false" ht="15" hidden="false" customHeight="false" outlineLevel="0" collapsed="false">
      <c r="A48" s="28"/>
    </row>
    <row r="49" customFormat="false" ht="15" hidden="false" customHeight="false" outlineLevel="0" collapsed="false">
      <c r="A49" s="28"/>
    </row>
    <row r="50" customFormat="false" ht="15" hidden="false" customHeight="false" outlineLevel="0" collapsed="false">
      <c r="A50" s="28"/>
    </row>
    <row r="51" customFormat="false" ht="15" hidden="false" customHeight="false" outlineLevel="0" collapsed="false">
      <c r="A51" s="28"/>
    </row>
    <row r="52" customFormat="false" ht="15" hidden="false" customHeight="false" outlineLevel="0" collapsed="false">
      <c r="A52" s="28"/>
    </row>
    <row r="53" customFormat="false" ht="15" hidden="false" customHeight="false" outlineLevel="0" collapsed="false">
      <c r="A53" s="28"/>
    </row>
    <row r="54" customFormat="false" ht="15" hidden="false" customHeight="false" outlineLevel="0" collapsed="false">
      <c r="A54" s="28"/>
    </row>
    <row r="55" customFormat="false" ht="15" hidden="false" customHeight="false" outlineLevel="0" collapsed="false">
      <c r="A55" s="28"/>
    </row>
    <row r="56" customFormat="false" ht="15" hidden="false" customHeight="false" outlineLevel="0" collapsed="false">
      <c r="A56" s="28"/>
    </row>
    <row r="57" customFormat="false" ht="15" hidden="false" customHeight="false" outlineLevel="0" collapsed="false">
      <c r="A57" s="28"/>
    </row>
    <row r="58" customFormat="false" ht="15" hidden="false" customHeight="false" outlineLevel="0" collapsed="false">
      <c r="A58" s="28"/>
    </row>
    <row r="59" customFormat="false" ht="15" hidden="false" customHeight="false" outlineLevel="0" collapsed="false">
      <c r="A59" s="28"/>
    </row>
    <row r="60" customFormat="false" ht="15" hidden="false" customHeight="false" outlineLevel="0" collapsed="false">
      <c r="A60" s="28"/>
    </row>
    <row r="61" customFormat="false" ht="15" hidden="false" customHeight="false" outlineLevel="0" collapsed="false">
      <c r="A61" s="28"/>
    </row>
    <row r="62" customFormat="false" ht="15" hidden="false" customHeight="false" outlineLevel="0" collapsed="false">
      <c r="A62" s="28"/>
    </row>
    <row r="63" customFormat="false" ht="15" hidden="false" customHeight="false" outlineLevel="0" collapsed="false">
      <c r="A63" s="28"/>
    </row>
    <row r="64" customFormat="false" ht="15" hidden="false" customHeight="false" outlineLevel="0" collapsed="false">
      <c r="A64" s="28"/>
    </row>
    <row r="65" customFormat="false" ht="15" hidden="false" customHeight="false" outlineLevel="0" collapsed="false">
      <c r="A65" s="28"/>
    </row>
    <row r="66" customFormat="false" ht="15" hidden="false" customHeight="false" outlineLevel="0" collapsed="false">
      <c r="A66" s="28"/>
    </row>
    <row r="67" customFormat="false" ht="15" hidden="false" customHeight="false" outlineLevel="0" collapsed="false">
      <c r="A67" s="28"/>
    </row>
    <row r="68" customFormat="false" ht="15" hidden="false" customHeight="false" outlineLevel="0" collapsed="false">
      <c r="A68" s="28"/>
    </row>
    <row r="69" customFormat="false" ht="15" hidden="false" customHeight="false" outlineLevel="0" collapsed="false">
      <c r="A69" s="28"/>
    </row>
    <row r="70" customFormat="false" ht="15" hidden="false" customHeight="false" outlineLevel="0" collapsed="false">
      <c r="A70" s="28"/>
    </row>
    <row r="71" customFormat="false" ht="15" hidden="false" customHeight="false" outlineLevel="0" collapsed="false">
      <c r="A71" s="28"/>
    </row>
    <row r="72" customFormat="false" ht="15" hidden="false" customHeight="false" outlineLevel="0" collapsed="false">
      <c r="A72" s="28"/>
    </row>
    <row r="73" customFormat="false" ht="15" hidden="false" customHeight="false" outlineLevel="0" collapsed="false">
      <c r="A73" s="28"/>
    </row>
    <row r="74" customFormat="false" ht="15" hidden="false" customHeight="false" outlineLevel="0" collapsed="false">
      <c r="A74" s="28"/>
    </row>
    <row r="75" customFormat="false" ht="15" hidden="false" customHeight="false" outlineLevel="0" collapsed="false">
      <c r="A75" s="28"/>
    </row>
    <row r="76" customFormat="false" ht="15" hidden="false" customHeight="false" outlineLevel="0" collapsed="false">
      <c r="A76" s="28"/>
    </row>
    <row r="77" customFormat="false" ht="15" hidden="false" customHeight="false" outlineLevel="0" collapsed="false">
      <c r="A77" s="28"/>
    </row>
    <row r="78" customFormat="false" ht="15" hidden="false" customHeight="false" outlineLevel="0" collapsed="false">
      <c r="A78" s="28"/>
    </row>
    <row r="79" customFormat="false" ht="15" hidden="false" customHeight="false" outlineLevel="0" collapsed="false">
      <c r="A79" s="28"/>
    </row>
    <row r="80" customFormat="false" ht="15" hidden="false" customHeight="false" outlineLevel="0" collapsed="false">
      <c r="A80" s="28"/>
    </row>
    <row r="81" customFormat="false" ht="15" hidden="false" customHeight="false" outlineLevel="0" collapsed="false">
      <c r="A81" s="28"/>
    </row>
    <row r="82" customFormat="false" ht="15" hidden="false" customHeight="false" outlineLevel="0" collapsed="false">
      <c r="A82" s="28"/>
    </row>
    <row r="83" customFormat="false" ht="15" hidden="false" customHeight="false" outlineLevel="0" collapsed="false">
      <c r="A83" s="28"/>
    </row>
    <row r="84" customFormat="false" ht="15" hidden="false" customHeight="false" outlineLevel="0" collapsed="false">
      <c r="A84" s="28"/>
    </row>
    <row r="85" customFormat="false" ht="15" hidden="false" customHeight="false" outlineLevel="0" collapsed="false">
      <c r="A85" s="28"/>
    </row>
    <row r="86" customFormat="false" ht="15" hidden="false" customHeight="false" outlineLevel="0" collapsed="false">
      <c r="A86" s="28"/>
    </row>
    <row r="87" customFormat="false" ht="15" hidden="false" customHeight="false" outlineLevel="0" collapsed="false">
      <c r="A87" s="28"/>
    </row>
    <row r="88" customFormat="false" ht="15" hidden="false" customHeight="false" outlineLevel="0" collapsed="false">
      <c r="A88" s="28"/>
    </row>
    <row r="89" customFormat="false" ht="15" hidden="false" customHeight="false" outlineLevel="0" collapsed="false">
      <c r="A89" s="28"/>
    </row>
    <row r="90" customFormat="false" ht="15" hidden="false" customHeight="false" outlineLevel="0" collapsed="false">
      <c r="A90" s="28"/>
    </row>
    <row r="91" customFormat="false" ht="15" hidden="false" customHeight="false" outlineLevel="0" collapsed="false">
      <c r="A91" s="28"/>
    </row>
    <row r="92" customFormat="false" ht="15" hidden="false" customHeight="false" outlineLevel="0" collapsed="false">
      <c r="A92" s="28"/>
    </row>
    <row r="93" customFormat="false" ht="15" hidden="false" customHeight="false" outlineLevel="0" collapsed="false">
      <c r="A93" s="28"/>
    </row>
    <row r="94" customFormat="false" ht="15" hidden="false" customHeight="false" outlineLevel="0" collapsed="false">
      <c r="A94" s="28"/>
    </row>
    <row r="95" customFormat="false" ht="15" hidden="false" customHeight="false" outlineLevel="0" collapsed="false">
      <c r="A95" s="28"/>
    </row>
    <row r="96" customFormat="false" ht="15" hidden="false" customHeight="false" outlineLevel="0" collapsed="false">
      <c r="A96" s="28"/>
    </row>
    <row r="97" customFormat="false" ht="15" hidden="false" customHeight="false" outlineLevel="0" collapsed="false">
      <c r="A97" s="28"/>
    </row>
    <row r="98" customFormat="false" ht="15" hidden="false" customHeight="false" outlineLevel="0" collapsed="false">
      <c r="A98" s="28"/>
    </row>
    <row r="99" customFormat="false" ht="15" hidden="false" customHeight="false" outlineLevel="0" collapsed="false">
      <c r="A99" s="28"/>
    </row>
    <row r="100" customFormat="false" ht="15" hidden="false" customHeight="false" outlineLevel="0" collapsed="false">
      <c r="A100" s="28"/>
    </row>
    <row r="101" customFormat="false" ht="15" hidden="false" customHeight="false" outlineLevel="0" collapsed="false">
      <c r="A101" s="28"/>
    </row>
    <row r="102" customFormat="false" ht="15" hidden="false" customHeight="false" outlineLevel="0" collapsed="false">
      <c r="A102" s="28"/>
    </row>
    <row r="103" customFormat="false" ht="15" hidden="false" customHeight="false" outlineLevel="0" collapsed="false">
      <c r="A103" s="28"/>
    </row>
    <row r="104" customFormat="false" ht="15" hidden="false" customHeight="false" outlineLevel="0" collapsed="false">
      <c r="A104" s="28"/>
    </row>
    <row r="105" customFormat="false" ht="15" hidden="false" customHeight="false" outlineLevel="0" collapsed="false">
      <c r="A105" s="28"/>
    </row>
    <row r="106" customFormat="false" ht="15" hidden="false" customHeight="false" outlineLevel="0" collapsed="false">
      <c r="A106" s="28"/>
    </row>
    <row r="107" customFormat="false" ht="15" hidden="false" customHeight="false" outlineLevel="0" collapsed="false">
      <c r="A107" s="28"/>
    </row>
    <row r="108" customFormat="false" ht="15" hidden="false" customHeight="false" outlineLevel="0" collapsed="false">
      <c r="A108" s="28"/>
    </row>
    <row r="109" customFormat="false" ht="15" hidden="false" customHeight="false" outlineLevel="0" collapsed="false">
      <c r="A109" s="28"/>
    </row>
    <row r="110" customFormat="false" ht="15" hidden="false" customHeight="false" outlineLevel="0" collapsed="false">
      <c r="A110" s="28"/>
    </row>
    <row r="111" customFormat="false" ht="15" hidden="false" customHeight="false" outlineLevel="0" collapsed="false">
      <c r="A111" s="28"/>
    </row>
    <row r="112" customFormat="false" ht="15" hidden="false" customHeight="false" outlineLevel="0" collapsed="false">
      <c r="A112" s="28"/>
    </row>
    <row r="113" customFormat="false" ht="15" hidden="false" customHeight="false" outlineLevel="0" collapsed="false">
      <c r="A113" s="28"/>
    </row>
    <row r="114" customFormat="false" ht="15" hidden="false" customHeight="false" outlineLevel="0" collapsed="false">
      <c r="A114" s="28"/>
    </row>
    <row r="115" customFormat="false" ht="15" hidden="false" customHeight="false" outlineLevel="0" collapsed="false">
      <c r="A115" s="28"/>
    </row>
    <row r="116" customFormat="false" ht="15" hidden="false" customHeight="false" outlineLevel="0" collapsed="false">
      <c r="A116" s="28"/>
    </row>
    <row r="117" customFormat="false" ht="15" hidden="false" customHeight="false" outlineLevel="0" collapsed="false">
      <c r="A117" s="28"/>
    </row>
    <row r="118" customFormat="false" ht="15" hidden="false" customHeight="false" outlineLevel="0" collapsed="false">
      <c r="A118" s="28"/>
    </row>
    <row r="119" customFormat="false" ht="15" hidden="false" customHeight="false" outlineLevel="0" collapsed="false">
      <c r="A119" s="28"/>
    </row>
    <row r="120" customFormat="false" ht="15" hidden="false" customHeight="false" outlineLevel="0" collapsed="false">
      <c r="A120" s="28"/>
    </row>
    <row r="121" customFormat="false" ht="15" hidden="false" customHeight="false" outlineLevel="0" collapsed="false">
      <c r="A121" s="28"/>
    </row>
    <row r="122" customFormat="false" ht="15" hidden="false" customHeight="false" outlineLevel="0" collapsed="false">
      <c r="A122" s="28"/>
    </row>
    <row r="123" customFormat="false" ht="15" hidden="false" customHeight="false" outlineLevel="0" collapsed="false">
      <c r="A123" s="28"/>
    </row>
    <row r="124" customFormat="false" ht="15" hidden="false" customHeight="false" outlineLevel="0" collapsed="false">
      <c r="A124" s="28"/>
    </row>
    <row r="125" customFormat="false" ht="15" hidden="false" customHeight="false" outlineLevel="0" collapsed="false">
      <c r="A125" s="28"/>
    </row>
    <row r="126" customFormat="false" ht="15" hidden="false" customHeight="false" outlineLevel="0" collapsed="false">
      <c r="A126" s="28"/>
    </row>
    <row r="127" customFormat="false" ht="15" hidden="false" customHeight="false" outlineLevel="0" collapsed="false">
      <c r="A127" s="28"/>
    </row>
    <row r="128" customFormat="false" ht="15" hidden="false" customHeight="false" outlineLevel="0" collapsed="false">
      <c r="A128" s="28"/>
    </row>
    <row r="129" customFormat="false" ht="15" hidden="false" customHeight="false" outlineLevel="0" collapsed="false">
      <c r="A129" s="28"/>
    </row>
    <row r="130" customFormat="false" ht="15" hidden="false" customHeight="false" outlineLevel="0" collapsed="false">
      <c r="A130" s="28"/>
    </row>
    <row r="131" customFormat="false" ht="15" hidden="false" customHeight="false" outlineLevel="0" collapsed="false">
      <c r="A131" s="28"/>
    </row>
    <row r="132" customFormat="false" ht="15" hidden="false" customHeight="false" outlineLevel="0" collapsed="false">
      <c r="A132" s="28"/>
    </row>
    <row r="133" customFormat="false" ht="15" hidden="false" customHeight="false" outlineLevel="0" collapsed="false">
      <c r="A133" s="28"/>
    </row>
    <row r="134" customFormat="false" ht="15" hidden="false" customHeight="false" outlineLevel="0" collapsed="false">
      <c r="A134" s="28"/>
    </row>
    <row r="135" customFormat="false" ht="15" hidden="false" customHeight="false" outlineLevel="0" collapsed="false">
      <c r="A135" s="28"/>
    </row>
    <row r="136" customFormat="false" ht="15" hidden="false" customHeight="false" outlineLevel="0" collapsed="false">
      <c r="A136" s="28"/>
    </row>
    <row r="137" customFormat="false" ht="15" hidden="false" customHeight="false" outlineLevel="0" collapsed="false">
      <c r="A137" s="28"/>
    </row>
    <row r="138" customFormat="false" ht="15" hidden="false" customHeight="false" outlineLevel="0" collapsed="false">
      <c r="A138" s="28"/>
    </row>
    <row r="139" customFormat="false" ht="15" hidden="false" customHeight="false" outlineLevel="0" collapsed="false">
      <c r="A139" s="28"/>
    </row>
    <row r="140" customFormat="false" ht="15" hidden="false" customHeight="false" outlineLevel="0" collapsed="false">
      <c r="A140" s="28"/>
    </row>
    <row r="141" customFormat="false" ht="15" hidden="false" customHeight="false" outlineLevel="0" collapsed="false">
      <c r="A141" s="28"/>
    </row>
    <row r="142" customFormat="false" ht="15" hidden="false" customHeight="false" outlineLevel="0" collapsed="false">
      <c r="A142" s="28"/>
    </row>
    <row r="143" customFormat="false" ht="15" hidden="false" customHeight="false" outlineLevel="0" collapsed="false">
      <c r="A143" s="28"/>
    </row>
    <row r="144" customFormat="false" ht="15" hidden="false" customHeight="false" outlineLevel="0" collapsed="false">
      <c r="A144" s="28"/>
    </row>
    <row r="145" customFormat="false" ht="15" hidden="false" customHeight="false" outlineLevel="0" collapsed="false">
      <c r="A145" s="28"/>
    </row>
    <row r="146" customFormat="false" ht="15" hidden="false" customHeight="false" outlineLevel="0" collapsed="false">
      <c r="A146" s="28"/>
    </row>
    <row r="147" customFormat="false" ht="15" hidden="false" customHeight="false" outlineLevel="0" collapsed="false">
      <c r="A147" s="28"/>
    </row>
    <row r="148" customFormat="false" ht="15" hidden="false" customHeight="false" outlineLevel="0" collapsed="false">
      <c r="A148" s="28"/>
    </row>
    <row r="149" customFormat="false" ht="15" hidden="false" customHeight="false" outlineLevel="0" collapsed="false">
      <c r="A149" s="28"/>
    </row>
    <row r="150" customFormat="false" ht="15" hidden="false" customHeight="false" outlineLevel="0" collapsed="false">
      <c r="A150" s="28"/>
    </row>
    <row r="151" customFormat="false" ht="15" hidden="false" customHeight="false" outlineLevel="0" collapsed="false">
      <c r="A151" s="28"/>
    </row>
    <row r="152" customFormat="false" ht="15" hidden="false" customHeight="false" outlineLevel="0" collapsed="false">
      <c r="A152" s="28"/>
    </row>
    <row r="153" customFormat="false" ht="15" hidden="false" customHeight="false" outlineLevel="0" collapsed="false">
      <c r="A153" s="28"/>
    </row>
    <row r="154" customFormat="false" ht="15" hidden="false" customHeight="false" outlineLevel="0" collapsed="false">
      <c r="A154" s="28"/>
    </row>
    <row r="155" customFormat="false" ht="15" hidden="false" customHeight="false" outlineLevel="0" collapsed="false">
      <c r="A155" s="28"/>
    </row>
    <row r="156" customFormat="false" ht="15" hidden="false" customHeight="false" outlineLevel="0" collapsed="false">
      <c r="A156" s="28"/>
    </row>
    <row r="157" customFormat="false" ht="15" hidden="false" customHeight="false" outlineLevel="0" collapsed="false">
      <c r="A157" s="28"/>
    </row>
    <row r="158" customFormat="false" ht="15" hidden="false" customHeight="false" outlineLevel="0" collapsed="false">
      <c r="A158" s="28"/>
    </row>
    <row r="159" customFormat="false" ht="15" hidden="false" customHeight="false" outlineLevel="0" collapsed="false">
      <c r="A159" s="28"/>
    </row>
    <row r="160" customFormat="false" ht="15" hidden="false" customHeight="false" outlineLevel="0" collapsed="false">
      <c r="A160" s="28"/>
    </row>
    <row r="161" customFormat="false" ht="15" hidden="false" customHeight="false" outlineLevel="0" collapsed="false">
      <c r="A161" s="28"/>
    </row>
    <row r="162" customFormat="false" ht="15" hidden="false" customHeight="false" outlineLevel="0" collapsed="false">
      <c r="A162" s="28"/>
    </row>
    <row r="163" customFormat="false" ht="15" hidden="false" customHeight="false" outlineLevel="0" collapsed="false">
      <c r="A163" s="28"/>
    </row>
    <row r="164" customFormat="false" ht="15" hidden="false" customHeight="false" outlineLevel="0" collapsed="false">
      <c r="A164" s="28"/>
    </row>
    <row r="165" customFormat="false" ht="15" hidden="false" customHeight="false" outlineLevel="0" collapsed="false">
      <c r="A165" s="28"/>
    </row>
    <row r="166" customFormat="false" ht="15" hidden="false" customHeight="false" outlineLevel="0" collapsed="false">
      <c r="A166" s="28"/>
    </row>
    <row r="167" customFormat="false" ht="15" hidden="false" customHeight="false" outlineLevel="0" collapsed="false">
      <c r="A167" s="28"/>
    </row>
    <row r="168" customFormat="false" ht="15" hidden="false" customHeight="false" outlineLevel="0" collapsed="false">
      <c r="A168" s="28"/>
    </row>
    <row r="169" customFormat="false" ht="15" hidden="false" customHeight="false" outlineLevel="0" collapsed="false">
      <c r="A169" s="28"/>
    </row>
    <row r="170" customFormat="false" ht="15" hidden="false" customHeight="false" outlineLevel="0" collapsed="false">
      <c r="A170" s="28"/>
    </row>
    <row r="171" customFormat="false" ht="15" hidden="false" customHeight="false" outlineLevel="0" collapsed="false">
      <c r="A171" s="28"/>
    </row>
    <row r="172" customFormat="false" ht="15" hidden="false" customHeight="false" outlineLevel="0" collapsed="false">
      <c r="A172" s="28"/>
    </row>
    <row r="173" customFormat="false" ht="15" hidden="false" customHeight="false" outlineLevel="0" collapsed="false">
      <c r="A173" s="28"/>
    </row>
    <row r="174" customFormat="false" ht="15" hidden="false" customHeight="false" outlineLevel="0" collapsed="false">
      <c r="A174" s="28"/>
    </row>
    <row r="175" customFormat="false" ht="15" hidden="false" customHeight="false" outlineLevel="0" collapsed="false">
      <c r="A175" s="28"/>
    </row>
    <row r="176" customFormat="false" ht="15" hidden="false" customHeight="false" outlineLevel="0" collapsed="false">
      <c r="A176" s="28"/>
    </row>
    <row r="177" customFormat="false" ht="15" hidden="false" customHeight="false" outlineLevel="0" collapsed="false">
      <c r="A177" s="28"/>
    </row>
    <row r="178" customFormat="false" ht="15" hidden="false" customHeight="false" outlineLevel="0" collapsed="false">
      <c r="A178" s="28"/>
    </row>
    <row r="179" customFormat="false" ht="15" hidden="false" customHeight="false" outlineLevel="0" collapsed="false">
      <c r="A179" s="28"/>
    </row>
    <row r="180" customFormat="false" ht="15" hidden="false" customHeight="false" outlineLevel="0" collapsed="false">
      <c r="A180" s="28"/>
    </row>
    <row r="181" customFormat="false" ht="15" hidden="false" customHeight="false" outlineLevel="0" collapsed="false">
      <c r="A181" s="28"/>
    </row>
    <row r="182" customFormat="false" ht="15" hidden="false" customHeight="false" outlineLevel="0" collapsed="false">
      <c r="A182" s="28"/>
    </row>
    <row r="183" customFormat="false" ht="15" hidden="false" customHeight="false" outlineLevel="0" collapsed="false">
      <c r="A183" s="28"/>
    </row>
    <row r="184" customFormat="false" ht="15" hidden="false" customHeight="false" outlineLevel="0" collapsed="false">
      <c r="A184" s="28"/>
    </row>
    <row r="185" customFormat="false" ht="15" hidden="false" customHeight="false" outlineLevel="0" collapsed="false">
      <c r="A185" s="28"/>
    </row>
    <row r="186" customFormat="false" ht="15" hidden="false" customHeight="false" outlineLevel="0" collapsed="false">
      <c r="A186" s="28"/>
    </row>
    <row r="187" customFormat="false" ht="15" hidden="false" customHeight="false" outlineLevel="0" collapsed="false">
      <c r="A187" s="28"/>
    </row>
    <row r="188" customFormat="false" ht="15" hidden="false" customHeight="false" outlineLevel="0" collapsed="false">
      <c r="A188" s="28"/>
    </row>
    <row r="189" customFormat="false" ht="15" hidden="false" customHeight="false" outlineLevel="0" collapsed="false">
      <c r="A189" s="28"/>
    </row>
    <row r="190" customFormat="false" ht="15" hidden="false" customHeight="false" outlineLevel="0" collapsed="false">
      <c r="A190" s="28"/>
    </row>
    <row r="191" customFormat="false" ht="15" hidden="false" customHeight="false" outlineLevel="0" collapsed="false">
      <c r="A191" s="28"/>
    </row>
    <row r="192" customFormat="false" ht="15" hidden="false" customHeight="false" outlineLevel="0" collapsed="false">
      <c r="A192" s="28"/>
    </row>
    <row r="193" customFormat="false" ht="15" hidden="false" customHeight="false" outlineLevel="0" collapsed="false">
      <c r="A193" s="28"/>
    </row>
    <row r="194" customFormat="false" ht="15" hidden="false" customHeight="false" outlineLevel="0" collapsed="false">
      <c r="A194" s="28"/>
    </row>
    <row r="195" customFormat="false" ht="15" hidden="false" customHeight="false" outlineLevel="0" collapsed="false">
      <c r="A195" s="28"/>
    </row>
    <row r="196" customFormat="false" ht="15" hidden="false" customHeight="false" outlineLevel="0" collapsed="false">
      <c r="A196" s="28"/>
    </row>
    <row r="197" customFormat="false" ht="15" hidden="false" customHeight="false" outlineLevel="0" collapsed="false">
      <c r="A197" s="28"/>
    </row>
    <row r="198" customFormat="false" ht="15" hidden="false" customHeight="false" outlineLevel="0" collapsed="false">
      <c r="A198" s="28"/>
    </row>
    <row r="199" customFormat="false" ht="15" hidden="false" customHeight="false" outlineLevel="0" collapsed="false">
      <c r="A199" s="28"/>
    </row>
    <row r="200" customFormat="false" ht="15" hidden="false" customHeight="false" outlineLevel="0" collapsed="false">
      <c r="A200" s="28"/>
    </row>
    <row r="201" customFormat="false" ht="15" hidden="false" customHeight="false" outlineLevel="0" collapsed="false">
      <c r="A201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</cols>
  <sheetData>
    <row r="1" customFormat="false" ht="15" hidden="false" customHeight="false" outlineLevel="0" collapsed="false">
      <c r="A1" s="31" t="s">
        <v>205</v>
      </c>
      <c r="B1" s="31" t="s">
        <v>206</v>
      </c>
    </row>
    <row r="2" customFormat="false" ht="15" hidden="false" customHeight="false" outlineLevel="0" collapsed="false">
      <c r="A2" s="32" t="s">
        <v>207</v>
      </c>
      <c r="B2" s="32" t="s">
        <v>207</v>
      </c>
    </row>
    <row r="3" customFormat="false" ht="15" hidden="false" customHeight="false" outlineLevel="0" collapsed="false">
      <c r="A3" s="32" t="s">
        <v>208</v>
      </c>
      <c r="B3" s="32" t="s">
        <v>209</v>
      </c>
    </row>
    <row r="4" customFormat="false" ht="15" hidden="false" customHeight="false" outlineLevel="0" collapsed="false">
      <c r="A4" s="32" t="s">
        <v>68</v>
      </c>
      <c r="B4" s="32" t="s">
        <v>210</v>
      </c>
    </row>
    <row r="5" customFormat="false" ht="15" hidden="false" customHeight="false" outlineLevel="0" collapsed="false">
      <c r="A5" s="32" t="s">
        <v>211</v>
      </c>
      <c r="B5" s="32" t="s">
        <v>71</v>
      </c>
    </row>
    <row r="6" customFormat="false" ht="15" hidden="false" customHeight="false" outlineLevel="0" collapsed="false">
      <c r="B6" s="32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9" t="s">
        <v>213</v>
      </c>
    </row>
    <row r="2" customFormat="false" ht="15" hidden="false" customHeight="false" outlineLevel="0" collapsed="false">
      <c r="A2" s="10" t="s">
        <v>214</v>
      </c>
    </row>
    <row r="3" customFormat="false" ht="15" hidden="false" customHeight="false" outlineLevel="0" collapsed="false">
      <c r="A3" s="31" t="s">
        <v>215</v>
      </c>
      <c r="B3" s="33" t="str">
        <f aca="false">IF(COUNTIF(C6:C13,"REVIEW")=0,"ALL CHECKS PASS","REVIEW ITEMS: "&amp;COUNTIF(C6:C13,"REVIEW"))</f>
        <v>ALL CHECKS PASS</v>
      </c>
    </row>
    <row r="5" customFormat="false" ht="15" hidden="false" customHeight="false" outlineLevel="0" collapsed="false">
      <c r="A5" s="5" t="s">
        <v>56</v>
      </c>
      <c r="B5" s="5" t="s">
        <v>216</v>
      </c>
      <c r="C5" s="5" t="s">
        <v>54</v>
      </c>
      <c r="D5" s="5" t="s">
        <v>217</v>
      </c>
    </row>
    <row r="6" customFormat="false" ht="15" hidden="false" customHeight="false" outlineLevel="0" collapsed="false">
      <c r="A6" s="34" t="s">
        <v>218</v>
      </c>
      <c r="B6" s="34" t="n">
        <f aca="false">COUNTA(WP_Register!A5:A204)</f>
        <v>1</v>
      </c>
      <c r="C6" s="34" t="s">
        <v>219</v>
      </c>
      <c r="D6" s="34" t="s">
        <v>220</v>
      </c>
    </row>
    <row r="7" customFormat="false" ht="15" hidden="false" customHeight="false" outlineLevel="0" collapsed="false">
      <c r="A7" s="34" t="s">
        <v>221</v>
      </c>
      <c r="B7" s="34" t="n">
        <f aca="false">SUMPRODUCT((WP_Register!A5:A204&lt;&gt;"")*(COUNTIF(WP_Register!A5:A204,WP_Register!A5:A204)&gt;1))</f>
        <v>0</v>
      </c>
      <c r="C7" s="34" t="str">
        <f aca="false">IF(B7=0,"PASS","REVIEW")</f>
        <v>PASS</v>
      </c>
      <c r="D7" s="34" t="s">
        <v>222</v>
      </c>
    </row>
    <row r="8" customFormat="false" ht="15" hidden="false" customHeight="false" outlineLevel="0" collapsed="false">
      <c r="A8" s="34" t="s">
        <v>223</v>
      </c>
      <c r="B8" s="34" t="n">
        <f aca="false">SUMPRODUCT((WP_Register!L5:L204&lt;&gt;"")*(WP_Register!L5:L204&lt;&gt;"OK")*(LEFT(WP_Register!L5:L204,2)&lt;&gt;"OK"))</f>
        <v>0</v>
      </c>
      <c r="C8" s="34" t="str">
        <f aca="false">IF(B8=0,"PASS","REVIEW")</f>
        <v>PASS</v>
      </c>
      <c r="D8" s="34" t="s">
        <v>224</v>
      </c>
    </row>
    <row r="9" customFormat="false" ht="15" hidden="false" customHeight="false" outlineLevel="0" collapsed="false">
      <c r="A9" s="34" t="s">
        <v>225</v>
      </c>
      <c r="B9" s="34" t="n">
        <f aca="false">SUMPRODUCT((Ref_TEST!A2:A201&lt;&gt;"")*(COUNTIF(WP_Register!B5:B204,Ref_TEST!A2:A201)=0))</f>
        <v>3</v>
      </c>
      <c r="C9" s="34" t="s">
        <v>219</v>
      </c>
      <c r="D9" s="34" t="s">
        <v>226</v>
      </c>
    </row>
    <row r="10" customFormat="false" ht="15" hidden="false" customHeight="false" outlineLevel="0" collapsed="false">
      <c r="A10" s="34" t="s">
        <v>227</v>
      </c>
      <c r="B10" s="34" t="n">
        <f aca="false">COUNTIF(WP_Register!K5:K204,"Reviewed")</f>
        <v>1</v>
      </c>
      <c r="C10" s="34" t="s">
        <v>219</v>
      </c>
      <c r="D10" s="34" t="s">
        <v>228</v>
      </c>
    </row>
    <row r="11" customFormat="false" ht="15" hidden="false" customHeight="false" outlineLevel="0" collapsed="false">
      <c r="A11" s="34" t="s">
        <v>229</v>
      </c>
      <c r="B11" s="34" t="n">
        <f aca="false">SUMPRODUCT(((WP_Register!G5:G204="Exception noted")+(WP_Register!G5:G204="Ineffective"))*(WP_Register!J5:J204=""))</f>
        <v>0</v>
      </c>
      <c r="C11" s="34" t="str">
        <f aca="false">IF(B11=0,"PASS","REVIEW")</f>
        <v>PASS</v>
      </c>
      <c r="D11" s="34" t="s">
        <v>230</v>
      </c>
    </row>
    <row r="12" customFormat="false" ht="15" hidden="false" customHeight="false" outlineLevel="0" collapsed="false">
      <c r="A12" s="34" t="s">
        <v>231</v>
      </c>
      <c r="B12" s="34" t="n">
        <f aca="false">Workpaper!B66</f>
        <v>3</v>
      </c>
      <c r="C12" s="34" t="s">
        <v>219</v>
      </c>
      <c r="D12" s="34" t="s">
        <v>220</v>
      </c>
    </row>
    <row r="13" customFormat="false" ht="15" hidden="false" customHeight="false" outlineLevel="0" collapsed="false">
      <c r="A13" s="34" t="s">
        <v>232</v>
      </c>
      <c r="B13" s="34" t="n">
        <f aca="false">Workpaper!B67</f>
        <v>1</v>
      </c>
      <c r="C13" s="34" t="s">
        <v>219</v>
      </c>
      <c r="D13" s="34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2026-10-03T03:43:52Z</dcterms:created>
  <dc:creator>openpyxl</dc:creator>
  <dc:description/>
  <dc:language>en-US</dc:language>
  <cp:lastModifiedBy/>
  <dcterms:modified xsi:type="dcterms:W3CDTF">2026-10-03T03:43:53Z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